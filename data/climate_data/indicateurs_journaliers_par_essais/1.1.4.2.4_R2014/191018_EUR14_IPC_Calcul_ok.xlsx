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4\"/>
    </mc:Choice>
  </mc:AlternateContent>
  <bookViews>
    <workbookView xWindow="0" yWindow="0" windowWidth="28800" windowHeight="11700"/>
  </bookViews>
  <sheets>
    <sheet name="N+" sheetId="1" r:id="rId1"/>
    <sheet name="N-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86" i="1" l="1"/>
  <c r="AC184" i="1"/>
  <c r="AC182" i="1"/>
  <c r="AC180" i="1"/>
  <c r="AC178" i="1"/>
  <c r="AB198" i="1"/>
  <c r="AB190" i="1"/>
  <c r="AB172" i="1"/>
  <c r="AB164" i="1"/>
  <c r="AB198" i="2"/>
  <c r="AB190" i="2"/>
  <c r="T279" i="2" l="1"/>
  <c r="T280" i="2" s="1"/>
  <c r="T281" i="2" s="1"/>
  <c r="T282" i="2" s="1"/>
  <c r="T283" i="2" s="1"/>
  <c r="T284" i="2" s="1"/>
  <c r="T285" i="2" s="1"/>
  <c r="T286" i="2" s="1"/>
  <c r="T287" i="2" s="1"/>
  <c r="T288" i="2" s="1"/>
  <c r="T289" i="2" s="1"/>
  <c r="T290" i="2" s="1"/>
  <c r="U14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251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128" i="2"/>
  <c r="I133" i="2" l="1"/>
  <c r="Y275" i="2"/>
  <c r="Y274" i="2"/>
  <c r="I280" i="2"/>
  <c r="I278" i="2"/>
  <c r="I276" i="2"/>
  <c r="H275" i="2"/>
  <c r="H276" i="2" s="1"/>
  <c r="H277" i="2" s="1"/>
  <c r="H278" i="2" s="1"/>
  <c r="H279" i="2" s="1"/>
  <c r="H280" i="2" s="1"/>
  <c r="H281" i="2" s="1"/>
  <c r="H282" i="2" s="1"/>
  <c r="H283" i="2" s="1"/>
  <c r="H284" i="2" s="1"/>
  <c r="H285" i="2" s="1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Y252" i="2"/>
  <c r="Y251" i="2"/>
  <c r="I257" i="2"/>
  <c r="I255" i="2"/>
  <c r="I253" i="2"/>
  <c r="H252" i="2"/>
  <c r="Y224" i="2"/>
  <c r="Y223" i="2"/>
  <c r="I229" i="2"/>
  <c r="I227" i="2"/>
  <c r="I225" i="2"/>
  <c r="H224" i="2"/>
  <c r="H223" i="2"/>
  <c r="Y203" i="2"/>
  <c r="Y202" i="2"/>
  <c r="I131" i="2"/>
  <c r="I129" i="2"/>
  <c r="H203" i="2"/>
  <c r="I208" i="2"/>
  <c r="I206" i="2"/>
  <c r="I204" i="2"/>
  <c r="U288" i="1"/>
  <c r="U265" i="1"/>
  <c r="U237" i="1"/>
  <c r="U215" i="1"/>
  <c r="U141" i="1"/>
  <c r="U95" i="1"/>
  <c r="U18" i="1"/>
  <c r="W308" i="2"/>
  <c r="R308" i="2"/>
  <c r="S308" i="2" s="1"/>
  <c r="N308" i="2"/>
  <c r="W307" i="2"/>
  <c r="R307" i="2"/>
  <c r="S307" i="2" s="1"/>
  <c r="N307" i="2"/>
  <c r="W306" i="2"/>
  <c r="R306" i="2"/>
  <c r="S306" i="2" s="1"/>
  <c r="N306" i="2"/>
  <c r="W305" i="2"/>
  <c r="S305" i="2"/>
  <c r="R305" i="2"/>
  <c r="N305" i="2"/>
  <c r="W304" i="2"/>
  <c r="R304" i="2"/>
  <c r="S304" i="2" s="1"/>
  <c r="N304" i="2"/>
  <c r="H304" i="2"/>
  <c r="H305" i="2" s="1"/>
  <c r="H306" i="2" s="1"/>
  <c r="H307" i="2" s="1"/>
  <c r="H308" i="2" s="1"/>
  <c r="W303" i="2"/>
  <c r="R303" i="2"/>
  <c r="S303" i="2" s="1"/>
  <c r="N303" i="2"/>
  <c r="O303" i="2" s="1"/>
  <c r="O304" i="2" s="1"/>
  <c r="W302" i="2"/>
  <c r="R302" i="2"/>
  <c r="S302" i="2" s="1"/>
  <c r="O302" i="2"/>
  <c r="N302" i="2"/>
  <c r="W301" i="2"/>
  <c r="S301" i="2"/>
  <c r="R301" i="2"/>
  <c r="N301" i="2"/>
  <c r="W300" i="2"/>
  <c r="R300" i="2"/>
  <c r="S300" i="2" s="1"/>
  <c r="N300" i="2"/>
  <c r="W299" i="2"/>
  <c r="T299" i="2"/>
  <c r="R299" i="2"/>
  <c r="S299" i="2" s="1"/>
  <c r="O299" i="2"/>
  <c r="N299" i="2"/>
  <c r="H299" i="2"/>
  <c r="H300" i="2" s="1"/>
  <c r="H301" i="2" s="1"/>
  <c r="H302" i="2" s="1"/>
  <c r="H303" i="2" s="1"/>
  <c r="W298" i="2"/>
  <c r="R298" i="2"/>
  <c r="S298" i="2" s="1"/>
  <c r="N298" i="2"/>
  <c r="H298" i="2"/>
  <c r="W297" i="2"/>
  <c r="R297" i="2"/>
  <c r="S297" i="2" s="1"/>
  <c r="N297" i="2"/>
  <c r="W296" i="2"/>
  <c r="R296" i="2"/>
  <c r="S296" i="2" s="1"/>
  <c r="N296" i="2"/>
  <c r="W295" i="2"/>
  <c r="R295" i="2"/>
  <c r="S295" i="2" s="1"/>
  <c r="N295" i="2"/>
  <c r="W294" i="2"/>
  <c r="R294" i="2"/>
  <c r="S294" i="2" s="1"/>
  <c r="N294" i="2"/>
  <c r="W293" i="2"/>
  <c r="R293" i="2"/>
  <c r="S293" i="2" s="1"/>
  <c r="N293" i="2"/>
  <c r="W292" i="2"/>
  <c r="R292" i="2"/>
  <c r="S292" i="2" s="1"/>
  <c r="N292" i="2"/>
  <c r="W291" i="2"/>
  <c r="S291" i="2"/>
  <c r="R291" i="2"/>
  <c r="N291" i="2"/>
  <c r="W290" i="2"/>
  <c r="R290" i="2"/>
  <c r="S290" i="2" s="1"/>
  <c r="N290" i="2"/>
  <c r="W289" i="2"/>
  <c r="S289" i="2"/>
  <c r="R289" i="2"/>
  <c r="N289" i="2"/>
  <c r="W288" i="2"/>
  <c r="R288" i="2"/>
  <c r="S288" i="2" s="1"/>
  <c r="N288" i="2"/>
  <c r="W287" i="2"/>
  <c r="R287" i="2"/>
  <c r="S287" i="2" s="1"/>
  <c r="N287" i="2"/>
  <c r="W286" i="2"/>
  <c r="R286" i="2"/>
  <c r="S286" i="2" s="1"/>
  <c r="N286" i="2"/>
  <c r="W285" i="2"/>
  <c r="R285" i="2"/>
  <c r="S285" i="2" s="1"/>
  <c r="N285" i="2"/>
  <c r="W284" i="2"/>
  <c r="S284" i="2"/>
  <c r="R284" i="2"/>
  <c r="N284" i="2"/>
  <c r="W283" i="2"/>
  <c r="S283" i="2"/>
  <c r="R283" i="2"/>
  <c r="N283" i="2"/>
  <c r="W282" i="2"/>
  <c r="R282" i="2"/>
  <c r="S282" i="2" s="1"/>
  <c r="N282" i="2"/>
  <c r="W281" i="2"/>
  <c r="S281" i="2"/>
  <c r="R281" i="2"/>
  <c r="N281" i="2"/>
  <c r="W280" i="2"/>
  <c r="S280" i="2"/>
  <c r="R280" i="2"/>
  <c r="N280" i="2"/>
  <c r="W279" i="2"/>
  <c r="R279" i="2"/>
  <c r="S279" i="2" s="1"/>
  <c r="N279" i="2"/>
  <c r="Z278" i="2"/>
  <c r="W278" i="2"/>
  <c r="S278" i="2"/>
  <c r="R278" i="2"/>
  <c r="N278" i="2"/>
  <c r="W277" i="2"/>
  <c r="R277" i="2"/>
  <c r="S277" i="2" s="1"/>
  <c r="N277" i="2"/>
  <c r="Y276" i="2"/>
  <c r="Y277" i="2" s="1"/>
  <c r="Y278" i="2" s="1"/>
  <c r="Y279" i="2" s="1"/>
  <c r="Y280" i="2" s="1"/>
  <c r="Y281" i="2" s="1"/>
  <c r="Y282" i="2" s="1"/>
  <c r="Y283" i="2" s="1"/>
  <c r="Y284" i="2" s="1"/>
  <c r="Y285" i="2" s="1"/>
  <c r="Y286" i="2" s="1"/>
  <c r="Y287" i="2" s="1"/>
  <c r="Y288" i="2" s="1"/>
  <c r="Y289" i="2" s="1"/>
  <c r="Y290" i="2" s="1"/>
  <c r="Y291" i="2" s="1"/>
  <c r="Y292" i="2" s="1"/>
  <c r="Y293" i="2" s="1"/>
  <c r="Y294" i="2" s="1"/>
  <c r="Y295" i="2" s="1"/>
  <c r="Y296" i="2" s="1"/>
  <c r="Y297" i="2" s="1"/>
  <c r="Y298" i="2" s="1"/>
  <c r="Y299" i="2" s="1"/>
  <c r="Y300" i="2" s="1"/>
  <c r="Y301" i="2" s="1"/>
  <c r="Y302" i="2" s="1"/>
  <c r="Y303" i="2" s="1"/>
  <c r="Y304" i="2" s="1"/>
  <c r="Y305" i="2" s="1"/>
  <c r="Y306" i="2" s="1"/>
  <c r="Y307" i="2" s="1"/>
  <c r="Y308" i="2" s="1"/>
  <c r="W276" i="2"/>
  <c r="R276" i="2"/>
  <c r="S276" i="2" s="1"/>
  <c r="N276" i="2"/>
  <c r="W275" i="2"/>
  <c r="S275" i="2"/>
  <c r="R275" i="2"/>
  <c r="N275" i="2"/>
  <c r="W274" i="2"/>
  <c r="R274" i="2"/>
  <c r="S274" i="2" s="1"/>
  <c r="N274" i="2"/>
  <c r="W273" i="2"/>
  <c r="R273" i="2"/>
  <c r="S273" i="2" s="1"/>
  <c r="N273" i="2"/>
  <c r="W272" i="2"/>
  <c r="R272" i="2"/>
  <c r="S272" i="2" s="1"/>
  <c r="N272" i="2"/>
  <c r="W271" i="2"/>
  <c r="R271" i="2"/>
  <c r="S271" i="2" s="1"/>
  <c r="N271" i="2"/>
  <c r="W270" i="2"/>
  <c r="S270" i="2"/>
  <c r="R270" i="2"/>
  <c r="N270" i="2"/>
  <c r="W269" i="2"/>
  <c r="R269" i="2"/>
  <c r="S269" i="2" s="1"/>
  <c r="N269" i="2"/>
  <c r="W268" i="2"/>
  <c r="R268" i="2"/>
  <c r="S268" i="2" s="1"/>
  <c r="N268" i="2"/>
  <c r="W267" i="2"/>
  <c r="R267" i="2"/>
  <c r="S267" i="2" s="1"/>
  <c r="N267" i="2"/>
  <c r="W266" i="2"/>
  <c r="R266" i="2"/>
  <c r="S266" i="2" s="1"/>
  <c r="N266" i="2"/>
  <c r="W265" i="2"/>
  <c r="R265" i="2"/>
  <c r="S265" i="2" s="1"/>
  <c r="N265" i="2"/>
  <c r="W264" i="2"/>
  <c r="R264" i="2"/>
  <c r="S264" i="2" s="1"/>
  <c r="N264" i="2"/>
  <c r="W263" i="2"/>
  <c r="R263" i="2"/>
  <c r="S263" i="2" s="1"/>
  <c r="N263" i="2"/>
  <c r="W262" i="2"/>
  <c r="R262" i="2"/>
  <c r="S262" i="2" s="1"/>
  <c r="N262" i="2"/>
  <c r="W261" i="2"/>
  <c r="R261" i="2"/>
  <c r="S261" i="2" s="1"/>
  <c r="N261" i="2"/>
  <c r="W260" i="2"/>
  <c r="R260" i="2"/>
  <c r="S260" i="2" s="1"/>
  <c r="N260" i="2"/>
  <c r="W259" i="2"/>
  <c r="R259" i="2"/>
  <c r="S259" i="2" s="1"/>
  <c r="N259" i="2"/>
  <c r="W258" i="2"/>
  <c r="R258" i="2"/>
  <c r="S258" i="2" s="1"/>
  <c r="N258" i="2"/>
  <c r="W257" i="2"/>
  <c r="R257" i="2"/>
  <c r="S257" i="2" s="1"/>
  <c r="N257" i="2"/>
  <c r="W256" i="2"/>
  <c r="R256" i="2"/>
  <c r="S256" i="2" s="1"/>
  <c r="N256" i="2"/>
  <c r="Z255" i="2"/>
  <c r="W255" i="2"/>
  <c r="R255" i="2"/>
  <c r="S255" i="2" s="1"/>
  <c r="N255" i="2"/>
  <c r="W254" i="2"/>
  <c r="R254" i="2"/>
  <c r="S254" i="2" s="1"/>
  <c r="N254" i="2"/>
  <c r="Y253" i="2"/>
  <c r="Y254" i="2" s="1"/>
  <c r="Y255" i="2" s="1"/>
  <c r="Y256" i="2" s="1"/>
  <c r="Y257" i="2" s="1"/>
  <c r="Y258" i="2" s="1"/>
  <c r="Y259" i="2" s="1"/>
  <c r="Y260" i="2" s="1"/>
  <c r="Y261" i="2" s="1"/>
  <c r="Y262" i="2" s="1"/>
  <c r="Y263" i="2" s="1"/>
  <c r="Y264" i="2" s="1"/>
  <c r="Y265" i="2" s="1"/>
  <c r="Y266" i="2" s="1"/>
  <c r="Y267" i="2" s="1"/>
  <c r="Y268" i="2" s="1"/>
  <c r="Y269" i="2" s="1"/>
  <c r="Y270" i="2" s="1"/>
  <c r="Y271" i="2" s="1"/>
  <c r="Y272" i="2" s="1"/>
  <c r="Y273" i="2" s="1"/>
  <c r="W253" i="2"/>
  <c r="R253" i="2"/>
  <c r="S253" i="2" s="1"/>
  <c r="N253" i="2"/>
  <c r="H253" i="2"/>
  <c r="H254" i="2" s="1"/>
  <c r="H255" i="2" s="1"/>
  <c r="H256" i="2" s="1"/>
  <c r="H257" i="2" s="1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W252" i="2"/>
  <c r="R252" i="2"/>
  <c r="S252" i="2" s="1"/>
  <c r="N252" i="2"/>
  <c r="W251" i="2"/>
  <c r="R251" i="2"/>
  <c r="S251" i="2" s="1"/>
  <c r="N251" i="2"/>
  <c r="W250" i="2"/>
  <c r="S250" i="2"/>
  <c r="R250" i="2"/>
  <c r="N250" i="2"/>
  <c r="W249" i="2"/>
  <c r="S249" i="2"/>
  <c r="R249" i="2"/>
  <c r="N249" i="2"/>
  <c r="W248" i="2"/>
  <c r="S248" i="2"/>
  <c r="R248" i="2"/>
  <c r="N248" i="2"/>
  <c r="W247" i="2"/>
  <c r="R247" i="2"/>
  <c r="S247" i="2" s="1"/>
  <c r="N247" i="2"/>
  <c r="W246" i="2"/>
  <c r="S246" i="2"/>
  <c r="R246" i="2"/>
  <c r="N246" i="2"/>
  <c r="W245" i="2"/>
  <c r="R245" i="2"/>
  <c r="S245" i="2" s="1"/>
  <c r="N245" i="2"/>
  <c r="W244" i="2"/>
  <c r="S244" i="2"/>
  <c r="R244" i="2"/>
  <c r="N244" i="2"/>
  <c r="W243" i="2"/>
  <c r="R243" i="2"/>
  <c r="S243" i="2" s="1"/>
  <c r="N243" i="2"/>
  <c r="W242" i="2"/>
  <c r="S242" i="2"/>
  <c r="R242" i="2"/>
  <c r="N242" i="2"/>
  <c r="W241" i="2"/>
  <c r="S241" i="2"/>
  <c r="R241" i="2"/>
  <c r="N241" i="2"/>
  <c r="W240" i="2"/>
  <c r="S240" i="2"/>
  <c r="R240" i="2"/>
  <c r="N240" i="2"/>
  <c r="W239" i="2"/>
  <c r="R239" i="2"/>
  <c r="S239" i="2" s="1"/>
  <c r="N239" i="2"/>
  <c r="W238" i="2"/>
  <c r="S238" i="2"/>
  <c r="R238" i="2"/>
  <c r="N238" i="2"/>
  <c r="W237" i="2"/>
  <c r="S237" i="2"/>
  <c r="R237" i="2"/>
  <c r="N237" i="2"/>
  <c r="W236" i="2"/>
  <c r="S236" i="2"/>
  <c r="R236" i="2"/>
  <c r="N236" i="2"/>
  <c r="W235" i="2"/>
  <c r="S235" i="2"/>
  <c r="R235" i="2"/>
  <c r="N235" i="2"/>
  <c r="W234" i="2"/>
  <c r="S234" i="2"/>
  <c r="R234" i="2"/>
  <c r="N234" i="2"/>
  <c r="W233" i="2"/>
  <c r="R233" i="2"/>
  <c r="S233" i="2" s="1"/>
  <c r="N233" i="2"/>
  <c r="W232" i="2"/>
  <c r="R232" i="2"/>
  <c r="S232" i="2" s="1"/>
  <c r="N232" i="2"/>
  <c r="W231" i="2"/>
  <c r="S231" i="2"/>
  <c r="R231" i="2"/>
  <c r="N231" i="2"/>
  <c r="W230" i="2"/>
  <c r="S230" i="2"/>
  <c r="R230" i="2"/>
  <c r="N230" i="2"/>
  <c r="W229" i="2"/>
  <c r="S229" i="2"/>
  <c r="R229" i="2"/>
  <c r="N229" i="2"/>
  <c r="W228" i="2"/>
  <c r="R228" i="2"/>
  <c r="S228" i="2" s="1"/>
  <c r="N228" i="2"/>
  <c r="Z227" i="2"/>
  <c r="W227" i="2"/>
  <c r="S227" i="2"/>
  <c r="R227" i="2"/>
  <c r="N227" i="2"/>
  <c r="W226" i="2"/>
  <c r="R226" i="2"/>
  <c r="S226" i="2" s="1"/>
  <c r="N226" i="2"/>
  <c r="Y225" i="2"/>
  <c r="Y226" i="2" s="1"/>
  <c r="Y227" i="2" s="1"/>
  <c r="Y228" i="2" s="1"/>
  <c r="Y229" i="2" s="1"/>
  <c r="Y230" i="2" s="1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Y249" i="2" s="1"/>
  <c r="Y250" i="2" s="1"/>
  <c r="W225" i="2"/>
  <c r="S225" i="2"/>
  <c r="R225" i="2"/>
  <c r="N225" i="2"/>
  <c r="H225" i="2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W224" i="2"/>
  <c r="S224" i="2"/>
  <c r="R224" i="2"/>
  <c r="N224" i="2"/>
  <c r="W223" i="2"/>
  <c r="S223" i="2"/>
  <c r="R223" i="2"/>
  <c r="N223" i="2"/>
  <c r="W222" i="2"/>
  <c r="S222" i="2"/>
  <c r="R222" i="2"/>
  <c r="N222" i="2"/>
  <c r="W221" i="2"/>
  <c r="R221" i="2"/>
  <c r="S221" i="2" s="1"/>
  <c r="N221" i="2"/>
  <c r="W220" i="2"/>
  <c r="S220" i="2"/>
  <c r="R220" i="2"/>
  <c r="N220" i="2"/>
  <c r="W219" i="2"/>
  <c r="S219" i="2"/>
  <c r="R219" i="2"/>
  <c r="N219" i="2"/>
  <c r="W218" i="2"/>
  <c r="R218" i="2"/>
  <c r="S218" i="2" s="1"/>
  <c r="N218" i="2"/>
  <c r="W217" i="2"/>
  <c r="R217" i="2"/>
  <c r="S217" i="2" s="1"/>
  <c r="N217" i="2"/>
  <c r="W216" i="2"/>
  <c r="R216" i="2"/>
  <c r="S216" i="2" s="1"/>
  <c r="N216" i="2"/>
  <c r="W215" i="2"/>
  <c r="S215" i="2"/>
  <c r="R215" i="2"/>
  <c r="N215" i="2"/>
  <c r="W214" i="2"/>
  <c r="S214" i="2"/>
  <c r="R214" i="2"/>
  <c r="N214" i="2"/>
  <c r="W213" i="2"/>
  <c r="R213" i="2"/>
  <c r="S213" i="2" s="1"/>
  <c r="N213" i="2"/>
  <c r="W212" i="2"/>
  <c r="S212" i="2"/>
  <c r="R212" i="2"/>
  <c r="N212" i="2"/>
  <c r="W211" i="2"/>
  <c r="S211" i="2"/>
  <c r="R211" i="2"/>
  <c r="N211" i="2"/>
  <c r="W210" i="2"/>
  <c r="R210" i="2"/>
  <c r="S210" i="2" s="1"/>
  <c r="N210" i="2"/>
  <c r="W209" i="2"/>
  <c r="R209" i="2"/>
  <c r="S209" i="2" s="1"/>
  <c r="N209" i="2"/>
  <c r="W208" i="2"/>
  <c r="R208" i="2"/>
  <c r="S208" i="2" s="1"/>
  <c r="N208" i="2"/>
  <c r="W207" i="2"/>
  <c r="S207" i="2"/>
  <c r="R207" i="2"/>
  <c r="N207" i="2"/>
  <c r="Z206" i="2"/>
  <c r="W206" i="2"/>
  <c r="R206" i="2"/>
  <c r="S206" i="2" s="1"/>
  <c r="N206" i="2"/>
  <c r="W205" i="2"/>
  <c r="S205" i="2"/>
  <c r="R205" i="2"/>
  <c r="N205" i="2"/>
  <c r="Y204" i="2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Y217" i="2" s="1"/>
  <c r="Y218" i="2" s="1"/>
  <c r="Y219" i="2" s="1"/>
  <c r="Y220" i="2" s="1"/>
  <c r="Y221" i="2" s="1"/>
  <c r="Y222" i="2" s="1"/>
  <c r="W204" i="2"/>
  <c r="S204" i="2"/>
  <c r="R204" i="2"/>
  <c r="N204" i="2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W203" i="2"/>
  <c r="S203" i="2"/>
  <c r="R203" i="2"/>
  <c r="N203" i="2"/>
  <c r="W202" i="2"/>
  <c r="R202" i="2"/>
  <c r="S202" i="2" s="1"/>
  <c r="Q202" i="2"/>
  <c r="N202" i="2"/>
  <c r="W201" i="2"/>
  <c r="R201" i="2"/>
  <c r="S201" i="2" s="1"/>
  <c r="N201" i="2"/>
  <c r="W200" i="2"/>
  <c r="R200" i="2"/>
  <c r="S200" i="2" s="1"/>
  <c r="N200" i="2"/>
  <c r="W199" i="2"/>
  <c r="R199" i="2"/>
  <c r="S199" i="2" s="1"/>
  <c r="N199" i="2"/>
  <c r="W198" i="2"/>
  <c r="R198" i="2"/>
  <c r="S198" i="2" s="1"/>
  <c r="N198" i="2"/>
  <c r="W197" i="2"/>
  <c r="R197" i="2"/>
  <c r="S197" i="2" s="1"/>
  <c r="N197" i="2"/>
  <c r="W196" i="2"/>
  <c r="R196" i="2"/>
  <c r="S196" i="2" s="1"/>
  <c r="N196" i="2"/>
  <c r="W195" i="2"/>
  <c r="R195" i="2"/>
  <c r="S195" i="2" s="1"/>
  <c r="N195" i="2"/>
  <c r="W194" i="2"/>
  <c r="R194" i="2"/>
  <c r="S194" i="2" s="1"/>
  <c r="N194" i="2"/>
  <c r="W193" i="2"/>
  <c r="R193" i="2"/>
  <c r="S193" i="2" s="1"/>
  <c r="N193" i="2"/>
  <c r="W192" i="2"/>
  <c r="R192" i="2"/>
  <c r="S192" i="2" s="1"/>
  <c r="N192" i="2"/>
  <c r="W191" i="2"/>
  <c r="R191" i="2"/>
  <c r="S191" i="2" s="1"/>
  <c r="N191" i="2"/>
  <c r="W190" i="2"/>
  <c r="R190" i="2"/>
  <c r="S190" i="2" s="1"/>
  <c r="N190" i="2"/>
  <c r="W189" i="2"/>
  <c r="R189" i="2"/>
  <c r="S189" i="2" s="1"/>
  <c r="N189" i="2"/>
  <c r="W188" i="2"/>
  <c r="R188" i="2"/>
  <c r="S188" i="2" s="1"/>
  <c r="O188" i="2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N188" i="2"/>
  <c r="W187" i="2"/>
  <c r="R187" i="2"/>
  <c r="S187" i="2" s="1"/>
  <c r="N187" i="2"/>
  <c r="W186" i="2"/>
  <c r="R186" i="2"/>
  <c r="S186" i="2" s="1"/>
  <c r="N186" i="2"/>
  <c r="W185" i="2"/>
  <c r="R185" i="2"/>
  <c r="S185" i="2" s="1"/>
  <c r="N185" i="2"/>
  <c r="O185" i="2" s="1"/>
  <c r="W184" i="2"/>
  <c r="S184" i="2"/>
  <c r="R184" i="2"/>
  <c r="N184" i="2"/>
  <c r="W183" i="2"/>
  <c r="R183" i="2"/>
  <c r="S183" i="2" s="1"/>
  <c r="N183" i="2"/>
  <c r="W182" i="2"/>
  <c r="R182" i="2"/>
  <c r="S182" i="2" s="1"/>
  <c r="N182" i="2"/>
  <c r="O182" i="2" s="1"/>
  <c r="W181" i="2"/>
  <c r="R181" i="2"/>
  <c r="S181" i="2" s="1"/>
  <c r="N181" i="2"/>
  <c r="W180" i="2"/>
  <c r="R180" i="2"/>
  <c r="S180" i="2" s="1"/>
  <c r="N180" i="2"/>
  <c r="W179" i="2"/>
  <c r="R179" i="2"/>
  <c r="S179" i="2" s="1"/>
  <c r="O179" i="2"/>
  <c r="N179" i="2"/>
  <c r="W178" i="2"/>
  <c r="R178" i="2"/>
  <c r="S178" i="2" s="1"/>
  <c r="N178" i="2"/>
  <c r="W177" i="2"/>
  <c r="R177" i="2"/>
  <c r="S177" i="2" s="1"/>
  <c r="N177" i="2"/>
  <c r="W176" i="2"/>
  <c r="R176" i="2"/>
  <c r="S176" i="2" s="1"/>
  <c r="N176" i="2"/>
  <c r="W175" i="2"/>
  <c r="R175" i="2"/>
  <c r="S175" i="2" s="1"/>
  <c r="N175" i="2"/>
  <c r="W174" i="2"/>
  <c r="R174" i="2"/>
  <c r="S174" i="2" s="1"/>
  <c r="N174" i="2"/>
  <c r="W173" i="2"/>
  <c r="R173" i="2"/>
  <c r="S173" i="2" s="1"/>
  <c r="O173" i="2"/>
  <c r="O174" i="2" s="1"/>
  <c r="O175" i="2" s="1"/>
  <c r="N173" i="2"/>
  <c r="W172" i="2"/>
  <c r="R172" i="2"/>
  <c r="S172" i="2" s="1"/>
  <c r="O172" i="2"/>
  <c r="N172" i="2"/>
  <c r="W171" i="2"/>
  <c r="R171" i="2"/>
  <c r="S171" i="2" s="1"/>
  <c r="N171" i="2"/>
  <c r="W170" i="2"/>
  <c r="R170" i="2"/>
  <c r="S170" i="2" s="1"/>
  <c r="N170" i="2"/>
  <c r="W169" i="2"/>
  <c r="R169" i="2"/>
  <c r="S169" i="2" s="1"/>
  <c r="N169" i="2"/>
  <c r="W168" i="2"/>
  <c r="R168" i="2"/>
  <c r="S168" i="2" s="1"/>
  <c r="N168" i="2"/>
  <c r="W167" i="2"/>
  <c r="R167" i="2"/>
  <c r="S167" i="2" s="1"/>
  <c r="N167" i="2"/>
  <c r="W166" i="2"/>
  <c r="R166" i="2"/>
  <c r="S166" i="2" s="1"/>
  <c r="N166" i="2"/>
  <c r="W165" i="2"/>
  <c r="R165" i="2"/>
  <c r="S165" i="2" s="1"/>
  <c r="N165" i="2"/>
  <c r="W164" i="2"/>
  <c r="R164" i="2"/>
  <c r="S164" i="2" s="1"/>
  <c r="N164" i="2"/>
  <c r="W163" i="2"/>
  <c r="R163" i="2"/>
  <c r="S163" i="2" s="1"/>
  <c r="N163" i="2"/>
  <c r="W162" i="2"/>
  <c r="R162" i="2"/>
  <c r="S162" i="2" s="1"/>
  <c r="N162" i="2"/>
  <c r="W161" i="2"/>
  <c r="R161" i="2"/>
  <c r="S161" i="2" s="1"/>
  <c r="N161" i="2"/>
  <c r="W160" i="2"/>
  <c r="R160" i="2"/>
  <c r="S160" i="2" s="1"/>
  <c r="N160" i="2"/>
  <c r="W159" i="2"/>
  <c r="R159" i="2"/>
  <c r="S159" i="2" s="1"/>
  <c r="N159" i="2"/>
  <c r="W158" i="2"/>
  <c r="R158" i="2"/>
  <c r="S158" i="2" s="1"/>
  <c r="O158" i="2"/>
  <c r="O159" i="2" s="1"/>
  <c r="O160" i="2" s="1"/>
  <c r="O161" i="2" s="1"/>
  <c r="O162" i="2" s="1"/>
  <c r="O163" i="2" s="1"/>
  <c r="N158" i="2"/>
  <c r="W157" i="2"/>
  <c r="R157" i="2"/>
  <c r="S157" i="2" s="1"/>
  <c r="N157" i="2"/>
  <c r="W156" i="2"/>
  <c r="R156" i="2"/>
  <c r="S156" i="2" s="1"/>
  <c r="N156" i="2"/>
  <c r="W155" i="2"/>
  <c r="R155" i="2"/>
  <c r="S155" i="2" s="1"/>
  <c r="N155" i="2"/>
  <c r="O155" i="2" s="1"/>
  <c r="W154" i="2"/>
  <c r="R154" i="2"/>
  <c r="S154" i="2" s="1"/>
  <c r="N154" i="2"/>
  <c r="W153" i="2"/>
  <c r="R153" i="2"/>
  <c r="S153" i="2" s="1"/>
  <c r="N153" i="2"/>
  <c r="W152" i="2"/>
  <c r="R152" i="2"/>
  <c r="S152" i="2" s="1"/>
  <c r="N152" i="2"/>
  <c r="W151" i="2"/>
  <c r="R151" i="2"/>
  <c r="S151" i="2" s="1"/>
  <c r="N151" i="2"/>
  <c r="W150" i="2"/>
  <c r="R150" i="2"/>
  <c r="S150" i="2" s="1"/>
  <c r="N150" i="2"/>
  <c r="W149" i="2"/>
  <c r="R149" i="2"/>
  <c r="S149" i="2" s="1"/>
  <c r="N149" i="2"/>
  <c r="W148" i="2"/>
  <c r="R148" i="2"/>
  <c r="S148" i="2" s="1"/>
  <c r="N148" i="2"/>
  <c r="W147" i="2"/>
  <c r="R147" i="2"/>
  <c r="S147" i="2" s="1"/>
  <c r="N147" i="2"/>
  <c r="W146" i="2"/>
  <c r="R146" i="2"/>
  <c r="S146" i="2" s="1"/>
  <c r="N146" i="2"/>
  <c r="W145" i="2"/>
  <c r="S145" i="2"/>
  <c r="R145" i="2"/>
  <c r="N145" i="2"/>
  <c r="W144" i="2"/>
  <c r="R144" i="2"/>
  <c r="S144" i="2" s="1"/>
  <c r="O144" i="2"/>
  <c r="N144" i="2"/>
  <c r="W143" i="2"/>
  <c r="R143" i="2"/>
  <c r="S143" i="2" s="1"/>
  <c r="N143" i="2"/>
  <c r="Y142" i="2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W142" i="2"/>
  <c r="R142" i="2"/>
  <c r="S142" i="2" s="1"/>
  <c r="N142" i="2"/>
  <c r="O142" i="2" s="1"/>
  <c r="W141" i="2"/>
  <c r="R141" i="2"/>
  <c r="S141" i="2" s="1"/>
  <c r="N141" i="2"/>
  <c r="W140" i="2"/>
  <c r="R140" i="2"/>
  <c r="S140" i="2" s="1"/>
  <c r="N140" i="2"/>
  <c r="W139" i="2"/>
  <c r="R139" i="2"/>
  <c r="S139" i="2" s="1"/>
  <c r="N139" i="2"/>
  <c r="W138" i="2"/>
  <c r="R138" i="2"/>
  <c r="S138" i="2" s="1"/>
  <c r="N138" i="2"/>
  <c r="W137" i="2"/>
  <c r="R137" i="2"/>
  <c r="S137" i="2" s="1"/>
  <c r="N137" i="2"/>
  <c r="Y136" i="2"/>
  <c r="Y137" i="2" s="1"/>
  <c r="Y138" i="2" s="1"/>
  <c r="Y139" i="2" s="1"/>
  <c r="Y140" i="2" s="1"/>
  <c r="Y141" i="2" s="1"/>
  <c r="W136" i="2"/>
  <c r="R136" i="2"/>
  <c r="S136" i="2" s="1"/>
  <c r="N136" i="2"/>
  <c r="Y135" i="2"/>
  <c r="W135" i="2"/>
  <c r="R135" i="2"/>
  <c r="S135" i="2" s="1"/>
  <c r="N135" i="2"/>
  <c r="W134" i="2"/>
  <c r="R134" i="2"/>
  <c r="S134" i="2" s="1"/>
  <c r="N134" i="2"/>
  <c r="W133" i="2"/>
  <c r="R133" i="2"/>
  <c r="S133" i="2" s="1"/>
  <c r="N133" i="2"/>
  <c r="W132" i="2"/>
  <c r="R132" i="2"/>
  <c r="S132" i="2" s="1"/>
  <c r="O132" i="2"/>
  <c r="O133" i="2" s="1"/>
  <c r="O134" i="2" s="1"/>
  <c r="O135" i="2" s="1"/>
  <c r="O136" i="2" s="1"/>
  <c r="O137" i="2" s="1"/>
  <c r="O138" i="2" s="1"/>
  <c r="O139" i="2" s="1"/>
  <c r="N132" i="2"/>
  <c r="Z131" i="2"/>
  <c r="W131" i="2"/>
  <c r="R131" i="2"/>
  <c r="S131" i="2" s="1"/>
  <c r="N131" i="2"/>
  <c r="O131" i="2" s="1"/>
  <c r="H131" i="2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H148" i="2" s="1"/>
  <c r="H149" i="2" s="1"/>
  <c r="H150" i="2" s="1"/>
  <c r="H151" i="2" s="1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H198" i="2" s="1"/>
  <c r="H199" i="2" s="1"/>
  <c r="H200" i="2" s="1"/>
  <c r="H201" i="2" s="1"/>
  <c r="W130" i="2"/>
  <c r="R130" i="2"/>
  <c r="S130" i="2" s="1"/>
  <c r="N130" i="2"/>
  <c r="H130" i="2"/>
  <c r="Y129" i="2"/>
  <c r="Y130" i="2" s="1"/>
  <c r="Y131" i="2" s="1"/>
  <c r="Y132" i="2" s="1"/>
  <c r="Y133" i="2" s="1"/>
  <c r="Y134" i="2" s="1"/>
  <c r="W129" i="2"/>
  <c r="R129" i="2"/>
  <c r="S129" i="2" s="1"/>
  <c r="N129" i="2"/>
  <c r="H129" i="2"/>
  <c r="W128" i="2"/>
  <c r="R128" i="2"/>
  <c r="S128" i="2" s="1"/>
  <c r="N128" i="2"/>
  <c r="O128" i="2" s="1"/>
  <c r="W127" i="2"/>
  <c r="S127" i="2"/>
  <c r="R127" i="2"/>
  <c r="N127" i="2"/>
  <c r="W126" i="2"/>
  <c r="R126" i="2"/>
  <c r="S126" i="2" s="1"/>
  <c r="N126" i="2"/>
  <c r="W125" i="2"/>
  <c r="S125" i="2"/>
  <c r="R125" i="2"/>
  <c r="N125" i="2"/>
  <c r="W124" i="2"/>
  <c r="S124" i="2"/>
  <c r="R124" i="2"/>
  <c r="O124" i="2"/>
  <c r="O125" i="2" s="1"/>
  <c r="N124" i="2"/>
  <c r="W123" i="2"/>
  <c r="S123" i="2"/>
  <c r="R123" i="2"/>
  <c r="O123" i="2"/>
  <c r="N123" i="2"/>
  <c r="W122" i="2"/>
  <c r="S122" i="2"/>
  <c r="R122" i="2"/>
  <c r="N122" i="2"/>
  <c r="W121" i="2"/>
  <c r="R121" i="2"/>
  <c r="S121" i="2" s="1"/>
  <c r="N121" i="2"/>
  <c r="W120" i="2"/>
  <c r="S120" i="2"/>
  <c r="R120" i="2"/>
  <c r="N120" i="2"/>
  <c r="O120" i="2" s="1"/>
  <c r="W119" i="2"/>
  <c r="S119" i="2"/>
  <c r="R119" i="2"/>
  <c r="N119" i="2"/>
  <c r="W118" i="2"/>
  <c r="R118" i="2"/>
  <c r="S118" i="2" s="1"/>
  <c r="N118" i="2"/>
  <c r="W117" i="2"/>
  <c r="S117" i="2"/>
  <c r="R117" i="2"/>
  <c r="N117" i="2"/>
  <c r="W116" i="2"/>
  <c r="S116" i="2"/>
  <c r="R116" i="2"/>
  <c r="N116" i="2"/>
  <c r="W115" i="2"/>
  <c r="S115" i="2"/>
  <c r="R115" i="2"/>
  <c r="N115" i="2"/>
  <c r="W114" i="2"/>
  <c r="R114" i="2"/>
  <c r="S114" i="2" s="1"/>
  <c r="N114" i="2"/>
  <c r="W113" i="2"/>
  <c r="S113" i="2"/>
  <c r="R113" i="2"/>
  <c r="N113" i="2"/>
  <c r="W112" i="2"/>
  <c r="S112" i="2"/>
  <c r="R112" i="2"/>
  <c r="N112" i="2"/>
  <c r="W111" i="2"/>
  <c r="S111" i="2"/>
  <c r="R111" i="2"/>
  <c r="N111" i="2"/>
  <c r="W110" i="2"/>
  <c r="R110" i="2"/>
  <c r="S110" i="2" s="1"/>
  <c r="N110" i="2"/>
  <c r="W109" i="2"/>
  <c r="S109" i="2"/>
  <c r="R109" i="2"/>
  <c r="N109" i="2"/>
  <c r="W108" i="2"/>
  <c r="S108" i="2"/>
  <c r="R108" i="2"/>
  <c r="N108" i="2"/>
  <c r="W107" i="2"/>
  <c r="S107" i="2"/>
  <c r="R107" i="2"/>
  <c r="N107" i="2"/>
  <c r="W106" i="2"/>
  <c r="R106" i="2"/>
  <c r="S106" i="2" s="1"/>
  <c r="N106" i="2"/>
  <c r="W105" i="2"/>
  <c r="S105" i="2"/>
  <c r="R105" i="2"/>
  <c r="N105" i="2"/>
  <c r="W104" i="2"/>
  <c r="S104" i="2"/>
  <c r="R104" i="2"/>
  <c r="N104" i="2"/>
  <c r="W103" i="2"/>
  <c r="S103" i="2"/>
  <c r="R103" i="2"/>
  <c r="N103" i="2"/>
  <c r="W102" i="2"/>
  <c r="R102" i="2"/>
  <c r="S102" i="2" s="1"/>
  <c r="N102" i="2"/>
  <c r="W101" i="2"/>
  <c r="S101" i="2"/>
  <c r="R101" i="2"/>
  <c r="N101" i="2"/>
  <c r="W100" i="2"/>
  <c r="S100" i="2"/>
  <c r="R100" i="2"/>
  <c r="N100" i="2"/>
  <c r="W99" i="2"/>
  <c r="S99" i="2"/>
  <c r="R99" i="2"/>
  <c r="N99" i="2"/>
  <c r="W98" i="2"/>
  <c r="R98" i="2"/>
  <c r="S98" i="2" s="1"/>
  <c r="N98" i="2"/>
  <c r="W97" i="2"/>
  <c r="S97" i="2"/>
  <c r="R97" i="2"/>
  <c r="N97" i="2"/>
  <c r="W96" i="2"/>
  <c r="S96" i="2"/>
  <c r="R96" i="2"/>
  <c r="N96" i="2"/>
  <c r="W95" i="2"/>
  <c r="S95" i="2"/>
  <c r="R95" i="2"/>
  <c r="N95" i="2"/>
  <c r="W94" i="2"/>
  <c r="R94" i="2"/>
  <c r="S94" i="2" s="1"/>
  <c r="N94" i="2"/>
  <c r="W93" i="2"/>
  <c r="S93" i="2"/>
  <c r="R93" i="2"/>
  <c r="N93" i="2"/>
  <c r="W92" i="2"/>
  <c r="S92" i="2"/>
  <c r="R92" i="2"/>
  <c r="O92" i="2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N92" i="2"/>
  <c r="W91" i="2"/>
  <c r="R91" i="2"/>
  <c r="S91" i="2" s="1"/>
  <c r="N91" i="2"/>
  <c r="W90" i="2"/>
  <c r="S90" i="2"/>
  <c r="R90" i="2"/>
  <c r="N90" i="2"/>
  <c r="W89" i="2"/>
  <c r="R89" i="2"/>
  <c r="S89" i="2" s="1"/>
  <c r="N89" i="2"/>
  <c r="W88" i="2"/>
  <c r="R88" i="2"/>
  <c r="S88" i="2" s="1"/>
  <c r="N88" i="2"/>
  <c r="W87" i="2"/>
  <c r="S87" i="2"/>
  <c r="R87" i="2"/>
  <c r="N87" i="2"/>
  <c r="O87" i="2" s="1"/>
  <c r="O88" i="2" s="1"/>
  <c r="O89" i="2" s="1"/>
  <c r="O90" i="2" s="1"/>
  <c r="O91" i="2" s="1"/>
  <c r="W86" i="2"/>
  <c r="R86" i="2"/>
  <c r="S86" i="2" s="1"/>
  <c r="N86" i="2"/>
  <c r="W85" i="2"/>
  <c r="R85" i="2"/>
  <c r="S85" i="2" s="1"/>
  <c r="N85" i="2"/>
  <c r="I85" i="2"/>
  <c r="W84" i="2"/>
  <c r="S84" i="2"/>
  <c r="R84" i="2"/>
  <c r="N84" i="2"/>
  <c r="H84" i="2"/>
  <c r="H85" i="2" s="1"/>
  <c r="H86" i="2" s="1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H120" i="2" s="1"/>
  <c r="H121" i="2" s="1"/>
  <c r="H122" i="2" s="1"/>
  <c r="H123" i="2" s="1"/>
  <c r="H124" i="2" s="1"/>
  <c r="H125" i="2" s="1"/>
  <c r="H126" i="2" s="1"/>
  <c r="H127" i="2" s="1"/>
  <c r="Z83" i="2"/>
  <c r="W83" i="2"/>
  <c r="R83" i="2"/>
  <c r="S83" i="2" s="1"/>
  <c r="N83" i="2"/>
  <c r="I83" i="2"/>
  <c r="W82" i="2"/>
  <c r="R82" i="2"/>
  <c r="S82" i="2" s="1"/>
  <c r="N82" i="2"/>
  <c r="W81" i="2"/>
  <c r="R81" i="2"/>
  <c r="S81" i="2" s="1"/>
  <c r="N81" i="2"/>
  <c r="I81" i="2"/>
  <c r="Y80" i="2"/>
  <c r="Y81" i="2" s="1"/>
  <c r="Y82" i="2" s="1"/>
  <c r="Y83" i="2" s="1"/>
  <c r="Y84" i="2" s="1"/>
  <c r="Y85" i="2" s="1"/>
  <c r="Y86" i="2" s="1"/>
  <c r="Y87" i="2" s="1"/>
  <c r="Y88" i="2" s="1"/>
  <c r="Y89" i="2" s="1"/>
  <c r="Y90" i="2" s="1"/>
  <c r="Y91" i="2" s="1"/>
  <c r="Y92" i="2" s="1"/>
  <c r="Y93" i="2" s="1"/>
  <c r="Y94" i="2" s="1"/>
  <c r="Y95" i="2" s="1"/>
  <c r="Y96" i="2" s="1"/>
  <c r="Y97" i="2" s="1"/>
  <c r="Y98" i="2" s="1"/>
  <c r="Y99" i="2" s="1"/>
  <c r="Y100" i="2" s="1"/>
  <c r="Y101" i="2" s="1"/>
  <c r="Y102" i="2" s="1"/>
  <c r="Y103" i="2" s="1"/>
  <c r="Y104" i="2" s="1"/>
  <c r="Y105" i="2" s="1"/>
  <c r="Y106" i="2" s="1"/>
  <c r="Y107" i="2" s="1"/>
  <c r="Y108" i="2" s="1"/>
  <c r="Y109" i="2" s="1"/>
  <c r="Y110" i="2" s="1"/>
  <c r="Y111" i="2" s="1"/>
  <c r="Y112" i="2" s="1"/>
  <c r="Y113" i="2" s="1"/>
  <c r="Y114" i="2" s="1"/>
  <c r="Y115" i="2" s="1"/>
  <c r="Y116" i="2" s="1"/>
  <c r="Y117" i="2" s="1"/>
  <c r="Y118" i="2" s="1"/>
  <c r="Y119" i="2" s="1"/>
  <c r="Y120" i="2" s="1"/>
  <c r="Y121" i="2" s="1"/>
  <c r="Y122" i="2" s="1"/>
  <c r="Y123" i="2" s="1"/>
  <c r="Y124" i="2" s="1"/>
  <c r="Y125" i="2" s="1"/>
  <c r="Y126" i="2" s="1"/>
  <c r="Y127" i="2" s="1"/>
  <c r="W80" i="2"/>
  <c r="S80" i="2"/>
  <c r="R80" i="2"/>
  <c r="N80" i="2"/>
  <c r="O80" i="2" s="1"/>
  <c r="H80" i="2"/>
  <c r="H81" i="2" s="1"/>
  <c r="H82" i="2" s="1"/>
  <c r="H83" i="2" s="1"/>
  <c r="W79" i="2"/>
  <c r="S79" i="2"/>
  <c r="R79" i="2"/>
  <c r="Q79" i="2"/>
  <c r="N79" i="2"/>
  <c r="W78" i="2"/>
  <c r="Q78" i="2"/>
  <c r="R78" i="2" s="1"/>
  <c r="S78" i="2" s="1"/>
  <c r="N78" i="2"/>
  <c r="W77" i="2"/>
  <c r="R77" i="2"/>
  <c r="S77" i="2" s="1"/>
  <c r="Q77" i="2"/>
  <c r="O77" i="2"/>
  <c r="N77" i="2"/>
  <c r="W76" i="2"/>
  <c r="Q76" i="2"/>
  <c r="R76" i="2" s="1"/>
  <c r="S76" i="2" s="1"/>
  <c r="N76" i="2"/>
  <c r="W75" i="2"/>
  <c r="Q75" i="2"/>
  <c r="R75" i="2" s="1"/>
  <c r="S75" i="2" s="1"/>
  <c r="N75" i="2"/>
  <c r="W74" i="2"/>
  <c r="S74" i="2"/>
  <c r="R74" i="2"/>
  <c r="Q74" i="2"/>
  <c r="N74" i="2"/>
  <c r="O74" i="2" s="1"/>
  <c r="O75" i="2" s="1"/>
  <c r="W73" i="2"/>
  <c r="R73" i="2"/>
  <c r="S73" i="2" s="1"/>
  <c r="Q73" i="2"/>
  <c r="N73" i="2"/>
  <c r="W72" i="2"/>
  <c r="S72" i="2"/>
  <c r="Q72" i="2"/>
  <c r="R72" i="2" s="1"/>
  <c r="N72" i="2"/>
  <c r="W71" i="2"/>
  <c r="R71" i="2"/>
  <c r="S71" i="2" s="1"/>
  <c r="Q71" i="2"/>
  <c r="N71" i="2"/>
  <c r="W70" i="2"/>
  <c r="Q70" i="2"/>
  <c r="R70" i="2" s="1"/>
  <c r="S70" i="2" s="1"/>
  <c r="N70" i="2"/>
  <c r="W69" i="2"/>
  <c r="Q69" i="2"/>
  <c r="R69" i="2" s="1"/>
  <c r="S69" i="2" s="1"/>
  <c r="N69" i="2"/>
  <c r="W68" i="2"/>
  <c r="S68" i="2"/>
  <c r="Q68" i="2"/>
  <c r="R68" i="2" s="1"/>
  <c r="N68" i="2"/>
  <c r="W67" i="2"/>
  <c r="R67" i="2"/>
  <c r="S67" i="2" s="1"/>
  <c r="Q67" i="2"/>
  <c r="N67" i="2"/>
  <c r="W66" i="2"/>
  <c r="Q66" i="2"/>
  <c r="R66" i="2" s="1"/>
  <c r="S66" i="2" s="1"/>
  <c r="N66" i="2"/>
  <c r="W65" i="2"/>
  <c r="R65" i="2"/>
  <c r="S65" i="2" s="1"/>
  <c r="Q65" i="2"/>
  <c r="N65" i="2"/>
  <c r="W64" i="2"/>
  <c r="Q64" i="2"/>
  <c r="R64" i="2" s="1"/>
  <c r="S64" i="2" s="1"/>
  <c r="N64" i="2"/>
  <c r="W63" i="2"/>
  <c r="R63" i="2"/>
  <c r="S63" i="2" s="1"/>
  <c r="Q63" i="2"/>
  <c r="N63" i="2"/>
  <c r="W62" i="2"/>
  <c r="Q62" i="2"/>
  <c r="R62" i="2" s="1"/>
  <c r="S62" i="2" s="1"/>
  <c r="N62" i="2"/>
  <c r="W61" i="2"/>
  <c r="R61" i="2"/>
  <c r="S61" i="2" s="1"/>
  <c r="Q61" i="2"/>
  <c r="N61" i="2"/>
  <c r="W60" i="2"/>
  <c r="Q60" i="2"/>
  <c r="R60" i="2" s="1"/>
  <c r="S60" i="2" s="1"/>
  <c r="N60" i="2"/>
  <c r="W59" i="2"/>
  <c r="R59" i="2"/>
  <c r="S59" i="2" s="1"/>
  <c r="Q59" i="2"/>
  <c r="N59" i="2"/>
  <c r="W58" i="2"/>
  <c r="Q58" i="2"/>
  <c r="R58" i="2" s="1"/>
  <c r="S58" i="2" s="1"/>
  <c r="N58" i="2"/>
  <c r="W57" i="2"/>
  <c r="R57" i="2"/>
  <c r="S57" i="2" s="1"/>
  <c r="Q57" i="2"/>
  <c r="N57" i="2"/>
  <c r="W56" i="2"/>
  <c r="Q56" i="2"/>
  <c r="R56" i="2" s="1"/>
  <c r="S56" i="2" s="1"/>
  <c r="N56" i="2"/>
  <c r="W55" i="2"/>
  <c r="R55" i="2"/>
  <c r="S55" i="2" s="1"/>
  <c r="Q55" i="2"/>
  <c r="N55" i="2"/>
  <c r="W54" i="2"/>
  <c r="Q54" i="2"/>
  <c r="R54" i="2" s="1"/>
  <c r="S54" i="2" s="1"/>
  <c r="N54" i="2"/>
  <c r="W53" i="2"/>
  <c r="R53" i="2"/>
  <c r="S53" i="2" s="1"/>
  <c r="Q53" i="2"/>
  <c r="N53" i="2"/>
  <c r="W52" i="2"/>
  <c r="Q52" i="2"/>
  <c r="R52" i="2" s="1"/>
  <c r="S52" i="2" s="1"/>
  <c r="N52" i="2"/>
  <c r="W51" i="2"/>
  <c r="R51" i="2"/>
  <c r="S51" i="2" s="1"/>
  <c r="Q51" i="2"/>
  <c r="N51" i="2"/>
  <c r="W50" i="2"/>
  <c r="Q50" i="2"/>
  <c r="R50" i="2" s="1"/>
  <c r="S50" i="2" s="1"/>
  <c r="N50" i="2"/>
  <c r="W49" i="2"/>
  <c r="R49" i="2"/>
  <c r="S49" i="2" s="1"/>
  <c r="Q49" i="2"/>
  <c r="N49" i="2"/>
  <c r="W48" i="2"/>
  <c r="Q48" i="2"/>
  <c r="R48" i="2" s="1"/>
  <c r="S48" i="2" s="1"/>
  <c r="N48" i="2"/>
  <c r="W47" i="2"/>
  <c r="R47" i="2"/>
  <c r="S47" i="2" s="1"/>
  <c r="Q47" i="2"/>
  <c r="N47" i="2"/>
  <c r="W46" i="2"/>
  <c r="Q46" i="2"/>
  <c r="R46" i="2" s="1"/>
  <c r="S46" i="2" s="1"/>
  <c r="N46" i="2"/>
  <c r="W45" i="2"/>
  <c r="R45" i="2"/>
  <c r="S45" i="2" s="1"/>
  <c r="Q45" i="2"/>
  <c r="N45" i="2"/>
  <c r="W44" i="2"/>
  <c r="Q44" i="2"/>
  <c r="R44" i="2" s="1"/>
  <c r="S44" i="2" s="1"/>
  <c r="N44" i="2"/>
  <c r="W43" i="2"/>
  <c r="R43" i="2"/>
  <c r="S43" i="2" s="1"/>
  <c r="Q43" i="2"/>
  <c r="N43" i="2"/>
  <c r="W42" i="2"/>
  <c r="Q42" i="2"/>
  <c r="R42" i="2" s="1"/>
  <c r="S42" i="2" s="1"/>
  <c r="N42" i="2"/>
  <c r="W41" i="2"/>
  <c r="R41" i="2"/>
  <c r="S41" i="2" s="1"/>
  <c r="Q41" i="2"/>
  <c r="N41" i="2"/>
  <c r="W40" i="2"/>
  <c r="Q40" i="2"/>
  <c r="R40" i="2" s="1"/>
  <c r="S40" i="2" s="1"/>
  <c r="N40" i="2"/>
  <c r="W39" i="2"/>
  <c r="R39" i="2"/>
  <c r="S39" i="2" s="1"/>
  <c r="Q39" i="2"/>
  <c r="N39" i="2"/>
  <c r="W38" i="2"/>
  <c r="Q38" i="2"/>
  <c r="R38" i="2" s="1"/>
  <c r="S38" i="2" s="1"/>
  <c r="N38" i="2"/>
  <c r="W37" i="2"/>
  <c r="R37" i="2"/>
  <c r="S37" i="2" s="1"/>
  <c r="Q37" i="2"/>
  <c r="N37" i="2"/>
  <c r="W36" i="2"/>
  <c r="Q36" i="2"/>
  <c r="R36" i="2" s="1"/>
  <c r="S36" i="2" s="1"/>
  <c r="N36" i="2"/>
  <c r="W35" i="2"/>
  <c r="R35" i="2"/>
  <c r="S35" i="2" s="1"/>
  <c r="Q35" i="2"/>
  <c r="N35" i="2"/>
  <c r="W34" i="2"/>
  <c r="S34" i="2"/>
  <c r="Q34" i="2"/>
  <c r="R34" i="2" s="1"/>
  <c r="N34" i="2"/>
  <c r="W33" i="2"/>
  <c r="R33" i="2"/>
  <c r="S33" i="2" s="1"/>
  <c r="Q33" i="2"/>
  <c r="N33" i="2"/>
  <c r="W32" i="2"/>
  <c r="Q32" i="2"/>
  <c r="R32" i="2" s="1"/>
  <c r="S32" i="2" s="1"/>
  <c r="N32" i="2"/>
  <c r="W31" i="2"/>
  <c r="R31" i="2"/>
  <c r="S31" i="2" s="1"/>
  <c r="Q31" i="2"/>
  <c r="N31" i="2"/>
  <c r="W30" i="2"/>
  <c r="Q30" i="2"/>
  <c r="R30" i="2" s="1"/>
  <c r="S30" i="2" s="1"/>
  <c r="N30" i="2"/>
  <c r="W29" i="2"/>
  <c r="R29" i="2"/>
  <c r="S29" i="2" s="1"/>
  <c r="Q29" i="2"/>
  <c r="N29" i="2"/>
  <c r="W28" i="2"/>
  <c r="Q28" i="2"/>
  <c r="R28" i="2" s="1"/>
  <c r="S28" i="2" s="1"/>
  <c r="N28" i="2"/>
  <c r="W27" i="2"/>
  <c r="R27" i="2"/>
  <c r="S27" i="2" s="1"/>
  <c r="Q27" i="2"/>
  <c r="N27" i="2"/>
  <c r="W26" i="2"/>
  <c r="Q26" i="2"/>
  <c r="R26" i="2" s="1"/>
  <c r="S26" i="2" s="1"/>
  <c r="N26" i="2"/>
  <c r="W25" i="2"/>
  <c r="R25" i="2"/>
  <c r="S25" i="2" s="1"/>
  <c r="Q25" i="2"/>
  <c r="N25" i="2"/>
  <c r="W24" i="2"/>
  <c r="Q24" i="2"/>
  <c r="R24" i="2" s="1"/>
  <c r="S24" i="2" s="1"/>
  <c r="N24" i="2"/>
  <c r="W23" i="2"/>
  <c r="R23" i="2"/>
  <c r="S23" i="2" s="1"/>
  <c r="Q23" i="2"/>
  <c r="N23" i="2"/>
  <c r="W22" i="2"/>
  <c r="Q22" i="2"/>
  <c r="R22" i="2" s="1"/>
  <c r="S22" i="2" s="1"/>
  <c r="N22" i="2"/>
  <c r="W21" i="2"/>
  <c r="R21" i="2"/>
  <c r="S21" i="2" s="1"/>
  <c r="Q21" i="2"/>
  <c r="N21" i="2"/>
  <c r="W20" i="2"/>
  <c r="Q20" i="2"/>
  <c r="R20" i="2" s="1"/>
  <c r="S20" i="2" s="1"/>
  <c r="N20" i="2"/>
  <c r="W19" i="2"/>
  <c r="R19" i="2"/>
  <c r="S19" i="2" s="1"/>
  <c r="Q19" i="2"/>
  <c r="N19" i="2"/>
  <c r="W18" i="2"/>
  <c r="Q18" i="2"/>
  <c r="R18" i="2" s="1"/>
  <c r="S18" i="2" s="1"/>
  <c r="N18" i="2"/>
  <c r="W17" i="2"/>
  <c r="Q17" i="2"/>
  <c r="R17" i="2" s="1"/>
  <c r="S17" i="2" s="1"/>
  <c r="N17" i="2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W16" i="2"/>
  <c r="R16" i="2"/>
  <c r="S16" i="2" s="1"/>
  <c r="Q16" i="2"/>
  <c r="N16" i="2"/>
  <c r="W15" i="2"/>
  <c r="Q15" i="2"/>
  <c r="R15" i="2" s="1"/>
  <c r="S15" i="2" s="1"/>
  <c r="N15" i="2"/>
  <c r="W14" i="2"/>
  <c r="Q14" i="2"/>
  <c r="R14" i="2" s="1"/>
  <c r="S14" i="2" s="1"/>
  <c r="N14" i="2"/>
  <c r="W13" i="2"/>
  <c r="S13" i="2"/>
  <c r="R13" i="2"/>
  <c r="N13" i="2"/>
  <c r="W12" i="2"/>
  <c r="R12" i="2"/>
  <c r="S12" i="2" s="1"/>
  <c r="N12" i="2"/>
  <c r="W11" i="2"/>
  <c r="S11" i="2"/>
  <c r="R11" i="2"/>
  <c r="N11" i="2"/>
  <c r="I11" i="2"/>
  <c r="X10" i="2"/>
  <c r="X11" i="2" s="1"/>
  <c r="X12" i="2" s="1"/>
  <c r="X13" i="2" s="1"/>
  <c r="X14" i="2" s="1"/>
  <c r="X15" i="2" s="1"/>
  <c r="X16" i="2" s="1"/>
  <c r="X17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X29" i="2" s="1"/>
  <c r="X30" i="2" s="1"/>
  <c r="X31" i="2" s="1"/>
  <c r="X32" i="2" s="1"/>
  <c r="X33" i="2" s="1"/>
  <c r="X34" i="2" s="1"/>
  <c r="X35" i="2" s="1"/>
  <c r="X36" i="2" s="1"/>
  <c r="X37" i="2" s="1"/>
  <c r="X38" i="2" s="1"/>
  <c r="X39" i="2" s="1"/>
  <c r="X40" i="2" s="1"/>
  <c r="X41" i="2" s="1"/>
  <c r="X42" i="2" s="1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3" i="2" s="1"/>
  <c r="X294" i="2" s="1"/>
  <c r="X295" i="2" s="1"/>
  <c r="X296" i="2" s="1"/>
  <c r="X297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W10" i="2"/>
  <c r="R10" i="2"/>
  <c r="S10" i="2" s="1"/>
  <c r="N10" i="2"/>
  <c r="O10" i="2" s="1"/>
  <c r="O11" i="2" s="1"/>
  <c r="K10" i="2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Z9" i="2"/>
  <c r="W9" i="2"/>
  <c r="S9" i="2"/>
  <c r="T9" i="2" s="1"/>
  <c r="R9" i="2"/>
  <c r="N9" i="2"/>
  <c r="I9" i="2"/>
  <c r="W8" i="2"/>
  <c r="R8" i="2"/>
  <c r="S8" i="2" s="1"/>
  <c r="N8" i="2"/>
  <c r="W7" i="2"/>
  <c r="R7" i="2"/>
  <c r="S7" i="2" s="1"/>
  <c r="N7" i="2"/>
  <c r="M7" i="2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M120" i="2" s="1"/>
  <c r="M121" i="2" s="1"/>
  <c r="M122" i="2" s="1"/>
  <c r="M123" i="2" s="1"/>
  <c r="M124" i="2" s="1"/>
  <c r="M125" i="2" s="1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M175" i="2" s="1"/>
  <c r="M176" i="2" s="1"/>
  <c r="M177" i="2" s="1"/>
  <c r="M178" i="2" s="1"/>
  <c r="M179" i="2" s="1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M203" i="2" s="1"/>
  <c r="M204" i="2" s="1"/>
  <c r="M205" i="2" s="1"/>
  <c r="M206" i="2" s="1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M229" i="2" s="1"/>
  <c r="M230" i="2" s="1"/>
  <c r="M231" i="2" s="1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M256" i="2" s="1"/>
  <c r="M257" i="2" s="1"/>
  <c r="M258" i="2" s="1"/>
  <c r="M259" i="2" s="1"/>
  <c r="M260" i="2" s="1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M283" i="2" s="1"/>
  <c r="M284" i="2" s="1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I7" i="2"/>
  <c r="X6" i="2"/>
  <c r="X7" i="2" s="1"/>
  <c r="X8" i="2" s="1"/>
  <c r="X9" i="2" s="1"/>
  <c r="W6" i="2"/>
  <c r="S6" i="2"/>
  <c r="R6" i="2"/>
  <c r="N6" i="2"/>
  <c r="M6" i="2"/>
  <c r="K6" i="2"/>
  <c r="K7" i="2" s="1"/>
  <c r="K8" i="2" s="1"/>
  <c r="K9" i="2" s="1"/>
  <c r="G6" i="2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Z131" i="1"/>
  <c r="X6" i="1"/>
  <c r="M6" i="1"/>
  <c r="K6" i="1"/>
  <c r="W308" i="1"/>
  <c r="R308" i="1"/>
  <c r="S308" i="1" s="1"/>
  <c r="Q308" i="1"/>
  <c r="N308" i="1"/>
  <c r="W307" i="1"/>
  <c r="Q307" i="1"/>
  <c r="R307" i="1" s="1"/>
  <c r="S307" i="1" s="1"/>
  <c r="N307" i="1"/>
  <c r="W306" i="1"/>
  <c r="R306" i="1"/>
  <c r="S306" i="1" s="1"/>
  <c r="Q306" i="1"/>
  <c r="N306" i="1"/>
  <c r="W305" i="1"/>
  <c r="Q305" i="1"/>
  <c r="R305" i="1" s="1"/>
  <c r="S305" i="1" s="1"/>
  <c r="N305" i="1"/>
  <c r="W304" i="1"/>
  <c r="R304" i="1"/>
  <c r="S304" i="1" s="1"/>
  <c r="Q304" i="1"/>
  <c r="N304" i="1"/>
  <c r="W303" i="1"/>
  <c r="Q303" i="1"/>
  <c r="R303" i="1" s="1"/>
  <c r="S303" i="1" s="1"/>
  <c r="N303" i="1"/>
  <c r="W302" i="1"/>
  <c r="Q302" i="1"/>
  <c r="R302" i="1" s="1"/>
  <c r="S302" i="1" s="1"/>
  <c r="O302" i="1"/>
  <c r="O303" i="1" s="1"/>
  <c r="O304" i="1" s="1"/>
  <c r="O305" i="1" s="1"/>
  <c r="O306" i="1" s="1"/>
  <c r="O307" i="1" s="1"/>
  <c r="O308" i="1" s="1"/>
  <c r="N302" i="1"/>
  <c r="W301" i="1"/>
  <c r="S301" i="1"/>
  <c r="Q301" i="1"/>
  <c r="R301" i="1" s="1"/>
  <c r="N301" i="1"/>
  <c r="W300" i="1"/>
  <c r="Q300" i="1"/>
  <c r="R300" i="1" s="1"/>
  <c r="S300" i="1" s="1"/>
  <c r="N300" i="1"/>
  <c r="W299" i="1"/>
  <c r="T299" i="1"/>
  <c r="T300" i="1" s="1"/>
  <c r="T301" i="1" s="1"/>
  <c r="T302" i="1" s="1"/>
  <c r="T303" i="1" s="1"/>
  <c r="T304" i="1" s="1"/>
  <c r="T305" i="1" s="1"/>
  <c r="T306" i="1" s="1"/>
  <c r="T307" i="1" s="1"/>
  <c r="T308" i="1" s="1"/>
  <c r="R299" i="1"/>
  <c r="S299" i="1" s="1"/>
  <c r="Q299" i="1"/>
  <c r="N299" i="1"/>
  <c r="O299" i="1" s="1"/>
  <c r="H299" i="1"/>
  <c r="H300" i="1" s="1"/>
  <c r="H301" i="1" s="1"/>
  <c r="H302" i="1" s="1"/>
  <c r="H303" i="1" s="1"/>
  <c r="H304" i="1" s="1"/>
  <c r="H305" i="1" s="1"/>
  <c r="H306" i="1" s="1"/>
  <c r="H307" i="1" s="1"/>
  <c r="H308" i="1" s="1"/>
  <c r="W298" i="1"/>
  <c r="R298" i="1"/>
  <c r="S298" i="1" s="1"/>
  <c r="Q298" i="1"/>
  <c r="N298" i="1"/>
  <c r="H298" i="1"/>
  <c r="W297" i="1"/>
  <c r="Q297" i="1"/>
  <c r="R297" i="1" s="1"/>
  <c r="S297" i="1" s="1"/>
  <c r="N297" i="1"/>
  <c r="W296" i="1"/>
  <c r="Q296" i="1"/>
  <c r="R296" i="1" s="1"/>
  <c r="S296" i="1" s="1"/>
  <c r="N296" i="1"/>
  <c r="W295" i="1"/>
  <c r="R295" i="1"/>
  <c r="S295" i="1" s="1"/>
  <c r="Q295" i="1"/>
  <c r="N295" i="1"/>
  <c r="W294" i="1"/>
  <c r="S294" i="1"/>
  <c r="Q294" i="1"/>
  <c r="R294" i="1" s="1"/>
  <c r="N294" i="1"/>
  <c r="W293" i="1"/>
  <c r="Q293" i="1"/>
  <c r="R293" i="1" s="1"/>
  <c r="S293" i="1" s="1"/>
  <c r="N293" i="1"/>
  <c r="W292" i="1"/>
  <c r="Q292" i="1"/>
  <c r="R292" i="1" s="1"/>
  <c r="S292" i="1" s="1"/>
  <c r="N292" i="1"/>
  <c r="W291" i="1"/>
  <c r="R291" i="1"/>
  <c r="S291" i="1" s="1"/>
  <c r="Q291" i="1"/>
  <c r="N291" i="1"/>
  <c r="W290" i="1"/>
  <c r="R290" i="1"/>
  <c r="S290" i="1" s="1"/>
  <c r="Q290" i="1"/>
  <c r="N290" i="1"/>
  <c r="W289" i="1"/>
  <c r="Q289" i="1"/>
  <c r="R289" i="1" s="1"/>
  <c r="S289" i="1" s="1"/>
  <c r="N289" i="1"/>
  <c r="W288" i="1"/>
  <c r="R288" i="1"/>
  <c r="S288" i="1" s="1"/>
  <c r="Q288" i="1"/>
  <c r="N288" i="1"/>
  <c r="W287" i="1"/>
  <c r="Q287" i="1"/>
  <c r="R287" i="1" s="1"/>
  <c r="S287" i="1" s="1"/>
  <c r="N287" i="1"/>
  <c r="W286" i="1"/>
  <c r="Q286" i="1"/>
  <c r="R286" i="1" s="1"/>
  <c r="S286" i="1" s="1"/>
  <c r="N286" i="1"/>
  <c r="W285" i="1"/>
  <c r="R285" i="1"/>
  <c r="S285" i="1" s="1"/>
  <c r="Q285" i="1"/>
  <c r="N285" i="1"/>
  <c r="W284" i="1"/>
  <c r="R284" i="1"/>
  <c r="S284" i="1" s="1"/>
  <c r="Q284" i="1"/>
  <c r="N284" i="1"/>
  <c r="W283" i="1"/>
  <c r="S283" i="1"/>
  <c r="R283" i="1"/>
  <c r="Q283" i="1"/>
  <c r="N283" i="1"/>
  <c r="W282" i="1"/>
  <c r="R282" i="1"/>
  <c r="S282" i="1" s="1"/>
  <c r="Q282" i="1"/>
  <c r="N282" i="1"/>
  <c r="W281" i="1"/>
  <c r="Q281" i="1"/>
  <c r="R281" i="1" s="1"/>
  <c r="S281" i="1" s="1"/>
  <c r="N281" i="1"/>
  <c r="W280" i="1"/>
  <c r="R280" i="1"/>
  <c r="S280" i="1" s="1"/>
  <c r="Q280" i="1"/>
  <c r="N280" i="1"/>
  <c r="I280" i="1"/>
  <c r="W279" i="1"/>
  <c r="R279" i="1"/>
  <c r="S279" i="1" s="1"/>
  <c r="Q279" i="1"/>
  <c r="N279" i="1"/>
  <c r="Z278" i="1"/>
  <c r="W278" i="1"/>
  <c r="R278" i="1"/>
  <c r="S278" i="1" s="1"/>
  <c r="Q278" i="1"/>
  <c r="N278" i="1"/>
  <c r="I278" i="1"/>
  <c r="W277" i="1"/>
  <c r="R277" i="1"/>
  <c r="S277" i="1" s="1"/>
  <c r="Q277" i="1"/>
  <c r="N277" i="1"/>
  <c r="Y276" i="1"/>
  <c r="Y277" i="1" s="1"/>
  <c r="Y278" i="1" s="1"/>
  <c r="Y279" i="1" s="1"/>
  <c r="Y280" i="1" s="1"/>
  <c r="Y281" i="1" s="1"/>
  <c r="Y282" i="1" s="1"/>
  <c r="Y283" i="1" s="1"/>
  <c r="Y284" i="1" s="1"/>
  <c r="Y285" i="1" s="1"/>
  <c r="Y286" i="1" s="1"/>
  <c r="Y287" i="1" s="1"/>
  <c r="Y288" i="1" s="1"/>
  <c r="Y289" i="1" s="1"/>
  <c r="Y290" i="1" s="1"/>
  <c r="Y291" i="1" s="1"/>
  <c r="Y292" i="1" s="1"/>
  <c r="Y293" i="1" s="1"/>
  <c r="Y294" i="1" s="1"/>
  <c r="Y295" i="1" s="1"/>
  <c r="Y296" i="1" s="1"/>
  <c r="Y297" i="1" s="1"/>
  <c r="Y298" i="1" s="1"/>
  <c r="Y299" i="1" s="1"/>
  <c r="Y300" i="1" s="1"/>
  <c r="Y301" i="1" s="1"/>
  <c r="Y302" i="1" s="1"/>
  <c r="Y303" i="1" s="1"/>
  <c r="Y304" i="1" s="1"/>
  <c r="Y305" i="1" s="1"/>
  <c r="Y306" i="1" s="1"/>
  <c r="Y307" i="1" s="1"/>
  <c r="Y308" i="1" s="1"/>
  <c r="W276" i="1"/>
  <c r="Q276" i="1"/>
  <c r="R276" i="1" s="1"/>
  <c r="S276" i="1" s="1"/>
  <c r="N276" i="1"/>
  <c r="I276" i="1"/>
  <c r="H276" i="1"/>
  <c r="H277" i="1" s="1"/>
  <c r="H278" i="1" s="1"/>
  <c r="H279" i="1" s="1"/>
  <c r="H280" i="1" s="1"/>
  <c r="H281" i="1" s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W275" i="1"/>
  <c r="R275" i="1"/>
  <c r="S275" i="1" s="1"/>
  <c r="Q275" i="1"/>
  <c r="N275" i="1"/>
  <c r="W274" i="1"/>
  <c r="R274" i="1"/>
  <c r="S274" i="1" s="1"/>
  <c r="Q274" i="1"/>
  <c r="N274" i="1"/>
  <c r="W273" i="1"/>
  <c r="Q273" i="1"/>
  <c r="R273" i="1" s="1"/>
  <c r="S273" i="1" s="1"/>
  <c r="N273" i="1"/>
  <c r="W272" i="1"/>
  <c r="R272" i="1"/>
  <c r="S272" i="1" s="1"/>
  <c r="Q272" i="1"/>
  <c r="N272" i="1"/>
  <c r="W271" i="1"/>
  <c r="Q271" i="1"/>
  <c r="R271" i="1" s="1"/>
  <c r="S271" i="1" s="1"/>
  <c r="N271" i="1"/>
  <c r="W270" i="1"/>
  <c r="R270" i="1"/>
  <c r="S270" i="1" s="1"/>
  <c r="Q270" i="1"/>
  <c r="N270" i="1"/>
  <c r="W269" i="1"/>
  <c r="Q269" i="1"/>
  <c r="R269" i="1" s="1"/>
  <c r="S269" i="1" s="1"/>
  <c r="N269" i="1"/>
  <c r="W268" i="1"/>
  <c r="R268" i="1"/>
  <c r="S268" i="1" s="1"/>
  <c r="Q268" i="1"/>
  <c r="N268" i="1"/>
  <c r="W267" i="1"/>
  <c r="Q267" i="1"/>
  <c r="R267" i="1" s="1"/>
  <c r="S267" i="1" s="1"/>
  <c r="N267" i="1"/>
  <c r="W266" i="1"/>
  <c r="R266" i="1"/>
  <c r="S266" i="1" s="1"/>
  <c r="Q266" i="1"/>
  <c r="N266" i="1"/>
  <c r="W265" i="1"/>
  <c r="S265" i="1"/>
  <c r="Q265" i="1"/>
  <c r="R265" i="1" s="1"/>
  <c r="N265" i="1"/>
  <c r="W264" i="1"/>
  <c r="R264" i="1"/>
  <c r="S264" i="1" s="1"/>
  <c r="Q264" i="1"/>
  <c r="N264" i="1"/>
  <c r="W263" i="1"/>
  <c r="R263" i="1"/>
  <c r="S263" i="1" s="1"/>
  <c r="Q263" i="1"/>
  <c r="N263" i="1"/>
  <c r="W262" i="1"/>
  <c r="Q262" i="1"/>
  <c r="R262" i="1" s="1"/>
  <c r="S262" i="1" s="1"/>
  <c r="N262" i="1"/>
  <c r="W261" i="1"/>
  <c r="Q261" i="1"/>
  <c r="R261" i="1" s="1"/>
  <c r="S261" i="1" s="1"/>
  <c r="N261" i="1"/>
  <c r="W260" i="1"/>
  <c r="R260" i="1"/>
  <c r="S260" i="1" s="1"/>
  <c r="Q260" i="1"/>
  <c r="N260" i="1"/>
  <c r="W259" i="1"/>
  <c r="R259" i="1"/>
  <c r="S259" i="1" s="1"/>
  <c r="Q259" i="1"/>
  <c r="N259" i="1"/>
  <c r="W258" i="1"/>
  <c r="Q258" i="1"/>
  <c r="R258" i="1" s="1"/>
  <c r="S258" i="1" s="1"/>
  <c r="N258" i="1"/>
  <c r="W257" i="1"/>
  <c r="R257" i="1"/>
  <c r="S257" i="1" s="1"/>
  <c r="Q257" i="1"/>
  <c r="N257" i="1"/>
  <c r="I257" i="1"/>
  <c r="W256" i="1"/>
  <c r="R256" i="1"/>
  <c r="S256" i="1" s="1"/>
  <c r="Q256" i="1"/>
  <c r="N256" i="1"/>
  <c r="H256" i="1"/>
  <c r="H257" i="1" s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Z255" i="1"/>
  <c r="W255" i="1"/>
  <c r="R255" i="1"/>
  <c r="S255" i="1" s="1"/>
  <c r="Q255" i="1"/>
  <c r="N255" i="1"/>
  <c r="I255" i="1"/>
  <c r="W254" i="1"/>
  <c r="R254" i="1"/>
  <c r="S254" i="1" s="1"/>
  <c r="Q254" i="1"/>
  <c r="N254" i="1"/>
  <c r="Y253" i="1"/>
  <c r="Y254" i="1" s="1"/>
  <c r="Y255" i="1" s="1"/>
  <c r="Y256" i="1" s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267" i="1" s="1"/>
  <c r="Y268" i="1" s="1"/>
  <c r="Y269" i="1" s="1"/>
  <c r="Y270" i="1" s="1"/>
  <c r="Y271" i="1" s="1"/>
  <c r="Y272" i="1" s="1"/>
  <c r="Y273" i="1" s="1"/>
  <c r="Y274" i="1" s="1"/>
  <c r="W253" i="1"/>
  <c r="S253" i="1"/>
  <c r="Q253" i="1"/>
  <c r="R253" i="1" s="1"/>
  <c r="N253" i="1"/>
  <c r="I253" i="1"/>
  <c r="H253" i="1"/>
  <c r="H254" i="1" s="1"/>
  <c r="H255" i="1" s="1"/>
  <c r="W252" i="1"/>
  <c r="R252" i="1"/>
  <c r="S252" i="1" s="1"/>
  <c r="Q252" i="1"/>
  <c r="N252" i="1"/>
  <c r="W251" i="1"/>
  <c r="R251" i="1"/>
  <c r="S251" i="1" s="1"/>
  <c r="N251" i="1"/>
  <c r="W250" i="1"/>
  <c r="R250" i="1"/>
  <c r="S250" i="1" s="1"/>
  <c r="N250" i="1"/>
  <c r="W249" i="1"/>
  <c r="R249" i="1"/>
  <c r="S249" i="1" s="1"/>
  <c r="N249" i="1"/>
  <c r="W248" i="1"/>
  <c r="R248" i="1"/>
  <c r="S248" i="1" s="1"/>
  <c r="N248" i="1"/>
  <c r="W247" i="1"/>
  <c r="R247" i="1"/>
  <c r="S247" i="1" s="1"/>
  <c r="N247" i="1"/>
  <c r="W246" i="1"/>
  <c r="R246" i="1"/>
  <c r="S246" i="1" s="1"/>
  <c r="N246" i="1"/>
  <c r="W245" i="1"/>
  <c r="R245" i="1"/>
  <c r="S245" i="1" s="1"/>
  <c r="N245" i="1"/>
  <c r="W244" i="1"/>
  <c r="R244" i="1"/>
  <c r="S244" i="1" s="1"/>
  <c r="N244" i="1"/>
  <c r="W243" i="1"/>
  <c r="R243" i="1"/>
  <c r="S243" i="1" s="1"/>
  <c r="N243" i="1"/>
  <c r="W242" i="1"/>
  <c r="R242" i="1"/>
  <c r="S242" i="1" s="1"/>
  <c r="N242" i="1"/>
  <c r="W241" i="1"/>
  <c r="R241" i="1"/>
  <c r="S241" i="1" s="1"/>
  <c r="N241" i="1"/>
  <c r="W240" i="1"/>
  <c r="R240" i="1"/>
  <c r="S240" i="1" s="1"/>
  <c r="N240" i="1"/>
  <c r="W239" i="1"/>
  <c r="S239" i="1"/>
  <c r="R239" i="1"/>
  <c r="N239" i="1"/>
  <c r="W238" i="1"/>
  <c r="S238" i="1"/>
  <c r="R238" i="1"/>
  <c r="N238" i="1"/>
  <c r="W237" i="1"/>
  <c r="S237" i="1"/>
  <c r="R237" i="1"/>
  <c r="N237" i="1"/>
  <c r="W236" i="1"/>
  <c r="S236" i="1"/>
  <c r="R236" i="1"/>
  <c r="N236" i="1"/>
  <c r="W235" i="1"/>
  <c r="R235" i="1"/>
  <c r="S235" i="1" s="1"/>
  <c r="N235" i="1"/>
  <c r="W234" i="1"/>
  <c r="R234" i="1"/>
  <c r="S234" i="1" s="1"/>
  <c r="N234" i="1"/>
  <c r="W233" i="1"/>
  <c r="R233" i="1"/>
  <c r="S233" i="1" s="1"/>
  <c r="N233" i="1"/>
  <c r="W232" i="1"/>
  <c r="S232" i="1"/>
  <c r="R232" i="1"/>
  <c r="N232" i="1"/>
  <c r="W231" i="1"/>
  <c r="R231" i="1"/>
  <c r="S231" i="1" s="1"/>
  <c r="N231" i="1"/>
  <c r="W230" i="1"/>
  <c r="R230" i="1"/>
  <c r="S230" i="1" s="1"/>
  <c r="N230" i="1"/>
  <c r="W229" i="1"/>
  <c r="R229" i="1"/>
  <c r="S229" i="1" s="1"/>
  <c r="N229" i="1"/>
  <c r="I229" i="1"/>
  <c r="Y228" i="1"/>
  <c r="Y229" i="1" s="1"/>
  <c r="Y230" i="1" s="1"/>
  <c r="Y231" i="1" s="1"/>
  <c r="Y232" i="1" s="1"/>
  <c r="Y233" i="1" s="1"/>
  <c r="Y234" i="1" s="1"/>
  <c r="Y235" i="1" s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Y247" i="1" s="1"/>
  <c r="Y248" i="1" s="1"/>
  <c r="Y249" i="1" s="1"/>
  <c r="Y250" i="1" s="1"/>
  <c r="Y251" i="1" s="1"/>
  <c r="W228" i="1"/>
  <c r="S228" i="1"/>
  <c r="R228" i="1"/>
  <c r="N228" i="1"/>
  <c r="Z227" i="1"/>
  <c r="W227" i="1"/>
  <c r="R227" i="1"/>
  <c r="S227" i="1" s="1"/>
  <c r="N227" i="1"/>
  <c r="I227" i="1"/>
  <c r="Y226" i="1"/>
  <c r="Y227" i="1" s="1"/>
  <c r="W226" i="1"/>
  <c r="R226" i="1"/>
  <c r="S226" i="1" s="1"/>
  <c r="N226" i="1"/>
  <c r="H226" i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Y225" i="1"/>
  <c r="W225" i="1"/>
  <c r="S225" i="1"/>
  <c r="R225" i="1"/>
  <c r="N225" i="1"/>
  <c r="I225" i="1"/>
  <c r="H225" i="1"/>
  <c r="W224" i="1"/>
  <c r="R224" i="1"/>
  <c r="S224" i="1" s="1"/>
  <c r="N224" i="1"/>
  <c r="W223" i="1"/>
  <c r="R223" i="1"/>
  <c r="S223" i="1" s="1"/>
  <c r="N223" i="1"/>
  <c r="W222" i="1"/>
  <c r="R222" i="1"/>
  <c r="S222" i="1" s="1"/>
  <c r="N222" i="1"/>
  <c r="W221" i="1"/>
  <c r="R221" i="1"/>
  <c r="S221" i="1" s="1"/>
  <c r="N221" i="1"/>
  <c r="W220" i="1"/>
  <c r="R220" i="1"/>
  <c r="S220" i="1" s="1"/>
  <c r="N220" i="1"/>
  <c r="W219" i="1"/>
  <c r="R219" i="1"/>
  <c r="S219" i="1" s="1"/>
  <c r="N219" i="1"/>
  <c r="W218" i="1"/>
  <c r="R218" i="1"/>
  <c r="S218" i="1" s="1"/>
  <c r="N218" i="1"/>
  <c r="W217" i="1"/>
  <c r="R217" i="1"/>
  <c r="S217" i="1" s="1"/>
  <c r="N217" i="1"/>
  <c r="W216" i="1"/>
  <c r="R216" i="1"/>
  <c r="S216" i="1" s="1"/>
  <c r="N216" i="1"/>
  <c r="W215" i="1"/>
  <c r="R215" i="1"/>
  <c r="S215" i="1" s="1"/>
  <c r="N215" i="1"/>
  <c r="W214" i="1"/>
  <c r="R214" i="1"/>
  <c r="S214" i="1" s="1"/>
  <c r="N214" i="1"/>
  <c r="W213" i="1"/>
  <c r="S213" i="1"/>
  <c r="R213" i="1"/>
  <c r="N213" i="1"/>
  <c r="W212" i="1"/>
  <c r="R212" i="1"/>
  <c r="S212" i="1" s="1"/>
  <c r="N212" i="1"/>
  <c r="W211" i="1"/>
  <c r="R211" i="1"/>
  <c r="S211" i="1" s="1"/>
  <c r="N211" i="1"/>
  <c r="W210" i="1"/>
  <c r="S210" i="1"/>
  <c r="R210" i="1"/>
  <c r="N210" i="1"/>
  <c r="Y209" i="1"/>
  <c r="Y210" i="1" s="1"/>
  <c r="Y211" i="1" s="1"/>
  <c r="Y212" i="1" s="1"/>
  <c r="Y213" i="1" s="1"/>
  <c r="Y214" i="1" s="1"/>
  <c r="Y215" i="1" s="1"/>
  <c r="Y216" i="1" s="1"/>
  <c r="Y217" i="1" s="1"/>
  <c r="Y218" i="1" s="1"/>
  <c r="Y219" i="1" s="1"/>
  <c r="Y220" i="1" s="1"/>
  <c r="Y221" i="1" s="1"/>
  <c r="Y222" i="1" s="1"/>
  <c r="Y223" i="1" s="1"/>
  <c r="W209" i="1"/>
  <c r="S209" i="1"/>
  <c r="R209" i="1"/>
  <c r="N209" i="1"/>
  <c r="H209" i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Y208" i="1"/>
  <c r="W208" i="1"/>
  <c r="S208" i="1"/>
  <c r="R208" i="1"/>
  <c r="N208" i="1"/>
  <c r="I208" i="1"/>
  <c r="W207" i="1"/>
  <c r="R207" i="1"/>
  <c r="S207" i="1" s="1"/>
  <c r="N207" i="1"/>
  <c r="Z206" i="1"/>
  <c r="W206" i="1"/>
  <c r="S206" i="1"/>
  <c r="R206" i="1"/>
  <c r="N206" i="1"/>
  <c r="I206" i="1"/>
  <c r="W205" i="1"/>
  <c r="R205" i="1"/>
  <c r="S205" i="1" s="1"/>
  <c r="N205" i="1"/>
  <c r="Y204" i="1"/>
  <c r="Y205" i="1" s="1"/>
  <c r="Y206" i="1" s="1"/>
  <c r="Y207" i="1" s="1"/>
  <c r="W204" i="1"/>
  <c r="R204" i="1"/>
  <c r="S204" i="1" s="1"/>
  <c r="N204" i="1"/>
  <c r="I204" i="1"/>
  <c r="H204" i="1"/>
  <c r="H205" i="1" s="1"/>
  <c r="H206" i="1" s="1"/>
  <c r="H207" i="1" s="1"/>
  <c r="H208" i="1" s="1"/>
  <c r="W203" i="1"/>
  <c r="R203" i="1"/>
  <c r="S203" i="1" s="1"/>
  <c r="N203" i="1"/>
  <c r="W202" i="1"/>
  <c r="S202" i="1"/>
  <c r="Q202" i="1"/>
  <c r="R202" i="1" s="1"/>
  <c r="N202" i="1"/>
  <c r="W201" i="1"/>
  <c r="R201" i="1"/>
  <c r="S201" i="1" s="1"/>
  <c r="Q201" i="1"/>
  <c r="N201" i="1"/>
  <c r="W200" i="1"/>
  <c r="Q200" i="1"/>
  <c r="R200" i="1" s="1"/>
  <c r="S200" i="1" s="1"/>
  <c r="N200" i="1"/>
  <c r="W199" i="1"/>
  <c r="R199" i="1"/>
  <c r="S199" i="1" s="1"/>
  <c r="Q199" i="1"/>
  <c r="N199" i="1"/>
  <c r="W198" i="1"/>
  <c r="Q198" i="1"/>
  <c r="R198" i="1" s="1"/>
  <c r="S198" i="1" s="1"/>
  <c r="N198" i="1"/>
  <c r="W197" i="1"/>
  <c r="R197" i="1"/>
  <c r="S197" i="1" s="1"/>
  <c r="Q197" i="1"/>
  <c r="N197" i="1"/>
  <c r="W196" i="1"/>
  <c r="S196" i="1"/>
  <c r="Q196" i="1"/>
  <c r="R196" i="1" s="1"/>
  <c r="N196" i="1"/>
  <c r="W195" i="1"/>
  <c r="R195" i="1"/>
  <c r="S195" i="1" s="1"/>
  <c r="Q195" i="1"/>
  <c r="N195" i="1"/>
  <c r="W194" i="1"/>
  <c r="Q194" i="1"/>
  <c r="R194" i="1" s="1"/>
  <c r="S194" i="1" s="1"/>
  <c r="N194" i="1"/>
  <c r="W193" i="1"/>
  <c r="R193" i="1"/>
  <c r="S193" i="1" s="1"/>
  <c r="Q193" i="1"/>
  <c r="N193" i="1"/>
  <c r="W192" i="1"/>
  <c r="Q192" i="1"/>
  <c r="R192" i="1" s="1"/>
  <c r="S192" i="1" s="1"/>
  <c r="N192" i="1"/>
  <c r="W191" i="1"/>
  <c r="R191" i="1"/>
  <c r="S191" i="1" s="1"/>
  <c r="Q191" i="1"/>
  <c r="N191" i="1"/>
  <c r="W190" i="1"/>
  <c r="Q190" i="1"/>
  <c r="R190" i="1" s="1"/>
  <c r="S190" i="1" s="1"/>
  <c r="N190" i="1"/>
  <c r="W189" i="1"/>
  <c r="R189" i="1"/>
  <c r="S189" i="1" s="1"/>
  <c r="Q189" i="1"/>
  <c r="N189" i="1"/>
  <c r="W188" i="1"/>
  <c r="S188" i="1"/>
  <c r="Q188" i="1"/>
  <c r="R188" i="1" s="1"/>
  <c r="N188" i="1"/>
  <c r="O188" i="1" s="1"/>
  <c r="O189" i="1" s="1"/>
  <c r="W187" i="1"/>
  <c r="R187" i="1"/>
  <c r="S187" i="1" s="1"/>
  <c r="Q187" i="1"/>
  <c r="N187" i="1"/>
  <c r="W186" i="1"/>
  <c r="R186" i="1"/>
  <c r="S186" i="1" s="1"/>
  <c r="Q186" i="1"/>
  <c r="N186" i="1"/>
  <c r="W185" i="1"/>
  <c r="R185" i="1"/>
  <c r="S185" i="1" s="1"/>
  <c r="Q185" i="1"/>
  <c r="O185" i="1"/>
  <c r="N185" i="1"/>
  <c r="W184" i="1"/>
  <c r="Q184" i="1"/>
  <c r="R184" i="1" s="1"/>
  <c r="S184" i="1" s="1"/>
  <c r="N184" i="1"/>
  <c r="W183" i="1"/>
  <c r="R183" i="1"/>
  <c r="S183" i="1" s="1"/>
  <c r="Q183" i="1"/>
  <c r="N183" i="1"/>
  <c r="W182" i="1"/>
  <c r="Q182" i="1"/>
  <c r="R182" i="1" s="1"/>
  <c r="S182" i="1" s="1"/>
  <c r="N182" i="1"/>
  <c r="O182" i="1" s="1"/>
  <c r="W181" i="1"/>
  <c r="S181" i="1"/>
  <c r="R181" i="1"/>
  <c r="Q181" i="1"/>
  <c r="N181" i="1"/>
  <c r="W180" i="1"/>
  <c r="R180" i="1"/>
  <c r="S180" i="1" s="1"/>
  <c r="Q180" i="1"/>
  <c r="N180" i="1"/>
  <c r="W179" i="1"/>
  <c r="Q179" i="1"/>
  <c r="R179" i="1" s="1"/>
  <c r="S179" i="1" s="1"/>
  <c r="N179" i="1"/>
  <c r="O179" i="1" s="1"/>
  <c r="O180" i="1" s="1"/>
  <c r="W178" i="1"/>
  <c r="R178" i="1"/>
  <c r="S178" i="1" s="1"/>
  <c r="Q178" i="1"/>
  <c r="N178" i="1"/>
  <c r="W177" i="1"/>
  <c r="R177" i="1"/>
  <c r="S177" i="1" s="1"/>
  <c r="Q177" i="1"/>
  <c r="N177" i="1"/>
  <c r="W176" i="1"/>
  <c r="Q176" i="1"/>
  <c r="R176" i="1" s="1"/>
  <c r="S176" i="1" s="1"/>
  <c r="N176" i="1"/>
  <c r="W175" i="1"/>
  <c r="R175" i="1"/>
  <c r="S175" i="1" s="1"/>
  <c r="Q175" i="1"/>
  <c r="N175" i="1"/>
  <c r="W174" i="1"/>
  <c r="R174" i="1"/>
  <c r="S174" i="1" s="1"/>
  <c r="Q174" i="1"/>
  <c r="N174" i="1"/>
  <c r="W173" i="1"/>
  <c r="Q173" i="1"/>
  <c r="R173" i="1" s="1"/>
  <c r="S173" i="1" s="1"/>
  <c r="N173" i="1"/>
  <c r="W172" i="1"/>
  <c r="Q172" i="1"/>
  <c r="R172" i="1" s="1"/>
  <c r="S172" i="1" s="1"/>
  <c r="N172" i="1"/>
  <c r="O172" i="1" s="1"/>
  <c r="O173" i="1" s="1"/>
  <c r="O174" i="1" s="1"/>
  <c r="O175" i="1" s="1"/>
  <c r="W171" i="1"/>
  <c r="Q171" i="1"/>
  <c r="R171" i="1" s="1"/>
  <c r="S171" i="1" s="1"/>
  <c r="N171" i="1"/>
  <c r="W170" i="1"/>
  <c r="R170" i="1"/>
  <c r="S170" i="1" s="1"/>
  <c r="Q170" i="1"/>
  <c r="N170" i="1"/>
  <c r="W169" i="1"/>
  <c r="Q169" i="1"/>
  <c r="R169" i="1" s="1"/>
  <c r="S169" i="1" s="1"/>
  <c r="N169" i="1"/>
  <c r="W168" i="1"/>
  <c r="R168" i="1"/>
  <c r="S168" i="1" s="1"/>
  <c r="Q168" i="1"/>
  <c r="N168" i="1"/>
  <c r="W167" i="1"/>
  <c r="Q167" i="1"/>
  <c r="R167" i="1" s="1"/>
  <c r="S167" i="1" s="1"/>
  <c r="N167" i="1"/>
  <c r="W166" i="1"/>
  <c r="R166" i="1"/>
  <c r="S166" i="1" s="1"/>
  <c r="Q166" i="1"/>
  <c r="N166" i="1"/>
  <c r="W165" i="1"/>
  <c r="Q165" i="1"/>
  <c r="R165" i="1" s="1"/>
  <c r="S165" i="1" s="1"/>
  <c r="N165" i="1"/>
  <c r="W164" i="1"/>
  <c r="R164" i="1"/>
  <c r="S164" i="1" s="1"/>
  <c r="Q164" i="1"/>
  <c r="N164" i="1"/>
  <c r="W163" i="1"/>
  <c r="Q163" i="1"/>
  <c r="R163" i="1" s="1"/>
  <c r="S163" i="1" s="1"/>
  <c r="N163" i="1"/>
  <c r="W162" i="1"/>
  <c r="S162" i="1"/>
  <c r="Q162" i="1"/>
  <c r="R162" i="1" s="1"/>
  <c r="N162" i="1"/>
  <c r="W161" i="1"/>
  <c r="S161" i="1"/>
  <c r="R161" i="1"/>
  <c r="Q161" i="1"/>
  <c r="N161" i="1"/>
  <c r="W160" i="1"/>
  <c r="R160" i="1"/>
  <c r="S160" i="1" s="1"/>
  <c r="Q160" i="1"/>
  <c r="O160" i="1"/>
  <c r="O161" i="1" s="1"/>
  <c r="O162" i="1" s="1"/>
  <c r="O163" i="1" s="1"/>
  <c r="N160" i="1"/>
  <c r="W159" i="1"/>
  <c r="R159" i="1"/>
  <c r="S159" i="1" s="1"/>
  <c r="Q159" i="1"/>
  <c r="N159" i="1"/>
  <c r="O159" i="1" s="1"/>
  <c r="W158" i="1"/>
  <c r="S158" i="1"/>
  <c r="R158" i="1"/>
  <c r="Q158" i="1"/>
  <c r="N158" i="1"/>
  <c r="O158" i="1" s="1"/>
  <c r="W157" i="1"/>
  <c r="R157" i="1"/>
  <c r="S157" i="1" s="1"/>
  <c r="Q157" i="1"/>
  <c r="N157" i="1"/>
  <c r="W156" i="1"/>
  <c r="S156" i="1"/>
  <c r="R156" i="1"/>
  <c r="Q156" i="1"/>
  <c r="N156" i="1"/>
  <c r="W155" i="1"/>
  <c r="Q155" i="1"/>
  <c r="R155" i="1" s="1"/>
  <c r="S155" i="1" s="1"/>
  <c r="O155" i="1"/>
  <c r="N155" i="1"/>
  <c r="W154" i="1"/>
  <c r="Q154" i="1"/>
  <c r="R154" i="1" s="1"/>
  <c r="S154" i="1" s="1"/>
  <c r="N154" i="1"/>
  <c r="W153" i="1"/>
  <c r="Q153" i="1"/>
  <c r="R153" i="1" s="1"/>
  <c r="S153" i="1" s="1"/>
  <c r="N153" i="1"/>
  <c r="W152" i="1"/>
  <c r="Q152" i="1"/>
  <c r="R152" i="1" s="1"/>
  <c r="S152" i="1" s="1"/>
  <c r="N152" i="1"/>
  <c r="W151" i="1"/>
  <c r="Q151" i="1"/>
  <c r="R151" i="1" s="1"/>
  <c r="S151" i="1" s="1"/>
  <c r="N151" i="1"/>
  <c r="W150" i="1"/>
  <c r="Q150" i="1"/>
  <c r="R150" i="1" s="1"/>
  <c r="S150" i="1" s="1"/>
  <c r="N150" i="1"/>
  <c r="W149" i="1"/>
  <c r="R149" i="1"/>
  <c r="S149" i="1" s="1"/>
  <c r="Q149" i="1"/>
  <c r="N149" i="1"/>
  <c r="W148" i="1"/>
  <c r="Q148" i="1"/>
  <c r="R148" i="1" s="1"/>
  <c r="S148" i="1" s="1"/>
  <c r="N148" i="1"/>
  <c r="W147" i="1"/>
  <c r="R147" i="1"/>
  <c r="S147" i="1" s="1"/>
  <c r="Q147" i="1"/>
  <c r="N147" i="1"/>
  <c r="W146" i="1"/>
  <c r="Q146" i="1"/>
  <c r="R146" i="1" s="1"/>
  <c r="S146" i="1" s="1"/>
  <c r="N146" i="1"/>
  <c r="W145" i="1"/>
  <c r="R145" i="1"/>
  <c r="S145" i="1" s="1"/>
  <c r="Q145" i="1"/>
  <c r="N145" i="1"/>
  <c r="W144" i="1"/>
  <c r="Q144" i="1"/>
  <c r="R144" i="1" s="1"/>
  <c r="S144" i="1" s="1"/>
  <c r="N144" i="1"/>
  <c r="O144" i="1" s="1"/>
  <c r="O145" i="1" s="1"/>
  <c r="O146" i="1" s="1"/>
  <c r="W143" i="1"/>
  <c r="S143" i="1"/>
  <c r="R143" i="1"/>
  <c r="Q143" i="1"/>
  <c r="N143" i="1"/>
  <c r="W142" i="1"/>
  <c r="R142" i="1"/>
  <c r="S142" i="1" s="1"/>
  <c r="Q142" i="1"/>
  <c r="N142" i="1"/>
  <c r="O142" i="1" s="1"/>
  <c r="W141" i="1"/>
  <c r="Q141" i="1"/>
  <c r="R141" i="1" s="1"/>
  <c r="S141" i="1" s="1"/>
  <c r="N141" i="1"/>
  <c r="W140" i="1"/>
  <c r="Q140" i="1"/>
  <c r="R140" i="1" s="1"/>
  <c r="S140" i="1" s="1"/>
  <c r="N140" i="1"/>
  <c r="W139" i="1"/>
  <c r="R139" i="1"/>
  <c r="S139" i="1" s="1"/>
  <c r="Q139" i="1"/>
  <c r="N139" i="1"/>
  <c r="W138" i="1"/>
  <c r="R138" i="1"/>
  <c r="S138" i="1" s="1"/>
  <c r="Q138" i="1"/>
  <c r="N138" i="1"/>
  <c r="W137" i="1"/>
  <c r="S137" i="1"/>
  <c r="Q137" i="1"/>
  <c r="R137" i="1" s="1"/>
  <c r="N137" i="1"/>
  <c r="W136" i="1"/>
  <c r="R136" i="1"/>
  <c r="S136" i="1" s="1"/>
  <c r="Q136" i="1"/>
  <c r="N136" i="1"/>
  <c r="W135" i="1"/>
  <c r="R135" i="1"/>
  <c r="S135" i="1" s="1"/>
  <c r="Q135" i="1"/>
  <c r="N135" i="1"/>
  <c r="W134" i="1"/>
  <c r="S134" i="1"/>
  <c r="R134" i="1"/>
  <c r="Q134" i="1"/>
  <c r="N134" i="1"/>
  <c r="W133" i="1"/>
  <c r="Q133" i="1"/>
  <c r="R133" i="1" s="1"/>
  <c r="S133" i="1" s="1"/>
  <c r="N133" i="1"/>
  <c r="I133" i="1"/>
  <c r="W132" i="1"/>
  <c r="R132" i="1"/>
  <c r="S132" i="1" s="1"/>
  <c r="Q132" i="1"/>
  <c r="N132" i="1"/>
  <c r="W131" i="1"/>
  <c r="S131" i="1"/>
  <c r="Q131" i="1"/>
  <c r="R131" i="1" s="1"/>
  <c r="O131" i="1"/>
  <c r="O132" i="1" s="1"/>
  <c r="O133" i="1" s="1"/>
  <c r="O134" i="1" s="1"/>
  <c r="O135" i="1" s="1"/>
  <c r="O136" i="1" s="1"/>
  <c r="O137" i="1" s="1"/>
  <c r="O138" i="1" s="1"/>
  <c r="O139" i="1" s="1"/>
  <c r="N131" i="1"/>
  <c r="I131" i="1"/>
  <c r="W130" i="1"/>
  <c r="R130" i="1"/>
  <c r="S130" i="1" s="1"/>
  <c r="Q130" i="1"/>
  <c r="N130" i="1"/>
  <c r="H130" i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Y129" i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W129" i="1"/>
  <c r="Q129" i="1"/>
  <c r="R129" i="1" s="1"/>
  <c r="S129" i="1" s="1"/>
  <c r="N129" i="1"/>
  <c r="I129" i="1"/>
  <c r="H129" i="1"/>
  <c r="W128" i="1"/>
  <c r="S128" i="1"/>
  <c r="R128" i="1"/>
  <c r="Q128" i="1"/>
  <c r="N128" i="1"/>
  <c r="O128" i="1" s="1"/>
  <c r="W127" i="1"/>
  <c r="R127" i="1"/>
  <c r="S127" i="1" s="1"/>
  <c r="N127" i="1"/>
  <c r="W126" i="1"/>
  <c r="R126" i="1"/>
  <c r="S126" i="1" s="1"/>
  <c r="N126" i="1"/>
  <c r="W125" i="1"/>
  <c r="S125" i="1"/>
  <c r="R125" i="1"/>
  <c r="N125" i="1"/>
  <c r="W124" i="1"/>
  <c r="S124" i="1"/>
  <c r="R124" i="1"/>
  <c r="N124" i="1"/>
  <c r="W123" i="1"/>
  <c r="S123" i="1"/>
  <c r="R123" i="1"/>
  <c r="N123" i="1"/>
  <c r="O123" i="1" s="1"/>
  <c r="O124" i="1" s="1"/>
  <c r="O125" i="1" s="1"/>
  <c r="W122" i="1"/>
  <c r="S122" i="1"/>
  <c r="R122" i="1"/>
  <c r="N122" i="1"/>
  <c r="W121" i="1"/>
  <c r="R121" i="1"/>
  <c r="S121" i="1" s="1"/>
  <c r="N121" i="1"/>
  <c r="W120" i="1"/>
  <c r="R120" i="1"/>
  <c r="S120" i="1" s="1"/>
  <c r="O120" i="1"/>
  <c r="N120" i="1"/>
  <c r="W119" i="1"/>
  <c r="R119" i="1"/>
  <c r="S119" i="1" s="1"/>
  <c r="N119" i="1"/>
  <c r="W118" i="1"/>
  <c r="R118" i="1"/>
  <c r="S118" i="1" s="1"/>
  <c r="N118" i="1"/>
  <c r="W117" i="1"/>
  <c r="S117" i="1"/>
  <c r="R117" i="1"/>
  <c r="N117" i="1"/>
  <c r="W116" i="1"/>
  <c r="S116" i="1"/>
  <c r="R116" i="1"/>
  <c r="N116" i="1"/>
  <c r="W115" i="1"/>
  <c r="S115" i="1"/>
  <c r="R115" i="1"/>
  <c r="N115" i="1"/>
  <c r="W114" i="1"/>
  <c r="S114" i="1"/>
  <c r="R114" i="1"/>
  <c r="N114" i="1"/>
  <c r="W113" i="1"/>
  <c r="S113" i="1"/>
  <c r="R113" i="1"/>
  <c r="N113" i="1"/>
  <c r="W112" i="1"/>
  <c r="S112" i="1"/>
  <c r="R112" i="1"/>
  <c r="N112" i="1"/>
  <c r="W111" i="1"/>
  <c r="S111" i="1"/>
  <c r="R111" i="1"/>
  <c r="N111" i="1"/>
  <c r="W110" i="1"/>
  <c r="S110" i="1"/>
  <c r="R110" i="1"/>
  <c r="N110" i="1"/>
  <c r="W109" i="1"/>
  <c r="S109" i="1"/>
  <c r="R109" i="1"/>
  <c r="N109" i="1"/>
  <c r="W108" i="1"/>
  <c r="S108" i="1"/>
  <c r="R108" i="1"/>
  <c r="N108" i="1"/>
  <c r="W107" i="1"/>
  <c r="S107" i="1"/>
  <c r="R107" i="1"/>
  <c r="N107" i="1"/>
  <c r="W106" i="1"/>
  <c r="S106" i="1"/>
  <c r="R106" i="1"/>
  <c r="N106" i="1"/>
  <c r="W105" i="1"/>
  <c r="S105" i="1"/>
  <c r="R105" i="1"/>
  <c r="N105" i="1"/>
  <c r="W104" i="1"/>
  <c r="S104" i="1"/>
  <c r="R104" i="1"/>
  <c r="N104" i="1"/>
  <c r="W103" i="1"/>
  <c r="S103" i="1"/>
  <c r="R103" i="1"/>
  <c r="N103" i="1"/>
  <c r="W102" i="1"/>
  <c r="S102" i="1"/>
  <c r="R102" i="1"/>
  <c r="N102" i="1"/>
  <c r="W101" i="1"/>
  <c r="S101" i="1"/>
  <c r="R101" i="1"/>
  <c r="N101" i="1"/>
  <c r="W100" i="1"/>
  <c r="S100" i="1"/>
  <c r="R100" i="1"/>
  <c r="N100" i="1"/>
  <c r="W99" i="1"/>
  <c r="S99" i="1"/>
  <c r="R99" i="1"/>
  <c r="N99" i="1"/>
  <c r="W98" i="1"/>
  <c r="S98" i="1"/>
  <c r="R98" i="1"/>
  <c r="N98" i="1"/>
  <c r="W97" i="1"/>
  <c r="S97" i="1"/>
  <c r="R97" i="1"/>
  <c r="N97" i="1"/>
  <c r="W96" i="1"/>
  <c r="S96" i="1"/>
  <c r="R96" i="1"/>
  <c r="N96" i="1"/>
  <c r="W95" i="1"/>
  <c r="S95" i="1"/>
  <c r="R95" i="1"/>
  <c r="N95" i="1"/>
  <c r="W94" i="1"/>
  <c r="S94" i="1"/>
  <c r="R94" i="1"/>
  <c r="N94" i="1"/>
  <c r="W93" i="1"/>
  <c r="S93" i="1"/>
  <c r="R93" i="1"/>
  <c r="N93" i="1"/>
  <c r="W92" i="1"/>
  <c r="S92" i="1"/>
  <c r="R92" i="1"/>
  <c r="N92" i="1"/>
  <c r="W91" i="1"/>
  <c r="R91" i="1"/>
  <c r="S91" i="1" s="1"/>
  <c r="N91" i="1"/>
  <c r="W90" i="1"/>
  <c r="R90" i="1"/>
  <c r="S90" i="1" s="1"/>
  <c r="N90" i="1"/>
  <c r="W89" i="1"/>
  <c r="R89" i="1"/>
  <c r="S89" i="1" s="1"/>
  <c r="N89" i="1"/>
  <c r="W88" i="1"/>
  <c r="R88" i="1"/>
  <c r="S88" i="1" s="1"/>
  <c r="N88" i="1"/>
  <c r="W87" i="1"/>
  <c r="S87" i="1"/>
  <c r="R87" i="1"/>
  <c r="N87" i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W86" i="1"/>
  <c r="S86" i="1"/>
  <c r="R86" i="1"/>
  <c r="N86" i="1"/>
  <c r="W85" i="1"/>
  <c r="S85" i="1"/>
  <c r="R85" i="1"/>
  <c r="N85" i="1"/>
  <c r="I85" i="1"/>
  <c r="W84" i="1"/>
  <c r="R84" i="1"/>
  <c r="S84" i="1" s="1"/>
  <c r="N84" i="1"/>
  <c r="Z83" i="1"/>
  <c r="W83" i="1"/>
  <c r="S83" i="1"/>
  <c r="R83" i="1"/>
  <c r="N83" i="1"/>
  <c r="I83" i="1"/>
  <c r="Y82" i="1"/>
  <c r="Y83" i="1" s="1"/>
  <c r="Y84" i="1" s="1"/>
  <c r="Y85" i="1" s="1"/>
  <c r="Y86" i="1" s="1"/>
  <c r="Y87" i="1" s="1"/>
  <c r="Y88" i="1" s="1"/>
  <c r="Y89" i="1" s="1"/>
  <c r="Y90" i="1" s="1"/>
  <c r="Y91" i="1" s="1"/>
  <c r="Y92" i="1" s="1"/>
  <c r="Y93" i="1" s="1"/>
  <c r="Y94" i="1" s="1"/>
  <c r="Y95" i="1" s="1"/>
  <c r="Y96" i="1" s="1"/>
  <c r="Y97" i="1" s="1"/>
  <c r="Y98" i="1" s="1"/>
  <c r="Y99" i="1" s="1"/>
  <c r="Y100" i="1" s="1"/>
  <c r="Y101" i="1" s="1"/>
  <c r="Y102" i="1" s="1"/>
  <c r="Y103" i="1" s="1"/>
  <c r="Y104" i="1" s="1"/>
  <c r="Y105" i="1" s="1"/>
  <c r="Y106" i="1" s="1"/>
  <c r="Y107" i="1" s="1"/>
  <c r="Y108" i="1" s="1"/>
  <c r="Y109" i="1" s="1"/>
  <c r="Y110" i="1" s="1"/>
  <c r="Y111" i="1" s="1"/>
  <c r="Y112" i="1" s="1"/>
  <c r="Y113" i="1" s="1"/>
  <c r="Y114" i="1" s="1"/>
  <c r="Y115" i="1" s="1"/>
  <c r="Y116" i="1" s="1"/>
  <c r="Y117" i="1" s="1"/>
  <c r="Y118" i="1" s="1"/>
  <c r="Y119" i="1" s="1"/>
  <c r="Y120" i="1" s="1"/>
  <c r="Y121" i="1" s="1"/>
  <c r="Y122" i="1" s="1"/>
  <c r="Y123" i="1" s="1"/>
  <c r="Y124" i="1" s="1"/>
  <c r="Y125" i="1" s="1"/>
  <c r="Y126" i="1" s="1"/>
  <c r="Y127" i="1" s="1"/>
  <c r="W82" i="1"/>
  <c r="S82" i="1"/>
  <c r="R82" i="1"/>
  <c r="N82" i="1"/>
  <c r="Y81" i="1"/>
  <c r="W81" i="1"/>
  <c r="S81" i="1"/>
  <c r="R81" i="1"/>
  <c r="N81" i="1"/>
  <c r="I81" i="1"/>
  <c r="H81" i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Y80" i="1"/>
  <c r="W80" i="1"/>
  <c r="S80" i="1"/>
  <c r="R80" i="1"/>
  <c r="N80" i="1"/>
  <c r="O80" i="1" s="1"/>
  <c r="O81" i="1" s="1"/>
  <c r="O82" i="1" s="1"/>
  <c r="O83" i="1" s="1"/>
  <c r="H80" i="1"/>
  <c r="W79" i="1"/>
  <c r="S79" i="1"/>
  <c r="R79" i="1"/>
  <c r="Q79" i="1"/>
  <c r="N79" i="1"/>
  <c r="W78" i="1"/>
  <c r="Q78" i="1"/>
  <c r="R78" i="1" s="1"/>
  <c r="S78" i="1" s="1"/>
  <c r="N78" i="1"/>
  <c r="W77" i="1"/>
  <c r="S77" i="1"/>
  <c r="R77" i="1"/>
  <c r="Q77" i="1"/>
  <c r="O77" i="1"/>
  <c r="N77" i="1"/>
  <c r="W76" i="1"/>
  <c r="R76" i="1"/>
  <c r="S76" i="1" s="1"/>
  <c r="Q76" i="1"/>
  <c r="N76" i="1"/>
  <c r="W75" i="1"/>
  <c r="Q75" i="1"/>
  <c r="R75" i="1" s="1"/>
  <c r="S75" i="1" s="1"/>
  <c r="N75" i="1"/>
  <c r="W74" i="1"/>
  <c r="S74" i="1"/>
  <c r="R74" i="1"/>
  <c r="Q74" i="1"/>
  <c r="N74" i="1"/>
  <c r="O74" i="1" s="1"/>
  <c r="O75" i="1" s="1"/>
  <c r="W73" i="1"/>
  <c r="S73" i="1"/>
  <c r="R73" i="1"/>
  <c r="Q73" i="1"/>
  <c r="N73" i="1"/>
  <c r="W72" i="1"/>
  <c r="Q72" i="1"/>
  <c r="R72" i="1" s="1"/>
  <c r="S72" i="1" s="1"/>
  <c r="N72" i="1"/>
  <c r="W71" i="1"/>
  <c r="S71" i="1"/>
  <c r="R71" i="1"/>
  <c r="Q71" i="1"/>
  <c r="N71" i="1"/>
  <c r="W70" i="1"/>
  <c r="R70" i="1"/>
  <c r="S70" i="1" s="1"/>
  <c r="Q70" i="1"/>
  <c r="N70" i="1"/>
  <c r="W69" i="1"/>
  <c r="Q69" i="1"/>
  <c r="R69" i="1" s="1"/>
  <c r="S69" i="1" s="1"/>
  <c r="N69" i="1"/>
  <c r="W68" i="1"/>
  <c r="Q68" i="1"/>
  <c r="R68" i="1" s="1"/>
  <c r="S68" i="1" s="1"/>
  <c r="N68" i="1"/>
  <c r="W67" i="1"/>
  <c r="S67" i="1"/>
  <c r="R67" i="1"/>
  <c r="Q67" i="1"/>
  <c r="N67" i="1"/>
  <c r="W66" i="1"/>
  <c r="R66" i="1"/>
  <c r="S66" i="1" s="1"/>
  <c r="Q66" i="1"/>
  <c r="N66" i="1"/>
  <c r="W65" i="1"/>
  <c r="Q65" i="1"/>
  <c r="R65" i="1" s="1"/>
  <c r="S65" i="1" s="1"/>
  <c r="N65" i="1"/>
  <c r="W64" i="1"/>
  <c r="Q64" i="1"/>
  <c r="R64" i="1" s="1"/>
  <c r="S64" i="1" s="1"/>
  <c r="N64" i="1"/>
  <c r="W63" i="1"/>
  <c r="S63" i="1"/>
  <c r="R63" i="1"/>
  <c r="Q63" i="1"/>
  <c r="N63" i="1"/>
  <c r="W62" i="1"/>
  <c r="S62" i="1"/>
  <c r="R62" i="1"/>
  <c r="Q62" i="1"/>
  <c r="N62" i="1"/>
  <c r="W61" i="1"/>
  <c r="Q61" i="1"/>
  <c r="R61" i="1" s="1"/>
  <c r="S61" i="1" s="1"/>
  <c r="N61" i="1"/>
  <c r="W60" i="1"/>
  <c r="Q60" i="1"/>
  <c r="R60" i="1" s="1"/>
  <c r="S60" i="1" s="1"/>
  <c r="N60" i="1"/>
  <c r="W59" i="1"/>
  <c r="S59" i="1"/>
  <c r="R59" i="1"/>
  <c r="Q59" i="1"/>
  <c r="N59" i="1"/>
  <c r="W58" i="1"/>
  <c r="R58" i="1"/>
  <c r="S58" i="1" s="1"/>
  <c r="Q58" i="1"/>
  <c r="N58" i="1"/>
  <c r="W57" i="1"/>
  <c r="Q57" i="1"/>
  <c r="R57" i="1" s="1"/>
  <c r="S57" i="1" s="1"/>
  <c r="N57" i="1"/>
  <c r="W56" i="1"/>
  <c r="Q56" i="1"/>
  <c r="R56" i="1" s="1"/>
  <c r="S56" i="1" s="1"/>
  <c r="N56" i="1"/>
  <c r="W55" i="1"/>
  <c r="S55" i="1"/>
  <c r="R55" i="1"/>
  <c r="Q55" i="1"/>
  <c r="N55" i="1"/>
  <c r="W54" i="1"/>
  <c r="S54" i="1"/>
  <c r="R54" i="1"/>
  <c r="Q54" i="1"/>
  <c r="N54" i="1"/>
  <c r="W53" i="1"/>
  <c r="Q53" i="1"/>
  <c r="R53" i="1" s="1"/>
  <c r="S53" i="1" s="1"/>
  <c r="N53" i="1"/>
  <c r="W52" i="1"/>
  <c r="Q52" i="1"/>
  <c r="R52" i="1" s="1"/>
  <c r="S52" i="1" s="1"/>
  <c r="N52" i="1"/>
  <c r="W51" i="1"/>
  <c r="S51" i="1"/>
  <c r="R51" i="1"/>
  <c r="Q51" i="1"/>
  <c r="N51" i="1"/>
  <c r="W50" i="1"/>
  <c r="R50" i="1"/>
  <c r="S50" i="1" s="1"/>
  <c r="Q50" i="1"/>
  <c r="N50" i="1"/>
  <c r="W49" i="1"/>
  <c r="Q49" i="1"/>
  <c r="R49" i="1" s="1"/>
  <c r="S49" i="1" s="1"/>
  <c r="N49" i="1"/>
  <c r="W48" i="1"/>
  <c r="Q48" i="1"/>
  <c r="R48" i="1" s="1"/>
  <c r="S48" i="1" s="1"/>
  <c r="N48" i="1"/>
  <c r="W47" i="1"/>
  <c r="S47" i="1"/>
  <c r="R47" i="1"/>
  <c r="Q47" i="1"/>
  <c r="N47" i="1"/>
  <c r="W46" i="1"/>
  <c r="S46" i="1"/>
  <c r="R46" i="1"/>
  <c r="Q46" i="1"/>
  <c r="N46" i="1"/>
  <c r="W45" i="1"/>
  <c r="Q45" i="1"/>
  <c r="R45" i="1" s="1"/>
  <c r="S45" i="1" s="1"/>
  <c r="N45" i="1"/>
  <c r="W44" i="1"/>
  <c r="Q44" i="1"/>
  <c r="R44" i="1" s="1"/>
  <c r="S44" i="1" s="1"/>
  <c r="N44" i="1"/>
  <c r="W43" i="1"/>
  <c r="S43" i="1"/>
  <c r="R43" i="1"/>
  <c r="Q43" i="1"/>
  <c r="N43" i="1"/>
  <c r="W42" i="1"/>
  <c r="R42" i="1"/>
  <c r="S42" i="1" s="1"/>
  <c r="Q42" i="1"/>
  <c r="N42" i="1"/>
  <c r="W41" i="1"/>
  <c r="Q41" i="1"/>
  <c r="R41" i="1" s="1"/>
  <c r="S41" i="1" s="1"/>
  <c r="N41" i="1"/>
  <c r="W40" i="1"/>
  <c r="Q40" i="1"/>
  <c r="R40" i="1" s="1"/>
  <c r="S40" i="1" s="1"/>
  <c r="N40" i="1"/>
  <c r="W39" i="1"/>
  <c r="S39" i="1"/>
  <c r="R39" i="1"/>
  <c r="Q39" i="1"/>
  <c r="N39" i="1"/>
  <c r="W38" i="1"/>
  <c r="R38" i="1"/>
  <c r="S38" i="1" s="1"/>
  <c r="Q38" i="1"/>
  <c r="N38" i="1"/>
  <c r="W37" i="1"/>
  <c r="Q37" i="1"/>
  <c r="R37" i="1" s="1"/>
  <c r="S37" i="1" s="1"/>
  <c r="N37" i="1"/>
  <c r="W36" i="1"/>
  <c r="Q36" i="1"/>
  <c r="R36" i="1" s="1"/>
  <c r="S36" i="1" s="1"/>
  <c r="N36" i="1"/>
  <c r="W35" i="1"/>
  <c r="S35" i="1"/>
  <c r="R35" i="1"/>
  <c r="Q35" i="1"/>
  <c r="N35" i="1"/>
  <c r="W34" i="1"/>
  <c r="R34" i="1"/>
  <c r="S34" i="1" s="1"/>
  <c r="Q34" i="1"/>
  <c r="N34" i="1"/>
  <c r="W33" i="1"/>
  <c r="Q33" i="1"/>
  <c r="R33" i="1" s="1"/>
  <c r="S33" i="1" s="1"/>
  <c r="N33" i="1"/>
  <c r="W32" i="1"/>
  <c r="Q32" i="1"/>
  <c r="R32" i="1" s="1"/>
  <c r="S32" i="1" s="1"/>
  <c r="N32" i="1"/>
  <c r="W31" i="1"/>
  <c r="R31" i="1"/>
  <c r="S31" i="1" s="1"/>
  <c r="Q31" i="1"/>
  <c r="N31" i="1"/>
  <c r="W30" i="1"/>
  <c r="R30" i="1"/>
  <c r="S30" i="1" s="1"/>
  <c r="Q30" i="1"/>
  <c r="N30" i="1"/>
  <c r="W29" i="1"/>
  <c r="Q29" i="1"/>
  <c r="R29" i="1" s="1"/>
  <c r="S29" i="1" s="1"/>
  <c r="N29" i="1"/>
  <c r="W28" i="1"/>
  <c r="S28" i="1"/>
  <c r="Q28" i="1"/>
  <c r="R28" i="1" s="1"/>
  <c r="N28" i="1"/>
  <c r="W27" i="1"/>
  <c r="S27" i="1"/>
  <c r="R27" i="1"/>
  <c r="Q27" i="1"/>
  <c r="N27" i="1"/>
  <c r="W26" i="1"/>
  <c r="R26" i="1"/>
  <c r="S26" i="1" s="1"/>
  <c r="Q26" i="1"/>
  <c r="N26" i="1"/>
  <c r="W25" i="1"/>
  <c r="Q25" i="1"/>
  <c r="R25" i="1" s="1"/>
  <c r="S25" i="1" s="1"/>
  <c r="N25" i="1"/>
  <c r="W24" i="1"/>
  <c r="Q24" i="1"/>
  <c r="R24" i="1" s="1"/>
  <c r="S24" i="1" s="1"/>
  <c r="N24" i="1"/>
  <c r="W23" i="1"/>
  <c r="R23" i="1"/>
  <c r="S23" i="1" s="1"/>
  <c r="Q23" i="1"/>
  <c r="N23" i="1"/>
  <c r="W22" i="1"/>
  <c r="R22" i="1"/>
  <c r="S22" i="1" s="1"/>
  <c r="Q22" i="1"/>
  <c r="N22" i="1"/>
  <c r="W21" i="1"/>
  <c r="Q21" i="1"/>
  <c r="R21" i="1" s="1"/>
  <c r="S21" i="1" s="1"/>
  <c r="N21" i="1"/>
  <c r="W20" i="1"/>
  <c r="S20" i="1"/>
  <c r="Q20" i="1"/>
  <c r="R20" i="1" s="1"/>
  <c r="N20" i="1"/>
  <c r="W19" i="1"/>
  <c r="S19" i="1"/>
  <c r="R19" i="1"/>
  <c r="Q19" i="1"/>
  <c r="N19" i="1"/>
  <c r="W18" i="1"/>
  <c r="R18" i="1"/>
  <c r="S18" i="1" s="1"/>
  <c r="Q18" i="1"/>
  <c r="N18" i="1"/>
  <c r="W17" i="1"/>
  <c r="R17" i="1"/>
  <c r="S17" i="1" s="1"/>
  <c r="Q17" i="1"/>
  <c r="N17" i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W16" i="1"/>
  <c r="Q16" i="1"/>
  <c r="R16" i="1" s="1"/>
  <c r="S16" i="1" s="1"/>
  <c r="N16" i="1"/>
  <c r="W15" i="1"/>
  <c r="Q15" i="1"/>
  <c r="R15" i="1" s="1"/>
  <c r="S15" i="1" s="1"/>
  <c r="N15" i="1"/>
  <c r="W14" i="1"/>
  <c r="Q14" i="1"/>
  <c r="R14" i="1" s="1"/>
  <c r="S14" i="1" s="1"/>
  <c r="N14" i="1"/>
  <c r="W13" i="1"/>
  <c r="S13" i="1"/>
  <c r="R13" i="1"/>
  <c r="N13" i="1"/>
  <c r="W12" i="1"/>
  <c r="R12" i="1"/>
  <c r="S12" i="1" s="1"/>
  <c r="N12" i="1"/>
  <c r="W11" i="1"/>
  <c r="R11" i="1"/>
  <c r="S11" i="1" s="1"/>
  <c r="N11" i="1"/>
  <c r="I11" i="1"/>
  <c r="W10" i="1"/>
  <c r="R10" i="1"/>
  <c r="S10" i="1" s="1"/>
  <c r="O10" i="1"/>
  <c r="O11" i="1" s="1"/>
  <c r="N10" i="1"/>
  <c r="Z9" i="1"/>
  <c r="W9" i="1"/>
  <c r="S9" i="1"/>
  <c r="T9" i="1" s="1"/>
  <c r="R9" i="1"/>
  <c r="N9" i="1"/>
  <c r="I9" i="1"/>
  <c r="W8" i="1"/>
  <c r="R8" i="1"/>
  <c r="S8" i="1" s="1"/>
  <c r="N8" i="1"/>
  <c r="W7" i="1"/>
  <c r="R7" i="1"/>
  <c r="S7" i="1" s="1"/>
  <c r="N7" i="1"/>
  <c r="M7" i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I7" i="1"/>
  <c r="X7" i="1"/>
  <c r="X8" i="1" s="1"/>
  <c r="X9" i="1" s="1"/>
  <c r="X10" i="1" s="1"/>
  <c r="X11" i="1" s="1"/>
  <c r="X12" i="1" s="1"/>
  <c r="X13" i="1" s="1"/>
  <c r="X14" i="1" s="1"/>
  <c r="X15" i="1" s="1"/>
  <c r="X16" i="1" s="1"/>
  <c r="X17" i="1" s="1"/>
  <c r="X18" i="1" s="1"/>
  <c r="X19" i="1" s="1"/>
  <c r="X20" i="1" s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W6" i="1"/>
  <c r="S6" i="1"/>
  <c r="R6" i="1"/>
  <c r="N6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T300" i="2" l="1"/>
  <c r="T301" i="2" s="1"/>
  <c r="T302" i="2" s="1"/>
  <c r="T303" i="2" s="1"/>
  <c r="T304" i="2" s="1"/>
  <c r="T305" i="2" s="1"/>
  <c r="T306" i="2" s="1"/>
  <c r="T307" i="2" s="1"/>
  <c r="T308" i="2" s="1"/>
  <c r="T10" i="2"/>
  <c r="O81" i="2"/>
  <c r="O82" i="2" s="1"/>
  <c r="O83" i="2" s="1"/>
  <c r="O145" i="2"/>
  <c r="O146" i="2" s="1"/>
  <c r="O180" i="2"/>
  <c r="O305" i="2"/>
  <c r="O306" i="2" s="1"/>
  <c r="O307" i="2" s="1"/>
  <c r="O308" i="2" s="1"/>
  <c r="O300" i="2"/>
  <c r="T10" i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O190" i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300" i="1"/>
  <c r="T11" i="2" l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T30" i="2" s="1"/>
  <c r="T31" i="2" s="1"/>
  <c r="T32" i="2" s="1"/>
  <c r="T33" i="2" s="1"/>
  <c r="T34" i="2" s="1"/>
  <c r="T35" i="2" s="1"/>
  <c r="T36" i="2" s="1"/>
  <c r="T37" i="2" s="1"/>
  <c r="T38" i="2" s="1"/>
  <c r="T39" i="2" s="1"/>
  <c r="T40" i="2" s="1"/>
  <c r="T41" i="2" s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U17" i="1"/>
  <c r="U15" i="1"/>
  <c r="T81" i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81" i="2" l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U17" i="2"/>
  <c r="U15" i="2"/>
  <c r="T129" i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U87" i="1"/>
  <c r="U91" i="1"/>
  <c r="U91" i="2" l="1"/>
  <c r="T129" i="2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U87" i="2"/>
  <c r="U139" i="1"/>
  <c r="U135" i="1"/>
  <c r="T204" i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U137" i="1"/>
  <c r="U137" i="2" l="1"/>
  <c r="U139" i="2"/>
  <c r="T203" i="2"/>
  <c r="U135" i="2"/>
  <c r="T204" i="2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U214" i="1"/>
  <c r="T225" i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U210" i="1"/>
  <c r="U212" i="1"/>
  <c r="T224" i="2" l="1"/>
  <c r="U212" i="2"/>
  <c r="U210" i="2"/>
  <c r="U214" i="2"/>
  <c r="U216" i="2" s="1"/>
  <c r="T225" i="2"/>
  <c r="T226" i="2" s="1"/>
  <c r="T227" i="2" s="1"/>
  <c r="T228" i="2" s="1"/>
  <c r="T229" i="2" s="1"/>
  <c r="T230" i="2" s="1"/>
  <c r="T231" i="2" s="1"/>
  <c r="T232" i="2" s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T253" i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U231" i="1"/>
  <c r="U235" i="1"/>
  <c r="U233" i="1"/>
  <c r="U233" i="2" l="1"/>
  <c r="T252" i="2"/>
  <c r="U235" i="2"/>
  <c r="U236" i="2" s="1"/>
  <c r="U231" i="2"/>
  <c r="U261" i="1"/>
  <c r="T276" i="1"/>
  <c r="T277" i="1" s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U286" i="1"/>
  <c r="U263" i="1"/>
  <c r="U259" i="1"/>
  <c r="T253" i="2" l="1"/>
  <c r="T254" i="2" s="1"/>
  <c r="T255" i="2" s="1"/>
  <c r="T256" i="2" s="1"/>
  <c r="T257" i="2" s="1"/>
  <c r="T258" i="2" s="1"/>
  <c r="T259" i="2" s="1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T274" i="2" s="1"/>
  <c r="U284" i="1"/>
  <c r="U259" i="2" l="1"/>
  <c r="U263" i="2"/>
  <c r="U265" i="2" s="1"/>
  <c r="T275" i="2"/>
  <c r="T276" i="2" s="1"/>
  <c r="T277" i="2" s="1"/>
  <c r="T278" i="2" s="1"/>
  <c r="U261" i="2"/>
  <c r="U284" i="2" l="1"/>
  <c r="U286" i="2"/>
  <c r="U288" i="2" s="1"/>
</calcChain>
</file>

<file path=xl/sharedStrings.xml><?xml version="1.0" encoding="utf-8"?>
<sst xmlns="http://schemas.openxmlformats.org/spreadsheetml/2006/main" count="322" uniqueCount="58">
  <si>
    <t>TEMPERATURE</t>
  </si>
  <si>
    <t>ETAT HYDRIQUE</t>
  </si>
  <si>
    <t>RAYONNEMENT</t>
  </si>
  <si>
    <t>BILAN HYDRIQUE</t>
  </si>
  <si>
    <t>Période</t>
  </si>
  <si>
    <t>DATE</t>
  </si>
  <si>
    <t>T_Q</t>
  </si>
  <si>
    <t>TINF_H_Q</t>
  </si>
  <si>
    <t>TSUP_H_Q</t>
  </si>
  <si>
    <t>GDD base 0°</t>
  </si>
  <si>
    <t>VAR</t>
  </si>
  <si>
    <t>PRELIQ_Q (mm)</t>
  </si>
  <si>
    <t>Cumul_P</t>
  </si>
  <si>
    <t>ETP_Q (mm)</t>
  </si>
  <si>
    <t>Cumul_ETP</t>
  </si>
  <si>
    <t>P-ETP</t>
  </si>
  <si>
    <t>Etat RU_1</t>
  </si>
  <si>
    <t>i</t>
  </si>
  <si>
    <t>kc</t>
  </si>
  <si>
    <t>ETM</t>
  </si>
  <si>
    <t>P-ETM</t>
  </si>
  <si>
    <t>WSC</t>
  </si>
  <si>
    <t>SSI_Q (J/cm2)</t>
  </si>
  <si>
    <t>QPT_Q</t>
  </si>
  <si>
    <t>Cumul_RG</t>
  </si>
  <si>
    <t>Photopériode</t>
  </si>
  <si>
    <t>SEMIS EUR14</t>
  </si>
  <si>
    <t>AUTOMNE</t>
  </si>
  <si>
    <t>Tmin</t>
  </si>
  <si>
    <t>nbj_sec</t>
  </si>
  <si>
    <t>crg</t>
  </si>
  <si>
    <t>Tmax</t>
  </si>
  <si>
    <t>nbj_water_deficit</t>
  </si>
  <si>
    <t>qpt_p</t>
  </si>
  <si>
    <t>Tmoy</t>
  </si>
  <si>
    <t>nbj_stress_hydro</t>
  </si>
  <si>
    <t>nbj_radinf_900</t>
  </si>
  <si>
    <t>nbj_tgel</t>
  </si>
  <si>
    <t>water_soil_content_min</t>
  </si>
  <si>
    <t>nbj_tsup25</t>
  </si>
  <si>
    <t>water_soil_content_max</t>
  </si>
  <si>
    <t>nbj_tinf5</t>
  </si>
  <si>
    <t>water_soil_content_moy</t>
  </si>
  <si>
    <t>gdd_p</t>
  </si>
  <si>
    <t>HIVER</t>
  </si>
  <si>
    <t>nbj_vern_opti</t>
  </si>
  <si>
    <t>MONTAISON</t>
  </si>
  <si>
    <t>Montego</t>
  </si>
  <si>
    <t>Aviso</t>
  </si>
  <si>
    <t>Fin FLO</t>
  </si>
  <si>
    <t>RECOLTE</t>
  </si>
  <si>
    <t>N40</t>
  </si>
  <si>
    <t>IRF</t>
  </si>
  <si>
    <t>TS</t>
  </si>
  <si>
    <t>DRF</t>
  </si>
  <si>
    <t>BI</t>
  </si>
  <si>
    <t>WSC_I</t>
  </si>
  <si>
    <t>N70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</si>
</sst>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0070C0"/>
        <bgColor indexed="64"/>
      </patternFill>
    </fill>
    <fill>
      <patternFill patternType="lightGray"/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darkUp">
        <bgColor rgb="FFFFFF00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applyFill="1" applyAlignme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ill="1"/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0" fillId="2" borderId="0" xfId="0" applyFill="1"/>
    <xf numFmtId="14" fontId="0" fillId="3" borderId="0" xfId="0" applyNumberFormat="1" applyFill="1"/>
    <xf numFmtId="0" fontId="0" fillId="3" borderId="0" xfId="0" applyFill="1"/>
    <xf numFmtId="0" fontId="1" fillId="0" borderId="0" xfId="0" applyFont="1" applyFill="1" applyAlignment="1">
      <alignment horizontal="center" vertical="center"/>
    </xf>
    <xf numFmtId="14" fontId="0" fillId="4" borderId="0" xfId="0" applyNumberFormat="1" applyFill="1"/>
    <xf numFmtId="0" fontId="0" fillId="0" borderId="1" xfId="0" applyFill="1" applyBorder="1"/>
    <xf numFmtId="0" fontId="0" fillId="0" borderId="0" xfId="0" applyFill="1" applyBorder="1"/>
    <xf numFmtId="164" fontId="0" fillId="0" borderId="0" xfId="0" applyNumberFormat="1" applyFill="1" applyBorder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164" fontId="0" fillId="0" borderId="2" xfId="0" applyNumberFormat="1" applyBorder="1"/>
    <xf numFmtId="0" fontId="0" fillId="9" borderId="0" xfId="0" applyFill="1"/>
    <xf numFmtId="2" fontId="0" fillId="0" borderId="0" xfId="0" applyNumberFormat="1"/>
    <xf numFmtId="164" fontId="0" fillId="0" borderId="0" xfId="0" applyNumberFormat="1"/>
    <xf numFmtId="0" fontId="0" fillId="10" borderId="0" xfId="0" applyFill="1"/>
    <xf numFmtId="0" fontId="0" fillId="11" borderId="0" xfId="0" applyFill="1"/>
    <xf numFmtId="0" fontId="4" fillId="0" borderId="0" xfId="0" applyFont="1" applyFill="1" applyAlignment="1">
      <alignment horizontal="center" vertical="center"/>
    </xf>
    <xf numFmtId="14" fontId="4" fillId="12" borderId="0" xfId="0" applyNumberFormat="1" applyFont="1" applyFill="1"/>
    <xf numFmtId="0" fontId="4" fillId="12" borderId="0" xfId="0" applyFont="1" applyFill="1"/>
    <xf numFmtId="0" fontId="4" fillId="0" borderId="0" xfId="0" applyFont="1"/>
    <xf numFmtId="0" fontId="4" fillId="8" borderId="0" xfId="0" applyFont="1" applyFill="1"/>
    <xf numFmtId="164" fontId="4" fillId="0" borderId="0" xfId="0" applyNumberFormat="1" applyFont="1" applyFill="1" applyBorder="1"/>
    <xf numFmtId="0" fontId="4" fillId="9" borderId="0" xfId="0" applyFont="1" applyFill="1"/>
    <xf numFmtId="0" fontId="1" fillId="13" borderId="0" xfId="0" applyFont="1" applyFill="1" applyAlignment="1">
      <alignment horizontal="center" vertical="center"/>
    </xf>
    <xf numFmtId="0" fontId="1" fillId="13" borderId="0" xfId="0" applyFont="1" applyFill="1"/>
    <xf numFmtId="0" fontId="1" fillId="14" borderId="0" xfId="0" applyFont="1" applyFill="1" applyAlignment="1">
      <alignment horizontal="center" vertical="center"/>
    </xf>
    <xf numFmtId="0" fontId="0" fillId="15" borderId="0" xfId="0" applyFill="1"/>
    <xf numFmtId="0" fontId="4" fillId="14" borderId="0" xfId="0" applyFont="1" applyFill="1" applyAlignment="1">
      <alignment horizontal="center" vertical="center"/>
    </xf>
    <xf numFmtId="0" fontId="4" fillId="15" borderId="0" xfId="0" applyFont="1" applyFill="1"/>
    <xf numFmtId="0" fontId="0" fillId="0" borderId="0" xfId="0" applyFill="1" applyAlignment="1">
      <alignment horizontal="center" vertical="center"/>
    </xf>
    <xf numFmtId="0" fontId="1" fillId="16" borderId="0" xfId="0" applyFont="1" applyFill="1"/>
    <xf numFmtId="2" fontId="0" fillId="0" borderId="0" xfId="0" applyNumberFormat="1" applyFill="1" applyBorder="1"/>
    <xf numFmtId="0" fontId="0" fillId="14" borderId="0" xfId="0" applyFill="1" applyAlignment="1">
      <alignment horizontal="center" vertical="center"/>
    </xf>
    <xf numFmtId="2" fontId="0" fillId="0" borderId="0" xfId="0" applyNumberFormat="1" applyAlignment="1">
      <alignment horizontal="left" indent="6"/>
    </xf>
    <xf numFmtId="14" fontId="4" fillId="4" borderId="0" xfId="0" applyNumberFormat="1" applyFont="1" applyFill="1"/>
    <xf numFmtId="0" fontId="4" fillId="2" borderId="0" xfId="0" applyFont="1" applyFill="1"/>
    <xf numFmtId="0" fontId="0" fillId="17" borderId="0" xfId="0" applyFill="1" applyAlignment="1">
      <alignment horizontal="center" vertical="center"/>
    </xf>
    <xf numFmtId="0" fontId="1" fillId="17" borderId="0" xfId="0" applyFont="1" applyFill="1"/>
    <xf numFmtId="0" fontId="0" fillId="5" borderId="0" xfId="0" applyFill="1"/>
    <xf numFmtId="0" fontId="0" fillId="18" borderId="0" xfId="0" applyFill="1"/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0" borderId="0" xfId="0" applyFont="1" applyFill="1"/>
    <xf numFmtId="14" fontId="5" fillId="0" borderId="0" xfId="0" applyNumberFormat="1" applyFont="1" applyFill="1"/>
    <xf numFmtId="0" fontId="5" fillId="0" borderId="0" xfId="0" applyFont="1" applyFill="1" applyBorder="1"/>
    <xf numFmtId="164" fontId="5" fillId="0" borderId="0" xfId="0" applyNumberFormat="1" applyFont="1" applyFill="1" applyBorder="1"/>
    <xf numFmtId="0" fontId="5" fillId="3" borderId="0" xfId="0" applyFont="1" applyFill="1"/>
    <xf numFmtId="0" fontId="1" fillId="3" borderId="0" xfId="0" applyFont="1" applyFill="1"/>
    <xf numFmtId="0" fontId="5" fillId="0" borderId="0" xfId="0" applyFont="1" applyFill="1" applyAlignment="1">
      <alignment horizontal="center" vertical="center"/>
    </xf>
    <xf numFmtId="14" fontId="5" fillId="4" borderId="0" xfId="0" applyNumberFormat="1" applyFont="1" applyFill="1"/>
    <xf numFmtId="0" fontId="5" fillId="0" borderId="0" xfId="0" applyFont="1"/>
    <xf numFmtId="0" fontId="5" fillId="11" borderId="0" xfId="0" applyFont="1" applyFill="1"/>
    <xf numFmtId="0" fontId="5" fillId="2" borderId="0" xfId="0" applyFont="1" applyFill="1"/>
    <xf numFmtId="0" fontId="5" fillId="8" borderId="0" xfId="0" applyFont="1" applyFill="1"/>
    <xf numFmtId="0" fontId="1" fillId="20" borderId="0" xfId="0" applyFont="1" applyFill="1"/>
    <xf numFmtId="0" fontId="1" fillId="18" borderId="0" xfId="0" applyFont="1" applyFill="1"/>
    <xf numFmtId="164" fontId="0" fillId="0" borderId="0" xfId="0" applyNumberFormat="1" applyAlignment="1">
      <alignment horizontal="right"/>
    </xf>
    <xf numFmtId="0" fontId="4" fillId="0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horizontal="center" vertical="center" wrapText="1"/>
    </xf>
    <xf numFmtId="0" fontId="0" fillId="16" borderId="0" xfId="0" applyFill="1" applyAlignment="1">
      <alignment vertical="center" textRotation="255"/>
    </xf>
    <xf numFmtId="0" fontId="5" fillId="17" borderId="0" xfId="0" applyFont="1" applyFill="1" applyAlignment="1">
      <alignment horizontal="center" vertical="center"/>
    </xf>
    <xf numFmtId="0" fontId="5" fillId="0" borderId="1" xfId="0" applyFont="1" applyFill="1" applyBorder="1"/>
    <xf numFmtId="2" fontId="5" fillId="0" borderId="0" xfId="0" applyNumberFormat="1" applyFont="1" applyFill="1" applyBorder="1"/>
    <xf numFmtId="164" fontId="5" fillId="0" borderId="2" xfId="0" applyNumberFormat="1" applyFont="1" applyBorder="1"/>
    <xf numFmtId="0" fontId="5" fillId="0" borderId="0" xfId="0" applyFont="1" applyFill="1" applyAlignment="1"/>
    <xf numFmtId="0" fontId="5" fillId="5" borderId="0" xfId="0" applyFont="1" applyFill="1"/>
    <xf numFmtId="0" fontId="5" fillId="9" borderId="0" xfId="0" applyFont="1" applyFill="1"/>
    <xf numFmtId="0" fontId="4" fillId="16" borderId="3" xfId="0" applyFont="1" applyFill="1" applyBorder="1" applyAlignment="1">
      <alignment vertical="center" textRotation="255"/>
    </xf>
    <xf numFmtId="0" fontId="4" fillId="0" borderId="3" xfId="0" applyFont="1" applyFill="1" applyBorder="1" applyAlignment="1">
      <alignment horizontal="center" vertical="center"/>
    </xf>
    <xf numFmtId="14" fontId="4" fillId="4" borderId="3" xfId="0" applyNumberFormat="1" applyFont="1" applyFill="1" applyBorder="1"/>
    <xf numFmtId="0" fontId="4" fillId="0" borderId="3" xfId="0" applyFont="1" applyBorder="1"/>
    <xf numFmtId="0" fontId="4" fillId="11" borderId="3" xfId="0" applyFont="1" applyFill="1" applyBorder="1"/>
    <xf numFmtId="0" fontId="4" fillId="2" borderId="3" xfId="0" applyFont="1" applyFill="1" applyBorder="1"/>
    <xf numFmtId="0" fontId="4" fillId="8" borderId="3" xfId="0" applyFont="1" applyFill="1" applyBorder="1"/>
    <xf numFmtId="0" fontId="4" fillId="0" borderId="4" xfId="0" applyFont="1" applyFill="1" applyBorder="1"/>
    <xf numFmtId="164" fontId="4" fillId="0" borderId="3" xfId="0" applyNumberFormat="1" applyFont="1" applyFill="1" applyBorder="1"/>
    <xf numFmtId="164" fontId="4" fillId="0" borderId="5" xfId="0" applyNumberFormat="1" applyFont="1" applyBorder="1"/>
    <xf numFmtId="0" fontId="4" fillId="19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/>
    <xf numFmtId="0" fontId="4" fillId="0" borderId="3" xfId="0" applyFont="1" applyFill="1" applyBorder="1"/>
    <xf numFmtId="0" fontId="4" fillId="18" borderId="3" xfId="0" applyFont="1" applyFill="1" applyBorder="1"/>
    <xf numFmtId="0" fontId="4" fillId="0" borderId="3" xfId="0" applyFont="1" applyFill="1" applyBorder="1" applyAlignment="1">
      <alignment horizontal="center" vertical="center" wrapText="1"/>
    </xf>
    <xf numFmtId="0" fontId="0" fillId="0" borderId="4" xfId="0" applyFill="1" applyBorder="1"/>
    <xf numFmtId="2" fontId="0" fillId="0" borderId="3" xfId="0" applyNumberFormat="1" applyFill="1" applyBorder="1"/>
    <xf numFmtId="164" fontId="0" fillId="0" borderId="3" xfId="0" applyNumberFormat="1" applyFill="1" applyBorder="1"/>
    <xf numFmtId="164" fontId="0" fillId="0" borderId="5" xfId="0" applyNumberFormat="1" applyBorder="1"/>
    <xf numFmtId="0" fontId="0" fillId="0" borderId="3" xfId="0" applyBorder="1"/>
    <xf numFmtId="0" fontId="0" fillId="5" borderId="3" xfId="0" applyFill="1" applyBorder="1"/>
    <xf numFmtId="0" fontId="5" fillId="0" borderId="3" xfId="0" applyFont="1" applyFill="1" applyBorder="1"/>
    <xf numFmtId="0" fontId="4" fillId="9" borderId="3" xfId="0" applyFont="1" applyFill="1" applyBorder="1"/>
    <xf numFmtId="0" fontId="4" fillId="14" borderId="3" xfId="0" applyFont="1" applyFill="1" applyBorder="1" applyAlignment="1">
      <alignment horizontal="center" vertical="center"/>
    </xf>
    <xf numFmtId="14" fontId="4" fillId="12" borderId="3" xfId="0" applyNumberFormat="1" applyFont="1" applyFill="1" applyBorder="1"/>
    <xf numFmtId="0" fontId="4" fillId="12" borderId="3" xfId="0" applyFont="1" applyFill="1" applyBorder="1"/>
    <xf numFmtId="0" fontId="0" fillId="0" borderId="3" xfId="0" applyFill="1" applyBorder="1"/>
    <xf numFmtId="0" fontId="4" fillId="15" borderId="3" xfId="0" applyFont="1" applyFill="1" applyBorder="1"/>
    <xf numFmtId="0" fontId="0" fillId="20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6" fillId="21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 textRotation="255"/>
    </xf>
    <xf numFmtId="0" fontId="1" fillId="13" borderId="0" xfId="0" applyFont="1" applyFill="1" applyAlignment="1">
      <alignment horizontal="center" vertical="center" textRotation="255"/>
    </xf>
    <xf numFmtId="0" fontId="0" fillId="16" borderId="0" xfId="0" applyFill="1" applyAlignment="1">
      <alignment horizontal="center" vertical="center" textRotation="255"/>
    </xf>
    <xf numFmtId="0" fontId="0" fillId="3" borderId="0" xfId="0" applyFill="1" applyAlignment="1">
      <alignment horizontal="center" vertical="center"/>
    </xf>
    <xf numFmtId="0" fontId="0" fillId="22" borderId="0" xfId="0" applyFill="1" applyAlignment="1">
      <alignment vertical="center" textRotation="255"/>
    </xf>
    <xf numFmtId="0" fontId="0" fillId="22" borderId="0" xfId="0" applyFill="1" applyAlignment="1">
      <alignment horizontal="center" vertical="center"/>
    </xf>
    <xf numFmtId="14" fontId="0" fillId="22" borderId="0" xfId="0" applyNumberFormat="1" applyFill="1"/>
    <xf numFmtId="0" fontId="0" fillId="22" borderId="0" xfId="0" applyFill="1"/>
    <xf numFmtId="0" fontId="0" fillId="22" borderId="1" xfId="0" applyFill="1" applyBorder="1"/>
    <xf numFmtId="2" fontId="0" fillId="22" borderId="0" xfId="0" applyNumberFormat="1" applyFill="1" applyBorder="1"/>
    <xf numFmtId="164" fontId="0" fillId="22" borderId="0" xfId="0" applyNumberFormat="1" applyFill="1" applyBorder="1"/>
    <xf numFmtId="164" fontId="0" fillId="22" borderId="2" xfId="0" applyNumberFormat="1" applyFill="1" applyBorder="1"/>
    <xf numFmtId="0" fontId="0" fillId="4" borderId="0" xfId="0" applyFill="1"/>
    <xf numFmtId="0" fontId="4" fillId="4" borderId="3" xfId="0" applyFont="1" applyFill="1" applyBorder="1"/>
    <xf numFmtId="0" fontId="5" fillId="4" borderId="0" xfId="0" applyFont="1" applyFill="1"/>
    <xf numFmtId="164" fontId="0" fillId="4" borderId="2" xfId="0" applyNumberFormat="1" applyFill="1" applyBorder="1"/>
    <xf numFmtId="164" fontId="4" fillId="4" borderId="5" xfId="0" applyNumberFormat="1" applyFont="1" applyFill="1" applyBorder="1"/>
    <xf numFmtId="164" fontId="5" fillId="4" borderId="2" xfId="0" applyNumberFormat="1" applyFont="1" applyFill="1" applyBorder="1"/>
    <xf numFmtId="0" fontId="1" fillId="0" borderId="0" xfId="0" applyFont="1"/>
    <xf numFmtId="164" fontId="0" fillId="4" borderId="5" xfId="0" applyNumberFormat="1" applyFill="1" applyBorder="1"/>
  </cellXfs>
  <cellStyles count="1">
    <cellStyle name="Normal" xfId="0" builtinId="0"/>
  </cellStyles>
  <dxfs count="10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309"/>
  <sheetViews>
    <sheetView tabSelected="1" topLeftCell="A151" zoomScale="70" zoomScaleNormal="70" workbookViewId="0">
      <selection activeCell="AE190" sqref="AE190"/>
    </sheetView>
  </sheetViews>
  <sheetFormatPr baseColWidth="10" defaultRowHeight="15" x14ac:dyDescent="0.25"/>
  <cols>
    <col min="26" max="26" width="12.28515625" bestFit="1" customWidth="1"/>
  </cols>
  <sheetData>
    <row r="1" spans="1:27" x14ac:dyDescent="0.25">
      <c r="B1" s="1"/>
      <c r="C1" s="2"/>
      <c r="D1" s="109" t="s">
        <v>0</v>
      </c>
      <c r="E1" s="109"/>
      <c r="F1" s="109"/>
      <c r="G1" s="109"/>
      <c r="H1" s="109"/>
      <c r="I1" s="109"/>
      <c r="J1" s="109" t="s">
        <v>1</v>
      </c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 t="s">
        <v>2</v>
      </c>
      <c r="W1" s="109"/>
      <c r="X1" s="109"/>
      <c r="Y1" s="109"/>
      <c r="Z1" s="109"/>
    </row>
    <row r="2" spans="1:27" x14ac:dyDescent="0.25">
      <c r="B2" s="1"/>
      <c r="C2" s="2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</row>
    <row r="3" spans="1:27" x14ac:dyDescent="0.25">
      <c r="B3" s="1"/>
      <c r="C3" s="2"/>
      <c r="D3" s="3"/>
      <c r="E3" s="3"/>
      <c r="F3" s="3"/>
      <c r="G3" s="3"/>
      <c r="H3" s="3"/>
      <c r="I3" s="3"/>
      <c r="J3" s="110"/>
      <c r="K3" s="110"/>
      <c r="L3" s="110"/>
      <c r="M3" s="110"/>
      <c r="N3" s="110"/>
      <c r="O3" s="110"/>
      <c r="P3" s="111" t="s">
        <v>3</v>
      </c>
      <c r="Q3" s="112"/>
      <c r="R3" s="112"/>
      <c r="S3" s="112"/>
      <c r="T3" s="113"/>
      <c r="U3" s="4"/>
      <c r="V3" s="3"/>
      <c r="W3" s="3"/>
      <c r="X3" s="3"/>
      <c r="Y3" s="3"/>
      <c r="Z3" s="3"/>
    </row>
    <row r="4" spans="1:27" x14ac:dyDescent="0.25">
      <c r="A4" t="s">
        <v>4</v>
      </c>
      <c r="B4" s="1">
        <v>5</v>
      </c>
      <c r="C4" s="5" t="s">
        <v>5</v>
      </c>
      <c r="D4" t="s">
        <v>6</v>
      </c>
      <c r="E4" t="s">
        <v>7</v>
      </c>
      <c r="F4" t="s">
        <v>8</v>
      </c>
      <c r="G4" s="114" t="s">
        <v>9</v>
      </c>
      <c r="H4" s="114"/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s="6" t="s">
        <v>17</v>
      </c>
      <c r="Q4" s="7" t="s">
        <v>18</v>
      </c>
      <c r="R4" s="7" t="s">
        <v>19</v>
      </c>
      <c r="S4" s="7" t="s">
        <v>20</v>
      </c>
      <c r="T4" s="8" t="s">
        <v>21</v>
      </c>
      <c r="U4" t="s">
        <v>10</v>
      </c>
      <c r="V4" t="s">
        <v>22</v>
      </c>
      <c r="W4" t="s">
        <v>23</v>
      </c>
      <c r="X4" s="115" t="s">
        <v>24</v>
      </c>
      <c r="Y4" s="115"/>
      <c r="Z4" t="s">
        <v>10</v>
      </c>
      <c r="AA4" t="s">
        <v>25</v>
      </c>
    </row>
    <row r="5" spans="1:27" ht="15" customHeight="1" x14ac:dyDescent="0.25">
      <c r="A5" s="116" t="s">
        <v>26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</row>
    <row r="6" spans="1:27" ht="15" customHeight="1" x14ac:dyDescent="0.25">
      <c r="A6" s="117" t="s">
        <v>27</v>
      </c>
      <c r="B6" s="12"/>
      <c r="C6" s="13">
        <v>41520</v>
      </c>
      <c r="D6">
        <v>19.5</v>
      </c>
      <c r="E6">
        <v>10.8</v>
      </c>
      <c r="F6" s="11">
        <v>26.4</v>
      </c>
      <c r="G6">
        <f>D6</f>
        <v>19.5</v>
      </c>
      <c r="I6" s="17" t="s">
        <v>28</v>
      </c>
      <c r="J6">
        <v>0</v>
      </c>
      <c r="K6">
        <f>J6</f>
        <v>0</v>
      </c>
      <c r="L6">
        <v>5.4</v>
      </c>
      <c r="M6">
        <f>L6</f>
        <v>5.4</v>
      </c>
      <c r="N6" s="9">
        <f t="shared" ref="N6:N69" si="0">J6-L6</f>
        <v>-5.4</v>
      </c>
      <c r="O6" s="18">
        <v>0</v>
      </c>
      <c r="P6" s="14">
        <v>1</v>
      </c>
      <c r="Q6" s="15">
        <v>0.35</v>
      </c>
      <c r="R6" s="16">
        <f>Q6*L6</f>
        <v>1.89</v>
      </c>
      <c r="S6" s="16">
        <f>J6-R6</f>
        <v>-1.89</v>
      </c>
      <c r="T6" s="8">
        <v>0</v>
      </c>
      <c r="U6" s="17" t="s">
        <v>29</v>
      </c>
      <c r="V6">
        <v>2247.1</v>
      </c>
      <c r="W6">
        <f t="shared" ref="W6:W69" si="1">V6/D6</f>
        <v>115.23589743589743</v>
      </c>
      <c r="X6">
        <f>V6</f>
        <v>2247.1</v>
      </c>
      <c r="Z6" s="17" t="s">
        <v>30</v>
      </c>
      <c r="AA6">
        <v>13.298368539328299</v>
      </c>
    </row>
    <row r="7" spans="1:27" x14ac:dyDescent="0.25">
      <c r="A7" s="117"/>
      <c r="B7" s="12"/>
      <c r="C7" s="13">
        <v>41521</v>
      </c>
      <c r="D7">
        <v>22.6</v>
      </c>
      <c r="E7">
        <v>12.2</v>
      </c>
      <c r="F7" s="11">
        <v>31.3</v>
      </c>
      <c r="G7">
        <f>G6+D7</f>
        <v>42.1</v>
      </c>
      <c r="I7">
        <f>MIN(E6:E79)</f>
        <v>-0.2</v>
      </c>
      <c r="J7">
        <v>0</v>
      </c>
      <c r="K7">
        <f t="shared" ref="K7:K70" si="2">K6+J7</f>
        <v>0</v>
      </c>
      <c r="L7">
        <v>5.8</v>
      </c>
      <c r="M7">
        <f t="shared" ref="M7:M70" si="3">M6+L7</f>
        <v>11.2</v>
      </c>
      <c r="N7" s="9">
        <f t="shared" si="0"/>
        <v>-5.8</v>
      </c>
      <c r="O7" s="18">
        <v>0</v>
      </c>
      <c r="P7" s="14">
        <v>2</v>
      </c>
      <c r="Q7" s="15">
        <v>0.35</v>
      </c>
      <c r="R7" s="16">
        <f>Q7*L7</f>
        <v>2.0299999999999998</v>
      </c>
      <c r="S7" s="16">
        <f t="shared" ref="S7:S70" si="4">J7-R7</f>
        <v>-2.0299999999999998</v>
      </c>
      <c r="T7" s="8">
        <v>0</v>
      </c>
      <c r="U7" s="15">
        <v>36</v>
      </c>
      <c r="V7">
        <v>2357.5</v>
      </c>
      <c r="W7">
        <f t="shared" si="1"/>
        <v>104.3141592920354</v>
      </c>
      <c r="X7">
        <f t="shared" ref="X7:X70" si="5">X6+V7</f>
        <v>4604.6000000000004</v>
      </c>
      <c r="Z7">
        <v>59193.599999999991</v>
      </c>
      <c r="AA7">
        <v>13.2443065002529</v>
      </c>
    </row>
    <row r="8" spans="1:27" x14ac:dyDescent="0.25">
      <c r="A8" s="117"/>
      <c r="B8" s="12"/>
      <c r="C8" s="13">
        <v>41522</v>
      </c>
      <c r="D8">
        <v>23.2</v>
      </c>
      <c r="E8">
        <v>13.9</v>
      </c>
      <c r="F8" s="11">
        <v>30.8</v>
      </c>
      <c r="G8">
        <f t="shared" ref="G8:G71" si="6">G7+D8</f>
        <v>65.3</v>
      </c>
      <c r="I8" s="17" t="s">
        <v>31</v>
      </c>
      <c r="J8">
        <v>0</v>
      </c>
      <c r="K8">
        <f t="shared" si="2"/>
        <v>0</v>
      </c>
      <c r="L8">
        <v>5.8</v>
      </c>
      <c r="M8">
        <f t="shared" si="3"/>
        <v>17</v>
      </c>
      <c r="N8" s="9">
        <f t="shared" si="0"/>
        <v>-5.8</v>
      </c>
      <c r="O8" s="18">
        <v>0</v>
      </c>
      <c r="P8" s="14">
        <v>3</v>
      </c>
      <c r="Q8" s="15">
        <v>0.35</v>
      </c>
      <c r="R8" s="16">
        <f t="shared" ref="R8:R71" si="7">Q8*L8</f>
        <v>2.0299999999999998</v>
      </c>
      <c r="S8" s="16">
        <f t="shared" si="4"/>
        <v>-2.0299999999999998</v>
      </c>
      <c r="T8" s="8">
        <v>0</v>
      </c>
      <c r="U8" s="17" t="s">
        <v>32</v>
      </c>
      <c r="V8">
        <v>2364.8000000000002</v>
      </c>
      <c r="W8">
        <f t="shared" si="1"/>
        <v>101.93103448275863</v>
      </c>
      <c r="X8">
        <f t="shared" si="5"/>
        <v>6969.4000000000005</v>
      </c>
      <c r="Z8" s="17" t="s">
        <v>33</v>
      </c>
      <c r="AA8">
        <v>13.190107175532001</v>
      </c>
    </row>
    <row r="9" spans="1:27" x14ac:dyDescent="0.25">
      <c r="A9" s="117"/>
      <c r="B9" s="12"/>
      <c r="C9" s="13">
        <v>41523</v>
      </c>
      <c r="D9">
        <v>18</v>
      </c>
      <c r="E9">
        <v>16.3</v>
      </c>
      <c r="F9">
        <v>20.5</v>
      </c>
      <c r="G9">
        <f t="shared" si="6"/>
        <v>83.3</v>
      </c>
      <c r="I9">
        <f>MAX(F6:F79)</f>
        <v>31.3</v>
      </c>
      <c r="J9">
        <v>5.2</v>
      </c>
      <c r="K9">
        <f t="shared" si="2"/>
        <v>5.2</v>
      </c>
      <c r="L9">
        <v>2.2000000000000002</v>
      </c>
      <c r="M9">
        <f t="shared" si="3"/>
        <v>19.2</v>
      </c>
      <c r="N9">
        <f t="shared" si="0"/>
        <v>3</v>
      </c>
      <c r="O9" s="19">
        <v>3</v>
      </c>
      <c r="P9" s="14">
        <v>4</v>
      </c>
      <c r="Q9" s="15">
        <v>0.35</v>
      </c>
      <c r="R9" s="16">
        <f t="shared" si="7"/>
        <v>0.77</v>
      </c>
      <c r="S9" s="16">
        <f t="shared" si="4"/>
        <v>4.43</v>
      </c>
      <c r="T9" s="20">
        <f>MIN(122.1,(T8+S9))</f>
        <v>4.43</v>
      </c>
      <c r="U9">
        <v>3</v>
      </c>
      <c r="V9" s="21">
        <v>709.2</v>
      </c>
      <c r="W9">
        <f t="shared" si="1"/>
        <v>39.400000000000006</v>
      </c>
      <c r="X9">
        <f t="shared" si="5"/>
        <v>7678.6</v>
      </c>
      <c r="Z9" s="22">
        <f>(Z7/100)/I19</f>
        <v>0.56949778718491428</v>
      </c>
      <c r="AA9">
        <v>13.1357783717981</v>
      </c>
    </row>
    <row r="10" spans="1:27" x14ac:dyDescent="0.25">
      <c r="A10" s="117"/>
      <c r="B10" s="12"/>
      <c r="C10" s="13">
        <v>41524</v>
      </c>
      <c r="D10">
        <v>15.1</v>
      </c>
      <c r="E10">
        <v>12.2</v>
      </c>
      <c r="F10">
        <v>18.600000000000001</v>
      </c>
      <c r="G10">
        <f t="shared" si="6"/>
        <v>98.399999999999991</v>
      </c>
      <c r="I10" s="17" t="s">
        <v>34</v>
      </c>
      <c r="J10">
        <v>0.7</v>
      </c>
      <c r="K10">
        <f t="shared" si="2"/>
        <v>5.9</v>
      </c>
      <c r="L10">
        <v>1.6</v>
      </c>
      <c r="M10">
        <f t="shared" si="3"/>
        <v>20.8</v>
      </c>
      <c r="N10" s="9">
        <f t="shared" si="0"/>
        <v>-0.90000000000000013</v>
      </c>
      <c r="O10" s="19">
        <f>O9+N10</f>
        <v>2.0999999999999996</v>
      </c>
      <c r="P10" s="14">
        <v>5</v>
      </c>
      <c r="Q10" s="15">
        <v>0.35</v>
      </c>
      <c r="R10" s="16">
        <f t="shared" si="7"/>
        <v>0.55999999999999994</v>
      </c>
      <c r="S10" s="16">
        <f t="shared" si="4"/>
        <v>0.14000000000000001</v>
      </c>
      <c r="T10" s="20">
        <f t="shared" ref="T10:T73" si="8">MIN(122.1,(T9+S10))</f>
        <v>4.5699999999999994</v>
      </c>
      <c r="U10" s="17" t="s">
        <v>35</v>
      </c>
      <c r="V10">
        <v>941.8</v>
      </c>
      <c r="W10">
        <f t="shared" si="1"/>
        <v>62.370860927152314</v>
      </c>
      <c r="X10">
        <f t="shared" si="5"/>
        <v>8620.4</v>
      </c>
      <c r="Z10" s="17" t="s">
        <v>36</v>
      </c>
      <c r="AA10">
        <v>13.081327639429199</v>
      </c>
    </row>
    <row r="11" spans="1:27" x14ac:dyDescent="0.25">
      <c r="A11" s="117"/>
      <c r="B11" s="12"/>
      <c r="C11" s="13">
        <v>41525</v>
      </c>
      <c r="D11">
        <v>14.9</v>
      </c>
      <c r="E11">
        <v>11.5</v>
      </c>
      <c r="F11">
        <v>18</v>
      </c>
      <c r="G11">
        <f t="shared" si="6"/>
        <v>113.3</v>
      </c>
      <c r="I11" s="23">
        <f>AVERAGE(D6:D79)</f>
        <v>14.045945945945947</v>
      </c>
      <c r="J11">
        <v>0</v>
      </c>
      <c r="K11">
        <f t="shared" si="2"/>
        <v>5.9</v>
      </c>
      <c r="L11">
        <v>2.1</v>
      </c>
      <c r="M11">
        <f t="shared" si="3"/>
        <v>22.900000000000002</v>
      </c>
      <c r="N11" s="9">
        <f t="shared" si="0"/>
        <v>-2.1</v>
      </c>
      <c r="O11" s="19">
        <f t="shared" ref="O11:O74" si="9">O10+N11</f>
        <v>0</v>
      </c>
      <c r="P11" s="14">
        <v>6</v>
      </c>
      <c r="Q11" s="15">
        <v>0.35</v>
      </c>
      <c r="R11" s="16">
        <f t="shared" si="7"/>
        <v>0.73499999999999999</v>
      </c>
      <c r="S11" s="16">
        <f t="shared" si="4"/>
        <v>-0.73499999999999999</v>
      </c>
      <c r="T11" s="20">
        <f t="shared" si="8"/>
        <v>3.8349999999999995</v>
      </c>
      <c r="U11">
        <v>28</v>
      </c>
      <c r="V11">
        <v>1081.0999999999999</v>
      </c>
      <c r="W11">
        <f t="shared" si="1"/>
        <v>72.55704697986576</v>
      </c>
      <c r="X11">
        <f t="shared" si="5"/>
        <v>9701.5</v>
      </c>
      <c r="Z11">
        <v>48</v>
      </c>
      <c r="AA11">
        <v>13.0267622867635</v>
      </c>
    </row>
    <row r="12" spans="1:27" x14ac:dyDescent="0.25">
      <c r="A12" s="117"/>
      <c r="B12" s="12"/>
      <c r="C12" s="13">
        <v>41526</v>
      </c>
      <c r="D12">
        <v>15</v>
      </c>
      <c r="E12">
        <v>11.8</v>
      </c>
      <c r="F12">
        <v>18.399999999999999</v>
      </c>
      <c r="G12">
        <f t="shared" si="6"/>
        <v>128.30000000000001</v>
      </c>
      <c r="I12" s="17" t="s">
        <v>37</v>
      </c>
      <c r="J12">
        <v>0.8</v>
      </c>
      <c r="K12">
        <f t="shared" si="2"/>
        <v>6.7</v>
      </c>
      <c r="L12">
        <v>2</v>
      </c>
      <c r="M12">
        <f t="shared" si="3"/>
        <v>24.900000000000002</v>
      </c>
      <c r="N12" s="9">
        <f t="shared" si="0"/>
        <v>-1.2</v>
      </c>
      <c r="O12" s="19">
        <v>0</v>
      </c>
      <c r="P12" s="14">
        <v>7</v>
      </c>
      <c r="Q12" s="15">
        <v>0.35</v>
      </c>
      <c r="R12" s="16">
        <f t="shared" si="7"/>
        <v>0.7</v>
      </c>
      <c r="S12" s="16">
        <f t="shared" si="4"/>
        <v>0.10000000000000009</v>
      </c>
      <c r="T12" s="20">
        <f t="shared" si="8"/>
        <v>3.9349999999999996</v>
      </c>
      <c r="U12" s="17" t="s">
        <v>38</v>
      </c>
      <c r="V12" s="21">
        <v>615</v>
      </c>
      <c r="W12">
        <f t="shared" si="1"/>
        <v>41</v>
      </c>
      <c r="X12">
        <f t="shared" si="5"/>
        <v>10316.5</v>
      </c>
      <c r="AA12">
        <v>12.9720893944409</v>
      </c>
    </row>
    <row r="13" spans="1:27" x14ac:dyDescent="0.25">
      <c r="A13" s="117"/>
      <c r="B13" s="12"/>
      <c r="C13" s="13">
        <v>41527</v>
      </c>
      <c r="D13">
        <v>15.3</v>
      </c>
      <c r="E13">
        <v>13</v>
      </c>
      <c r="F13">
        <v>18.5</v>
      </c>
      <c r="G13">
        <f t="shared" si="6"/>
        <v>143.60000000000002</v>
      </c>
      <c r="I13">
        <v>1</v>
      </c>
      <c r="J13">
        <v>0</v>
      </c>
      <c r="K13">
        <f t="shared" si="2"/>
        <v>6.7</v>
      </c>
      <c r="L13">
        <v>3</v>
      </c>
      <c r="M13">
        <f t="shared" si="3"/>
        <v>27.900000000000002</v>
      </c>
      <c r="N13" s="9">
        <f t="shared" si="0"/>
        <v>-3</v>
      </c>
      <c r="O13" s="19">
        <v>0</v>
      </c>
      <c r="P13" s="14">
        <v>8</v>
      </c>
      <c r="Q13" s="15">
        <v>0.35</v>
      </c>
      <c r="R13" s="16">
        <f t="shared" si="7"/>
        <v>1.0499999999999998</v>
      </c>
      <c r="S13" s="16">
        <f t="shared" si="4"/>
        <v>-1.0499999999999998</v>
      </c>
      <c r="T13" s="20">
        <f t="shared" si="8"/>
        <v>2.8849999999999998</v>
      </c>
      <c r="U13">
        <v>0</v>
      </c>
      <c r="V13">
        <v>1516.8</v>
      </c>
      <c r="W13">
        <f t="shared" si="1"/>
        <v>99.137254901960773</v>
      </c>
      <c r="X13">
        <f t="shared" si="5"/>
        <v>11833.3</v>
      </c>
      <c r="AA13">
        <v>12.917315829857801</v>
      </c>
    </row>
    <row r="14" spans="1:27" x14ac:dyDescent="0.25">
      <c r="A14" s="117"/>
      <c r="B14" s="12"/>
      <c r="C14" s="13">
        <v>41528</v>
      </c>
      <c r="D14">
        <v>13.1</v>
      </c>
      <c r="E14">
        <v>9</v>
      </c>
      <c r="F14">
        <v>16.600000000000001</v>
      </c>
      <c r="G14">
        <f t="shared" si="6"/>
        <v>156.70000000000002</v>
      </c>
      <c r="I14" s="17" t="s">
        <v>39</v>
      </c>
      <c r="J14">
        <v>0.3</v>
      </c>
      <c r="K14">
        <f t="shared" si="2"/>
        <v>7</v>
      </c>
      <c r="L14">
        <v>2</v>
      </c>
      <c r="M14">
        <f t="shared" si="3"/>
        <v>29.900000000000002</v>
      </c>
      <c r="N14" s="9">
        <f t="shared" si="0"/>
        <v>-1.7</v>
      </c>
      <c r="O14" s="19">
        <v>0</v>
      </c>
      <c r="P14" s="14">
        <v>9</v>
      </c>
      <c r="Q14" s="15">
        <f>0.35+((P14-8)/66)*(1-0.35)</f>
        <v>0.35984848484848481</v>
      </c>
      <c r="R14" s="16">
        <f t="shared" si="7"/>
        <v>0.71969696969696961</v>
      </c>
      <c r="S14" s="16">
        <f t="shared" si="4"/>
        <v>-0.41969696969696962</v>
      </c>
      <c r="T14" s="20">
        <f t="shared" si="8"/>
        <v>2.4653030303030303</v>
      </c>
      <c r="U14" s="17" t="s">
        <v>40</v>
      </c>
      <c r="V14">
        <v>1078.5999999999999</v>
      </c>
      <c r="W14">
        <f t="shared" si="1"/>
        <v>82.33587786259541</v>
      </c>
      <c r="X14">
        <f t="shared" si="5"/>
        <v>12911.9</v>
      </c>
      <c r="AA14">
        <v>12.8624482617226</v>
      </c>
    </row>
    <row r="15" spans="1:27" x14ac:dyDescent="0.25">
      <c r="A15" s="117"/>
      <c r="B15" s="12"/>
      <c r="C15" s="13">
        <v>41529</v>
      </c>
      <c r="D15">
        <v>14</v>
      </c>
      <c r="E15">
        <v>11.8</v>
      </c>
      <c r="F15">
        <v>16.100000000000001</v>
      </c>
      <c r="G15">
        <f t="shared" si="6"/>
        <v>170.70000000000002</v>
      </c>
      <c r="I15">
        <v>5</v>
      </c>
      <c r="J15">
        <v>0.2</v>
      </c>
      <c r="K15">
        <f t="shared" si="2"/>
        <v>7.2</v>
      </c>
      <c r="L15">
        <v>1.2</v>
      </c>
      <c r="M15">
        <f t="shared" si="3"/>
        <v>31.1</v>
      </c>
      <c r="N15" s="9">
        <f t="shared" si="0"/>
        <v>-1</v>
      </c>
      <c r="O15" s="19">
        <v>0</v>
      </c>
      <c r="P15" s="14">
        <v>10</v>
      </c>
      <c r="Q15" s="15">
        <f t="shared" ref="Q15:Q78" si="10">0.35+((P15-8)/66)*(1-0.35)</f>
        <v>0.36969696969696969</v>
      </c>
      <c r="R15" s="16">
        <f t="shared" si="7"/>
        <v>0.44363636363636361</v>
      </c>
      <c r="S15" s="16">
        <f t="shared" si="4"/>
        <v>-0.2436363636363636</v>
      </c>
      <c r="T15" s="20">
        <f t="shared" si="8"/>
        <v>2.2216666666666667</v>
      </c>
      <c r="U15">
        <f>MAX(T6:T79)</f>
        <v>122.1</v>
      </c>
      <c r="V15" s="21">
        <v>577.9</v>
      </c>
      <c r="W15">
        <f t="shared" si="1"/>
        <v>41.278571428571425</v>
      </c>
      <c r="X15">
        <f t="shared" si="5"/>
        <v>13489.8</v>
      </c>
      <c r="AA15">
        <v>12.807493174703801</v>
      </c>
    </row>
    <row r="16" spans="1:27" x14ac:dyDescent="0.25">
      <c r="A16" s="117"/>
      <c r="B16" s="12"/>
      <c r="C16" s="13">
        <v>41530</v>
      </c>
      <c r="D16">
        <v>16.899999999999999</v>
      </c>
      <c r="E16">
        <v>12.7</v>
      </c>
      <c r="F16">
        <v>19.7</v>
      </c>
      <c r="G16">
        <f t="shared" si="6"/>
        <v>187.60000000000002</v>
      </c>
      <c r="I16" s="17" t="s">
        <v>41</v>
      </c>
      <c r="J16">
        <v>0</v>
      </c>
      <c r="K16">
        <f t="shared" si="2"/>
        <v>7.2</v>
      </c>
      <c r="L16">
        <v>1.1000000000000001</v>
      </c>
      <c r="M16">
        <f t="shared" si="3"/>
        <v>32.200000000000003</v>
      </c>
      <c r="N16" s="9">
        <f t="shared" si="0"/>
        <v>-1.1000000000000001</v>
      </c>
      <c r="O16" s="19">
        <v>0</v>
      </c>
      <c r="P16" s="14">
        <v>11</v>
      </c>
      <c r="Q16" s="15">
        <f t="shared" si="10"/>
        <v>0.37954545454545452</v>
      </c>
      <c r="R16" s="16">
        <f t="shared" si="7"/>
        <v>0.41749999999999998</v>
      </c>
      <c r="S16" s="16">
        <f t="shared" si="4"/>
        <v>-0.41749999999999998</v>
      </c>
      <c r="T16" s="20">
        <f t="shared" si="8"/>
        <v>1.8041666666666667</v>
      </c>
      <c r="U16" s="17" t="s">
        <v>42</v>
      </c>
      <c r="V16" s="21">
        <v>644.70000000000005</v>
      </c>
      <c r="W16">
        <f t="shared" si="1"/>
        <v>38.147928994082847</v>
      </c>
      <c r="X16">
        <f t="shared" si="5"/>
        <v>14134.5</v>
      </c>
      <c r="AA16">
        <v>12.7524568841618</v>
      </c>
    </row>
    <row r="17" spans="1:27" x14ac:dyDescent="0.25">
      <c r="A17" s="117"/>
      <c r="B17" s="12"/>
      <c r="C17" s="13">
        <v>41531</v>
      </c>
      <c r="D17">
        <v>15.6</v>
      </c>
      <c r="E17">
        <v>15.2</v>
      </c>
      <c r="F17">
        <v>16.899999999999999</v>
      </c>
      <c r="G17">
        <f t="shared" si="6"/>
        <v>203.20000000000002</v>
      </c>
      <c r="I17">
        <v>5</v>
      </c>
      <c r="J17">
        <v>30.5</v>
      </c>
      <c r="K17">
        <f t="shared" si="2"/>
        <v>37.700000000000003</v>
      </c>
      <c r="L17">
        <v>1</v>
      </c>
      <c r="M17">
        <f t="shared" si="3"/>
        <v>33.200000000000003</v>
      </c>
      <c r="N17">
        <f t="shared" si="0"/>
        <v>29.5</v>
      </c>
      <c r="O17" s="19">
        <f t="shared" si="9"/>
        <v>29.5</v>
      </c>
      <c r="P17" s="14">
        <v>12</v>
      </c>
      <c r="Q17" s="15">
        <f t="shared" si="10"/>
        <v>0.3893939393939394</v>
      </c>
      <c r="R17" s="16">
        <f t="shared" si="7"/>
        <v>0.3893939393939394</v>
      </c>
      <c r="S17" s="16">
        <f t="shared" si="4"/>
        <v>30.110606060606059</v>
      </c>
      <c r="T17" s="20">
        <f t="shared" si="8"/>
        <v>31.914772727272727</v>
      </c>
      <c r="U17" s="22">
        <f>AVERAGE(T6:T79)</f>
        <v>63.904489148239158</v>
      </c>
      <c r="V17" s="21">
        <v>384.7</v>
      </c>
      <c r="W17">
        <f t="shared" si="1"/>
        <v>24.660256410256409</v>
      </c>
      <c r="X17">
        <f t="shared" si="5"/>
        <v>14519.2</v>
      </c>
      <c r="AA17">
        <v>12.697345550959099</v>
      </c>
    </row>
    <row r="18" spans="1:27" x14ac:dyDescent="0.25">
      <c r="A18" s="117"/>
      <c r="B18" s="12"/>
      <c r="C18" s="13">
        <v>41532</v>
      </c>
      <c r="D18">
        <v>14.4</v>
      </c>
      <c r="E18">
        <v>11.6</v>
      </c>
      <c r="F18">
        <v>17</v>
      </c>
      <c r="G18">
        <f t="shared" si="6"/>
        <v>217.60000000000002</v>
      </c>
      <c r="I18" s="17" t="s">
        <v>43</v>
      </c>
      <c r="J18">
        <v>1.5</v>
      </c>
      <c r="K18">
        <f t="shared" si="2"/>
        <v>39.200000000000003</v>
      </c>
      <c r="L18">
        <v>2.5</v>
      </c>
      <c r="M18">
        <f t="shared" si="3"/>
        <v>35.700000000000003</v>
      </c>
      <c r="N18" s="9">
        <f t="shared" si="0"/>
        <v>-1</v>
      </c>
      <c r="O18" s="19">
        <f t="shared" si="9"/>
        <v>28.5</v>
      </c>
      <c r="P18" s="14">
        <v>13</v>
      </c>
      <c r="Q18" s="15">
        <f t="shared" si="10"/>
        <v>0.39924242424242423</v>
      </c>
      <c r="R18" s="16">
        <f t="shared" si="7"/>
        <v>0.99810606060606055</v>
      </c>
      <c r="S18" s="16">
        <f t="shared" si="4"/>
        <v>0.50189393939393945</v>
      </c>
      <c r="T18" s="20">
        <f t="shared" si="8"/>
        <v>32.416666666666664</v>
      </c>
      <c r="U18">
        <f>(U17*100)/122.1</f>
        <v>52.337828950236819</v>
      </c>
      <c r="V18">
        <v>1454.1</v>
      </c>
      <c r="W18">
        <f t="shared" si="1"/>
        <v>100.97916666666666</v>
      </c>
      <c r="X18">
        <f t="shared" si="5"/>
        <v>15973.300000000001</v>
      </c>
      <c r="AA18">
        <v>12.6421651963439</v>
      </c>
    </row>
    <row r="19" spans="1:27" x14ac:dyDescent="0.25">
      <c r="A19" s="117"/>
      <c r="B19" s="12"/>
      <c r="C19" s="13">
        <v>41533</v>
      </c>
      <c r="D19">
        <v>13.3</v>
      </c>
      <c r="E19">
        <v>12.4</v>
      </c>
      <c r="F19">
        <v>16.600000000000001</v>
      </c>
      <c r="G19">
        <f t="shared" si="6"/>
        <v>230.90000000000003</v>
      </c>
      <c r="I19">
        <v>1039.4000000000001</v>
      </c>
      <c r="J19">
        <v>2.1</v>
      </c>
      <c r="K19">
        <f t="shared" si="2"/>
        <v>41.300000000000004</v>
      </c>
      <c r="L19">
        <v>2.8</v>
      </c>
      <c r="M19">
        <f t="shared" si="3"/>
        <v>38.5</v>
      </c>
      <c r="N19" s="9">
        <f t="shared" si="0"/>
        <v>-0.69999999999999973</v>
      </c>
      <c r="O19" s="19">
        <f t="shared" si="9"/>
        <v>27.8</v>
      </c>
      <c r="P19" s="14">
        <v>14</v>
      </c>
      <c r="Q19" s="15">
        <f t="shared" si="10"/>
        <v>0.40909090909090906</v>
      </c>
      <c r="R19" s="16">
        <f t="shared" si="7"/>
        <v>1.1454545454545453</v>
      </c>
      <c r="S19" s="16">
        <f t="shared" si="4"/>
        <v>0.95454545454545481</v>
      </c>
      <c r="T19" s="20">
        <f t="shared" si="8"/>
        <v>33.371212121212118</v>
      </c>
      <c r="U19" s="23"/>
      <c r="V19">
        <v>1137.9000000000001</v>
      </c>
      <c r="W19">
        <f t="shared" si="1"/>
        <v>85.556390977443613</v>
      </c>
      <c r="X19">
        <f t="shared" si="5"/>
        <v>17111.2</v>
      </c>
      <c r="AA19">
        <v>12.586921716903801</v>
      </c>
    </row>
    <row r="20" spans="1:27" x14ac:dyDescent="0.25">
      <c r="A20" s="117"/>
      <c r="B20" s="12"/>
      <c r="C20" s="13">
        <v>41534</v>
      </c>
      <c r="D20">
        <v>13</v>
      </c>
      <c r="E20">
        <v>9.3000000000000007</v>
      </c>
      <c r="F20">
        <v>16.5</v>
      </c>
      <c r="G20">
        <f t="shared" si="6"/>
        <v>243.90000000000003</v>
      </c>
      <c r="J20">
        <v>3.3</v>
      </c>
      <c r="K20">
        <f t="shared" si="2"/>
        <v>44.6</v>
      </c>
      <c r="L20">
        <v>1.6</v>
      </c>
      <c r="M20">
        <f t="shared" si="3"/>
        <v>40.1</v>
      </c>
      <c r="N20">
        <f t="shared" si="0"/>
        <v>1.6999999999999997</v>
      </c>
      <c r="O20" s="19">
        <f t="shared" si="9"/>
        <v>29.5</v>
      </c>
      <c r="P20" s="14">
        <v>15</v>
      </c>
      <c r="Q20" s="15">
        <f t="shared" si="10"/>
        <v>0.41893939393939394</v>
      </c>
      <c r="R20" s="16">
        <f t="shared" si="7"/>
        <v>0.6703030303030304</v>
      </c>
      <c r="S20" s="16">
        <f t="shared" si="4"/>
        <v>2.6296969696969694</v>
      </c>
      <c r="T20" s="20">
        <f t="shared" si="8"/>
        <v>36.00090909090909</v>
      </c>
      <c r="V20" s="21">
        <v>708.9</v>
      </c>
      <c r="W20">
        <f t="shared" si="1"/>
        <v>54.530769230769231</v>
      </c>
      <c r="X20">
        <f t="shared" si="5"/>
        <v>17820.100000000002</v>
      </c>
      <c r="AA20">
        <v>12.531620899588701</v>
      </c>
    </row>
    <row r="21" spans="1:27" x14ac:dyDescent="0.25">
      <c r="A21" s="117"/>
      <c r="B21" s="12"/>
      <c r="C21" s="13">
        <v>41535</v>
      </c>
      <c r="D21">
        <v>16.100000000000001</v>
      </c>
      <c r="E21">
        <v>14.3</v>
      </c>
      <c r="F21">
        <v>17.600000000000001</v>
      </c>
      <c r="G21">
        <f t="shared" si="6"/>
        <v>260.00000000000006</v>
      </c>
      <c r="J21">
        <v>2.8</v>
      </c>
      <c r="K21">
        <f t="shared" si="2"/>
        <v>47.4</v>
      </c>
      <c r="L21">
        <v>2</v>
      </c>
      <c r="M21">
        <f t="shared" si="3"/>
        <v>42.1</v>
      </c>
      <c r="N21">
        <f t="shared" si="0"/>
        <v>0.79999999999999982</v>
      </c>
      <c r="O21" s="19">
        <f t="shared" si="9"/>
        <v>30.3</v>
      </c>
      <c r="P21" s="14">
        <v>16</v>
      </c>
      <c r="Q21" s="15">
        <f t="shared" si="10"/>
        <v>0.42878787878787877</v>
      </c>
      <c r="R21" s="16">
        <f t="shared" si="7"/>
        <v>0.85757575757575755</v>
      </c>
      <c r="S21" s="16">
        <f t="shared" si="4"/>
        <v>1.9424242424242424</v>
      </c>
      <c r="T21" s="20">
        <f t="shared" si="8"/>
        <v>37.943333333333335</v>
      </c>
      <c r="V21">
        <v>1084.4000000000001</v>
      </c>
      <c r="W21">
        <f t="shared" si="1"/>
        <v>67.354037267080741</v>
      </c>
      <c r="X21">
        <f t="shared" si="5"/>
        <v>18904.500000000004</v>
      </c>
      <c r="AA21">
        <v>12.476268436800799</v>
      </c>
    </row>
    <row r="22" spans="1:27" x14ac:dyDescent="0.25">
      <c r="A22" s="117"/>
      <c r="B22" s="12"/>
      <c r="C22" s="13">
        <v>41536</v>
      </c>
      <c r="D22">
        <v>12.9</v>
      </c>
      <c r="E22">
        <v>8.6999999999999993</v>
      </c>
      <c r="F22">
        <v>15.5</v>
      </c>
      <c r="G22">
        <f t="shared" si="6"/>
        <v>272.90000000000003</v>
      </c>
      <c r="J22">
        <v>1.5</v>
      </c>
      <c r="K22">
        <f t="shared" si="2"/>
        <v>48.9</v>
      </c>
      <c r="L22">
        <v>1.2</v>
      </c>
      <c r="M22">
        <f t="shared" si="3"/>
        <v>43.300000000000004</v>
      </c>
      <c r="N22">
        <f t="shared" si="0"/>
        <v>0.30000000000000004</v>
      </c>
      <c r="O22" s="19">
        <f t="shared" si="9"/>
        <v>30.6</v>
      </c>
      <c r="P22" s="14">
        <v>17</v>
      </c>
      <c r="Q22" s="15">
        <f t="shared" si="10"/>
        <v>0.4386363636363636</v>
      </c>
      <c r="R22" s="16">
        <f t="shared" si="7"/>
        <v>0.52636363636363626</v>
      </c>
      <c r="S22" s="16">
        <f t="shared" si="4"/>
        <v>0.97363636363636374</v>
      </c>
      <c r="T22" s="20">
        <f t="shared" si="8"/>
        <v>38.916969696969701</v>
      </c>
      <c r="V22" s="21">
        <v>849.9</v>
      </c>
      <c r="W22">
        <f t="shared" si="1"/>
        <v>65.883720930232556</v>
      </c>
      <c r="X22">
        <f t="shared" si="5"/>
        <v>19754.400000000005</v>
      </c>
      <c r="AA22">
        <v>12.4208699415524</v>
      </c>
    </row>
    <row r="23" spans="1:27" x14ac:dyDescent="0.25">
      <c r="A23" s="117"/>
      <c r="B23" s="12"/>
      <c r="C23" s="13">
        <v>41537</v>
      </c>
      <c r="D23">
        <v>15.2</v>
      </c>
      <c r="E23">
        <v>13.7</v>
      </c>
      <c r="F23">
        <v>18.3</v>
      </c>
      <c r="G23">
        <f t="shared" si="6"/>
        <v>288.10000000000002</v>
      </c>
      <c r="J23">
        <v>0.4</v>
      </c>
      <c r="K23">
        <f t="shared" si="2"/>
        <v>49.3</v>
      </c>
      <c r="L23">
        <v>2.6</v>
      </c>
      <c r="M23">
        <f t="shared" si="3"/>
        <v>45.900000000000006</v>
      </c>
      <c r="N23" s="9">
        <f t="shared" si="0"/>
        <v>-2.2000000000000002</v>
      </c>
      <c r="O23" s="19">
        <f t="shared" si="9"/>
        <v>28.400000000000002</v>
      </c>
      <c r="P23" s="14">
        <v>18</v>
      </c>
      <c r="Q23" s="15">
        <f t="shared" si="10"/>
        <v>0.44848484848484849</v>
      </c>
      <c r="R23" s="16">
        <f t="shared" si="7"/>
        <v>1.166060606060606</v>
      </c>
      <c r="S23" s="16">
        <f t="shared" si="4"/>
        <v>-0.766060606060606</v>
      </c>
      <c r="T23" s="20">
        <f t="shared" si="8"/>
        <v>38.150909090909096</v>
      </c>
      <c r="V23">
        <v>1391</v>
      </c>
      <c r="W23">
        <f t="shared" si="1"/>
        <v>91.51315789473685</v>
      </c>
      <c r="X23">
        <f t="shared" si="5"/>
        <v>21145.400000000005</v>
      </c>
      <c r="AA23">
        <v>12.365430962693701</v>
      </c>
    </row>
    <row r="24" spans="1:27" x14ac:dyDescent="0.25">
      <c r="A24" s="117"/>
      <c r="B24" s="12"/>
      <c r="C24" s="13">
        <v>41538</v>
      </c>
      <c r="D24">
        <v>14.8</v>
      </c>
      <c r="E24">
        <v>9.3000000000000007</v>
      </c>
      <c r="F24">
        <v>20</v>
      </c>
      <c r="G24">
        <f t="shared" si="6"/>
        <v>302.90000000000003</v>
      </c>
      <c r="J24">
        <v>0</v>
      </c>
      <c r="K24">
        <f t="shared" si="2"/>
        <v>49.3</v>
      </c>
      <c r="L24">
        <v>2</v>
      </c>
      <c r="M24">
        <f t="shared" si="3"/>
        <v>47.900000000000006</v>
      </c>
      <c r="N24" s="9">
        <f t="shared" si="0"/>
        <v>-2</v>
      </c>
      <c r="O24" s="19">
        <f t="shared" si="9"/>
        <v>26.400000000000002</v>
      </c>
      <c r="P24" s="14">
        <v>19</v>
      </c>
      <c r="Q24" s="15">
        <f t="shared" si="10"/>
        <v>0.45833333333333331</v>
      </c>
      <c r="R24" s="16">
        <f t="shared" si="7"/>
        <v>0.91666666666666663</v>
      </c>
      <c r="S24" s="16">
        <f t="shared" si="4"/>
        <v>-0.91666666666666663</v>
      </c>
      <c r="T24" s="20">
        <f t="shared" si="8"/>
        <v>37.234242424242431</v>
      </c>
      <c r="V24">
        <v>1355.6</v>
      </c>
      <c r="W24">
        <f t="shared" si="1"/>
        <v>91.594594594594582</v>
      </c>
      <c r="X24">
        <f t="shared" si="5"/>
        <v>22501.000000000004</v>
      </c>
      <c r="AA24">
        <v>12.309957000210501</v>
      </c>
    </row>
    <row r="25" spans="1:27" x14ac:dyDescent="0.25">
      <c r="A25" s="117"/>
      <c r="B25" s="12"/>
      <c r="C25" s="13">
        <v>41539</v>
      </c>
      <c r="D25">
        <v>16.7</v>
      </c>
      <c r="E25">
        <v>10.9</v>
      </c>
      <c r="F25">
        <v>22.4</v>
      </c>
      <c r="G25">
        <f t="shared" si="6"/>
        <v>319.60000000000002</v>
      </c>
      <c r="J25">
        <v>0</v>
      </c>
      <c r="K25">
        <f t="shared" si="2"/>
        <v>49.3</v>
      </c>
      <c r="L25">
        <v>3.1</v>
      </c>
      <c r="M25">
        <f t="shared" si="3"/>
        <v>51.000000000000007</v>
      </c>
      <c r="N25" s="9">
        <f t="shared" si="0"/>
        <v>-3.1</v>
      </c>
      <c r="O25" s="19">
        <f t="shared" si="9"/>
        <v>23.3</v>
      </c>
      <c r="P25" s="14">
        <v>20</v>
      </c>
      <c r="Q25" s="15">
        <f t="shared" si="10"/>
        <v>0.46818181818181814</v>
      </c>
      <c r="R25" s="16">
        <f t="shared" si="7"/>
        <v>1.4513636363636362</v>
      </c>
      <c r="S25" s="16">
        <f t="shared" si="4"/>
        <v>-1.4513636363636362</v>
      </c>
      <c r="T25" s="20">
        <f t="shared" si="8"/>
        <v>35.782878787878794</v>
      </c>
      <c r="V25">
        <v>1685.6</v>
      </c>
      <c r="W25">
        <f t="shared" si="1"/>
        <v>100.93413173652695</v>
      </c>
      <c r="X25">
        <f t="shared" si="5"/>
        <v>24186.600000000002</v>
      </c>
      <c r="AA25">
        <v>12.254453520596099</v>
      </c>
    </row>
    <row r="26" spans="1:27" x14ac:dyDescent="0.25">
      <c r="A26" s="117"/>
      <c r="B26" s="12"/>
      <c r="C26" s="13">
        <v>41540</v>
      </c>
      <c r="D26">
        <v>17.3</v>
      </c>
      <c r="E26">
        <v>13.6</v>
      </c>
      <c r="F26">
        <v>21.6</v>
      </c>
      <c r="G26">
        <f t="shared" si="6"/>
        <v>336.90000000000003</v>
      </c>
      <c r="J26">
        <v>0</v>
      </c>
      <c r="K26">
        <f t="shared" si="2"/>
        <v>49.3</v>
      </c>
      <c r="L26">
        <v>3.4</v>
      </c>
      <c r="M26">
        <f t="shared" si="3"/>
        <v>54.400000000000006</v>
      </c>
      <c r="N26" s="9">
        <f t="shared" si="0"/>
        <v>-3.4</v>
      </c>
      <c r="O26" s="19">
        <f t="shared" si="9"/>
        <v>19.900000000000002</v>
      </c>
      <c r="P26" s="14">
        <v>21</v>
      </c>
      <c r="Q26" s="15">
        <f t="shared" si="10"/>
        <v>0.47803030303030303</v>
      </c>
      <c r="R26" s="16">
        <f t="shared" si="7"/>
        <v>1.6253030303030302</v>
      </c>
      <c r="S26" s="16">
        <f t="shared" si="4"/>
        <v>-1.6253030303030302</v>
      </c>
      <c r="T26" s="20">
        <f t="shared" si="8"/>
        <v>34.157575757575763</v>
      </c>
      <c r="V26">
        <v>1691.7</v>
      </c>
      <c r="W26">
        <f t="shared" si="1"/>
        <v>97.786127167630056</v>
      </c>
      <c r="X26">
        <f t="shared" si="5"/>
        <v>25878.300000000003</v>
      </c>
      <c r="AA26">
        <v>12.1989259722989</v>
      </c>
    </row>
    <row r="27" spans="1:27" x14ac:dyDescent="0.25">
      <c r="A27" s="117"/>
      <c r="B27" s="12"/>
      <c r="C27" s="13">
        <v>41541</v>
      </c>
      <c r="D27">
        <v>17.399999999999999</v>
      </c>
      <c r="E27">
        <v>10.6</v>
      </c>
      <c r="F27">
        <v>24.7</v>
      </c>
      <c r="G27">
        <f t="shared" si="6"/>
        <v>354.3</v>
      </c>
      <c r="J27">
        <v>0</v>
      </c>
      <c r="K27">
        <f t="shared" si="2"/>
        <v>49.3</v>
      </c>
      <c r="L27">
        <v>3.3</v>
      </c>
      <c r="M27">
        <f t="shared" si="3"/>
        <v>57.7</v>
      </c>
      <c r="N27" s="9">
        <f t="shared" si="0"/>
        <v>-3.3</v>
      </c>
      <c r="O27" s="19">
        <f t="shared" si="9"/>
        <v>16.600000000000001</v>
      </c>
      <c r="P27" s="14">
        <v>22</v>
      </c>
      <c r="Q27" s="15">
        <f t="shared" si="10"/>
        <v>0.48787878787878786</v>
      </c>
      <c r="R27" s="16">
        <f t="shared" si="7"/>
        <v>1.6099999999999999</v>
      </c>
      <c r="S27" s="16">
        <f t="shared" si="4"/>
        <v>-1.6099999999999999</v>
      </c>
      <c r="T27" s="20">
        <f t="shared" si="8"/>
        <v>32.547575757575764</v>
      </c>
      <c r="V27">
        <v>1824.4</v>
      </c>
      <c r="W27">
        <f t="shared" si="1"/>
        <v>104.85057471264369</v>
      </c>
      <c r="X27">
        <f t="shared" si="5"/>
        <v>27702.700000000004</v>
      </c>
      <c r="AA27">
        <v>12.1433798012499</v>
      </c>
    </row>
    <row r="28" spans="1:27" x14ac:dyDescent="0.25">
      <c r="A28" s="117"/>
      <c r="B28" s="12"/>
      <c r="C28" s="13">
        <v>41542</v>
      </c>
      <c r="D28">
        <v>18.600000000000001</v>
      </c>
      <c r="E28">
        <v>11.9</v>
      </c>
      <c r="F28" s="11">
        <v>25.2</v>
      </c>
      <c r="G28">
        <f t="shared" si="6"/>
        <v>372.90000000000003</v>
      </c>
      <c r="J28">
        <v>0</v>
      </c>
      <c r="K28">
        <f t="shared" si="2"/>
        <v>49.3</v>
      </c>
      <c r="L28">
        <v>1.6</v>
      </c>
      <c r="M28">
        <f t="shared" si="3"/>
        <v>59.300000000000004</v>
      </c>
      <c r="N28" s="9">
        <f t="shared" si="0"/>
        <v>-1.6</v>
      </c>
      <c r="O28" s="19">
        <f t="shared" si="9"/>
        <v>15.000000000000002</v>
      </c>
      <c r="P28" s="14">
        <v>23</v>
      </c>
      <c r="Q28" s="15">
        <f t="shared" si="10"/>
        <v>0.49772727272727268</v>
      </c>
      <c r="R28" s="16">
        <f t="shared" si="7"/>
        <v>0.79636363636363638</v>
      </c>
      <c r="S28" s="16">
        <f t="shared" si="4"/>
        <v>-0.79636363636363638</v>
      </c>
      <c r="T28" s="20">
        <f t="shared" si="8"/>
        <v>31.751212121212127</v>
      </c>
      <c r="V28">
        <v>972.6</v>
      </c>
      <c r="W28">
        <f t="shared" si="1"/>
        <v>52.29032258064516</v>
      </c>
      <c r="X28">
        <f t="shared" si="5"/>
        <v>28675.300000000003</v>
      </c>
      <c r="AA28">
        <v>12.087820466473699</v>
      </c>
    </row>
    <row r="29" spans="1:27" x14ac:dyDescent="0.25">
      <c r="A29" s="117"/>
      <c r="B29" s="12"/>
      <c r="C29" s="13">
        <v>41543</v>
      </c>
      <c r="D29">
        <v>19.8</v>
      </c>
      <c r="E29">
        <v>16.100000000000001</v>
      </c>
      <c r="F29">
        <v>24.6</v>
      </c>
      <c r="G29">
        <f t="shared" si="6"/>
        <v>392.70000000000005</v>
      </c>
      <c r="J29">
        <v>0.6</v>
      </c>
      <c r="K29">
        <f t="shared" si="2"/>
        <v>49.9</v>
      </c>
      <c r="L29">
        <v>1.4</v>
      </c>
      <c r="M29">
        <f t="shared" si="3"/>
        <v>60.7</v>
      </c>
      <c r="N29" s="9">
        <f t="shared" si="0"/>
        <v>-0.79999999999999993</v>
      </c>
      <c r="O29" s="19">
        <f t="shared" si="9"/>
        <v>14.200000000000001</v>
      </c>
      <c r="P29" s="14">
        <v>24</v>
      </c>
      <c r="Q29" s="15">
        <f t="shared" si="10"/>
        <v>0.50757575757575757</v>
      </c>
      <c r="R29" s="16">
        <f t="shared" si="7"/>
        <v>0.71060606060606057</v>
      </c>
      <c r="S29" s="16">
        <f t="shared" si="4"/>
        <v>-0.1106060606060606</v>
      </c>
      <c r="T29" s="20">
        <f t="shared" si="8"/>
        <v>31.640606060606068</v>
      </c>
      <c r="V29" s="21">
        <v>781.6</v>
      </c>
      <c r="W29">
        <f t="shared" si="1"/>
        <v>39.474747474747474</v>
      </c>
      <c r="X29">
        <f t="shared" si="5"/>
        <v>29456.9</v>
      </c>
      <c r="AA29">
        <v>12.0322534557853</v>
      </c>
    </row>
    <row r="30" spans="1:27" x14ac:dyDescent="0.25">
      <c r="A30" s="117"/>
      <c r="B30" s="12"/>
      <c r="C30" s="13">
        <v>41544</v>
      </c>
      <c r="D30">
        <v>20.7</v>
      </c>
      <c r="E30">
        <v>15.2</v>
      </c>
      <c r="F30" s="11">
        <v>25.3</v>
      </c>
      <c r="G30">
        <f t="shared" si="6"/>
        <v>413.40000000000003</v>
      </c>
      <c r="J30">
        <v>0.9</v>
      </c>
      <c r="K30">
        <f t="shared" si="2"/>
        <v>50.8</v>
      </c>
      <c r="L30">
        <v>2.6</v>
      </c>
      <c r="M30">
        <f t="shared" si="3"/>
        <v>63.300000000000004</v>
      </c>
      <c r="N30" s="9">
        <f t="shared" si="0"/>
        <v>-1.7000000000000002</v>
      </c>
      <c r="O30" s="19">
        <f t="shared" si="9"/>
        <v>12.5</v>
      </c>
      <c r="P30" s="14">
        <v>25</v>
      </c>
      <c r="Q30" s="15">
        <f t="shared" si="10"/>
        <v>0.51742424242424234</v>
      </c>
      <c r="R30" s="16">
        <f t="shared" si="7"/>
        <v>1.3453030303030302</v>
      </c>
      <c r="S30" s="16">
        <f t="shared" si="4"/>
        <v>-0.4453030303030302</v>
      </c>
      <c r="T30" s="20">
        <f t="shared" si="8"/>
        <v>31.195303030303037</v>
      </c>
      <c r="V30">
        <v>1346.9</v>
      </c>
      <c r="W30">
        <f t="shared" si="1"/>
        <v>65.067632850241552</v>
      </c>
      <c r="X30">
        <f t="shared" si="5"/>
        <v>30803.800000000003</v>
      </c>
      <c r="AA30">
        <v>11.9766843015777</v>
      </c>
    </row>
    <row r="31" spans="1:27" x14ac:dyDescent="0.25">
      <c r="A31" s="117"/>
      <c r="B31" s="12"/>
      <c r="C31" s="13">
        <v>41545</v>
      </c>
      <c r="D31">
        <v>19.3</v>
      </c>
      <c r="E31">
        <v>17.7</v>
      </c>
      <c r="F31">
        <v>23</v>
      </c>
      <c r="G31">
        <f t="shared" si="6"/>
        <v>432.70000000000005</v>
      </c>
      <c r="J31">
        <v>4</v>
      </c>
      <c r="K31">
        <f t="shared" si="2"/>
        <v>54.8</v>
      </c>
      <c r="L31">
        <v>1.2</v>
      </c>
      <c r="M31">
        <f t="shared" si="3"/>
        <v>64.5</v>
      </c>
      <c r="N31">
        <f t="shared" si="0"/>
        <v>2.8</v>
      </c>
      <c r="O31" s="19">
        <f t="shared" si="9"/>
        <v>15.3</v>
      </c>
      <c r="P31" s="14">
        <v>26</v>
      </c>
      <c r="Q31" s="15">
        <f t="shared" si="10"/>
        <v>0.52727272727272723</v>
      </c>
      <c r="R31" s="16">
        <f t="shared" si="7"/>
        <v>0.63272727272727269</v>
      </c>
      <c r="S31" s="16">
        <f t="shared" si="4"/>
        <v>3.3672727272727272</v>
      </c>
      <c r="T31" s="20">
        <f t="shared" si="8"/>
        <v>34.562575757575765</v>
      </c>
      <c r="V31" s="21">
        <v>387.9</v>
      </c>
      <c r="W31">
        <f t="shared" si="1"/>
        <v>20.098445595854919</v>
      </c>
      <c r="X31">
        <f t="shared" si="5"/>
        <v>31191.700000000004</v>
      </c>
      <c r="AA31">
        <v>11.921118596703099</v>
      </c>
    </row>
    <row r="32" spans="1:27" x14ac:dyDescent="0.25">
      <c r="A32" s="117"/>
      <c r="B32" s="12"/>
      <c r="C32" s="13">
        <v>41546</v>
      </c>
      <c r="D32">
        <v>17.2</v>
      </c>
      <c r="E32">
        <v>15.4</v>
      </c>
      <c r="F32">
        <v>20.5</v>
      </c>
      <c r="G32">
        <f t="shared" si="6"/>
        <v>449.90000000000003</v>
      </c>
      <c r="J32">
        <v>3.4</v>
      </c>
      <c r="K32">
        <f t="shared" si="2"/>
        <v>58.199999999999996</v>
      </c>
      <c r="L32">
        <v>1.2</v>
      </c>
      <c r="M32">
        <f t="shared" si="3"/>
        <v>65.7</v>
      </c>
      <c r="N32">
        <f t="shared" si="0"/>
        <v>2.2000000000000002</v>
      </c>
      <c r="O32" s="19">
        <f t="shared" si="9"/>
        <v>17.5</v>
      </c>
      <c r="P32" s="14">
        <v>27</v>
      </c>
      <c r="Q32" s="15">
        <f t="shared" si="10"/>
        <v>0.53712121212121211</v>
      </c>
      <c r="R32" s="16">
        <f t="shared" si="7"/>
        <v>0.64454545454545453</v>
      </c>
      <c r="S32" s="16">
        <f t="shared" si="4"/>
        <v>2.7554545454545454</v>
      </c>
      <c r="T32" s="20">
        <f t="shared" si="8"/>
        <v>37.318030303030312</v>
      </c>
      <c r="V32" s="21">
        <v>561.70000000000005</v>
      </c>
      <c r="W32">
        <f t="shared" si="1"/>
        <v>32.656976744186053</v>
      </c>
      <c r="X32">
        <f t="shared" si="5"/>
        <v>31753.400000000005</v>
      </c>
      <c r="AA32">
        <v>11.8655620104504</v>
      </c>
    </row>
    <row r="33" spans="1:27" x14ac:dyDescent="0.25">
      <c r="A33" s="117"/>
      <c r="B33" s="12"/>
      <c r="C33" s="13">
        <v>41547</v>
      </c>
      <c r="D33">
        <v>16.399999999999999</v>
      </c>
      <c r="E33">
        <v>15.2</v>
      </c>
      <c r="F33">
        <v>18.7</v>
      </c>
      <c r="G33">
        <f t="shared" si="6"/>
        <v>466.3</v>
      </c>
      <c r="J33">
        <v>0</v>
      </c>
      <c r="K33">
        <f t="shared" si="2"/>
        <v>58.199999999999996</v>
      </c>
      <c r="L33">
        <v>1.5</v>
      </c>
      <c r="M33">
        <f t="shared" si="3"/>
        <v>67.2</v>
      </c>
      <c r="N33" s="9">
        <f t="shared" si="0"/>
        <v>-1.5</v>
      </c>
      <c r="O33" s="19">
        <f t="shared" si="9"/>
        <v>16</v>
      </c>
      <c r="P33" s="14">
        <v>28</v>
      </c>
      <c r="Q33" s="15">
        <f t="shared" si="10"/>
        <v>0.54696969696969699</v>
      </c>
      <c r="R33" s="16">
        <f t="shared" si="7"/>
        <v>0.82045454545454555</v>
      </c>
      <c r="S33" s="16">
        <f t="shared" si="4"/>
        <v>-0.82045454545454555</v>
      </c>
      <c r="T33" s="20">
        <f t="shared" si="8"/>
        <v>36.497575757575767</v>
      </c>
      <c r="V33" s="21">
        <v>751.2</v>
      </c>
      <c r="W33">
        <f t="shared" si="1"/>
        <v>45.804878048780495</v>
      </c>
      <c r="X33">
        <f t="shared" si="5"/>
        <v>32504.600000000006</v>
      </c>
      <c r="AA33">
        <v>11.8100203046213</v>
      </c>
    </row>
    <row r="34" spans="1:27" x14ac:dyDescent="0.25">
      <c r="A34" s="117"/>
      <c r="B34" s="12"/>
      <c r="C34" s="13">
        <v>41548</v>
      </c>
      <c r="D34">
        <v>16.8</v>
      </c>
      <c r="E34">
        <v>13.7</v>
      </c>
      <c r="F34">
        <v>20.100000000000001</v>
      </c>
      <c r="G34">
        <f t="shared" si="6"/>
        <v>483.1</v>
      </c>
      <c r="J34">
        <v>0.1</v>
      </c>
      <c r="K34">
        <f t="shared" si="2"/>
        <v>58.3</v>
      </c>
      <c r="L34">
        <v>1.7</v>
      </c>
      <c r="M34">
        <f t="shared" si="3"/>
        <v>68.900000000000006</v>
      </c>
      <c r="N34" s="9">
        <f t="shared" si="0"/>
        <v>-1.5999999999999999</v>
      </c>
      <c r="O34" s="19">
        <f t="shared" si="9"/>
        <v>14.4</v>
      </c>
      <c r="P34" s="14">
        <v>29</v>
      </c>
      <c r="Q34" s="15">
        <f t="shared" si="10"/>
        <v>0.55681818181818177</v>
      </c>
      <c r="R34" s="16">
        <f t="shared" si="7"/>
        <v>0.94659090909090893</v>
      </c>
      <c r="S34" s="16">
        <f t="shared" si="4"/>
        <v>-0.84659090909090895</v>
      </c>
      <c r="T34" s="20">
        <f t="shared" si="8"/>
        <v>35.65098484848486</v>
      </c>
      <c r="V34" s="21">
        <v>891.7</v>
      </c>
      <c r="W34">
        <f t="shared" si="1"/>
        <v>53.077380952380956</v>
      </c>
      <c r="X34">
        <f t="shared" si="5"/>
        <v>33396.300000000003</v>
      </c>
      <c r="AA34">
        <v>11.754499349708199</v>
      </c>
    </row>
    <row r="35" spans="1:27" x14ac:dyDescent="0.25">
      <c r="A35" s="117"/>
      <c r="B35" s="12"/>
      <c r="C35" s="13">
        <v>41549</v>
      </c>
      <c r="D35">
        <v>18.3</v>
      </c>
      <c r="E35">
        <v>13.6</v>
      </c>
      <c r="F35">
        <v>22.1</v>
      </c>
      <c r="G35">
        <f t="shared" si="6"/>
        <v>501.40000000000003</v>
      </c>
      <c r="J35">
        <v>0.2</v>
      </c>
      <c r="K35">
        <f t="shared" si="2"/>
        <v>58.5</v>
      </c>
      <c r="L35">
        <v>1.1000000000000001</v>
      </c>
      <c r="M35">
        <f t="shared" si="3"/>
        <v>70</v>
      </c>
      <c r="N35" s="9">
        <f t="shared" si="0"/>
        <v>-0.90000000000000013</v>
      </c>
      <c r="O35" s="19">
        <f t="shared" si="9"/>
        <v>13.5</v>
      </c>
      <c r="P35" s="14">
        <v>30</v>
      </c>
      <c r="Q35" s="15">
        <f t="shared" si="10"/>
        <v>0.56666666666666665</v>
      </c>
      <c r="R35" s="16">
        <f t="shared" si="7"/>
        <v>0.62333333333333341</v>
      </c>
      <c r="S35" s="16">
        <f t="shared" si="4"/>
        <v>-0.42333333333333339</v>
      </c>
      <c r="T35" s="20">
        <f t="shared" si="8"/>
        <v>35.227651515151528</v>
      </c>
      <c r="V35" s="21">
        <v>770.5</v>
      </c>
      <c r="W35">
        <f t="shared" si="1"/>
        <v>42.103825136612024</v>
      </c>
      <c r="X35">
        <f t="shared" si="5"/>
        <v>34166.800000000003</v>
      </c>
      <c r="AA35">
        <v>11.699005141172901</v>
      </c>
    </row>
    <row r="36" spans="1:27" x14ac:dyDescent="0.25">
      <c r="A36" s="117"/>
      <c r="B36" s="12"/>
      <c r="C36" s="13">
        <v>41550</v>
      </c>
      <c r="D36">
        <v>20</v>
      </c>
      <c r="E36">
        <v>16.3</v>
      </c>
      <c r="F36">
        <v>23.5</v>
      </c>
      <c r="G36">
        <f t="shared" si="6"/>
        <v>521.40000000000009</v>
      </c>
      <c r="J36">
        <v>0</v>
      </c>
      <c r="K36">
        <f t="shared" si="2"/>
        <v>58.5</v>
      </c>
      <c r="L36">
        <v>1.5</v>
      </c>
      <c r="M36">
        <f t="shared" si="3"/>
        <v>71.5</v>
      </c>
      <c r="N36" s="9">
        <f t="shared" si="0"/>
        <v>-1.5</v>
      </c>
      <c r="O36" s="19">
        <f t="shared" si="9"/>
        <v>12</v>
      </c>
      <c r="P36" s="14">
        <v>31</v>
      </c>
      <c r="Q36" s="15">
        <f t="shared" si="10"/>
        <v>0.57651515151515154</v>
      </c>
      <c r="R36" s="16">
        <f t="shared" si="7"/>
        <v>0.86477272727272725</v>
      </c>
      <c r="S36" s="16">
        <f t="shared" si="4"/>
        <v>-0.86477272727272725</v>
      </c>
      <c r="T36" s="20">
        <f t="shared" si="8"/>
        <v>34.362878787878799</v>
      </c>
      <c r="V36" s="21">
        <v>505.7</v>
      </c>
      <c r="W36">
        <f t="shared" si="1"/>
        <v>25.285</v>
      </c>
      <c r="X36">
        <f t="shared" si="5"/>
        <v>34672.5</v>
      </c>
      <c r="AA36">
        <v>11.6435438158283</v>
      </c>
    </row>
    <row r="37" spans="1:27" x14ac:dyDescent="0.25">
      <c r="A37" s="117"/>
      <c r="B37" s="12"/>
      <c r="C37" s="13">
        <v>41551</v>
      </c>
      <c r="D37">
        <v>18.2</v>
      </c>
      <c r="E37">
        <v>17.600000000000001</v>
      </c>
      <c r="F37">
        <v>19.8</v>
      </c>
      <c r="G37">
        <f t="shared" si="6"/>
        <v>539.60000000000014</v>
      </c>
      <c r="J37">
        <v>18.5</v>
      </c>
      <c r="K37">
        <f t="shared" si="2"/>
        <v>77</v>
      </c>
      <c r="L37">
        <v>1.3</v>
      </c>
      <c r="M37">
        <f t="shared" si="3"/>
        <v>72.8</v>
      </c>
      <c r="N37">
        <f t="shared" si="0"/>
        <v>17.2</v>
      </c>
      <c r="O37" s="19">
        <f t="shared" si="9"/>
        <v>29.2</v>
      </c>
      <c r="P37" s="14">
        <v>32</v>
      </c>
      <c r="Q37" s="15">
        <f t="shared" si="10"/>
        <v>0.58636363636363642</v>
      </c>
      <c r="R37" s="16">
        <f t="shared" si="7"/>
        <v>0.76227272727272732</v>
      </c>
      <c r="S37" s="16">
        <f t="shared" si="4"/>
        <v>17.737727272727273</v>
      </c>
      <c r="T37" s="20">
        <f t="shared" si="8"/>
        <v>52.100606060606069</v>
      </c>
      <c r="V37" s="21">
        <v>535.20000000000005</v>
      </c>
      <c r="W37">
        <f t="shared" si="1"/>
        <v>29.406593406593409</v>
      </c>
      <c r="X37">
        <f t="shared" si="5"/>
        <v>35207.699999999997</v>
      </c>
      <c r="AA37">
        <v>11.588121668320399</v>
      </c>
    </row>
    <row r="38" spans="1:27" x14ac:dyDescent="0.25">
      <c r="A38" s="117"/>
      <c r="B38" s="12"/>
      <c r="C38" s="13">
        <v>41552</v>
      </c>
      <c r="D38">
        <v>15.3</v>
      </c>
      <c r="E38">
        <v>15.2</v>
      </c>
      <c r="F38">
        <v>17.2</v>
      </c>
      <c r="G38">
        <f t="shared" si="6"/>
        <v>554.90000000000009</v>
      </c>
      <c r="J38">
        <v>0.2</v>
      </c>
      <c r="K38">
        <f t="shared" si="2"/>
        <v>77.2</v>
      </c>
      <c r="L38">
        <v>1.8</v>
      </c>
      <c r="M38">
        <f t="shared" si="3"/>
        <v>74.599999999999994</v>
      </c>
      <c r="N38" s="9">
        <f t="shared" si="0"/>
        <v>-1.6</v>
      </c>
      <c r="O38" s="19">
        <f t="shared" si="9"/>
        <v>27.599999999999998</v>
      </c>
      <c r="P38" s="14">
        <v>33</v>
      </c>
      <c r="Q38" s="15">
        <f t="shared" si="10"/>
        <v>0.59621212121212119</v>
      </c>
      <c r="R38" s="16">
        <f t="shared" si="7"/>
        <v>1.0731818181818182</v>
      </c>
      <c r="S38" s="16">
        <f t="shared" si="4"/>
        <v>-0.87318181818181828</v>
      </c>
      <c r="T38" s="20">
        <f t="shared" si="8"/>
        <v>51.227424242424249</v>
      </c>
      <c r="V38">
        <v>1041.4000000000001</v>
      </c>
      <c r="W38">
        <f t="shared" si="1"/>
        <v>68.06535947712419</v>
      </c>
      <c r="X38">
        <f t="shared" si="5"/>
        <v>36249.1</v>
      </c>
      <c r="AA38">
        <v>11.5327451677094</v>
      </c>
    </row>
    <row r="39" spans="1:27" x14ac:dyDescent="0.25">
      <c r="A39" s="117"/>
      <c r="B39" s="12"/>
      <c r="C39" s="13">
        <v>41553</v>
      </c>
      <c r="D39">
        <v>13.4</v>
      </c>
      <c r="E39">
        <v>11.7</v>
      </c>
      <c r="F39">
        <v>15.5</v>
      </c>
      <c r="G39">
        <f t="shared" si="6"/>
        <v>568.30000000000007</v>
      </c>
      <c r="J39">
        <v>0.2</v>
      </c>
      <c r="K39">
        <f t="shared" si="2"/>
        <v>77.400000000000006</v>
      </c>
      <c r="L39">
        <v>0.8</v>
      </c>
      <c r="M39">
        <f t="shared" si="3"/>
        <v>75.399999999999991</v>
      </c>
      <c r="N39" s="9">
        <f t="shared" si="0"/>
        <v>-0.60000000000000009</v>
      </c>
      <c r="O39" s="19">
        <f t="shared" si="9"/>
        <v>26.999999999999996</v>
      </c>
      <c r="P39" s="14">
        <v>34</v>
      </c>
      <c r="Q39" s="15">
        <f t="shared" si="10"/>
        <v>0.60606060606060597</v>
      </c>
      <c r="R39" s="16">
        <f t="shared" si="7"/>
        <v>0.48484848484848481</v>
      </c>
      <c r="S39" s="16">
        <f t="shared" si="4"/>
        <v>-0.2848484848484848</v>
      </c>
      <c r="T39" s="20">
        <f t="shared" si="8"/>
        <v>50.942575757575767</v>
      </c>
      <c r="V39" s="21">
        <v>550.6</v>
      </c>
      <c r="W39">
        <f t="shared" si="1"/>
        <v>41.089552238805972</v>
      </c>
      <c r="X39">
        <f t="shared" si="5"/>
        <v>36799.699999999997</v>
      </c>
      <c r="AA39">
        <v>11.4774209741457</v>
      </c>
    </row>
    <row r="40" spans="1:27" x14ac:dyDescent="0.25">
      <c r="A40" s="117"/>
      <c r="B40" s="12"/>
      <c r="C40" s="13">
        <v>41554</v>
      </c>
      <c r="D40">
        <v>13.7</v>
      </c>
      <c r="E40">
        <v>8.8000000000000007</v>
      </c>
      <c r="F40">
        <v>17.5</v>
      </c>
      <c r="G40">
        <f t="shared" si="6"/>
        <v>582.00000000000011</v>
      </c>
      <c r="J40">
        <v>0</v>
      </c>
      <c r="K40">
        <f t="shared" si="2"/>
        <v>77.400000000000006</v>
      </c>
      <c r="L40">
        <v>1.5</v>
      </c>
      <c r="M40">
        <f t="shared" si="3"/>
        <v>76.899999999999991</v>
      </c>
      <c r="N40" s="9">
        <f t="shared" si="0"/>
        <v>-1.5</v>
      </c>
      <c r="O40" s="19">
        <f t="shared" si="9"/>
        <v>25.499999999999996</v>
      </c>
      <c r="P40" s="14">
        <v>35</v>
      </c>
      <c r="Q40" s="15">
        <f t="shared" si="10"/>
        <v>0.61590909090909096</v>
      </c>
      <c r="R40" s="16">
        <f t="shared" si="7"/>
        <v>0.92386363636363644</v>
      </c>
      <c r="S40" s="16">
        <f t="shared" si="4"/>
        <v>-0.92386363636363644</v>
      </c>
      <c r="T40" s="20">
        <f t="shared" si="8"/>
        <v>50.018712121212133</v>
      </c>
      <c r="V40">
        <v>1068.2</v>
      </c>
      <c r="W40">
        <f t="shared" si="1"/>
        <v>77.970802919708035</v>
      </c>
      <c r="X40">
        <f t="shared" si="5"/>
        <v>37867.899999999994</v>
      </c>
      <c r="AA40">
        <v>11.4221559556354</v>
      </c>
    </row>
    <row r="41" spans="1:27" x14ac:dyDescent="0.25">
      <c r="A41" s="117"/>
      <c r="B41" s="12"/>
      <c r="C41" s="13">
        <v>41555</v>
      </c>
      <c r="D41">
        <v>14.6</v>
      </c>
      <c r="E41">
        <v>13.4</v>
      </c>
      <c r="F41">
        <v>15.7</v>
      </c>
      <c r="G41">
        <f t="shared" si="6"/>
        <v>596.60000000000014</v>
      </c>
      <c r="J41">
        <v>0</v>
      </c>
      <c r="K41">
        <f t="shared" si="2"/>
        <v>77.400000000000006</v>
      </c>
      <c r="L41">
        <v>0.9</v>
      </c>
      <c r="M41">
        <f t="shared" si="3"/>
        <v>77.8</v>
      </c>
      <c r="N41" s="9">
        <f t="shared" si="0"/>
        <v>-0.9</v>
      </c>
      <c r="O41" s="19">
        <f t="shared" si="9"/>
        <v>24.599999999999998</v>
      </c>
      <c r="P41" s="14">
        <v>36</v>
      </c>
      <c r="Q41" s="15">
        <f t="shared" si="10"/>
        <v>0.62575757575757573</v>
      </c>
      <c r="R41" s="16">
        <f t="shared" si="7"/>
        <v>0.56318181818181823</v>
      </c>
      <c r="S41" s="16">
        <f t="shared" si="4"/>
        <v>-0.56318181818181823</v>
      </c>
      <c r="T41" s="20">
        <f t="shared" si="8"/>
        <v>49.455530303030315</v>
      </c>
      <c r="V41" s="21">
        <v>482.1</v>
      </c>
      <c r="W41">
        <f t="shared" si="1"/>
        <v>33.020547945205479</v>
      </c>
      <c r="X41">
        <f t="shared" si="5"/>
        <v>38349.999999999993</v>
      </c>
      <c r="AA41">
        <v>11.3669572048881</v>
      </c>
    </row>
    <row r="42" spans="1:27" x14ac:dyDescent="0.25">
      <c r="A42" s="117"/>
      <c r="B42" s="12"/>
      <c r="C42" s="13">
        <v>41556</v>
      </c>
      <c r="D42">
        <v>15.1</v>
      </c>
      <c r="E42">
        <v>12.4</v>
      </c>
      <c r="F42">
        <v>18.100000000000001</v>
      </c>
      <c r="G42">
        <f t="shared" si="6"/>
        <v>611.70000000000016</v>
      </c>
      <c r="J42">
        <v>0.3</v>
      </c>
      <c r="K42">
        <f t="shared" si="2"/>
        <v>77.7</v>
      </c>
      <c r="L42">
        <v>1.8</v>
      </c>
      <c r="M42">
        <f t="shared" si="3"/>
        <v>79.599999999999994</v>
      </c>
      <c r="N42" s="9">
        <f t="shared" si="0"/>
        <v>-1.5</v>
      </c>
      <c r="O42" s="19">
        <f t="shared" si="9"/>
        <v>23.099999999999998</v>
      </c>
      <c r="P42" s="14">
        <v>37</v>
      </c>
      <c r="Q42" s="15">
        <f t="shared" si="10"/>
        <v>0.63560606060606062</v>
      </c>
      <c r="R42" s="16">
        <f t="shared" si="7"/>
        <v>1.144090909090909</v>
      </c>
      <c r="S42" s="16">
        <f t="shared" si="4"/>
        <v>-0.844090909090909</v>
      </c>
      <c r="T42" s="20">
        <f t="shared" si="8"/>
        <v>48.611439393939406</v>
      </c>
      <c r="V42">
        <v>986.9</v>
      </c>
      <c r="W42">
        <f t="shared" si="1"/>
        <v>65.357615894039739</v>
      </c>
      <c r="X42">
        <f t="shared" si="5"/>
        <v>39336.899999999994</v>
      </c>
      <c r="AA42">
        <v>11.3118320562383</v>
      </c>
    </row>
    <row r="43" spans="1:27" x14ac:dyDescent="0.25">
      <c r="A43" s="117"/>
      <c r="B43" s="12"/>
      <c r="C43" s="13">
        <v>41557</v>
      </c>
      <c r="D43">
        <v>10.8</v>
      </c>
      <c r="E43">
        <v>10.6</v>
      </c>
      <c r="F43">
        <v>12.1</v>
      </c>
      <c r="G43">
        <f t="shared" si="6"/>
        <v>622.50000000000011</v>
      </c>
      <c r="J43">
        <v>0.7</v>
      </c>
      <c r="K43">
        <f t="shared" si="2"/>
        <v>78.400000000000006</v>
      </c>
      <c r="L43">
        <v>2.1</v>
      </c>
      <c r="M43">
        <f t="shared" si="3"/>
        <v>81.699999999999989</v>
      </c>
      <c r="N43" s="9">
        <f t="shared" si="0"/>
        <v>-1.4000000000000001</v>
      </c>
      <c r="O43" s="19">
        <f t="shared" si="9"/>
        <v>21.7</v>
      </c>
      <c r="P43" s="14">
        <v>38</v>
      </c>
      <c r="Q43" s="15">
        <f t="shared" si="10"/>
        <v>0.6454545454545455</v>
      </c>
      <c r="R43" s="16">
        <f t="shared" si="7"/>
        <v>1.3554545454545457</v>
      </c>
      <c r="S43" s="16">
        <f t="shared" si="4"/>
        <v>-0.65545454545454573</v>
      </c>
      <c r="T43" s="20">
        <f t="shared" si="8"/>
        <v>47.95598484848486</v>
      </c>
      <c r="V43">
        <v>1107</v>
      </c>
      <c r="W43">
        <f t="shared" si="1"/>
        <v>102.5</v>
      </c>
      <c r="X43">
        <f t="shared" si="5"/>
        <v>40443.899999999994</v>
      </c>
      <c r="AA43">
        <v>11.2567881026278</v>
      </c>
    </row>
    <row r="44" spans="1:27" x14ac:dyDescent="0.25">
      <c r="A44" s="117"/>
      <c r="B44" s="12"/>
      <c r="C44" s="13">
        <v>41558</v>
      </c>
      <c r="D44">
        <v>8.5</v>
      </c>
      <c r="E44">
        <v>5.8</v>
      </c>
      <c r="F44">
        <v>11.2</v>
      </c>
      <c r="G44">
        <f t="shared" si="6"/>
        <v>631.00000000000011</v>
      </c>
      <c r="J44">
        <v>4.9000000000000004</v>
      </c>
      <c r="K44">
        <f t="shared" si="2"/>
        <v>83.300000000000011</v>
      </c>
      <c r="L44">
        <v>1</v>
      </c>
      <c r="M44">
        <f t="shared" si="3"/>
        <v>82.699999999999989</v>
      </c>
      <c r="N44">
        <f t="shared" si="0"/>
        <v>3.9000000000000004</v>
      </c>
      <c r="O44" s="19">
        <f t="shared" si="9"/>
        <v>25.6</v>
      </c>
      <c r="P44" s="14">
        <v>39</v>
      </c>
      <c r="Q44" s="15">
        <f t="shared" si="10"/>
        <v>0.65530303030303028</v>
      </c>
      <c r="R44" s="16">
        <f t="shared" si="7"/>
        <v>0.65530303030303028</v>
      </c>
      <c r="S44" s="16">
        <f t="shared" si="4"/>
        <v>4.2446969696969701</v>
      </c>
      <c r="T44" s="20">
        <f t="shared" si="8"/>
        <v>52.200681818181828</v>
      </c>
      <c r="V44" s="21">
        <v>660.9</v>
      </c>
      <c r="W44">
        <f t="shared" si="1"/>
        <v>77.752941176470586</v>
      </c>
      <c r="X44">
        <f t="shared" si="5"/>
        <v>41104.799999999996</v>
      </c>
      <c r="AA44">
        <v>11.2018332126361</v>
      </c>
    </row>
    <row r="45" spans="1:27" x14ac:dyDescent="0.25">
      <c r="A45" s="117"/>
      <c r="B45" s="12"/>
      <c r="C45" s="13">
        <v>41559</v>
      </c>
      <c r="D45">
        <v>6.6</v>
      </c>
      <c r="E45">
        <v>5.7</v>
      </c>
      <c r="F45">
        <v>9.1</v>
      </c>
      <c r="G45">
        <f t="shared" si="6"/>
        <v>637.60000000000014</v>
      </c>
      <c r="J45">
        <v>1.1000000000000001</v>
      </c>
      <c r="K45">
        <f t="shared" si="2"/>
        <v>84.4</v>
      </c>
      <c r="L45">
        <v>0.6</v>
      </c>
      <c r="M45">
        <f t="shared" si="3"/>
        <v>83.299999999999983</v>
      </c>
      <c r="N45">
        <f t="shared" si="0"/>
        <v>0.50000000000000011</v>
      </c>
      <c r="O45" s="19">
        <f t="shared" si="9"/>
        <v>26.1</v>
      </c>
      <c r="P45" s="14">
        <v>40</v>
      </c>
      <c r="Q45" s="15">
        <f t="shared" si="10"/>
        <v>0.66515151515151516</v>
      </c>
      <c r="R45" s="16">
        <f t="shared" si="7"/>
        <v>0.39909090909090911</v>
      </c>
      <c r="S45" s="16">
        <f t="shared" si="4"/>
        <v>0.70090909090909093</v>
      </c>
      <c r="T45" s="20">
        <f t="shared" si="8"/>
        <v>52.90159090909092</v>
      </c>
      <c r="V45" s="21">
        <v>345.5</v>
      </c>
      <c r="W45">
        <f t="shared" si="1"/>
        <v>52.348484848484851</v>
      </c>
      <c r="X45">
        <f t="shared" si="5"/>
        <v>41450.299999999996</v>
      </c>
      <c r="AA45">
        <v>11.146975547542199</v>
      </c>
    </row>
    <row r="46" spans="1:27" x14ac:dyDescent="0.25">
      <c r="A46" s="117"/>
      <c r="B46" s="12"/>
      <c r="C46" s="13">
        <v>41560</v>
      </c>
      <c r="D46">
        <v>7.6</v>
      </c>
      <c r="E46" s="24">
        <v>-0.2</v>
      </c>
      <c r="F46">
        <v>12.5</v>
      </c>
      <c r="G46">
        <f t="shared" si="6"/>
        <v>645.20000000000016</v>
      </c>
      <c r="J46">
        <v>2</v>
      </c>
      <c r="K46">
        <f t="shared" si="2"/>
        <v>86.4</v>
      </c>
      <c r="L46">
        <v>0.6</v>
      </c>
      <c r="M46">
        <f t="shared" si="3"/>
        <v>83.899999999999977</v>
      </c>
      <c r="N46">
        <f t="shared" si="0"/>
        <v>1.4</v>
      </c>
      <c r="O46" s="19">
        <f t="shared" si="9"/>
        <v>27.5</v>
      </c>
      <c r="P46" s="14">
        <v>41</v>
      </c>
      <c r="Q46" s="15">
        <f t="shared" si="10"/>
        <v>0.67500000000000004</v>
      </c>
      <c r="R46" s="16">
        <f t="shared" si="7"/>
        <v>0.40500000000000003</v>
      </c>
      <c r="S46" s="16">
        <f t="shared" si="4"/>
        <v>1.595</v>
      </c>
      <c r="T46" s="20">
        <f t="shared" si="8"/>
        <v>54.496590909090919</v>
      </c>
      <c r="V46" s="21">
        <v>648.20000000000005</v>
      </c>
      <c r="W46">
        <f t="shared" si="1"/>
        <v>85.289473684210535</v>
      </c>
      <c r="X46">
        <f t="shared" si="5"/>
        <v>42098.499999999993</v>
      </c>
      <c r="AA46">
        <v>11.0922235783974</v>
      </c>
    </row>
    <row r="47" spans="1:27" x14ac:dyDescent="0.25">
      <c r="A47" s="117"/>
      <c r="B47" s="12"/>
      <c r="C47" s="13">
        <v>41561</v>
      </c>
      <c r="D47">
        <v>13.7</v>
      </c>
      <c r="E47">
        <v>10.8</v>
      </c>
      <c r="F47">
        <v>15.7</v>
      </c>
      <c r="G47">
        <f t="shared" si="6"/>
        <v>658.9000000000002</v>
      </c>
      <c r="J47">
        <v>8.1999999999999993</v>
      </c>
      <c r="K47">
        <f t="shared" si="2"/>
        <v>94.600000000000009</v>
      </c>
      <c r="L47">
        <v>1</v>
      </c>
      <c r="M47">
        <f t="shared" si="3"/>
        <v>84.899999999999977</v>
      </c>
      <c r="N47">
        <f t="shared" si="0"/>
        <v>7.1999999999999993</v>
      </c>
      <c r="O47" s="19">
        <f t="shared" si="9"/>
        <v>34.700000000000003</v>
      </c>
      <c r="P47" s="14">
        <v>42</v>
      </c>
      <c r="Q47" s="15">
        <f t="shared" si="10"/>
        <v>0.68484848484848482</v>
      </c>
      <c r="R47" s="16">
        <f t="shared" si="7"/>
        <v>0.68484848484848482</v>
      </c>
      <c r="S47" s="16">
        <f t="shared" si="4"/>
        <v>7.5151515151515147</v>
      </c>
      <c r="T47" s="20">
        <f t="shared" si="8"/>
        <v>62.011742424242435</v>
      </c>
      <c r="V47" s="21">
        <v>483.9</v>
      </c>
      <c r="W47">
        <f t="shared" si="1"/>
        <v>35.321167883211679</v>
      </c>
      <c r="X47">
        <f t="shared" si="5"/>
        <v>42582.399999999994</v>
      </c>
      <c r="AA47">
        <v>11.037586103088699</v>
      </c>
    </row>
    <row r="48" spans="1:27" x14ac:dyDescent="0.25">
      <c r="A48" s="117"/>
      <c r="B48" s="12"/>
      <c r="C48" s="13">
        <v>41562</v>
      </c>
      <c r="D48">
        <v>14</v>
      </c>
      <c r="E48">
        <v>13.2</v>
      </c>
      <c r="F48">
        <v>15</v>
      </c>
      <c r="G48">
        <f t="shared" si="6"/>
        <v>672.9000000000002</v>
      </c>
      <c r="J48">
        <v>16.7</v>
      </c>
      <c r="K48">
        <f t="shared" si="2"/>
        <v>111.30000000000001</v>
      </c>
      <c r="L48">
        <v>0.6</v>
      </c>
      <c r="M48">
        <f t="shared" si="3"/>
        <v>85.499999999999972</v>
      </c>
      <c r="N48">
        <f t="shared" si="0"/>
        <v>16.099999999999998</v>
      </c>
      <c r="O48" s="19">
        <f t="shared" si="9"/>
        <v>50.8</v>
      </c>
      <c r="P48" s="14">
        <v>43</v>
      </c>
      <c r="Q48" s="15">
        <f t="shared" si="10"/>
        <v>0.69469696969696959</v>
      </c>
      <c r="R48" s="16">
        <f t="shared" si="7"/>
        <v>0.41681818181818175</v>
      </c>
      <c r="S48" s="16">
        <f t="shared" si="4"/>
        <v>16.283181818181816</v>
      </c>
      <c r="T48" s="20">
        <f t="shared" si="8"/>
        <v>78.294924242424258</v>
      </c>
      <c r="V48" s="21">
        <v>224.2</v>
      </c>
      <c r="W48">
        <f t="shared" si="1"/>
        <v>16.014285714285712</v>
      </c>
      <c r="X48">
        <f t="shared" si="5"/>
        <v>42806.599999999991</v>
      </c>
      <c r="AA48">
        <v>10.9830722633639</v>
      </c>
    </row>
    <row r="49" spans="1:27" x14ac:dyDescent="0.25">
      <c r="A49" s="117"/>
      <c r="B49" s="12"/>
      <c r="C49" s="13">
        <v>41563</v>
      </c>
      <c r="D49">
        <v>14.8</v>
      </c>
      <c r="E49">
        <v>12.9</v>
      </c>
      <c r="F49">
        <v>16.399999999999999</v>
      </c>
      <c r="G49">
        <f t="shared" si="6"/>
        <v>687.70000000000016</v>
      </c>
      <c r="J49">
        <v>2.5</v>
      </c>
      <c r="K49">
        <f t="shared" si="2"/>
        <v>113.80000000000001</v>
      </c>
      <c r="L49">
        <v>0.4</v>
      </c>
      <c r="M49">
        <f t="shared" si="3"/>
        <v>85.899999999999977</v>
      </c>
      <c r="N49">
        <f t="shared" si="0"/>
        <v>2.1</v>
      </c>
      <c r="O49" s="19">
        <f t="shared" si="9"/>
        <v>52.9</v>
      </c>
      <c r="P49" s="14">
        <v>44</v>
      </c>
      <c r="Q49" s="15">
        <f t="shared" si="10"/>
        <v>0.70454545454545459</v>
      </c>
      <c r="R49" s="16">
        <f t="shared" si="7"/>
        <v>0.28181818181818186</v>
      </c>
      <c r="S49" s="16">
        <f t="shared" si="4"/>
        <v>2.2181818181818183</v>
      </c>
      <c r="T49" s="20">
        <f t="shared" si="8"/>
        <v>80.513106060606077</v>
      </c>
      <c r="V49" s="21">
        <v>321</v>
      </c>
      <c r="W49">
        <f t="shared" si="1"/>
        <v>21.689189189189189</v>
      </c>
      <c r="X49">
        <f t="shared" si="5"/>
        <v>43127.599999999991</v>
      </c>
      <c r="AA49">
        <v>10.928691561791901</v>
      </c>
    </row>
    <row r="50" spans="1:27" x14ac:dyDescent="0.25">
      <c r="A50" s="117"/>
      <c r="B50" s="12"/>
      <c r="C50" s="13">
        <v>41564</v>
      </c>
      <c r="D50">
        <v>13</v>
      </c>
      <c r="E50">
        <v>12.2</v>
      </c>
      <c r="F50">
        <v>16.3</v>
      </c>
      <c r="G50">
        <f t="shared" si="6"/>
        <v>700.70000000000016</v>
      </c>
      <c r="J50">
        <v>0.2</v>
      </c>
      <c r="K50">
        <f t="shared" si="2"/>
        <v>114.00000000000001</v>
      </c>
      <c r="L50">
        <v>1.3</v>
      </c>
      <c r="M50">
        <f t="shared" si="3"/>
        <v>87.199999999999974</v>
      </c>
      <c r="N50" s="9">
        <f t="shared" si="0"/>
        <v>-1.1000000000000001</v>
      </c>
      <c r="O50" s="19">
        <f t="shared" si="9"/>
        <v>51.8</v>
      </c>
      <c r="P50" s="14">
        <v>45</v>
      </c>
      <c r="Q50" s="15">
        <f t="shared" si="10"/>
        <v>0.71439393939393936</v>
      </c>
      <c r="R50" s="16">
        <f t="shared" si="7"/>
        <v>0.92871212121212121</v>
      </c>
      <c r="S50" s="16">
        <f t="shared" si="4"/>
        <v>-0.72871212121212126</v>
      </c>
      <c r="T50" s="20">
        <f t="shared" si="8"/>
        <v>79.784393939393951</v>
      </c>
      <c r="V50" s="21">
        <v>810.8</v>
      </c>
      <c r="W50">
        <f t="shared" si="1"/>
        <v>62.369230769230768</v>
      </c>
      <c r="X50">
        <f t="shared" si="5"/>
        <v>43938.399999999994</v>
      </c>
      <c r="AA50">
        <v>10.8744538786235</v>
      </c>
    </row>
    <row r="51" spans="1:27" x14ac:dyDescent="0.25">
      <c r="A51" s="117"/>
      <c r="B51" s="12"/>
      <c r="C51" s="13">
        <v>41565</v>
      </c>
      <c r="D51">
        <v>11.3</v>
      </c>
      <c r="E51">
        <v>7.5</v>
      </c>
      <c r="F51">
        <v>14.5</v>
      </c>
      <c r="G51">
        <f t="shared" si="6"/>
        <v>712.00000000000011</v>
      </c>
      <c r="J51">
        <v>0.2</v>
      </c>
      <c r="K51">
        <f t="shared" si="2"/>
        <v>114.20000000000002</v>
      </c>
      <c r="L51">
        <v>1.2</v>
      </c>
      <c r="M51">
        <f t="shared" si="3"/>
        <v>88.399999999999977</v>
      </c>
      <c r="N51" s="9">
        <f t="shared" si="0"/>
        <v>-1</v>
      </c>
      <c r="O51" s="19">
        <f t="shared" si="9"/>
        <v>50.8</v>
      </c>
      <c r="P51" s="14">
        <v>46</v>
      </c>
      <c r="Q51" s="15">
        <f t="shared" si="10"/>
        <v>0.72424242424242424</v>
      </c>
      <c r="R51" s="16">
        <f t="shared" si="7"/>
        <v>0.86909090909090903</v>
      </c>
      <c r="S51" s="16">
        <f t="shared" si="4"/>
        <v>-0.66909090909090896</v>
      </c>
      <c r="T51" s="20">
        <f t="shared" si="8"/>
        <v>79.115303030303039</v>
      </c>
      <c r="V51">
        <v>985.5</v>
      </c>
      <c r="W51">
        <f t="shared" si="1"/>
        <v>87.212389380530965</v>
      </c>
      <c r="X51">
        <f t="shared" si="5"/>
        <v>44923.899999999994</v>
      </c>
      <c r="AA51">
        <v>10.820369488516</v>
      </c>
    </row>
    <row r="52" spans="1:27" x14ac:dyDescent="0.25">
      <c r="A52" s="117"/>
      <c r="B52" s="12"/>
      <c r="C52" s="13">
        <v>41566</v>
      </c>
      <c r="D52">
        <v>14.9</v>
      </c>
      <c r="E52">
        <v>9.1999999999999993</v>
      </c>
      <c r="F52">
        <v>19.899999999999999</v>
      </c>
      <c r="G52">
        <f t="shared" si="6"/>
        <v>726.90000000000009</v>
      </c>
      <c r="J52">
        <v>10.5</v>
      </c>
      <c r="K52">
        <f t="shared" si="2"/>
        <v>124.70000000000002</v>
      </c>
      <c r="L52">
        <v>0.7</v>
      </c>
      <c r="M52">
        <f t="shared" si="3"/>
        <v>89.09999999999998</v>
      </c>
      <c r="N52">
        <f t="shared" si="0"/>
        <v>9.8000000000000007</v>
      </c>
      <c r="O52" s="19">
        <f t="shared" si="9"/>
        <v>60.599999999999994</v>
      </c>
      <c r="P52" s="14">
        <v>47</v>
      </c>
      <c r="Q52" s="15">
        <f t="shared" si="10"/>
        <v>0.73409090909090913</v>
      </c>
      <c r="R52" s="16">
        <f t="shared" si="7"/>
        <v>0.51386363636363641</v>
      </c>
      <c r="S52" s="16">
        <f t="shared" si="4"/>
        <v>9.9861363636363638</v>
      </c>
      <c r="T52" s="20">
        <f t="shared" si="8"/>
        <v>89.101439393939401</v>
      </c>
      <c r="V52" s="21">
        <v>461.7</v>
      </c>
      <c r="W52">
        <f t="shared" si="1"/>
        <v>30.986577181208052</v>
      </c>
      <c r="X52">
        <f t="shared" si="5"/>
        <v>45385.599999999991</v>
      </c>
      <c r="AA52">
        <v>10.7664490770799</v>
      </c>
    </row>
    <row r="53" spans="1:27" x14ac:dyDescent="0.25">
      <c r="A53" s="117"/>
      <c r="B53" s="12"/>
      <c r="C53" s="13">
        <v>41567</v>
      </c>
      <c r="D53">
        <v>15.3</v>
      </c>
      <c r="E53">
        <v>13.5</v>
      </c>
      <c r="F53">
        <v>19.3</v>
      </c>
      <c r="G53">
        <f t="shared" si="6"/>
        <v>742.2</v>
      </c>
      <c r="J53">
        <v>1.4</v>
      </c>
      <c r="K53">
        <f t="shared" si="2"/>
        <v>126.10000000000002</v>
      </c>
      <c r="L53">
        <v>1.7</v>
      </c>
      <c r="M53">
        <f t="shared" si="3"/>
        <v>90.799999999999983</v>
      </c>
      <c r="N53" s="9">
        <f t="shared" si="0"/>
        <v>-0.30000000000000004</v>
      </c>
      <c r="O53" s="19">
        <f t="shared" si="9"/>
        <v>60.3</v>
      </c>
      <c r="P53" s="14">
        <v>48</v>
      </c>
      <c r="Q53" s="15">
        <f t="shared" si="10"/>
        <v>0.7439393939393939</v>
      </c>
      <c r="R53" s="16">
        <f t="shared" si="7"/>
        <v>1.2646969696969697</v>
      </c>
      <c r="S53" s="16">
        <f t="shared" si="4"/>
        <v>0.13530303030303026</v>
      </c>
      <c r="T53" s="20">
        <f t="shared" si="8"/>
        <v>89.236742424242436</v>
      </c>
      <c r="V53" s="21">
        <v>730.6</v>
      </c>
      <c r="W53">
        <f t="shared" si="1"/>
        <v>47.751633986928105</v>
      </c>
      <c r="X53">
        <f t="shared" si="5"/>
        <v>46116.19999999999</v>
      </c>
      <c r="AA53">
        <v>10.712703757201901</v>
      </c>
    </row>
    <row r="54" spans="1:27" x14ac:dyDescent="0.25">
      <c r="A54" s="117"/>
      <c r="B54" s="12"/>
      <c r="C54" s="13">
        <v>41568</v>
      </c>
      <c r="D54">
        <v>16.2</v>
      </c>
      <c r="E54">
        <v>11.4</v>
      </c>
      <c r="F54">
        <v>21.7</v>
      </c>
      <c r="G54">
        <f t="shared" si="6"/>
        <v>758.40000000000009</v>
      </c>
      <c r="J54">
        <v>0.3</v>
      </c>
      <c r="K54">
        <f t="shared" si="2"/>
        <v>126.40000000000002</v>
      </c>
      <c r="L54">
        <v>1.2</v>
      </c>
      <c r="M54">
        <f t="shared" si="3"/>
        <v>91.999999999999986</v>
      </c>
      <c r="N54" s="9">
        <f t="shared" si="0"/>
        <v>-0.89999999999999991</v>
      </c>
      <c r="O54" s="19">
        <f t="shared" si="9"/>
        <v>59.4</v>
      </c>
      <c r="P54" s="14">
        <v>49</v>
      </c>
      <c r="Q54" s="15">
        <f t="shared" si="10"/>
        <v>0.75378787878787878</v>
      </c>
      <c r="R54" s="16">
        <f t="shared" si="7"/>
        <v>0.90454545454545454</v>
      </c>
      <c r="S54" s="16">
        <f t="shared" si="4"/>
        <v>-0.6045454545454545</v>
      </c>
      <c r="T54" s="20">
        <f t="shared" si="8"/>
        <v>88.632196969696977</v>
      </c>
      <c r="V54" s="21">
        <v>732.6</v>
      </c>
      <c r="W54">
        <f t="shared" si="1"/>
        <v>45.222222222222229</v>
      </c>
      <c r="X54">
        <f t="shared" si="5"/>
        <v>46848.799999999988</v>
      </c>
      <c r="AA54">
        <v>10.6591450850944</v>
      </c>
    </row>
    <row r="55" spans="1:27" x14ac:dyDescent="0.25">
      <c r="A55" s="117"/>
      <c r="B55" s="12"/>
      <c r="C55" s="13">
        <v>41569</v>
      </c>
      <c r="D55">
        <v>17.3</v>
      </c>
      <c r="E55">
        <v>14.3</v>
      </c>
      <c r="F55">
        <v>21.4</v>
      </c>
      <c r="G55">
        <f t="shared" si="6"/>
        <v>775.7</v>
      </c>
      <c r="J55">
        <v>2.1</v>
      </c>
      <c r="K55">
        <f t="shared" si="2"/>
        <v>128.50000000000003</v>
      </c>
      <c r="L55">
        <v>1.5</v>
      </c>
      <c r="M55">
        <f t="shared" si="3"/>
        <v>93.499999999999986</v>
      </c>
      <c r="N55">
        <f t="shared" si="0"/>
        <v>0.60000000000000009</v>
      </c>
      <c r="O55" s="19">
        <f t="shared" si="9"/>
        <v>60</v>
      </c>
      <c r="P55" s="14">
        <v>50</v>
      </c>
      <c r="Q55" s="15">
        <f t="shared" si="10"/>
        <v>0.76363636363636367</v>
      </c>
      <c r="R55" s="16">
        <f t="shared" si="7"/>
        <v>1.1454545454545455</v>
      </c>
      <c r="S55" s="16">
        <f t="shared" si="4"/>
        <v>0.95454545454545459</v>
      </c>
      <c r="T55" s="20">
        <f t="shared" si="8"/>
        <v>89.586742424242431</v>
      </c>
      <c r="V55" s="21">
        <v>593.6</v>
      </c>
      <c r="W55">
        <f t="shared" si="1"/>
        <v>34.312138728323703</v>
      </c>
      <c r="X55">
        <f t="shared" si="5"/>
        <v>47442.399999999987</v>
      </c>
      <c r="AA55">
        <v>10.6057850760146</v>
      </c>
    </row>
    <row r="56" spans="1:27" x14ac:dyDescent="0.25">
      <c r="A56" s="117"/>
      <c r="B56" s="12"/>
      <c r="C56" s="13">
        <v>41570</v>
      </c>
      <c r="D56">
        <v>16.399999999999999</v>
      </c>
      <c r="E56">
        <v>15.5</v>
      </c>
      <c r="F56">
        <v>20.100000000000001</v>
      </c>
      <c r="G56">
        <f t="shared" si="6"/>
        <v>792.1</v>
      </c>
      <c r="J56">
        <v>3</v>
      </c>
      <c r="K56">
        <f t="shared" si="2"/>
        <v>131.50000000000003</v>
      </c>
      <c r="L56">
        <v>2.7</v>
      </c>
      <c r="M56">
        <f t="shared" si="3"/>
        <v>96.199999999999989</v>
      </c>
      <c r="N56">
        <f t="shared" si="0"/>
        <v>0.29999999999999982</v>
      </c>
      <c r="O56" s="19">
        <f t="shared" si="9"/>
        <v>60.3</v>
      </c>
      <c r="P56" s="14">
        <v>51</v>
      </c>
      <c r="Q56" s="15">
        <f t="shared" si="10"/>
        <v>0.77348484848484844</v>
      </c>
      <c r="R56" s="16">
        <f t="shared" si="7"/>
        <v>2.0884090909090909</v>
      </c>
      <c r="S56" s="16">
        <f t="shared" si="4"/>
        <v>0.91159090909090912</v>
      </c>
      <c r="T56" s="20">
        <f t="shared" si="8"/>
        <v>90.498333333333335</v>
      </c>
      <c r="V56">
        <v>924.4</v>
      </c>
      <c r="W56">
        <f t="shared" si="1"/>
        <v>56.365853658536587</v>
      </c>
      <c r="X56">
        <f t="shared" si="5"/>
        <v>48366.799999999988</v>
      </c>
      <c r="AA56">
        <v>10.552636219593699</v>
      </c>
    </row>
    <row r="57" spans="1:27" x14ac:dyDescent="0.25">
      <c r="A57" s="117"/>
      <c r="B57" s="12"/>
      <c r="C57" s="13">
        <v>41571</v>
      </c>
      <c r="D57">
        <v>14.1</v>
      </c>
      <c r="E57">
        <v>8.1999999999999993</v>
      </c>
      <c r="F57">
        <v>19.600000000000001</v>
      </c>
      <c r="G57">
        <f t="shared" si="6"/>
        <v>806.2</v>
      </c>
      <c r="J57">
        <v>0.1</v>
      </c>
      <c r="K57">
        <f t="shared" si="2"/>
        <v>131.60000000000002</v>
      </c>
      <c r="L57">
        <v>1.5</v>
      </c>
      <c r="M57">
        <f t="shared" si="3"/>
        <v>97.699999999999989</v>
      </c>
      <c r="N57" s="9">
        <f t="shared" si="0"/>
        <v>-1.4</v>
      </c>
      <c r="O57" s="19">
        <f t="shared" si="9"/>
        <v>58.9</v>
      </c>
      <c r="P57" s="14">
        <v>52</v>
      </c>
      <c r="Q57" s="15">
        <f t="shared" si="10"/>
        <v>0.78333333333333333</v>
      </c>
      <c r="R57" s="16">
        <f t="shared" si="7"/>
        <v>1.175</v>
      </c>
      <c r="S57" s="16">
        <f t="shared" si="4"/>
        <v>-1.075</v>
      </c>
      <c r="T57" s="20">
        <f t="shared" si="8"/>
        <v>89.423333333333332</v>
      </c>
      <c r="V57">
        <v>1058.5999999999999</v>
      </c>
      <c r="W57">
        <f t="shared" si="1"/>
        <v>75.078014184397162</v>
      </c>
      <c r="X57">
        <f t="shared" si="5"/>
        <v>49425.399999999987</v>
      </c>
      <c r="AA57">
        <v>10.4997114947105</v>
      </c>
    </row>
    <row r="58" spans="1:27" x14ac:dyDescent="0.25">
      <c r="A58" s="117"/>
      <c r="B58" s="12"/>
      <c r="C58" s="13">
        <v>41572</v>
      </c>
      <c r="D58">
        <v>17.2</v>
      </c>
      <c r="E58">
        <v>14.4</v>
      </c>
      <c r="F58">
        <v>19.3</v>
      </c>
      <c r="G58">
        <f t="shared" si="6"/>
        <v>823.40000000000009</v>
      </c>
      <c r="J58">
        <v>15.2</v>
      </c>
      <c r="K58">
        <f t="shared" si="2"/>
        <v>146.80000000000001</v>
      </c>
      <c r="L58">
        <v>0.5</v>
      </c>
      <c r="M58">
        <f t="shared" si="3"/>
        <v>98.199999999999989</v>
      </c>
      <c r="N58">
        <f t="shared" si="0"/>
        <v>14.7</v>
      </c>
      <c r="O58" s="19">
        <f t="shared" si="9"/>
        <v>73.599999999999994</v>
      </c>
      <c r="P58" s="14">
        <v>53</v>
      </c>
      <c r="Q58" s="15">
        <f t="shared" si="10"/>
        <v>0.79318181818181821</v>
      </c>
      <c r="R58" s="16">
        <f t="shared" si="7"/>
        <v>0.39659090909090911</v>
      </c>
      <c r="S58" s="16">
        <f t="shared" si="4"/>
        <v>14.80340909090909</v>
      </c>
      <c r="T58" s="20">
        <f t="shared" si="8"/>
        <v>104.22674242424242</v>
      </c>
      <c r="V58" s="21">
        <v>185.6</v>
      </c>
      <c r="W58">
        <f t="shared" si="1"/>
        <v>10.790697674418604</v>
      </c>
      <c r="X58">
        <f t="shared" si="5"/>
        <v>49610.999999999985</v>
      </c>
      <c r="AA58">
        <v>10.4470243838368</v>
      </c>
    </row>
    <row r="59" spans="1:27" x14ac:dyDescent="0.25">
      <c r="A59" s="117"/>
      <c r="B59" s="12"/>
      <c r="C59" s="13">
        <v>41573</v>
      </c>
      <c r="D59">
        <v>17.100000000000001</v>
      </c>
      <c r="E59">
        <v>13.5</v>
      </c>
      <c r="F59">
        <v>21.8</v>
      </c>
      <c r="G59">
        <f t="shared" si="6"/>
        <v>840.50000000000011</v>
      </c>
      <c r="J59">
        <v>1.4</v>
      </c>
      <c r="K59">
        <f t="shared" si="2"/>
        <v>148.20000000000002</v>
      </c>
      <c r="L59">
        <v>1.5</v>
      </c>
      <c r="M59">
        <f t="shared" si="3"/>
        <v>99.699999999999989</v>
      </c>
      <c r="N59" s="9">
        <f t="shared" si="0"/>
        <v>-0.10000000000000009</v>
      </c>
      <c r="O59" s="19">
        <f t="shared" si="9"/>
        <v>73.5</v>
      </c>
      <c r="P59" s="14">
        <v>54</v>
      </c>
      <c r="Q59" s="15">
        <f t="shared" si="10"/>
        <v>0.80303030303030298</v>
      </c>
      <c r="R59" s="16">
        <f t="shared" si="7"/>
        <v>1.2045454545454546</v>
      </c>
      <c r="S59" s="16">
        <f t="shared" si="4"/>
        <v>0.19545454545454533</v>
      </c>
      <c r="T59" s="20">
        <f t="shared" si="8"/>
        <v>104.42219696969696</v>
      </c>
      <c r="V59" s="21">
        <v>619.79999999999995</v>
      </c>
      <c r="W59">
        <f t="shared" si="1"/>
        <v>36.245614035087712</v>
      </c>
      <c r="X59">
        <f t="shared" si="5"/>
        <v>50230.799999999988</v>
      </c>
      <c r="AA59">
        <v>10.3945888867795</v>
      </c>
    </row>
    <row r="60" spans="1:27" x14ac:dyDescent="0.25">
      <c r="A60" s="117"/>
      <c r="B60" s="12"/>
      <c r="C60" s="13">
        <v>41574</v>
      </c>
      <c r="D60">
        <v>14.8</v>
      </c>
      <c r="E60">
        <v>13.9</v>
      </c>
      <c r="F60">
        <v>17.3</v>
      </c>
      <c r="G60">
        <f t="shared" si="6"/>
        <v>855.30000000000007</v>
      </c>
      <c r="J60">
        <v>6.1</v>
      </c>
      <c r="K60">
        <f t="shared" si="2"/>
        <v>154.30000000000001</v>
      </c>
      <c r="L60">
        <v>1.6</v>
      </c>
      <c r="M60">
        <f t="shared" si="3"/>
        <v>101.29999999999998</v>
      </c>
      <c r="N60">
        <f t="shared" si="0"/>
        <v>4.5</v>
      </c>
      <c r="O60" s="19">
        <f t="shared" si="9"/>
        <v>78</v>
      </c>
      <c r="P60" s="14">
        <v>55</v>
      </c>
      <c r="Q60" s="15">
        <f t="shared" si="10"/>
        <v>0.81287878787878787</v>
      </c>
      <c r="R60" s="16">
        <f t="shared" si="7"/>
        <v>1.3006060606060608</v>
      </c>
      <c r="S60" s="16">
        <f t="shared" si="4"/>
        <v>4.7993939393939389</v>
      </c>
      <c r="T60" s="20">
        <f t="shared" si="8"/>
        <v>109.22159090909089</v>
      </c>
      <c r="V60" s="21">
        <v>252.4</v>
      </c>
      <c r="W60">
        <f t="shared" si="1"/>
        <v>17.054054054054053</v>
      </c>
      <c r="X60">
        <f t="shared" si="5"/>
        <v>50483.19999999999</v>
      </c>
      <c r="AA60">
        <v>10.3424195337355</v>
      </c>
    </row>
    <row r="61" spans="1:27" x14ac:dyDescent="0.25">
      <c r="A61" s="117"/>
      <c r="B61" s="12"/>
      <c r="C61" s="13">
        <v>41575</v>
      </c>
      <c r="D61">
        <v>14.2</v>
      </c>
      <c r="E61">
        <v>13</v>
      </c>
      <c r="F61">
        <v>16.899999999999999</v>
      </c>
      <c r="G61">
        <f t="shared" si="6"/>
        <v>869.50000000000011</v>
      </c>
      <c r="J61">
        <v>2.8</v>
      </c>
      <c r="K61">
        <f t="shared" si="2"/>
        <v>157.10000000000002</v>
      </c>
      <c r="L61">
        <v>1.7</v>
      </c>
      <c r="M61">
        <f t="shared" si="3"/>
        <v>102.99999999999999</v>
      </c>
      <c r="N61">
        <f t="shared" si="0"/>
        <v>1.0999999999999999</v>
      </c>
      <c r="O61" s="19">
        <f t="shared" si="9"/>
        <v>79.099999999999994</v>
      </c>
      <c r="P61" s="14">
        <v>56</v>
      </c>
      <c r="Q61" s="15">
        <f t="shared" si="10"/>
        <v>0.82272727272727275</v>
      </c>
      <c r="R61" s="16">
        <f t="shared" si="7"/>
        <v>1.3986363636363637</v>
      </c>
      <c r="S61" s="16">
        <f t="shared" si="4"/>
        <v>1.4013636363636361</v>
      </c>
      <c r="T61" s="20">
        <f t="shared" si="8"/>
        <v>110.62295454545453</v>
      </c>
      <c r="V61" s="21">
        <v>272</v>
      </c>
      <c r="W61">
        <f t="shared" si="1"/>
        <v>19.154929577464788</v>
      </c>
      <c r="X61">
        <f t="shared" si="5"/>
        <v>50755.19999999999</v>
      </c>
      <c r="AA61">
        <v>10.290531397571201</v>
      </c>
    </row>
    <row r="62" spans="1:27" x14ac:dyDescent="0.25">
      <c r="A62" s="117"/>
      <c r="B62" s="12"/>
      <c r="C62" s="13">
        <v>41576</v>
      </c>
      <c r="D62">
        <v>9.5</v>
      </c>
      <c r="E62">
        <v>8</v>
      </c>
      <c r="F62">
        <v>14.3</v>
      </c>
      <c r="G62">
        <f t="shared" si="6"/>
        <v>879.00000000000011</v>
      </c>
      <c r="J62">
        <v>1.1000000000000001</v>
      </c>
      <c r="K62">
        <f t="shared" si="2"/>
        <v>158.20000000000002</v>
      </c>
      <c r="L62">
        <v>1.6</v>
      </c>
      <c r="M62">
        <f t="shared" si="3"/>
        <v>104.59999999999998</v>
      </c>
      <c r="N62" s="9">
        <f t="shared" si="0"/>
        <v>-0.5</v>
      </c>
      <c r="O62" s="19">
        <f t="shared" si="9"/>
        <v>78.599999999999994</v>
      </c>
      <c r="P62" s="14">
        <v>57</v>
      </c>
      <c r="Q62" s="15">
        <f t="shared" si="10"/>
        <v>0.83257575757575752</v>
      </c>
      <c r="R62" s="16">
        <f t="shared" si="7"/>
        <v>1.332121212121212</v>
      </c>
      <c r="S62" s="16">
        <f t="shared" si="4"/>
        <v>-0.23212121212121195</v>
      </c>
      <c r="T62" s="20">
        <f t="shared" si="8"/>
        <v>110.39083333333332</v>
      </c>
      <c r="V62">
        <v>944.5</v>
      </c>
      <c r="W62">
        <f t="shared" si="1"/>
        <v>99.421052631578945</v>
      </c>
      <c r="X62">
        <f t="shared" si="5"/>
        <v>51699.69999999999</v>
      </c>
      <c r="AA62">
        <v>10.238940105234001</v>
      </c>
    </row>
    <row r="63" spans="1:27" x14ac:dyDescent="0.25">
      <c r="A63" s="117"/>
      <c r="B63" s="12"/>
      <c r="C63" s="13">
        <v>41577</v>
      </c>
      <c r="D63">
        <v>6.6</v>
      </c>
      <c r="E63" s="25">
        <v>3.2</v>
      </c>
      <c r="F63">
        <v>11.6</v>
      </c>
      <c r="G63">
        <f t="shared" si="6"/>
        <v>885.60000000000014</v>
      </c>
      <c r="J63">
        <v>0</v>
      </c>
      <c r="K63">
        <f t="shared" si="2"/>
        <v>158.20000000000002</v>
      </c>
      <c r="L63">
        <v>0.7</v>
      </c>
      <c r="M63">
        <f t="shared" si="3"/>
        <v>105.29999999999998</v>
      </c>
      <c r="N63" s="9">
        <f t="shared" si="0"/>
        <v>-0.7</v>
      </c>
      <c r="O63" s="19">
        <f t="shared" si="9"/>
        <v>77.899999999999991</v>
      </c>
      <c r="P63" s="14">
        <v>58</v>
      </c>
      <c r="Q63" s="15">
        <f t="shared" si="10"/>
        <v>0.84242424242424241</v>
      </c>
      <c r="R63" s="16">
        <f t="shared" si="7"/>
        <v>0.58969696969696961</v>
      </c>
      <c r="S63" s="16">
        <f t="shared" si="4"/>
        <v>-0.58969696969696961</v>
      </c>
      <c r="T63" s="20">
        <f t="shared" si="8"/>
        <v>109.80113636363635</v>
      </c>
      <c r="V63" s="21">
        <v>672.7</v>
      </c>
      <c r="W63">
        <f t="shared" si="1"/>
        <v>101.92424242424244</v>
      </c>
      <c r="X63">
        <f t="shared" si="5"/>
        <v>52372.399999999987</v>
      </c>
      <c r="AA63">
        <v>10.187661848192899</v>
      </c>
    </row>
    <row r="64" spans="1:27" x14ac:dyDescent="0.25">
      <c r="A64" s="117"/>
      <c r="B64" s="12"/>
      <c r="C64" s="13">
        <v>41578</v>
      </c>
      <c r="D64">
        <v>6.8</v>
      </c>
      <c r="E64" s="25">
        <v>0.7</v>
      </c>
      <c r="F64">
        <v>13.1</v>
      </c>
      <c r="G64">
        <f t="shared" si="6"/>
        <v>892.40000000000009</v>
      </c>
      <c r="J64">
        <v>0</v>
      </c>
      <c r="K64">
        <f t="shared" si="2"/>
        <v>158.20000000000002</v>
      </c>
      <c r="L64">
        <v>1.1000000000000001</v>
      </c>
      <c r="M64">
        <f t="shared" si="3"/>
        <v>106.39999999999998</v>
      </c>
      <c r="N64" s="9">
        <f t="shared" si="0"/>
        <v>-1.1000000000000001</v>
      </c>
      <c r="O64" s="19">
        <f t="shared" si="9"/>
        <v>76.8</v>
      </c>
      <c r="P64" s="14">
        <v>59</v>
      </c>
      <c r="Q64" s="15">
        <f t="shared" si="10"/>
        <v>0.85227272727272729</v>
      </c>
      <c r="R64" s="16">
        <f t="shared" si="7"/>
        <v>0.93750000000000011</v>
      </c>
      <c r="S64" s="16">
        <f t="shared" si="4"/>
        <v>-0.93750000000000011</v>
      </c>
      <c r="T64" s="20">
        <f t="shared" si="8"/>
        <v>108.86363636363635</v>
      </c>
      <c r="V64">
        <v>1033.5999999999999</v>
      </c>
      <c r="W64">
        <f t="shared" si="1"/>
        <v>152</v>
      </c>
      <c r="X64">
        <f t="shared" si="5"/>
        <v>53405.999999999985</v>
      </c>
      <c r="AA64">
        <v>10.1367133918062</v>
      </c>
    </row>
    <row r="65" spans="1:27" x14ac:dyDescent="0.25">
      <c r="A65" s="117"/>
      <c r="B65" s="12"/>
      <c r="C65" s="13">
        <v>41579</v>
      </c>
      <c r="D65">
        <v>9.1</v>
      </c>
      <c r="E65">
        <v>5.8</v>
      </c>
      <c r="F65">
        <v>14</v>
      </c>
      <c r="G65">
        <f t="shared" si="6"/>
        <v>901.50000000000011</v>
      </c>
      <c r="J65">
        <v>9.1</v>
      </c>
      <c r="K65">
        <f t="shared" si="2"/>
        <v>167.3</v>
      </c>
      <c r="L65">
        <v>1.3</v>
      </c>
      <c r="M65">
        <f t="shared" si="3"/>
        <v>107.69999999999997</v>
      </c>
      <c r="N65">
        <f t="shared" si="0"/>
        <v>7.8</v>
      </c>
      <c r="O65" s="19">
        <f t="shared" si="9"/>
        <v>84.6</v>
      </c>
      <c r="P65" s="14">
        <v>60</v>
      </c>
      <c r="Q65" s="15">
        <f t="shared" si="10"/>
        <v>0.86212121212121207</v>
      </c>
      <c r="R65" s="16">
        <f t="shared" si="7"/>
        <v>1.1207575757575756</v>
      </c>
      <c r="S65" s="16">
        <f t="shared" si="4"/>
        <v>7.9792424242424236</v>
      </c>
      <c r="T65" s="20">
        <f t="shared" si="8"/>
        <v>116.84287878787877</v>
      </c>
      <c r="V65" s="21">
        <v>460.1</v>
      </c>
      <c r="W65">
        <f t="shared" si="1"/>
        <v>50.560439560439562</v>
      </c>
      <c r="X65">
        <f t="shared" si="5"/>
        <v>53866.099999999984</v>
      </c>
      <c r="AA65">
        <v>10.086112083502099</v>
      </c>
    </row>
    <row r="66" spans="1:27" x14ac:dyDescent="0.25">
      <c r="A66" s="117"/>
      <c r="B66" s="12"/>
      <c r="C66" s="13">
        <v>41580</v>
      </c>
      <c r="D66">
        <v>13.9</v>
      </c>
      <c r="E66">
        <v>9.6999999999999993</v>
      </c>
      <c r="F66">
        <v>15.7</v>
      </c>
      <c r="G66">
        <f t="shared" si="6"/>
        <v>915.40000000000009</v>
      </c>
      <c r="J66">
        <v>3.5</v>
      </c>
      <c r="K66">
        <f t="shared" si="2"/>
        <v>170.8</v>
      </c>
      <c r="L66">
        <v>0.3</v>
      </c>
      <c r="M66">
        <f t="shared" si="3"/>
        <v>107.99999999999997</v>
      </c>
      <c r="N66">
        <f t="shared" si="0"/>
        <v>3.2</v>
      </c>
      <c r="O66" s="19">
        <f t="shared" si="9"/>
        <v>87.8</v>
      </c>
      <c r="P66" s="14">
        <v>61</v>
      </c>
      <c r="Q66" s="15">
        <f t="shared" si="10"/>
        <v>0.87196969696969695</v>
      </c>
      <c r="R66" s="16">
        <f t="shared" si="7"/>
        <v>0.2615909090909091</v>
      </c>
      <c r="S66" s="16">
        <f t="shared" si="4"/>
        <v>3.2384090909090908</v>
      </c>
      <c r="T66" s="20">
        <f t="shared" si="8"/>
        <v>120.08128787878786</v>
      </c>
      <c r="V66" s="21">
        <v>361.3</v>
      </c>
      <c r="W66">
        <f t="shared" si="1"/>
        <v>25.992805755395683</v>
      </c>
      <c r="X66">
        <f t="shared" si="5"/>
        <v>54227.399999999987</v>
      </c>
      <c r="AA66">
        <v>10.035875859657001</v>
      </c>
    </row>
    <row r="67" spans="1:27" x14ac:dyDescent="0.25">
      <c r="A67" s="117"/>
      <c r="B67" s="12"/>
      <c r="C67" s="13">
        <v>41581</v>
      </c>
      <c r="D67">
        <v>10.6</v>
      </c>
      <c r="E67">
        <v>8</v>
      </c>
      <c r="F67">
        <v>12.4</v>
      </c>
      <c r="G67">
        <f t="shared" si="6"/>
        <v>926.00000000000011</v>
      </c>
      <c r="J67">
        <v>12.9</v>
      </c>
      <c r="K67">
        <f t="shared" si="2"/>
        <v>183.70000000000002</v>
      </c>
      <c r="L67">
        <v>1.2</v>
      </c>
      <c r="M67">
        <f t="shared" si="3"/>
        <v>109.19999999999997</v>
      </c>
      <c r="N67">
        <f t="shared" si="0"/>
        <v>11.700000000000001</v>
      </c>
      <c r="O67" s="19">
        <f t="shared" si="9"/>
        <v>99.5</v>
      </c>
      <c r="P67" s="14">
        <v>62</v>
      </c>
      <c r="Q67" s="15">
        <f t="shared" si="10"/>
        <v>0.88181818181818183</v>
      </c>
      <c r="R67" s="16">
        <f t="shared" si="7"/>
        <v>1.0581818181818181</v>
      </c>
      <c r="S67" s="16">
        <f t="shared" si="4"/>
        <v>11.841818181818182</v>
      </c>
      <c r="T67" s="20">
        <f t="shared" si="8"/>
        <v>122.1</v>
      </c>
      <c r="V67" s="21">
        <v>588.70000000000005</v>
      </c>
      <c r="W67">
        <f t="shared" si="1"/>
        <v>55.53773584905661</v>
      </c>
      <c r="X67">
        <f t="shared" si="5"/>
        <v>54816.099999999984</v>
      </c>
      <c r="AA67">
        <v>9.9860232510499696</v>
      </c>
    </row>
    <row r="68" spans="1:27" x14ac:dyDescent="0.25">
      <c r="A68" s="117"/>
      <c r="B68" s="12"/>
      <c r="C68" s="13">
        <v>41582</v>
      </c>
      <c r="D68">
        <v>10.5</v>
      </c>
      <c r="E68">
        <v>9.3000000000000007</v>
      </c>
      <c r="F68">
        <v>12.6</v>
      </c>
      <c r="G68">
        <f t="shared" si="6"/>
        <v>936.50000000000011</v>
      </c>
      <c r="J68">
        <v>6.6</v>
      </c>
      <c r="K68">
        <f t="shared" si="2"/>
        <v>190.3</v>
      </c>
      <c r="L68">
        <v>0.7</v>
      </c>
      <c r="M68">
        <f t="shared" si="3"/>
        <v>109.89999999999998</v>
      </c>
      <c r="N68">
        <f t="shared" si="0"/>
        <v>5.8999999999999995</v>
      </c>
      <c r="O68" s="19">
        <f t="shared" si="9"/>
        <v>105.4</v>
      </c>
      <c r="P68" s="14">
        <v>63</v>
      </c>
      <c r="Q68" s="15">
        <f t="shared" si="10"/>
        <v>0.89166666666666672</v>
      </c>
      <c r="R68" s="16">
        <f t="shared" si="7"/>
        <v>0.62416666666666665</v>
      </c>
      <c r="S68" s="16">
        <f t="shared" si="4"/>
        <v>5.9758333333333331</v>
      </c>
      <c r="T68" s="20">
        <f t="shared" si="8"/>
        <v>122.1</v>
      </c>
      <c r="V68" s="21">
        <v>257.5</v>
      </c>
      <c r="W68">
        <f t="shared" si="1"/>
        <v>24.523809523809526</v>
      </c>
      <c r="X68">
        <f t="shared" si="5"/>
        <v>55073.599999999984</v>
      </c>
      <c r="AA68">
        <v>9.9365733867663995</v>
      </c>
    </row>
    <row r="69" spans="1:27" x14ac:dyDescent="0.25">
      <c r="A69" s="117"/>
      <c r="B69" s="12"/>
      <c r="C69" s="13">
        <v>41583</v>
      </c>
      <c r="D69">
        <v>10.5</v>
      </c>
      <c r="E69">
        <v>5.4</v>
      </c>
      <c r="F69">
        <v>14.3</v>
      </c>
      <c r="G69">
        <f t="shared" si="6"/>
        <v>947.00000000000011</v>
      </c>
      <c r="J69">
        <v>6.6</v>
      </c>
      <c r="K69">
        <f t="shared" si="2"/>
        <v>196.9</v>
      </c>
      <c r="L69">
        <v>0.2</v>
      </c>
      <c r="M69">
        <f t="shared" si="3"/>
        <v>110.09999999999998</v>
      </c>
      <c r="N69">
        <f t="shared" si="0"/>
        <v>6.3999999999999995</v>
      </c>
      <c r="O69" s="19">
        <f t="shared" si="9"/>
        <v>111.80000000000001</v>
      </c>
      <c r="P69" s="14">
        <v>64</v>
      </c>
      <c r="Q69" s="15">
        <f t="shared" si="10"/>
        <v>0.90151515151515149</v>
      </c>
      <c r="R69" s="16">
        <f t="shared" si="7"/>
        <v>0.1803030303030303</v>
      </c>
      <c r="S69" s="16">
        <f t="shared" si="4"/>
        <v>6.419696969696969</v>
      </c>
      <c r="T69" s="20">
        <f t="shared" si="8"/>
        <v>122.1</v>
      </c>
      <c r="V69" s="21">
        <v>140.5</v>
      </c>
      <c r="W69">
        <f t="shared" si="1"/>
        <v>13.380952380952381</v>
      </c>
      <c r="X69">
        <f t="shared" si="5"/>
        <v>55214.099999999984</v>
      </c>
      <c r="AA69">
        <v>9.8875459964200498</v>
      </c>
    </row>
    <row r="70" spans="1:27" x14ac:dyDescent="0.25">
      <c r="A70" s="117"/>
      <c r="B70" s="12"/>
      <c r="C70" s="13">
        <v>41584</v>
      </c>
      <c r="D70">
        <v>14.5</v>
      </c>
      <c r="E70">
        <v>12.5</v>
      </c>
      <c r="F70">
        <v>15.4</v>
      </c>
      <c r="G70">
        <f t="shared" si="6"/>
        <v>961.50000000000011</v>
      </c>
      <c r="J70">
        <v>1</v>
      </c>
      <c r="K70">
        <f t="shared" si="2"/>
        <v>197.9</v>
      </c>
      <c r="L70">
        <v>0.9</v>
      </c>
      <c r="M70">
        <f t="shared" si="3"/>
        <v>110.99999999999999</v>
      </c>
      <c r="N70">
        <f t="shared" ref="N70:N133" si="11">J70-L70</f>
        <v>9.9999999999999978E-2</v>
      </c>
      <c r="O70" s="19">
        <f t="shared" si="9"/>
        <v>111.9</v>
      </c>
      <c r="P70" s="14">
        <v>65</v>
      </c>
      <c r="Q70" s="15">
        <f t="shared" si="10"/>
        <v>0.91136363636363638</v>
      </c>
      <c r="R70" s="16">
        <f t="shared" si="7"/>
        <v>0.8202272727272728</v>
      </c>
      <c r="S70" s="16">
        <f t="shared" si="4"/>
        <v>0.1797727272727272</v>
      </c>
      <c r="T70" s="20">
        <f t="shared" si="8"/>
        <v>122.1</v>
      </c>
      <c r="V70" s="21">
        <v>402.9</v>
      </c>
      <c r="W70">
        <f t="shared" ref="W70:W133" si="12">V70/D70</f>
        <v>27.786206896551722</v>
      </c>
      <c r="X70">
        <f t="shared" si="5"/>
        <v>55616.999999999985</v>
      </c>
      <c r="AA70">
        <v>9.83896141055952</v>
      </c>
    </row>
    <row r="71" spans="1:27" x14ac:dyDescent="0.25">
      <c r="A71" s="117"/>
      <c r="B71" s="12"/>
      <c r="C71" s="13">
        <v>41585</v>
      </c>
      <c r="D71">
        <v>15.2</v>
      </c>
      <c r="E71">
        <v>14</v>
      </c>
      <c r="F71">
        <v>17.3</v>
      </c>
      <c r="G71">
        <f t="shared" si="6"/>
        <v>976.70000000000016</v>
      </c>
      <c r="J71">
        <v>5.3</v>
      </c>
      <c r="K71">
        <f t="shared" ref="K71:K134" si="13">K70+J71</f>
        <v>203.20000000000002</v>
      </c>
      <c r="L71">
        <v>1.2</v>
      </c>
      <c r="M71">
        <f t="shared" ref="M71:M134" si="14">M70+L71</f>
        <v>112.19999999999999</v>
      </c>
      <c r="N71">
        <f t="shared" si="11"/>
        <v>4.0999999999999996</v>
      </c>
      <c r="O71" s="19">
        <f t="shared" si="9"/>
        <v>116</v>
      </c>
      <c r="P71" s="14">
        <v>66</v>
      </c>
      <c r="Q71" s="15">
        <f t="shared" si="10"/>
        <v>0.92121212121212126</v>
      </c>
      <c r="R71" s="16">
        <f t="shared" si="7"/>
        <v>1.1054545454545455</v>
      </c>
      <c r="S71" s="16">
        <f t="shared" ref="S71:S134" si="15">J71-R71</f>
        <v>4.1945454545454544</v>
      </c>
      <c r="T71" s="20">
        <f t="shared" si="8"/>
        <v>122.1</v>
      </c>
      <c r="V71" s="21">
        <v>492.5</v>
      </c>
      <c r="W71">
        <f t="shared" si="12"/>
        <v>32.401315789473685</v>
      </c>
      <c r="X71">
        <f t="shared" ref="X71:X134" si="16">X70+V71</f>
        <v>56109.499999999985</v>
      </c>
      <c r="AA71">
        <v>9.7908405591211896</v>
      </c>
    </row>
    <row r="72" spans="1:27" x14ac:dyDescent="0.25">
      <c r="A72" s="117"/>
      <c r="B72" s="12"/>
      <c r="C72" s="13">
        <v>41586</v>
      </c>
      <c r="D72">
        <v>12.4</v>
      </c>
      <c r="E72">
        <v>11.7</v>
      </c>
      <c r="F72">
        <v>15.5</v>
      </c>
      <c r="G72">
        <f t="shared" ref="G72:G135" si="17">G71+D72</f>
        <v>989.10000000000014</v>
      </c>
      <c r="J72">
        <v>4</v>
      </c>
      <c r="K72">
        <f t="shared" si="13"/>
        <v>207.20000000000002</v>
      </c>
      <c r="L72">
        <v>1.2</v>
      </c>
      <c r="M72">
        <f t="shared" si="14"/>
        <v>113.39999999999999</v>
      </c>
      <c r="N72">
        <f t="shared" si="11"/>
        <v>2.8</v>
      </c>
      <c r="O72" s="19">
        <f t="shared" si="9"/>
        <v>118.8</v>
      </c>
      <c r="P72" s="14">
        <v>67</v>
      </c>
      <c r="Q72" s="15">
        <f t="shared" si="10"/>
        <v>0.93106060606060603</v>
      </c>
      <c r="R72" s="16">
        <f t="shared" ref="R72:R135" si="18">Q72*L72</f>
        <v>1.1172727272727272</v>
      </c>
      <c r="S72" s="16">
        <f t="shared" si="15"/>
        <v>2.8827272727272728</v>
      </c>
      <c r="T72" s="20">
        <f t="shared" si="8"/>
        <v>122.1</v>
      </c>
      <c r="V72" s="21">
        <v>373.4</v>
      </c>
      <c r="W72">
        <f t="shared" si="12"/>
        <v>30.112903225806448</v>
      </c>
      <c r="X72">
        <f t="shared" si="16"/>
        <v>56482.899999999987</v>
      </c>
      <c r="AA72">
        <v>9.7432049677888592</v>
      </c>
    </row>
    <row r="73" spans="1:27" x14ac:dyDescent="0.25">
      <c r="A73" s="117"/>
      <c r="B73" s="12"/>
      <c r="C73" s="13">
        <v>41587</v>
      </c>
      <c r="D73">
        <v>8.6</v>
      </c>
      <c r="E73">
        <v>5.8</v>
      </c>
      <c r="F73">
        <v>11.8</v>
      </c>
      <c r="G73">
        <f t="shared" si="17"/>
        <v>997.70000000000016</v>
      </c>
      <c r="J73">
        <v>21.5</v>
      </c>
      <c r="K73">
        <f t="shared" si="13"/>
        <v>228.70000000000002</v>
      </c>
      <c r="L73">
        <v>0.8</v>
      </c>
      <c r="M73">
        <f t="shared" si="14"/>
        <v>114.19999999999999</v>
      </c>
      <c r="N73">
        <f t="shared" si="11"/>
        <v>20.7</v>
      </c>
      <c r="O73" s="19">
        <v>122.1</v>
      </c>
      <c r="P73" s="14">
        <v>68</v>
      </c>
      <c r="Q73" s="15">
        <f t="shared" si="10"/>
        <v>0.94090909090909092</v>
      </c>
      <c r="R73" s="16">
        <f t="shared" si="18"/>
        <v>0.7527272727272728</v>
      </c>
      <c r="S73" s="16">
        <f t="shared" si="15"/>
        <v>20.747272727272726</v>
      </c>
      <c r="T73" s="20">
        <f t="shared" si="8"/>
        <v>122.1</v>
      </c>
      <c r="V73" s="21">
        <v>388.4</v>
      </c>
      <c r="W73">
        <f t="shared" si="12"/>
        <v>45.162790697674417</v>
      </c>
      <c r="X73">
        <f t="shared" si="16"/>
        <v>56871.299999999988</v>
      </c>
      <c r="AA73">
        <v>9.6960767521187705</v>
      </c>
    </row>
    <row r="74" spans="1:27" x14ac:dyDescent="0.25">
      <c r="A74" s="117"/>
      <c r="B74" s="12"/>
      <c r="C74" s="13">
        <v>41588</v>
      </c>
      <c r="D74">
        <v>8.4</v>
      </c>
      <c r="E74">
        <v>6.1</v>
      </c>
      <c r="F74">
        <v>11.6</v>
      </c>
      <c r="G74">
        <f t="shared" si="17"/>
        <v>1006.1000000000001</v>
      </c>
      <c r="J74">
        <v>0.7</v>
      </c>
      <c r="K74">
        <f t="shared" si="13"/>
        <v>229.4</v>
      </c>
      <c r="L74">
        <v>1.2</v>
      </c>
      <c r="M74">
        <f t="shared" si="14"/>
        <v>115.39999999999999</v>
      </c>
      <c r="N74" s="9">
        <f t="shared" si="11"/>
        <v>-0.5</v>
      </c>
      <c r="O74" s="19">
        <f t="shared" si="9"/>
        <v>121.6</v>
      </c>
      <c r="P74" s="14">
        <v>69</v>
      </c>
      <c r="Q74" s="15">
        <f t="shared" si="10"/>
        <v>0.95075757575757569</v>
      </c>
      <c r="R74" s="16">
        <f t="shared" si="18"/>
        <v>1.1409090909090909</v>
      </c>
      <c r="S74" s="16">
        <f t="shared" si="15"/>
        <v>-0.44090909090909092</v>
      </c>
      <c r="T74" s="20">
        <f t="shared" ref="T74:T137" si="19">MIN(122.1,(T73+S74))</f>
        <v>121.65909090909091</v>
      </c>
      <c r="V74" s="21">
        <v>623.1</v>
      </c>
      <c r="W74">
        <f t="shared" si="12"/>
        <v>74.178571428571431</v>
      </c>
      <c r="X74">
        <f t="shared" si="16"/>
        <v>57494.399999999987</v>
      </c>
      <c r="AA74">
        <v>9.6494786092884404</v>
      </c>
    </row>
    <row r="75" spans="1:27" x14ac:dyDescent="0.25">
      <c r="A75" s="117"/>
      <c r="B75" s="12"/>
      <c r="C75" s="13">
        <v>41589</v>
      </c>
      <c r="D75">
        <v>5.8</v>
      </c>
      <c r="E75" s="25">
        <v>0.3</v>
      </c>
      <c r="F75">
        <v>10</v>
      </c>
      <c r="G75">
        <f t="shared" si="17"/>
        <v>1011.9000000000001</v>
      </c>
      <c r="J75">
        <v>0.4</v>
      </c>
      <c r="K75">
        <f t="shared" si="13"/>
        <v>229.8</v>
      </c>
      <c r="L75">
        <v>0.8</v>
      </c>
      <c r="M75">
        <f t="shared" si="14"/>
        <v>116.19999999999999</v>
      </c>
      <c r="N75" s="9">
        <f t="shared" si="11"/>
        <v>-0.4</v>
      </c>
      <c r="O75" s="19">
        <f t="shared" ref="O75:O138" si="20">O74+N75</f>
        <v>121.19999999999999</v>
      </c>
      <c r="P75" s="14">
        <v>70</v>
      </c>
      <c r="Q75" s="15">
        <f t="shared" si="10"/>
        <v>0.96060606060606069</v>
      </c>
      <c r="R75" s="16">
        <f t="shared" si="18"/>
        <v>0.76848484848484855</v>
      </c>
      <c r="S75" s="16">
        <f t="shared" si="15"/>
        <v>-0.36848484848484853</v>
      </c>
      <c r="T75" s="20">
        <f t="shared" si="19"/>
        <v>121.29060606060605</v>
      </c>
      <c r="V75" s="21">
        <v>663</v>
      </c>
      <c r="W75">
        <f t="shared" si="12"/>
        <v>114.31034482758621</v>
      </c>
      <c r="X75">
        <f t="shared" si="16"/>
        <v>58157.399999999987</v>
      </c>
      <c r="AA75">
        <v>9.6034338073282193</v>
      </c>
    </row>
    <row r="76" spans="1:27" x14ac:dyDescent="0.25">
      <c r="A76" s="117"/>
      <c r="B76" s="12"/>
      <c r="C76" s="13">
        <v>41590</v>
      </c>
      <c r="D76">
        <v>9.3000000000000007</v>
      </c>
      <c r="E76">
        <v>6.7</v>
      </c>
      <c r="F76">
        <v>11.5</v>
      </c>
      <c r="G76">
        <f t="shared" si="17"/>
        <v>1021.2</v>
      </c>
      <c r="J76">
        <v>1.8</v>
      </c>
      <c r="K76">
        <f t="shared" si="13"/>
        <v>231.60000000000002</v>
      </c>
      <c r="L76">
        <v>0.7</v>
      </c>
      <c r="M76">
        <f t="shared" si="14"/>
        <v>116.89999999999999</v>
      </c>
      <c r="N76">
        <f t="shared" si="11"/>
        <v>1.1000000000000001</v>
      </c>
      <c r="O76" s="19">
        <v>122.1</v>
      </c>
      <c r="P76" s="14">
        <v>71</v>
      </c>
      <c r="Q76" s="15">
        <f t="shared" si="10"/>
        <v>0.97045454545454546</v>
      </c>
      <c r="R76" s="16">
        <f t="shared" si="18"/>
        <v>0.67931818181818182</v>
      </c>
      <c r="S76" s="16">
        <f t="shared" si="15"/>
        <v>1.1206818181818181</v>
      </c>
      <c r="T76" s="20">
        <f t="shared" si="19"/>
        <v>122.1</v>
      </c>
      <c r="V76" s="21">
        <v>259.5</v>
      </c>
      <c r="W76">
        <f t="shared" si="12"/>
        <v>27.903225806451612</v>
      </c>
      <c r="X76">
        <f t="shared" si="16"/>
        <v>58416.899999999987</v>
      </c>
      <c r="AA76">
        <v>9.5579661716969202</v>
      </c>
    </row>
    <row r="77" spans="1:27" x14ac:dyDescent="0.25">
      <c r="A77" s="117"/>
      <c r="B77" s="12"/>
      <c r="C77" s="13">
        <v>41591</v>
      </c>
      <c r="D77">
        <v>7.9</v>
      </c>
      <c r="E77">
        <v>6.5</v>
      </c>
      <c r="F77">
        <v>9.6</v>
      </c>
      <c r="G77">
        <f t="shared" si="17"/>
        <v>1029.1000000000001</v>
      </c>
      <c r="J77">
        <v>0</v>
      </c>
      <c r="K77">
        <f t="shared" si="13"/>
        <v>231.60000000000002</v>
      </c>
      <c r="L77">
        <v>0.5</v>
      </c>
      <c r="M77">
        <f t="shared" si="14"/>
        <v>117.39999999999999</v>
      </c>
      <c r="N77" s="9">
        <f t="shared" si="11"/>
        <v>-0.5</v>
      </c>
      <c r="O77" s="19">
        <f t="shared" si="20"/>
        <v>121.6</v>
      </c>
      <c r="P77" s="14">
        <v>72</v>
      </c>
      <c r="Q77" s="15">
        <f t="shared" si="10"/>
        <v>0.98030303030303034</v>
      </c>
      <c r="R77" s="16">
        <f t="shared" si="18"/>
        <v>0.49015151515151517</v>
      </c>
      <c r="S77" s="16">
        <f t="shared" si="15"/>
        <v>-0.49015151515151517</v>
      </c>
      <c r="T77" s="20">
        <f t="shared" si="19"/>
        <v>121.60984848484848</v>
      </c>
      <c r="V77" s="21">
        <v>376.4</v>
      </c>
      <c r="W77">
        <f t="shared" si="12"/>
        <v>47.645569620253163</v>
      </c>
      <c r="X77">
        <f t="shared" si="16"/>
        <v>58793.299999999988</v>
      </c>
      <c r="AA77">
        <v>9.5131000690660308</v>
      </c>
    </row>
    <row r="78" spans="1:27" x14ac:dyDescent="0.25">
      <c r="A78" s="117"/>
      <c r="B78" s="12"/>
      <c r="C78" s="13">
        <v>41592</v>
      </c>
      <c r="D78">
        <v>5.0999999999999996</v>
      </c>
      <c r="E78" s="25">
        <v>2</v>
      </c>
      <c r="F78">
        <v>8.5</v>
      </c>
      <c r="G78">
        <f t="shared" si="17"/>
        <v>1034.2</v>
      </c>
      <c r="J78">
        <v>2</v>
      </c>
      <c r="K78">
        <f t="shared" si="13"/>
        <v>233.60000000000002</v>
      </c>
      <c r="L78">
        <v>0.3</v>
      </c>
      <c r="M78">
        <f t="shared" si="14"/>
        <v>117.69999999999999</v>
      </c>
      <c r="N78">
        <f t="shared" si="11"/>
        <v>1.7</v>
      </c>
      <c r="O78" s="19">
        <v>122.1</v>
      </c>
      <c r="P78" s="14">
        <v>73</v>
      </c>
      <c r="Q78" s="15">
        <f t="shared" si="10"/>
        <v>0.99015151515151512</v>
      </c>
      <c r="R78" s="16">
        <f t="shared" si="18"/>
        <v>0.2970454545454545</v>
      </c>
      <c r="S78" s="16">
        <f t="shared" si="15"/>
        <v>1.7029545454545456</v>
      </c>
      <c r="T78" s="20">
        <f t="shared" si="19"/>
        <v>122.1</v>
      </c>
      <c r="V78" s="21">
        <v>221.8</v>
      </c>
      <c r="W78">
        <f t="shared" si="12"/>
        <v>43.490196078431374</v>
      </c>
      <c r="X78">
        <f t="shared" si="16"/>
        <v>59015.099999999991</v>
      </c>
      <c r="AA78">
        <v>9.4688603881822502</v>
      </c>
    </row>
    <row r="79" spans="1:27" s="103" customFormat="1" ht="15.75" thickBot="1" x14ac:dyDescent="0.3">
      <c r="A79" s="117"/>
      <c r="B79" s="79"/>
      <c r="C79" s="102">
        <v>41593</v>
      </c>
      <c r="D79" s="103">
        <v>5.2</v>
      </c>
      <c r="E79" s="103">
        <v>4.4000000000000004</v>
      </c>
      <c r="F79" s="103">
        <v>6.6</v>
      </c>
      <c r="G79" s="81">
        <f t="shared" si="17"/>
        <v>1039.4000000000001</v>
      </c>
      <c r="J79" s="103">
        <v>4.2</v>
      </c>
      <c r="K79" s="103">
        <f t="shared" si="13"/>
        <v>237.8</v>
      </c>
      <c r="L79" s="103">
        <v>0.6</v>
      </c>
      <c r="M79" s="103">
        <f t="shared" si="14"/>
        <v>118.29999999999998</v>
      </c>
      <c r="N79" s="103">
        <f t="shared" si="11"/>
        <v>3.6</v>
      </c>
      <c r="O79" s="84">
        <v>122.1</v>
      </c>
      <c r="P79" s="93">
        <v>74</v>
      </c>
      <c r="Q79" s="104">
        <f t="shared" ref="Q79" si="21">0.35+((P79-8)/66)*(1-0.35)</f>
        <v>1</v>
      </c>
      <c r="R79" s="86">
        <f t="shared" si="18"/>
        <v>0.6</v>
      </c>
      <c r="S79" s="95">
        <f t="shared" si="15"/>
        <v>3.6</v>
      </c>
      <c r="T79" s="96">
        <f t="shared" si="19"/>
        <v>122.1</v>
      </c>
      <c r="V79" s="100">
        <v>178.5</v>
      </c>
      <c r="W79" s="103">
        <f t="shared" si="12"/>
        <v>34.326923076923073</v>
      </c>
      <c r="X79" s="103">
        <f t="shared" si="16"/>
        <v>59193.599999999991</v>
      </c>
      <c r="AA79" s="81">
        <v>9.4252725176848902</v>
      </c>
    </row>
    <row r="80" spans="1:27" x14ac:dyDescent="0.25">
      <c r="A80" s="118" t="s">
        <v>44</v>
      </c>
      <c r="B80" s="33"/>
      <c r="C80" s="13">
        <v>41594</v>
      </c>
      <c r="D80" s="25">
        <v>3.3</v>
      </c>
      <c r="E80" s="25">
        <v>0</v>
      </c>
      <c r="F80">
        <v>6.2</v>
      </c>
      <c r="G80">
        <f t="shared" si="17"/>
        <v>1042.7</v>
      </c>
      <c r="H80">
        <f>D80</f>
        <v>3.3</v>
      </c>
      <c r="I80" s="34" t="s">
        <v>28</v>
      </c>
      <c r="J80">
        <v>0</v>
      </c>
      <c r="K80">
        <f t="shared" si="13"/>
        <v>237.8</v>
      </c>
      <c r="L80">
        <v>0.7</v>
      </c>
      <c r="M80">
        <f t="shared" si="14"/>
        <v>118.99999999999999</v>
      </c>
      <c r="N80" s="9">
        <f t="shared" si="11"/>
        <v>-0.7</v>
      </c>
      <c r="O80" s="19">
        <f t="shared" si="20"/>
        <v>121.39999999999999</v>
      </c>
      <c r="P80" s="14">
        <v>75</v>
      </c>
      <c r="Q80" s="15">
        <v>1</v>
      </c>
      <c r="R80" s="16">
        <f t="shared" si="18"/>
        <v>0.7</v>
      </c>
      <c r="S80" s="16">
        <f t="shared" si="15"/>
        <v>-0.7</v>
      </c>
      <c r="T80" s="20">
        <f t="shared" si="19"/>
        <v>121.39999999999999</v>
      </c>
      <c r="U80" s="34" t="s">
        <v>29</v>
      </c>
      <c r="V80" s="21">
        <v>624.5</v>
      </c>
      <c r="W80">
        <f t="shared" si="12"/>
        <v>189.24242424242425</v>
      </c>
      <c r="X80">
        <f t="shared" si="16"/>
        <v>59818.099999999991</v>
      </c>
      <c r="Y80">
        <f>V80</f>
        <v>624.5</v>
      </c>
      <c r="Z80" s="34" t="s">
        <v>30</v>
      </c>
      <c r="AA80">
        <v>9.3823623207630398</v>
      </c>
    </row>
    <row r="81" spans="1:27" x14ac:dyDescent="0.25">
      <c r="A81" s="118"/>
      <c r="B81" s="12"/>
      <c r="C81" s="13">
        <v>41595</v>
      </c>
      <c r="D81" s="25">
        <v>4.3</v>
      </c>
      <c r="E81" s="25">
        <v>3.7</v>
      </c>
      <c r="F81">
        <v>5.3</v>
      </c>
      <c r="G81">
        <f t="shared" si="17"/>
        <v>1047</v>
      </c>
      <c r="H81">
        <f>H80+D81</f>
        <v>7.6</v>
      </c>
      <c r="I81">
        <f>MIN(E80:E127)</f>
        <v>-3.5</v>
      </c>
      <c r="J81">
        <v>0</v>
      </c>
      <c r="K81">
        <f t="shared" si="13"/>
        <v>237.8</v>
      </c>
      <c r="L81">
        <v>0.8</v>
      </c>
      <c r="M81">
        <f t="shared" si="14"/>
        <v>119.79999999999998</v>
      </c>
      <c r="N81" s="9">
        <f t="shared" si="11"/>
        <v>-0.8</v>
      </c>
      <c r="O81" s="19">
        <f t="shared" si="20"/>
        <v>120.6</v>
      </c>
      <c r="P81" s="14">
        <v>76</v>
      </c>
      <c r="Q81" s="15">
        <v>1</v>
      </c>
      <c r="R81" s="16">
        <f t="shared" si="18"/>
        <v>0.8</v>
      </c>
      <c r="S81" s="16">
        <f t="shared" si="15"/>
        <v>-0.8</v>
      </c>
      <c r="T81" s="20">
        <f t="shared" si="19"/>
        <v>120.6</v>
      </c>
      <c r="U81">
        <v>32</v>
      </c>
      <c r="V81" s="21">
        <v>260.89999999999998</v>
      </c>
      <c r="W81">
        <f t="shared" si="12"/>
        <v>60.674418604651159</v>
      </c>
      <c r="X81">
        <f t="shared" si="16"/>
        <v>60078.999999999993</v>
      </c>
      <c r="Y81">
        <f>Y80+V81</f>
        <v>885.4</v>
      </c>
      <c r="Z81">
        <v>19324.799999999996</v>
      </c>
      <c r="AA81">
        <v>9.3401561065481609</v>
      </c>
    </row>
    <row r="82" spans="1:27" x14ac:dyDescent="0.25">
      <c r="A82" s="118"/>
      <c r="B82" s="12"/>
      <c r="C82" s="13">
        <v>41596</v>
      </c>
      <c r="D82" s="25">
        <v>3.1</v>
      </c>
      <c r="E82" s="25">
        <v>2.4</v>
      </c>
      <c r="F82" s="25">
        <v>3.6</v>
      </c>
      <c r="G82">
        <f t="shared" si="17"/>
        <v>1050.0999999999999</v>
      </c>
      <c r="H82">
        <f t="shared" ref="H82:H145" si="22">H81+D82</f>
        <v>10.7</v>
      </c>
      <c r="I82" s="34" t="s">
        <v>31</v>
      </c>
      <c r="J82">
        <v>0</v>
      </c>
      <c r="K82">
        <f t="shared" si="13"/>
        <v>237.8</v>
      </c>
      <c r="L82">
        <v>0.6</v>
      </c>
      <c r="M82">
        <f t="shared" si="14"/>
        <v>120.39999999999998</v>
      </c>
      <c r="N82" s="9">
        <f t="shared" si="11"/>
        <v>-0.6</v>
      </c>
      <c r="O82" s="19">
        <f t="shared" si="20"/>
        <v>120</v>
      </c>
      <c r="P82" s="14">
        <v>77</v>
      </c>
      <c r="Q82" s="15">
        <v>1</v>
      </c>
      <c r="R82" s="16">
        <f t="shared" si="18"/>
        <v>0.6</v>
      </c>
      <c r="S82" s="16">
        <f t="shared" si="15"/>
        <v>-0.6</v>
      </c>
      <c r="T82" s="20">
        <f t="shared" si="19"/>
        <v>120</v>
      </c>
      <c r="U82" s="34" t="s">
        <v>32</v>
      </c>
      <c r="V82" s="21">
        <v>365.1</v>
      </c>
      <c r="W82">
        <f t="shared" si="12"/>
        <v>117.7741935483871</v>
      </c>
      <c r="X82">
        <f t="shared" si="16"/>
        <v>60444.099999999991</v>
      </c>
      <c r="Y82">
        <f t="shared" ref="Y82:Y145" si="23">Y81+V82</f>
        <v>1250.5</v>
      </c>
      <c r="Z82" s="34" t="s">
        <v>33</v>
      </c>
      <c r="AA82">
        <v>9.2986805981502094</v>
      </c>
    </row>
    <row r="83" spans="1:27" x14ac:dyDescent="0.25">
      <c r="A83" s="118"/>
      <c r="B83" s="12"/>
      <c r="C83" s="13">
        <v>41597</v>
      </c>
      <c r="D83" s="25">
        <v>3.4</v>
      </c>
      <c r="E83" s="25">
        <v>2.7</v>
      </c>
      <c r="F83" s="25">
        <v>4.9000000000000004</v>
      </c>
      <c r="G83">
        <f t="shared" si="17"/>
        <v>1053.5</v>
      </c>
      <c r="H83">
        <f t="shared" si="22"/>
        <v>14.1</v>
      </c>
      <c r="I83">
        <f>MAX(F80:F127)</f>
        <v>13.2</v>
      </c>
      <c r="J83">
        <v>1.5</v>
      </c>
      <c r="K83">
        <f t="shared" si="13"/>
        <v>239.3</v>
      </c>
      <c r="L83">
        <v>0.2</v>
      </c>
      <c r="M83">
        <f t="shared" si="14"/>
        <v>120.59999999999998</v>
      </c>
      <c r="N83">
        <f t="shared" si="11"/>
        <v>1.3</v>
      </c>
      <c r="O83" s="19">
        <f t="shared" si="20"/>
        <v>121.3</v>
      </c>
      <c r="P83" s="14">
        <v>78</v>
      </c>
      <c r="Q83" s="15">
        <v>1</v>
      </c>
      <c r="R83" s="16">
        <f t="shared" si="18"/>
        <v>0.2</v>
      </c>
      <c r="S83" s="16">
        <f t="shared" si="15"/>
        <v>1.3</v>
      </c>
      <c r="T83" s="20">
        <f t="shared" si="19"/>
        <v>121.3</v>
      </c>
      <c r="U83">
        <v>0</v>
      </c>
      <c r="V83" s="21">
        <v>206.6</v>
      </c>
      <c r="W83">
        <f t="shared" si="12"/>
        <v>60.764705882352942</v>
      </c>
      <c r="X83">
        <f t="shared" si="16"/>
        <v>60650.69999999999</v>
      </c>
      <c r="Y83">
        <f t="shared" si="23"/>
        <v>1457.1</v>
      </c>
      <c r="Z83" s="22">
        <f>(Z81/100)/I93</f>
        <v>0.8926004618937643</v>
      </c>
      <c r="AA83">
        <v>9.2579628972601995</v>
      </c>
    </row>
    <row r="84" spans="1:27" x14ac:dyDescent="0.25">
      <c r="A84" s="118"/>
      <c r="B84" s="12"/>
      <c r="C84" s="13">
        <v>41598</v>
      </c>
      <c r="D84" s="25">
        <v>2.5</v>
      </c>
      <c r="E84" s="24">
        <v>-0.4</v>
      </c>
      <c r="F84">
        <v>5.0999999999999996</v>
      </c>
      <c r="G84">
        <f t="shared" si="17"/>
        <v>1056</v>
      </c>
      <c r="H84">
        <f t="shared" si="22"/>
        <v>16.600000000000001</v>
      </c>
      <c r="I84" s="34" t="s">
        <v>34</v>
      </c>
      <c r="J84">
        <v>9.4</v>
      </c>
      <c r="K84">
        <f t="shared" si="13"/>
        <v>248.70000000000002</v>
      </c>
      <c r="L84">
        <v>0.6</v>
      </c>
      <c r="M84">
        <f t="shared" si="14"/>
        <v>121.19999999999997</v>
      </c>
      <c r="N84">
        <f t="shared" si="11"/>
        <v>8.8000000000000007</v>
      </c>
      <c r="O84" s="19">
        <v>122.1</v>
      </c>
      <c r="P84" s="14">
        <v>79</v>
      </c>
      <c r="Q84" s="15">
        <v>1</v>
      </c>
      <c r="R84" s="16">
        <f t="shared" si="18"/>
        <v>0.6</v>
      </c>
      <c r="S84" s="16">
        <f t="shared" si="15"/>
        <v>8.8000000000000007</v>
      </c>
      <c r="T84" s="20">
        <f t="shared" si="19"/>
        <v>122.1</v>
      </c>
      <c r="U84" s="34" t="s">
        <v>35</v>
      </c>
      <c r="V84" s="21">
        <v>665.3</v>
      </c>
      <c r="W84">
        <f t="shared" si="12"/>
        <v>266.12</v>
      </c>
      <c r="X84">
        <f t="shared" si="16"/>
        <v>61315.999999999993</v>
      </c>
      <c r="Y84">
        <f t="shared" si="23"/>
        <v>2122.3999999999996</v>
      </c>
      <c r="Z84" s="34" t="s">
        <v>36</v>
      </c>
      <c r="AA84">
        <v>9.2180304452589308</v>
      </c>
    </row>
    <row r="85" spans="1:27" x14ac:dyDescent="0.25">
      <c r="A85" s="118"/>
      <c r="B85" s="12"/>
      <c r="C85" s="13">
        <v>41599</v>
      </c>
      <c r="D85" s="25">
        <v>2.9</v>
      </c>
      <c r="E85" s="25">
        <v>2.4</v>
      </c>
      <c r="F85" s="25">
        <v>3.6</v>
      </c>
      <c r="G85">
        <f t="shared" si="17"/>
        <v>1058.9000000000001</v>
      </c>
      <c r="H85">
        <f t="shared" si="22"/>
        <v>19.5</v>
      </c>
      <c r="I85" s="23">
        <f>AVERAGE(D80:D127)</f>
        <v>4.510416666666667</v>
      </c>
      <c r="J85">
        <v>2.5</v>
      </c>
      <c r="K85">
        <f t="shared" si="13"/>
        <v>251.20000000000002</v>
      </c>
      <c r="L85">
        <v>0.3</v>
      </c>
      <c r="M85">
        <f t="shared" si="14"/>
        <v>121.49999999999997</v>
      </c>
      <c r="N85">
        <f t="shared" si="11"/>
        <v>2.2000000000000002</v>
      </c>
      <c r="O85" s="19">
        <v>122.1</v>
      </c>
      <c r="P85" s="14">
        <v>80</v>
      </c>
      <c r="Q85" s="15">
        <v>1</v>
      </c>
      <c r="R85" s="16">
        <f t="shared" si="18"/>
        <v>0.3</v>
      </c>
      <c r="S85" s="16">
        <f t="shared" si="15"/>
        <v>2.2000000000000002</v>
      </c>
      <c r="T85" s="20">
        <f t="shared" si="19"/>
        <v>122.1</v>
      </c>
      <c r="U85">
        <v>0</v>
      </c>
      <c r="V85" s="21">
        <v>163.19999999999999</v>
      </c>
      <c r="W85">
        <f t="shared" si="12"/>
        <v>56.275862068965516</v>
      </c>
      <c r="X85">
        <f t="shared" si="16"/>
        <v>61479.19999999999</v>
      </c>
      <c r="Y85">
        <f t="shared" si="23"/>
        <v>2285.5999999999995</v>
      </c>
      <c r="Z85">
        <v>48</v>
      </c>
      <c r="AA85">
        <v>9.1789109807908495</v>
      </c>
    </row>
    <row r="86" spans="1:27" x14ac:dyDescent="0.25">
      <c r="A86" s="118"/>
      <c r="B86" s="12"/>
      <c r="C86" s="13">
        <v>41600</v>
      </c>
      <c r="D86" s="25">
        <v>2.7</v>
      </c>
      <c r="E86" s="25">
        <v>1.8</v>
      </c>
      <c r="F86" s="25">
        <v>3.9</v>
      </c>
      <c r="G86">
        <f t="shared" si="17"/>
        <v>1061.6000000000001</v>
      </c>
      <c r="H86">
        <f t="shared" si="22"/>
        <v>22.2</v>
      </c>
      <c r="I86" s="34" t="s">
        <v>37</v>
      </c>
      <c r="J86">
        <v>1.7</v>
      </c>
      <c r="K86">
        <f t="shared" si="13"/>
        <v>252.9</v>
      </c>
      <c r="L86">
        <v>0.4</v>
      </c>
      <c r="M86">
        <f t="shared" si="14"/>
        <v>121.89999999999998</v>
      </c>
      <c r="N86">
        <f t="shared" si="11"/>
        <v>1.2999999999999998</v>
      </c>
      <c r="O86" s="19">
        <v>122.1</v>
      </c>
      <c r="P86" s="14">
        <v>81</v>
      </c>
      <c r="Q86" s="15">
        <v>1</v>
      </c>
      <c r="R86" s="16">
        <f t="shared" si="18"/>
        <v>0.4</v>
      </c>
      <c r="S86" s="16">
        <f t="shared" si="15"/>
        <v>1.2999999999999998</v>
      </c>
      <c r="T86" s="20">
        <f t="shared" si="19"/>
        <v>122.1</v>
      </c>
      <c r="U86" s="34" t="s">
        <v>38</v>
      </c>
      <c r="V86" s="21">
        <v>174.8</v>
      </c>
      <c r="W86">
        <f t="shared" si="12"/>
        <v>64.740740740740748</v>
      </c>
      <c r="X86">
        <f t="shared" si="16"/>
        <v>61653.999999999993</v>
      </c>
      <c r="Y86">
        <f t="shared" si="23"/>
        <v>2460.3999999999996</v>
      </c>
      <c r="AA86">
        <v>9.1406324937835794</v>
      </c>
    </row>
    <row r="87" spans="1:27" x14ac:dyDescent="0.25">
      <c r="A87" s="118"/>
      <c r="B87" s="12"/>
      <c r="C87" s="13">
        <v>41601</v>
      </c>
      <c r="D87" s="25">
        <v>4.2</v>
      </c>
      <c r="E87" s="25">
        <v>2.6</v>
      </c>
      <c r="F87" s="25">
        <v>4.7</v>
      </c>
      <c r="G87">
        <f t="shared" si="17"/>
        <v>1065.8000000000002</v>
      </c>
      <c r="H87">
        <f t="shared" si="22"/>
        <v>26.4</v>
      </c>
      <c r="I87" s="25">
        <v>14</v>
      </c>
      <c r="J87">
        <v>0</v>
      </c>
      <c r="K87">
        <f t="shared" si="13"/>
        <v>252.9</v>
      </c>
      <c r="L87">
        <v>0.2</v>
      </c>
      <c r="M87">
        <f t="shared" si="14"/>
        <v>122.09999999999998</v>
      </c>
      <c r="N87" s="9">
        <f t="shared" si="11"/>
        <v>-0.2</v>
      </c>
      <c r="O87" s="19">
        <f t="shared" si="20"/>
        <v>121.89999999999999</v>
      </c>
      <c r="P87" s="14">
        <v>82</v>
      </c>
      <c r="Q87" s="15">
        <v>1</v>
      </c>
      <c r="R87" s="16">
        <f t="shared" si="18"/>
        <v>0.2</v>
      </c>
      <c r="S87" s="16">
        <f t="shared" si="15"/>
        <v>-0.2</v>
      </c>
      <c r="T87" s="20">
        <f t="shared" si="19"/>
        <v>121.89999999999999</v>
      </c>
      <c r="U87" s="23">
        <f>MIN(T80:T127)</f>
        <v>112.10000000000001</v>
      </c>
      <c r="V87" s="21">
        <v>224.7</v>
      </c>
      <c r="W87">
        <f t="shared" si="12"/>
        <v>53.499999999999993</v>
      </c>
      <c r="X87">
        <f t="shared" si="16"/>
        <v>61878.69999999999</v>
      </c>
      <c r="Y87">
        <f t="shared" si="23"/>
        <v>2685.0999999999995</v>
      </c>
      <c r="AA87">
        <v>9.1032231759171403</v>
      </c>
    </row>
    <row r="88" spans="1:27" x14ac:dyDescent="0.25">
      <c r="A88" s="118"/>
      <c r="B88" s="12"/>
      <c r="C88" s="13">
        <v>41602</v>
      </c>
      <c r="D88">
        <v>5.3</v>
      </c>
      <c r="E88" s="25">
        <v>4.0999999999999996</v>
      </c>
      <c r="F88">
        <v>6.2</v>
      </c>
      <c r="G88">
        <f t="shared" si="17"/>
        <v>1071.1000000000001</v>
      </c>
      <c r="H88">
        <f t="shared" si="22"/>
        <v>31.7</v>
      </c>
      <c r="I88" s="34" t="s">
        <v>39</v>
      </c>
      <c r="J88">
        <v>0</v>
      </c>
      <c r="K88">
        <f t="shared" si="13"/>
        <v>252.9</v>
      </c>
      <c r="L88">
        <v>0.7</v>
      </c>
      <c r="M88">
        <f t="shared" si="14"/>
        <v>122.79999999999998</v>
      </c>
      <c r="N88" s="9">
        <f t="shared" si="11"/>
        <v>-0.7</v>
      </c>
      <c r="O88" s="19">
        <f t="shared" si="20"/>
        <v>121.19999999999999</v>
      </c>
      <c r="P88" s="14">
        <v>83</v>
      </c>
      <c r="Q88" s="15">
        <v>1</v>
      </c>
      <c r="R88" s="16">
        <f t="shared" si="18"/>
        <v>0.7</v>
      </c>
      <c r="S88" s="16">
        <f t="shared" si="15"/>
        <v>-0.7</v>
      </c>
      <c r="T88" s="20">
        <f t="shared" si="19"/>
        <v>121.19999999999999</v>
      </c>
      <c r="U88" s="34" t="s">
        <v>40</v>
      </c>
      <c r="V88" s="21">
        <v>618</v>
      </c>
      <c r="W88">
        <f t="shared" si="12"/>
        <v>116.60377358490567</v>
      </c>
      <c r="X88">
        <f t="shared" si="16"/>
        <v>62496.69999999999</v>
      </c>
      <c r="Y88">
        <f t="shared" si="23"/>
        <v>3303.0999999999995</v>
      </c>
      <c r="AA88">
        <v>9.0667113675729691</v>
      </c>
    </row>
    <row r="89" spans="1:27" x14ac:dyDescent="0.25">
      <c r="A89" s="118"/>
      <c r="B89" s="12"/>
      <c r="C89" s="13">
        <v>41603</v>
      </c>
      <c r="D89" s="25">
        <v>4.2</v>
      </c>
      <c r="E89" s="25">
        <v>3</v>
      </c>
      <c r="F89">
        <v>5.8</v>
      </c>
      <c r="G89">
        <f t="shared" si="17"/>
        <v>1075.3000000000002</v>
      </c>
      <c r="H89">
        <f t="shared" si="22"/>
        <v>35.9</v>
      </c>
      <c r="I89">
        <v>0</v>
      </c>
      <c r="J89">
        <v>0</v>
      </c>
      <c r="K89">
        <f t="shared" si="13"/>
        <v>252.9</v>
      </c>
      <c r="L89">
        <v>0.7</v>
      </c>
      <c r="M89">
        <f t="shared" si="14"/>
        <v>123.49999999999999</v>
      </c>
      <c r="N89" s="9">
        <f t="shared" si="11"/>
        <v>-0.7</v>
      </c>
      <c r="O89" s="19">
        <f t="shared" si="20"/>
        <v>120.49999999999999</v>
      </c>
      <c r="P89" s="14">
        <v>84</v>
      </c>
      <c r="Q89" s="15">
        <v>1</v>
      </c>
      <c r="R89" s="16">
        <f t="shared" si="18"/>
        <v>0.7</v>
      </c>
      <c r="S89" s="16">
        <f t="shared" si="15"/>
        <v>-0.7</v>
      </c>
      <c r="T89" s="20">
        <f t="shared" si="19"/>
        <v>120.49999999999999</v>
      </c>
      <c r="U89">
        <v>122.1</v>
      </c>
      <c r="V89" s="21">
        <v>328.6</v>
      </c>
      <c r="W89">
        <f t="shared" si="12"/>
        <v>78.238095238095241</v>
      </c>
      <c r="X89">
        <f t="shared" si="16"/>
        <v>62825.299999999988</v>
      </c>
      <c r="Y89">
        <f t="shared" si="23"/>
        <v>3631.6999999999994</v>
      </c>
      <c r="AA89">
        <v>9.03112550132089</v>
      </c>
    </row>
    <row r="90" spans="1:27" x14ac:dyDescent="0.25">
      <c r="A90" s="118"/>
      <c r="B90" s="35"/>
      <c r="C90" s="13">
        <v>41604</v>
      </c>
      <c r="D90" s="25">
        <v>3.6</v>
      </c>
      <c r="E90" s="25">
        <v>2.6</v>
      </c>
      <c r="F90">
        <v>5.7</v>
      </c>
      <c r="G90">
        <f t="shared" si="17"/>
        <v>1078.9000000000001</v>
      </c>
      <c r="H90">
        <f t="shared" si="22"/>
        <v>39.5</v>
      </c>
      <c r="I90" s="34" t="s">
        <v>41</v>
      </c>
      <c r="J90">
        <v>0</v>
      </c>
      <c r="K90">
        <f t="shared" si="13"/>
        <v>252.9</v>
      </c>
      <c r="L90">
        <v>1.2</v>
      </c>
      <c r="M90">
        <f t="shared" si="14"/>
        <v>124.69999999999999</v>
      </c>
      <c r="N90" s="9">
        <f t="shared" si="11"/>
        <v>-1.2</v>
      </c>
      <c r="O90" s="19">
        <f t="shared" si="20"/>
        <v>119.29999999999998</v>
      </c>
      <c r="P90" s="14">
        <v>85</v>
      </c>
      <c r="Q90" s="15">
        <v>1</v>
      </c>
      <c r="R90" s="16">
        <f t="shared" si="18"/>
        <v>1.2</v>
      </c>
      <c r="S90" s="16">
        <f t="shared" si="15"/>
        <v>-1.2</v>
      </c>
      <c r="T90" s="20">
        <f t="shared" si="19"/>
        <v>119.29999999999998</v>
      </c>
      <c r="U90" s="34" t="s">
        <v>42</v>
      </c>
      <c r="V90" s="21">
        <v>724.8</v>
      </c>
      <c r="W90">
        <f t="shared" si="12"/>
        <v>201.33333333333331</v>
      </c>
      <c r="X90">
        <f t="shared" si="16"/>
        <v>63550.099999999991</v>
      </c>
      <c r="Y90">
        <f t="shared" si="23"/>
        <v>4356.4999999999991</v>
      </c>
      <c r="AA90" s="36">
        <v>8.9964940420320705</v>
      </c>
    </row>
    <row r="91" spans="1:27" x14ac:dyDescent="0.25">
      <c r="A91" s="118"/>
      <c r="B91" s="35"/>
      <c r="C91" s="13">
        <v>41605</v>
      </c>
      <c r="D91" s="25">
        <v>2</v>
      </c>
      <c r="E91" s="25">
        <v>0.1</v>
      </c>
      <c r="F91">
        <v>5.4</v>
      </c>
      <c r="G91">
        <f t="shared" si="17"/>
        <v>1080.9000000000001</v>
      </c>
      <c r="H91">
        <f t="shared" si="22"/>
        <v>41.5</v>
      </c>
      <c r="I91">
        <v>28</v>
      </c>
      <c r="J91">
        <v>0</v>
      </c>
      <c r="K91">
        <f t="shared" si="13"/>
        <v>252.9</v>
      </c>
      <c r="L91">
        <v>0.6</v>
      </c>
      <c r="M91">
        <f t="shared" si="14"/>
        <v>125.29999999999998</v>
      </c>
      <c r="N91" s="9">
        <f t="shared" si="11"/>
        <v>-0.6</v>
      </c>
      <c r="O91" s="19">
        <f t="shared" si="20"/>
        <v>118.69999999999999</v>
      </c>
      <c r="P91" s="14">
        <v>86</v>
      </c>
      <c r="Q91" s="15">
        <v>1</v>
      </c>
      <c r="R91" s="16">
        <f t="shared" si="18"/>
        <v>0.6</v>
      </c>
      <c r="S91" s="16">
        <f t="shared" si="15"/>
        <v>-0.6</v>
      </c>
      <c r="T91" s="20">
        <f t="shared" si="19"/>
        <v>118.69999999999999</v>
      </c>
      <c r="U91" s="22">
        <f>AVERAGE(T80:T127)</f>
        <v>118.16875000000005</v>
      </c>
      <c r="V91" s="21">
        <v>489.9</v>
      </c>
      <c r="W91">
        <f t="shared" si="12"/>
        <v>244.95</v>
      </c>
      <c r="X91">
        <f t="shared" si="16"/>
        <v>64039.999999999993</v>
      </c>
      <c r="Y91">
        <f t="shared" si="23"/>
        <v>4846.3999999999987</v>
      </c>
      <c r="AA91" s="36">
        <v>8.9628454237378303</v>
      </c>
    </row>
    <row r="92" spans="1:27" x14ac:dyDescent="0.25">
      <c r="A92" s="118"/>
      <c r="B92" s="35"/>
      <c r="C92" s="13">
        <v>41606</v>
      </c>
      <c r="D92" s="25">
        <v>0.8</v>
      </c>
      <c r="E92" s="24">
        <v>-2.2000000000000002</v>
      </c>
      <c r="F92" s="25">
        <v>3.3</v>
      </c>
      <c r="G92">
        <f t="shared" si="17"/>
        <v>1081.7</v>
      </c>
      <c r="H92">
        <f t="shared" si="22"/>
        <v>42.3</v>
      </c>
      <c r="I92" s="34" t="s">
        <v>43</v>
      </c>
      <c r="J92">
        <v>0</v>
      </c>
      <c r="K92">
        <f t="shared" si="13"/>
        <v>252.9</v>
      </c>
      <c r="L92">
        <v>0.4</v>
      </c>
      <c r="M92">
        <f t="shared" si="14"/>
        <v>125.69999999999999</v>
      </c>
      <c r="N92" s="9">
        <f t="shared" si="11"/>
        <v>-0.4</v>
      </c>
      <c r="O92" s="19">
        <f t="shared" si="20"/>
        <v>118.29999999999998</v>
      </c>
      <c r="P92" s="14">
        <v>87</v>
      </c>
      <c r="Q92" s="15">
        <v>1</v>
      </c>
      <c r="R92" s="16">
        <f t="shared" si="18"/>
        <v>0.4</v>
      </c>
      <c r="S92" s="16">
        <f t="shared" si="15"/>
        <v>-0.4</v>
      </c>
      <c r="T92" s="20">
        <f t="shared" si="19"/>
        <v>118.29999999999998</v>
      </c>
      <c r="U92" s="34" t="s">
        <v>45</v>
      </c>
      <c r="V92" s="21">
        <v>208.3</v>
      </c>
      <c r="W92">
        <f t="shared" si="12"/>
        <v>260.375</v>
      </c>
      <c r="X92">
        <f t="shared" si="16"/>
        <v>64248.299999999996</v>
      </c>
      <c r="Y92">
        <f t="shared" si="23"/>
        <v>5054.6999999999989</v>
      </c>
      <c r="AA92" s="36">
        <v>8.9302079833875805</v>
      </c>
    </row>
    <row r="93" spans="1:27" x14ac:dyDescent="0.25">
      <c r="A93" s="118"/>
      <c r="B93" s="35"/>
      <c r="C93" s="13">
        <v>41607</v>
      </c>
      <c r="D93" s="25">
        <v>4.9000000000000004</v>
      </c>
      <c r="E93" s="25">
        <v>2.5</v>
      </c>
      <c r="F93">
        <v>6.6</v>
      </c>
      <c r="G93">
        <f t="shared" si="17"/>
        <v>1086.6000000000001</v>
      </c>
      <c r="H93">
        <f t="shared" si="22"/>
        <v>47.199999999999996</v>
      </c>
      <c r="I93">
        <v>216.5</v>
      </c>
      <c r="J93">
        <v>1.1000000000000001</v>
      </c>
      <c r="K93">
        <f t="shared" si="13"/>
        <v>254</v>
      </c>
      <c r="L93">
        <v>0.2</v>
      </c>
      <c r="M93">
        <f t="shared" si="14"/>
        <v>125.89999999999999</v>
      </c>
      <c r="N93">
        <f t="shared" si="11"/>
        <v>0.90000000000000013</v>
      </c>
      <c r="O93" s="19">
        <f t="shared" si="20"/>
        <v>119.19999999999999</v>
      </c>
      <c r="P93" s="14">
        <v>88</v>
      </c>
      <c r="Q93" s="15">
        <v>1</v>
      </c>
      <c r="R93" s="16">
        <f t="shared" si="18"/>
        <v>0.2</v>
      </c>
      <c r="S93" s="16">
        <f t="shared" si="15"/>
        <v>0.90000000000000013</v>
      </c>
      <c r="T93" s="20">
        <f t="shared" si="19"/>
        <v>119.19999999999999</v>
      </c>
      <c r="U93" s="23">
        <v>38</v>
      </c>
      <c r="V93" s="21">
        <v>264.89999999999998</v>
      </c>
      <c r="W93">
        <f t="shared" si="12"/>
        <v>54.061224489795912</v>
      </c>
      <c r="X93">
        <f t="shared" si="16"/>
        <v>64513.2</v>
      </c>
      <c r="Y93">
        <f t="shared" si="23"/>
        <v>5319.5999999999985</v>
      </c>
      <c r="AA93" s="36">
        <v>8.8986098916936101</v>
      </c>
    </row>
    <row r="94" spans="1:27" x14ac:dyDescent="0.25">
      <c r="A94" s="118"/>
      <c r="B94" s="35"/>
      <c r="C94" s="13">
        <v>41608</v>
      </c>
      <c r="D94" s="25">
        <v>4.9000000000000004</v>
      </c>
      <c r="E94" s="25">
        <v>4.9000000000000004</v>
      </c>
      <c r="F94">
        <v>5.7</v>
      </c>
      <c r="G94">
        <f t="shared" si="17"/>
        <v>1091.5000000000002</v>
      </c>
      <c r="H94">
        <f t="shared" si="22"/>
        <v>52.099999999999994</v>
      </c>
      <c r="J94">
        <v>0.3</v>
      </c>
      <c r="K94">
        <f t="shared" si="13"/>
        <v>254.3</v>
      </c>
      <c r="L94">
        <v>0.3</v>
      </c>
      <c r="M94">
        <f t="shared" si="14"/>
        <v>126.19999999999999</v>
      </c>
      <c r="N94">
        <f t="shared" si="11"/>
        <v>0</v>
      </c>
      <c r="O94" s="19">
        <f t="shared" si="20"/>
        <v>119.19999999999999</v>
      </c>
      <c r="P94" s="14">
        <v>89</v>
      </c>
      <c r="Q94" s="15">
        <v>1</v>
      </c>
      <c r="R94" s="16">
        <f t="shared" si="18"/>
        <v>0.3</v>
      </c>
      <c r="S94" s="16">
        <f t="shared" si="15"/>
        <v>0</v>
      </c>
      <c r="T94" s="20">
        <f t="shared" si="19"/>
        <v>119.19999999999999</v>
      </c>
      <c r="V94" s="21">
        <v>215.9</v>
      </c>
      <c r="W94">
        <f t="shared" si="12"/>
        <v>44.061224489795919</v>
      </c>
      <c r="X94">
        <f t="shared" si="16"/>
        <v>64729.1</v>
      </c>
      <c r="Y94">
        <f t="shared" si="23"/>
        <v>5535.4999999999982</v>
      </c>
      <c r="AA94" s="36">
        <v>8.8680790812860604</v>
      </c>
    </row>
    <row r="95" spans="1:27" x14ac:dyDescent="0.25">
      <c r="A95" s="118"/>
      <c r="B95" s="35"/>
      <c r="C95" s="13">
        <v>41609</v>
      </c>
      <c r="D95" s="25">
        <v>3.7</v>
      </c>
      <c r="E95" s="25">
        <v>2</v>
      </c>
      <c r="F95">
        <v>5.9</v>
      </c>
      <c r="G95">
        <f t="shared" si="17"/>
        <v>1095.2000000000003</v>
      </c>
      <c r="H95">
        <f t="shared" si="22"/>
        <v>55.8</v>
      </c>
      <c r="J95">
        <v>0</v>
      </c>
      <c r="K95">
        <f t="shared" si="13"/>
        <v>254.3</v>
      </c>
      <c r="L95">
        <v>0.6</v>
      </c>
      <c r="M95">
        <f t="shared" si="14"/>
        <v>126.79999999999998</v>
      </c>
      <c r="N95" s="9">
        <f t="shared" si="11"/>
        <v>-0.6</v>
      </c>
      <c r="O95" s="19">
        <f t="shared" si="20"/>
        <v>118.6</v>
      </c>
      <c r="P95" s="14">
        <v>90</v>
      </c>
      <c r="Q95" s="15">
        <v>1</v>
      </c>
      <c r="R95" s="16">
        <f t="shared" si="18"/>
        <v>0.6</v>
      </c>
      <c r="S95" s="16">
        <f t="shared" si="15"/>
        <v>-0.6</v>
      </c>
      <c r="T95" s="20">
        <f t="shared" si="19"/>
        <v>118.6</v>
      </c>
      <c r="U95">
        <f>(U91*100)/122.1</f>
        <v>96.78030303030306</v>
      </c>
      <c r="V95" s="21">
        <v>459.5</v>
      </c>
      <c r="W95">
        <f t="shared" si="12"/>
        <v>124.18918918918918</v>
      </c>
      <c r="X95">
        <f t="shared" si="16"/>
        <v>65188.6</v>
      </c>
      <c r="Y95">
        <f t="shared" si="23"/>
        <v>5994.9999999999982</v>
      </c>
      <c r="AA95" s="36">
        <v>8.8386431724372407</v>
      </c>
    </row>
    <row r="96" spans="1:27" x14ac:dyDescent="0.25">
      <c r="A96" s="118"/>
      <c r="B96" s="35"/>
      <c r="C96" s="13">
        <v>41610</v>
      </c>
      <c r="D96" s="25">
        <v>4.0999999999999996</v>
      </c>
      <c r="E96" s="25">
        <v>3</v>
      </c>
      <c r="F96">
        <v>6.4</v>
      </c>
      <c r="G96">
        <f t="shared" si="17"/>
        <v>1099.3000000000002</v>
      </c>
      <c r="H96">
        <f t="shared" si="22"/>
        <v>59.9</v>
      </c>
      <c r="J96">
        <v>0</v>
      </c>
      <c r="K96">
        <f t="shared" si="13"/>
        <v>254.3</v>
      </c>
      <c r="L96">
        <v>0.8</v>
      </c>
      <c r="M96">
        <f t="shared" si="14"/>
        <v>127.59999999999998</v>
      </c>
      <c r="N96" s="9">
        <f t="shared" si="11"/>
        <v>-0.8</v>
      </c>
      <c r="O96" s="19">
        <f t="shared" si="20"/>
        <v>117.8</v>
      </c>
      <c r="P96" s="14">
        <v>91</v>
      </c>
      <c r="Q96" s="15">
        <v>1</v>
      </c>
      <c r="R96" s="16">
        <f t="shared" si="18"/>
        <v>0.8</v>
      </c>
      <c r="S96" s="16">
        <f t="shared" si="15"/>
        <v>-0.8</v>
      </c>
      <c r="T96" s="20">
        <f t="shared" si="19"/>
        <v>117.8</v>
      </c>
      <c r="V96" s="21">
        <v>327.9</v>
      </c>
      <c r="W96">
        <f t="shared" si="12"/>
        <v>79.975609756097569</v>
      </c>
      <c r="X96">
        <f t="shared" si="16"/>
        <v>65516.5</v>
      </c>
      <c r="Y96">
        <f t="shared" si="23"/>
        <v>6322.8999999999978</v>
      </c>
      <c r="AA96" s="36">
        <v>8.81032939665082</v>
      </c>
    </row>
    <row r="97" spans="1:27" x14ac:dyDescent="0.25">
      <c r="A97" s="118"/>
      <c r="B97" s="35"/>
      <c r="C97" s="13">
        <v>41611</v>
      </c>
      <c r="D97" s="25">
        <v>1.3</v>
      </c>
      <c r="E97" s="24">
        <v>-2.5</v>
      </c>
      <c r="F97">
        <v>5.5</v>
      </c>
      <c r="G97">
        <f t="shared" si="17"/>
        <v>1100.6000000000001</v>
      </c>
      <c r="H97">
        <f t="shared" si="22"/>
        <v>61.199999999999996</v>
      </c>
      <c r="J97">
        <v>0</v>
      </c>
      <c r="K97">
        <f t="shared" si="13"/>
        <v>254.3</v>
      </c>
      <c r="L97">
        <v>0.7</v>
      </c>
      <c r="M97">
        <f t="shared" si="14"/>
        <v>128.29999999999998</v>
      </c>
      <c r="N97" s="9">
        <f t="shared" si="11"/>
        <v>-0.7</v>
      </c>
      <c r="O97" s="19">
        <f t="shared" si="20"/>
        <v>117.1</v>
      </c>
      <c r="P97" s="14">
        <v>92</v>
      </c>
      <c r="Q97" s="15">
        <v>1</v>
      </c>
      <c r="R97" s="16">
        <f t="shared" si="18"/>
        <v>0.7</v>
      </c>
      <c r="S97" s="16">
        <f t="shared" si="15"/>
        <v>-0.7</v>
      </c>
      <c r="T97" s="20">
        <f t="shared" si="19"/>
        <v>117.1</v>
      </c>
      <c r="V97" s="21">
        <v>679.6</v>
      </c>
      <c r="W97">
        <f t="shared" si="12"/>
        <v>522.76923076923072</v>
      </c>
      <c r="X97">
        <f t="shared" si="16"/>
        <v>66196.100000000006</v>
      </c>
      <c r="Y97">
        <f t="shared" si="23"/>
        <v>7002.4999999999982</v>
      </c>
      <c r="AA97" s="36">
        <v>8.7831645184467408</v>
      </c>
    </row>
    <row r="98" spans="1:27" x14ac:dyDescent="0.25">
      <c r="A98" s="118"/>
      <c r="B98" s="35"/>
      <c r="C98" s="13">
        <v>41612</v>
      </c>
      <c r="D98" s="25">
        <v>1.1000000000000001</v>
      </c>
      <c r="E98" s="24">
        <v>-2</v>
      </c>
      <c r="F98" s="25">
        <v>3.2</v>
      </c>
      <c r="G98">
        <f t="shared" si="17"/>
        <v>1101.7</v>
      </c>
      <c r="H98">
        <f t="shared" si="22"/>
        <v>62.3</v>
      </c>
      <c r="J98">
        <v>0</v>
      </c>
      <c r="K98">
        <f t="shared" si="13"/>
        <v>254.3</v>
      </c>
      <c r="L98">
        <v>0.3</v>
      </c>
      <c r="M98">
        <f t="shared" si="14"/>
        <v>128.6</v>
      </c>
      <c r="N98" s="9">
        <f t="shared" si="11"/>
        <v>-0.3</v>
      </c>
      <c r="O98" s="19">
        <f t="shared" si="20"/>
        <v>116.8</v>
      </c>
      <c r="P98" s="14">
        <v>93</v>
      </c>
      <c r="Q98" s="15">
        <v>1</v>
      </c>
      <c r="R98" s="16">
        <f t="shared" si="18"/>
        <v>0.3</v>
      </c>
      <c r="S98" s="16">
        <f t="shared" si="15"/>
        <v>-0.3</v>
      </c>
      <c r="T98" s="20">
        <f t="shared" si="19"/>
        <v>116.8</v>
      </c>
      <c r="V98" s="21">
        <v>348.4</v>
      </c>
      <c r="W98">
        <f t="shared" si="12"/>
        <v>316.72727272727269</v>
      </c>
      <c r="X98">
        <f t="shared" si="16"/>
        <v>66544.5</v>
      </c>
      <c r="Y98">
        <f t="shared" si="23"/>
        <v>7350.8999999999978</v>
      </c>
      <c r="AA98" s="36">
        <v>8.7571747557076591</v>
      </c>
    </row>
    <row r="99" spans="1:27" x14ac:dyDescent="0.25">
      <c r="A99" s="118"/>
      <c r="B99" s="35"/>
      <c r="C99" s="13">
        <v>41613</v>
      </c>
      <c r="D99" s="25">
        <v>4.5</v>
      </c>
      <c r="E99" s="25">
        <v>3</v>
      </c>
      <c r="F99">
        <v>5.9</v>
      </c>
      <c r="G99">
        <f t="shared" si="17"/>
        <v>1106.2</v>
      </c>
      <c r="H99">
        <f t="shared" si="22"/>
        <v>66.8</v>
      </c>
      <c r="J99">
        <v>0.3</v>
      </c>
      <c r="K99">
        <f t="shared" si="13"/>
        <v>254.60000000000002</v>
      </c>
      <c r="L99">
        <v>0.4</v>
      </c>
      <c r="M99">
        <f t="shared" si="14"/>
        <v>129</v>
      </c>
      <c r="N99" s="9">
        <f t="shared" si="11"/>
        <v>-0.10000000000000003</v>
      </c>
      <c r="O99" s="19">
        <f t="shared" si="20"/>
        <v>116.7</v>
      </c>
      <c r="P99" s="14">
        <v>94</v>
      </c>
      <c r="Q99" s="15">
        <v>1</v>
      </c>
      <c r="R99" s="16">
        <f t="shared" si="18"/>
        <v>0.4</v>
      </c>
      <c r="S99" s="16">
        <f t="shared" si="15"/>
        <v>-0.10000000000000003</v>
      </c>
      <c r="T99" s="20">
        <f t="shared" si="19"/>
        <v>116.7</v>
      </c>
      <c r="V99" s="21">
        <v>213.8</v>
      </c>
      <c r="W99">
        <f t="shared" si="12"/>
        <v>47.511111111111113</v>
      </c>
      <c r="X99">
        <f t="shared" si="16"/>
        <v>66758.3</v>
      </c>
      <c r="Y99">
        <f t="shared" si="23"/>
        <v>7564.699999999998</v>
      </c>
      <c r="AA99" s="36">
        <v>8.7323856989857909</v>
      </c>
    </row>
    <row r="100" spans="1:27" x14ac:dyDescent="0.25">
      <c r="A100" s="118"/>
      <c r="B100" s="35"/>
      <c r="C100" s="13">
        <v>41614</v>
      </c>
      <c r="D100" s="25">
        <v>5</v>
      </c>
      <c r="E100" s="25">
        <v>4.4000000000000004</v>
      </c>
      <c r="F100">
        <v>7.7</v>
      </c>
      <c r="G100">
        <f t="shared" si="17"/>
        <v>1111.2</v>
      </c>
      <c r="H100">
        <f t="shared" si="22"/>
        <v>71.8</v>
      </c>
      <c r="J100">
        <v>0</v>
      </c>
      <c r="K100">
        <f t="shared" si="13"/>
        <v>254.60000000000002</v>
      </c>
      <c r="L100">
        <v>0.7</v>
      </c>
      <c r="M100">
        <f t="shared" si="14"/>
        <v>129.69999999999999</v>
      </c>
      <c r="N100" s="9">
        <f t="shared" si="11"/>
        <v>-0.7</v>
      </c>
      <c r="O100" s="19">
        <f t="shared" si="20"/>
        <v>116</v>
      </c>
      <c r="P100" s="14">
        <v>95</v>
      </c>
      <c r="Q100" s="15">
        <v>1</v>
      </c>
      <c r="R100" s="16">
        <f t="shared" si="18"/>
        <v>0.7</v>
      </c>
      <c r="S100" s="16">
        <f t="shared" si="15"/>
        <v>-0.7</v>
      </c>
      <c r="T100" s="20">
        <f t="shared" si="19"/>
        <v>116</v>
      </c>
      <c r="V100" s="21">
        <v>306</v>
      </c>
      <c r="W100">
        <f t="shared" si="12"/>
        <v>61.2</v>
      </c>
      <c r="X100">
        <f t="shared" si="16"/>
        <v>67064.3</v>
      </c>
      <c r="Y100">
        <f t="shared" si="23"/>
        <v>7870.699999999998</v>
      </c>
      <c r="AA100" s="36">
        <v>8.7088222302001199</v>
      </c>
    </row>
    <row r="101" spans="1:27" x14ac:dyDescent="0.25">
      <c r="A101" s="118"/>
      <c r="B101" s="35"/>
      <c r="C101" s="13">
        <v>41615</v>
      </c>
      <c r="D101" s="25">
        <v>2.4</v>
      </c>
      <c r="E101" s="25">
        <v>0.2</v>
      </c>
      <c r="F101">
        <v>6.7</v>
      </c>
      <c r="G101">
        <f t="shared" si="17"/>
        <v>1113.6000000000001</v>
      </c>
      <c r="H101">
        <f t="shared" si="22"/>
        <v>74.2</v>
      </c>
      <c r="J101">
        <v>0</v>
      </c>
      <c r="K101">
        <f t="shared" si="13"/>
        <v>254.60000000000002</v>
      </c>
      <c r="L101">
        <v>0.8</v>
      </c>
      <c r="M101">
        <f t="shared" si="14"/>
        <v>130.5</v>
      </c>
      <c r="N101" s="9">
        <f t="shared" si="11"/>
        <v>-0.8</v>
      </c>
      <c r="O101" s="19">
        <f t="shared" si="20"/>
        <v>115.2</v>
      </c>
      <c r="P101" s="14">
        <v>96</v>
      </c>
      <c r="Q101" s="15">
        <v>1</v>
      </c>
      <c r="R101" s="16">
        <f t="shared" si="18"/>
        <v>0.8</v>
      </c>
      <c r="S101" s="16">
        <f t="shared" si="15"/>
        <v>-0.8</v>
      </c>
      <c r="T101" s="20">
        <f t="shared" si="19"/>
        <v>115.2</v>
      </c>
      <c r="V101" s="21">
        <v>619.70000000000005</v>
      </c>
      <c r="W101">
        <f t="shared" si="12"/>
        <v>258.20833333333337</v>
      </c>
      <c r="X101">
        <f t="shared" si="16"/>
        <v>67684</v>
      </c>
      <c r="Y101">
        <f t="shared" si="23"/>
        <v>8490.3999999999978</v>
      </c>
      <c r="AA101" s="36">
        <v>8.6865084411824505</v>
      </c>
    </row>
    <row r="102" spans="1:27" x14ac:dyDescent="0.25">
      <c r="A102" s="118"/>
      <c r="B102" s="35"/>
      <c r="C102" s="13">
        <v>41616</v>
      </c>
      <c r="D102" s="25">
        <v>1.2</v>
      </c>
      <c r="E102" s="24">
        <v>-1.8</v>
      </c>
      <c r="F102">
        <v>5.8</v>
      </c>
      <c r="G102">
        <f t="shared" si="17"/>
        <v>1114.8000000000002</v>
      </c>
      <c r="H102">
        <f t="shared" si="22"/>
        <v>75.400000000000006</v>
      </c>
      <c r="J102">
        <v>0</v>
      </c>
      <c r="K102">
        <f t="shared" si="13"/>
        <v>254.60000000000002</v>
      </c>
      <c r="L102">
        <v>0.7</v>
      </c>
      <c r="M102">
        <f t="shared" si="14"/>
        <v>131.19999999999999</v>
      </c>
      <c r="N102" s="9">
        <f t="shared" si="11"/>
        <v>-0.7</v>
      </c>
      <c r="O102" s="19">
        <f t="shared" si="20"/>
        <v>114.5</v>
      </c>
      <c r="P102" s="14">
        <v>97</v>
      </c>
      <c r="Q102" s="15">
        <v>1</v>
      </c>
      <c r="R102" s="16">
        <f t="shared" si="18"/>
        <v>0.7</v>
      </c>
      <c r="S102" s="16">
        <f t="shared" si="15"/>
        <v>-0.7</v>
      </c>
      <c r="T102" s="20">
        <f t="shared" si="19"/>
        <v>114.5</v>
      </c>
      <c r="V102" s="21">
        <v>714</v>
      </c>
      <c r="W102">
        <f t="shared" si="12"/>
        <v>595</v>
      </c>
      <c r="X102">
        <f t="shared" si="16"/>
        <v>68398</v>
      </c>
      <c r="Y102">
        <f t="shared" si="23"/>
        <v>9204.3999999999978</v>
      </c>
      <c r="AA102" s="36">
        <v>8.6654675525556293</v>
      </c>
    </row>
    <row r="103" spans="1:27" x14ac:dyDescent="0.25">
      <c r="A103" s="118"/>
      <c r="B103" s="35"/>
      <c r="C103" s="13">
        <v>41617</v>
      </c>
      <c r="D103" s="25">
        <v>1</v>
      </c>
      <c r="E103" s="24">
        <v>-3.2</v>
      </c>
      <c r="F103">
        <v>6.3</v>
      </c>
      <c r="G103">
        <f t="shared" si="17"/>
        <v>1115.8000000000002</v>
      </c>
      <c r="H103">
        <f t="shared" si="22"/>
        <v>76.400000000000006</v>
      </c>
      <c r="J103">
        <v>0</v>
      </c>
      <c r="K103">
        <f t="shared" si="13"/>
        <v>254.60000000000002</v>
      </c>
      <c r="L103">
        <v>0.6</v>
      </c>
      <c r="M103">
        <f t="shared" si="14"/>
        <v>131.79999999999998</v>
      </c>
      <c r="N103" s="9">
        <f t="shared" si="11"/>
        <v>-0.6</v>
      </c>
      <c r="O103" s="19">
        <f t="shared" si="20"/>
        <v>113.9</v>
      </c>
      <c r="P103" s="14">
        <v>98</v>
      </c>
      <c r="Q103" s="15">
        <v>1</v>
      </c>
      <c r="R103" s="16">
        <f t="shared" si="18"/>
        <v>0.6</v>
      </c>
      <c r="S103" s="16">
        <f t="shared" si="15"/>
        <v>-0.6</v>
      </c>
      <c r="T103" s="20">
        <f t="shared" si="19"/>
        <v>113.9</v>
      </c>
      <c r="V103" s="21">
        <v>631.6</v>
      </c>
      <c r="W103">
        <f t="shared" si="12"/>
        <v>631.6</v>
      </c>
      <c r="X103">
        <f t="shared" si="16"/>
        <v>69029.600000000006</v>
      </c>
      <c r="Y103">
        <f t="shared" si="23"/>
        <v>9835.9999999999982</v>
      </c>
      <c r="AA103" s="36">
        <v>8.6457218334486399</v>
      </c>
    </row>
    <row r="104" spans="1:27" x14ac:dyDescent="0.25">
      <c r="A104" s="118"/>
      <c r="B104" s="35"/>
      <c r="C104" s="13">
        <v>41618</v>
      </c>
      <c r="D104" s="25">
        <v>1.1000000000000001</v>
      </c>
      <c r="E104" s="24">
        <v>-2.5</v>
      </c>
      <c r="F104">
        <v>5.7</v>
      </c>
      <c r="G104">
        <f t="shared" si="17"/>
        <v>1116.9000000000001</v>
      </c>
      <c r="H104">
        <f t="shared" si="22"/>
        <v>77.5</v>
      </c>
      <c r="J104">
        <v>0</v>
      </c>
      <c r="K104">
        <f t="shared" si="13"/>
        <v>254.60000000000002</v>
      </c>
      <c r="L104">
        <v>0.7</v>
      </c>
      <c r="M104">
        <f t="shared" si="14"/>
        <v>132.49999999999997</v>
      </c>
      <c r="N104" s="9">
        <f t="shared" si="11"/>
        <v>-0.7</v>
      </c>
      <c r="O104" s="19">
        <f t="shared" si="20"/>
        <v>113.2</v>
      </c>
      <c r="P104" s="14">
        <v>99</v>
      </c>
      <c r="Q104" s="15">
        <v>1</v>
      </c>
      <c r="R104" s="16">
        <f t="shared" si="18"/>
        <v>0.7</v>
      </c>
      <c r="S104" s="16">
        <f t="shared" si="15"/>
        <v>-0.7</v>
      </c>
      <c r="T104" s="20">
        <f t="shared" si="19"/>
        <v>113.2</v>
      </c>
      <c r="V104" s="21">
        <v>682.8</v>
      </c>
      <c r="W104">
        <f t="shared" si="12"/>
        <v>620.72727272727263</v>
      </c>
      <c r="X104">
        <f t="shared" si="16"/>
        <v>69712.400000000009</v>
      </c>
      <c r="Y104">
        <f t="shared" si="23"/>
        <v>10518.799999999997</v>
      </c>
      <c r="AA104" s="36">
        <v>8.6272925225698796</v>
      </c>
    </row>
    <row r="105" spans="1:27" x14ac:dyDescent="0.25">
      <c r="A105" s="118"/>
      <c r="B105" s="35"/>
      <c r="C105" s="13">
        <v>41619</v>
      </c>
      <c r="D105" s="25">
        <v>0.1</v>
      </c>
      <c r="E105" s="24">
        <v>-3.3</v>
      </c>
      <c r="F105" s="25">
        <v>3.9</v>
      </c>
      <c r="G105">
        <f t="shared" si="17"/>
        <v>1117</v>
      </c>
      <c r="H105">
        <f t="shared" si="22"/>
        <v>77.599999999999994</v>
      </c>
      <c r="J105">
        <v>0</v>
      </c>
      <c r="K105">
        <f t="shared" si="13"/>
        <v>254.60000000000002</v>
      </c>
      <c r="L105">
        <v>0.6</v>
      </c>
      <c r="M105">
        <f t="shared" si="14"/>
        <v>133.09999999999997</v>
      </c>
      <c r="N105" s="9">
        <f t="shared" si="11"/>
        <v>-0.6</v>
      </c>
      <c r="O105" s="19">
        <f t="shared" si="20"/>
        <v>112.60000000000001</v>
      </c>
      <c r="P105" s="14">
        <v>100</v>
      </c>
      <c r="Q105" s="15">
        <v>1</v>
      </c>
      <c r="R105" s="16">
        <f t="shared" si="18"/>
        <v>0.6</v>
      </c>
      <c r="S105" s="16">
        <f t="shared" si="15"/>
        <v>-0.6</v>
      </c>
      <c r="T105" s="20">
        <f t="shared" si="19"/>
        <v>112.60000000000001</v>
      </c>
      <c r="V105" s="21">
        <v>684</v>
      </c>
      <c r="W105">
        <f t="shared" si="12"/>
        <v>6840</v>
      </c>
      <c r="X105">
        <f t="shared" si="16"/>
        <v>70396.400000000009</v>
      </c>
      <c r="Y105">
        <f t="shared" si="23"/>
        <v>11202.799999999997</v>
      </c>
      <c r="AA105" s="36">
        <v>8.6101997511717201</v>
      </c>
    </row>
    <row r="106" spans="1:27" x14ac:dyDescent="0.25">
      <c r="A106" s="118"/>
      <c r="B106" s="35"/>
      <c r="C106" s="13">
        <v>41620</v>
      </c>
      <c r="D106" s="25">
        <v>0.1</v>
      </c>
      <c r="E106" s="24">
        <v>-3.5</v>
      </c>
      <c r="F106" s="25">
        <v>4.5999999999999996</v>
      </c>
      <c r="G106">
        <f t="shared" si="17"/>
        <v>1117.0999999999999</v>
      </c>
      <c r="H106">
        <f t="shared" si="22"/>
        <v>77.699999999999989</v>
      </c>
      <c r="J106">
        <v>0</v>
      </c>
      <c r="K106">
        <f t="shared" si="13"/>
        <v>254.60000000000002</v>
      </c>
      <c r="L106">
        <v>0.5</v>
      </c>
      <c r="M106">
        <f t="shared" si="14"/>
        <v>133.59999999999997</v>
      </c>
      <c r="N106" s="9">
        <f t="shared" si="11"/>
        <v>-0.5</v>
      </c>
      <c r="O106" s="19">
        <f t="shared" si="20"/>
        <v>112.10000000000001</v>
      </c>
      <c r="P106" s="14">
        <v>101</v>
      </c>
      <c r="Q106" s="15">
        <v>1</v>
      </c>
      <c r="R106" s="16">
        <f t="shared" si="18"/>
        <v>0.5</v>
      </c>
      <c r="S106" s="16">
        <f t="shared" si="15"/>
        <v>-0.5</v>
      </c>
      <c r="T106" s="20">
        <f t="shared" si="19"/>
        <v>112.10000000000001</v>
      </c>
      <c r="V106" s="21">
        <v>548.79999999999995</v>
      </c>
      <c r="W106">
        <f t="shared" si="12"/>
        <v>5487.9999999999991</v>
      </c>
      <c r="X106">
        <f t="shared" si="16"/>
        <v>70945.200000000012</v>
      </c>
      <c r="Y106">
        <f t="shared" si="23"/>
        <v>11751.599999999997</v>
      </c>
      <c r="AA106" s="36">
        <v>8.5944624684455402</v>
      </c>
    </row>
    <row r="107" spans="1:27" x14ac:dyDescent="0.25">
      <c r="A107" s="118"/>
      <c r="B107" s="35"/>
      <c r="C107" s="13">
        <v>41621</v>
      </c>
      <c r="D107" s="25">
        <v>2.9</v>
      </c>
      <c r="E107" s="24">
        <v>-3.4</v>
      </c>
      <c r="F107">
        <v>7.4</v>
      </c>
      <c r="G107">
        <f t="shared" si="17"/>
        <v>1120</v>
      </c>
      <c r="H107">
        <f t="shared" si="22"/>
        <v>80.599999999999994</v>
      </c>
      <c r="J107">
        <v>4.2</v>
      </c>
      <c r="K107">
        <f t="shared" si="13"/>
        <v>258.8</v>
      </c>
      <c r="L107">
        <v>0.5</v>
      </c>
      <c r="M107">
        <f t="shared" si="14"/>
        <v>134.09999999999997</v>
      </c>
      <c r="N107">
        <f t="shared" si="11"/>
        <v>3.7</v>
      </c>
      <c r="O107" s="19">
        <f t="shared" si="20"/>
        <v>115.80000000000001</v>
      </c>
      <c r="P107" s="14">
        <v>102</v>
      </c>
      <c r="Q107" s="15">
        <v>1</v>
      </c>
      <c r="R107" s="16">
        <f t="shared" si="18"/>
        <v>0.5</v>
      </c>
      <c r="S107" s="16">
        <f t="shared" si="15"/>
        <v>3.7</v>
      </c>
      <c r="T107" s="20">
        <f t="shared" si="19"/>
        <v>115.80000000000001</v>
      </c>
      <c r="V107" s="21">
        <v>573.79999999999995</v>
      </c>
      <c r="W107">
        <f t="shared" si="12"/>
        <v>197.86206896551724</v>
      </c>
      <c r="X107">
        <f t="shared" si="16"/>
        <v>71519.000000000015</v>
      </c>
      <c r="Y107">
        <f t="shared" si="23"/>
        <v>12325.399999999996</v>
      </c>
      <c r="AA107" s="36">
        <v>8.5800983698870308</v>
      </c>
    </row>
    <row r="108" spans="1:27" x14ac:dyDescent="0.25">
      <c r="A108" s="118"/>
      <c r="B108" s="35"/>
      <c r="C108" s="13">
        <v>41622</v>
      </c>
      <c r="D108" s="25">
        <v>4.8</v>
      </c>
      <c r="E108" s="25">
        <v>3.2</v>
      </c>
      <c r="F108">
        <v>6.5</v>
      </c>
      <c r="G108">
        <f t="shared" si="17"/>
        <v>1124.8</v>
      </c>
      <c r="H108">
        <f t="shared" si="22"/>
        <v>85.399999999999991</v>
      </c>
      <c r="J108">
        <v>0</v>
      </c>
      <c r="K108">
        <f t="shared" si="13"/>
        <v>258.8</v>
      </c>
      <c r="L108">
        <v>0.2</v>
      </c>
      <c r="M108">
        <f t="shared" si="14"/>
        <v>134.29999999999995</v>
      </c>
      <c r="N108" s="9">
        <f t="shared" si="11"/>
        <v>-0.2</v>
      </c>
      <c r="O108" s="19">
        <f t="shared" si="20"/>
        <v>115.60000000000001</v>
      </c>
      <c r="P108" s="14">
        <v>103</v>
      </c>
      <c r="Q108" s="15">
        <v>1</v>
      </c>
      <c r="R108" s="16">
        <f t="shared" si="18"/>
        <v>0.2</v>
      </c>
      <c r="S108" s="16">
        <f t="shared" si="15"/>
        <v>-0.2</v>
      </c>
      <c r="T108" s="20">
        <f t="shared" si="19"/>
        <v>115.60000000000001</v>
      </c>
      <c r="V108" s="21">
        <v>212.3</v>
      </c>
      <c r="W108">
        <f t="shared" si="12"/>
        <v>44.229166666666671</v>
      </c>
      <c r="X108">
        <f t="shared" si="16"/>
        <v>71731.300000000017</v>
      </c>
      <c r="Y108">
        <f t="shared" si="23"/>
        <v>12537.699999999995</v>
      </c>
      <c r="AA108" s="36">
        <v>8.5671238291655598</v>
      </c>
    </row>
    <row r="109" spans="1:27" x14ac:dyDescent="0.25">
      <c r="A109" s="118"/>
      <c r="B109" s="35"/>
      <c r="C109" s="13">
        <v>41623</v>
      </c>
      <c r="D109" s="25">
        <v>2.9</v>
      </c>
      <c r="E109" s="24">
        <v>-0.3</v>
      </c>
      <c r="F109">
        <v>8.3000000000000007</v>
      </c>
      <c r="G109">
        <f t="shared" si="17"/>
        <v>1127.7</v>
      </c>
      <c r="H109">
        <f t="shared" si="22"/>
        <v>88.3</v>
      </c>
      <c r="J109">
        <v>0.1</v>
      </c>
      <c r="K109">
        <f t="shared" si="13"/>
        <v>258.90000000000003</v>
      </c>
      <c r="L109">
        <v>0.7</v>
      </c>
      <c r="M109">
        <f t="shared" si="14"/>
        <v>134.99999999999994</v>
      </c>
      <c r="N109" s="9">
        <f t="shared" si="11"/>
        <v>-0.6</v>
      </c>
      <c r="O109" s="19">
        <f t="shared" si="20"/>
        <v>115.00000000000001</v>
      </c>
      <c r="P109" s="14">
        <v>104</v>
      </c>
      <c r="Q109" s="15">
        <v>1</v>
      </c>
      <c r="R109" s="16">
        <f t="shared" si="18"/>
        <v>0.7</v>
      </c>
      <c r="S109" s="16">
        <f t="shared" si="15"/>
        <v>-0.6</v>
      </c>
      <c r="T109" s="20">
        <f t="shared" si="19"/>
        <v>115.00000000000001</v>
      </c>
      <c r="V109" s="21">
        <v>594</v>
      </c>
      <c r="W109">
        <f t="shared" si="12"/>
        <v>204.82758620689657</v>
      </c>
      <c r="X109">
        <f t="shared" si="16"/>
        <v>72325.300000000017</v>
      </c>
      <c r="Y109">
        <f t="shared" si="23"/>
        <v>13131.699999999995</v>
      </c>
      <c r="AA109" s="36">
        <v>8.5555538340193706</v>
      </c>
    </row>
    <row r="110" spans="1:27" x14ac:dyDescent="0.25">
      <c r="A110" s="118"/>
      <c r="B110" s="35"/>
      <c r="C110" s="13">
        <v>41624</v>
      </c>
      <c r="D110" s="25">
        <v>4.0999999999999996</v>
      </c>
      <c r="E110" s="24">
        <v>-0.4</v>
      </c>
      <c r="F110">
        <v>12</v>
      </c>
      <c r="G110">
        <f t="shared" si="17"/>
        <v>1131.8</v>
      </c>
      <c r="H110">
        <f t="shared" si="22"/>
        <v>92.399999999999991</v>
      </c>
      <c r="J110">
        <v>0</v>
      </c>
      <c r="K110">
        <f t="shared" si="13"/>
        <v>258.90000000000003</v>
      </c>
      <c r="L110">
        <v>0.8</v>
      </c>
      <c r="M110">
        <f t="shared" si="14"/>
        <v>135.79999999999995</v>
      </c>
      <c r="N110" s="9">
        <f t="shared" si="11"/>
        <v>-0.8</v>
      </c>
      <c r="O110" s="19">
        <f t="shared" si="20"/>
        <v>114.20000000000002</v>
      </c>
      <c r="P110" s="14">
        <v>105</v>
      </c>
      <c r="Q110" s="15">
        <v>1</v>
      </c>
      <c r="R110" s="16">
        <f t="shared" si="18"/>
        <v>0.8</v>
      </c>
      <c r="S110" s="16">
        <f t="shared" si="15"/>
        <v>-0.8</v>
      </c>
      <c r="T110" s="20">
        <f t="shared" si="19"/>
        <v>114.20000000000002</v>
      </c>
      <c r="V110" s="21">
        <v>596.20000000000005</v>
      </c>
      <c r="W110">
        <f t="shared" si="12"/>
        <v>145.41463414634148</v>
      </c>
      <c r="X110">
        <f t="shared" si="16"/>
        <v>72921.500000000015</v>
      </c>
      <c r="Y110">
        <f t="shared" si="23"/>
        <v>13727.899999999996</v>
      </c>
      <c r="AA110" s="36">
        <v>8.5454019266794496</v>
      </c>
    </row>
    <row r="111" spans="1:27" x14ac:dyDescent="0.25">
      <c r="A111" s="118"/>
      <c r="B111" s="35"/>
      <c r="C111" s="13">
        <v>41625</v>
      </c>
      <c r="D111" s="25">
        <v>6</v>
      </c>
      <c r="E111" s="24">
        <v>-1</v>
      </c>
      <c r="F111">
        <v>13.2</v>
      </c>
      <c r="G111">
        <f t="shared" si="17"/>
        <v>1137.8</v>
      </c>
      <c r="H111">
        <f t="shared" si="22"/>
        <v>98.399999999999991</v>
      </c>
      <c r="J111">
        <v>0.2</v>
      </c>
      <c r="K111">
        <f t="shared" si="13"/>
        <v>259.10000000000002</v>
      </c>
      <c r="L111">
        <v>0.7</v>
      </c>
      <c r="M111">
        <f t="shared" si="14"/>
        <v>136.49999999999994</v>
      </c>
      <c r="N111" s="9">
        <f t="shared" si="11"/>
        <v>-0.49999999999999994</v>
      </c>
      <c r="O111" s="19">
        <f t="shared" si="20"/>
        <v>113.70000000000002</v>
      </c>
      <c r="P111" s="14">
        <v>106</v>
      </c>
      <c r="Q111" s="15">
        <v>1</v>
      </c>
      <c r="R111" s="16">
        <f t="shared" si="18"/>
        <v>0.7</v>
      </c>
      <c r="S111" s="16">
        <f t="shared" si="15"/>
        <v>-0.49999999999999994</v>
      </c>
      <c r="T111" s="20">
        <f t="shared" si="19"/>
        <v>113.70000000000002</v>
      </c>
      <c r="V111" s="21">
        <v>540.6</v>
      </c>
      <c r="W111">
        <f t="shared" si="12"/>
        <v>90.100000000000009</v>
      </c>
      <c r="X111">
        <f t="shared" si="16"/>
        <v>73462.10000000002</v>
      </c>
      <c r="Y111">
        <f t="shared" si="23"/>
        <v>14268.499999999996</v>
      </c>
      <c r="AA111" s="36">
        <v>8.5366801493000803</v>
      </c>
    </row>
    <row r="112" spans="1:27" x14ac:dyDescent="0.25">
      <c r="A112" s="118"/>
      <c r="B112" s="12"/>
      <c r="C112" s="13">
        <v>41626</v>
      </c>
      <c r="D112">
        <v>8.8000000000000007</v>
      </c>
      <c r="E112">
        <v>6.3</v>
      </c>
      <c r="F112">
        <v>11.5</v>
      </c>
      <c r="G112">
        <f t="shared" si="17"/>
        <v>1146.5999999999999</v>
      </c>
      <c r="H112">
        <f t="shared" si="22"/>
        <v>107.19999999999999</v>
      </c>
      <c r="J112">
        <v>1.7</v>
      </c>
      <c r="K112">
        <f t="shared" si="13"/>
        <v>260.8</v>
      </c>
      <c r="L112">
        <v>1</v>
      </c>
      <c r="M112">
        <f t="shared" si="14"/>
        <v>137.49999999999994</v>
      </c>
      <c r="N112">
        <f t="shared" si="11"/>
        <v>0.7</v>
      </c>
      <c r="O112" s="19">
        <f t="shared" si="20"/>
        <v>114.40000000000002</v>
      </c>
      <c r="P112" s="14">
        <v>107</v>
      </c>
      <c r="Q112" s="15">
        <v>1</v>
      </c>
      <c r="R112" s="16">
        <f t="shared" si="18"/>
        <v>1</v>
      </c>
      <c r="S112" s="16">
        <f t="shared" si="15"/>
        <v>0.7</v>
      </c>
      <c r="T112" s="20">
        <f t="shared" si="19"/>
        <v>114.40000000000002</v>
      </c>
      <c r="V112" s="21">
        <v>354.7</v>
      </c>
      <c r="W112">
        <f t="shared" si="12"/>
        <v>40.30681818181818</v>
      </c>
      <c r="X112">
        <f t="shared" si="16"/>
        <v>73816.800000000017</v>
      </c>
      <c r="Y112">
        <f t="shared" si="23"/>
        <v>14623.199999999997</v>
      </c>
      <c r="AA112" s="36">
        <v>8.5293989948420403</v>
      </c>
    </row>
    <row r="113" spans="1:27" x14ac:dyDescent="0.25">
      <c r="A113" s="118"/>
      <c r="B113" s="35"/>
      <c r="C113" s="13">
        <v>41627</v>
      </c>
      <c r="D113">
        <v>7.3</v>
      </c>
      <c r="E113" s="25">
        <v>3.6</v>
      </c>
      <c r="F113">
        <v>9.8000000000000007</v>
      </c>
      <c r="G113">
        <f t="shared" si="17"/>
        <v>1153.8999999999999</v>
      </c>
      <c r="H113">
        <f t="shared" si="22"/>
        <v>114.49999999999999</v>
      </c>
      <c r="J113">
        <v>0.3</v>
      </c>
      <c r="K113">
        <f t="shared" si="13"/>
        <v>261.10000000000002</v>
      </c>
      <c r="L113">
        <v>0.5</v>
      </c>
      <c r="M113">
        <f t="shared" si="14"/>
        <v>137.99999999999994</v>
      </c>
      <c r="N113" s="9">
        <f t="shared" si="11"/>
        <v>-0.2</v>
      </c>
      <c r="O113" s="19">
        <f t="shared" si="20"/>
        <v>114.20000000000002</v>
      </c>
      <c r="P113" s="14">
        <v>108</v>
      </c>
      <c r="Q113" s="15">
        <v>1</v>
      </c>
      <c r="R113" s="16">
        <f t="shared" si="18"/>
        <v>0.5</v>
      </c>
      <c r="S113" s="16">
        <f t="shared" si="15"/>
        <v>-0.2</v>
      </c>
      <c r="T113" s="20">
        <f t="shared" si="19"/>
        <v>114.20000000000002</v>
      </c>
      <c r="V113" s="21">
        <v>424.2</v>
      </c>
      <c r="W113">
        <f t="shared" si="12"/>
        <v>58.109589041095887</v>
      </c>
      <c r="X113">
        <f t="shared" si="16"/>
        <v>74241.000000000015</v>
      </c>
      <c r="Y113">
        <f t="shared" si="23"/>
        <v>15047.399999999998</v>
      </c>
      <c r="AA113" s="36">
        <v>8.5235673638171896</v>
      </c>
    </row>
    <row r="114" spans="1:27" x14ac:dyDescent="0.25">
      <c r="A114" s="118"/>
      <c r="B114" s="35"/>
      <c r="C114" s="13">
        <v>41628</v>
      </c>
      <c r="D114" s="25">
        <v>3.5</v>
      </c>
      <c r="E114" s="25">
        <v>2</v>
      </c>
      <c r="F114">
        <v>7</v>
      </c>
      <c r="G114">
        <f t="shared" si="17"/>
        <v>1157.3999999999999</v>
      </c>
      <c r="H114">
        <f t="shared" si="22"/>
        <v>117.99999999999999</v>
      </c>
      <c r="J114">
        <v>0</v>
      </c>
      <c r="K114">
        <f t="shared" si="13"/>
        <v>261.10000000000002</v>
      </c>
      <c r="L114">
        <v>0.6</v>
      </c>
      <c r="M114">
        <f t="shared" si="14"/>
        <v>138.59999999999994</v>
      </c>
      <c r="N114" s="9">
        <f t="shared" si="11"/>
        <v>-0.6</v>
      </c>
      <c r="O114" s="19">
        <f t="shared" si="20"/>
        <v>113.60000000000002</v>
      </c>
      <c r="P114" s="14">
        <v>109</v>
      </c>
      <c r="Q114" s="15">
        <v>1</v>
      </c>
      <c r="R114" s="16">
        <f t="shared" si="18"/>
        <v>0.6</v>
      </c>
      <c r="S114" s="16">
        <f t="shared" si="15"/>
        <v>-0.6</v>
      </c>
      <c r="T114" s="20">
        <f t="shared" si="19"/>
        <v>113.60000000000002</v>
      </c>
      <c r="V114" s="21">
        <v>590.4</v>
      </c>
      <c r="W114">
        <f t="shared" si="12"/>
        <v>168.68571428571428</v>
      </c>
      <c r="X114">
        <f t="shared" si="16"/>
        <v>74831.400000000009</v>
      </c>
      <c r="Y114">
        <f t="shared" si="23"/>
        <v>15637.799999999997</v>
      </c>
      <c r="AA114" s="36">
        <v>8.5191925272595306</v>
      </c>
    </row>
    <row r="115" spans="1:27" x14ac:dyDescent="0.25">
      <c r="A115" s="118"/>
      <c r="B115" s="35"/>
      <c r="C115" s="13">
        <v>41629</v>
      </c>
      <c r="D115" s="25">
        <v>3</v>
      </c>
      <c r="E115" s="24">
        <v>-0.4</v>
      </c>
      <c r="F115">
        <v>7.3</v>
      </c>
      <c r="G115">
        <f t="shared" si="17"/>
        <v>1160.3999999999999</v>
      </c>
      <c r="H115">
        <f t="shared" si="22"/>
        <v>120.99999999999999</v>
      </c>
      <c r="J115">
        <v>1.1000000000000001</v>
      </c>
      <c r="K115">
        <f t="shared" si="13"/>
        <v>262.20000000000005</v>
      </c>
      <c r="L115">
        <v>0.6</v>
      </c>
      <c r="M115">
        <f t="shared" si="14"/>
        <v>139.19999999999993</v>
      </c>
      <c r="N115">
        <f t="shared" si="11"/>
        <v>0.50000000000000011</v>
      </c>
      <c r="O115" s="19">
        <f t="shared" si="20"/>
        <v>114.10000000000002</v>
      </c>
      <c r="P115" s="14">
        <v>110</v>
      </c>
      <c r="Q115" s="15">
        <v>1</v>
      </c>
      <c r="R115" s="16">
        <f t="shared" si="18"/>
        <v>0.6</v>
      </c>
      <c r="S115" s="16">
        <f t="shared" si="15"/>
        <v>0.50000000000000011</v>
      </c>
      <c r="T115" s="20">
        <f t="shared" si="19"/>
        <v>114.10000000000002</v>
      </c>
      <c r="V115" s="21">
        <v>312.5</v>
      </c>
      <c r="W115">
        <f t="shared" si="12"/>
        <v>104.16666666666667</v>
      </c>
      <c r="X115">
        <f t="shared" si="16"/>
        <v>75143.900000000009</v>
      </c>
      <c r="Y115">
        <f t="shared" si="23"/>
        <v>15950.299999999997</v>
      </c>
      <c r="AA115" s="36">
        <v>8.5162800962391305</v>
      </c>
    </row>
    <row r="116" spans="1:27" x14ac:dyDescent="0.25">
      <c r="A116" s="118"/>
      <c r="B116" s="35"/>
      <c r="C116" s="13">
        <v>41630</v>
      </c>
      <c r="D116">
        <v>8.6999999999999993</v>
      </c>
      <c r="E116" s="25">
        <v>3.6</v>
      </c>
      <c r="F116">
        <v>10.3</v>
      </c>
      <c r="G116">
        <f t="shared" si="17"/>
        <v>1169.0999999999999</v>
      </c>
      <c r="H116">
        <f t="shared" si="22"/>
        <v>129.69999999999999</v>
      </c>
      <c r="J116">
        <v>1.1000000000000001</v>
      </c>
      <c r="K116">
        <f t="shared" si="13"/>
        <v>263.30000000000007</v>
      </c>
      <c r="L116">
        <v>0.2</v>
      </c>
      <c r="M116">
        <f t="shared" si="14"/>
        <v>139.39999999999992</v>
      </c>
      <c r="N116">
        <f t="shared" si="11"/>
        <v>0.90000000000000013</v>
      </c>
      <c r="O116" s="19">
        <f t="shared" si="20"/>
        <v>115.00000000000003</v>
      </c>
      <c r="P116" s="14">
        <v>111</v>
      </c>
      <c r="Q116" s="15">
        <v>1</v>
      </c>
      <c r="R116" s="16">
        <f t="shared" si="18"/>
        <v>0.2</v>
      </c>
      <c r="S116" s="16">
        <f t="shared" si="15"/>
        <v>0.90000000000000013</v>
      </c>
      <c r="T116" s="20">
        <f t="shared" si="19"/>
        <v>115.00000000000003</v>
      </c>
      <c r="V116" s="21">
        <v>254</v>
      </c>
      <c r="W116">
        <f t="shared" si="12"/>
        <v>29.195402298850578</v>
      </c>
      <c r="X116">
        <f t="shared" si="16"/>
        <v>75397.900000000009</v>
      </c>
      <c r="Y116">
        <f t="shared" si="23"/>
        <v>16204.299999999997</v>
      </c>
      <c r="AA116" s="36">
        <v>8.5148339981825707</v>
      </c>
    </row>
    <row r="117" spans="1:27" x14ac:dyDescent="0.25">
      <c r="A117" s="118"/>
      <c r="B117" s="12"/>
      <c r="C117" s="13">
        <v>41631</v>
      </c>
      <c r="D117">
        <v>10.4</v>
      </c>
      <c r="E117">
        <v>8.6999999999999993</v>
      </c>
      <c r="F117">
        <v>12.9</v>
      </c>
      <c r="G117">
        <f t="shared" si="17"/>
        <v>1179.5</v>
      </c>
      <c r="H117">
        <f t="shared" si="22"/>
        <v>140.1</v>
      </c>
      <c r="J117">
        <v>1.2</v>
      </c>
      <c r="K117">
        <f t="shared" si="13"/>
        <v>264.50000000000006</v>
      </c>
      <c r="L117">
        <v>1.6</v>
      </c>
      <c r="M117">
        <f t="shared" si="14"/>
        <v>140.99999999999991</v>
      </c>
      <c r="N117" s="9">
        <f t="shared" si="11"/>
        <v>-0.40000000000000013</v>
      </c>
      <c r="O117" s="19">
        <f t="shared" si="20"/>
        <v>114.60000000000002</v>
      </c>
      <c r="P117" s="14">
        <v>112</v>
      </c>
      <c r="Q117" s="15">
        <v>1</v>
      </c>
      <c r="R117" s="16">
        <f t="shared" si="18"/>
        <v>1.6</v>
      </c>
      <c r="S117" s="16">
        <f t="shared" si="15"/>
        <v>-0.40000000000000013</v>
      </c>
      <c r="T117" s="20">
        <f t="shared" si="19"/>
        <v>114.60000000000002</v>
      </c>
      <c r="V117" s="21">
        <v>520.5</v>
      </c>
      <c r="W117">
        <f t="shared" si="12"/>
        <v>50.04807692307692</v>
      </c>
      <c r="X117">
        <f t="shared" si="16"/>
        <v>75918.400000000009</v>
      </c>
      <c r="Y117">
        <f t="shared" si="23"/>
        <v>16724.799999999996</v>
      </c>
      <c r="AA117" s="36">
        <v>8.5148564602056798</v>
      </c>
    </row>
    <row r="118" spans="1:27" x14ac:dyDescent="0.25">
      <c r="A118" s="118"/>
      <c r="B118" s="12"/>
      <c r="C118" s="13">
        <v>41632</v>
      </c>
      <c r="D118">
        <v>10.9</v>
      </c>
      <c r="E118">
        <v>10.3</v>
      </c>
      <c r="F118">
        <v>12.1</v>
      </c>
      <c r="G118">
        <f t="shared" si="17"/>
        <v>1190.4000000000001</v>
      </c>
      <c r="H118">
        <f t="shared" si="22"/>
        <v>151</v>
      </c>
      <c r="J118">
        <v>14.4</v>
      </c>
      <c r="K118">
        <f t="shared" si="13"/>
        <v>278.90000000000003</v>
      </c>
      <c r="L118">
        <v>1.5</v>
      </c>
      <c r="M118">
        <f t="shared" si="14"/>
        <v>142.49999999999991</v>
      </c>
      <c r="N118">
        <f t="shared" si="11"/>
        <v>12.9</v>
      </c>
      <c r="O118" s="19">
        <v>122.1</v>
      </c>
      <c r="P118" s="14">
        <v>113</v>
      </c>
      <c r="Q118" s="15">
        <v>1</v>
      </c>
      <c r="R118" s="16">
        <f t="shared" si="18"/>
        <v>1.5</v>
      </c>
      <c r="S118" s="16">
        <f t="shared" si="15"/>
        <v>12.9</v>
      </c>
      <c r="T118" s="20">
        <f t="shared" si="19"/>
        <v>122.1</v>
      </c>
      <c r="V118" s="21">
        <v>105.6</v>
      </c>
      <c r="W118">
        <f t="shared" si="12"/>
        <v>9.6880733944954116</v>
      </c>
      <c r="X118">
        <f t="shared" si="16"/>
        <v>76024.000000000015</v>
      </c>
      <c r="Y118">
        <f t="shared" si="23"/>
        <v>16830.399999999994</v>
      </c>
      <c r="AA118" s="36">
        <v>8.5163479996050704</v>
      </c>
    </row>
    <row r="119" spans="1:27" x14ac:dyDescent="0.25">
      <c r="A119" s="118"/>
      <c r="B119" s="12"/>
      <c r="C119" s="13">
        <v>41633</v>
      </c>
      <c r="D119">
        <v>7.2</v>
      </c>
      <c r="E119">
        <v>6</v>
      </c>
      <c r="F119">
        <v>9.6999999999999993</v>
      </c>
      <c r="G119">
        <f t="shared" si="17"/>
        <v>1197.6000000000001</v>
      </c>
      <c r="H119">
        <f t="shared" si="22"/>
        <v>158.19999999999999</v>
      </c>
      <c r="J119">
        <v>5</v>
      </c>
      <c r="K119">
        <f t="shared" si="13"/>
        <v>283.90000000000003</v>
      </c>
      <c r="L119">
        <v>0.8</v>
      </c>
      <c r="M119">
        <f t="shared" si="14"/>
        <v>143.29999999999993</v>
      </c>
      <c r="N119">
        <f t="shared" si="11"/>
        <v>4.2</v>
      </c>
      <c r="O119" s="19">
        <v>122.1</v>
      </c>
      <c r="P119" s="14">
        <v>114</v>
      </c>
      <c r="Q119" s="15">
        <v>1</v>
      </c>
      <c r="R119" s="16">
        <f t="shared" si="18"/>
        <v>0.8</v>
      </c>
      <c r="S119" s="16">
        <f t="shared" si="15"/>
        <v>4.2</v>
      </c>
      <c r="T119" s="20">
        <f t="shared" si="19"/>
        <v>122.1</v>
      </c>
      <c r="V119" s="21">
        <v>273</v>
      </c>
      <c r="W119">
        <f t="shared" si="12"/>
        <v>37.916666666666664</v>
      </c>
      <c r="X119">
        <f t="shared" si="16"/>
        <v>76297.000000000015</v>
      </c>
      <c r="Y119">
        <f t="shared" si="23"/>
        <v>17103.399999999994</v>
      </c>
      <c r="AA119" s="36">
        <v>8.5193074215917797</v>
      </c>
    </row>
    <row r="120" spans="1:27" x14ac:dyDescent="0.25">
      <c r="A120" s="118"/>
      <c r="B120" s="35"/>
      <c r="C120" s="13">
        <v>41634</v>
      </c>
      <c r="D120" s="25">
        <v>4.8</v>
      </c>
      <c r="E120" s="25">
        <v>3.1</v>
      </c>
      <c r="F120">
        <v>7.7</v>
      </c>
      <c r="G120">
        <f t="shared" si="17"/>
        <v>1202.4000000000001</v>
      </c>
      <c r="H120">
        <f t="shared" si="22"/>
        <v>163</v>
      </c>
      <c r="J120">
        <v>0.4</v>
      </c>
      <c r="K120">
        <f t="shared" si="13"/>
        <v>284.3</v>
      </c>
      <c r="L120">
        <v>0.6</v>
      </c>
      <c r="M120">
        <f t="shared" si="14"/>
        <v>143.89999999999992</v>
      </c>
      <c r="N120" s="9">
        <f t="shared" si="11"/>
        <v>-0.19999999999999996</v>
      </c>
      <c r="O120" s="19">
        <f t="shared" si="20"/>
        <v>121.89999999999999</v>
      </c>
      <c r="P120" s="14">
        <v>115</v>
      </c>
      <c r="Q120" s="15">
        <v>1</v>
      </c>
      <c r="R120" s="16">
        <f t="shared" si="18"/>
        <v>0.6</v>
      </c>
      <c r="S120" s="16">
        <f t="shared" si="15"/>
        <v>-0.19999999999999996</v>
      </c>
      <c r="T120" s="20">
        <f t="shared" si="19"/>
        <v>121.89999999999999</v>
      </c>
      <c r="V120" s="21">
        <v>395.8</v>
      </c>
      <c r="W120">
        <f t="shared" si="12"/>
        <v>82.458333333333343</v>
      </c>
      <c r="X120">
        <f t="shared" si="16"/>
        <v>76692.800000000017</v>
      </c>
      <c r="Y120">
        <f t="shared" si="23"/>
        <v>17499.199999999993</v>
      </c>
      <c r="AA120" s="36">
        <v>8.5237318242874203</v>
      </c>
    </row>
    <row r="121" spans="1:27" x14ac:dyDescent="0.25">
      <c r="A121" s="118"/>
      <c r="B121" s="35"/>
      <c r="C121" s="13">
        <v>41635</v>
      </c>
      <c r="D121">
        <v>9.8000000000000007</v>
      </c>
      <c r="E121" s="25">
        <v>3.2</v>
      </c>
      <c r="F121">
        <v>11.7</v>
      </c>
      <c r="G121">
        <f t="shared" si="17"/>
        <v>1212.2</v>
      </c>
      <c r="H121">
        <f t="shared" si="22"/>
        <v>172.8</v>
      </c>
      <c r="J121">
        <v>4.8</v>
      </c>
      <c r="K121">
        <f t="shared" si="13"/>
        <v>289.10000000000002</v>
      </c>
      <c r="L121">
        <v>0.2</v>
      </c>
      <c r="M121">
        <f t="shared" si="14"/>
        <v>144.09999999999991</v>
      </c>
      <c r="N121">
        <f t="shared" si="11"/>
        <v>4.5999999999999996</v>
      </c>
      <c r="O121" s="19">
        <v>122.1</v>
      </c>
      <c r="P121" s="14">
        <v>116</v>
      </c>
      <c r="Q121" s="15">
        <v>1</v>
      </c>
      <c r="R121" s="16">
        <f t="shared" si="18"/>
        <v>0.2</v>
      </c>
      <c r="S121" s="16">
        <f t="shared" si="15"/>
        <v>4.5999999999999996</v>
      </c>
      <c r="T121" s="20">
        <f t="shared" si="19"/>
        <v>122.1</v>
      </c>
      <c r="V121" s="21">
        <v>234.8</v>
      </c>
      <c r="W121">
        <f t="shared" si="12"/>
        <v>23.959183673469386</v>
      </c>
      <c r="X121">
        <f t="shared" si="16"/>
        <v>76927.60000000002</v>
      </c>
      <c r="Y121">
        <f t="shared" si="23"/>
        <v>17733.999999999993</v>
      </c>
      <c r="AA121" s="36">
        <v>8.5296166109387599</v>
      </c>
    </row>
    <row r="122" spans="1:27" x14ac:dyDescent="0.25">
      <c r="A122" s="118"/>
      <c r="B122" s="35"/>
      <c r="C122" s="13">
        <v>41636</v>
      </c>
      <c r="D122">
        <v>8</v>
      </c>
      <c r="E122" s="25">
        <v>4.7</v>
      </c>
      <c r="F122">
        <v>10.199999999999999</v>
      </c>
      <c r="G122">
        <f t="shared" si="17"/>
        <v>1220.2</v>
      </c>
      <c r="H122">
        <f t="shared" si="22"/>
        <v>180.8</v>
      </c>
      <c r="J122">
        <v>0.9</v>
      </c>
      <c r="K122">
        <f t="shared" si="13"/>
        <v>290</v>
      </c>
      <c r="L122">
        <v>0.5</v>
      </c>
      <c r="M122">
        <f t="shared" si="14"/>
        <v>144.59999999999991</v>
      </c>
      <c r="N122">
        <f t="shared" si="11"/>
        <v>0.4</v>
      </c>
      <c r="O122" s="19">
        <v>122.1</v>
      </c>
      <c r="P122" s="14">
        <v>117</v>
      </c>
      <c r="Q122" s="15">
        <v>1</v>
      </c>
      <c r="R122" s="16">
        <f t="shared" si="18"/>
        <v>0.5</v>
      </c>
      <c r="S122" s="16">
        <f t="shared" si="15"/>
        <v>0.4</v>
      </c>
      <c r="T122" s="20">
        <f t="shared" si="19"/>
        <v>122.1</v>
      </c>
      <c r="V122" s="21">
        <v>193.2</v>
      </c>
      <c r="W122">
        <f t="shared" si="12"/>
        <v>24.15</v>
      </c>
      <c r="X122">
        <f t="shared" si="16"/>
        <v>77120.800000000017</v>
      </c>
      <c r="Y122">
        <f t="shared" si="23"/>
        <v>17927.199999999993</v>
      </c>
      <c r="AA122" s="36">
        <v>8.5369555092438603</v>
      </c>
    </row>
    <row r="123" spans="1:27" x14ac:dyDescent="0.25">
      <c r="A123" s="118"/>
      <c r="B123" s="35"/>
      <c r="C123" s="13">
        <v>41637</v>
      </c>
      <c r="D123" s="25">
        <v>4.4000000000000004</v>
      </c>
      <c r="E123" s="25">
        <v>3.5</v>
      </c>
      <c r="F123">
        <v>7.1</v>
      </c>
      <c r="G123">
        <f t="shared" si="17"/>
        <v>1224.6000000000001</v>
      </c>
      <c r="H123">
        <f t="shared" si="22"/>
        <v>185.20000000000002</v>
      </c>
      <c r="J123">
        <v>0</v>
      </c>
      <c r="K123">
        <f t="shared" si="13"/>
        <v>290</v>
      </c>
      <c r="L123">
        <v>0.6</v>
      </c>
      <c r="M123">
        <f t="shared" si="14"/>
        <v>145.1999999999999</v>
      </c>
      <c r="N123" s="9">
        <f t="shared" si="11"/>
        <v>-0.6</v>
      </c>
      <c r="O123" s="19">
        <f t="shared" si="20"/>
        <v>121.5</v>
      </c>
      <c r="P123" s="14">
        <v>118</v>
      </c>
      <c r="Q123" s="15">
        <v>1</v>
      </c>
      <c r="R123" s="16">
        <f t="shared" si="18"/>
        <v>0.6</v>
      </c>
      <c r="S123" s="16">
        <f t="shared" si="15"/>
        <v>-0.6</v>
      </c>
      <c r="T123" s="20">
        <f t="shared" si="19"/>
        <v>121.5</v>
      </c>
      <c r="V123" s="21">
        <v>214.9</v>
      </c>
      <c r="W123">
        <f t="shared" si="12"/>
        <v>48.840909090909086</v>
      </c>
      <c r="X123">
        <f t="shared" si="16"/>
        <v>77335.700000000012</v>
      </c>
      <c r="Y123">
        <f t="shared" si="23"/>
        <v>18142.099999999995</v>
      </c>
      <c r="AA123" s="36">
        <v>8.5457405976207603</v>
      </c>
    </row>
    <row r="124" spans="1:27" x14ac:dyDescent="0.25">
      <c r="A124" s="118"/>
      <c r="B124" s="35"/>
      <c r="C124" s="13">
        <v>41638</v>
      </c>
      <c r="D124" s="25">
        <v>4.7</v>
      </c>
      <c r="E124" s="25">
        <v>1.2</v>
      </c>
      <c r="F124">
        <v>7.4</v>
      </c>
      <c r="G124">
        <f t="shared" si="17"/>
        <v>1229.3000000000002</v>
      </c>
      <c r="H124">
        <f t="shared" si="22"/>
        <v>189.9</v>
      </c>
      <c r="J124">
        <v>0.3</v>
      </c>
      <c r="K124">
        <f t="shared" si="13"/>
        <v>290.3</v>
      </c>
      <c r="L124">
        <v>0.4</v>
      </c>
      <c r="M124">
        <f t="shared" si="14"/>
        <v>145.59999999999991</v>
      </c>
      <c r="N124" s="9">
        <f t="shared" si="11"/>
        <v>-0.10000000000000003</v>
      </c>
      <c r="O124" s="19">
        <f t="shared" si="20"/>
        <v>121.4</v>
      </c>
      <c r="P124" s="14">
        <v>119</v>
      </c>
      <c r="Q124" s="15">
        <v>1</v>
      </c>
      <c r="R124" s="16">
        <f t="shared" si="18"/>
        <v>0.4</v>
      </c>
      <c r="S124" s="16">
        <f t="shared" si="15"/>
        <v>-0.10000000000000003</v>
      </c>
      <c r="T124" s="20">
        <f t="shared" si="19"/>
        <v>121.4</v>
      </c>
      <c r="V124" s="21">
        <v>236.8</v>
      </c>
      <c r="W124">
        <f t="shared" si="12"/>
        <v>50.382978723404257</v>
      </c>
      <c r="X124">
        <f t="shared" si="16"/>
        <v>77572.500000000015</v>
      </c>
      <c r="Y124">
        <f t="shared" si="23"/>
        <v>18378.899999999994</v>
      </c>
      <c r="AA124" s="36">
        <v>8.5559623381911791</v>
      </c>
    </row>
    <row r="125" spans="1:27" x14ac:dyDescent="0.25">
      <c r="A125" s="118"/>
      <c r="B125" s="35"/>
      <c r="C125" s="13">
        <v>41639</v>
      </c>
      <c r="D125">
        <v>7.5</v>
      </c>
      <c r="E125" s="25">
        <v>4.0999999999999996</v>
      </c>
      <c r="F125">
        <v>10.7</v>
      </c>
      <c r="G125">
        <f t="shared" si="17"/>
        <v>1236.8000000000002</v>
      </c>
      <c r="H125">
        <f t="shared" si="22"/>
        <v>197.4</v>
      </c>
      <c r="J125">
        <v>2</v>
      </c>
      <c r="K125">
        <f t="shared" si="13"/>
        <v>292.3</v>
      </c>
      <c r="L125">
        <v>1.3</v>
      </c>
      <c r="M125">
        <f t="shared" si="14"/>
        <v>146.89999999999992</v>
      </c>
      <c r="N125">
        <f t="shared" si="11"/>
        <v>0.7</v>
      </c>
      <c r="O125" s="19">
        <f t="shared" si="20"/>
        <v>122.10000000000001</v>
      </c>
      <c r="P125" s="14">
        <v>120</v>
      </c>
      <c r="Q125" s="15">
        <v>1</v>
      </c>
      <c r="R125" s="16">
        <f t="shared" si="18"/>
        <v>1.3</v>
      </c>
      <c r="S125" s="16">
        <f t="shared" si="15"/>
        <v>0.7</v>
      </c>
      <c r="T125" s="20">
        <f t="shared" si="19"/>
        <v>122.1</v>
      </c>
      <c r="V125" s="21">
        <v>316.89999999999998</v>
      </c>
      <c r="W125">
        <f t="shared" si="12"/>
        <v>42.25333333333333</v>
      </c>
      <c r="X125">
        <f t="shared" si="16"/>
        <v>77889.400000000009</v>
      </c>
      <c r="Y125">
        <f t="shared" si="23"/>
        <v>18695.799999999996</v>
      </c>
      <c r="AA125" s="36">
        <v>8.5676096161953694</v>
      </c>
    </row>
    <row r="126" spans="1:27" x14ac:dyDescent="0.25">
      <c r="A126" s="118"/>
      <c r="B126" s="12"/>
      <c r="C126" s="13">
        <v>41640</v>
      </c>
      <c r="D126">
        <v>9.3000000000000007</v>
      </c>
      <c r="E126">
        <v>6.9</v>
      </c>
      <c r="F126">
        <v>11.1</v>
      </c>
      <c r="G126">
        <f t="shared" si="17"/>
        <v>1246.1000000000001</v>
      </c>
      <c r="H126">
        <f t="shared" si="22"/>
        <v>206.70000000000002</v>
      </c>
      <c r="J126">
        <v>9.1</v>
      </c>
      <c r="K126">
        <f t="shared" si="13"/>
        <v>301.40000000000003</v>
      </c>
      <c r="L126">
        <v>0.9</v>
      </c>
      <c r="M126">
        <f t="shared" si="14"/>
        <v>147.79999999999993</v>
      </c>
      <c r="N126">
        <f t="shared" si="11"/>
        <v>8.1999999999999993</v>
      </c>
      <c r="O126" s="19">
        <v>122.1</v>
      </c>
      <c r="P126" s="14">
        <v>121</v>
      </c>
      <c r="Q126" s="15">
        <v>1</v>
      </c>
      <c r="R126" s="16">
        <f t="shared" si="18"/>
        <v>0.9</v>
      </c>
      <c r="S126" s="16">
        <f t="shared" si="15"/>
        <v>8.1999999999999993</v>
      </c>
      <c r="T126" s="20">
        <f t="shared" si="19"/>
        <v>122.1</v>
      </c>
      <c r="V126" s="21">
        <v>247.6</v>
      </c>
      <c r="W126">
        <f t="shared" si="12"/>
        <v>26.623655913978492</v>
      </c>
      <c r="X126">
        <f t="shared" si="16"/>
        <v>78137.000000000015</v>
      </c>
      <c r="Y126">
        <f t="shared" si="23"/>
        <v>18943.399999999994</v>
      </c>
      <c r="AA126" s="36">
        <v>8.5848821427098798</v>
      </c>
    </row>
    <row r="127" spans="1:27" s="103" customFormat="1" ht="15.75" thickBot="1" x14ac:dyDescent="0.3">
      <c r="A127" s="118"/>
      <c r="B127" s="101"/>
      <c r="C127" s="102">
        <v>41641</v>
      </c>
      <c r="D127" s="103">
        <v>9.8000000000000007</v>
      </c>
      <c r="E127" s="103">
        <v>9.4</v>
      </c>
      <c r="F127" s="103">
        <v>11.1</v>
      </c>
      <c r="G127" s="81">
        <f t="shared" si="17"/>
        <v>1255.9000000000001</v>
      </c>
      <c r="H127" s="81">
        <f t="shared" si="22"/>
        <v>216.50000000000003</v>
      </c>
      <c r="J127" s="103">
        <v>1.8</v>
      </c>
      <c r="K127" s="103">
        <f t="shared" si="13"/>
        <v>303.20000000000005</v>
      </c>
      <c r="L127" s="103">
        <v>1</v>
      </c>
      <c r="M127" s="103">
        <f t="shared" si="14"/>
        <v>148.79999999999993</v>
      </c>
      <c r="N127" s="103">
        <f t="shared" si="11"/>
        <v>0.8</v>
      </c>
      <c r="O127" s="84">
        <v>122.1</v>
      </c>
      <c r="P127" s="93">
        <v>122</v>
      </c>
      <c r="Q127" s="104">
        <v>1</v>
      </c>
      <c r="R127" s="86">
        <f t="shared" si="18"/>
        <v>1</v>
      </c>
      <c r="S127" s="95">
        <f t="shared" si="15"/>
        <v>0.8</v>
      </c>
      <c r="T127" s="96">
        <f t="shared" si="19"/>
        <v>122.1</v>
      </c>
      <c r="V127" s="100">
        <v>381.4</v>
      </c>
      <c r="W127" s="103">
        <f t="shared" si="12"/>
        <v>38.918367346938773</v>
      </c>
      <c r="X127" s="103">
        <f t="shared" si="16"/>
        <v>78518.400000000009</v>
      </c>
      <c r="Y127" s="97">
        <f t="shared" si="23"/>
        <v>19324.799999999996</v>
      </c>
      <c r="AA127" s="105">
        <v>8.5997597775296697</v>
      </c>
    </row>
    <row r="128" spans="1:27" ht="15" customHeight="1" x14ac:dyDescent="0.25">
      <c r="A128" s="119" t="s">
        <v>46</v>
      </c>
      <c r="B128" s="39"/>
      <c r="C128" s="13">
        <v>41642</v>
      </c>
      <c r="D128">
        <v>10.3</v>
      </c>
      <c r="E128">
        <v>8.6</v>
      </c>
      <c r="F128">
        <v>13.1</v>
      </c>
      <c r="G128">
        <f t="shared" si="17"/>
        <v>1266.2</v>
      </c>
      <c r="H128">
        <v>10.3</v>
      </c>
      <c r="I128" s="40" t="s">
        <v>28</v>
      </c>
      <c r="J128">
        <v>0.4</v>
      </c>
      <c r="K128">
        <f t="shared" si="13"/>
        <v>303.60000000000002</v>
      </c>
      <c r="L128">
        <v>1.2</v>
      </c>
      <c r="M128">
        <f t="shared" si="14"/>
        <v>149.99999999999991</v>
      </c>
      <c r="N128" s="9">
        <f t="shared" si="11"/>
        <v>-0.79999999999999993</v>
      </c>
      <c r="O128" s="19">
        <f t="shared" si="20"/>
        <v>121.3</v>
      </c>
      <c r="P128" s="14">
        <v>123</v>
      </c>
      <c r="Q128" s="41">
        <f>1+((P128-122)/75)*(1.15-1)</f>
        <v>1.002</v>
      </c>
      <c r="R128" s="16">
        <f t="shared" si="18"/>
        <v>1.2023999999999999</v>
      </c>
      <c r="S128" s="16">
        <f t="shared" si="15"/>
        <v>-0.80239999999999989</v>
      </c>
      <c r="T128" s="20">
        <f t="shared" si="19"/>
        <v>121.29759999999999</v>
      </c>
      <c r="U128" s="40" t="s">
        <v>29</v>
      </c>
      <c r="V128" s="21">
        <v>304.2</v>
      </c>
      <c r="W128">
        <f t="shared" si="12"/>
        <v>29.533980582524268</v>
      </c>
      <c r="X128">
        <f t="shared" si="16"/>
        <v>78822.600000000006</v>
      </c>
      <c r="Y128">
        <v>304.2</v>
      </c>
      <c r="Z128" s="40" t="s">
        <v>30</v>
      </c>
      <c r="AA128" s="36">
        <v>8.6160156694509205</v>
      </c>
    </row>
    <row r="129" spans="1:27" x14ac:dyDescent="0.25">
      <c r="A129" s="119"/>
      <c r="B129" s="39"/>
      <c r="C129" s="13">
        <v>41643</v>
      </c>
      <c r="D129">
        <v>8.1999999999999993</v>
      </c>
      <c r="E129">
        <v>6.7</v>
      </c>
      <c r="F129">
        <v>13.8</v>
      </c>
      <c r="G129">
        <f t="shared" si="17"/>
        <v>1274.4000000000001</v>
      </c>
      <c r="H129">
        <f t="shared" si="22"/>
        <v>18.5</v>
      </c>
      <c r="I129">
        <f>MIN(E128:E202)</f>
        <v>-1.6</v>
      </c>
      <c r="J129">
        <v>6.6</v>
      </c>
      <c r="K129">
        <f t="shared" si="13"/>
        <v>310.20000000000005</v>
      </c>
      <c r="L129">
        <v>1.6</v>
      </c>
      <c r="M129">
        <f t="shared" si="14"/>
        <v>151.59999999999991</v>
      </c>
      <c r="N129">
        <f t="shared" si="11"/>
        <v>5</v>
      </c>
      <c r="O129" s="19">
        <v>122.1</v>
      </c>
      <c r="P129" s="14">
        <v>124</v>
      </c>
      <c r="Q129" s="41">
        <f t="shared" ref="Q129:Q192" si="24">1+((P129-122)/75)*(1.15-1)</f>
        <v>1.004</v>
      </c>
      <c r="R129" s="16">
        <f t="shared" si="18"/>
        <v>1.6064000000000001</v>
      </c>
      <c r="S129" s="16">
        <f t="shared" si="15"/>
        <v>4.9935999999999998</v>
      </c>
      <c r="T129" s="20">
        <f t="shared" si="19"/>
        <v>122.1</v>
      </c>
      <c r="U129">
        <v>40</v>
      </c>
      <c r="V129" s="21">
        <v>445.5</v>
      </c>
      <c r="W129">
        <f t="shared" si="12"/>
        <v>54.329268292682933</v>
      </c>
      <c r="X129">
        <f t="shared" si="16"/>
        <v>79268.100000000006</v>
      </c>
      <c r="Y129">
        <f t="shared" si="23"/>
        <v>749.7</v>
      </c>
      <c r="Z129">
        <v>50433.5</v>
      </c>
      <c r="AA129" s="36">
        <v>8.6336325083013499</v>
      </c>
    </row>
    <row r="130" spans="1:27" x14ac:dyDescent="0.25">
      <c r="A130" s="119"/>
      <c r="B130" s="42"/>
      <c r="C130" s="13">
        <v>41644</v>
      </c>
      <c r="D130">
        <v>7.2</v>
      </c>
      <c r="E130" s="25">
        <v>3.7</v>
      </c>
      <c r="F130">
        <v>9.3000000000000007</v>
      </c>
      <c r="G130">
        <f t="shared" si="17"/>
        <v>1281.6000000000001</v>
      </c>
      <c r="H130">
        <f t="shared" si="22"/>
        <v>25.7</v>
      </c>
      <c r="I130" s="40" t="s">
        <v>31</v>
      </c>
      <c r="J130">
        <v>0.5</v>
      </c>
      <c r="K130">
        <f t="shared" si="13"/>
        <v>310.70000000000005</v>
      </c>
      <c r="L130">
        <v>0.4</v>
      </c>
      <c r="M130">
        <f t="shared" si="14"/>
        <v>151.99999999999991</v>
      </c>
      <c r="N130">
        <f t="shared" si="11"/>
        <v>9.9999999999999978E-2</v>
      </c>
      <c r="O130" s="19">
        <v>122.1</v>
      </c>
      <c r="P130" s="14">
        <v>125</v>
      </c>
      <c r="Q130" s="41">
        <f t="shared" si="24"/>
        <v>1.006</v>
      </c>
      <c r="R130" s="16">
        <f t="shared" si="18"/>
        <v>0.40240000000000004</v>
      </c>
      <c r="S130" s="16">
        <f t="shared" si="15"/>
        <v>9.7599999999999965E-2</v>
      </c>
      <c r="T130" s="20">
        <f t="shared" si="19"/>
        <v>122.1</v>
      </c>
      <c r="U130" s="40" t="s">
        <v>32</v>
      </c>
      <c r="V130" s="21">
        <v>350.9</v>
      </c>
      <c r="W130">
        <f t="shared" si="12"/>
        <v>48.736111111111107</v>
      </c>
      <c r="X130">
        <f t="shared" si="16"/>
        <v>79619</v>
      </c>
      <c r="Y130">
        <f t="shared" si="23"/>
        <v>1100.5999999999999</v>
      </c>
      <c r="Z130" s="40" t="s">
        <v>33</v>
      </c>
      <c r="AA130" s="36">
        <v>8.6525917079007595</v>
      </c>
    </row>
    <row r="131" spans="1:27" x14ac:dyDescent="0.25">
      <c r="A131" s="119"/>
      <c r="B131" s="39"/>
      <c r="C131" s="13">
        <v>41645</v>
      </c>
      <c r="D131">
        <v>11.1</v>
      </c>
      <c r="E131">
        <v>8.5</v>
      </c>
      <c r="F131">
        <v>13.2</v>
      </c>
      <c r="G131">
        <f t="shared" si="17"/>
        <v>1292.7</v>
      </c>
      <c r="H131">
        <f t="shared" si="22"/>
        <v>36.799999999999997</v>
      </c>
      <c r="I131">
        <f>MAX(F128:F202)</f>
        <v>18.8</v>
      </c>
      <c r="J131">
        <v>0.8</v>
      </c>
      <c r="K131">
        <f t="shared" si="13"/>
        <v>311.50000000000006</v>
      </c>
      <c r="L131">
        <v>0.9</v>
      </c>
      <c r="M131">
        <f t="shared" si="14"/>
        <v>152.89999999999992</v>
      </c>
      <c r="N131" s="9">
        <f t="shared" si="11"/>
        <v>-9.9999999999999978E-2</v>
      </c>
      <c r="O131" s="19">
        <f t="shared" si="20"/>
        <v>122</v>
      </c>
      <c r="P131" s="14">
        <v>126</v>
      </c>
      <c r="Q131" s="41">
        <f t="shared" si="24"/>
        <v>1.008</v>
      </c>
      <c r="R131" s="16">
        <f t="shared" si="18"/>
        <v>0.90720000000000001</v>
      </c>
      <c r="S131" s="16">
        <f t="shared" si="15"/>
        <v>-0.10719999999999996</v>
      </c>
      <c r="T131" s="20">
        <f t="shared" si="19"/>
        <v>121.99279999999999</v>
      </c>
      <c r="U131">
        <v>0</v>
      </c>
      <c r="V131" s="21">
        <v>167.7</v>
      </c>
      <c r="W131">
        <f t="shared" si="12"/>
        <v>15.108108108108107</v>
      </c>
      <c r="X131">
        <f t="shared" si="16"/>
        <v>79786.7</v>
      </c>
      <c r="Y131">
        <f t="shared" si="23"/>
        <v>1268.3</v>
      </c>
      <c r="Z131" s="43">
        <f>(Z129/100)/I141</f>
        <v>0.96801343570057574</v>
      </c>
      <c r="AA131" s="36">
        <v>8.67287347664025</v>
      </c>
    </row>
    <row r="132" spans="1:27" x14ac:dyDescent="0.25">
      <c r="A132" s="119"/>
      <c r="B132" s="39"/>
      <c r="C132" s="13">
        <v>41646</v>
      </c>
      <c r="D132">
        <v>11.2</v>
      </c>
      <c r="E132">
        <v>9.9</v>
      </c>
      <c r="F132">
        <v>12.5</v>
      </c>
      <c r="G132">
        <f t="shared" si="17"/>
        <v>1303.9000000000001</v>
      </c>
      <c r="H132">
        <f t="shared" si="22"/>
        <v>48</v>
      </c>
      <c r="I132" s="40" t="s">
        <v>34</v>
      </c>
      <c r="J132">
        <v>0.5</v>
      </c>
      <c r="K132">
        <f t="shared" si="13"/>
        <v>312.00000000000006</v>
      </c>
      <c r="L132">
        <v>0.8</v>
      </c>
      <c r="M132">
        <f t="shared" si="14"/>
        <v>153.69999999999993</v>
      </c>
      <c r="N132" s="9">
        <f t="shared" si="11"/>
        <v>-0.30000000000000004</v>
      </c>
      <c r="O132" s="19">
        <f t="shared" si="20"/>
        <v>121.7</v>
      </c>
      <c r="P132" s="14">
        <v>127</v>
      </c>
      <c r="Q132" s="41">
        <f t="shared" si="24"/>
        <v>1.01</v>
      </c>
      <c r="R132" s="16">
        <f t="shared" si="18"/>
        <v>0.80800000000000005</v>
      </c>
      <c r="S132" s="16">
        <f t="shared" si="15"/>
        <v>-0.30800000000000005</v>
      </c>
      <c r="T132" s="20">
        <f t="shared" si="19"/>
        <v>121.68479999999998</v>
      </c>
      <c r="U132" s="40" t="s">
        <v>35</v>
      </c>
      <c r="V132" s="21">
        <v>249.3</v>
      </c>
      <c r="W132">
        <f t="shared" si="12"/>
        <v>22.258928571428573</v>
      </c>
      <c r="X132">
        <f t="shared" si="16"/>
        <v>80036</v>
      </c>
      <c r="Y132">
        <f t="shared" si="23"/>
        <v>1517.6</v>
      </c>
      <c r="Z132" s="40" t="s">
        <v>36</v>
      </c>
      <c r="AA132" s="36">
        <v>8.6944568912068796</v>
      </c>
    </row>
    <row r="133" spans="1:27" x14ac:dyDescent="0.25">
      <c r="A133" s="119"/>
      <c r="B133" s="39"/>
      <c r="C133" s="13">
        <v>41647</v>
      </c>
      <c r="D133">
        <v>10.5</v>
      </c>
      <c r="E133">
        <v>8.3000000000000007</v>
      </c>
      <c r="F133">
        <v>12.9</v>
      </c>
      <c r="G133">
        <f t="shared" si="17"/>
        <v>1314.4</v>
      </c>
      <c r="H133">
        <f t="shared" si="22"/>
        <v>58.5</v>
      </c>
      <c r="I133" s="23">
        <f>AVERAGE(D128:D202)</f>
        <v>6.9466666666666681</v>
      </c>
      <c r="J133">
        <v>0</v>
      </c>
      <c r="K133">
        <f t="shared" si="13"/>
        <v>312.00000000000006</v>
      </c>
      <c r="L133">
        <v>0.6</v>
      </c>
      <c r="M133">
        <f t="shared" si="14"/>
        <v>154.29999999999993</v>
      </c>
      <c r="N133" s="9">
        <f t="shared" si="11"/>
        <v>-0.6</v>
      </c>
      <c r="O133" s="19">
        <f t="shared" si="20"/>
        <v>121.10000000000001</v>
      </c>
      <c r="P133" s="14">
        <v>128</v>
      </c>
      <c r="Q133" s="41">
        <f t="shared" si="24"/>
        <v>1.012</v>
      </c>
      <c r="R133" s="16">
        <f t="shared" si="18"/>
        <v>0.60719999999999996</v>
      </c>
      <c r="S133" s="16">
        <f t="shared" si="15"/>
        <v>-0.60719999999999996</v>
      </c>
      <c r="T133" s="20">
        <f t="shared" si="19"/>
        <v>121.07759999999998</v>
      </c>
      <c r="U133">
        <v>0</v>
      </c>
      <c r="V133" s="21">
        <v>276.10000000000002</v>
      </c>
      <c r="W133">
        <f t="shared" si="12"/>
        <v>26.295238095238098</v>
      </c>
      <c r="X133">
        <f t="shared" si="16"/>
        <v>80312.100000000006</v>
      </c>
      <c r="Y133">
        <f t="shared" si="23"/>
        <v>1793.6999999999998</v>
      </c>
      <c r="Z133">
        <v>55</v>
      </c>
      <c r="AA133" s="36">
        <v>8.7173199729154298</v>
      </c>
    </row>
    <row r="134" spans="1:27" x14ac:dyDescent="0.25">
      <c r="A134" s="119"/>
      <c r="B134" s="39"/>
      <c r="C134" s="13">
        <v>41648</v>
      </c>
      <c r="D134">
        <v>9.1</v>
      </c>
      <c r="E134">
        <v>7.9</v>
      </c>
      <c r="F134">
        <v>11.3</v>
      </c>
      <c r="G134">
        <f t="shared" si="17"/>
        <v>1323.5</v>
      </c>
      <c r="H134">
        <f t="shared" si="22"/>
        <v>67.599999999999994</v>
      </c>
      <c r="I134" s="40" t="s">
        <v>37</v>
      </c>
      <c r="J134">
        <v>0.3</v>
      </c>
      <c r="K134">
        <f t="shared" si="13"/>
        <v>312.30000000000007</v>
      </c>
      <c r="L134">
        <v>1</v>
      </c>
      <c r="M134">
        <f t="shared" si="14"/>
        <v>155.29999999999993</v>
      </c>
      <c r="N134" s="9">
        <f t="shared" ref="N134:N197" si="25">J134-L134</f>
        <v>-0.7</v>
      </c>
      <c r="O134" s="19">
        <f t="shared" si="20"/>
        <v>120.4</v>
      </c>
      <c r="P134" s="14">
        <v>129</v>
      </c>
      <c r="Q134" s="41">
        <f t="shared" si="24"/>
        <v>1.014</v>
      </c>
      <c r="R134" s="16">
        <f t="shared" si="18"/>
        <v>1.014</v>
      </c>
      <c r="S134" s="16">
        <f t="shared" si="15"/>
        <v>-0.71399999999999997</v>
      </c>
      <c r="T134" s="20">
        <f t="shared" si="19"/>
        <v>120.36359999999998</v>
      </c>
      <c r="U134" s="40" t="s">
        <v>38</v>
      </c>
      <c r="V134" s="21">
        <v>269.89999999999998</v>
      </c>
      <c r="W134">
        <f t="shared" ref="W134:W197" si="26">V134/D134</f>
        <v>29.659340659340657</v>
      </c>
      <c r="X134">
        <f t="shared" si="16"/>
        <v>80582</v>
      </c>
      <c r="Y134">
        <f t="shared" si="23"/>
        <v>2063.6</v>
      </c>
      <c r="AA134" s="36">
        <v>8.7414397661068506</v>
      </c>
    </row>
    <row r="135" spans="1:27" x14ac:dyDescent="0.25">
      <c r="A135" s="119"/>
      <c r="B135" s="39"/>
      <c r="C135" s="13">
        <v>41649</v>
      </c>
      <c r="D135">
        <v>8</v>
      </c>
      <c r="E135">
        <v>6.3</v>
      </c>
      <c r="F135">
        <v>11.3</v>
      </c>
      <c r="G135">
        <f t="shared" si="17"/>
        <v>1331.5</v>
      </c>
      <c r="H135">
        <f t="shared" si="22"/>
        <v>75.599999999999994</v>
      </c>
      <c r="I135">
        <v>5</v>
      </c>
      <c r="J135">
        <v>0</v>
      </c>
      <c r="K135">
        <f t="shared" ref="K135:K198" si="27">K134+J135</f>
        <v>312.30000000000007</v>
      </c>
      <c r="L135">
        <v>0.7</v>
      </c>
      <c r="M135">
        <f t="shared" ref="M135:M198" si="28">M134+L135</f>
        <v>155.99999999999991</v>
      </c>
      <c r="N135" s="9">
        <f t="shared" si="25"/>
        <v>-0.7</v>
      </c>
      <c r="O135" s="19">
        <f t="shared" si="20"/>
        <v>119.7</v>
      </c>
      <c r="P135" s="14">
        <v>130</v>
      </c>
      <c r="Q135" s="41">
        <f t="shared" si="24"/>
        <v>1.016</v>
      </c>
      <c r="R135" s="16">
        <f t="shared" si="18"/>
        <v>0.71119999999999994</v>
      </c>
      <c r="S135" s="16">
        <f t="shared" ref="S135:S198" si="29">J135-R135</f>
        <v>-0.71119999999999994</v>
      </c>
      <c r="T135" s="20">
        <f t="shared" si="19"/>
        <v>119.65239999999997</v>
      </c>
      <c r="U135" s="23">
        <f>MIN(T128:T202)</f>
        <v>86.977200000000011</v>
      </c>
      <c r="V135" s="21">
        <v>359.9</v>
      </c>
      <c r="W135">
        <f t="shared" si="26"/>
        <v>44.987499999999997</v>
      </c>
      <c r="X135">
        <f t="shared" ref="X135:X198" si="30">X134+V135</f>
        <v>80941.899999999994</v>
      </c>
      <c r="Y135">
        <f t="shared" si="23"/>
        <v>2423.5</v>
      </c>
      <c r="AA135" s="36">
        <v>8.7667924180776495</v>
      </c>
    </row>
    <row r="136" spans="1:27" x14ac:dyDescent="0.25">
      <c r="A136" s="119"/>
      <c r="B136" s="39"/>
      <c r="C136" s="13">
        <v>41650</v>
      </c>
      <c r="D136">
        <v>7.6</v>
      </c>
      <c r="E136">
        <v>6.4</v>
      </c>
      <c r="F136">
        <v>9.4</v>
      </c>
      <c r="G136">
        <f t="shared" ref="G136:G199" si="31">G135+D136</f>
        <v>1339.1</v>
      </c>
      <c r="H136">
        <f t="shared" si="22"/>
        <v>83.199999999999989</v>
      </c>
      <c r="I136" s="40" t="s">
        <v>39</v>
      </c>
      <c r="J136">
        <v>0</v>
      </c>
      <c r="K136">
        <f t="shared" si="27"/>
        <v>312.30000000000007</v>
      </c>
      <c r="L136">
        <v>0.4</v>
      </c>
      <c r="M136">
        <f t="shared" si="28"/>
        <v>156.39999999999992</v>
      </c>
      <c r="N136" s="9">
        <f t="shared" si="25"/>
        <v>-0.4</v>
      </c>
      <c r="O136" s="19">
        <f t="shared" si="20"/>
        <v>119.3</v>
      </c>
      <c r="P136" s="14">
        <v>131</v>
      </c>
      <c r="Q136" s="41">
        <f t="shared" si="24"/>
        <v>1.018</v>
      </c>
      <c r="R136" s="16">
        <f t="shared" ref="R136:R199" si="32">Q136*L136</f>
        <v>0.40720000000000001</v>
      </c>
      <c r="S136" s="16">
        <f t="shared" si="29"/>
        <v>-0.40720000000000001</v>
      </c>
      <c r="T136" s="20">
        <f t="shared" si="19"/>
        <v>119.24519999999997</v>
      </c>
      <c r="U136" s="40" t="s">
        <v>40</v>
      </c>
      <c r="V136" s="21">
        <v>109.2</v>
      </c>
      <c r="W136">
        <f t="shared" si="26"/>
        <v>14.368421052631581</v>
      </c>
      <c r="X136">
        <f t="shared" si="30"/>
        <v>81051.099999999991</v>
      </c>
      <c r="Y136">
        <f t="shared" si="23"/>
        <v>2532.6999999999998</v>
      </c>
      <c r="AA136" s="36">
        <v>8.7933532600142996</v>
      </c>
    </row>
    <row r="137" spans="1:27" x14ac:dyDescent="0.25">
      <c r="A137" s="119"/>
      <c r="B137" s="39"/>
      <c r="C137" s="13">
        <v>41651</v>
      </c>
      <c r="D137">
        <v>6.8</v>
      </c>
      <c r="E137">
        <v>6.7</v>
      </c>
      <c r="F137">
        <v>7.8</v>
      </c>
      <c r="G137">
        <f t="shared" si="31"/>
        <v>1345.8999999999999</v>
      </c>
      <c r="H137">
        <f t="shared" si="22"/>
        <v>89.999999999999986</v>
      </c>
      <c r="I137">
        <v>0</v>
      </c>
      <c r="J137">
        <v>0.9</v>
      </c>
      <c r="K137">
        <f t="shared" si="27"/>
        <v>313.20000000000005</v>
      </c>
      <c r="L137">
        <v>0.7</v>
      </c>
      <c r="M137">
        <f t="shared" si="28"/>
        <v>157.09999999999991</v>
      </c>
      <c r="N137">
        <f t="shared" si="25"/>
        <v>0.20000000000000007</v>
      </c>
      <c r="O137" s="19">
        <f t="shared" si="20"/>
        <v>119.5</v>
      </c>
      <c r="P137" s="14">
        <v>132</v>
      </c>
      <c r="Q137" s="41">
        <f t="shared" si="24"/>
        <v>1.02</v>
      </c>
      <c r="R137" s="16">
        <f t="shared" si="32"/>
        <v>0.71399999999999997</v>
      </c>
      <c r="S137" s="16">
        <f t="shared" si="29"/>
        <v>0.18600000000000005</v>
      </c>
      <c r="T137" s="20">
        <f t="shared" si="19"/>
        <v>119.43119999999998</v>
      </c>
      <c r="U137" s="23">
        <f>MAX(T128:T202)</f>
        <v>122.1</v>
      </c>
      <c r="V137" s="21">
        <v>353.8</v>
      </c>
      <c r="W137">
        <f t="shared" si="26"/>
        <v>52.029411764705884</v>
      </c>
      <c r="X137">
        <f t="shared" si="30"/>
        <v>81404.899999999994</v>
      </c>
      <c r="Y137">
        <f t="shared" si="23"/>
        <v>2886.5</v>
      </c>
      <c r="AA137" s="36">
        <v>8.8210968884218204</v>
      </c>
    </row>
    <row r="138" spans="1:27" x14ac:dyDescent="0.25">
      <c r="A138" s="119"/>
      <c r="B138" s="42"/>
      <c r="C138" s="13">
        <v>41652</v>
      </c>
      <c r="D138">
        <v>7.3</v>
      </c>
      <c r="E138" s="25">
        <v>5</v>
      </c>
      <c r="F138">
        <v>10.1</v>
      </c>
      <c r="G138">
        <f t="shared" si="31"/>
        <v>1353.1999999999998</v>
      </c>
      <c r="H138">
        <f t="shared" si="22"/>
        <v>97.299999999999983</v>
      </c>
      <c r="I138" s="40" t="s">
        <v>41</v>
      </c>
      <c r="J138">
        <v>3</v>
      </c>
      <c r="K138">
        <f t="shared" si="27"/>
        <v>316.20000000000005</v>
      </c>
      <c r="L138">
        <v>0.6</v>
      </c>
      <c r="M138">
        <f t="shared" si="28"/>
        <v>157.6999999999999</v>
      </c>
      <c r="N138">
        <f t="shared" si="25"/>
        <v>2.4</v>
      </c>
      <c r="O138" s="19">
        <f t="shared" si="20"/>
        <v>121.9</v>
      </c>
      <c r="P138" s="14">
        <v>133</v>
      </c>
      <c r="Q138" s="41">
        <f t="shared" si="24"/>
        <v>1.022</v>
      </c>
      <c r="R138" s="16">
        <f t="shared" si="32"/>
        <v>0.61319999999999997</v>
      </c>
      <c r="S138" s="16">
        <f t="shared" si="29"/>
        <v>2.3868</v>
      </c>
      <c r="T138" s="20">
        <f t="shared" ref="T138:T201" si="33">MIN(122.1,(T137+S138))</f>
        <v>121.81799999999997</v>
      </c>
      <c r="U138" s="40" t="s">
        <v>42</v>
      </c>
      <c r="V138" s="21">
        <v>326.39999999999998</v>
      </c>
      <c r="W138">
        <f t="shared" si="26"/>
        <v>44.712328767123289</v>
      </c>
      <c r="X138">
        <f t="shared" si="30"/>
        <v>81731.299999999988</v>
      </c>
      <c r="Y138">
        <f t="shared" si="23"/>
        <v>3212.9</v>
      </c>
      <c r="AA138" s="36">
        <v>8.8499972465554695</v>
      </c>
    </row>
    <row r="139" spans="1:27" x14ac:dyDescent="0.25">
      <c r="A139" s="119"/>
      <c r="B139" s="42"/>
      <c r="C139" s="13">
        <v>41653</v>
      </c>
      <c r="D139" s="25">
        <v>4.7</v>
      </c>
      <c r="E139" s="25">
        <v>3.5</v>
      </c>
      <c r="F139">
        <v>7.3</v>
      </c>
      <c r="G139">
        <f t="shared" si="31"/>
        <v>1357.8999999999999</v>
      </c>
      <c r="H139">
        <f t="shared" si="22"/>
        <v>101.99999999999999</v>
      </c>
      <c r="I139">
        <v>44</v>
      </c>
      <c r="J139">
        <v>0.8</v>
      </c>
      <c r="K139">
        <f t="shared" si="27"/>
        <v>317.00000000000006</v>
      </c>
      <c r="L139">
        <v>0.8</v>
      </c>
      <c r="M139">
        <f t="shared" si="28"/>
        <v>158.49999999999991</v>
      </c>
      <c r="N139">
        <f t="shared" si="25"/>
        <v>0</v>
      </c>
      <c r="O139" s="19">
        <f t="shared" ref="O139:O202" si="34">O138+N139</f>
        <v>121.9</v>
      </c>
      <c r="P139" s="14">
        <v>134</v>
      </c>
      <c r="Q139" s="41">
        <f t="shared" si="24"/>
        <v>1.024</v>
      </c>
      <c r="R139" s="16">
        <f t="shared" si="32"/>
        <v>0.81920000000000004</v>
      </c>
      <c r="S139" s="16">
        <f t="shared" si="29"/>
        <v>-1.9199999999999995E-2</v>
      </c>
      <c r="T139" s="20">
        <f t="shared" si="33"/>
        <v>121.79879999999997</v>
      </c>
      <c r="U139" s="22">
        <f>AVERAGE(T128:T202)</f>
        <v>117.80031733333337</v>
      </c>
      <c r="V139" s="21">
        <v>578.70000000000005</v>
      </c>
      <c r="W139">
        <f t="shared" si="26"/>
        <v>123.12765957446808</v>
      </c>
      <c r="X139">
        <f t="shared" si="30"/>
        <v>82309.999999999985</v>
      </c>
      <c r="Y139">
        <f t="shared" si="23"/>
        <v>3791.6000000000004</v>
      </c>
      <c r="AA139" s="36">
        <v>8.8800277053881</v>
      </c>
    </row>
    <row r="140" spans="1:27" x14ac:dyDescent="0.25">
      <c r="A140" s="119"/>
      <c r="B140" s="42"/>
      <c r="C140" s="13">
        <v>41654</v>
      </c>
      <c r="D140">
        <v>5.9</v>
      </c>
      <c r="E140" s="25">
        <v>1.4</v>
      </c>
      <c r="F140">
        <v>9.5</v>
      </c>
      <c r="G140">
        <f t="shared" si="31"/>
        <v>1363.8</v>
      </c>
      <c r="H140">
        <f t="shared" si="22"/>
        <v>107.89999999999999</v>
      </c>
      <c r="I140" s="40" t="s">
        <v>43</v>
      </c>
      <c r="J140">
        <v>2.4</v>
      </c>
      <c r="K140">
        <f t="shared" si="27"/>
        <v>319.40000000000003</v>
      </c>
      <c r="L140">
        <v>0.5</v>
      </c>
      <c r="M140">
        <f t="shared" si="28"/>
        <v>158.99999999999991</v>
      </c>
      <c r="N140">
        <f t="shared" si="25"/>
        <v>1.9</v>
      </c>
      <c r="O140" s="19">
        <v>122.1</v>
      </c>
      <c r="P140" s="14">
        <v>135</v>
      </c>
      <c r="Q140" s="41">
        <f t="shared" si="24"/>
        <v>1.026</v>
      </c>
      <c r="R140" s="16">
        <f t="shared" si="32"/>
        <v>0.51300000000000001</v>
      </c>
      <c r="S140" s="16">
        <f t="shared" si="29"/>
        <v>1.887</v>
      </c>
      <c r="T140" s="20">
        <f t="shared" si="33"/>
        <v>122.1</v>
      </c>
      <c r="V140" s="21">
        <v>143.4</v>
      </c>
      <c r="W140">
        <f t="shared" si="26"/>
        <v>24.305084745762713</v>
      </c>
      <c r="X140">
        <f t="shared" si="30"/>
        <v>82453.39999999998</v>
      </c>
      <c r="Y140">
        <f t="shared" si="23"/>
        <v>3935.0000000000005</v>
      </c>
      <c r="AA140" s="36">
        <v>8.9111611436734695</v>
      </c>
    </row>
    <row r="141" spans="1:27" x14ac:dyDescent="0.25">
      <c r="A141" s="119"/>
      <c r="B141" s="39"/>
      <c r="C141" s="13">
        <v>41655</v>
      </c>
      <c r="D141">
        <v>8.1</v>
      </c>
      <c r="E141">
        <v>6.5</v>
      </c>
      <c r="F141">
        <v>9.9</v>
      </c>
      <c r="G141">
        <f t="shared" si="31"/>
        <v>1371.8999999999999</v>
      </c>
      <c r="H141">
        <f t="shared" si="22"/>
        <v>115.99999999999999</v>
      </c>
      <c r="I141">
        <v>521</v>
      </c>
      <c r="J141">
        <v>2.8</v>
      </c>
      <c r="K141">
        <f t="shared" si="27"/>
        <v>322.20000000000005</v>
      </c>
      <c r="L141">
        <v>1</v>
      </c>
      <c r="M141">
        <f t="shared" si="28"/>
        <v>159.99999999999991</v>
      </c>
      <c r="N141">
        <f t="shared" si="25"/>
        <v>1.7999999999999998</v>
      </c>
      <c r="O141" s="19">
        <v>122.1</v>
      </c>
      <c r="P141" s="14">
        <v>136</v>
      </c>
      <c r="Q141" s="41">
        <f t="shared" si="24"/>
        <v>1.028</v>
      </c>
      <c r="R141" s="16">
        <f t="shared" si="32"/>
        <v>1.028</v>
      </c>
      <c r="S141" s="16">
        <f t="shared" si="29"/>
        <v>1.7719999999999998</v>
      </c>
      <c r="T141" s="20">
        <f t="shared" si="33"/>
        <v>122.1</v>
      </c>
      <c r="U141" s="23">
        <f>(U139*100)/122.1</f>
        <v>96.478556374556405</v>
      </c>
      <c r="V141" s="21">
        <v>497.7</v>
      </c>
      <c r="W141">
        <f t="shared" si="26"/>
        <v>61.444444444444443</v>
      </c>
      <c r="X141">
        <f t="shared" si="30"/>
        <v>82951.099999999977</v>
      </c>
      <c r="Y141">
        <f t="shared" si="23"/>
        <v>4432.7000000000007</v>
      </c>
      <c r="AA141" s="36">
        <v>8.9433700266954403</v>
      </c>
    </row>
    <row r="142" spans="1:27" x14ac:dyDescent="0.25">
      <c r="A142" s="119"/>
      <c r="B142" s="42"/>
      <c r="C142" s="13">
        <v>41656</v>
      </c>
      <c r="D142">
        <v>6.2</v>
      </c>
      <c r="E142" s="25">
        <v>4.9000000000000004</v>
      </c>
      <c r="F142">
        <v>10.8</v>
      </c>
      <c r="G142">
        <f t="shared" si="31"/>
        <v>1378.1</v>
      </c>
      <c r="H142">
        <f t="shared" si="22"/>
        <v>122.19999999999999</v>
      </c>
      <c r="J142">
        <v>0</v>
      </c>
      <c r="K142">
        <f t="shared" si="27"/>
        <v>322.20000000000005</v>
      </c>
      <c r="L142">
        <v>1.4</v>
      </c>
      <c r="M142">
        <f t="shared" si="28"/>
        <v>161.39999999999992</v>
      </c>
      <c r="N142" s="9">
        <f t="shared" si="25"/>
        <v>-1.4</v>
      </c>
      <c r="O142" s="19">
        <f t="shared" si="34"/>
        <v>120.69999999999999</v>
      </c>
      <c r="P142" s="14">
        <v>137</v>
      </c>
      <c r="Q142" s="41">
        <f t="shared" si="24"/>
        <v>1.03</v>
      </c>
      <c r="R142" s="16">
        <f t="shared" si="32"/>
        <v>1.4419999999999999</v>
      </c>
      <c r="S142" s="16">
        <f t="shared" si="29"/>
        <v>-1.4419999999999999</v>
      </c>
      <c r="T142" s="20">
        <f t="shared" si="33"/>
        <v>120.658</v>
      </c>
      <c r="V142" s="21">
        <v>767.6</v>
      </c>
      <c r="W142">
        <f t="shared" si="26"/>
        <v>123.80645161290323</v>
      </c>
      <c r="X142">
        <f t="shared" si="30"/>
        <v>83718.699999999983</v>
      </c>
      <c r="Y142">
        <f t="shared" si="23"/>
        <v>5200.3000000000011</v>
      </c>
      <c r="AA142" s="36">
        <v>8.9766264833261609</v>
      </c>
    </row>
    <row r="143" spans="1:27" x14ac:dyDescent="0.25">
      <c r="A143" s="119"/>
      <c r="B143" s="39"/>
      <c r="C143" s="13">
        <v>41657</v>
      </c>
      <c r="D143">
        <v>6.5</v>
      </c>
      <c r="E143" s="25">
        <v>2.1</v>
      </c>
      <c r="F143">
        <v>10.6</v>
      </c>
      <c r="G143">
        <f t="shared" si="31"/>
        <v>1384.6</v>
      </c>
      <c r="H143">
        <f t="shared" si="22"/>
        <v>128.69999999999999</v>
      </c>
      <c r="J143">
        <v>7.7</v>
      </c>
      <c r="K143">
        <f t="shared" si="27"/>
        <v>329.90000000000003</v>
      </c>
      <c r="L143">
        <v>0.6</v>
      </c>
      <c r="M143">
        <f t="shared" si="28"/>
        <v>161.99999999999991</v>
      </c>
      <c r="N143">
        <f t="shared" si="25"/>
        <v>7.1000000000000005</v>
      </c>
      <c r="O143" s="19">
        <v>122.1</v>
      </c>
      <c r="P143" s="14">
        <v>138</v>
      </c>
      <c r="Q143" s="41">
        <f t="shared" si="24"/>
        <v>1.032</v>
      </c>
      <c r="R143" s="16">
        <f t="shared" si="32"/>
        <v>0.61919999999999997</v>
      </c>
      <c r="S143" s="16">
        <f t="shared" si="29"/>
        <v>7.0808</v>
      </c>
      <c r="T143" s="20">
        <f t="shared" si="33"/>
        <v>122.1</v>
      </c>
      <c r="V143" s="21">
        <v>398.2</v>
      </c>
      <c r="W143">
        <f t="shared" si="26"/>
        <v>61.261538461538457</v>
      </c>
      <c r="X143">
        <f t="shared" si="30"/>
        <v>84116.89999999998</v>
      </c>
      <c r="Y143">
        <f t="shared" si="23"/>
        <v>5598.5000000000009</v>
      </c>
      <c r="AA143">
        <v>9.0109023810498403</v>
      </c>
    </row>
    <row r="144" spans="1:27" x14ac:dyDescent="0.25">
      <c r="A144" s="119"/>
      <c r="B144" s="39"/>
      <c r="C144" s="13">
        <v>41658</v>
      </c>
      <c r="D144">
        <v>6.5</v>
      </c>
      <c r="E144">
        <v>5.9</v>
      </c>
      <c r="F144">
        <v>8.8000000000000007</v>
      </c>
      <c r="G144">
        <f t="shared" si="31"/>
        <v>1391.1</v>
      </c>
      <c r="H144">
        <f t="shared" si="22"/>
        <v>135.19999999999999</v>
      </c>
      <c r="J144">
        <v>0</v>
      </c>
      <c r="K144">
        <f t="shared" si="27"/>
        <v>329.90000000000003</v>
      </c>
      <c r="L144">
        <v>0.4</v>
      </c>
      <c r="M144">
        <f t="shared" si="28"/>
        <v>162.39999999999992</v>
      </c>
      <c r="N144" s="9">
        <f t="shared" si="25"/>
        <v>-0.4</v>
      </c>
      <c r="O144" s="19">
        <f t="shared" si="34"/>
        <v>121.69999999999999</v>
      </c>
      <c r="P144" s="14">
        <v>139</v>
      </c>
      <c r="Q144" s="41">
        <f t="shared" si="24"/>
        <v>1.034</v>
      </c>
      <c r="R144" s="16">
        <f t="shared" si="32"/>
        <v>0.41360000000000002</v>
      </c>
      <c r="S144" s="16">
        <f t="shared" si="29"/>
        <v>-0.41360000000000002</v>
      </c>
      <c r="T144" s="20">
        <f t="shared" si="33"/>
        <v>121.68639999999999</v>
      </c>
      <c r="V144" s="21">
        <v>193.9</v>
      </c>
      <c r="W144">
        <f t="shared" si="26"/>
        <v>29.830769230769231</v>
      </c>
      <c r="X144">
        <f t="shared" si="30"/>
        <v>84310.799999999974</v>
      </c>
      <c r="Y144">
        <f t="shared" si="23"/>
        <v>5792.4000000000005</v>
      </c>
      <c r="AA144">
        <v>9.0461693986449205</v>
      </c>
    </row>
    <row r="145" spans="1:27" x14ac:dyDescent="0.25">
      <c r="A145" s="119"/>
      <c r="B145" s="39"/>
      <c r="C145" s="13">
        <v>41659</v>
      </c>
      <c r="D145" s="25">
        <v>3.5</v>
      </c>
      <c r="E145" s="25">
        <v>3.3</v>
      </c>
      <c r="F145" s="25">
        <v>3.9</v>
      </c>
      <c r="G145">
        <f t="shared" si="31"/>
        <v>1394.6</v>
      </c>
      <c r="H145">
        <f t="shared" si="22"/>
        <v>138.69999999999999</v>
      </c>
      <c r="J145">
        <v>0</v>
      </c>
      <c r="K145">
        <f t="shared" si="27"/>
        <v>329.90000000000003</v>
      </c>
      <c r="L145">
        <v>0.1</v>
      </c>
      <c r="M145">
        <f t="shared" si="28"/>
        <v>162.49999999999991</v>
      </c>
      <c r="N145" s="9">
        <f t="shared" si="25"/>
        <v>-0.1</v>
      </c>
      <c r="O145" s="19">
        <f t="shared" si="34"/>
        <v>121.6</v>
      </c>
      <c r="P145" s="14">
        <v>140</v>
      </c>
      <c r="Q145" s="41">
        <f t="shared" si="24"/>
        <v>1.036</v>
      </c>
      <c r="R145" s="16">
        <f t="shared" si="32"/>
        <v>0.10360000000000001</v>
      </c>
      <c r="S145" s="16">
        <f t="shared" si="29"/>
        <v>-0.10360000000000001</v>
      </c>
      <c r="T145" s="20">
        <f t="shared" si="33"/>
        <v>121.58279999999999</v>
      </c>
      <c r="V145" s="21">
        <v>59.3</v>
      </c>
      <c r="W145">
        <f t="shared" si="26"/>
        <v>16.942857142857143</v>
      </c>
      <c r="X145">
        <f t="shared" si="30"/>
        <v>84370.099999999977</v>
      </c>
      <c r="Y145">
        <f t="shared" si="23"/>
        <v>5851.7000000000007</v>
      </c>
      <c r="AA145">
        <v>9.0823990962525194</v>
      </c>
    </row>
    <row r="146" spans="1:27" x14ac:dyDescent="0.25">
      <c r="A146" s="119"/>
      <c r="B146" s="39"/>
      <c r="C146" s="13">
        <v>41660</v>
      </c>
      <c r="D146" s="25">
        <v>2.7</v>
      </c>
      <c r="E146" s="25">
        <v>2.2999999999999998</v>
      </c>
      <c r="F146">
        <v>5.4</v>
      </c>
      <c r="G146">
        <f t="shared" si="31"/>
        <v>1397.3</v>
      </c>
      <c r="H146">
        <f t="shared" ref="H146:H209" si="35">H145+D146</f>
        <v>141.39999999999998</v>
      </c>
      <c r="J146">
        <v>0</v>
      </c>
      <c r="K146">
        <f t="shared" si="27"/>
        <v>329.90000000000003</v>
      </c>
      <c r="L146">
        <v>0.5</v>
      </c>
      <c r="M146">
        <f t="shared" si="28"/>
        <v>162.99999999999991</v>
      </c>
      <c r="N146" s="9">
        <f t="shared" si="25"/>
        <v>-0.5</v>
      </c>
      <c r="O146" s="19">
        <f t="shared" si="34"/>
        <v>121.1</v>
      </c>
      <c r="P146" s="14">
        <v>141</v>
      </c>
      <c r="Q146" s="41">
        <f t="shared" si="24"/>
        <v>1.038</v>
      </c>
      <c r="R146" s="16">
        <f t="shared" si="32"/>
        <v>0.51900000000000002</v>
      </c>
      <c r="S146" s="16">
        <f t="shared" si="29"/>
        <v>-0.51900000000000002</v>
      </c>
      <c r="T146" s="20">
        <f t="shared" si="33"/>
        <v>121.06379999999999</v>
      </c>
      <c r="V146" s="21">
        <v>273.39999999999998</v>
      </c>
      <c r="W146">
        <f t="shared" si="26"/>
        <v>101.25925925925924</v>
      </c>
      <c r="X146">
        <f t="shared" si="30"/>
        <v>84643.499999999971</v>
      </c>
      <c r="Y146">
        <f t="shared" ref="Y146:Y209" si="36">Y145+V146</f>
        <v>6125.1</v>
      </c>
      <c r="AA146">
        <v>9.1195629825958093</v>
      </c>
    </row>
    <row r="147" spans="1:27" x14ac:dyDescent="0.25">
      <c r="A147" s="119"/>
      <c r="B147" s="39"/>
      <c r="C147" s="13">
        <v>41661</v>
      </c>
      <c r="D147" s="25">
        <v>2.2999999999999998</v>
      </c>
      <c r="E147" s="24">
        <v>-0.3</v>
      </c>
      <c r="F147">
        <v>5.2</v>
      </c>
      <c r="G147">
        <f t="shared" si="31"/>
        <v>1399.6</v>
      </c>
      <c r="H147">
        <f t="shared" si="35"/>
        <v>143.69999999999999</v>
      </c>
      <c r="J147">
        <v>3.4</v>
      </c>
      <c r="K147">
        <f t="shared" si="27"/>
        <v>333.3</v>
      </c>
      <c r="L147">
        <v>0.3</v>
      </c>
      <c r="M147">
        <f t="shared" si="28"/>
        <v>163.29999999999993</v>
      </c>
      <c r="N147">
        <f t="shared" si="25"/>
        <v>3.1</v>
      </c>
      <c r="O147" s="19">
        <v>122.1</v>
      </c>
      <c r="P147" s="14">
        <v>142</v>
      </c>
      <c r="Q147" s="41">
        <f t="shared" si="24"/>
        <v>1.04</v>
      </c>
      <c r="R147" s="16">
        <f t="shared" si="32"/>
        <v>0.312</v>
      </c>
      <c r="S147" s="16">
        <f t="shared" si="29"/>
        <v>3.0880000000000001</v>
      </c>
      <c r="T147" s="20">
        <f t="shared" si="33"/>
        <v>122.1</v>
      </c>
      <c r="V147" s="21">
        <v>129.19999999999999</v>
      </c>
      <c r="W147">
        <f t="shared" si="26"/>
        <v>56.173913043478258</v>
      </c>
      <c r="X147">
        <f t="shared" si="30"/>
        <v>84772.699999999968</v>
      </c>
      <c r="Y147">
        <f t="shared" si="36"/>
        <v>6254.3</v>
      </c>
      <c r="AA147">
        <v>9.1576325791502402</v>
      </c>
    </row>
    <row r="148" spans="1:27" x14ac:dyDescent="0.25">
      <c r="A148" s="119"/>
      <c r="B148" s="39"/>
      <c r="C148" s="13">
        <v>41662</v>
      </c>
      <c r="D148">
        <v>5.9</v>
      </c>
      <c r="E148" s="25">
        <v>3.8</v>
      </c>
      <c r="F148">
        <v>6.9</v>
      </c>
      <c r="G148">
        <f t="shared" si="31"/>
        <v>1405.5</v>
      </c>
      <c r="H148">
        <f t="shared" si="35"/>
        <v>149.6</v>
      </c>
      <c r="J148">
        <v>3.4</v>
      </c>
      <c r="K148">
        <f t="shared" si="27"/>
        <v>336.7</v>
      </c>
      <c r="L148">
        <v>0.1</v>
      </c>
      <c r="M148">
        <f t="shared" si="28"/>
        <v>163.39999999999992</v>
      </c>
      <c r="N148">
        <f t="shared" si="25"/>
        <v>3.3</v>
      </c>
      <c r="O148" s="19">
        <v>122.1</v>
      </c>
      <c r="P148" s="14">
        <v>143</v>
      </c>
      <c r="Q148" s="41">
        <f t="shared" si="24"/>
        <v>1.042</v>
      </c>
      <c r="R148" s="16">
        <f t="shared" si="32"/>
        <v>0.10420000000000001</v>
      </c>
      <c r="S148" s="16">
        <f t="shared" si="29"/>
        <v>3.2957999999999998</v>
      </c>
      <c r="T148" s="20">
        <f t="shared" si="33"/>
        <v>122.1</v>
      </c>
      <c r="V148" s="21">
        <v>161.80000000000001</v>
      </c>
      <c r="W148">
        <f t="shared" si="26"/>
        <v>27.423728813559322</v>
      </c>
      <c r="X148">
        <f t="shared" si="30"/>
        <v>84934.499999999971</v>
      </c>
      <c r="Y148">
        <f t="shared" si="36"/>
        <v>6416.1</v>
      </c>
      <c r="AA148">
        <v>9.1965794810995494</v>
      </c>
    </row>
    <row r="149" spans="1:27" x14ac:dyDescent="0.25">
      <c r="A149" s="119"/>
      <c r="B149" s="39"/>
      <c r="C149" s="13">
        <v>41663</v>
      </c>
      <c r="D149">
        <v>5.0999999999999996</v>
      </c>
      <c r="E149" s="25">
        <v>4.5</v>
      </c>
      <c r="F149">
        <v>5.6</v>
      </c>
      <c r="G149">
        <f t="shared" si="31"/>
        <v>1410.6</v>
      </c>
      <c r="H149">
        <f t="shared" si="35"/>
        <v>154.69999999999999</v>
      </c>
      <c r="J149">
        <v>9.5</v>
      </c>
      <c r="K149">
        <f t="shared" si="27"/>
        <v>346.2</v>
      </c>
      <c r="L149">
        <v>0.2</v>
      </c>
      <c r="M149">
        <f t="shared" si="28"/>
        <v>163.59999999999991</v>
      </c>
      <c r="N149">
        <f t="shared" si="25"/>
        <v>9.3000000000000007</v>
      </c>
      <c r="O149" s="19">
        <v>122.1</v>
      </c>
      <c r="P149" s="14">
        <v>144</v>
      </c>
      <c r="Q149" s="41">
        <f t="shared" si="24"/>
        <v>1.044</v>
      </c>
      <c r="R149" s="16">
        <f t="shared" si="32"/>
        <v>0.20880000000000001</v>
      </c>
      <c r="S149" s="16">
        <f t="shared" si="29"/>
        <v>9.2911999999999999</v>
      </c>
      <c r="T149" s="20">
        <f t="shared" si="33"/>
        <v>122.1</v>
      </c>
      <c r="V149" s="21">
        <v>66.900000000000006</v>
      </c>
      <c r="W149">
        <f t="shared" si="26"/>
        <v>13.117647058823531</v>
      </c>
      <c r="X149">
        <f t="shared" si="30"/>
        <v>85001.399999999965</v>
      </c>
      <c r="Y149">
        <f t="shared" si="36"/>
        <v>6483</v>
      </c>
      <c r="AA149">
        <v>9.2363754149463606</v>
      </c>
    </row>
    <row r="150" spans="1:27" x14ac:dyDescent="0.25">
      <c r="A150" s="119"/>
      <c r="B150" s="39"/>
      <c r="C150" s="13">
        <v>41664</v>
      </c>
      <c r="D150">
        <v>5.4</v>
      </c>
      <c r="E150" s="25">
        <v>3.2</v>
      </c>
      <c r="F150">
        <v>8</v>
      </c>
      <c r="G150">
        <f t="shared" si="31"/>
        <v>1416</v>
      </c>
      <c r="H150">
        <f t="shared" si="35"/>
        <v>160.1</v>
      </c>
      <c r="J150">
        <v>1.1000000000000001</v>
      </c>
      <c r="K150">
        <f t="shared" si="27"/>
        <v>347.3</v>
      </c>
      <c r="L150">
        <v>0.3</v>
      </c>
      <c r="M150">
        <f t="shared" si="28"/>
        <v>163.89999999999992</v>
      </c>
      <c r="N150">
        <f t="shared" si="25"/>
        <v>0.8</v>
      </c>
      <c r="O150" s="19">
        <v>122.1</v>
      </c>
      <c r="P150" s="14">
        <v>145</v>
      </c>
      <c r="Q150" s="41">
        <f t="shared" si="24"/>
        <v>1.046</v>
      </c>
      <c r="R150" s="16">
        <f t="shared" si="32"/>
        <v>0.31380000000000002</v>
      </c>
      <c r="S150" s="16">
        <f t="shared" si="29"/>
        <v>0.78620000000000001</v>
      </c>
      <c r="T150" s="20">
        <f t="shared" si="33"/>
        <v>122.1</v>
      </c>
      <c r="V150" s="21">
        <v>138</v>
      </c>
      <c r="W150">
        <f t="shared" si="26"/>
        <v>25.555555555555554</v>
      </c>
      <c r="X150">
        <f t="shared" si="30"/>
        <v>85139.399999999965</v>
      </c>
      <c r="Y150">
        <f t="shared" si="36"/>
        <v>6621</v>
      </c>
      <c r="AA150">
        <v>9.2769922926781696</v>
      </c>
    </row>
    <row r="151" spans="1:27" x14ac:dyDescent="0.25">
      <c r="A151" s="119"/>
      <c r="B151" s="39"/>
      <c r="C151" s="13">
        <v>41665</v>
      </c>
      <c r="D151">
        <v>7.8</v>
      </c>
      <c r="E151">
        <v>5.7</v>
      </c>
      <c r="F151">
        <v>9.8000000000000007</v>
      </c>
      <c r="G151">
        <f t="shared" si="31"/>
        <v>1423.8</v>
      </c>
      <c r="H151">
        <f t="shared" si="35"/>
        <v>167.9</v>
      </c>
      <c r="J151">
        <v>7.5</v>
      </c>
      <c r="K151">
        <f t="shared" si="27"/>
        <v>354.8</v>
      </c>
      <c r="L151">
        <v>0.4</v>
      </c>
      <c r="M151">
        <f t="shared" si="28"/>
        <v>164.29999999999993</v>
      </c>
      <c r="N151">
        <f t="shared" si="25"/>
        <v>7.1</v>
      </c>
      <c r="O151" s="19">
        <v>122.1</v>
      </c>
      <c r="P151" s="14">
        <v>146</v>
      </c>
      <c r="Q151" s="41">
        <f t="shared" si="24"/>
        <v>1.048</v>
      </c>
      <c r="R151" s="16">
        <f t="shared" si="32"/>
        <v>0.41920000000000002</v>
      </c>
      <c r="S151" s="16">
        <f t="shared" si="29"/>
        <v>7.0808</v>
      </c>
      <c r="T151" s="20">
        <f t="shared" si="33"/>
        <v>122.1</v>
      </c>
      <c r="V151" s="21">
        <v>249.3</v>
      </c>
      <c r="W151">
        <f t="shared" si="26"/>
        <v>31.961538461538463</v>
      </c>
      <c r="X151">
        <f t="shared" si="30"/>
        <v>85388.699999999968</v>
      </c>
      <c r="Y151">
        <f t="shared" si="36"/>
        <v>6870.3</v>
      </c>
      <c r="AA151">
        <v>9.3184022624206193</v>
      </c>
    </row>
    <row r="152" spans="1:27" x14ac:dyDescent="0.25">
      <c r="A152" s="119"/>
      <c r="B152" s="39"/>
      <c r="C152" s="13">
        <v>41666</v>
      </c>
      <c r="D152" s="25">
        <v>4.7</v>
      </c>
      <c r="E152" s="25">
        <v>3.5</v>
      </c>
      <c r="F152">
        <v>7.2</v>
      </c>
      <c r="G152">
        <f t="shared" si="31"/>
        <v>1428.5</v>
      </c>
      <c r="H152">
        <f t="shared" si="35"/>
        <v>172.6</v>
      </c>
      <c r="J152">
        <v>1</v>
      </c>
      <c r="K152">
        <f t="shared" si="27"/>
        <v>355.8</v>
      </c>
      <c r="L152">
        <v>1</v>
      </c>
      <c r="M152">
        <f t="shared" si="28"/>
        <v>165.29999999999993</v>
      </c>
      <c r="N152">
        <f t="shared" si="25"/>
        <v>0</v>
      </c>
      <c r="O152" s="19">
        <v>122.1</v>
      </c>
      <c r="P152" s="14">
        <v>147</v>
      </c>
      <c r="Q152" s="41">
        <f t="shared" si="24"/>
        <v>1.05</v>
      </c>
      <c r="R152" s="16">
        <f t="shared" si="32"/>
        <v>1.05</v>
      </c>
      <c r="S152" s="16">
        <f t="shared" si="29"/>
        <v>-5.0000000000000044E-2</v>
      </c>
      <c r="T152" s="20">
        <f t="shared" si="33"/>
        <v>122.05</v>
      </c>
      <c r="V152" s="21">
        <v>679.6</v>
      </c>
      <c r="W152">
        <f t="shared" si="26"/>
        <v>144.59574468085106</v>
      </c>
      <c r="X152">
        <f t="shared" si="30"/>
        <v>86068.299999999974</v>
      </c>
      <c r="Y152">
        <f t="shared" si="36"/>
        <v>7549.9000000000005</v>
      </c>
      <c r="AA152">
        <v>9.3605777555382303</v>
      </c>
    </row>
    <row r="153" spans="1:27" x14ac:dyDescent="0.25">
      <c r="A153" s="119"/>
      <c r="B153" s="39"/>
      <c r="C153" s="13">
        <v>41667</v>
      </c>
      <c r="D153" s="25">
        <v>4.5</v>
      </c>
      <c r="E153" s="25">
        <v>2.4</v>
      </c>
      <c r="F153">
        <v>5.5</v>
      </c>
      <c r="G153">
        <f t="shared" si="31"/>
        <v>1433</v>
      </c>
      <c r="H153">
        <f t="shared" si="35"/>
        <v>177.1</v>
      </c>
      <c r="J153">
        <v>4.5999999999999996</v>
      </c>
      <c r="K153">
        <f t="shared" si="27"/>
        <v>360.40000000000003</v>
      </c>
      <c r="L153">
        <v>0.3</v>
      </c>
      <c r="M153">
        <f t="shared" si="28"/>
        <v>165.59999999999994</v>
      </c>
      <c r="N153">
        <f t="shared" si="25"/>
        <v>4.3</v>
      </c>
      <c r="O153" s="19">
        <v>122.1</v>
      </c>
      <c r="P153" s="14">
        <v>148</v>
      </c>
      <c r="Q153" s="41">
        <f t="shared" si="24"/>
        <v>1.052</v>
      </c>
      <c r="R153" s="16">
        <f t="shared" si="32"/>
        <v>0.31559999999999999</v>
      </c>
      <c r="S153" s="16">
        <f t="shared" si="29"/>
        <v>4.2843999999999998</v>
      </c>
      <c r="T153" s="20">
        <f t="shared" si="33"/>
        <v>122.1</v>
      </c>
      <c r="V153" s="21">
        <v>135.69999999999999</v>
      </c>
      <c r="W153">
        <f t="shared" si="26"/>
        <v>30.155555555555551</v>
      </c>
      <c r="X153">
        <f t="shared" si="30"/>
        <v>86203.999999999971</v>
      </c>
      <c r="Y153">
        <f t="shared" si="36"/>
        <v>7685.6</v>
      </c>
      <c r="AA153">
        <v>9.4034915301694895</v>
      </c>
    </row>
    <row r="154" spans="1:27" x14ac:dyDescent="0.25">
      <c r="A154" s="119"/>
      <c r="B154" s="39"/>
      <c r="C154" s="13">
        <v>41668</v>
      </c>
      <c r="D154">
        <v>5.0999999999999996</v>
      </c>
      <c r="E154" s="25">
        <v>4.4000000000000004</v>
      </c>
      <c r="F154">
        <v>6.5</v>
      </c>
      <c r="G154">
        <f t="shared" si="31"/>
        <v>1438.1</v>
      </c>
      <c r="H154">
        <f t="shared" si="35"/>
        <v>182.2</v>
      </c>
      <c r="J154">
        <v>4.9000000000000004</v>
      </c>
      <c r="K154">
        <f t="shared" si="27"/>
        <v>365.3</v>
      </c>
      <c r="L154">
        <v>0.5</v>
      </c>
      <c r="M154">
        <f t="shared" si="28"/>
        <v>166.09999999999994</v>
      </c>
      <c r="N154">
        <f t="shared" si="25"/>
        <v>4.4000000000000004</v>
      </c>
      <c r="O154" s="19">
        <v>122.1</v>
      </c>
      <c r="P154" s="14">
        <v>149</v>
      </c>
      <c r="Q154" s="41">
        <f t="shared" si="24"/>
        <v>1.054</v>
      </c>
      <c r="R154" s="16">
        <f t="shared" si="32"/>
        <v>0.52700000000000002</v>
      </c>
      <c r="S154" s="16">
        <f t="shared" si="29"/>
        <v>4.3730000000000002</v>
      </c>
      <c r="T154" s="20">
        <f t="shared" si="33"/>
        <v>122.1</v>
      </c>
      <c r="V154" s="21">
        <v>209.6</v>
      </c>
      <c r="W154">
        <f t="shared" si="26"/>
        <v>41.098039215686278</v>
      </c>
      <c r="X154">
        <f t="shared" si="30"/>
        <v>86413.599999999977</v>
      </c>
      <c r="Y154">
        <f t="shared" si="36"/>
        <v>7895.2000000000007</v>
      </c>
      <c r="AA154">
        <v>9.4471167112080092</v>
      </c>
    </row>
    <row r="155" spans="1:27" x14ac:dyDescent="0.25">
      <c r="A155" s="119"/>
      <c r="B155" s="39"/>
      <c r="C155" s="13">
        <v>41669</v>
      </c>
      <c r="D155" s="25">
        <v>4.7</v>
      </c>
      <c r="E155" s="25">
        <v>3.7</v>
      </c>
      <c r="F155">
        <v>8</v>
      </c>
      <c r="G155">
        <f t="shared" si="31"/>
        <v>1442.8</v>
      </c>
      <c r="H155">
        <f t="shared" si="35"/>
        <v>186.89999999999998</v>
      </c>
      <c r="J155">
        <v>0.3</v>
      </c>
      <c r="K155">
        <f t="shared" si="27"/>
        <v>365.6</v>
      </c>
      <c r="L155">
        <v>0.8</v>
      </c>
      <c r="M155">
        <f t="shared" si="28"/>
        <v>166.89999999999995</v>
      </c>
      <c r="N155" s="9">
        <f t="shared" si="25"/>
        <v>-0.5</v>
      </c>
      <c r="O155" s="19">
        <f t="shared" si="34"/>
        <v>121.6</v>
      </c>
      <c r="P155" s="14">
        <v>150</v>
      </c>
      <c r="Q155" s="41">
        <f t="shared" si="24"/>
        <v>1.056</v>
      </c>
      <c r="R155" s="16">
        <f t="shared" si="32"/>
        <v>0.84480000000000011</v>
      </c>
      <c r="S155" s="16">
        <f t="shared" si="29"/>
        <v>-0.54480000000000017</v>
      </c>
      <c r="T155" s="20">
        <f t="shared" si="33"/>
        <v>121.5552</v>
      </c>
      <c r="V155" s="21">
        <v>633.70000000000005</v>
      </c>
      <c r="W155">
        <f t="shared" si="26"/>
        <v>134.82978723404256</v>
      </c>
      <c r="X155">
        <f t="shared" si="30"/>
        <v>87047.299999999974</v>
      </c>
      <c r="Y155">
        <f t="shared" si="36"/>
        <v>8528.9000000000015</v>
      </c>
      <c r="AA155">
        <v>9.4914268267631599</v>
      </c>
    </row>
    <row r="156" spans="1:27" x14ac:dyDescent="0.25">
      <c r="A156" s="119"/>
      <c r="B156" s="39"/>
      <c r="C156" s="13">
        <v>41670</v>
      </c>
      <c r="D156" s="25">
        <v>4.5999999999999996</v>
      </c>
      <c r="E156" s="24">
        <v>-1.6</v>
      </c>
      <c r="F156">
        <v>8.6999999999999993</v>
      </c>
      <c r="G156">
        <f t="shared" si="31"/>
        <v>1447.3999999999999</v>
      </c>
      <c r="H156">
        <f t="shared" si="35"/>
        <v>191.49999999999997</v>
      </c>
      <c r="J156">
        <v>2.4</v>
      </c>
      <c r="K156">
        <f t="shared" si="27"/>
        <v>368</v>
      </c>
      <c r="L156">
        <v>0.8</v>
      </c>
      <c r="M156">
        <f t="shared" si="28"/>
        <v>167.69999999999996</v>
      </c>
      <c r="N156">
        <f t="shared" si="25"/>
        <v>1.5999999999999999</v>
      </c>
      <c r="O156" s="19">
        <v>122.1</v>
      </c>
      <c r="P156" s="14">
        <v>151</v>
      </c>
      <c r="Q156" s="41">
        <f t="shared" si="24"/>
        <v>1.0580000000000001</v>
      </c>
      <c r="R156" s="16">
        <f t="shared" si="32"/>
        <v>0.84640000000000004</v>
      </c>
      <c r="S156" s="16">
        <f t="shared" si="29"/>
        <v>1.5535999999999999</v>
      </c>
      <c r="T156" s="20">
        <f t="shared" si="33"/>
        <v>122.1</v>
      </c>
      <c r="V156" s="21">
        <v>836.8</v>
      </c>
      <c r="W156">
        <f t="shared" si="26"/>
        <v>181.91304347826087</v>
      </c>
      <c r="X156">
        <f t="shared" si="30"/>
        <v>87884.099999999977</v>
      </c>
      <c r="Y156">
        <f t="shared" si="36"/>
        <v>9365.7000000000007</v>
      </c>
      <c r="AA156">
        <v>9.5363958411539507</v>
      </c>
    </row>
    <row r="157" spans="1:27" x14ac:dyDescent="0.25">
      <c r="A157" s="119"/>
      <c r="B157" s="39"/>
      <c r="C157" s="13">
        <v>41671</v>
      </c>
      <c r="D157">
        <v>6.2</v>
      </c>
      <c r="E157">
        <v>5.4</v>
      </c>
      <c r="F157">
        <v>8</v>
      </c>
      <c r="G157">
        <f t="shared" si="31"/>
        <v>1453.6</v>
      </c>
      <c r="H157">
        <f t="shared" si="35"/>
        <v>197.69999999999996</v>
      </c>
      <c r="J157">
        <v>2</v>
      </c>
      <c r="K157">
        <f t="shared" si="27"/>
        <v>370</v>
      </c>
      <c r="L157">
        <v>0.7</v>
      </c>
      <c r="M157">
        <f t="shared" si="28"/>
        <v>168.39999999999995</v>
      </c>
      <c r="N157">
        <f t="shared" si="25"/>
        <v>1.3</v>
      </c>
      <c r="O157" s="19">
        <v>122.1</v>
      </c>
      <c r="P157" s="14">
        <v>152</v>
      </c>
      <c r="Q157" s="41">
        <f t="shared" si="24"/>
        <v>1.06</v>
      </c>
      <c r="R157" s="16">
        <f t="shared" si="32"/>
        <v>0.74199999999999999</v>
      </c>
      <c r="S157" s="16">
        <f t="shared" si="29"/>
        <v>1.258</v>
      </c>
      <c r="T157" s="20">
        <f t="shared" si="33"/>
        <v>122.1</v>
      </c>
      <c r="V157" s="21">
        <v>261.89999999999998</v>
      </c>
      <c r="W157">
        <f t="shared" si="26"/>
        <v>42.241935483870961</v>
      </c>
      <c r="X157">
        <f t="shared" si="30"/>
        <v>88145.999999999971</v>
      </c>
      <c r="Y157">
        <f t="shared" si="36"/>
        <v>9627.6</v>
      </c>
      <c r="AA157">
        <v>9.5819981845075706</v>
      </c>
    </row>
    <row r="158" spans="1:27" x14ac:dyDescent="0.25">
      <c r="A158" s="119"/>
      <c r="B158" s="39"/>
      <c r="C158" s="13">
        <v>41672</v>
      </c>
      <c r="D158" s="25">
        <v>4</v>
      </c>
      <c r="E158" s="25">
        <v>1.2</v>
      </c>
      <c r="F158">
        <v>8</v>
      </c>
      <c r="G158">
        <f t="shared" si="31"/>
        <v>1457.6</v>
      </c>
      <c r="H158">
        <f t="shared" si="35"/>
        <v>201.69999999999996</v>
      </c>
      <c r="J158">
        <v>0.1</v>
      </c>
      <c r="K158">
        <f t="shared" si="27"/>
        <v>370.1</v>
      </c>
      <c r="L158">
        <v>0.9</v>
      </c>
      <c r="M158">
        <f t="shared" si="28"/>
        <v>169.29999999999995</v>
      </c>
      <c r="N158" s="9">
        <f t="shared" si="25"/>
        <v>-0.8</v>
      </c>
      <c r="O158" s="19">
        <f t="shared" si="34"/>
        <v>121.3</v>
      </c>
      <c r="P158" s="14">
        <v>153</v>
      </c>
      <c r="Q158" s="41">
        <f t="shared" si="24"/>
        <v>1.0620000000000001</v>
      </c>
      <c r="R158" s="16">
        <f t="shared" si="32"/>
        <v>0.95580000000000009</v>
      </c>
      <c r="S158" s="16">
        <f t="shared" si="29"/>
        <v>-0.85580000000000012</v>
      </c>
      <c r="T158" s="20">
        <f t="shared" si="33"/>
        <v>121.24419999999999</v>
      </c>
      <c r="V158" s="21">
        <v>833.4</v>
      </c>
      <c r="W158">
        <f t="shared" si="26"/>
        <v>208.35</v>
      </c>
      <c r="X158">
        <f t="shared" si="30"/>
        <v>88979.399999999965</v>
      </c>
      <c r="Y158">
        <f t="shared" si="36"/>
        <v>10461</v>
      </c>
      <c r="AA158">
        <v>9.6282087790491904</v>
      </c>
    </row>
    <row r="159" spans="1:27" x14ac:dyDescent="0.25">
      <c r="A159" s="119"/>
      <c r="B159" s="39"/>
      <c r="C159" s="13">
        <v>41673</v>
      </c>
      <c r="D159" s="25">
        <v>4.8</v>
      </c>
      <c r="E159" s="24">
        <v>-0.8</v>
      </c>
      <c r="F159">
        <v>7.8</v>
      </c>
      <c r="G159">
        <f t="shared" si="31"/>
        <v>1462.3999999999999</v>
      </c>
      <c r="H159">
        <f t="shared" si="35"/>
        <v>206.49999999999997</v>
      </c>
      <c r="J159">
        <v>0.9</v>
      </c>
      <c r="K159">
        <f t="shared" si="27"/>
        <v>371</v>
      </c>
      <c r="L159">
        <v>0.7</v>
      </c>
      <c r="M159">
        <f t="shared" si="28"/>
        <v>169.99999999999994</v>
      </c>
      <c r="N159">
        <f t="shared" si="25"/>
        <v>0.20000000000000007</v>
      </c>
      <c r="O159" s="19">
        <f t="shared" si="34"/>
        <v>121.5</v>
      </c>
      <c r="P159" s="14">
        <v>154</v>
      </c>
      <c r="Q159" s="41">
        <f t="shared" si="24"/>
        <v>1.0640000000000001</v>
      </c>
      <c r="R159" s="16">
        <f t="shared" si="32"/>
        <v>0.74480000000000002</v>
      </c>
      <c r="S159" s="16">
        <f t="shared" si="29"/>
        <v>0.1552</v>
      </c>
      <c r="T159" s="20">
        <f t="shared" si="33"/>
        <v>121.39939999999999</v>
      </c>
      <c r="V159" s="21">
        <v>843.2</v>
      </c>
      <c r="W159">
        <f t="shared" si="26"/>
        <v>175.66666666666669</v>
      </c>
      <c r="X159">
        <f t="shared" si="30"/>
        <v>89822.599999999962</v>
      </c>
      <c r="Y159">
        <f t="shared" si="36"/>
        <v>11304.2</v>
      </c>
      <c r="AA159">
        <v>9.6750030621834604</v>
      </c>
    </row>
    <row r="160" spans="1:27" x14ac:dyDescent="0.25">
      <c r="A160" s="119"/>
      <c r="B160" s="39"/>
      <c r="C160" s="13">
        <v>41674</v>
      </c>
      <c r="D160">
        <v>6.6</v>
      </c>
      <c r="E160" s="25">
        <v>3.8</v>
      </c>
      <c r="F160">
        <v>9.1999999999999993</v>
      </c>
      <c r="G160">
        <f t="shared" si="31"/>
        <v>1468.9999999999998</v>
      </c>
      <c r="H160">
        <f t="shared" si="35"/>
        <v>213.09999999999997</v>
      </c>
      <c r="J160">
        <v>1.8</v>
      </c>
      <c r="K160">
        <f t="shared" si="27"/>
        <v>372.8</v>
      </c>
      <c r="L160">
        <v>1.2</v>
      </c>
      <c r="M160">
        <f t="shared" si="28"/>
        <v>171.19999999999993</v>
      </c>
      <c r="N160">
        <f t="shared" si="25"/>
        <v>0.60000000000000009</v>
      </c>
      <c r="O160" s="19">
        <f t="shared" si="34"/>
        <v>122.1</v>
      </c>
      <c r="P160" s="14">
        <v>155</v>
      </c>
      <c r="Q160" s="41">
        <f t="shared" si="24"/>
        <v>1.0660000000000001</v>
      </c>
      <c r="R160" s="16">
        <f t="shared" si="32"/>
        <v>1.2792000000000001</v>
      </c>
      <c r="S160" s="16">
        <f t="shared" si="29"/>
        <v>0.52079999999999993</v>
      </c>
      <c r="T160" s="20">
        <f t="shared" si="33"/>
        <v>121.92019999999998</v>
      </c>
      <c r="V160" s="21">
        <v>376.1</v>
      </c>
      <c r="W160">
        <f t="shared" si="26"/>
        <v>56.984848484848492</v>
      </c>
      <c r="X160">
        <f t="shared" si="30"/>
        <v>90198.699999999968</v>
      </c>
      <c r="Y160">
        <f t="shared" si="36"/>
        <v>11680.300000000001</v>
      </c>
      <c r="AA160">
        <v>9.7223570064787594</v>
      </c>
    </row>
    <row r="161" spans="1:28" x14ac:dyDescent="0.25">
      <c r="A161" s="119"/>
      <c r="B161" s="39"/>
      <c r="C161" s="13">
        <v>41675</v>
      </c>
      <c r="D161">
        <v>7</v>
      </c>
      <c r="E161">
        <v>6.5</v>
      </c>
      <c r="F161">
        <v>8.1</v>
      </c>
      <c r="G161">
        <f t="shared" si="31"/>
        <v>1475.9999999999998</v>
      </c>
      <c r="H161">
        <f t="shared" si="35"/>
        <v>220.09999999999997</v>
      </c>
      <c r="J161">
        <v>1.2</v>
      </c>
      <c r="K161">
        <f t="shared" si="27"/>
        <v>374</v>
      </c>
      <c r="L161">
        <v>1.2</v>
      </c>
      <c r="M161">
        <f t="shared" si="28"/>
        <v>172.39999999999992</v>
      </c>
      <c r="N161">
        <f t="shared" si="25"/>
        <v>0</v>
      </c>
      <c r="O161" s="19">
        <f t="shared" si="34"/>
        <v>122.1</v>
      </c>
      <c r="P161" s="14">
        <v>156</v>
      </c>
      <c r="Q161" s="41">
        <f t="shared" si="24"/>
        <v>1.0680000000000001</v>
      </c>
      <c r="R161" s="16">
        <f t="shared" si="32"/>
        <v>1.2816000000000001</v>
      </c>
      <c r="S161" s="16">
        <f t="shared" si="29"/>
        <v>-8.1600000000000117E-2</v>
      </c>
      <c r="T161" s="20">
        <f t="shared" si="33"/>
        <v>121.83859999999999</v>
      </c>
      <c r="V161" s="21">
        <v>522.29999999999995</v>
      </c>
      <c r="W161">
        <f t="shared" si="26"/>
        <v>74.614285714285714</v>
      </c>
      <c r="X161">
        <f t="shared" si="30"/>
        <v>90720.999999999971</v>
      </c>
      <c r="Y161">
        <f t="shared" si="36"/>
        <v>12202.6</v>
      </c>
      <c r="AA161">
        <v>9.7702471366751595</v>
      </c>
    </row>
    <row r="162" spans="1:28" x14ac:dyDescent="0.25">
      <c r="A162" s="119"/>
      <c r="B162" s="39"/>
      <c r="C162" s="13">
        <v>41676</v>
      </c>
      <c r="D162">
        <v>9.6</v>
      </c>
      <c r="E162" s="25">
        <v>4.7</v>
      </c>
      <c r="F162">
        <v>13.1</v>
      </c>
      <c r="G162">
        <f t="shared" si="31"/>
        <v>1485.5999999999997</v>
      </c>
      <c r="H162">
        <f t="shared" si="35"/>
        <v>229.69999999999996</v>
      </c>
      <c r="J162">
        <v>0.8</v>
      </c>
      <c r="K162">
        <f t="shared" si="27"/>
        <v>374.8</v>
      </c>
      <c r="L162">
        <v>1.7</v>
      </c>
      <c r="M162">
        <f t="shared" si="28"/>
        <v>174.09999999999991</v>
      </c>
      <c r="N162" s="9">
        <f t="shared" si="25"/>
        <v>-0.89999999999999991</v>
      </c>
      <c r="O162" s="19">
        <f t="shared" si="34"/>
        <v>121.19999999999999</v>
      </c>
      <c r="P162" s="14">
        <v>157</v>
      </c>
      <c r="Q162" s="41">
        <f t="shared" si="24"/>
        <v>1.07</v>
      </c>
      <c r="R162" s="16">
        <f t="shared" si="32"/>
        <v>1.819</v>
      </c>
      <c r="S162" s="16">
        <f t="shared" si="29"/>
        <v>-1.0189999999999999</v>
      </c>
      <c r="T162" s="20">
        <f t="shared" si="33"/>
        <v>120.81959999999998</v>
      </c>
      <c r="V162" s="21">
        <v>338.5</v>
      </c>
      <c r="W162">
        <f t="shared" si="26"/>
        <v>35.260416666666671</v>
      </c>
      <c r="X162">
        <f t="shared" si="30"/>
        <v>91059.499999999971</v>
      </c>
      <c r="Y162">
        <f t="shared" si="36"/>
        <v>12541.1</v>
      </c>
      <c r="AA162">
        <v>9.8186505438437202</v>
      </c>
    </row>
    <row r="163" spans="1:28" x14ac:dyDescent="0.25">
      <c r="A163" s="119"/>
      <c r="B163" s="39"/>
      <c r="C163" s="13">
        <v>41677</v>
      </c>
      <c r="D163">
        <v>9.5</v>
      </c>
      <c r="E163">
        <v>8.5</v>
      </c>
      <c r="F163">
        <v>10.7</v>
      </c>
      <c r="G163">
        <f t="shared" si="31"/>
        <v>1495.0999999999997</v>
      </c>
      <c r="H163">
        <f t="shared" si="35"/>
        <v>239.19999999999996</v>
      </c>
      <c r="J163" s="129">
        <v>1.6</v>
      </c>
      <c r="K163">
        <f t="shared" si="27"/>
        <v>376.40000000000003</v>
      </c>
      <c r="L163">
        <v>2.4</v>
      </c>
      <c r="M163">
        <f t="shared" si="28"/>
        <v>176.49999999999991</v>
      </c>
      <c r="N163" s="9">
        <f t="shared" si="25"/>
        <v>-0.79999999999999982</v>
      </c>
      <c r="O163" s="19">
        <f t="shared" si="34"/>
        <v>120.39999999999999</v>
      </c>
      <c r="P163" s="14">
        <v>158</v>
      </c>
      <c r="Q163" s="41">
        <f t="shared" si="24"/>
        <v>1.0720000000000001</v>
      </c>
      <c r="R163" s="16">
        <f t="shared" si="32"/>
        <v>2.5728</v>
      </c>
      <c r="S163" s="16">
        <f t="shared" si="29"/>
        <v>-0.97279999999999989</v>
      </c>
      <c r="T163" s="20">
        <f t="shared" si="33"/>
        <v>119.84679999999997</v>
      </c>
      <c r="V163" s="21">
        <v>575.6</v>
      </c>
      <c r="W163">
        <f t="shared" si="26"/>
        <v>60.589473684210532</v>
      </c>
      <c r="X163">
        <f t="shared" si="30"/>
        <v>91635.099999999977</v>
      </c>
      <c r="Y163">
        <f t="shared" si="36"/>
        <v>13116.7</v>
      </c>
      <c r="AA163">
        <v>9.8675448968311592</v>
      </c>
      <c r="AB163" s="135" t="s">
        <v>56</v>
      </c>
    </row>
    <row r="164" spans="1:28" x14ac:dyDescent="0.25">
      <c r="A164" s="119"/>
      <c r="B164" s="39"/>
      <c r="C164" s="13">
        <v>41678</v>
      </c>
      <c r="D164">
        <v>6.8</v>
      </c>
      <c r="E164">
        <v>5.6</v>
      </c>
      <c r="F164">
        <v>8.5</v>
      </c>
      <c r="G164">
        <f t="shared" si="31"/>
        <v>1501.8999999999996</v>
      </c>
      <c r="H164">
        <f t="shared" si="35"/>
        <v>245.99999999999997</v>
      </c>
      <c r="J164" s="129">
        <v>10.8</v>
      </c>
      <c r="K164">
        <f t="shared" si="27"/>
        <v>387.20000000000005</v>
      </c>
      <c r="L164">
        <v>1</v>
      </c>
      <c r="M164">
        <f t="shared" si="28"/>
        <v>177.49999999999991</v>
      </c>
      <c r="N164">
        <f t="shared" si="25"/>
        <v>9.8000000000000007</v>
      </c>
      <c r="O164" s="19">
        <v>122.1</v>
      </c>
      <c r="P164" s="14">
        <v>159</v>
      </c>
      <c r="Q164" s="41">
        <f t="shared" si="24"/>
        <v>1.0739999999999998</v>
      </c>
      <c r="R164" s="16">
        <f t="shared" si="32"/>
        <v>1.0739999999999998</v>
      </c>
      <c r="S164" s="16">
        <f t="shared" si="29"/>
        <v>9.7260000000000009</v>
      </c>
      <c r="T164" s="20">
        <f t="shared" si="33"/>
        <v>122.1</v>
      </c>
      <c r="V164" s="21">
        <v>197.8</v>
      </c>
      <c r="W164">
        <f t="shared" si="26"/>
        <v>29.088235294117649</v>
      </c>
      <c r="X164">
        <f t="shared" si="30"/>
        <v>91832.89999999998</v>
      </c>
      <c r="Y164">
        <f t="shared" si="36"/>
        <v>13314.5</v>
      </c>
      <c r="AA164">
        <v>9.9169084511272896</v>
      </c>
      <c r="AB164" s="22">
        <f>AVERAGE(T170:T183)</f>
        <v>121.1283714285714</v>
      </c>
    </row>
    <row r="165" spans="1:28" x14ac:dyDescent="0.25">
      <c r="A165" s="119"/>
      <c r="B165" s="39"/>
      <c r="C165" s="13">
        <v>41679</v>
      </c>
      <c r="D165" s="25">
        <v>4.8</v>
      </c>
      <c r="E165" s="25">
        <v>2.7</v>
      </c>
      <c r="F165">
        <v>6.8</v>
      </c>
      <c r="G165">
        <f t="shared" si="31"/>
        <v>1506.6999999999996</v>
      </c>
      <c r="H165">
        <f t="shared" si="35"/>
        <v>250.79999999999998</v>
      </c>
      <c r="J165" s="129">
        <v>3.6</v>
      </c>
      <c r="K165">
        <f t="shared" si="27"/>
        <v>390.80000000000007</v>
      </c>
      <c r="L165">
        <v>0.8</v>
      </c>
      <c r="M165">
        <f t="shared" si="28"/>
        <v>178.29999999999993</v>
      </c>
      <c r="N165">
        <f t="shared" si="25"/>
        <v>2.8</v>
      </c>
      <c r="O165" s="19">
        <v>122.1</v>
      </c>
      <c r="P165" s="14">
        <v>160</v>
      </c>
      <c r="Q165" s="41">
        <f t="shared" si="24"/>
        <v>1.0760000000000001</v>
      </c>
      <c r="R165" s="16">
        <f t="shared" si="32"/>
        <v>0.86080000000000012</v>
      </c>
      <c r="S165" s="16">
        <f t="shared" si="29"/>
        <v>2.7391999999999999</v>
      </c>
      <c r="T165" s="20">
        <f t="shared" si="33"/>
        <v>122.1</v>
      </c>
      <c r="V165" s="21">
        <v>497.9</v>
      </c>
      <c r="W165">
        <f t="shared" si="26"/>
        <v>103.72916666666667</v>
      </c>
      <c r="X165">
        <f t="shared" si="30"/>
        <v>92330.799999999974</v>
      </c>
      <c r="Y165">
        <f t="shared" si="36"/>
        <v>13812.4</v>
      </c>
      <c r="AA165">
        <v>9.9667200552955908</v>
      </c>
      <c r="AB165" s="135" t="s">
        <v>55</v>
      </c>
    </row>
    <row r="166" spans="1:28" x14ac:dyDescent="0.25">
      <c r="A166" s="119"/>
      <c r="B166" s="39"/>
      <c r="C166" s="13">
        <v>41680</v>
      </c>
      <c r="D166" s="25">
        <v>5</v>
      </c>
      <c r="E166" s="25">
        <v>4.5</v>
      </c>
      <c r="F166">
        <v>6.1</v>
      </c>
      <c r="G166">
        <f t="shared" si="31"/>
        <v>1511.6999999999996</v>
      </c>
      <c r="H166">
        <f t="shared" si="35"/>
        <v>255.79999999999998</v>
      </c>
      <c r="J166" s="129">
        <v>4.7</v>
      </c>
      <c r="K166">
        <f t="shared" si="27"/>
        <v>395.50000000000006</v>
      </c>
      <c r="L166">
        <v>0.5</v>
      </c>
      <c r="M166">
        <f t="shared" si="28"/>
        <v>178.79999999999993</v>
      </c>
      <c r="N166">
        <f t="shared" si="25"/>
        <v>4.2</v>
      </c>
      <c r="O166" s="19">
        <v>122.1</v>
      </c>
      <c r="P166" s="14">
        <v>161</v>
      </c>
      <c r="Q166" s="41">
        <f t="shared" si="24"/>
        <v>1.0779999999999998</v>
      </c>
      <c r="R166" s="16">
        <f t="shared" si="32"/>
        <v>0.53899999999999992</v>
      </c>
      <c r="S166" s="16">
        <f t="shared" si="29"/>
        <v>4.1610000000000005</v>
      </c>
      <c r="T166" s="20">
        <f t="shared" si="33"/>
        <v>122.1</v>
      </c>
      <c r="V166" s="21">
        <v>252.5</v>
      </c>
      <c r="W166">
        <f t="shared" si="26"/>
        <v>50.5</v>
      </c>
      <c r="X166">
        <f t="shared" si="30"/>
        <v>92583.299999999974</v>
      </c>
      <c r="Y166">
        <f t="shared" si="36"/>
        <v>14064.9</v>
      </c>
      <c r="AA166">
        <v>10.016959155108401</v>
      </c>
      <c r="AB166">
        <v>0</v>
      </c>
    </row>
    <row r="167" spans="1:28" x14ac:dyDescent="0.25">
      <c r="A167" s="119"/>
      <c r="B167" s="39"/>
      <c r="C167" s="13">
        <v>41681</v>
      </c>
      <c r="D167" s="25">
        <v>4.0999999999999996</v>
      </c>
      <c r="E167" s="25">
        <v>0.9</v>
      </c>
      <c r="F167">
        <v>7.3</v>
      </c>
      <c r="G167">
        <f t="shared" si="31"/>
        <v>1515.7999999999995</v>
      </c>
      <c r="H167">
        <f t="shared" si="35"/>
        <v>259.89999999999998</v>
      </c>
      <c r="J167" s="129">
        <v>4.8</v>
      </c>
      <c r="K167">
        <f t="shared" si="27"/>
        <v>400.30000000000007</v>
      </c>
      <c r="L167">
        <v>0.6</v>
      </c>
      <c r="M167">
        <f t="shared" si="28"/>
        <v>179.39999999999992</v>
      </c>
      <c r="N167">
        <f t="shared" si="25"/>
        <v>4.2</v>
      </c>
      <c r="O167" s="19">
        <v>122.1</v>
      </c>
      <c r="P167" s="14">
        <v>162</v>
      </c>
      <c r="Q167" s="41">
        <f t="shared" si="24"/>
        <v>1.0799999999999998</v>
      </c>
      <c r="R167" s="16">
        <f t="shared" si="32"/>
        <v>0.64799999999999991</v>
      </c>
      <c r="S167" s="16">
        <f t="shared" si="29"/>
        <v>4.1520000000000001</v>
      </c>
      <c r="T167" s="20">
        <f t="shared" si="33"/>
        <v>122.1</v>
      </c>
      <c r="V167" s="21">
        <v>590.6</v>
      </c>
      <c r="W167">
        <f t="shared" si="26"/>
        <v>144.04878048780489</v>
      </c>
      <c r="X167">
        <f t="shared" si="30"/>
        <v>93173.89999999998</v>
      </c>
      <c r="Y167">
        <f t="shared" si="36"/>
        <v>14655.5</v>
      </c>
      <c r="AA167">
        <v>10.0676057955279</v>
      </c>
      <c r="AB167" s="135" t="s">
        <v>54</v>
      </c>
    </row>
    <row r="168" spans="1:28" x14ac:dyDescent="0.25">
      <c r="A168" s="119"/>
      <c r="B168" s="39"/>
      <c r="C168" s="13">
        <v>41682</v>
      </c>
      <c r="D168">
        <v>5.9</v>
      </c>
      <c r="E168" s="25">
        <v>0.9</v>
      </c>
      <c r="F168">
        <v>8.9</v>
      </c>
      <c r="G168">
        <f t="shared" si="31"/>
        <v>1521.6999999999996</v>
      </c>
      <c r="H168">
        <f t="shared" si="35"/>
        <v>265.79999999999995</v>
      </c>
      <c r="J168" s="129">
        <v>8.8000000000000007</v>
      </c>
      <c r="K168">
        <f t="shared" si="27"/>
        <v>409.10000000000008</v>
      </c>
      <c r="L168">
        <v>0.8</v>
      </c>
      <c r="M168">
        <f t="shared" si="28"/>
        <v>180.19999999999993</v>
      </c>
      <c r="N168">
        <f t="shared" si="25"/>
        <v>8</v>
      </c>
      <c r="O168" s="19">
        <v>122.1</v>
      </c>
      <c r="P168" s="14">
        <v>163</v>
      </c>
      <c r="Q168" s="41">
        <f t="shared" si="24"/>
        <v>1.0819999999999999</v>
      </c>
      <c r="R168" s="16">
        <f t="shared" si="32"/>
        <v>0.86559999999999993</v>
      </c>
      <c r="S168" s="16">
        <f t="shared" si="29"/>
        <v>7.934400000000001</v>
      </c>
      <c r="T168" s="20">
        <f t="shared" si="33"/>
        <v>122.1</v>
      </c>
      <c r="V168">
        <v>942.4</v>
      </c>
      <c r="W168">
        <f t="shared" si="26"/>
        <v>159.72881355932202</v>
      </c>
      <c r="X168">
        <f t="shared" si="30"/>
        <v>94116.299999999974</v>
      </c>
      <c r="Y168">
        <f t="shared" si="36"/>
        <v>15597.9</v>
      </c>
      <c r="AA168">
        <v>10.118640620674199</v>
      </c>
      <c r="AB168">
        <v>2</v>
      </c>
    </row>
    <row r="169" spans="1:28" x14ac:dyDescent="0.25">
      <c r="A169" s="119"/>
      <c r="B169" s="39"/>
      <c r="C169" s="13">
        <v>41683</v>
      </c>
      <c r="D169">
        <v>7.7</v>
      </c>
      <c r="E169">
        <v>6.2</v>
      </c>
      <c r="F169">
        <v>10.3</v>
      </c>
      <c r="G169">
        <f t="shared" si="31"/>
        <v>1529.3999999999996</v>
      </c>
      <c r="H169">
        <f t="shared" si="35"/>
        <v>273.49999999999994</v>
      </c>
      <c r="J169" s="129">
        <v>7.1</v>
      </c>
      <c r="K169">
        <f t="shared" si="27"/>
        <v>416.2000000000001</v>
      </c>
      <c r="L169">
        <v>1.1000000000000001</v>
      </c>
      <c r="M169">
        <f t="shared" si="28"/>
        <v>181.29999999999993</v>
      </c>
      <c r="N169">
        <f t="shared" si="25"/>
        <v>6</v>
      </c>
      <c r="O169" s="19">
        <v>122.1</v>
      </c>
      <c r="P169" s="14">
        <v>164</v>
      </c>
      <c r="Q169" s="41">
        <f t="shared" si="24"/>
        <v>1.0840000000000001</v>
      </c>
      <c r="R169" s="16">
        <f t="shared" si="32"/>
        <v>1.1924000000000001</v>
      </c>
      <c r="S169" s="16">
        <f t="shared" si="29"/>
        <v>5.9075999999999995</v>
      </c>
      <c r="T169" s="20">
        <f t="shared" si="33"/>
        <v>122.1</v>
      </c>
      <c r="V169" s="21">
        <v>198.4</v>
      </c>
      <c r="W169">
        <f t="shared" si="26"/>
        <v>25.766233766233768</v>
      </c>
      <c r="X169">
        <f t="shared" si="30"/>
        <v>94314.699999999968</v>
      </c>
      <c r="Y169">
        <f t="shared" si="36"/>
        <v>15796.3</v>
      </c>
      <c r="AA169">
        <v>10.170044871917399</v>
      </c>
      <c r="AB169" s="135" t="s">
        <v>53</v>
      </c>
    </row>
    <row r="170" spans="1:28" x14ac:dyDescent="0.25">
      <c r="A170" s="119"/>
      <c r="B170" s="39"/>
      <c r="C170" s="13">
        <v>41684</v>
      </c>
      <c r="D170">
        <v>10.6</v>
      </c>
      <c r="E170" s="25">
        <v>4.9000000000000004</v>
      </c>
      <c r="F170">
        <v>15.7</v>
      </c>
      <c r="G170">
        <f t="shared" si="31"/>
        <v>1539.9999999999995</v>
      </c>
      <c r="H170">
        <f t="shared" si="35"/>
        <v>284.09999999999997</v>
      </c>
      <c r="J170" s="129">
        <v>2.2999999999999998</v>
      </c>
      <c r="K170">
        <f t="shared" si="27"/>
        <v>418.50000000000011</v>
      </c>
      <c r="L170">
        <v>1.4</v>
      </c>
      <c r="M170">
        <f t="shared" si="28"/>
        <v>182.69999999999993</v>
      </c>
      <c r="N170">
        <f t="shared" si="25"/>
        <v>0.89999999999999991</v>
      </c>
      <c r="O170" s="19">
        <v>122.1</v>
      </c>
      <c r="P170" s="14">
        <v>165</v>
      </c>
      <c r="Q170" s="41">
        <f t="shared" si="24"/>
        <v>1.0859999999999999</v>
      </c>
      <c r="R170" s="16">
        <f t="shared" si="32"/>
        <v>1.5203999999999998</v>
      </c>
      <c r="S170" s="16">
        <f t="shared" si="29"/>
        <v>0.77960000000000007</v>
      </c>
      <c r="T170" s="132">
        <f t="shared" si="33"/>
        <v>122.1</v>
      </c>
      <c r="V170" s="21">
        <v>429.3</v>
      </c>
      <c r="W170">
        <f t="shared" si="26"/>
        <v>40.5</v>
      </c>
      <c r="X170">
        <f t="shared" si="30"/>
        <v>94743.999999999971</v>
      </c>
      <c r="Y170">
        <f t="shared" si="36"/>
        <v>16225.599999999999</v>
      </c>
      <c r="AA170">
        <v>10.2218003842305</v>
      </c>
      <c r="AB170" s="5">
        <v>4</v>
      </c>
    </row>
    <row r="171" spans="1:28" x14ac:dyDescent="0.25">
      <c r="A171" s="119"/>
      <c r="B171" s="39"/>
      <c r="C171" s="13">
        <v>41685</v>
      </c>
      <c r="D171">
        <v>8</v>
      </c>
      <c r="E171">
        <v>7.4</v>
      </c>
      <c r="F171">
        <v>8.9</v>
      </c>
      <c r="G171">
        <f t="shared" si="31"/>
        <v>1547.9999999999995</v>
      </c>
      <c r="H171">
        <f t="shared" si="35"/>
        <v>292.09999999999997</v>
      </c>
      <c r="J171" s="129">
        <v>7.3</v>
      </c>
      <c r="K171">
        <f t="shared" si="27"/>
        <v>425.80000000000013</v>
      </c>
      <c r="L171">
        <v>0.9</v>
      </c>
      <c r="M171">
        <f t="shared" si="28"/>
        <v>183.59999999999994</v>
      </c>
      <c r="N171">
        <f t="shared" si="25"/>
        <v>6.3999999999999995</v>
      </c>
      <c r="O171" s="19">
        <v>122.1</v>
      </c>
      <c r="P171" s="14">
        <v>166</v>
      </c>
      <c r="Q171" s="41">
        <f t="shared" si="24"/>
        <v>1.0879999999999999</v>
      </c>
      <c r="R171" s="16">
        <f t="shared" si="32"/>
        <v>0.97919999999999985</v>
      </c>
      <c r="S171" s="16">
        <f t="shared" si="29"/>
        <v>6.3208000000000002</v>
      </c>
      <c r="T171" s="132">
        <f t="shared" si="33"/>
        <v>122.1</v>
      </c>
      <c r="V171" s="21">
        <v>363.4</v>
      </c>
      <c r="W171">
        <f t="shared" si="26"/>
        <v>45.424999999999997</v>
      </c>
      <c r="X171">
        <f t="shared" si="30"/>
        <v>95107.399999999965</v>
      </c>
      <c r="Y171">
        <f t="shared" si="36"/>
        <v>16589</v>
      </c>
      <c r="AA171">
        <v>10.2738895809354</v>
      </c>
      <c r="AB171" s="135" t="s">
        <v>52</v>
      </c>
    </row>
    <row r="172" spans="1:28" x14ac:dyDescent="0.25">
      <c r="A172" s="119"/>
      <c r="B172" s="39"/>
      <c r="C172" s="13">
        <v>41686</v>
      </c>
      <c r="D172">
        <v>6.9</v>
      </c>
      <c r="E172">
        <v>5.6</v>
      </c>
      <c r="F172">
        <v>9.5</v>
      </c>
      <c r="G172">
        <f t="shared" si="31"/>
        <v>1554.8999999999996</v>
      </c>
      <c r="H172">
        <f t="shared" si="35"/>
        <v>298.99999999999994</v>
      </c>
      <c r="J172" s="129">
        <v>0.3</v>
      </c>
      <c r="K172">
        <f t="shared" si="27"/>
        <v>426.10000000000014</v>
      </c>
      <c r="L172">
        <v>0.9</v>
      </c>
      <c r="M172">
        <f t="shared" si="28"/>
        <v>184.49999999999994</v>
      </c>
      <c r="N172" s="9">
        <f t="shared" si="25"/>
        <v>-0.60000000000000009</v>
      </c>
      <c r="O172" s="19">
        <f t="shared" si="34"/>
        <v>121.5</v>
      </c>
      <c r="P172" s="14">
        <v>167</v>
      </c>
      <c r="Q172" s="41">
        <f t="shared" si="24"/>
        <v>1.0899999999999999</v>
      </c>
      <c r="R172" s="16">
        <f t="shared" si="32"/>
        <v>0.98099999999999987</v>
      </c>
      <c r="S172" s="16">
        <f t="shared" si="29"/>
        <v>-0.68099999999999983</v>
      </c>
      <c r="T172" s="132">
        <f t="shared" si="33"/>
        <v>121.419</v>
      </c>
      <c r="V172" s="21">
        <v>437.5</v>
      </c>
      <c r="W172">
        <f t="shared" si="26"/>
        <v>63.405797101449274</v>
      </c>
      <c r="X172">
        <f t="shared" si="30"/>
        <v>95544.899999999965</v>
      </c>
      <c r="Y172">
        <f t="shared" si="36"/>
        <v>17026.5</v>
      </c>
      <c r="AA172">
        <v>10.326295466968199</v>
      </c>
      <c r="AB172">
        <f>SUM(J174:J183)</f>
        <v>26.799999999999997</v>
      </c>
    </row>
    <row r="173" spans="1:28" s="124" customFormat="1" x14ac:dyDescent="0.25">
      <c r="A173" s="119"/>
      <c r="B173" s="122" t="s">
        <v>57</v>
      </c>
      <c r="C173" s="123">
        <v>41687</v>
      </c>
      <c r="D173" s="124">
        <v>5.8</v>
      </c>
      <c r="E173" s="124">
        <v>1.6</v>
      </c>
      <c r="F173" s="124">
        <v>11</v>
      </c>
      <c r="G173" s="124">
        <f t="shared" si="31"/>
        <v>1560.6999999999996</v>
      </c>
      <c r="H173" s="124">
        <f t="shared" si="35"/>
        <v>304.79999999999995</v>
      </c>
      <c r="J173" s="124">
        <v>0</v>
      </c>
      <c r="K173" s="124">
        <f t="shared" si="27"/>
        <v>426.10000000000014</v>
      </c>
      <c r="L173" s="124">
        <v>1.3</v>
      </c>
      <c r="M173" s="124">
        <f t="shared" si="28"/>
        <v>185.79999999999995</v>
      </c>
      <c r="N173" s="124">
        <f t="shared" si="25"/>
        <v>-1.3</v>
      </c>
      <c r="O173" s="124">
        <f t="shared" si="34"/>
        <v>120.2</v>
      </c>
      <c r="P173" s="125">
        <v>168</v>
      </c>
      <c r="Q173" s="126">
        <f t="shared" si="24"/>
        <v>1.0919999999999999</v>
      </c>
      <c r="R173" s="127">
        <f t="shared" si="32"/>
        <v>1.4196</v>
      </c>
      <c r="S173" s="127">
        <f t="shared" si="29"/>
        <v>-1.4196</v>
      </c>
      <c r="T173" s="128">
        <f t="shared" si="33"/>
        <v>119.99939999999999</v>
      </c>
      <c r="V173" s="124">
        <v>1172.7</v>
      </c>
      <c r="W173" s="124">
        <f t="shared" si="26"/>
        <v>202.18965517241381</v>
      </c>
      <c r="X173" s="124">
        <f t="shared" si="30"/>
        <v>96717.599999999962</v>
      </c>
      <c r="Y173" s="124">
        <f t="shared" si="36"/>
        <v>18199.2</v>
      </c>
      <c r="AA173" s="124">
        <v>10.3790016207895</v>
      </c>
    </row>
    <row r="174" spans="1:28" x14ac:dyDescent="0.25">
      <c r="A174" s="119"/>
      <c r="B174" s="39"/>
      <c r="C174" s="13">
        <v>41688</v>
      </c>
      <c r="D174">
        <v>6.3</v>
      </c>
      <c r="E174" s="25">
        <v>2.7</v>
      </c>
      <c r="F174">
        <v>10.199999999999999</v>
      </c>
      <c r="G174">
        <f t="shared" si="31"/>
        <v>1566.9999999999995</v>
      </c>
      <c r="H174">
        <f t="shared" si="35"/>
        <v>311.09999999999997</v>
      </c>
      <c r="J174" s="129">
        <v>0.6</v>
      </c>
      <c r="K174">
        <f t="shared" si="27"/>
        <v>426.70000000000016</v>
      </c>
      <c r="L174">
        <v>0.6</v>
      </c>
      <c r="M174">
        <f t="shared" si="28"/>
        <v>186.39999999999995</v>
      </c>
      <c r="N174">
        <f t="shared" si="25"/>
        <v>0</v>
      </c>
      <c r="O174" s="19">
        <f t="shared" si="34"/>
        <v>120.2</v>
      </c>
      <c r="P174" s="14">
        <v>169</v>
      </c>
      <c r="Q174" s="41">
        <f t="shared" si="24"/>
        <v>1.0939999999999999</v>
      </c>
      <c r="R174" s="16">
        <f t="shared" si="32"/>
        <v>0.65639999999999987</v>
      </c>
      <c r="S174" s="16">
        <f t="shared" si="29"/>
        <v>-5.6399999999999895E-2</v>
      </c>
      <c r="T174" s="132">
        <f t="shared" si="33"/>
        <v>119.943</v>
      </c>
      <c r="V174" s="21">
        <v>437.7</v>
      </c>
      <c r="W174">
        <f t="shared" si="26"/>
        <v>69.476190476190482</v>
      </c>
      <c r="X174">
        <f t="shared" si="30"/>
        <v>97155.299999999959</v>
      </c>
      <c r="Y174">
        <f t="shared" si="36"/>
        <v>18636.900000000001</v>
      </c>
      <c r="AA174">
        <v>10.431992185056201</v>
      </c>
    </row>
    <row r="175" spans="1:28" x14ac:dyDescent="0.25">
      <c r="A175" s="119"/>
      <c r="B175" s="39"/>
      <c r="C175" s="13">
        <v>41689</v>
      </c>
      <c r="D175">
        <v>7.6</v>
      </c>
      <c r="E175" s="25">
        <v>4.5</v>
      </c>
      <c r="F175">
        <v>10</v>
      </c>
      <c r="G175">
        <f t="shared" si="31"/>
        <v>1574.5999999999995</v>
      </c>
      <c r="H175">
        <f t="shared" si="35"/>
        <v>318.7</v>
      </c>
      <c r="J175" s="129">
        <v>1.4</v>
      </c>
      <c r="K175">
        <f t="shared" si="27"/>
        <v>428.10000000000014</v>
      </c>
      <c r="L175">
        <v>0.5</v>
      </c>
      <c r="M175">
        <f t="shared" si="28"/>
        <v>186.89999999999995</v>
      </c>
      <c r="N175">
        <f t="shared" si="25"/>
        <v>0.89999999999999991</v>
      </c>
      <c r="O175" s="19">
        <f t="shared" si="34"/>
        <v>121.10000000000001</v>
      </c>
      <c r="P175" s="14">
        <v>170</v>
      </c>
      <c r="Q175" s="41">
        <f t="shared" si="24"/>
        <v>1.0959999999999999</v>
      </c>
      <c r="R175" s="16">
        <f t="shared" si="32"/>
        <v>0.54799999999999993</v>
      </c>
      <c r="S175" s="16">
        <f t="shared" si="29"/>
        <v>0.85199999999999998</v>
      </c>
      <c r="T175" s="132">
        <f t="shared" si="33"/>
        <v>120.795</v>
      </c>
      <c r="V175" s="21">
        <v>437.8</v>
      </c>
      <c r="W175">
        <f t="shared" si="26"/>
        <v>57.60526315789474</v>
      </c>
      <c r="X175">
        <f t="shared" si="30"/>
        <v>97593.099999999962</v>
      </c>
      <c r="Y175">
        <f t="shared" si="36"/>
        <v>19074.7</v>
      </c>
      <c r="AA175">
        <v>10.4852518561687</v>
      </c>
    </row>
    <row r="176" spans="1:28" x14ac:dyDescent="0.25">
      <c r="A176" s="119"/>
      <c r="B176" s="39"/>
      <c r="C176" s="13">
        <v>41690</v>
      </c>
      <c r="D176">
        <v>9.1</v>
      </c>
      <c r="E176">
        <v>7.6</v>
      </c>
      <c r="F176">
        <v>10.6</v>
      </c>
      <c r="G176">
        <f t="shared" si="31"/>
        <v>1583.6999999999994</v>
      </c>
      <c r="H176">
        <f t="shared" si="35"/>
        <v>327.8</v>
      </c>
      <c r="J176" s="129">
        <v>3</v>
      </c>
      <c r="K176">
        <f t="shared" si="27"/>
        <v>431.10000000000014</v>
      </c>
      <c r="L176">
        <v>0.6</v>
      </c>
      <c r="M176">
        <f t="shared" si="28"/>
        <v>187.49999999999994</v>
      </c>
      <c r="N176">
        <f t="shared" si="25"/>
        <v>2.4</v>
      </c>
      <c r="O176" s="19">
        <v>122.1</v>
      </c>
      <c r="P176" s="14">
        <v>171</v>
      </c>
      <c r="Q176" s="41">
        <f t="shared" si="24"/>
        <v>1.0979999999999999</v>
      </c>
      <c r="R176" s="16">
        <f t="shared" si="32"/>
        <v>0.65879999999999994</v>
      </c>
      <c r="S176" s="16">
        <f t="shared" si="29"/>
        <v>2.3412000000000002</v>
      </c>
      <c r="T176" s="132">
        <f t="shared" si="33"/>
        <v>122.1</v>
      </c>
      <c r="V176" s="21">
        <v>242.1</v>
      </c>
      <c r="W176">
        <f t="shared" si="26"/>
        <v>26.604395604395606</v>
      </c>
      <c r="X176">
        <f t="shared" si="30"/>
        <v>97835.199999999968</v>
      </c>
      <c r="Y176">
        <f t="shared" si="36"/>
        <v>19316.8</v>
      </c>
      <c r="AA176">
        <v>10.5387658728016</v>
      </c>
    </row>
    <row r="177" spans="1:29" x14ac:dyDescent="0.25">
      <c r="A177" s="119"/>
      <c r="B177" s="39"/>
      <c r="C177" s="13">
        <v>41691</v>
      </c>
      <c r="D177">
        <v>6.3</v>
      </c>
      <c r="E177">
        <v>5.4</v>
      </c>
      <c r="F177">
        <v>8.6</v>
      </c>
      <c r="G177">
        <f t="shared" si="31"/>
        <v>1589.9999999999993</v>
      </c>
      <c r="H177">
        <f t="shared" si="35"/>
        <v>334.1</v>
      </c>
      <c r="J177" s="129">
        <v>1.5</v>
      </c>
      <c r="K177">
        <f t="shared" si="27"/>
        <v>432.60000000000014</v>
      </c>
      <c r="L177">
        <v>1.3</v>
      </c>
      <c r="M177">
        <f t="shared" si="28"/>
        <v>188.79999999999995</v>
      </c>
      <c r="N177">
        <f t="shared" si="25"/>
        <v>0.19999999999999996</v>
      </c>
      <c r="O177" s="19">
        <v>122.1</v>
      </c>
      <c r="P177" s="14">
        <v>172</v>
      </c>
      <c r="Q177" s="41">
        <f t="shared" si="24"/>
        <v>1.0999999999999999</v>
      </c>
      <c r="R177" s="16">
        <f t="shared" si="32"/>
        <v>1.43</v>
      </c>
      <c r="S177" s="16">
        <f t="shared" si="29"/>
        <v>7.0000000000000062E-2</v>
      </c>
      <c r="T177" s="132">
        <f t="shared" si="33"/>
        <v>122.1</v>
      </c>
      <c r="V177" s="21">
        <v>752.7</v>
      </c>
      <c r="W177">
        <f t="shared" si="26"/>
        <v>119.47619047619048</v>
      </c>
      <c r="X177">
        <f t="shared" si="30"/>
        <v>98587.899999999965</v>
      </c>
      <c r="Y177">
        <f t="shared" si="36"/>
        <v>20069.5</v>
      </c>
      <c r="AA177">
        <v>10.592520003518301</v>
      </c>
      <c r="AC177" t="s">
        <v>56</v>
      </c>
    </row>
    <row r="178" spans="1:29" x14ac:dyDescent="0.25">
      <c r="A178" s="119"/>
      <c r="B178" s="39"/>
      <c r="C178" s="13">
        <v>41692</v>
      </c>
      <c r="D178">
        <v>7.1</v>
      </c>
      <c r="E178" s="25">
        <v>4</v>
      </c>
      <c r="F178">
        <v>9.1999999999999993</v>
      </c>
      <c r="G178">
        <f t="shared" si="31"/>
        <v>1597.0999999999992</v>
      </c>
      <c r="H178">
        <f t="shared" si="35"/>
        <v>341.20000000000005</v>
      </c>
      <c r="J178" s="129">
        <v>1</v>
      </c>
      <c r="K178">
        <f t="shared" si="27"/>
        <v>433.60000000000014</v>
      </c>
      <c r="L178">
        <v>0.4</v>
      </c>
      <c r="M178">
        <f t="shared" si="28"/>
        <v>189.19999999999996</v>
      </c>
      <c r="N178">
        <f t="shared" si="25"/>
        <v>0.6</v>
      </c>
      <c r="O178" s="19">
        <v>122.1</v>
      </c>
      <c r="P178" s="14">
        <v>173</v>
      </c>
      <c r="Q178" s="41">
        <f t="shared" si="24"/>
        <v>1.1019999999999999</v>
      </c>
      <c r="R178" s="16">
        <f t="shared" si="32"/>
        <v>0.44079999999999997</v>
      </c>
      <c r="S178" s="16">
        <f t="shared" si="29"/>
        <v>0.55920000000000003</v>
      </c>
      <c r="T178" s="132">
        <f t="shared" si="33"/>
        <v>122.1</v>
      </c>
      <c r="V178" s="21">
        <v>225.7</v>
      </c>
      <c r="W178">
        <f t="shared" si="26"/>
        <v>31.788732394366196</v>
      </c>
      <c r="X178">
        <f t="shared" si="30"/>
        <v>98813.599999999962</v>
      </c>
      <c r="Y178">
        <f t="shared" si="36"/>
        <v>20295.2</v>
      </c>
      <c r="AA178">
        <v>10.646500533566901</v>
      </c>
      <c r="AC178" s="22">
        <f>(AB164*(70/140))+(AB190*(70/140))</f>
        <v>104.70045714285713</v>
      </c>
    </row>
    <row r="179" spans="1:29" x14ac:dyDescent="0.25">
      <c r="A179" s="119"/>
      <c r="B179" s="39"/>
      <c r="C179" s="13">
        <v>41693</v>
      </c>
      <c r="D179">
        <v>7.3</v>
      </c>
      <c r="E179" s="25">
        <v>3.7</v>
      </c>
      <c r="F179">
        <v>11.3</v>
      </c>
      <c r="G179">
        <f t="shared" si="31"/>
        <v>1604.3999999999992</v>
      </c>
      <c r="H179">
        <f t="shared" si="35"/>
        <v>348.50000000000006</v>
      </c>
      <c r="J179" s="129">
        <v>0</v>
      </c>
      <c r="K179">
        <f t="shared" si="27"/>
        <v>433.60000000000014</v>
      </c>
      <c r="L179">
        <v>1.5</v>
      </c>
      <c r="M179">
        <f t="shared" si="28"/>
        <v>190.69999999999996</v>
      </c>
      <c r="N179" s="9">
        <f t="shared" si="25"/>
        <v>-1.5</v>
      </c>
      <c r="O179" s="19">
        <f t="shared" si="34"/>
        <v>120.6</v>
      </c>
      <c r="P179" s="14">
        <v>174</v>
      </c>
      <c r="Q179" s="41">
        <f t="shared" si="24"/>
        <v>1.1039999999999999</v>
      </c>
      <c r="R179" s="16">
        <f t="shared" si="32"/>
        <v>1.6559999999999997</v>
      </c>
      <c r="S179" s="16">
        <f t="shared" si="29"/>
        <v>-1.6559999999999997</v>
      </c>
      <c r="T179" s="132">
        <f t="shared" si="33"/>
        <v>120.44399999999999</v>
      </c>
      <c r="V179">
        <v>1186.0999999999999</v>
      </c>
      <c r="W179">
        <f t="shared" si="26"/>
        <v>162.47945205479451</v>
      </c>
      <c r="X179">
        <f t="shared" si="30"/>
        <v>99999.699999999968</v>
      </c>
      <c r="Y179">
        <f t="shared" si="36"/>
        <v>21481.3</v>
      </c>
      <c r="AA179">
        <v>10.7006942509475</v>
      </c>
      <c r="AC179" t="s">
        <v>55</v>
      </c>
    </row>
    <row r="180" spans="1:29" x14ac:dyDescent="0.25">
      <c r="A180" s="119"/>
      <c r="B180" s="39"/>
      <c r="C180" s="13">
        <v>41694</v>
      </c>
      <c r="D180">
        <v>8.5</v>
      </c>
      <c r="E180" s="25">
        <v>0.9</v>
      </c>
      <c r="F180">
        <v>15.4</v>
      </c>
      <c r="G180">
        <f t="shared" si="31"/>
        <v>1612.8999999999992</v>
      </c>
      <c r="H180">
        <f t="shared" si="35"/>
        <v>357.00000000000006</v>
      </c>
      <c r="J180" s="129">
        <v>0</v>
      </c>
      <c r="K180">
        <f t="shared" si="27"/>
        <v>433.60000000000014</v>
      </c>
      <c r="L180">
        <v>2</v>
      </c>
      <c r="M180">
        <f t="shared" si="28"/>
        <v>192.69999999999996</v>
      </c>
      <c r="N180" s="9">
        <f t="shared" si="25"/>
        <v>-2</v>
      </c>
      <c r="O180" s="19">
        <f t="shared" si="34"/>
        <v>118.6</v>
      </c>
      <c r="P180" s="14">
        <v>175</v>
      </c>
      <c r="Q180" s="41">
        <f t="shared" si="24"/>
        <v>1.1059999999999999</v>
      </c>
      <c r="R180" s="16">
        <f t="shared" si="32"/>
        <v>2.2119999999999997</v>
      </c>
      <c r="S180" s="16">
        <f t="shared" si="29"/>
        <v>-2.2119999999999997</v>
      </c>
      <c r="T180" s="132">
        <f t="shared" si="33"/>
        <v>118.23199999999999</v>
      </c>
      <c r="V180">
        <v>1164.2</v>
      </c>
      <c r="W180">
        <f t="shared" si="26"/>
        <v>136.96470588235294</v>
      </c>
      <c r="X180">
        <f t="shared" si="30"/>
        <v>101163.89999999997</v>
      </c>
      <c r="Y180">
        <f t="shared" si="36"/>
        <v>22645.5</v>
      </c>
      <c r="AA180">
        <v>10.7550884318351</v>
      </c>
      <c r="AC180" s="22">
        <f>(AB166*(70/140))+(AB192*(70/140))</f>
        <v>5</v>
      </c>
    </row>
    <row r="181" spans="1:29" x14ac:dyDescent="0.25">
      <c r="A181" s="119"/>
      <c r="B181" s="39"/>
      <c r="C181" s="13">
        <v>41695</v>
      </c>
      <c r="D181">
        <v>8.6</v>
      </c>
      <c r="E181">
        <v>6.4</v>
      </c>
      <c r="F181">
        <v>11.6</v>
      </c>
      <c r="G181">
        <f t="shared" si="31"/>
        <v>1621.4999999999991</v>
      </c>
      <c r="H181">
        <f t="shared" si="35"/>
        <v>365.60000000000008</v>
      </c>
      <c r="J181" s="129">
        <v>5.4</v>
      </c>
      <c r="K181">
        <f t="shared" si="27"/>
        <v>439.00000000000011</v>
      </c>
      <c r="L181">
        <v>1.7</v>
      </c>
      <c r="M181">
        <f t="shared" si="28"/>
        <v>194.39999999999995</v>
      </c>
      <c r="N181">
        <f t="shared" si="25"/>
        <v>3.7</v>
      </c>
      <c r="O181" s="19">
        <v>122.1</v>
      </c>
      <c r="P181" s="14">
        <v>176</v>
      </c>
      <c r="Q181" s="41">
        <f t="shared" si="24"/>
        <v>1.1079999999999999</v>
      </c>
      <c r="R181" s="16">
        <f t="shared" si="32"/>
        <v>1.8835999999999997</v>
      </c>
      <c r="S181" s="16">
        <f t="shared" si="29"/>
        <v>3.5164000000000009</v>
      </c>
      <c r="T181" s="132">
        <f t="shared" si="33"/>
        <v>121.74839999999999</v>
      </c>
      <c r="V181" s="21">
        <v>618</v>
      </c>
      <c r="W181">
        <f t="shared" si="26"/>
        <v>71.860465116279073</v>
      </c>
      <c r="X181">
        <f t="shared" si="30"/>
        <v>101781.89999999997</v>
      </c>
      <c r="Y181">
        <f t="shared" si="36"/>
        <v>23263.5</v>
      </c>
      <c r="AA181">
        <v>10.8096708254366</v>
      </c>
      <c r="AC181" t="s">
        <v>54</v>
      </c>
    </row>
    <row r="182" spans="1:29" x14ac:dyDescent="0.25">
      <c r="A182" s="119"/>
      <c r="B182" s="39"/>
      <c r="C182" s="13">
        <v>41696</v>
      </c>
      <c r="D182" s="25">
        <v>5</v>
      </c>
      <c r="E182" s="25">
        <v>1.9</v>
      </c>
      <c r="F182">
        <v>8.3000000000000007</v>
      </c>
      <c r="G182">
        <f t="shared" si="31"/>
        <v>1626.4999999999991</v>
      </c>
      <c r="H182">
        <f t="shared" si="35"/>
        <v>370.60000000000008</v>
      </c>
      <c r="J182" s="129">
        <v>0.2</v>
      </c>
      <c r="K182">
        <f t="shared" si="27"/>
        <v>439.2000000000001</v>
      </c>
      <c r="L182">
        <v>1.2</v>
      </c>
      <c r="M182">
        <f t="shared" si="28"/>
        <v>195.59999999999994</v>
      </c>
      <c r="N182" s="9">
        <f t="shared" si="25"/>
        <v>-1</v>
      </c>
      <c r="O182" s="19">
        <f t="shared" si="34"/>
        <v>121.1</v>
      </c>
      <c r="P182" s="14">
        <v>177</v>
      </c>
      <c r="Q182" s="41">
        <f t="shared" si="24"/>
        <v>1.1099999999999999</v>
      </c>
      <c r="R182" s="16">
        <f t="shared" si="32"/>
        <v>1.3319999999999999</v>
      </c>
      <c r="S182" s="16">
        <f t="shared" si="29"/>
        <v>-1.1319999999999999</v>
      </c>
      <c r="T182" s="132">
        <f t="shared" si="33"/>
        <v>120.61639999999998</v>
      </c>
      <c r="V182">
        <v>1007.5</v>
      </c>
      <c r="W182">
        <f t="shared" si="26"/>
        <v>201.5</v>
      </c>
      <c r="X182">
        <f t="shared" si="30"/>
        <v>102789.39999999997</v>
      </c>
      <c r="Y182">
        <f t="shared" si="36"/>
        <v>24271</v>
      </c>
      <c r="AA182">
        <v>10.8644296383567</v>
      </c>
      <c r="AC182" s="22">
        <f>(AB168*(70/140))+(AB194*(70/140))</f>
        <v>3</v>
      </c>
    </row>
    <row r="183" spans="1:29" x14ac:dyDescent="0.25">
      <c r="A183" s="119"/>
      <c r="B183" s="39"/>
      <c r="C183" s="13">
        <v>41697</v>
      </c>
      <c r="D183">
        <v>5.5</v>
      </c>
      <c r="E183" s="25">
        <v>3.3</v>
      </c>
      <c r="F183">
        <v>7.2</v>
      </c>
      <c r="G183">
        <f t="shared" si="31"/>
        <v>1631.9999999999991</v>
      </c>
      <c r="H183">
        <f t="shared" si="35"/>
        <v>376.10000000000008</v>
      </c>
      <c r="J183" s="129">
        <v>13.7</v>
      </c>
      <c r="K183">
        <f t="shared" si="27"/>
        <v>452.90000000000009</v>
      </c>
      <c r="L183">
        <v>0.4</v>
      </c>
      <c r="M183">
        <f t="shared" si="28"/>
        <v>195.99999999999994</v>
      </c>
      <c r="N183">
        <f t="shared" si="25"/>
        <v>13.299999999999999</v>
      </c>
      <c r="O183" s="19">
        <v>122.1</v>
      </c>
      <c r="P183" s="14">
        <v>178</v>
      </c>
      <c r="Q183" s="41">
        <f t="shared" si="24"/>
        <v>1.1119999999999999</v>
      </c>
      <c r="R183" s="16">
        <f t="shared" si="32"/>
        <v>0.44479999999999997</v>
      </c>
      <c r="S183" s="16">
        <f t="shared" si="29"/>
        <v>13.255199999999999</v>
      </c>
      <c r="T183" s="132">
        <f t="shared" si="33"/>
        <v>122.1</v>
      </c>
      <c r="V183" s="21">
        <v>285.39999999999998</v>
      </c>
      <c r="W183">
        <f t="shared" si="26"/>
        <v>51.890909090909084</v>
      </c>
      <c r="X183">
        <f t="shared" si="30"/>
        <v>103074.79999999996</v>
      </c>
      <c r="Y183">
        <f t="shared" si="36"/>
        <v>24556.400000000001</v>
      </c>
      <c r="AA183">
        <v>10.9193535185382</v>
      </c>
      <c r="AC183" t="s">
        <v>53</v>
      </c>
    </row>
    <row r="184" spans="1:29" x14ac:dyDescent="0.25">
      <c r="A184" s="119"/>
      <c r="B184" s="39"/>
      <c r="C184" s="13">
        <v>41698</v>
      </c>
      <c r="D184">
        <v>6.8</v>
      </c>
      <c r="E184">
        <v>5.9</v>
      </c>
      <c r="F184">
        <v>8.5</v>
      </c>
      <c r="G184">
        <f t="shared" si="31"/>
        <v>1638.799999999999</v>
      </c>
      <c r="H184">
        <f t="shared" si="35"/>
        <v>382.90000000000009</v>
      </c>
      <c r="J184">
        <v>7.2</v>
      </c>
      <c r="K184">
        <f t="shared" si="27"/>
        <v>460.10000000000008</v>
      </c>
      <c r="L184">
        <v>1.5</v>
      </c>
      <c r="M184">
        <f t="shared" si="28"/>
        <v>197.49999999999994</v>
      </c>
      <c r="N184">
        <f t="shared" si="25"/>
        <v>5.7</v>
      </c>
      <c r="O184" s="19">
        <v>122.1</v>
      </c>
      <c r="P184" s="14">
        <v>179</v>
      </c>
      <c r="Q184" s="41">
        <f t="shared" si="24"/>
        <v>1.1139999999999999</v>
      </c>
      <c r="R184" s="16">
        <f t="shared" si="32"/>
        <v>1.6709999999999998</v>
      </c>
      <c r="S184" s="16">
        <f t="shared" si="29"/>
        <v>5.5289999999999999</v>
      </c>
      <c r="T184" s="20">
        <f t="shared" si="33"/>
        <v>122.1</v>
      </c>
      <c r="V184" s="21">
        <v>830.7</v>
      </c>
      <c r="W184">
        <f t="shared" si="26"/>
        <v>122.16176470588236</v>
      </c>
      <c r="X184">
        <f t="shared" si="30"/>
        <v>103905.49999999996</v>
      </c>
      <c r="Y184">
        <f t="shared" si="36"/>
        <v>25387.100000000002</v>
      </c>
      <c r="AA184">
        <v>10.974431538840699</v>
      </c>
      <c r="AC184" s="22">
        <f>(AB170*(70/140))+(AB196*(70/140))</f>
        <v>2</v>
      </c>
    </row>
    <row r="185" spans="1:29" x14ac:dyDescent="0.25">
      <c r="A185" s="119"/>
      <c r="B185" s="39"/>
      <c r="C185" s="13">
        <v>41699</v>
      </c>
      <c r="D185" s="25">
        <v>4.9000000000000004</v>
      </c>
      <c r="E185" s="25">
        <v>4.4000000000000004</v>
      </c>
      <c r="F185">
        <v>7.5</v>
      </c>
      <c r="G185">
        <f t="shared" si="31"/>
        <v>1643.6999999999991</v>
      </c>
      <c r="H185">
        <f t="shared" si="35"/>
        <v>387.80000000000007</v>
      </c>
      <c r="J185">
        <v>0</v>
      </c>
      <c r="K185">
        <f t="shared" si="27"/>
        <v>460.10000000000008</v>
      </c>
      <c r="L185">
        <v>1.6</v>
      </c>
      <c r="M185">
        <f t="shared" si="28"/>
        <v>199.09999999999994</v>
      </c>
      <c r="N185" s="9">
        <f t="shared" si="25"/>
        <v>-1.6</v>
      </c>
      <c r="O185" s="19">
        <f t="shared" si="34"/>
        <v>120.5</v>
      </c>
      <c r="P185" s="14">
        <v>180</v>
      </c>
      <c r="Q185" s="41">
        <f t="shared" si="24"/>
        <v>1.1159999999999999</v>
      </c>
      <c r="R185" s="16">
        <f t="shared" si="32"/>
        <v>1.7855999999999999</v>
      </c>
      <c r="S185" s="16">
        <f t="shared" si="29"/>
        <v>-1.7855999999999999</v>
      </c>
      <c r="T185" s="20">
        <f t="shared" si="33"/>
        <v>120.31439999999999</v>
      </c>
      <c r="V185">
        <v>1081.8</v>
      </c>
      <c r="W185">
        <f t="shared" si="26"/>
        <v>220.7755102040816</v>
      </c>
      <c r="X185">
        <f t="shared" si="30"/>
        <v>104987.29999999996</v>
      </c>
      <c r="Y185">
        <f t="shared" si="36"/>
        <v>26468.9</v>
      </c>
      <c r="AA185">
        <v>11.0296531803146</v>
      </c>
      <c r="AC185" t="s">
        <v>52</v>
      </c>
    </row>
    <row r="186" spans="1:29" x14ac:dyDescent="0.25">
      <c r="A186" s="119"/>
      <c r="B186" s="39"/>
      <c r="C186" s="13">
        <v>41700</v>
      </c>
      <c r="D186">
        <v>5.0999999999999996</v>
      </c>
      <c r="E186" s="24">
        <v>-1.4</v>
      </c>
      <c r="F186">
        <v>10</v>
      </c>
      <c r="G186">
        <f t="shared" si="31"/>
        <v>1648.799999999999</v>
      </c>
      <c r="H186">
        <f t="shared" si="35"/>
        <v>392.90000000000009</v>
      </c>
      <c r="J186">
        <v>4.2</v>
      </c>
      <c r="K186">
        <f t="shared" si="27"/>
        <v>464.30000000000007</v>
      </c>
      <c r="L186">
        <v>1.4</v>
      </c>
      <c r="M186">
        <f t="shared" si="28"/>
        <v>200.49999999999994</v>
      </c>
      <c r="N186">
        <f t="shared" si="25"/>
        <v>2.8000000000000003</v>
      </c>
      <c r="O186" s="19">
        <v>122.1</v>
      </c>
      <c r="P186" s="14">
        <v>181</v>
      </c>
      <c r="Q186" s="41">
        <f t="shared" si="24"/>
        <v>1.1179999999999999</v>
      </c>
      <c r="R186" s="16">
        <f t="shared" si="32"/>
        <v>1.5651999999999997</v>
      </c>
      <c r="S186" s="16">
        <f t="shared" si="29"/>
        <v>2.6348000000000003</v>
      </c>
      <c r="T186" s="20">
        <f t="shared" si="33"/>
        <v>122.1</v>
      </c>
      <c r="V186">
        <v>1259.3</v>
      </c>
      <c r="W186">
        <f t="shared" si="26"/>
        <v>246.92156862745099</v>
      </c>
      <c r="X186">
        <f t="shared" si="30"/>
        <v>106246.59999999996</v>
      </c>
      <c r="Y186">
        <f t="shared" si="36"/>
        <v>27728.2</v>
      </c>
      <c r="AA186">
        <v>11.0850083152216</v>
      </c>
      <c r="AC186" s="23">
        <f>(AB172*(70/140))+(AB198*(70/140))</f>
        <v>20.549999999999997</v>
      </c>
    </row>
    <row r="187" spans="1:29" x14ac:dyDescent="0.25">
      <c r="A187" s="119"/>
      <c r="B187" s="39"/>
      <c r="C187" s="13">
        <v>41701</v>
      </c>
      <c r="D187">
        <v>5.7</v>
      </c>
      <c r="E187" s="25">
        <v>3.8</v>
      </c>
      <c r="F187">
        <v>8.4</v>
      </c>
      <c r="G187">
        <f t="shared" si="31"/>
        <v>1654.4999999999991</v>
      </c>
      <c r="H187">
        <f t="shared" si="35"/>
        <v>398.60000000000008</v>
      </c>
      <c r="J187">
        <v>2.9</v>
      </c>
      <c r="K187">
        <f t="shared" si="27"/>
        <v>467.20000000000005</v>
      </c>
      <c r="L187">
        <v>1.1000000000000001</v>
      </c>
      <c r="M187">
        <f t="shared" si="28"/>
        <v>201.59999999999994</v>
      </c>
      <c r="N187">
        <f t="shared" si="25"/>
        <v>1.7999999999999998</v>
      </c>
      <c r="O187" s="19">
        <v>122.1</v>
      </c>
      <c r="P187" s="14">
        <v>182</v>
      </c>
      <c r="Q187" s="41">
        <f t="shared" si="24"/>
        <v>1.1199999999999999</v>
      </c>
      <c r="R187" s="16">
        <f t="shared" si="32"/>
        <v>1.232</v>
      </c>
      <c r="S187" s="16">
        <f t="shared" si="29"/>
        <v>1.6679999999999999</v>
      </c>
      <c r="T187" s="20">
        <f t="shared" si="33"/>
        <v>122.1</v>
      </c>
      <c r="V187" s="21">
        <v>605.1</v>
      </c>
      <c r="W187">
        <f t="shared" si="26"/>
        <v>106.15789473684211</v>
      </c>
      <c r="X187">
        <f t="shared" si="30"/>
        <v>106851.69999999997</v>
      </c>
      <c r="Y187">
        <f t="shared" si="36"/>
        <v>28333.3</v>
      </c>
      <c r="AA187">
        <v>11.140487189850999</v>
      </c>
    </row>
    <row r="188" spans="1:29" x14ac:dyDescent="0.25">
      <c r="A188" s="119"/>
      <c r="B188" s="39"/>
      <c r="C188" s="13">
        <v>41702</v>
      </c>
      <c r="D188">
        <v>5.9</v>
      </c>
      <c r="E188" s="25">
        <v>4.2</v>
      </c>
      <c r="F188">
        <v>8.8000000000000007</v>
      </c>
      <c r="G188">
        <f t="shared" si="31"/>
        <v>1660.3999999999992</v>
      </c>
      <c r="H188">
        <f t="shared" si="35"/>
        <v>404.50000000000006</v>
      </c>
      <c r="J188">
        <v>0</v>
      </c>
      <c r="K188">
        <f t="shared" si="27"/>
        <v>467.20000000000005</v>
      </c>
      <c r="L188">
        <v>1.1000000000000001</v>
      </c>
      <c r="M188">
        <f t="shared" si="28"/>
        <v>202.69999999999993</v>
      </c>
      <c r="N188" s="9">
        <f t="shared" si="25"/>
        <v>-1.1000000000000001</v>
      </c>
      <c r="O188" s="19">
        <f t="shared" si="34"/>
        <v>121</v>
      </c>
      <c r="P188" s="14">
        <v>183</v>
      </c>
      <c r="Q188" s="41">
        <f t="shared" si="24"/>
        <v>1.1219999999999999</v>
      </c>
      <c r="R188" s="16">
        <f t="shared" si="32"/>
        <v>1.2342</v>
      </c>
      <c r="S188" s="16">
        <f t="shared" si="29"/>
        <v>-1.2342</v>
      </c>
      <c r="T188" s="20">
        <f t="shared" si="33"/>
        <v>120.86579999999999</v>
      </c>
      <c r="V188" s="21">
        <v>716.3</v>
      </c>
      <c r="W188">
        <f t="shared" si="26"/>
        <v>121.40677966101694</v>
      </c>
      <c r="X188">
        <f t="shared" si="30"/>
        <v>107567.99999999997</v>
      </c>
      <c r="Y188">
        <f t="shared" si="36"/>
        <v>29049.599999999999</v>
      </c>
      <c r="AA188">
        <v>11.196080407173399</v>
      </c>
    </row>
    <row r="189" spans="1:29" x14ac:dyDescent="0.25">
      <c r="A189" s="119"/>
      <c r="B189" s="39"/>
      <c r="C189" s="13">
        <v>41703</v>
      </c>
      <c r="D189">
        <v>5.5</v>
      </c>
      <c r="E189" s="25">
        <v>0.2</v>
      </c>
      <c r="F189">
        <v>11.4</v>
      </c>
      <c r="G189">
        <f t="shared" si="31"/>
        <v>1665.8999999999992</v>
      </c>
      <c r="H189">
        <f t="shared" si="35"/>
        <v>410.00000000000006</v>
      </c>
      <c r="J189" s="129">
        <v>0</v>
      </c>
      <c r="K189">
        <f t="shared" si="27"/>
        <v>467.20000000000005</v>
      </c>
      <c r="L189">
        <v>1.6</v>
      </c>
      <c r="M189">
        <f t="shared" si="28"/>
        <v>204.29999999999993</v>
      </c>
      <c r="N189" s="9">
        <f t="shared" si="25"/>
        <v>-1.6</v>
      </c>
      <c r="O189" s="19">
        <f t="shared" si="34"/>
        <v>119.4</v>
      </c>
      <c r="P189" s="14">
        <v>184</v>
      </c>
      <c r="Q189" s="41">
        <f t="shared" si="24"/>
        <v>1.1239999999999999</v>
      </c>
      <c r="R189" s="16">
        <f t="shared" si="32"/>
        <v>1.7984</v>
      </c>
      <c r="S189" s="16">
        <f t="shared" si="29"/>
        <v>-1.7984</v>
      </c>
      <c r="T189" s="20">
        <f t="shared" si="33"/>
        <v>119.06739999999999</v>
      </c>
      <c r="V189">
        <v>1467.4</v>
      </c>
      <c r="W189">
        <f t="shared" si="26"/>
        <v>266.8</v>
      </c>
      <c r="X189">
        <f t="shared" si="30"/>
        <v>109035.39999999997</v>
      </c>
      <c r="Y189">
        <f t="shared" si="36"/>
        <v>30517</v>
      </c>
      <c r="AA189">
        <v>11.25177890937</v>
      </c>
      <c r="AB189" s="135" t="s">
        <v>56</v>
      </c>
    </row>
    <row r="190" spans="1:29" x14ac:dyDescent="0.25">
      <c r="A190" s="119"/>
      <c r="B190" s="39"/>
      <c r="C190" s="13">
        <v>41704</v>
      </c>
      <c r="D190">
        <v>6.2</v>
      </c>
      <c r="E190" s="25">
        <v>0.8</v>
      </c>
      <c r="F190">
        <v>12.4</v>
      </c>
      <c r="G190">
        <f t="shared" si="31"/>
        <v>1672.0999999999992</v>
      </c>
      <c r="H190">
        <f t="shared" si="35"/>
        <v>416.20000000000005</v>
      </c>
      <c r="J190" s="129">
        <v>0</v>
      </c>
      <c r="K190">
        <f t="shared" si="27"/>
        <v>467.20000000000005</v>
      </c>
      <c r="L190">
        <v>2.1</v>
      </c>
      <c r="M190">
        <f t="shared" si="28"/>
        <v>206.39999999999992</v>
      </c>
      <c r="N190" s="9">
        <f t="shared" si="25"/>
        <v>-2.1</v>
      </c>
      <c r="O190" s="19">
        <f t="shared" si="34"/>
        <v>117.30000000000001</v>
      </c>
      <c r="P190" s="14">
        <v>185</v>
      </c>
      <c r="Q190" s="41">
        <f t="shared" si="24"/>
        <v>1.1259999999999999</v>
      </c>
      <c r="R190" s="16">
        <f t="shared" si="32"/>
        <v>2.3645999999999998</v>
      </c>
      <c r="S190" s="16">
        <f t="shared" si="29"/>
        <v>-2.3645999999999998</v>
      </c>
      <c r="T190" s="20">
        <f t="shared" si="33"/>
        <v>116.7028</v>
      </c>
      <c r="V190">
        <v>1660.5</v>
      </c>
      <c r="W190">
        <f t="shared" si="26"/>
        <v>267.82258064516128</v>
      </c>
      <c r="X190">
        <f t="shared" si="30"/>
        <v>110695.89999999997</v>
      </c>
      <c r="Y190">
        <f t="shared" si="36"/>
        <v>32177.5</v>
      </c>
      <c r="AA190">
        <v>11.3075739602747</v>
      </c>
      <c r="AB190" s="22">
        <f>AVERAGE(T196:T209)</f>
        <v>88.272542857142867</v>
      </c>
    </row>
    <row r="191" spans="1:29" x14ac:dyDescent="0.25">
      <c r="A191" s="119"/>
      <c r="B191" s="39"/>
      <c r="C191" s="13">
        <v>41705</v>
      </c>
      <c r="D191">
        <v>6.8</v>
      </c>
      <c r="E191" s="24">
        <v>-0.5</v>
      </c>
      <c r="F191">
        <v>13.9</v>
      </c>
      <c r="G191">
        <f t="shared" si="31"/>
        <v>1678.8999999999992</v>
      </c>
      <c r="H191">
        <f t="shared" si="35"/>
        <v>423.00000000000006</v>
      </c>
      <c r="J191" s="129">
        <v>0</v>
      </c>
      <c r="K191">
        <f t="shared" si="27"/>
        <v>467.20000000000005</v>
      </c>
      <c r="L191">
        <v>1.9</v>
      </c>
      <c r="M191">
        <f t="shared" si="28"/>
        <v>208.29999999999993</v>
      </c>
      <c r="N191" s="9">
        <f t="shared" si="25"/>
        <v>-1.9</v>
      </c>
      <c r="O191" s="19">
        <f t="shared" si="34"/>
        <v>115.4</v>
      </c>
      <c r="P191" s="14">
        <v>186</v>
      </c>
      <c r="Q191" s="41">
        <f t="shared" si="24"/>
        <v>1.1279999999999999</v>
      </c>
      <c r="R191" s="16">
        <f t="shared" si="32"/>
        <v>2.1431999999999998</v>
      </c>
      <c r="S191" s="16">
        <f t="shared" si="29"/>
        <v>-2.1431999999999998</v>
      </c>
      <c r="T191" s="20">
        <f t="shared" si="33"/>
        <v>114.5596</v>
      </c>
      <c r="V191">
        <v>1470</v>
      </c>
      <c r="W191">
        <f t="shared" si="26"/>
        <v>216.1764705882353</v>
      </c>
      <c r="X191">
        <f t="shared" si="30"/>
        <v>112165.89999999997</v>
      </c>
      <c r="Y191">
        <f t="shared" si="36"/>
        <v>33647.5</v>
      </c>
      <c r="AA191">
        <v>11.363457127755799</v>
      </c>
      <c r="AB191" s="135" t="s">
        <v>55</v>
      </c>
    </row>
    <row r="192" spans="1:29" x14ac:dyDescent="0.25">
      <c r="A192" s="119"/>
      <c r="B192" s="39"/>
      <c r="C192" s="13">
        <v>41706</v>
      </c>
      <c r="D192">
        <v>8.8000000000000007</v>
      </c>
      <c r="E192" s="25">
        <v>2.2000000000000002</v>
      </c>
      <c r="F192">
        <v>15.8</v>
      </c>
      <c r="G192">
        <f t="shared" si="31"/>
        <v>1687.6999999999991</v>
      </c>
      <c r="H192">
        <f t="shared" si="35"/>
        <v>431.80000000000007</v>
      </c>
      <c r="J192" s="129">
        <v>0</v>
      </c>
      <c r="K192">
        <f t="shared" si="27"/>
        <v>467.20000000000005</v>
      </c>
      <c r="L192">
        <v>2.6</v>
      </c>
      <c r="M192">
        <f t="shared" si="28"/>
        <v>210.89999999999992</v>
      </c>
      <c r="N192" s="9">
        <f t="shared" si="25"/>
        <v>-2.6</v>
      </c>
      <c r="O192" s="19">
        <f t="shared" si="34"/>
        <v>112.80000000000001</v>
      </c>
      <c r="P192" s="14">
        <v>187</v>
      </c>
      <c r="Q192" s="41">
        <f t="shared" si="24"/>
        <v>1.1299999999999999</v>
      </c>
      <c r="R192" s="16">
        <f t="shared" si="32"/>
        <v>2.9379999999999997</v>
      </c>
      <c r="S192" s="16">
        <f t="shared" si="29"/>
        <v>-2.9379999999999997</v>
      </c>
      <c r="T192" s="20">
        <f t="shared" si="33"/>
        <v>111.6216</v>
      </c>
      <c r="V192">
        <v>1698.1</v>
      </c>
      <c r="W192">
        <f t="shared" si="26"/>
        <v>192.96590909090907</v>
      </c>
      <c r="X192">
        <f t="shared" si="30"/>
        <v>113863.99999999997</v>
      </c>
      <c r="Y192">
        <f t="shared" si="36"/>
        <v>35345.599999999999</v>
      </c>
      <c r="AA192">
        <v>11.4194202660684</v>
      </c>
      <c r="AB192">
        <v>10</v>
      </c>
    </row>
    <row r="193" spans="1:55" x14ac:dyDescent="0.25">
      <c r="A193" s="119"/>
      <c r="B193" s="39"/>
      <c r="C193" s="13">
        <v>41707</v>
      </c>
      <c r="D193">
        <v>10.4</v>
      </c>
      <c r="E193" s="25">
        <v>2.5</v>
      </c>
      <c r="F193">
        <v>18.8</v>
      </c>
      <c r="G193">
        <f t="shared" si="31"/>
        <v>1698.0999999999992</v>
      </c>
      <c r="H193">
        <f t="shared" si="35"/>
        <v>442.20000000000005</v>
      </c>
      <c r="J193" s="129">
        <v>0</v>
      </c>
      <c r="K193">
        <f t="shared" si="27"/>
        <v>467.20000000000005</v>
      </c>
      <c r="L193">
        <v>3</v>
      </c>
      <c r="M193">
        <f t="shared" si="28"/>
        <v>213.89999999999992</v>
      </c>
      <c r="N193" s="9">
        <f t="shared" si="25"/>
        <v>-3</v>
      </c>
      <c r="O193" s="19">
        <f t="shared" si="34"/>
        <v>109.80000000000001</v>
      </c>
      <c r="P193" s="14">
        <v>188</v>
      </c>
      <c r="Q193" s="41">
        <f t="shared" ref="Q193:Q202" si="37">1+((P193-122)/75)*(1.15-1)</f>
        <v>1.1319999999999999</v>
      </c>
      <c r="R193" s="16">
        <f t="shared" si="32"/>
        <v>3.3959999999999999</v>
      </c>
      <c r="S193" s="16">
        <f t="shared" si="29"/>
        <v>-3.3959999999999999</v>
      </c>
      <c r="T193" s="20">
        <f t="shared" si="33"/>
        <v>108.2256</v>
      </c>
      <c r="V193">
        <v>1737.3</v>
      </c>
      <c r="W193">
        <f t="shared" si="26"/>
        <v>167.04807692307691</v>
      </c>
      <c r="X193">
        <f t="shared" si="30"/>
        <v>115601.29999999997</v>
      </c>
      <c r="Y193">
        <f t="shared" si="36"/>
        <v>37082.9</v>
      </c>
      <c r="AA193">
        <v>11.4754554981985</v>
      </c>
      <c r="AB193" s="135" t="s">
        <v>54</v>
      </c>
    </row>
    <row r="194" spans="1:55" x14ac:dyDescent="0.25">
      <c r="A194" s="119"/>
      <c r="B194" s="39"/>
      <c r="C194" s="13">
        <v>41708</v>
      </c>
      <c r="D194">
        <v>9.9</v>
      </c>
      <c r="E194" s="25">
        <v>3.1</v>
      </c>
      <c r="F194">
        <v>17.5</v>
      </c>
      <c r="G194">
        <f t="shared" si="31"/>
        <v>1707.9999999999993</v>
      </c>
      <c r="H194">
        <f t="shared" si="35"/>
        <v>452.1</v>
      </c>
      <c r="J194" s="129">
        <v>0</v>
      </c>
      <c r="K194">
        <f t="shared" si="27"/>
        <v>467.20000000000005</v>
      </c>
      <c r="L194">
        <v>2.8</v>
      </c>
      <c r="M194">
        <f t="shared" si="28"/>
        <v>216.69999999999993</v>
      </c>
      <c r="N194" s="9">
        <f t="shared" si="25"/>
        <v>-2.8</v>
      </c>
      <c r="O194" s="19">
        <f t="shared" si="34"/>
        <v>107.00000000000001</v>
      </c>
      <c r="P194" s="14">
        <v>189</v>
      </c>
      <c r="Q194" s="41">
        <f t="shared" si="37"/>
        <v>1.1339999999999999</v>
      </c>
      <c r="R194" s="16">
        <f t="shared" si="32"/>
        <v>3.1751999999999994</v>
      </c>
      <c r="S194" s="16">
        <f t="shared" si="29"/>
        <v>-3.1751999999999994</v>
      </c>
      <c r="T194" s="20">
        <f t="shared" si="33"/>
        <v>105.0504</v>
      </c>
      <c r="V194">
        <v>1748.1</v>
      </c>
      <c r="W194">
        <f t="shared" si="26"/>
        <v>176.57575757575756</v>
      </c>
      <c r="X194">
        <f t="shared" si="30"/>
        <v>117349.39999999998</v>
      </c>
      <c r="Y194">
        <f t="shared" si="36"/>
        <v>38831</v>
      </c>
      <c r="AA194">
        <v>11.53155519822</v>
      </c>
      <c r="AB194">
        <v>4</v>
      </c>
    </row>
    <row r="195" spans="1:55" x14ac:dyDescent="0.25">
      <c r="A195" s="119"/>
      <c r="B195" s="39"/>
      <c r="C195" s="13">
        <v>41709</v>
      </c>
      <c r="D195">
        <v>9.9</v>
      </c>
      <c r="E195">
        <v>5.6</v>
      </c>
      <c r="F195">
        <v>14.5</v>
      </c>
      <c r="G195">
        <f t="shared" si="31"/>
        <v>1717.8999999999994</v>
      </c>
      <c r="H195">
        <f t="shared" si="35"/>
        <v>462</v>
      </c>
      <c r="J195" s="129">
        <v>0</v>
      </c>
      <c r="K195">
        <f t="shared" si="27"/>
        <v>467.20000000000005</v>
      </c>
      <c r="L195">
        <v>2.6</v>
      </c>
      <c r="M195">
        <f t="shared" si="28"/>
        <v>219.29999999999993</v>
      </c>
      <c r="N195" s="9">
        <f t="shared" si="25"/>
        <v>-2.6</v>
      </c>
      <c r="O195" s="19">
        <f t="shared" si="34"/>
        <v>104.40000000000002</v>
      </c>
      <c r="P195" s="14">
        <v>190</v>
      </c>
      <c r="Q195" s="41">
        <f t="shared" si="37"/>
        <v>1.1359999999999999</v>
      </c>
      <c r="R195" s="16">
        <f t="shared" si="32"/>
        <v>2.9535999999999998</v>
      </c>
      <c r="S195" s="16">
        <f t="shared" si="29"/>
        <v>-2.9535999999999998</v>
      </c>
      <c r="T195" s="20">
        <f t="shared" si="33"/>
        <v>102.0968</v>
      </c>
      <c r="V195">
        <v>1696.9</v>
      </c>
      <c r="W195">
        <f t="shared" si="26"/>
        <v>171.40404040404042</v>
      </c>
      <c r="X195">
        <f t="shared" si="30"/>
        <v>119046.29999999997</v>
      </c>
      <c r="Y195">
        <f t="shared" si="36"/>
        <v>40527.9</v>
      </c>
      <c r="AA195">
        <v>11.587711973684099</v>
      </c>
      <c r="AB195" s="135" t="s">
        <v>53</v>
      </c>
    </row>
    <row r="196" spans="1:55" s="11" customFormat="1" x14ac:dyDescent="0.25">
      <c r="A196" s="119"/>
      <c r="B196" s="39"/>
      <c r="C196" s="10">
        <v>41710</v>
      </c>
      <c r="D196" s="5">
        <v>8.6</v>
      </c>
      <c r="E196" s="5">
        <v>3.5</v>
      </c>
      <c r="F196" s="5">
        <v>15</v>
      </c>
      <c r="G196" s="5">
        <f t="shared" si="31"/>
        <v>1726.4999999999993</v>
      </c>
      <c r="H196" s="5">
        <f t="shared" si="35"/>
        <v>470.6</v>
      </c>
      <c r="I196" s="5"/>
      <c r="J196" s="129">
        <v>0</v>
      </c>
      <c r="K196" s="5">
        <f t="shared" si="27"/>
        <v>467.20000000000005</v>
      </c>
      <c r="L196" s="5">
        <v>2.6</v>
      </c>
      <c r="M196" s="5">
        <f t="shared" si="28"/>
        <v>221.89999999999992</v>
      </c>
      <c r="N196" s="5">
        <f t="shared" si="25"/>
        <v>-2.6</v>
      </c>
      <c r="O196" s="19">
        <f t="shared" si="34"/>
        <v>101.80000000000003</v>
      </c>
      <c r="P196" s="14">
        <v>191</v>
      </c>
      <c r="Q196" s="41">
        <f t="shared" si="37"/>
        <v>1.1379999999999999</v>
      </c>
      <c r="R196" s="16">
        <f t="shared" si="32"/>
        <v>2.9587999999999997</v>
      </c>
      <c r="S196" s="16">
        <f t="shared" si="29"/>
        <v>-2.9587999999999997</v>
      </c>
      <c r="T196" s="132">
        <f t="shared" si="33"/>
        <v>99.138000000000005</v>
      </c>
      <c r="U196" s="5"/>
      <c r="V196" s="5">
        <v>1793.3</v>
      </c>
      <c r="W196" s="5">
        <f t="shared" si="26"/>
        <v>208.52325581395348</v>
      </c>
      <c r="X196" s="5">
        <f t="shared" si="30"/>
        <v>120839.59999999998</v>
      </c>
      <c r="Y196">
        <f t="shared" si="36"/>
        <v>42321.200000000004</v>
      </c>
      <c r="Z196" s="5"/>
      <c r="AA196" s="5">
        <v>11.6439186480532</v>
      </c>
      <c r="AB196" s="5">
        <v>0</v>
      </c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</row>
    <row r="197" spans="1:55" x14ac:dyDescent="0.25">
      <c r="A197" s="119"/>
      <c r="B197" s="39"/>
      <c r="C197" s="13">
        <v>41711</v>
      </c>
      <c r="D197">
        <v>9.3000000000000007</v>
      </c>
      <c r="E197" s="25">
        <v>1.7</v>
      </c>
      <c r="F197">
        <v>16.899999999999999</v>
      </c>
      <c r="G197">
        <f t="shared" si="31"/>
        <v>1735.7999999999993</v>
      </c>
      <c r="H197">
        <f t="shared" si="35"/>
        <v>479.90000000000003</v>
      </c>
      <c r="J197" s="129">
        <v>0</v>
      </c>
      <c r="K197">
        <f t="shared" si="27"/>
        <v>467.20000000000005</v>
      </c>
      <c r="L197">
        <v>2.4</v>
      </c>
      <c r="M197">
        <f t="shared" si="28"/>
        <v>224.29999999999993</v>
      </c>
      <c r="N197" s="9">
        <f t="shared" si="25"/>
        <v>-2.4</v>
      </c>
      <c r="O197" s="19">
        <f t="shared" si="34"/>
        <v>99.40000000000002</v>
      </c>
      <c r="P197" s="14">
        <v>192</v>
      </c>
      <c r="Q197" s="41">
        <f t="shared" si="37"/>
        <v>1.1399999999999999</v>
      </c>
      <c r="R197" s="16">
        <f t="shared" si="32"/>
        <v>2.7359999999999998</v>
      </c>
      <c r="S197" s="16">
        <f t="shared" si="29"/>
        <v>-2.7359999999999998</v>
      </c>
      <c r="T197" s="132">
        <f t="shared" si="33"/>
        <v>96.402000000000001</v>
      </c>
      <c r="V197">
        <v>1805.6</v>
      </c>
      <c r="W197">
        <f t="shared" si="26"/>
        <v>194.15053763440858</v>
      </c>
      <c r="X197">
        <f t="shared" si="30"/>
        <v>122645.19999999998</v>
      </c>
      <c r="Y197">
        <f t="shared" si="36"/>
        <v>44126.8</v>
      </c>
      <c r="AA197">
        <v>11.700168243194501</v>
      </c>
      <c r="AB197" s="135" t="s">
        <v>52</v>
      </c>
    </row>
    <row r="198" spans="1:55" x14ac:dyDescent="0.25">
      <c r="A198" s="119"/>
      <c r="B198" s="39"/>
      <c r="C198" s="13">
        <v>41712</v>
      </c>
      <c r="D198">
        <v>10</v>
      </c>
      <c r="E198" s="25">
        <v>3.1</v>
      </c>
      <c r="F198">
        <v>16.5</v>
      </c>
      <c r="G198">
        <f t="shared" si="31"/>
        <v>1745.7999999999993</v>
      </c>
      <c r="H198">
        <f t="shared" si="35"/>
        <v>489.90000000000003</v>
      </c>
      <c r="J198" s="129">
        <v>0</v>
      </c>
      <c r="K198">
        <f t="shared" si="27"/>
        <v>467.20000000000005</v>
      </c>
      <c r="L198">
        <v>2.4</v>
      </c>
      <c r="M198">
        <f t="shared" si="28"/>
        <v>226.69999999999993</v>
      </c>
      <c r="N198" s="9">
        <f t="shared" ref="N198:N261" si="38">J198-L198</f>
        <v>-2.4</v>
      </c>
      <c r="O198" s="19">
        <f t="shared" si="34"/>
        <v>97.000000000000014</v>
      </c>
      <c r="P198" s="14">
        <v>193</v>
      </c>
      <c r="Q198" s="41">
        <f t="shared" si="37"/>
        <v>1.1419999999999999</v>
      </c>
      <c r="R198" s="16">
        <f t="shared" si="32"/>
        <v>2.7407999999999997</v>
      </c>
      <c r="S198" s="16">
        <f t="shared" si="29"/>
        <v>-2.7407999999999997</v>
      </c>
      <c r="T198" s="132">
        <f t="shared" si="33"/>
        <v>93.661200000000008</v>
      </c>
      <c r="V198">
        <v>1799.7</v>
      </c>
      <c r="W198">
        <f t="shared" ref="W198:W261" si="39">V198/D198</f>
        <v>179.97</v>
      </c>
      <c r="X198">
        <f t="shared" si="30"/>
        <v>124444.89999999998</v>
      </c>
      <c r="Y198">
        <f t="shared" si="36"/>
        <v>45926.5</v>
      </c>
      <c r="AA198">
        <v>11.756453961942601</v>
      </c>
      <c r="AB198">
        <f>SUM(J200:J209)</f>
        <v>14.3</v>
      </c>
    </row>
    <row r="199" spans="1:55" s="124" customFormat="1" x14ac:dyDescent="0.25">
      <c r="A199" s="119"/>
      <c r="B199" s="122" t="s">
        <v>57</v>
      </c>
      <c r="C199" s="123">
        <v>41713</v>
      </c>
      <c r="D199" s="124">
        <v>7.1</v>
      </c>
      <c r="E199" s="124">
        <v>5.0999999999999996</v>
      </c>
      <c r="F199" s="124">
        <v>9.6</v>
      </c>
      <c r="G199" s="124">
        <f t="shared" si="31"/>
        <v>1752.8999999999992</v>
      </c>
      <c r="H199" s="124">
        <f t="shared" si="35"/>
        <v>497.00000000000006</v>
      </c>
      <c r="J199" s="124">
        <v>0</v>
      </c>
      <c r="K199" s="124">
        <f t="shared" ref="K199:K262" si="40">K198+J199</f>
        <v>467.20000000000005</v>
      </c>
      <c r="L199" s="124">
        <v>0.8</v>
      </c>
      <c r="M199" s="124">
        <f t="shared" ref="M199:M262" si="41">M198+L199</f>
        <v>227.49999999999994</v>
      </c>
      <c r="N199" s="124">
        <f t="shared" si="38"/>
        <v>-0.8</v>
      </c>
      <c r="O199" s="124">
        <f t="shared" si="34"/>
        <v>96.200000000000017</v>
      </c>
      <c r="P199" s="125">
        <v>194</v>
      </c>
      <c r="Q199" s="126">
        <f t="shared" si="37"/>
        <v>1.1439999999999999</v>
      </c>
      <c r="R199" s="127">
        <f t="shared" si="32"/>
        <v>0.91520000000000001</v>
      </c>
      <c r="S199" s="127">
        <f t="shared" ref="S199:S262" si="42">J199-R199</f>
        <v>-0.91520000000000001</v>
      </c>
      <c r="T199" s="128">
        <f t="shared" si="33"/>
        <v>92.746000000000009</v>
      </c>
      <c r="V199" s="124">
        <v>493.3</v>
      </c>
      <c r="W199" s="124">
        <f t="shared" si="39"/>
        <v>69.478873239436624</v>
      </c>
      <c r="X199" s="124">
        <f t="shared" ref="X199:X262" si="43">X198+V199</f>
        <v>124938.19999999998</v>
      </c>
      <c r="Y199" s="124">
        <f t="shared" si="36"/>
        <v>46419.8</v>
      </c>
      <c r="AA199" s="124">
        <v>11.8127691707385</v>
      </c>
    </row>
    <row r="200" spans="1:55" x14ac:dyDescent="0.25">
      <c r="A200" s="119"/>
      <c r="B200" s="39"/>
      <c r="C200" s="13">
        <v>41714</v>
      </c>
      <c r="D200">
        <v>7.7</v>
      </c>
      <c r="E200" s="25">
        <v>4.4000000000000004</v>
      </c>
      <c r="F200">
        <v>11.5</v>
      </c>
      <c r="G200">
        <f t="shared" ref="G200:G263" si="44">G199+D200</f>
        <v>1760.5999999999992</v>
      </c>
      <c r="H200">
        <f t="shared" si="35"/>
        <v>504.70000000000005</v>
      </c>
      <c r="J200" s="129">
        <v>0.2</v>
      </c>
      <c r="K200">
        <f t="shared" si="40"/>
        <v>467.40000000000003</v>
      </c>
      <c r="L200">
        <v>1.9</v>
      </c>
      <c r="M200">
        <f t="shared" si="41"/>
        <v>229.39999999999995</v>
      </c>
      <c r="N200" s="9">
        <f t="shared" si="38"/>
        <v>-1.7</v>
      </c>
      <c r="O200" s="19">
        <f t="shared" si="34"/>
        <v>94.500000000000014</v>
      </c>
      <c r="P200" s="14">
        <v>195</v>
      </c>
      <c r="Q200" s="41">
        <f t="shared" si="37"/>
        <v>1.1459999999999999</v>
      </c>
      <c r="R200" s="16">
        <f t="shared" ref="R200:R263" si="45">Q200*L200</f>
        <v>2.1773999999999996</v>
      </c>
      <c r="S200" s="16">
        <f t="shared" si="42"/>
        <v>-1.9773999999999996</v>
      </c>
      <c r="T200" s="132">
        <f t="shared" si="33"/>
        <v>90.768600000000006</v>
      </c>
      <c r="V200">
        <v>1392.5</v>
      </c>
      <c r="W200">
        <f t="shared" si="39"/>
        <v>180.84415584415584</v>
      </c>
      <c r="X200">
        <f t="shared" si="43"/>
        <v>126330.69999999998</v>
      </c>
      <c r="Y200">
        <f t="shared" si="36"/>
        <v>47812.3</v>
      </c>
      <c r="AA200">
        <v>11.869107382354301</v>
      </c>
    </row>
    <row r="201" spans="1:55" x14ac:dyDescent="0.25">
      <c r="A201" s="119"/>
      <c r="B201" s="39"/>
      <c r="C201" s="13">
        <v>41715</v>
      </c>
      <c r="D201">
        <v>8.1999999999999993</v>
      </c>
      <c r="E201" s="25">
        <v>2.6</v>
      </c>
      <c r="F201">
        <v>13.9</v>
      </c>
      <c r="G201">
        <f t="shared" si="44"/>
        <v>1768.7999999999993</v>
      </c>
      <c r="H201">
        <f t="shared" si="35"/>
        <v>512.90000000000009</v>
      </c>
      <c r="J201" s="129">
        <v>0</v>
      </c>
      <c r="K201">
        <f t="shared" si="40"/>
        <v>467.40000000000003</v>
      </c>
      <c r="L201">
        <v>1.8</v>
      </c>
      <c r="M201">
        <f t="shared" si="41"/>
        <v>231.19999999999996</v>
      </c>
      <c r="N201" s="9">
        <f t="shared" si="38"/>
        <v>-1.8</v>
      </c>
      <c r="O201" s="19">
        <f t="shared" si="34"/>
        <v>92.700000000000017</v>
      </c>
      <c r="P201" s="14">
        <v>196</v>
      </c>
      <c r="Q201" s="41">
        <f t="shared" si="37"/>
        <v>1.1479999999999999</v>
      </c>
      <c r="R201" s="16">
        <f t="shared" si="45"/>
        <v>2.0663999999999998</v>
      </c>
      <c r="S201" s="16">
        <f t="shared" si="42"/>
        <v>-2.0663999999999998</v>
      </c>
      <c r="T201" s="132">
        <f t="shared" si="33"/>
        <v>88.702200000000005</v>
      </c>
      <c r="V201">
        <v>1349.5</v>
      </c>
      <c r="W201">
        <f t="shared" si="39"/>
        <v>164.57317073170734</v>
      </c>
      <c r="X201">
        <f t="shared" si="43"/>
        <v>127680.19999999998</v>
      </c>
      <c r="Y201">
        <f t="shared" si="36"/>
        <v>49161.8</v>
      </c>
      <c r="AA201">
        <v>11.925462238704601</v>
      </c>
    </row>
    <row r="202" spans="1:55" s="81" customFormat="1" ht="15.75" thickBot="1" x14ac:dyDescent="0.3">
      <c r="A202" s="119"/>
      <c r="B202" s="79"/>
      <c r="C202" s="80">
        <v>41716</v>
      </c>
      <c r="D202" s="81">
        <v>8.1</v>
      </c>
      <c r="E202" s="82">
        <v>1.8</v>
      </c>
      <c r="F202" s="81">
        <v>13.7</v>
      </c>
      <c r="G202" s="81">
        <f t="shared" si="44"/>
        <v>1776.8999999999992</v>
      </c>
      <c r="H202" s="81">
        <f t="shared" si="35"/>
        <v>521.00000000000011</v>
      </c>
      <c r="J202" s="130">
        <v>0</v>
      </c>
      <c r="K202" s="81">
        <f t="shared" si="40"/>
        <v>467.40000000000003</v>
      </c>
      <c r="L202" s="81">
        <v>1.5</v>
      </c>
      <c r="M202" s="81">
        <f t="shared" si="41"/>
        <v>232.69999999999996</v>
      </c>
      <c r="N202" s="83">
        <f t="shared" si="38"/>
        <v>-1.5</v>
      </c>
      <c r="O202" s="84">
        <f t="shared" si="34"/>
        <v>91.200000000000017</v>
      </c>
      <c r="P202" s="93">
        <v>197</v>
      </c>
      <c r="Q202" s="94">
        <f t="shared" si="37"/>
        <v>1.1499999999999999</v>
      </c>
      <c r="R202" s="86">
        <f t="shared" si="45"/>
        <v>1.7249999999999999</v>
      </c>
      <c r="S202" s="95">
        <f t="shared" si="42"/>
        <v>-1.7249999999999999</v>
      </c>
      <c r="T202" s="136">
        <f t="shared" ref="T202:T265" si="46">MIN(122.1,(T201+S202))</f>
        <v>86.977200000000011</v>
      </c>
      <c r="V202" s="81">
        <v>1271.7</v>
      </c>
      <c r="W202" s="81">
        <f t="shared" si="39"/>
        <v>157</v>
      </c>
      <c r="X202" s="81">
        <f t="shared" si="43"/>
        <v>128951.89999999998</v>
      </c>
      <c r="Y202" s="97">
        <f t="shared" si="36"/>
        <v>50433.5</v>
      </c>
      <c r="AA202" s="81">
        <v>11.9818274937524</v>
      </c>
    </row>
    <row r="203" spans="1:55" x14ac:dyDescent="0.25">
      <c r="A203" s="46" t="s">
        <v>47</v>
      </c>
      <c r="B203" s="1"/>
      <c r="C203" s="13">
        <v>41717</v>
      </c>
      <c r="D203">
        <v>9.1999999999999993</v>
      </c>
      <c r="E203" s="25">
        <v>3.2</v>
      </c>
      <c r="F203">
        <v>13.9</v>
      </c>
      <c r="G203">
        <f t="shared" si="44"/>
        <v>1786.0999999999992</v>
      </c>
      <c r="H203">
        <v>9.1999999999999993</v>
      </c>
      <c r="I203" s="47" t="s">
        <v>28</v>
      </c>
      <c r="J203" s="129">
        <v>0</v>
      </c>
      <c r="K203">
        <f t="shared" si="40"/>
        <v>467.40000000000003</v>
      </c>
      <c r="L203">
        <v>2.2000000000000002</v>
      </c>
      <c r="M203">
        <f t="shared" si="41"/>
        <v>234.89999999999995</v>
      </c>
      <c r="N203" s="9">
        <f t="shared" si="38"/>
        <v>-2.2000000000000002</v>
      </c>
      <c r="O203" s="19">
        <f t="shared" ref="O203:O266" si="47">O202+N203</f>
        <v>89.000000000000014</v>
      </c>
      <c r="P203" s="14">
        <v>198</v>
      </c>
      <c r="Q203" s="15">
        <v>1.1499999999999999</v>
      </c>
      <c r="R203" s="16">
        <f t="shared" si="45"/>
        <v>2.5299999999999998</v>
      </c>
      <c r="S203" s="16">
        <f t="shared" si="42"/>
        <v>-2.5299999999999998</v>
      </c>
      <c r="T203" s="132">
        <f t="shared" si="46"/>
        <v>84.447200000000009</v>
      </c>
      <c r="U203" s="47" t="s">
        <v>29</v>
      </c>
      <c r="V203">
        <v>1735.9</v>
      </c>
      <c r="W203" s="48">
        <f>(V203/100)/D203</f>
        <v>1.8868478260869568</v>
      </c>
      <c r="X203">
        <f t="shared" si="43"/>
        <v>130687.79999999997</v>
      </c>
      <c r="Y203">
        <v>1735.9</v>
      </c>
      <c r="Z203" s="47" t="s">
        <v>30</v>
      </c>
      <c r="AA203">
        <v>12.0381969965074</v>
      </c>
    </row>
    <row r="204" spans="1:55" x14ac:dyDescent="0.25">
      <c r="A204" s="46"/>
      <c r="B204" s="1"/>
      <c r="C204" s="13">
        <v>41718</v>
      </c>
      <c r="D204">
        <v>12.7</v>
      </c>
      <c r="E204" s="25">
        <v>3.5</v>
      </c>
      <c r="F204">
        <v>19.899999999999999</v>
      </c>
      <c r="G204">
        <f t="shared" si="44"/>
        <v>1798.7999999999993</v>
      </c>
      <c r="H204">
        <f t="shared" si="35"/>
        <v>21.9</v>
      </c>
      <c r="I204">
        <f>MIN(E203:E223)</f>
        <v>-1.1000000000000001</v>
      </c>
      <c r="J204" s="129">
        <v>0</v>
      </c>
      <c r="K204">
        <f t="shared" si="40"/>
        <v>467.40000000000003</v>
      </c>
      <c r="L204">
        <v>3.4</v>
      </c>
      <c r="M204">
        <f t="shared" si="41"/>
        <v>238.29999999999995</v>
      </c>
      <c r="N204" s="9">
        <f t="shared" si="38"/>
        <v>-3.4</v>
      </c>
      <c r="O204" s="19">
        <f t="shared" si="47"/>
        <v>85.600000000000009</v>
      </c>
      <c r="P204" s="14">
        <v>199</v>
      </c>
      <c r="Q204" s="15">
        <v>1.1499999999999999</v>
      </c>
      <c r="R204" s="16">
        <f t="shared" si="45"/>
        <v>3.9099999999999997</v>
      </c>
      <c r="S204" s="16">
        <f t="shared" si="42"/>
        <v>-3.9099999999999997</v>
      </c>
      <c r="T204" s="132">
        <f t="shared" si="46"/>
        <v>80.537200000000013</v>
      </c>
      <c r="U204">
        <v>15</v>
      </c>
      <c r="V204">
        <v>1978.4</v>
      </c>
      <c r="W204" s="48">
        <f t="shared" ref="W204:W223" si="48">(V204/100)/D204</f>
        <v>1.5577952755905515</v>
      </c>
      <c r="X204">
        <f t="shared" si="43"/>
        <v>132666.19999999998</v>
      </c>
      <c r="Y204">
        <f t="shared" si="36"/>
        <v>3714.3</v>
      </c>
      <c r="Z204">
        <v>25583.799999999996</v>
      </c>
      <c r="AA204">
        <v>12.0945646741219</v>
      </c>
    </row>
    <row r="205" spans="1:55" x14ac:dyDescent="0.25">
      <c r="A205" s="46"/>
      <c r="B205" s="1"/>
      <c r="C205" s="13">
        <v>41719</v>
      </c>
      <c r="D205">
        <v>10.8</v>
      </c>
      <c r="E205">
        <v>10.199999999999999</v>
      </c>
      <c r="F205">
        <v>12</v>
      </c>
      <c r="G205">
        <f t="shared" si="44"/>
        <v>1809.5999999999992</v>
      </c>
      <c r="H205">
        <f t="shared" si="35"/>
        <v>32.700000000000003</v>
      </c>
      <c r="I205" s="47" t="s">
        <v>31</v>
      </c>
      <c r="J205" s="129">
        <v>2.7</v>
      </c>
      <c r="K205">
        <f t="shared" si="40"/>
        <v>470.1</v>
      </c>
      <c r="L205">
        <v>1.2</v>
      </c>
      <c r="M205">
        <f t="shared" si="41"/>
        <v>239.49999999999994</v>
      </c>
      <c r="N205">
        <f t="shared" si="38"/>
        <v>1.5000000000000002</v>
      </c>
      <c r="O205" s="19">
        <f t="shared" si="47"/>
        <v>87.100000000000009</v>
      </c>
      <c r="P205" s="14">
        <v>200</v>
      </c>
      <c r="Q205" s="15">
        <v>1.1499999999999999</v>
      </c>
      <c r="R205" s="16">
        <f t="shared" si="45"/>
        <v>1.38</v>
      </c>
      <c r="S205" s="16">
        <f t="shared" si="42"/>
        <v>1.3200000000000003</v>
      </c>
      <c r="T205" s="132">
        <f t="shared" si="46"/>
        <v>81.857200000000006</v>
      </c>
      <c r="U205" s="47" t="s">
        <v>32</v>
      </c>
      <c r="V205" s="21">
        <v>563.20000000000005</v>
      </c>
      <c r="W205" s="49">
        <f t="shared" si="48"/>
        <v>0.52148148148148155</v>
      </c>
      <c r="X205">
        <f t="shared" si="43"/>
        <v>133229.4</v>
      </c>
      <c r="Y205">
        <f t="shared" si="36"/>
        <v>4277.5</v>
      </c>
      <c r="Z205" s="47" t="s">
        <v>33</v>
      </c>
      <c r="AA205">
        <v>12.1509245150813</v>
      </c>
    </row>
    <row r="206" spans="1:55" x14ac:dyDescent="0.25">
      <c r="A206" s="46"/>
      <c r="B206" s="1"/>
      <c r="C206" s="13">
        <v>41720</v>
      </c>
      <c r="D206">
        <v>7.8</v>
      </c>
      <c r="E206">
        <v>7.7</v>
      </c>
      <c r="F206">
        <v>9.6</v>
      </c>
      <c r="G206">
        <f t="shared" si="44"/>
        <v>1817.3999999999992</v>
      </c>
      <c r="H206">
        <f t="shared" si="35"/>
        <v>40.5</v>
      </c>
      <c r="I206">
        <f>MAX(F203:F223)</f>
        <v>23.3</v>
      </c>
      <c r="J206" s="129">
        <v>3.1</v>
      </c>
      <c r="K206">
        <f t="shared" si="40"/>
        <v>473.20000000000005</v>
      </c>
      <c r="L206">
        <v>1.6</v>
      </c>
      <c r="M206">
        <f t="shared" si="41"/>
        <v>241.09999999999994</v>
      </c>
      <c r="N206">
        <f t="shared" si="38"/>
        <v>1.5</v>
      </c>
      <c r="O206" s="19">
        <f t="shared" si="47"/>
        <v>88.600000000000009</v>
      </c>
      <c r="P206" s="14">
        <v>201</v>
      </c>
      <c r="Q206" s="15">
        <v>1.1499999999999999</v>
      </c>
      <c r="R206" s="16">
        <f t="shared" si="45"/>
        <v>1.8399999999999999</v>
      </c>
      <c r="S206" s="16">
        <f t="shared" si="42"/>
        <v>1.2600000000000002</v>
      </c>
      <c r="T206" s="132">
        <f t="shared" si="46"/>
        <v>83.117200000000011</v>
      </c>
      <c r="U206">
        <v>0</v>
      </c>
      <c r="V206" s="21">
        <v>859.4</v>
      </c>
      <c r="W206" s="49">
        <f t="shared" si="48"/>
        <v>1.1017948717948718</v>
      </c>
      <c r="X206">
        <f t="shared" si="43"/>
        <v>134088.79999999999</v>
      </c>
      <c r="Y206">
        <f t="shared" si="36"/>
        <v>5136.8999999999996</v>
      </c>
      <c r="Z206" s="22">
        <f>(Z204/100)/I216</f>
        <v>1.1910521415270017</v>
      </c>
      <c r="AA206">
        <v>12.2072705524909</v>
      </c>
    </row>
    <row r="207" spans="1:55" x14ac:dyDescent="0.25">
      <c r="A207" s="46"/>
      <c r="B207" s="1"/>
      <c r="C207" s="13">
        <v>41721</v>
      </c>
      <c r="D207" s="25">
        <v>4.5999999999999996</v>
      </c>
      <c r="E207" s="25">
        <v>1.4</v>
      </c>
      <c r="F207">
        <v>8.6999999999999993</v>
      </c>
      <c r="G207">
        <f t="shared" si="44"/>
        <v>1821.9999999999991</v>
      </c>
      <c r="H207">
        <f t="shared" si="35"/>
        <v>45.1</v>
      </c>
      <c r="I207" s="47" t="s">
        <v>34</v>
      </c>
      <c r="J207" s="129">
        <v>2.8</v>
      </c>
      <c r="K207">
        <f t="shared" si="40"/>
        <v>476.00000000000006</v>
      </c>
      <c r="L207">
        <v>1.4</v>
      </c>
      <c r="M207">
        <f t="shared" si="41"/>
        <v>242.49999999999994</v>
      </c>
      <c r="N207">
        <f t="shared" si="38"/>
        <v>1.4</v>
      </c>
      <c r="O207" s="19">
        <f t="shared" si="47"/>
        <v>90.000000000000014</v>
      </c>
      <c r="P207" s="14">
        <v>202</v>
      </c>
      <c r="Q207" s="15">
        <v>1.1499999999999999</v>
      </c>
      <c r="R207" s="16">
        <f t="shared" si="45"/>
        <v>1.6099999999999999</v>
      </c>
      <c r="S207" s="16">
        <f t="shared" si="42"/>
        <v>1.19</v>
      </c>
      <c r="T207" s="132">
        <f t="shared" si="46"/>
        <v>84.307200000000009</v>
      </c>
      <c r="U207" s="47" t="s">
        <v>35</v>
      </c>
      <c r="V207">
        <v>1158.5999999999999</v>
      </c>
      <c r="W207" s="48">
        <f t="shared" si="48"/>
        <v>2.5186956521739128</v>
      </c>
      <c r="X207">
        <f t="shared" si="43"/>
        <v>135247.4</v>
      </c>
      <c r="Y207">
        <f t="shared" si="36"/>
        <v>6295.5</v>
      </c>
      <c r="Z207" s="47" t="s">
        <v>36</v>
      </c>
      <c r="AA207">
        <v>12.2635968474573</v>
      </c>
    </row>
    <row r="208" spans="1:55" x14ac:dyDescent="0.25">
      <c r="A208" s="46"/>
      <c r="B208" s="1"/>
      <c r="C208" s="13">
        <v>41722</v>
      </c>
      <c r="D208">
        <v>5.5</v>
      </c>
      <c r="E208" s="24">
        <v>-0.4</v>
      </c>
      <c r="F208">
        <v>10.1</v>
      </c>
      <c r="G208">
        <f t="shared" si="44"/>
        <v>1827.4999999999991</v>
      </c>
      <c r="H208">
        <f t="shared" si="35"/>
        <v>50.6</v>
      </c>
      <c r="I208" s="23">
        <f>AVERAGE(D203:D223)</f>
        <v>10.22857142857143</v>
      </c>
      <c r="J208" s="129">
        <v>4.0999999999999996</v>
      </c>
      <c r="K208">
        <f t="shared" si="40"/>
        <v>480.10000000000008</v>
      </c>
      <c r="L208">
        <v>1.4</v>
      </c>
      <c r="M208">
        <f t="shared" si="41"/>
        <v>243.89999999999995</v>
      </c>
      <c r="N208">
        <f t="shared" si="38"/>
        <v>2.6999999999999997</v>
      </c>
      <c r="O208" s="19">
        <f t="shared" si="47"/>
        <v>92.700000000000017</v>
      </c>
      <c r="P208" s="14">
        <v>203</v>
      </c>
      <c r="Q208" s="15">
        <v>1.1499999999999999</v>
      </c>
      <c r="R208" s="16">
        <f t="shared" si="45"/>
        <v>1.6099999999999999</v>
      </c>
      <c r="S208" s="16">
        <f t="shared" si="42"/>
        <v>2.4899999999999998</v>
      </c>
      <c r="T208" s="132">
        <f t="shared" si="46"/>
        <v>86.797200000000004</v>
      </c>
      <c r="U208">
        <v>0</v>
      </c>
      <c r="V208">
        <v>1140.9000000000001</v>
      </c>
      <c r="W208" s="48">
        <f t="shared" si="48"/>
        <v>2.0743636363636364</v>
      </c>
      <c r="X208">
        <f t="shared" si="43"/>
        <v>136388.29999999999</v>
      </c>
      <c r="Y208">
        <f t="shared" si="36"/>
        <v>7436.4</v>
      </c>
      <c r="Z208">
        <v>4</v>
      </c>
      <c r="AA208">
        <v>12.319897472562699</v>
      </c>
    </row>
    <row r="209" spans="1:40" x14ac:dyDescent="0.25">
      <c r="A209" s="46"/>
      <c r="B209" s="1"/>
      <c r="C209" s="13">
        <v>41723</v>
      </c>
      <c r="D209">
        <v>7.4</v>
      </c>
      <c r="E209" s="25">
        <v>4.9000000000000004</v>
      </c>
      <c r="F209">
        <v>10.3</v>
      </c>
      <c r="G209">
        <f t="shared" si="44"/>
        <v>1834.8999999999992</v>
      </c>
      <c r="H209">
        <f t="shared" si="35"/>
        <v>58</v>
      </c>
      <c r="I209" s="47" t="s">
        <v>37</v>
      </c>
      <c r="J209" s="129">
        <v>1.4</v>
      </c>
      <c r="K209">
        <f t="shared" si="40"/>
        <v>481.50000000000006</v>
      </c>
      <c r="L209">
        <v>1.6</v>
      </c>
      <c r="M209">
        <f t="shared" si="41"/>
        <v>245.49999999999994</v>
      </c>
      <c r="N209" s="9">
        <f t="shared" si="38"/>
        <v>-0.20000000000000018</v>
      </c>
      <c r="O209" s="19">
        <f t="shared" si="47"/>
        <v>92.500000000000014</v>
      </c>
      <c r="P209" s="14">
        <v>204</v>
      </c>
      <c r="Q209" s="15">
        <v>1.1499999999999999</v>
      </c>
      <c r="R209" s="16">
        <f t="shared" si="45"/>
        <v>1.8399999999999999</v>
      </c>
      <c r="S209" s="16">
        <f t="shared" si="42"/>
        <v>-0.43999999999999995</v>
      </c>
      <c r="T209" s="132">
        <f t="shared" si="46"/>
        <v>86.357200000000006</v>
      </c>
      <c r="U209" s="47" t="s">
        <v>38</v>
      </c>
      <c r="V209">
        <v>1148.9000000000001</v>
      </c>
      <c r="W209" s="48">
        <f t="shared" si="48"/>
        <v>1.5525675675675676</v>
      </c>
      <c r="X209">
        <f t="shared" si="43"/>
        <v>137537.19999999998</v>
      </c>
      <c r="Y209">
        <f t="shared" si="36"/>
        <v>8585.2999999999993</v>
      </c>
      <c r="AA209">
        <v>12.3761664954312</v>
      </c>
    </row>
    <row r="210" spans="1:40" x14ac:dyDescent="0.25">
      <c r="A210" s="46"/>
      <c r="B210" s="1"/>
      <c r="C210" s="13">
        <v>41724</v>
      </c>
      <c r="D210">
        <v>6.1</v>
      </c>
      <c r="E210" s="25">
        <v>3.5</v>
      </c>
      <c r="F210">
        <v>10.3</v>
      </c>
      <c r="G210">
        <f t="shared" si="44"/>
        <v>1840.9999999999991</v>
      </c>
      <c r="H210">
        <f t="shared" ref="H210:H273" si="49">H209+D210</f>
        <v>64.099999999999994</v>
      </c>
      <c r="I210">
        <v>2</v>
      </c>
      <c r="J210">
        <v>0</v>
      </c>
      <c r="K210">
        <f t="shared" si="40"/>
        <v>481.50000000000006</v>
      </c>
      <c r="L210">
        <v>1.8</v>
      </c>
      <c r="M210">
        <f t="shared" si="41"/>
        <v>247.29999999999995</v>
      </c>
      <c r="N210" s="9">
        <f t="shared" si="38"/>
        <v>-1.8</v>
      </c>
      <c r="O210" s="19">
        <f t="shared" si="47"/>
        <v>90.700000000000017</v>
      </c>
      <c r="P210" s="14">
        <v>205</v>
      </c>
      <c r="Q210" s="15">
        <v>1.1499999999999999</v>
      </c>
      <c r="R210" s="16">
        <f t="shared" si="45"/>
        <v>2.0699999999999998</v>
      </c>
      <c r="S210" s="16">
        <f t="shared" si="42"/>
        <v>-2.0699999999999998</v>
      </c>
      <c r="T210" s="20">
        <f t="shared" si="46"/>
        <v>84.287200000000013</v>
      </c>
      <c r="U210" s="23">
        <f>MIN(T203:T223)</f>
        <v>60.737200000000037</v>
      </c>
      <c r="V210">
        <v>1143.4000000000001</v>
      </c>
      <c r="W210" s="48">
        <f t="shared" si="48"/>
        <v>1.874426229508197</v>
      </c>
      <c r="X210">
        <f t="shared" si="43"/>
        <v>138680.59999999998</v>
      </c>
      <c r="Y210">
        <f t="shared" ref="Y210:Y273" si="50">Y209+V210</f>
        <v>9728.6999999999989</v>
      </c>
      <c r="AA210">
        <v>12.4323979623851</v>
      </c>
    </row>
    <row r="211" spans="1:40" x14ac:dyDescent="0.25">
      <c r="A211" s="46"/>
      <c r="B211" s="1"/>
      <c r="C211" s="13">
        <v>41725</v>
      </c>
      <c r="D211">
        <v>5.2</v>
      </c>
      <c r="E211" s="24">
        <v>-1.1000000000000001</v>
      </c>
      <c r="F211">
        <v>10.3</v>
      </c>
      <c r="G211">
        <f t="shared" si="44"/>
        <v>1846.1999999999991</v>
      </c>
      <c r="H211">
        <f t="shared" si="49"/>
        <v>69.3</v>
      </c>
      <c r="I211" s="47" t="s">
        <v>39</v>
      </c>
      <c r="J211">
        <v>0</v>
      </c>
      <c r="K211">
        <f t="shared" si="40"/>
        <v>481.50000000000006</v>
      </c>
      <c r="L211">
        <v>1.8</v>
      </c>
      <c r="M211">
        <f t="shared" si="41"/>
        <v>249.09999999999997</v>
      </c>
      <c r="N211" s="9">
        <f t="shared" si="38"/>
        <v>-1.8</v>
      </c>
      <c r="O211" s="19">
        <f t="shared" si="47"/>
        <v>88.90000000000002</v>
      </c>
      <c r="P211" s="14">
        <v>206</v>
      </c>
      <c r="Q211" s="15">
        <v>1.1499999999999999</v>
      </c>
      <c r="R211" s="16">
        <f t="shared" si="45"/>
        <v>2.0699999999999998</v>
      </c>
      <c r="S211" s="16">
        <f t="shared" si="42"/>
        <v>-2.0699999999999998</v>
      </c>
      <c r="T211" s="20">
        <f t="shared" si="46"/>
        <v>82.21720000000002</v>
      </c>
      <c r="U211" s="47" t="s">
        <v>40</v>
      </c>
      <c r="V211">
        <v>1596.9</v>
      </c>
      <c r="W211" s="48">
        <f t="shared" si="48"/>
        <v>3.0709615384615385</v>
      </c>
      <c r="X211">
        <f t="shared" si="43"/>
        <v>140277.49999999997</v>
      </c>
      <c r="Y211">
        <f t="shared" si="50"/>
        <v>11325.599999999999</v>
      </c>
      <c r="AA211">
        <v>12.4885858821902</v>
      </c>
    </row>
    <row r="212" spans="1:40" x14ac:dyDescent="0.25">
      <c r="A212" s="46" t="s">
        <v>48</v>
      </c>
      <c r="B212" s="1"/>
      <c r="C212" s="13">
        <v>41726</v>
      </c>
      <c r="D212">
        <v>8.5</v>
      </c>
      <c r="E212" s="25">
        <v>2.2000000000000002</v>
      </c>
      <c r="F212">
        <v>14.5</v>
      </c>
      <c r="G212">
        <f t="shared" si="44"/>
        <v>1854.6999999999991</v>
      </c>
      <c r="H212">
        <f t="shared" si="49"/>
        <v>77.8</v>
      </c>
      <c r="I212">
        <v>0</v>
      </c>
      <c r="J212">
        <v>0</v>
      </c>
      <c r="K212">
        <f t="shared" si="40"/>
        <v>481.50000000000006</v>
      </c>
      <c r="L212">
        <v>1.8</v>
      </c>
      <c r="M212">
        <f t="shared" si="41"/>
        <v>250.89999999999998</v>
      </c>
      <c r="N212" s="9">
        <f t="shared" si="38"/>
        <v>-1.8</v>
      </c>
      <c r="O212" s="19">
        <f t="shared" si="47"/>
        <v>87.100000000000023</v>
      </c>
      <c r="P212" s="14">
        <v>207</v>
      </c>
      <c r="Q212" s="15">
        <v>1.1499999999999999</v>
      </c>
      <c r="R212" s="16">
        <f t="shared" si="45"/>
        <v>2.0699999999999998</v>
      </c>
      <c r="S212" s="16">
        <f t="shared" si="42"/>
        <v>-2.0699999999999998</v>
      </c>
      <c r="T212" s="20">
        <f t="shared" si="46"/>
        <v>80.147200000000026</v>
      </c>
      <c r="U212" s="23">
        <f>MAX(T203:T223)</f>
        <v>86.797200000000004</v>
      </c>
      <c r="V212">
        <v>1018.3</v>
      </c>
      <c r="W212" s="49">
        <f t="shared" si="48"/>
        <v>1.198</v>
      </c>
      <c r="X212">
        <f t="shared" si="43"/>
        <v>141295.79999999996</v>
      </c>
      <c r="Y212">
        <f t="shared" si="50"/>
        <v>12343.899999999998</v>
      </c>
      <c r="AA212">
        <v>12.5447242098874</v>
      </c>
    </row>
    <row r="213" spans="1:40" x14ac:dyDescent="0.25">
      <c r="A213" s="50"/>
      <c r="B213" s="1"/>
      <c r="C213" s="13">
        <v>41727</v>
      </c>
      <c r="D213">
        <v>11.4</v>
      </c>
      <c r="E213" s="25">
        <v>3.2</v>
      </c>
      <c r="F213">
        <v>19</v>
      </c>
      <c r="G213">
        <f t="shared" si="44"/>
        <v>1866.0999999999992</v>
      </c>
      <c r="H213">
        <f t="shared" si="49"/>
        <v>89.2</v>
      </c>
      <c r="I213" s="47" t="s">
        <v>41</v>
      </c>
      <c r="J213">
        <v>0</v>
      </c>
      <c r="K213">
        <f t="shared" si="40"/>
        <v>481.50000000000006</v>
      </c>
      <c r="L213">
        <v>2.6</v>
      </c>
      <c r="M213">
        <f t="shared" si="41"/>
        <v>253.49999999999997</v>
      </c>
      <c r="N213" s="9">
        <f t="shared" si="38"/>
        <v>-2.6</v>
      </c>
      <c r="O213" s="19">
        <f t="shared" si="47"/>
        <v>84.500000000000028</v>
      </c>
      <c r="P213" s="14">
        <v>208</v>
      </c>
      <c r="Q213" s="15">
        <v>1.1499999999999999</v>
      </c>
      <c r="R213" s="16">
        <f t="shared" si="45"/>
        <v>2.9899999999999998</v>
      </c>
      <c r="S213" s="16">
        <f t="shared" si="42"/>
        <v>-2.9899999999999998</v>
      </c>
      <c r="T213" s="20">
        <f t="shared" si="46"/>
        <v>77.157200000000032</v>
      </c>
      <c r="U213" s="47" t="s">
        <v>42</v>
      </c>
      <c r="V213">
        <v>1340.4</v>
      </c>
      <c r="W213" s="49">
        <f t="shared" si="48"/>
        <v>1.1757894736842107</v>
      </c>
      <c r="X213">
        <f t="shared" si="43"/>
        <v>142636.19999999995</v>
      </c>
      <c r="Y213">
        <f t="shared" si="50"/>
        <v>13684.299999999997</v>
      </c>
      <c r="AA213">
        <v>12.600806830711701</v>
      </c>
    </row>
    <row r="214" spans="1:40" x14ac:dyDescent="0.25">
      <c r="A214" s="50"/>
      <c r="B214" s="1"/>
      <c r="C214" s="13">
        <v>41728</v>
      </c>
      <c r="D214">
        <v>12.1</v>
      </c>
      <c r="E214">
        <v>7.5</v>
      </c>
      <c r="F214">
        <v>17.3</v>
      </c>
      <c r="G214">
        <f t="shared" si="44"/>
        <v>1878.1999999999991</v>
      </c>
      <c r="H214">
        <f t="shared" si="49"/>
        <v>101.3</v>
      </c>
      <c r="I214">
        <v>7</v>
      </c>
      <c r="J214">
        <v>0.2</v>
      </c>
      <c r="K214">
        <f t="shared" si="40"/>
        <v>481.70000000000005</v>
      </c>
      <c r="L214">
        <v>1.5</v>
      </c>
      <c r="M214">
        <f t="shared" si="41"/>
        <v>254.99999999999997</v>
      </c>
      <c r="N214" s="9">
        <f t="shared" si="38"/>
        <v>-1.3</v>
      </c>
      <c r="O214" s="19">
        <f t="shared" si="47"/>
        <v>83.200000000000031</v>
      </c>
      <c r="P214" s="14">
        <v>209</v>
      </c>
      <c r="Q214" s="15">
        <v>1.1499999999999999</v>
      </c>
      <c r="R214" s="16">
        <f t="shared" si="45"/>
        <v>1.7249999999999999</v>
      </c>
      <c r="S214" s="16">
        <f t="shared" si="42"/>
        <v>-1.5249999999999999</v>
      </c>
      <c r="T214" s="20">
        <f t="shared" si="46"/>
        <v>75.632200000000026</v>
      </c>
      <c r="U214" s="22">
        <f>AVERAGE(T203:T223)</f>
        <v>76.467914285714301</v>
      </c>
      <c r="V214">
        <v>965.5</v>
      </c>
      <c r="W214" s="49">
        <f t="shared" si="48"/>
        <v>0.79793388429752066</v>
      </c>
      <c r="X214">
        <f t="shared" si="43"/>
        <v>143601.69999999995</v>
      </c>
      <c r="Y214">
        <f t="shared" si="50"/>
        <v>14649.799999999997</v>
      </c>
      <c r="AA214">
        <v>12.6568275440966</v>
      </c>
    </row>
    <row r="215" spans="1:40" x14ac:dyDescent="0.25">
      <c r="A215" s="50"/>
      <c r="B215" s="1"/>
      <c r="C215" s="13">
        <v>41729</v>
      </c>
      <c r="D215">
        <v>11.6</v>
      </c>
      <c r="E215">
        <v>6.1</v>
      </c>
      <c r="F215">
        <v>15.8</v>
      </c>
      <c r="G215">
        <f t="shared" si="44"/>
        <v>1889.799999999999</v>
      </c>
      <c r="H215">
        <f t="shared" si="49"/>
        <v>112.89999999999999</v>
      </c>
      <c r="I215" s="47" t="s">
        <v>43</v>
      </c>
      <c r="J215">
        <v>0</v>
      </c>
      <c r="K215">
        <f t="shared" si="40"/>
        <v>481.70000000000005</v>
      </c>
      <c r="L215">
        <v>1.7</v>
      </c>
      <c r="M215">
        <f t="shared" si="41"/>
        <v>256.7</v>
      </c>
      <c r="N215" s="9">
        <f t="shared" si="38"/>
        <v>-1.7</v>
      </c>
      <c r="O215" s="19">
        <f t="shared" si="47"/>
        <v>81.500000000000028</v>
      </c>
      <c r="P215" s="14">
        <v>210</v>
      </c>
      <c r="Q215" s="15">
        <v>1.1499999999999999</v>
      </c>
      <c r="R215" s="16">
        <f t="shared" si="45"/>
        <v>1.9549999999999998</v>
      </c>
      <c r="S215" s="16">
        <f t="shared" si="42"/>
        <v>-1.9549999999999998</v>
      </c>
      <c r="T215" s="20">
        <f t="shared" si="46"/>
        <v>73.677200000000028</v>
      </c>
      <c r="U215">
        <f>(U214*100)/122.1</f>
        <v>62.627284427284444</v>
      </c>
      <c r="V215">
        <v>1513.5</v>
      </c>
      <c r="W215" s="11">
        <f t="shared" si="48"/>
        <v>1.3047413793103448</v>
      </c>
      <c r="X215">
        <f t="shared" si="43"/>
        <v>145115.19999999995</v>
      </c>
      <c r="Y215">
        <f t="shared" si="50"/>
        <v>16163.299999999997</v>
      </c>
      <c r="AA215">
        <v>12.7127800477652</v>
      </c>
    </row>
    <row r="216" spans="1:40" x14ac:dyDescent="0.25">
      <c r="A216" s="50"/>
      <c r="B216" s="1"/>
      <c r="C216" s="13">
        <v>41730</v>
      </c>
      <c r="D216">
        <v>13</v>
      </c>
      <c r="E216">
        <v>6.8</v>
      </c>
      <c r="F216">
        <v>18.600000000000001</v>
      </c>
      <c r="G216">
        <f t="shared" si="44"/>
        <v>1902.799999999999</v>
      </c>
      <c r="H216">
        <f t="shared" si="49"/>
        <v>125.89999999999999</v>
      </c>
      <c r="I216">
        <v>214.8</v>
      </c>
      <c r="J216">
        <v>0</v>
      </c>
      <c r="K216">
        <f t="shared" si="40"/>
        <v>481.70000000000005</v>
      </c>
      <c r="L216">
        <v>2.1</v>
      </c>
      <c r="M216">
        <f t="shared" si="41"/>
        <v>258.8</v>
      </c>
      <c r="N216" s="9">
        <f t="shared" si="38"/>
        <v>-2.1</v>
      </c>
      <c r="O216" s="19">
        <f t="shared" si="47"/>
        <v>79.400000000000034</v>
      </c>
      <c r="P216" s="14">
        <v>211</v>
      </c>
      <c r="Q216" s="15">
        <v>1.1499999999999999</v>
      </c>
      <c r="R216" s="16">
        <f t="shared" si="45"/>
        <v>2.415</v>
      </c>
      <c r="S216" s="16">
        <f t="shared" si="42"/>
        <v>-2.415</v>
      </c>
      <c r="T216" s="20">
        <f t="shared" si="46"/>
        <v>71.262200000000021</v>
      </c>
      <c r="U216" s="23"/>
      <c r="V216">
        <v>1545.5</v>
      </c>
      <c r="W216" s="49">
        <f t="shared" si="48"/>
        <v>1.1888461538461539</v>
      </c>
      <c r="X216">
        <f t="shared" si="43"/>
        <v>146660.69999999995</v>
      </c>
      <c r="Y216">
        <f t="shared" si="50"/>
        <v>17708.799999999996</v>
      </c>
      <c r="AA216">
        <v>12.7686579219087</v>
      </c>
    </row>
    <row r="217" spans="1:40" x14ac:dyDescent="0.25">
      <c r="A217" s="50"/>
      <c r="B217" s="1"/>
      <c r="C217" s="13">
        <v>41731</v>
      </c>
      <c r="D217">
        <v>14.3</v>
      </c>
      <c r="E217">
        <v>8.1999999999999993</v>
      </c>
      <c r="F217">
        <v>20.2</v>
      </c>
      <c r="G217">
        <f t="shared" si="44"/>
        <v>1917.099999999999</v>
      </c>
      <c r="H217">
        <f t="shared" si="49"/>
        <v>140.19999999999999</v>
      </c>
      <c r="J217">
        <v>0.6</v>
      </c>
      <c r="K217">
        <f t="shared" si="40"/>
        <v>482.30000000000007</v>
      </c>
      <c r="L217">
        <v>1.8</v>
      </c>
      <c r="M217">
        <f t="shared" si="41"/>
        <v>260.60000000000002</v>
      </c>
      <c r="N217" s="9">
        <f t="shared" si="38"/>
        <v>-1.2000000000000002</v>
      </c>
      <c r="O217" s="19">
        <f t="shared" si="47"/>
        <v>78.200000000000031</v>
      </c>
      <c r="P217" s="14">
        <v>212</v>
      </c>
      <c r="Q217" s="15">
        <v>1.1499999999999999</v>
      </c>
      <c r="R217" s="16">
        <f t="shared" si="45"/>
        <v>2.0699999999999998</v>
      </c>
      <c r="S217" s="16">
        <f t="shared" si="42"/>
        <v>-1.4699999999999998</v>
      </c>
      <c r="T217" s="20">
        <f t="shared" si="46"/>
        <v>69.792200000000022</v>
      </c>
      <c r="V217">
        <v>911.1</v>
      </c>
      <c r="W217" s="49">
        <f t="shared" si="48"/>
        <v>0.6371328671328671</v>
      </c>
      <c r="X217">
        <f t="shared" si="43"/>
        <v>147571.79999999996</v>
      </c>
      <c r="Y217">
        <f t="shared" si="50"/>
        <v>18619.899999999994</v>
      </c>
      <c r="AA217">
        <v>12.824454613454099</v>
      </c>
    </row>
    <row r="218" spans="1:40" x14ac:dyDescent="0.25">
      <c r="A218" s="50"/>
      <c r="B218" s="1"/>
      <c r="C218" s="13">
        <v>41732</v>
      </c>
      <c r="D218">
        <v>12.9</v>
      </c>
      <c r="E218">
        <v>11</v>
      </c>
      <c r="F218">
        <v>15.1</v>
      </c>
      <c r="G218">
        <f t="shared" si="44"/>
        <v>1929.9999999999991</v>
      </c>
      <c r="H218">
        <f t="shared" si="49"/>
        <v>153.1</v>
      </c>
      <c r="J218">
        <v>2</v>
      </c>
      <c r="K218">
        <f t="shared" si="40"/>
        <v>484.30000000000007</v>
      </c>
      <c r="L218">
        <v>0.9</v>
      </c>
      <c r="M218">
        <f t="shared" si="41"/>
        <v>261.5</v>
      </c>
      <c r="N218">
        <f t="shared" si="38"/>
        <v>1.1000000000000001</v>
      </c>
      <c r="O218" s="19">
        <f t="shared" si="47"/>
        <v>79.300000000000026</v>
      </c>
      <c r="P218" s="14">
        <v>213</v>
      </c>
      <c r="Q218" s="15">
        <v>1.1499999999999999</v>
      </c>
      <c r="R218" s="16">
        <f t="shared" si="45"/>
        <v>1.0349999999999999</v>
      </c>
      <c r="S218" s="16">
        <f t="shared" si="42"/>
        <v>0.96500000000000008</v>
      </c>
      <c r="T218" s="20">
        <f t="shared" si="46"/>
        <v>70.757200000000026</v>
      </c>
      <c r="V218" s="21">
        <v>358</v>
      </c>
      <c r="W218" s="49">
        <f t="shared" si="48"/>
        <v>0.27751937984496122</v>
      </c>
      <c r="X218">
        <f t="shared" si="43"/>
        <v>147929.79999999996</v>
      </c>
      <c r="Y218">
        <f t="shared" si="50"/>
        <v>18977.899999999994</v>
      </c>
      <c r="AA218">
        <v>12.880163420425699</v>
      </c>
    </row>
    <row r="219" spans="1:40" x14ac:dyDescent="0.25">
      <c r="A219" s="50"/>
      <c r="B219" s="1"/>
      <c r="C219" s="13">
        <v>41733</v>
      </c>
      <c r="D219">
        <v>10.8</v>
      </c>
      <c r="E219">
        <v>11.1</v>
      </c>
      <c r="F219">
        <v>11.6</v>
      </c>
      <c r="G219">
        <f t="shared" si="44"/>
        <v>1940.799999999999</v>
      </c>
      <c r="H219">
        <f t="shared" si="49"/>
        <v>163.9</v>
      </c>
      <c r="J219">
        <v>2</v>
      </c>
      <c r="K219">
        <f t="shared" si="40"/>
        <v>486.30000000000007</v>
      </c>
      <c r="L219">
        <v>0.6</v>
      </c>
      <c r="M219">
        <f t="shared" si="41"/>
        <v>262.10000000000002</v>
      </c>
      <c r="N219">
        <f t="shared" si="38"/>
        <v>1.4</v>
      </c>
      <c r="O219" s="19">
        <f t="shared" si="47"/>
        <v>80.700000000000031</v>
      </c>
      <c r="P219" s="14">
        <v>214</v>
      </c>
      <c r="Q219" s="15">
        <v>1.1499999999999999</v>
      </c>
      <c r="R219" s="16">
        <f t="shared" si="45"/>
        <v>0.69</v>
      </c>
      <c r="S219" s="16">
        <f t="shared" si="42"/>
        <v>1.31</v>
      </c>
      <c r="T219" s="20">
        <f t="shared" si="46"/>
        <v>72.067200000000028</v>
      </c>
      <c r="V219" s="21">
        <v>330.9</v>
      </c>
      <c r="W219" s="49">
        <f t="shared" si="48"/>
        <v>0.30638888888888882</v>
      </c>
      <c r="X219">
        <f t="shared" si="43"/>
        <v>148260.69999999995</v>
      </c>
      <c r="Y219">
        <f t="shared" si="50"/>
        <v>19308.799999999996</v>
      </c>
      <c r="AA219">
        <v>12.9357774764031</v>
      </c>
    </row>
    <row r="220" spans="1:40" x14ac:dyDescent="0.25">
      <c r="A220" s="50"/>
      <c r="B220" s="1"/>
      <c r="C220" s="13">
        <v>41734</v>
      </c>
      <c r="D220">
        <v>11.5</v>
      </c>
      <c r="E220">
        <v>5.9</v>
      </c>
      <c r="F220">
        <v>15</v>
      </c>
      <c r="G220">
        <f t="shared" si="44"/>
        <v>1952.299999999999</v>
      </c>
      <c r="H220">
        <f t="shared" si="49"/>
        <v>175.4</v>
      </c>
      <c r="J220">
        <v>0</v>
      </c>
      <c r="K220">
        <f t="shared" si="40"/>
        <v>486.30000000000007</v>
      </c>
      <c r="L220">
        <v>2.6</v>
      </c>
      <c r="M220">
        <f t="shared" si="41"/>
        <v>264.70000000000005</v>
      </c>
      <c r="N220" s="9">
        <f t="shared" si="38"/>
        <v>-2.6</v>
      </c>
      <c r="O220" s="19">
        <f t="shared" si="47"/>
        <v>78.100000000000037</v>
      </c>
      <c r="P220" s="14">
        <v>215</v>
      </c>
      <c r="Q220" s="15">
        <v>1.1499999999999999</v>
      </c>
      <c r="R220" s="16">
        <f t="shared" si="45"/>
        <v>2.9899999999999998</v>
      </c>
      <c r="S220" s="16">
        <f t="shared" si="42"/>
        <v>-2.9899999999999998</v>
      </c>
      <c r="T220" s="20">
        <f t="shared" si="46"/>
        <v>69.077200000000033</v>
      </c>
      <c r="V220">
        <v>1805.5</v>
      </c>
      <c r="W220" s="48">
        <f t="shared" si="48"/>
        <v>1.57</v>
      </c>
      <c r="X220">
        <f t="shared" si="43"/>
        <v>150066.19999999995</v>
      </c>
      <c r="Y220">
        <f t="shared" si="50"/>
        <v>21114.299999999996</v>
      </c>
      <c r="AA220">
        <v>12.9912897350835</v>
      </c>
    </row>
    <row r="221" spans="1:40" s="56" customFormat="1" x14ac:dyDescent="0.25">
      <c r="A221" s="51"/>
      <c r="B221" s="52"/>
      <c r="C221" s="53">
        <v>41735</v>
      </c>
      <c r="D221" s="52">
        <v>13.9</v>
      </c>
      <c r="E221" s="52">
        <v>12</v>
      </c>
      <c r="F221" s="52">
        <v>16.899999999999999</v>
      </c>
      <c r="G221" s="52">
        <f t="shared" si="44"/>
        <v>1966.1999999999991</v>
      </c>
      <c r="H221" s="52">
        <f t="shared" si="49"/>
        <v>189.3</v>
      </c>
      <c r="I221" s="52"/>
      <c r="J221" s="52">
        <v>0.4</v>
      </c>
      <c r="K221" s="52">
        <f t="shared" si="40"/>
        <v>486.70000000000005</v>
      </c>
      <c r="L221" s="52">
        <v>1.4</v>
      </c>
      <c r="M221" s="52">
        <f t="shared" si="41"/>
        <v>266.10000000000002</v>
      </c>
      <c r="N221" s="52">
        <f t="shared" si="38"/>
        <v>-0.99999999999999989</v>
      </c>
      <c r="O221" s="52">
        <f t="shared" si="47"/>
        <v>77.100000000000037</v>
      </c>
      <c r="P221" s="14">
        <v>216</v>
      </c>
      <c r="Q221" s="54">
        <v>1.1499999999999999</v>
      </c>
      <c r="R221" s="55">
        <f t="shared" si="45"/>
        <v>1.6099999999999999</v>
      </c>
      <c r="S221" s="16">
        <f t="shared" si="42"/>
        <v>-1.21</v>
      </c>
      <c r="T221" s="20">
        <f t="shared" si="46"/>
        <v>67.867200000000039</v>
      </c>
      <c r="U221" s="52"/>
      <c r="V221" s="52">
        <v>830.2</v>
      </c>
      <c r="W221" s="49">
        <f t="shared" si="48"/>
        <v>0.59726618705035972</v>
      </c>
      <c r="X221" s="52">
        <f t="shared" si="43"/>
        <v>150896.39999999997</v>
      </c>
      <c r="Y221">
        <f t="shared" si="50"/>
        <v>21944.499999999996</v>
      </c>
      <c r="Z221" s="52"/>
      <c r="AA221" s="52">
        <v>13.046692954953601</v>
      </c>
      <c r="AB221" s="52"/>
      <c r="AC221" s="52"/>
      <c r="AD221" s="52"/>
      <c r="AE221" s="52"/>
      <c r="AF221" s="52"/>
      <c r="AG221" s="52"/>
      <c r="AH221" s="52"/>
      <c r="AI221" s="52"/>
      <c r="AJ221" s="52"/>
      <c r="AK221" s="52"/>
      <c r="AL221" s="52"/>
      <c r="AM221" s="52"/>
      <c r="AN221" s="52"/>
    </row>
    <row r="222" spans="1:40" x14ac:dyDescent="0.25">
      <c r="A222" s="50"/>
      <c r="B222" s="1"/>
      <c r="C222" s="13">
        <v>41736</v>
      </c>
      <c r="D222">
        <v>15.3</v>
      </c>
      <c r="E222">
        <v>8.6</v>
      </c>
      <c r="F222">
        <v>23.3</v>
      </c>
      <c r="G222">
        <f t="shared" si="44"/>
        <v>1981.4999999999991</v>
      </c>
      <c r="H222">
        <f t="shared" si="49"/>
        <v>204.60000000000002</v>
      </c>
      <c r="J222">
        <v>0</v>
      </c>
      <c r="K222">
        <f t="shared" si="40"/>
        <v>486.70000000000005</v>
      </c>
      <c r="L222">
        <v>3.6</v>
      </c>
      <c r="M222">
        <f t="shared" si="41"/>
        <v>269.70000000000005</v>
      </c>
      <c r="N222" s="9">
        <f t="shared" si="38"/>
        <v>-3.6</v>
      </c>
      <c r="O222" s="19">
        <f t="shared" si="47"/>
        <v>73.500000000000043</v>
      </c>
      <c r="P222" s="14">
        <v>217</v>
      </c>
      <c r="Q222" s="15">
        <v>1.1499999999999999</v>
      </c>
      <c r="R222" s="16">
        <f t="shared" si="45"/>
        <v>4.1399999999999997</v>
      </c>
      <c r="S222" s="16">
        <f t="shared" si="42"/>
        <v>-4.1399999999999997</v>
      </c>
      <c r="T222" s="20">
        <f t="shared" si="46"/>
        <v>63.727200000000039</v>
      </c>
      <c r="V222">
        <v>1813.7</v>
      </c>
      <c r="W222" s="49">
        <f t="shared" si="48"/>
        <v>1.1854248366013072</v>
      </c>
      <c r="X222">
        <f t="shared" si="43"/>
        <v>152710.09999999998</v>
      </c>
      <c r="Y222">
        <f t="shared" si="50"/>
        <v>23758.199999999997</v>
      </c>
      <c r="AA222">
        <v>13.101979684083</v>
      </c>
    </row>
    <row r="223" spans="1:40" s="81" customFormat="1" ht="15.75" thickBot="1" x14ac:dyDescent="0.3">
      <c r="A223" s="88" t="s">
        <v>49</v>
      </c>
      <c r="B223" s="89"/>
      <c r="C223" s="80">
        <v>41737</v>
      </c>
      <c r="D223" s="81">
        <v>10.199999999999999</v>
      </c>
      <c r="E223" s="81">
        <v>6.4</v>
      </c>
      <c r="F223" s="81">
        <v>14</v>
      </c>
      <c r="G223" s="81">
        <f t="shared" si="44"/>
        <v>1991.6999999999991</v>
      </c>
      <c r="H223" s="81">
        <f t="shared" si="49"/>
        <v>214.8</v>
      </c>
      <c r="J223" s="81">
        <v>0</v>
      </c>
      <c r="K223" s="81">
        <f t="shared" si="40"/>
        <v>486.70000000000005</v>
      </c>
      <c r="L223" s="81">
        <v>2.6</v>
      </c>
      <c r="M223" s="81">
        <f t="shared" si="41"/>
        <v>272.30000000000007</v>
      </c>
      <c r="N223" s="83">
        <f t="shared" si="38"/>
        <v>-2.6</v>
      </c>
      <c r="O223" s="84">
        <f t="shared" si="47"/>
        <v>70.900000000000048</v>
      </c>
      <c r="P223" s="93">
        <v>218</v>
      </c>
      <c r="Q223" s="90">
        <v>1.1499999999999999</v>
      </c>
      <c r="R223" s="86">
        <f t="shared" si="45"/>
        <v>2.9899999999999998</v>
      </c>
      <c r="S223" s="95">
        <f t="shared" si="42"/>
        <v>-2.9899999999999998</v>
      </c>
      <c r="T223" s="96">
        <f t="shared" si="46"/>
        <v>60.737200000000037</v>
      </c>
      <c r="V223" s="81">
        <v>1825.6</v>
      </c>
      <c r="W223" s="98">
        <f t="shared" si="48"/>
        <v>1.7898039215686277</v>
      </c>
      <c r="X223" s="81">
        <f t="shared" si="43"/>
        <v>154535.69999999998</v>
      </c>
      <c r="Y223" s="97">
        <f t="shared" si="50"/>
        <v>25583.799999999996</v>
      </c>
      <c r="AA223" s="81">
        <v>13.1571422450474</v>
      </c>
    </row>
    <row r="224" spans="1:40" x14ac:dyDescent="0.25">
      <c r="A224" s="120">
        <v>300</v>
      </c>
      <c r="B224" s="39"/>
      <c r="C224" s="13">
        <v>41738</v>
      </c>
      <c r="D224">
        <v>9.6999999999999993</v>
      </c>
      <c r="E224" s="25">
        <v>3.3</v>
      </c>
      <c r="F224">
        <v>14.7</v>
      </c>
      <c r="G224">
        <f t="shared" si="44"/>
        <v>2001.3999999999992</v>
      </c>
      <c r="H224">
        <v>9.6999999999999993</v>
      </c>
      <c r="I224" s="57" t="s">
        <v>28</v>
      </c>
      <c r="J224">
        <v>0</v>
      </c>
      <c r="K224">
        <f t="shared" si="40"/>
        <v>486.70000000000005</v>
      </c>
      <c r="L224">
        <v>2.7</v>
      </c>
      <c r="M224">
        <f t="shared" si="41"/>
        <v>275.00000000000006</v>
      </c>
      <c r="N224" s="9">
        <f t="shared" si="38"/>
        <v>-2.7</v>
      </c>
      <c r="O224" s="19">
        <f t="shared" si="47"/>
        <v>68.200000000000045</v>
      </c>
      <c r="P224" s="14">
        <v>219</v>
      </c>
      <c r="Q224" s="15">
        <v>1.1499999999999999</v>
      </c>
      <c r="R224" s="16">
        <f t="shared" si="45"/>
        <v>3.105</v>
      </c>
      <c r="S224" s="16">
        <f t="shared" si="42"/>
        <v>-3.105</v>
      </c>
      <c r="T224" s="20">
        <f t="shared" si="46"/>
        <v>57.63220000000004</v>
      </c>
      <c r="U224" s="57" t="s">
        <v>29</v>
      </c>
      <c r="V224">
        <v>1990.8</v>
      </c>
      <c r="W224">
        <f t="shared" si="39"/>
        <v>205.23711340206188</v>
      </c>
      <c r="X224">
        <f t="shared" si="43"/>
        <v>156526.49999999997</v>
      </c>
      <c r="Y224">
        <v>1990.8</v>
      </c>
      <c r="Z224" s="57" t="s">
        <v>30</v>
      </c>
      <c r="AA224">
        <v>13.2121727199969</v>
      </c>
    </row>
    <row r="225" spans="1:27" x14ac:dyDescent="0.25">
      <c r="A225" s="120"/>
      <c r="B225" s="39"/>
      <c r="C225" s="13">
        <v>41739</v>
      </c>
      <c r="D225">
        <v>12.4</v>
      </c>
      <c r="E225">
        <v>5.0999999999999996</v>
      </c>
      <c r="F225">
        <v>18.8</v>
      </c>
      <c r="G225">
        <f t="shared" si="44"/>
        <v>2013.7999999999993</v>
      </c>
      <c r="H225">
        <f t="shared" si="49"/>
        <v>22.1</v>
      </c>
      <c r="I225">
        <f>MIN(E224:E251)</f>
        <v>1.8</v>
      </c>
      <c r="J225">
        <v>0</v>
      </c>
      <c r="K225">
        <f t="shared" si="40"/>
        <v>486.70000000000005</v>
      </c>
      <c r="L225">
        <v>4.0999999999999996</v>
      </c>
      <c r="M225">
        <f t="shared" si="41"/>
        <v>279.10000000000008</v>
      </c>
      <c r="N225" s="9">
        <f t="shared" si="38"/>
        <v>-4.0999999999999996</v>
      </c>
      <c r="O225" s="19">
        <f t="shared" si="47"/>
        <v>64.100000000000051</v>
      </c>
      <c r="P225" s="14">
        <v>220</v>
      </c>
      <c r="Q225" s="15">
        <v>1.1499999999999999</v>
      </c>
      <c r="R225" s="16">
        <f t="shared" si="45"/>
        <v>4.714999999999999</v>
      </c>
      <c r="S225" s="16">
        <f t="shared" si="42"/>
        <v>-4.714999999999999</v>
      </c>
      <c r="T225" s="20">
        <f t="shared" si="46"/>
        <v>52.917200000000044</v>
      </c>
      <c r="U225">
        <v>19</v>
      </c>
      <c r="V225">
        <v>2423.1</v>
      </c>
      <c r="W225">
        <f t="shared" si="39"/>
        <v>195.41129032258064</v>
      </c>
      <c r="X225">
        <f t="shared" si="43"/>
        <v>158949.59999999998</v>
      </c>
      <c r="Y225">
        <f t="shared" si="50"/>
        <v>4413.8999999999996</v>
      </c>
      <c r="Z225">
        <v>42101.599999999991</v>
      </c>
      <c r="AA225">
        <v>13.2670629358827</v>
      </c>
    </row>
    <row r="226" spans="1:27" x14ac:dyDescent="0.25">
      <c r="A226" s="120"/>
      <c r="B226" s="39"/>
      <c r="C226" s="13">
        <v>41740</v>
      </c>
      <c r="D226">
        <v>12.7</v>
      </c>
      <c r="E226">
        <v>6.6</v>
      </c>
      <c r="F226">
        <v>18.899999999999999</v>
      </c>
      <c r="G226">
        <f t="shared" si="44"/>
        <v>2026.4999999999993</v>
      </c>
      <c r="H226">
        <f t="shared" si="49"/>
        <v>34.799999999999997</v>
      </c>
      <c r="I226" s="57" t="s">
        <v>31</v>
      </c>
      <c r="J226">
        <v>1.2</v>
      </c>
      <c r="K226">
        <f t="shared" si="40"/>
        <v>487.90000000000003</v>
      </c>
      <c r="L226">
        <v>1.7</v>
      </c>
      <c r="M226">
        <f t="shared" si="41"/>
        <v>280.80000000000007</v>
      </c>
      <c r="N226" s="9">
        <f t="shared" si="38"/>
        <v>-0.5</v>
      </c>
      <c r="O226" s="19">
        <f t="shared" si="47"/>
        <v>63.600000000000051</v>
      </c>
      <c r="P226" s="14">
        <v>221</v>
      </c>
      <c r="Q226" s="15">
        <v>1.1499999999999999</v>
      </c>
      <c r="R226" s="16">
        <f t="shared" si="45"/>
        <v>1.9549999999999998</v>
      </c>
      <c r="S226" s="16">
        <f t="shared" si="42"/>
        <v>-0.75499999999999989</v>
      </c>
      <c r="T226" s="20">
        <f t="shared" si="46"/>
        <v>52.162200000000041</v>
      </c>
      <c r="U226" s="57" t="s">
        <v>32</v>
      </c>
      <c r="V226">
        <v>1003.5</v>
      </c>
      <c r="W226">
        <f t="shared" si="39"/>
        <v>79.015748031496074</v>
      </c>
      <c r="X226">
        <f t="shared" si="43"/>
        <v>159953.09999999998</v>
      </c>
      <c r="Y226">
        <f t="shared" si="50"/>
        <v>5417.4</v>
      </c>
      <c r="Z226" s="57" t="s">
        <v>33</v>
      </c>
      <c r="AA226">
        <v>13.321804449861601</v>
      </c>
    </row>
    <row r="227" spans="1:27" x14ac:dyDescent="0.25">
      <c r="A227" s="120"/>
      <c r="B227" s="39"/>
      <c r="C227" s="13">
        <v>41741</v>
      </c>
      <c r="D227">
        <v>12</v>
      </c>
      <c r="E227">
        <v>6.2</v>
      </c>
      <c r="F227">
        <v>17.399999999999999</v>
      </c>
      <c r="G227">
        <f t="shared" si="44"/>
        <v>2038.4999999999993</v>
      </c>
      <c r="H227">
        <f t="shared" si="49"/>
        <v>46.8</v>
      </c>
      <c r="I227">
        <f>MAX(F224:F251)</f>
        <v>20.399999999999999</v>
      </c>
      <c r="J227">
        <v>0</v>
      </c>
      <c r="K227">
        <f t="shared" si="40"/>
        <v>487.90000000000003</v>
      </c>
      <c r="L227">
        <v>3.3</v>
      </c>
      <c r="M227">
        <f t="shared" si="41"/>
        <v>284.10000000000008</v>
      </c>
      <c r="N227" s="9">
        <f t="shared" si="38"/>
        <v>-3.3</v>
      </c>
      <c r="O227" s="19">
        <f t="shared" si="47"/>
        <v>60.300000000000054</v>
      </c>
      <c r="P227" s="14">
        <v>222</v>
      </c>
      <c r="Q227" s="15">
        <v>1.1499999999999999</v>
      </c>
      <c r="R227" s="16">
        <f t="shared" si="45"/>
        <v>3.7949999999999995</v>
      </c>
      <c r="S227" s="16">
        <f t="shared" si="42"/>
        <v>-3.7949999999999995</v>
      </c>
      <c r="T227" s="20">
        <f t="shared" si="46"/>
        <v>48.367200000000039</v>
      </c>
      <c r="U227">
        <v>0</v>
      </c>
      <c r="V227">
        <v>2099.8000000000002</v>
      </c>
      <c r="W227">
        <f t="shared" si="39"/>
        <v>174.98333333333335</v>
      </c>
      <c r="X227">
        <f t="shared" si="43"/>
        <v>162052.89999999997</v>
      </c>
      <c r="Y227">
        <f t="shared" si="50"/>
        <v>7517.2</v>
      </c>
      <c r="Z227" s="22">
        <f>(Z225/100)/I237</f>
        <v>1.3700488122356</v>
      </c>
      <c r="AA227">
        <v>13.3763885348956</v>
      </c>
    </row>
    <row r="228" spans="1:27" x14ac:dyDescent="0.25">
      <c r="A228" s="120"/>
      <c r="B228" s="39"/>
      <c r="C228" s="13">
        <v>41742</v>
      </c>
      <c r="D228">
        <v>11.4</v>
      </c>
      <c r="E228">
        <v>7.5</v>
      </c>
      <c r="F228">
        <v>15.5</v>
      </c>
      <c r="G228">
        <f t="shared" si="44"/>
        <v>2049.8999999999992</v>
      </c>
      <c r="H228">
        <f t="shared" si="49"/>
        <v>58.199999999999996</v>
      </c>
      <c r="I228" s="57" t="s">
        <v>34</v>
      </c>
      <c r="J228">
        <v>0</v>
      </c>
      <c r="K228">
        <f t="shared" si="40"/>
        <v>487.90000000000003</v>
      </c>
      <c r="L228">
        <v>2.8</v>
      </c>
      <c r="M228">
        <f t="shared" si="41"/>
        <v>286.90000000000009</v>
      </c>
      <c r="N228" s="9">
        <f t="shared" si="38"/>
        <v>-2.8</v>
      </c>
      <c r="O228" s="19">
        <f t="shared" si="47"/>
        <v>57.500000000000057</v>
      </c>
      <c r="P228" s="14">
        <v>223</v>
      </c>
      <c r="Q228" s="15">
        <v>1.1499999999999999</v>
      </c>
      <c r="R228" s="16">
        <f t="shared" si="45"/>
        <v>3.2199999999999998</v>
      </c>
      <c r="S228" s="16">
        <f t="shared" si="42"/>
        <v>-3.2199999999999998</v>
      </c>
      <c r="T228" s="20">
        <f t="shared" si="46"/>
        <v>45.147200000000041</v>
      </c>
      <c r="U228" s="57" t="s">
        <v>35</v>
      </c>
      <c r="V228">
        <v>1902.3</v>
      </c>
      <c r="W228">
        <f t="shared" si="39"/>
        <v>166.86842105263156</v>
      </c>
      <c r="X228">
        <f t="shared" si="43"/>
        <v>163955.19999999995</v>
      </c>
      <c r="Y228">
        <f t="shared" si="50"/>
        <v>9419.5</v>
      </c>
      <c r="Z228" s="57" t="s">
        <v>36</v>
      </c>
      <c r="AA228">
        <v>13.430806165572401</v>
      </c>
    </row>
    <row r="229" spans="1:27" x14ac:dyDescent="0.25">
      <c r="A229" s="120"/>
      <c r="B229" s="39"/>
      <c r="C229" s="13">
        <v>41743</v>
      </c>
      <c r="D229">
        <v>10.9</v>
      </c>
      <c r="E229" s="25">
        <v>4.7</v>
      </c>
      <c r="F229">
        <v>16.399999999999999</v>
      </c>
      <c r="G229">
        <f t="shared" si="44"/>
        <v>2060.7999999999993</v>
      </c>
      <c r="H229">
        <f t="shared" si="49"/>
        <v>69.099999999999994</v>
      </c>
      <c r="I229" s="23">
        <f>AVERAGE(D224:D251)</f>
        <v>10.974999999999998</v>
      </c>
      <c r="J229">
        <v>0</v>
      </c>
      <c r="K229">
        <f t="shared" si="40"/>
        <v>487.90000000000003</v>
      </c>
      <c r="L229">
        <v>3.5</v>
      </c>
      <c r="M229">
        <f t="shared" si="41"/>
        <v>290.40000000000009</v>
      </c>
      <c r="N229" s="9">
        <f t="shared" si="38"/>
        <v>-3.5</v>
      </c>
      <c r="O229" s="19">
        <f t="shared" si="47"/>
        <v>54.000000000000057</v>
      </c>
      <c r="P229" s="14">
        <v>224</v>
      </c>
      <c r="Q229" s="15">
        <v>1.1499999999999999</v>
      </c>
      <c r="R229" s="16">
        <f t="shared" si="45"/>
        <v>4.0249999999999995</v>
      </c>
      <c r="S229" s="16">
        <f t="shared" si="42"/>
        <v>-4.0249999999999995</v>
      </c>
      <c r="T229" s="20">
        <f t="shared" si="46"/>
        <v>41.122200000000042</v>
      </c>
      <c r="U229">
        <v>15</v>
      </c>
      <c r="V229">
        <v>2439.5</v>
      </c>
      <c r="W229">
        <f t="shared" si="39"/>
        <v>223.80733944954127</v>
      </c>
      <c r="X229">
        <f t="shared" si="43"/>
        <v>166394.69999999995</v>
      </c>
      <c r="Y229">
        <f t="shared" si="50"/>
        <v>11859</v>
      </c>
      <c r="Z229">
        <v>6</v>
      </c>
      <c r="AA229">
        <v>13.4850480041683</v>
      </c>
    </row>
    <row r="230" spans="1:27" x14ac:dyDescent="0.25">
      <c r="A230" s="120"/>
      <c r="B230" s="39"/>
      <c r="C230" s="13">
        <v>41744</v>
      </c>
      <c r="D230">
        <v>9.1999999999999993</v>
      </c>
      <c r="E230" s="25">
        <v>3.9</v>
      </c>
      <c r="F230">
        <v>14</v>
      </c>
      <c r="G230">
        <f t="shared" si="44"/>
        <v>2069.9999999999991</v>
      </c>
      <c r="H230">
        <f t="shared" si="49"/>
        <v>78.3</v>
      </c>
      <c r="I230" s="57" t="s">
        <v>37</v>
      </c>
      <c r="J230">
        <v>0</v>
      </c>
      <c r="K230">
        <f t="shared" si="40"/>
        <v>487.90000000000003</v>
      </c>
      <c r="L230">
        <v>4.0999999999999996</v>
      </c>
      <c r="M230">
        <f t="shared" si="41"/>
        <v>294.50000000000011</v>
      </c>
      <c r="N230" s="9">
        <f t="shared" si="38"/>
        <v>-4.0999999999999996</v>
      </c>
      <c r="O230" s="19">
        <f t="shared" si="47"/>
        <v>49.900000000000055</v>
      </c>
      <c r="P230" s="14">
        <v>225</v>
      </c>
      <c r="Q230" s="15">
        <v>1.1499999999999999</v>
      </c>
      <c r="R230" s="16">
        <f t="shared" si="45"/>
        <v>4.714999999999999</v>
      </c>
      <c r="S230" s="16">
        <f t="shared" si="42"/>
        <v>-4.714999999999999</v>
      </c>
      <c r="T230" s="20">
        <f t="shared" si="46"/>
        <v>36.407200000000046</v>
      </c>
      <c r="U230" s="57" t="s">
        <v>38</v>
      </c>
      <c r="V230">
        <v>2606.9</v>
      </c>
      <c r="W230">
        <f t="shared" si="39"/>
        <v>283.35869565217394</v>
      </c>
      <c r="X230">
        <f t="shared" si="43"/>
        <v>169001.59999999995</v>
      </c>
      <c r="Y230">
        <f t="shared" si="50"/>
        <v>14465.9</v>
      </c>
      <c r="AA230">
        <v>13.5391043869848</v>
      </c>
    </row>
    <row r="231" spans="1:27" x14ac:dyDescent="0.25">
      <c r="A231" s="120"/>
      <c r="B231" s="39"/>
      <c r="C231" s="13">
        <v>41745</v>
      </c>
      <c r="D231">
        <v>9.4</v>
      </c>
      <c r="E231" s="25">
        <v>2.7</v>
      </c>
      <c r="F231">
        <v>15.3</v>
      </c>
      <c r="G231">
        <f t="shared" si="44"/>
        <v>2079.3999999999992</v>
      </c>
      <c r="H231">
        <f t="shared" si="49"/>
        <v>87.7</v>
      </c>
      <c r="I231">
        <v>0</v>
      </c>
      <c r="J231">
        <v>0</v>
      </c>
      <c r="K231">
        <f t="shared" si="40"/>
        <v>487.90000000000003</v>
      </c>
      <c r="L231">
        <v>4.0999999999999996</v>
      </c>
      <c r="M231">
        <f t="shared" si="41"/>
        <v>298.60000000000014</v>
      </c>
      <c r="N231" s="9">
        <f t="shared" si="38"/>
        <v>-4.0999999999999996</v>
      </c>
      <c r="O231" s="19">
        <f t="shared" si="47"/>
        <v>45.800000000000054</v>
      </c>
      <c r="P231" s="14">
        <v>226</v>
      </c>
      <c r="Q231" s="15">
        <v>1.1499999999999999</v>
      </c>
      <c r="R231" s="16">
        <f t="shared" si="45"/>
        <v>4.714999999999999</v>
      </c>
      <c r="S231" s="16">
        <f t="shared" si="42"/>
        <v>-4.714999999999999</v>
      </c>
      <c r="T231" s="20">
        <f t="shared" si="46"/>
        <v>31.692200000000046</v>
      </c>
      <c r="U231" s="23">
        <f>MIN(T224:T251)</f>
        <v>19.367200000000047</v>
      </c>
      <c r="V231">
        <v>2425</v>
      </c>
      <c r="W231">
        <f t="shared" si="39"/>
        <v>257.97872340425533</v>
      </c>
      <c r="X231">
        <f t="shared" si="43"/>
        <v>171426.59999999995</v>
      </c>
      <c r="Y231">
        <f t="shared" si="50"/>
        <v>16890.900000000001</v>
      </c>
      <c r="AA231">
        <v>13.5929653109868</v>
      </c>
    </row>
    <row r="232" spans="1:27" x14ac:dyDescent="0.25">
      <c r="A232" s="120"/>
      <c r="B232" s="39"/>
      <c r="C232" s="13">
        <v>41746</v>
      </c>
      <c r="D232">
        <v>11.3</v>
      </c>
      <c r="E232" s="25">
        <v>4.2</v>
      </c>
      <c r="F232">
        <v>18.2</v>
      </c>
      <c r="G232">
        <f t="shared" si="44"/>
        <v>2090.6999999999994</v>
      </c>
      <c r="H232">
        <f t="shared" si="49"/>
        <v>99</v>
      </c>
      <c r="I232" s="57" t="s">
        <v>39</v>
      </c>
      <c r="J232">
        <v>0</v>
      </c>
      <c r="K232">
        <f t="shared" si="40"/>
        <v>487.90000000000003</v>
      </c>
      <c r="L232">
        <v>4.0999999999999996</v>
      </c>
      <c r="M232">
        <f t="shared" si="41"/>
        <v>302.70000000000016</v>
      </c>
      <c r="N232" s="9">
        <f t="shared" si="38"/>
        <v>-4.0999999999999996</v>
      </c>
      <c r="O232" s="19">
        <f t="shared" si="47"/>
        <v>41.700000000000053</v>
      </c>
      <c r="P232" s="14">
        <v>227</v>
      </c>
      <c r="Q232" s="15">
        <v>1.1499999999999999</v>
      </c>
      <c r="R232" s="16">
        <f t="shared" si="45"/>
        <v>4.714999999999999</v>
      </c>
      <c r="S232" s="16">
        <f t="shared" si="42"/>
        <v>-4.714999999999999</v>
      </c>
      <c r="T232" s="20">
        <f t="shared" si="46"/>
        <v>26.977200000000046</v>
      </c>
      <c r="U232" s="57" t="s">
        <v>40</v>
      </c>
      <c r="V232">
        <v>2297.1999999999998</v>
      </c>
      <c r="W232">
        <f t="shared" si="39"/>
        <v>203.29203539823007</v>
      </c>
      <c r="X232">
        <f t="shared" si="43"/>
        <v>173723.79999999996</v>
      </c>
      <c r="Y232">
        <f t="shared" si="50"/>
        <v>19188.100000000002</v>
      </c>
      <c r="AA232">
        <v>13.646620420779</v>
      </c>
    </row>
    <row r="233" spans="1:27" x14ac:dyDescent="0.25">
      <c r="A233" s="120"/>
      <c r="B233" s="39"/>
      <c r="C233" s="13">
        <v>41747</v>
      </c>
      <c r="D233">
        <v>10.3</v>
      </c>
      <c r="E233">
        <v>6.4</v>
      </c>
      <c r="F233">
        <v>13.5</v>
      </c>
      <c r="G233">
        <f t="shared" si="44"/>
        <v>2100.9999999999995</v>
      </c>
      <c r="H233">
        <f t="shared" si="49"/>
        <v>109.3</v>
      </c>
      <c r="I233">
        <v>0</v>
      </c>
      <c r="J233">
        <v>0</v>
      </c>
      <c r="K233">
        <f t="shared" si="40"/>
        <v>487.90000000000003</v>
      </c>
      <c r="L233">
        <v>1.9</v>
      </c>
      <c r="M233">
        <f t="shared" si="41"/>
        <v>304.60000000000014</v>
      </c>
      <c r="N233" s="9">
        <f t="shared" si="38"/>
        <v>-1.9</v>
      </c>
      <c r="O233" s="19">
        <f t="shared" si="47"/>
        <v>39.800000000000054</v>
      </c>
      <c r="P233" s="14">
        <v>228</v>
      </c>
      <c r="Q233" s="15">
        <v>1.1499999999999999</v>
      </c>
      <c r="R233" s="16">
        <f t="shared" si="45"/>
        <v>2.1849999999999996</v>
      </c>
      <c r="S233" s="16">
        <f t="shared" si="42"/>
        <v>-2.1849999999999996</v>
      </c>
      <c r="T233" s="20">
        <f t="shared" si="46"/>
        <v>24.792200000000047</v>
      </c>
      <c r="U233" s="23">
        <f>MAX(T224:T251)</f>
        <v>57.63220000000004</v>
      </c>
      <c r="V233">
        <v>929.8</v>
      </c>
      <c r="W233">
        <f t="shared" si="39"/>
        <v>90.271844660194162</v>
      </c>
      <c r="X233">
        <f t="shared" si="43"/>
        <v>174653.59999999995</v>
      </c>
      <c r="Y233">
        <f t="shared" si="50"/>
        <v>20117.900000000001</v>
      </c>
      <c r="AA233">
        <v>13.700058995956301</v>
      </c>
    </row>
    <row r="234" spans="1:27" x14ac:dyDescent="0.25">
      <c r="A234" s="120"/>
      <c r="B234" s="39"/>
      <c r="C234" s="13">
        <v>41748</v>
      </c>
      <c r="D234">
        <v>7.6</v>
      </c>
      <c r="E234" s="25">
        <v>3</v>
      </c>
      <c r="F234">
        <v>12.6</v>
      </c>
      <c r="G234">
        <f t="shared" si="44"/>
        <v>2108.5999999999995</v>
      </c>
      <c r="H234">
        <f t="shared" si="49"/>
        <v>116.89999999999999</v>
      </c>
      <c r="I234" s="57" t="s">
        <v>41</v>
      </c>
      <c r="J234">
        <v>0</v>
      </c>
      <c r="K234">
        <f t="shared" si="40"/>
        <v>487.90000000000003</v>
      </c>
      <c r="L234">
        <v>2.5</v>
      </c>
      <c r="M234">
        <f t="shared" si="41"/>
        <v>307.10000000000014</v>
      </c>
      <c r="N234" s="9">
        <f t="shared" si="38"/>
        <v>-2.5</v>
      </c>
      <c r="O234" s="19">
        <f t="shared" si="47"/>
        <v>37.300000000000054</v>
      </c>
      <c r="P234" s="14">
        <v>229</v>
      </c>
      <c r="Q234" s="15">
        <v>1.1499999999999999</v>
      </c>
      <c r="R234" s="16">
        <f t="shared" si="45"/>
        <v>2.875</v>
      </c>
      <c r="S234" s="16">
        <f t="shared" si="42"/>
        <v>-2.875</v>
      </c>
      <c r="T234" s="20">
        <f t="shared" si="46"/>
        <v>21.917200000000047</v>
      </c>
      <c r="U234" s="57" t="s">
        <v>42</v>
      </c>
      <c r="V234">
        <v>1263.0999999999999</v>
      </c>
      <c r="W234">
        <f t="shared" si="39"/>
        <v>166.19736842105263</v>
      </c>
      <c r="X234">
        <f t="shared" si="43"/>
        <v>175916.69999999995</v>
      </c>
      <c r="Y234">
        <f t="shared" si="50"/>
        <v>21381</v>
      </c>
      <c r="AA234">
        <v>13.753269938868501</v>
      </c>
    </row>
    <row r="235" spans="1:27" x14ac:dyDescent="0.25">
      <c r="A235" s="120"/>
      <c r="B235" s="39"/>
      <c r="C235" s="13">
        <v>41749</v>
      </c>
      <c r="D235">
        <v>9.1999999999999993</v>
      </c>
      <c r="E235" s="25">
        <v>1.8</v>
      </c>
      <c r="F235">
        <v>14</v>
      </c>
      <c r="G235">
        <f t="shared" si="44"/>
        <v>2117.7999999999993</v>
      </c>
      <c r="H235">
        <f t="shared" si="49"/>
        <v>126.1</v>
      </c>
      <c r="I235">
        <v>8</v>
      </c>
      <c r="J235">
        <v>0.6</v>
      </c>
      <c r="K235">
        <f t="shared" si="40"/>
        <v>488.50000000000006</v>
      </c>
      <c r="L235">
        <v>2</v>
      </c>
      <c r="M235">
        <f t="shared" si="41"/>
        <v>309.10000000000014</v>
      </c>
      <c r="N235" s="9">
        <f t="shared" si="38"/>
        <v>-1.4</v>
      </c>
      <c r="O235" s="19">
        <f t="shared" si="47"/>
        <v>35.900000000000055</v>
      </c>
      <c r="P235" s="14">
        <v>230</v>
      </c>
      <c r="Q235" s="15">
        <v>1.1499999999999999</v>
      </c>
      <c r="R235" s="16">
        <f t="shared" si="45"/>
        <v>2.2999999999999998</v>
      </c>
      <c r="S235" s="16">
        <f t="shared" si="42"/>
        <v>-1.6999999999999997</v>
      </c>
      <c r="T235" s="20">
        <f t="shared" si="46"/>
        <v>20.217200000000048</v>
      </c>
      <c r="U235" s="22">
        <f>AVERAGE(T224:T251)</f>
        <v>37.952557142857188</v>
      </c>
      <c r="V235">
        <v>1485.5</v>
      </c>
      <c r="W235">
        <f t="shared" si="39"/>
        <v>161.46739130434784</v>
      </c>
      <c r="X235">
        <f t="shared" si="43"/>
        <v>177402.19999999995</v>
      </c>
      <c r="Y235">
        <f t="shared" si="50"/>
        <v>22866.5</v>
      </c>
      <c r="AA235">
        <v>13.8062417628445</v>
      </c>
    </row>
    <row r="236" spans="1:27" x14ac:dyDescent="0.25">
      <c r="A236" s="120"/>
      <c r="B236" s="39"/>
      <c r="C236" s="13">
        <v>41750</v>
      </c>
      <c r="D236">
        <v>10.5</v>
      </c>
      <c r="E236">
        <v>9</v>
      </c>
      <c r="F236">
        <v>13.1</v>
      </c>
      <c r="G236">
        <f t="shared" si="44"/>
        <v>2128.2999999999993</v>
      </c>
      <c r="H236">
        <f t="shared" si="49"/>
        <v>136.6</v>
      </c>
      <c r="I236" s="57" t="s">
        <v>43</v>
      </c>
      <c r="J236">
        <v>0.3</v>
      </c>
      <c r="K236">
        <f t="shared" si="40"/>
        <v>488.80000000000007</v>
      </c>
      <c r="L236">
        <v>1</v>
      </c>
      <c r="M236">
        <f t="shared" si="41"/>
        <v>310.10000000000014</v>
      </c>
      <c r="N236" s="9">
        <f t="shared" si="38"/>
        <v>-0.7</v>
      </c>
      <c r="O236" s="19">
        <f t="shared" si="47"/>
        <v>35.200000000000053</v>
      </c>
      <c r="P236" s="14">
        <v>231</v>
      </c>
      <c r="Q236" s="15">
        <v>1.1499999999999999</v>
      </c>
      <c r="R236" s="16">
        <f t="shared" si="45"/>
        <v>1.1499999999999999</v>
      </c>
      <c r="S236" s="16">
        <f t="shared" si="42"/>
        <v>-0.84999999999999987</v>
      </c>
      <c r="T236" s="20">
        <f t="shared" si="46"/>
        <v>19.367200000000047</v>
      </c>
      <c r="V236" s="21">
        <v>605.5</v>
      </c>
      <c r="W236">
        <f t="shared" si="39"/>
        <v>57.666666666666664</v>
      </c>
      <c r="X236">
        <f t="shared" si="43"/>
        <v>178007.69999999995</v>
      </c>
      <c r="Y236">
        <f t="shared" si="50"/>
        <v>23472</v>
      </c>
      <c r="AA236">
        <v>13.8589625809221</v>
      </c>
    </row>
    <row r="237" spans="1:27" x14ac:dyDescent="0.25">
      <c r="A237" s="120"/>
      <c r="B237" s="39"/>
      <c r="C237" s="13">
        <v>41751</v>
      </c>
      <c r="D237">
        <v>11.4</v>
      </c>
      <c r="E237">
        <v>5.6</v>
      </c>
      <c r="F237">
        <v>17.100000000000001</v>
      </c>
      <c r="G237">
        <f t="shared" si="44"/>
        <v>2139.6999999999994</v>
      </c>
      <c r="H237">
        <f t="shared" si="49"/>
        <v>148</v>
      </c>
      <c r="I237">
        <v>307.3</v>
      </c>
      <c r="J237">
        <v>4</v>
      </c>
      <c r="K237">
        <f t="shared" si="40"/>
        <v>492.80000000000007</v>
      </c>
      <c r="L237">
        <v>2</v>
      </c>
      <c r="M237">
        <f t="shared" si="41"/>
        <v>312.10000000000014</v>
      </c>
      <c r="N237">
        <f t="shared" si="38"/>
        <v>2</v>
      </c>
      <c r="O237" s="19">
        <f t="shared" si="47"/>
        <v>37.200000000000053</v>
      </c>
      <c r="P237" s="14">
        <v>232</v>
      </c>
      <c r="Q237" s="15">
        <v>1.1499999999999999</v>
      </c>
      <c r="R237" s="16">
        <f t="shared" si="45"/>
        <v>2.2999999999999998</v>
      </c>
      <c r="S237" s="16">
        <f t="shared" si="42"/>
        <v>1.7000000000000002</v>
      </c>
      <c r="T237" s="20">
        <f t="shared" si="46"/>
        <v>21.067200000000046</v>
      </c>
      <c r="U237" s="23">
        <f>(U235*100)/122.1</f>
        <v>31.083175383175419</v>
      </c>
      <c r="V237">
        <v>1311.1</v>
      </c>
      <c r="W237">
        <f t="shared" si="39"/>
        <v>115.00877192982455</v>
      </c>
      <c r="X237">
        <f t="shared" si="43"/>
        <v>179318.79999999996</v>
      </c>
      <c r="Y237">
        <f t="shared" si="50"/>
        <v>24783.1</v>
      </c>
      <c r="AA237">
        <v>13.911420095134501</v>
      </c>
    </row>
    <row r="238" spans="1:27" x14ac:dyDescent="0.25">
      <c r="A238" s="120"/>
      <c r="B238" s="39"/>
      <c r="C238" s="13">
        <v>41752</v>
      </c>
      <c r="D238">
        <v>12.2</v>
      </c>
      <c r="E238">
        <v>5.9</v>
      </c>
      <c r="F238">
        <v>17.8</v>
      </c>
      <c r="G238">
        <f t="shared" si="44"/>
        <v>2151.8999999999992</v>
      </c>
      <c r="H238">
        <f t="shared" si="49"/>
        <v>160.19999999999999</v>
      </c>
      <c r="J238">
        <v>6.4</v>
      </c>
      <c r="K238">
        <f t="shared" si="40"/>
        <v>499.20000000000005</v>
      </c>
      <c r="L238">
        <v>3</v>
      </c>
      <c r="M238">
        <f t="shared" si="41"/>
        <v>315.10000000000014</v>
      </c>
      <c r="N238">
        <f t="shared" si="38"/>
        <v>3.4000000000000004</v>
      </c>
      <c r="O238" s="19">
        <f t="shared" si="47"/>
        <v>40.600000000000051</v>
      </c>
      <c r="P238" s="14">
        <v>233</v>
      </c>
      <c r="Q238" s="15">
        <v>1.1499999999999999</v>
      </c>
      <c r="R238" s="16">
        <f t="shared" si="45"/>
        <v>3.4499999999999997</v>
      </c>
      <c r="S238" s="16">
        <f t="shared" si="42"/>
        <v>2.9500000000000006</v>
      </c>
      <c r="T238" s="20">
        <f t="shared" si="46"/>
        <v>24.017200000000045</v>
      </c>
      <c r="V238">
        <v>1951</v>
      </c>
      <c r="W238">
        <f t="shared" si="39"/>
        <v>159.91803278688525</v>
      </c>
      <c r="X238">
        <f t="shared" si="43"/>
        <v>181269.79999999996</v>
      </c>
      <c r="Y238">
        <f t="shared" si="50"/>
        <v>26734.1</v>
      </c>
      <c r="AA238">
        <v>13.963601586408799</v>
      </c>
    </row>
    <row r="239" spans="1:27" x14ac:dyDescent="0.25">
      <c r="A239" s="120"/>
      <c r="B239" s="39"/>
      <c r="C239" s="13">
        <v>41753</v>
      </c>
      <c r="D239">
        <v>12.4</v>
      </c>
      <c r="E239">
        <v>7.8</v>
      </c>
      <c r="F239">
        <v>15.8</v>
      </c>
      <c r="G239">
        <f t="shared" si="44"/>
        <v>2164.2999999999993</v>
      </c>
      <c r="H239">
        <f t="shared" si="49"/>
        <v>172.6</v>
      </c>
      <c r="J239">
        <v>6.1</v>
      </c>
      <c r="K239">
        <f t="shared" si="40"/>
        <v>505.30000000000007</v>
      </c>
      <c r="L239">
        <v>2.1</v>
      </c>
      <c r="M239">
        <f t="shared" si="41"/>
        <v>317.20000000000016</v>
      </c>
      <c r="N239">
        <f t="shared" si="38"/>
        <v>3.9999999999999996</v>
      </c>
      <c r="O239" s="19">
        <f t="shared" si="47"/>
        <v>44.600000000000051</v>
      </c>
      <c r="P239" s="14">
        <v>234</v>
      </c>
      <c r="Q239" s="15">
        <v>1.1499999999999999</v>
      </c>
      <c r="R239" s="16">
        <f t="shared" si="45"/>
        <v>2.415</v>
      </c>
      <c r="S239" s="16">
        <f t="shared" si="42"/>
        <v>3.6849999999999996</v>
      </c>
      <c r="T239" s="20">
        <f t="shared" si="46"/>
        <v>27.702200000000044</v>
      </c>
      <c r="V239">
        <v>1468.6</v>
      </c>
      <c r="W239">
        <f t="shared" si="39"/>
        <v>118.43548387096773</v>
      </c>
      <c r="X239">
        <f t="shared" si="43"/>
        <v>182738.39999999997</v>
      </c>
      <c r="Y239">
        <f t="shared" si="50"/>
        <v>28202.699999999997</v>
      </c>
      <c r="AA239">
        <v>14.015493905133701</v>
      </c>
    </row>
    <row r="240" spans="1:27" x14ac:dyDescent="0.25">
      <c r="A240" s="120"/>
      <c r="B240" s="39"/>
      <c r="C240" s="13">
        <v>41754</v>
      </c>
      <c r="D240">
        <v>11.5</v>
      </c>
      <c r="E240">
        <v>10</v>
      </c>
      <c r="F240">
        <v>13.6</v>
      </c>
      <c r="G240">
        <f t="shared" si="44"/>
        <v>2175.7999999999993</v>
      </c>
      <c r="H240">
        <f t="shared" si="49"/>
        <v>184.1</v>
      </c>
      <c r="J240">
        <v>0.4</v>
      </c>
      <c r="K240">
        <f t="shared" si="40"/>
        <v>505.70000000000005</v>
      </c>
      <c r="L240">
        <v>1.5</v>
      </c>
      <c r="M240">
        <f t="shared" si="41"/>
        <v>318.70000000000016</v>
      </c>
      <c r="N240" s="9">
        <f t="shared" si="38"/>
        <v>-1.1000000000000001</v>
      </c>
      <c r="O240" s="19">
        <f t="shared" si="47"/>
        <v>43.50000000000005</v>
      </c>
      <c r="P240" s="14">
        <v>235</v>
      </c>
      <c r="Q240" s="15">
        <v>1.1499999999999999</v>
      </c>
      <c r="R240" s="16">
        <f t="shared" si="45"/>
        <v>1.7249999999999999</v>
      </c>
      <c r="S240" s="16">
        <f t="shared" si="42"/>
        <v>-1.3249999999999997</v>
      </c>
      <c r="T240" s="20">
        <f t="shared" si="46"/>
        <v>26.377200000000045</v>
      </c>
      <c r="V240">
        <v>970.2</v>
      </c>
      <c r="W240">
        <f t="shared" si="39"/>
        <v>84.365217391304355</v>
      </c>
      <c r="X240">
        <f t="shared" si="43"/>
        <v>183708.59999999998</v>
      </c>
      <c r="Y240">
        <f t="shared" si="50"/>
        <v>29172.899999999998</v>
      </c>
      <c r="AA240">
        <v>14.0670834624586</v>
      </c>
    </row>
    <row r="241" spans="1:27" x14ac:dyDescent="0.25">
      <c r="A241" s="120"/>
      <c r="B241" s="39"/>
      <c r="C241" s="13">
        <v>41755</v>
      </c>
      <c r="D241">
        <v>10.3</v>
      </c>
      <c r="E241">
        <v>7</v>
      </c>
      <c r="F241">
        <v>13.6</v>
      </c>
      <c r="G241">
        <f t="shared" si="44"/>
        <v>2186.0999999999995</v>
      </c>
      <c r="H241">
        <f t="shared" si="49"/>
        <v>194.4</v>
      </c>
      <c r="J241">
        <v>2.5</v>
      </c>
      <c r="K241">
        <f t="shared" si="40"/>
        <v>508.20000000000005</v>
      </c>
      <c r="L241">
        <v>1.3</v>
      </c>
      <c r="M241">
        <f t="shared" si="41"/>
        <v>320.00000000000017</v>
      </c>
      <c r="N241">
        <f t="shared" si="38"/>
        <v>1.2</v>
      </c>
      <c r="O241" s="19">
        <f t="shared" si="47"/>
        <v>44.700000000000053</v>
      </c>
      <c r="P241" s="14">
        <v>236</v>
      </c>
      <c r="Q241" s="15">
        <v>1.1499999999999999</v>
      </c>
      <c r="R241" s="16">
        <f t="shared" si="45"/>
        <v>1.4949999999999999</v>
      </c>
      <c r="S241" s="16">
        <f t="shared" si="42"/>
        <v>1.0050000000000001</v>
      </c>
      <c r="T241" s="20">
        <f t="shared" si="46"/>
        <v>27.382200000000044</v>
      </c>
      <c r="V241" s="21">
        <v>840</v>
      </c>
      <c r="W241">
        <f t="shared" si="39"/>
        <v>81.553398058252426</v>
      </c>
      <c r="X241">
        <f t="shared" si="43"/>
        <v>184548.59999999998</v>
      </c>
      <c r="Y241">
        <f t="shared" si="50"/>
        <v>30012.899999999998</v>
      </c>
      <c r="AA241">
        <v>14.1183562223884</v>
      </c>
    </row>
    <row r="242" spans="1:27" x14ac:dyDescent="0.25">
      <c r="A242" s="120"/>
      <c r="B242" s="39"/>
      <c r="C242" s="13">
        <v>41756</v>
      </c>
      <c r="D242">
        <v>10</v>
      </c>
      <c r="E242">
        <v>7.4</v>
      </c>
      <c r="F242">
        <v>11.3</v>
      </c>
      <c r="G242">
        <f t="shared" si="44"/>
        <v>2196.0999999999995</v>
      </c>
      <c r="H242">
        <f t="shared" si="49"/>
        <v>204.4</v>
      </c>
      <c r="J242">
        <v>6.5</v>
      </c>
      <c r="K242">
        <f t="shared" si="40"/>
        <v>514.70000000000005</v>
      </c>
      <c r="L242">
        <v>0.9</v>
      </c>
      <c r="M242">
        <f t="shared" si="41"/>
        <v>320.90000000000015</v>
      </c>
      <c r="N242">
        <f t="shared" si="38"/>
        <v>5.6</v>
      </c>
      <c r="O242" s="19">
        <f t="shared" si="47"/>
        <v>50.300000000000054</v>
      </c>
      <c r="P242" s="14">
        <v>237</v>
      </c>
      <c r="Q242" s="15">
        <v>1.1499999999999999</v>
      </c>
      <c r="R242" s="16">
        <f t="shared" si="45"/>
        <v>1.0349999999999999</v>
      </c>
      <c r="S242" s="16">
        <f t="shared" si="42"/>
        <v>5.4649999999999999</v>
      </c>
      <c r="T242" s="20">
        <f t="shared" si="46"/>
        <v>32.847200000000043</v>
      </c>
      <c r="V242" s="21">
        <v>559.1</v>
      </c>
      <c r="W242">
        <f t="shared" si="39"/>
        <v>55.910000000000004</v>
      </c>
      <c r="X242">
        <f t="shared" si="43"/>
        <v>185107.69999999998</v>
      </c>
      <c r="Y242">
        <f t="shared" si="50"/>
        <v>30571.999999999996</v>
      </c>
      <c r="AA242">
        <v>14.1692976947439</v>
      </c>
    </row>
    <row r="243" spans="1:27" x14ac:dyDescent="0.25">
      <c r="A243" s="120"/>
      <c r="B243" s="39"/>
      <c r="C243" s="13">
        <v>41757</v>
      </c>
      <c r="D243">
        <v>10.5</v>
      </c>
      <c r="E243">
        <v>8.8000000000000007</v>
      </c>
      <c r="F243">
        <v>13.2</v>
      </c>
      <c r="G243">
        <f t="shared" si="44"/>
        <v>2206.5999999999995</v>
      </c>
      <c r="H243">
        <f t="shared" si="49"/>
        <v>214.9</v>
      </c>
      <c r="J243">
        <v>4.8</v>
      </c>
      <c r="K243">
        <f t="shared" si="40"/>
        <v>519.5</v>
      </c>
      <c r="L243">
        <v>1.7</v>
      </c>
      <c r="M243">
        <f t="shared" si="41"/>
        <v>322.60000000000014</v>
      </c>
      <c r="N243">
        <f t="shared" si="38"/>
        <v>3.0999999999999996</v>
      </c>
      <c r="O243" s="19">
        <f t="shared" si="47"/>
        <v>53.400000000000055</v>
      </c>
      <c r="P243" s="14">
        <v>238</v>
      </c>
      <c r="Q243" s="15">
        <v>1.1499999999999999</v>
      </c>
      <c r="R243" s="16">
        <f t="shared" si="45"/>
        <v>1.9549999999999998</v>
      </c>
      <c r="S243" s="16">
        <f t="shared" si="42"/>
        <v>2.8449999999999998</v>
      </c>
      <c r="T243" s="20">
        <f t="shared" si="46"/>
        <v>35.692200000000042</v>
      </c>
      <c r="V243">
        <v>1018.2</v>
      </c>
      <c r="W243">
        <f t="shared" si="39"/>
        <v>96.971428571428575</v>
      </c>
      <c r="X243">
        <f t="shared" si="43"/>
        <v>186125.9</v>
      </c>
      <c r="Y243">
        <f t="shared" si="50"/>
        <v>31590.199999999997</v>
      </c>
      <c r="AA243">
        <v>14.2198929290597</v>
      </c>
    </row>
    <row r="244" spans="1:27" x14ac:dyDescent="0.25">
      <c r="A244" s="120"/>
      <c r="B244" s="39"/>
      <c r="C244" s="13">
        <v>41758</v>
      </c>
      <c r="D244">
        <v>9.9</v>
      </c>
      <c r="E244">
        <v>7.5</v>
      </c>
      <c r="F244">
        <v>11.5</v>
      </c>
      <c r="G244">
        <f t="shared" si="44"/>
        <v>2216.4999999999995</v>
      </c>
      <c r="H244">
        <f t="shared" si="49"/>
        <v>224.8</v>
      </c>
      <c r="J244">
        <v>14.3</v>
      </c>
      <c r="K244">
        <f t="shared" si="40"/>
        <v>533.79999999999995</v>
      </c>
      <c r="L244">
        <v>0.8</v>
      </c>
      <c r="M244">
        <f t="shared" si="41"/>
        <v>323.40000000000015</v>
      </c>
      <c r="N244">
        <f t="shared" si="38"/>
        <v>13.5</v>
      </c>
      <c r="O244" s="19">
        <f t="shared" si="47"/>
        <v>66.900000000000063</v>
      </c>
      <c r="P244" s="14">
        <v>239</v>
      </c>
      <c r="Q244" s="15">
        <v>1.1499999999999999</v>
      </c>
      <c r="R244" s="16">
        <f t="shared" si="45"/>
        <v>0.91999999999999993</v>
      </c>
      <c r="S244" s="16">
        <f t="shared" si="42"/>
        <v>13.38</v>
      </c>
      <c r="T244" s="20">
        <f t="shared" si="46"/>
        <v>49.072200000000045</v>
      </c>
      <c r="V244" s="21">
        <v>566.9</v>
      </c>
      <c r="W244">
        <f t="shared" si="39"/>
        <v>57.262626262626256</v>
      </c>
      <c r="X244">
        <f t="shared" si="43"/>
        <v>186692.8</v>
      </c>
      <c r="Y244">
        <f t="shared" si="50"/>
        <v>32157.1</v>
      </c>
      <c r="AA244">
        <v>14.270126509493499</v>
      </c>
    </row>
    <row r="245" spans="1:27" x14ac:dyDescent="0.25">
      <c r="A245" s="120"/>
      <c r="B245" s="39"/>
      <c r="C245" s="13">
        <v>41759</v>
      </c>
      <c r="D245">
        <v>10.7</v>
      </c>
      <c r="E245">
        <v>8.5</v>
      </c>
      <c r="F245">
        <v>14.4</v>
      </c>
      <c r="G245">
        <f t="shared" si="44"/>
        <v>2227.1999999999994</v>
      </c>
      <c r="H245">
        <f t="shared" si="49"/>
        <v>235.5</v>
      </c>
      <c r="J245">
        <v>2.2999999999999998</v>
      </c>
      <c r="K245">
        <f t="shared" si="40"/>
        <v>536.09999999999991</v>
      </c>
      <c r="L245">
        <v>1.6</v>
      </c>
      <c r="M245">
        <f t="shared" si="41"/>
        <v>325.00000000000017</v>
      </c>
      <c r="N245">
        <f t="shared" si="38"/>
        <v>0.69999999999999973</v>
      </c>
      <c r="O245" s="19">
        <f t="shared" si="47"/>
        <v>67.600000000000065</v>
      </c>
      <c r="P245" s="14">
        <v>240</v>
      </c>
      <c r="Q245" s="15">
        <v>1.1499999999999999</v>
      </c>
      <c r="R245" s="16">
        <f t="shared" si="45"/>
        <v>1.8399999999999999</v>
      </c>
      <c r="S245" s="16">
        <f t="shared" si="42"/>
        <v>0.45999999999999996</v>
      </c>
      <c r="T245" s="20">
        <f t="shared" si="46"/>
        <v>49.532200000000046</v>
      </c>
      <c r="V245">
        <v>969.5</v>
      </c>
      <c r="W245">
        <f t="shared" si="39"/>
        <v>90.607476635514018</v>
      </c>
      <c r="X245">
        <f t="shared" si="43"/>
        <v>187662.3</v>
      </c>
      <c r="Y245">
        <f t="shared" si="50"/>
        <v>33126.6</v>
      </c>
      <c r="AA245">
        <v>14.319982550827399</v>
      </c>
    </row>
    <row r="246" spans="1:27" x14ac:dyDescent="0.25">
      <c r="A246" s="120"/>
      <c r="B246" s="39"/>
      <c r="C246" s="13">
        <v>41760</v>
      </c>
      <c r="D246">
        <v>10.9</v>
      </c>
      <c r="E246">
        <v>8.5</v>
      </c>
      <c r="F246">
        <v>14.3</v>
      </c>
      <c r="G246">
        <f t="shared" si="44"/>
        <v>2238.0999999999995</v>
      </c>
      <c r="H246">
        <f t="shared" si="49"/>
        <v>246.4</v>
      </c>
      <c r="J246">
        <v>8</v>
      </c>
      <c r="K246">
        <f t="shared" si="40"/>
        <v>544.09999999999991</v>
      </c>
      <c r="L246">
        <v>1.4</v>
      </c>
      <c r="M246">
        <f t="shared" si="41"/>
        <v>326.40000000000015</v>
      </c>
      <c r="N246">
        <f t="shared" si="38"/>
        <v>6.6</v>
      </c>
      <c r="O246" s="19">
        <f t="shared" si="47"/>
        <v>74.20000000000006</v>
      </c>
      <c r="P246" s="14">
        <v>241</v>
      </c>
      <c r="Q246" s="15">
        <v>1.1499999999999999</v>
      </c>
      <c r="R246" s="16">
        <f t="shared" si="45"/>
        <v>1.6099999999999999</v>
      </c>
      <c r="S246" s="16">
        <f t="shared" si="42"/>
        <v>6.3900000000000006</v>
      </c>
      <c r="T246" s="20">
        <f t="shared" si="46"/>
        <v>55.922200000000046</v>
      </c>
      <c r="V246" s="21">
        <v>769.7</v>
      </c>
      <c r="W246">
        <f t="shared" si="39"/>
        <v>70.614678899082577</v>
      </c>
      <c r="X246">
        <f t="shared" si="43"/>
        <v>188432</v>
      </c>
      <c r="Y246">
        <f t="shared" si="50"/>
        <v>33896.299999999996</v>
      </c>
      <c r="AA246">
        <v>14.3694446956405</v>
      </c>
    </row>
    <row r="247" spans="1:27" x14ac:dyDescent="0.25">
      <c r="A247" s="120"/>
      <c r="B247" s="39"/>
      <c r="C247" s="13">
        <v>41761</v>
      </c>
      <c r="D247">
        <v>11.4</v>
      </c>
      <c r="E247">
        <v>9.6999999999999993</v>
      </c>
      <c r="F247">
        <v>13.5</v>
      </c>
      <c r="G247">
        <f t="shared" si="44"/>
        <v>2249.4999999999995</v>
      </c>
      <c r="H247">
        <f t="shared" si="49"/>
        <v>257.8</v>
      </c>
      <c r="J247">
        <v>0.1</v>
      </c>
      <c r="K247">
        <f t="shared" si="40"/>
        <v>544.19999999999993</v>
      </c>
      <c r="L247">
        <v>2</v>
      </c>
      <c r="M247">
        <f t="shared" si="41"/>
        <v>328.40000000000015</v>
      </c>
      <c r="N247" s="9">
        <f t="shared" si="38"/>
        <v>-1.9</v>
      </c>
      <c r="O247" s="19">
        <f t="shared" si="47"/>
        <v>72.300000000000054</v>
      </c>
      <c r="P247" s="14">
        <v>242</v>
      </c>
      <c r="Q247" s="15">
        <v>1.1499999999999999</v>
      </c>
      <c r="R247" s="16">
        <f t="shared" si="45"/>
        <v>2.2999999999999998</v>
      </c>
      <c r="S247" s="16">
        <f t="shared" si="42"/>
        <v>-2.1999999999999997</v>
      </c>
      <c r="T247" s="20">
        <f t="shared" si="46"/>
        <v>53.722200000000043</v>
      </c>
      <c r="V247">
        <v>1204.2</v>
      </c>
      <c r="W247">
        <f t="shared" si="39"/>
        <v>105.63157894736842</v>
      </c>
      <c r="X247">
        <f t="shared" si="43"/>
        <v>189636.2</v>
      </c>
      <c r="Y247">
        <f t="shared" si="50"/>
        <v>35100.499999999993</v>
      </c>
      <c r="AA247">
        <v>14.4184961127386</v>
      </c>
    </row>
    <row r="248" spans="1:27" x14ac:dyDescent="0.25">
      <c r="A248" s="120"/>
      <c r="B248" s="39"/>
      <c r="C248" s="13">
        <v>41762</v>
      </c>
      <c r="D248">
        <v>9.6999999999999993</v>
      </c>
      <c r="E248">
        <v>7.8</v>
      </c>
      <c r="F248">
        <v>12.3</v>
      </c>
      <c r="G248">
        <f t="shared" si="44"/>
        <v>2259.1999999999994</v>
      </c>
      <c r="H248">
        <f t="shared" si="49"/>
        <v>267.5</v>
      </c>
      <c r="J248">
        <v>0</v>
      </c>
      <c r="K248">
        <f t="shared" si="40"/>
        <v>544.19999999999993</v>
      </c>
      <c r="L248">
        <v>2.4</v>
      </c>
      <c r="M248">
        <f t="shared" si="41"/>
        <v>330.80000000000013</v>
      </c>
      <c r="N248" s="9">
        <f t="shared" si="38"/>
        <v>-2.4</v>
      </c>
      <c r="O248" s="19">
        <f t="shared" si="47"/>
        <v>69.900000000000048</v>
      </c>
      <c r="P248" s="14">
        <v>243</v>
      </c>
      <c r="Q248" s="15">
        <v>1.1499999999999999</v>
      </c>
      <c r="R248" s="16">
        <f t="shared" si="45"/>
        <v>2.76</v>
      </c>
      <c r="S248" s="16">
        <f t="shared" si="42"/>
        <v>-2.76</v>
      </c>
      <c r="T248" s="20">
        <f t="shared" si="46"/>
        <v>50.962200000000045</v>
      </c>
      <c r="V248">
        <v>1378.4</v>
      </c>
      <c r="W248">
        <f t="shared" si="39"/>
        <v>142.10309278350516</v>
      </c>
      <c r="X248">
        <f t="shared" si="43"/>
        <v>191014.6</v>
      </c>
      <c r="Y248">
        <f t="shared" si="50"/>
        <v>36478.899999999994</v>
      </c>
      <c r="AA248">
        <v>14.467119496924701</v>
      </c>
    </row>
    <row r="249" spans="1:27" s="60" customFormat="1" x14ac:dyDescent="0.25">
      <c r="A249" s="120"/>
      <c r="B249" s="58"/>
      <c r="C249" s="59">
        <v>41763</v>
      </c>
      <c r="D249" s="60">
        <v>10.4</v>
      </c>
      <c r="E249" s="61">
        <v>4.8</v>
      </c>
      <c r="F249" s="60">
        <v>16.100000000000001</v>
      </c>
      <c r="G249" s="60">
        <f t="shared" si="44"/>
        <v>2269.5999999999995</v>
      </c>
      <c r="H249" s="60">
        <f t="shared" si="49"/>
        <v>277.89999999999998</v>
      </c>
      <c r="J249" s="60">
        <v>0</v>
      </c>
      <c r="K249" s="60">
        <f t="shared" si="40"/>
        <v>544.19999999999993</v>
      </c>
      <c r="L249" s="60">
        <v>3.6</v>
      </c>
      <c r="M249" s="60">
        <f t="shared" si="41"/>
        <v>334.40000000000015</v>
      </c>
      <c r="N249" s="62">
        <f t="shared" si="38"/>
        <v>-3.6</v>
      </c>
      <c r="O249" s="63">
        <f t="shared" si="47"/>
        <v>66.300000000000054</v>
      </c>
      <c r="P249" s="14">
        <v>244</v>
      </c>
      <c r="Q249" s="54">
        <v>1.1499999999999999</v>
      </c>
      <c r="R249" s="55">
        <f t="shared" si="45"/>
        <v>4.1399999999999997</v>
      </c>
      <c r="S249" s="16">
        <f t="shared" si="42"/>
        <v>-4.1399999999999997</v>
      </c>
      <c r="T249" s="20">
        <f t="shared" si="46"/>
        <v>46.822200000000045</v>
      </c>
      <c r="V249" s="60">
        <v>2455.1</v>
      </c>
      <c r="W249" s="60">
        <f t="shared" si="39"/>
        <v>236.06730769230768</v>
      </c>
      <c r="X249" s="60">
        <f t="shared" si="43"/>
        <v>193469.7</v>
      </c>
      <c r="Y249">
        <f t="shared" si="50"/>
        <v>38933.999999999993</v>
      </c>
      <c r="AA249" s="60">
        <v>14.515297070200001</v>
      </c>
    </row>
    <row r="250" spans="1:27" x14ac:dyDescent="0.25">
      <c r="A250" s="120"/>
      <c r="B250" s="39"/>
      <c r="C250" s="13">
        <v>41764</v>
      </c>
      <c r="D250">
        <v>14</v>
      </c>
      <c r="E250">
        <v>5.0999999999999996</v>
      </c>
      <c r="F250">
        <v>20.399999999999999</v>
      </c>
      <c r="G250">
        <f t="shared" si="44"/>
        <v>2283.5999999999995</v>
      </c>
      <c r="H250">
        <f t="shared" si="49"/>
        <v>291.89999999999998</v>
      </c>
      <c r="J250">
        <v>0</v>
      </c>
      <c r="K250">
        <f t="shared" si="40"/>
        <v>544.19999999999993</v>
      </c>
      <c r="L250">
        <v>3.7</v>
      </c>
      <c r="M250">
        <f t="shared" si="41"/>
        <v>338.10000000000014</v>
      </c>
      <c r="N250" s="9">
        <f t="shared" si="38"/>
        <v>-3.7</v>
      </c>
      <c r="O250" s="19">
        <f t="shared" si="47"/>
        <v>62.600000000000051</v>
      </c>
      <c r="P250" s="14">
        <v>245</v>
      </c>
      <c r="Q250" s="54">
        <v>1.1499999999999999</v>
      </c>
      <c r="R250" s="16">
        <f t="shared" si="45"/>
        <v>4.2549999999999999</v>
      </c>
      <c r="S250" s="16">
        <f t="shared" si="42"/>
        <v>-4.2549999999999999</v>
      </c>
      <c r="T250" s="20">
        <f t="shared" si="46"/>
        <v>42.567200000000042</v>
      </c>
      <c r="V250">
        <v>2504.6999999999998</v>
      </c>
      <c r="W250">
        <f t="shared" si="39"/>
        <v>178.90714285714284</v>
      </c>
      <c r="X250">
        <f t="shared" si="43"/>
        <v>195974.40000000002</v>
      </c>
      <c r="Y250">
        <f t="shared" si="50"/>
        <v>41438.69999999999</v>
      </c>
      <c r="AA250">
        <v>14.5630105844849</v>
      </c>
    </row>
    <row r="251" spans="1:27" s="81" customFormat="1" ht="15.75" thickBot="1" x14ac:dyDescent="0.3">
      <c r="A251" s="120"/>
      <c r="B251" s="79">
        <v>300</v>
      </c>
      <c r="C251" s="80">
        <v>41765</v>
      </c>
      <c r="D251" s="81">
        <v>15.4</v>
      </c>
      <c r="E251" s="81">
        <v>12.1</v>
      </c>
      <c r="F251" s="81">
        <v>19</v>
      </c>
      <c r="G251" s="81">
        <f t="shared" si="44"/>
        <v>2298.9999999999995</v>
      </c>
      <c r="H251" s="81">
        <f t="shared" si="49"/>
        <v>307.29999999999995</v>
      </c>
      <c r="J251" s="81">
        <v>0</v>
      </c>
      <c r="K251" s="81">
        <f t="shared" si="40"/>
        <v>544.19999999999993</v>
      </c>
      <c r="L251" s="81">
        <v>2</v>
      </c>
      <c r="M251" s="81">
        <f t="shared" si="41"/>
        <v>340.10000000000014</v>
      </c>
      <c r="N251" s="83">
        <f t="shared" si="38"/>
        <v>-2</v>
      </c>
      <c r="O251" s="84">
        <f t="shared" si="47"/>
        <v>60.600000000000051</v>
      </c>
      <c r="P251" s="93">
        <v>246</v>
      </c>
      <c r="Q251" s="99">
        <v>1.1499999999999999</v>
      </c>
      <c r="R251" s="86">
        <f t="shared" si="45"/>
        <v>2.2999999999999998</v>
      </c>
      <c r="S251" s="95">
        <f t="shared" si="42"/>
        <v>-2.2999999999999998</v>
      </c>
      <c r="T251" s="96">
        <f t="shared" si="46"/>
        <v>40.267200000000045</v>
      </c>
      <c r="V251" s="100">
        <v>662.9</v>
      </c>
      <c r="W251" s="81">
        <f t="shared" si="39"/>
        <v>43.04545454545454</v>
      </c>
      <c r="X251" s="81">
        <f t="shared" si="43"/>
        <v>196637.30000000002</v>
      </c>
      <c r="Y251" s="97">
        <f t="shared" si="50"/>
        <v>42101.599999999991</v>
      </c>
      <c r="AA251" s="81">
        <v>14.610241325947801</v>
      </c>
    </row>
    <row r="252" spans="1:27" x14ac:dyDescent="0.25">
      <c r="A252" s="106">
        <v>600</v>
      </c>
      <c r="B252" s="39"/>
      <c r="C252" s="13">
        <v>41766</v>
      </c>
      <c r="D252">
        <v>13.8</v>
      </c>
      <c r="E252">
        <v>10.8</v>
      </c>
      <c r="F252">
        <v>16.899999999999999</v>
      </c>
      <c r="G252">
        <f t="shared" si="44"/>
        <v>2312.7999999999997</v>
      </c>
      <c r="H252">
        <v>13.8</v>
      </c>
      <c r="I252" s="64" t="s">
        <v>28</v>
      </c>
      <c r="J252">
        <v>0</v>
      </c>
      <c r="K252">
        <f t="shared" si="40"/>
        <v>544.19999999999993</v>
      </c>
      <c r="L252">
        <v>2.6</v>
      </c>
      <c r="M252">
        <f t="shared" si="41"/>
        <v>342.70000000000016</v>
      </c>
      <c r="N252" s="9">
        <f t="shared" si="38"/>
        <v>-2.6</v>
      </c>
      <c r="O252" s="19">
        <f t="shared" si="47"/>
        <v>58.00000000000005</v>
      </c>
      <c r="P252" s="14">
        <v>247</v>
      </c>
      <c r="Q252" s="41">
        <f>1.15+((P252-246)/57)*(0.35-1.15)</f>
        <v>1.1359649122807016</v>
      </c>
      <c r="R252" s="16">
        <f t="shared" si="45"/>
        <v>2.9535087719298243</v>
      </c>
      <c r="S252" s="16">
        <f t="shared" si="42"/>
        <v>-2.9535087719298243</v>
      </c>
      <c r="T252" s="20">
        <f t="shared" si="46"/>
        <v>37.313691228070219</v>
      </c>
      <c r="U252" s="64" t="s">
        <v>29</v>
      </c>
      <c r="V252">
        <v>1466.2</v>
      </c>
      <c r="W252">
        <f t="shared" si="39"/>
        <v>106.2463768115942</v>
      </c>
      <c r="X252">
        <f t="shared" si="43"/>
        <v>198103.50000000003</v>
      </c>
      <c r="Y252">
        <v>1466.2</v>
      </c>
      <c r="Z252" s="64" t="s">
        <v>30</v>
      </c>
      <c r="AA252">
        <v>14.6569701210347</v>
      </c>
    </row>
    <row r="253" spans="1:27" x14ac:dyDescent="0.25">
      <c r="A253" s="106"/>
      <c r="B253" s="39"/>
      <c r="C253" s="13">
        <v>41767</v>
      </c>
      <c r="D253">
        <v>13.6</v>
      </c>
      <c r="E253">
        <v>10.3</v>
      </c>
      <c r="F253">
        <v>16.100000000000001</v>
      </c>
      <c r="G253">
        <f t="shared" si="44"/>
        <v>2326.3999999999996</v>
      </c>
      <c r="H253">
        <f t="shared" si="49"/>
        <v>27.4</v>
      </c>
      <c r="I253">
        <f>MIN(E252:E274)</f>
        <v>6.3</v>
      </c>
      <c r="J253">
        <v>0.2</v>
      </c>
      <c r="K253">
        <f t="shared" si="40"/>
        <v>544.4</v>
      </c>
      <c r="L253">
        <v>2</v>
      </c>
      <c r="M253">
        <f t="shared" si="41"/>
        <v>344.70000000000016</v>
      </c>
      <c r="N253" s="9">
        <f t="shared" si="38"/>
        <v>-1.8</v>
      </c>
      <c r="O253" s="19">
        <f t="shared" si="47"/>
        <v>56.200000000000053</v>
      </c>
      <c r="P253" s="14">
        <v>248</v>
      </c>
      <c r="Q253" s="41">
        <f t="shared" ref="Q253:Q308" si="51">1.15+((P253-246)/57)*(0.35-1.15)</f>
        <v>1.1219298245614033</v>
      </c>
      <c r="R253" s="16">
        <f t="shared" si="45"/>
        <v>2.2438596491228067</v>
      </c>
      <c r="S253" s="16">
        <f t="shared" si="42"/>
        <v>-2.0438596491228065</v>
      </c>
      <c r="T253" s="20">
        <f t="shared" si="46"/>
        <v>35.269831578947411</v>
      </c>
      <c r="U253">
        <v>16</v>
      </c>
      <c r="V253">
        <v>960.9</v>
      </c>
      <c r="W253">
        <f t="shared" si="39"/>
        <v>70.654411764705884</v>
      </c>
      <c r="X253">
        <f t="shared" si="43"/>
        <v>199064.40000000002</v>
      </c>
      <c r="Y253">
        <f t="shared" si="50"/>
        <v>2427.1</v>
      </c>
      <c r="Z253" s="60">
        <v>41027.9</v>
      </c>
      <c r="AA253">
        <v>14.703177344288401</v>
      </c>
    </row>
    <row r="254" spans="1:27" x14ac:dyDescent="0.25">
      <c r="A254" s="106"/>
      <c r="B254" s="39"/>
      <c r="C254" s="13">
        <v>41768</v>
      </c>
      <c r="D254">
        <v>14.6</v>
      </c>
      <c r="E254">
        <v>12.7</v>
      </c>
      <c r="F254">
        <v>18</v>
      </c>
      <c r="G254">
        <f t="shared" si="44"/>
        <v>2340.9999999999995</v>
      </c>
      <c r="H254">
        <f t="shared" si="49"/>
        <v>42</v>
      </c>
      <c r="I254" s="64" t="s">
        <v>31</v>
      </c>
      <c r="J254">
        <v>1.2</v>
      </c>
      <c r="K254">
        <f t="shared" si="40"/>
        <v>545.6</v>
      </c>
      <c r="L254">
        <v>2.9</v>
      </c>
      <c r="M254">
        <f t="shared" si="41"/>
        <v>347.60000000000014</v>
      </c>
      <c r="N254" s="9">
        <f t="shared" si="38"/>
        <v>-1.7</v>
      </c>
      <c r="O254" s="19">
        <f t="shared" si="47"/>
        <v>54.50000000000005</v>
      </c>
      <c r="P254" s="14">
        <v>249</v>
      </c>
      <c r="Q254" s="41">
        <f t="shared" si="51"/>
        <v>1.1078947368421053</v>
      </c>
      <c r="R254" s="16">
        <f t="shared" si="45"/>
        <v>3.212894736842105</v>
      </c>
      <c r="S254" s="16">
        <f t="shared" si="42"/>
        <v>-2.0128947368421048</v>
      </c>
      <c r="T254" s="20">
        <f t="shared" si="46"/>
        <v>33.256936842105304</v>
      </c>
      <c r="U254" s="64" t="s">
        <v>32</v>
      </c>
      <c r="V254">
        <v>1473.6</v>
      </c>
      <c r="W254">
        <f t="shared" si="39"/>
        <v>100.93150684931507</v>
      </c>
      <c r="X254">
        <f t="shared" si="43"/>
        <v>200538.00000000003</v>
      </c>
      <c r="Y254">
        <f t="shared" si="50"/>
        <v>3900.7</v>
      </c>
      <c r="Z254" s="64" t="s">
        <v>33</v>
      </c>
      <c r="AA254">
        <v>14.748842928045301</v>
      </c>
    </row>
    <row r="255" spans="1:27" x14ac:dyDescent="0.25">
      <c r="A255" s="106"/>
      <c r="B255" s="39"/>
      <c r="C255" s="13">
        <v>41769</v>
      </c>
      <c r="D255">
        <v>13</v>
      </c>
      <c r="E255">
        <v>9.4</v>
      </c>
      <c r="F255">
        <v>16.3</v>
      </c>
      <c r="G255">
        <f t="shared" si="44"/>
        <v>2353.9999999999995</v>
      </c>
      <c r="H255">
        <f t="shared" si="49"/>
        <v>55</v>
      </c>
      <c r="I255">
        <f>MAX(F252:F274)</f>
        <v>24.3</v>
      </c>
      <c r="J255">
        <v>1.4</v>
      </c>
      <c r="K255">
        <f t="shared" si="40"/>
        <v>547</v>
      </c>
      <c r="L255">
        <v>1.5</v>
      </c>
      <c r="M255">
        <f t="shared" si="41"/>
        <v>349.10000000000014</v>
      </c>
      <c r="N255" s="9">
        <f t="shared" si="38"/>
        <v>-0.10000000000000009</v>
      </c>
      <c r="O255" s="19">
        <f t="shared" si="47"/>
        <v>54.400000000000048</v>
      </c>
      <c r="P255" s="14">
        <v>250</v>
      </c>
      <c r="Q255" s="41">
        <f t="shared" si="51"/>
        <v>1.093859649122807</v>
      </c>
      <c r="R255" s="16">
        <f t="shared" si="45"/>
        <v>1.6407894736842104</v>
      </c>
      <c r="S255" s="16">
        <f t="shared" si="42"/>
        <v>-0.24078947368421044</v>
      </c>
      <c r="T255" s="20">
        <f t="shared" si="46"/>
        <v>33.016147368421095</v>
      </c>
      <c r="U255">
        <v>0</v>
      </c>
      <c r="V255">
        <v>929</v>
      </c>
      <c r="W255">
        <f t="shared" si="39"/>
        <v>71.461538461538467</v>
      </c>
      <c r="X255">
        <f t="shared" si="43"/>
        <v>201467.00000000003</v>
      </c>
      <c r="Y255">
        <f t="shared" si="50"/>
        <v>4829.7</v>
      </c>
      <c r="Z255" s="22">
        <f>(Z253/100)/I265</f>
        <v>1.3562942148760331</v>
      </c>
      <c r="AA255">
        <v>14.793946374099299</v>
      </c>
    </row>
    <row r="256" spans="1:27" x14ac:dyDescent="0.25">
      <c r="A256" s="106"/>
      <c r="B256" s="39"/>
      <c r="C256" s="13">
        <v>41770</v>
      </c>
      <c r="D256">
        <v>11.2</v>
      </c>
      <c r="E256">
        <v>9.5</v>
      </c>
      <c r="F256">
        <v>14.1</v>
      </c>
      <c r="G256">
        <f t="shared" si="44"/>
        <v>2365.1999999999994</v>
      </c>
      <c r="H256">
        <f t="shared" si="49"/>
        <v>66.2</v>
      </c>
      <c r="I256" s="64" t="s">
        <v>34</v>
      </c>
      <c r="J256">
        <v>3.8</v>
      </c>
      <c r="K256">
        <f t="shared" si="40"/>
        <v>550.79999999999995</v>
      </c>
      <c r="L256">
        <v>2.5</v>
      </c>
      <c r="M256">
        <f t="shared" si="41"/>
        <v>351.60000000000014</v>
      </c>
      <c r="N256">
        <f t="shared" si="38"/>
        <v>1.2999999999999998</v>
      </c>
      <c r="O256" s="19">
        <f t="shared" si="47"/>
        <v>55.700000000000045</v>
      </c>
      <c r="P256" s="14">
        <v>251</v>
      </c>
      <c r="Q256" s="41">
        <f t="shared" si="51"/>
        <v>1.0798245614035087</v>
      </c>
      <c r="R256" s="16">
        <f t="shared" si="45"/>
        <v>2.6995614035087718</v>
      </c>
      <c r="S256" s="16">
        <f t="shared" si="42"/>
        <v>1.100438596491228</v>
      </c>
      <c r="T256" s="20">
        <f t="shared" si="46"/>
        <v>34.116585964912325</v>
      </c>
      <c r="U256" s="64" t="s">
        <v>35</v>
      </c>
      <c r="V256">
        <v>1523.7</v>
      </c>
      <c r="W256">
        <f t="shared" si="39"/>
        <v>136.04464285714286</v>
      </c>
      <c r="X256">
        <f t="shared" si="43"/>
        <v>202990.70000000004</v>
      </c>
      <c r="Y256">
        <f t="shared" si="50"/>
        <v>6353.4</v>
      </c>
      <c r="Z256" s="64" t="s">
        <v>36</v>
      </c>
      <c r="AA256">
        <v>14.8384667674129</v>
      </c>
    </row>
    <row r="257" spans="1:27" x14ac:dyDescent="0.25">
      <c r="A257" s="106"/>
      <c r="B257" s="39"/>
      <c r="C257" s="13">
        <v>41771</v>
      </c>
      <c r="D257">
        <v>9.5</v>
      </c>
      <c r="E257">
        <v>7</v>
      </c>
      <c r="F257">
        <v>11.6</v>
      </c>
      <c r="G257">
        <f t="shared" si="44"/>
        <v>2374.6999999999994</v>
      </c>
      <c r="H257">
        <f t="shared" si="49"/>
        <v>75.7</v>
      </c>
      <c r="I257" s="23">
        <f>AVERAGE(D252:D274)</f>
        <v>13.15217391304348</v>
      </c>
      <c r="J257">
        <v>4.2</v>
      </c>
      <c r="K257">
        <f t="shared" si="40"/>
        <v>555</v>
      </c>
      <c r="L257">
        <v>1.2</v>
      </c>
      <c r="M257">
        <f t="shared" si="41"/>
        <v>352.80000000000013</v>
      </c>
      <c r="N257">
        <f t="shared" si="38"/>
        <v>3</v>
      </c>
      <c r="O257" s="19">
        <f t="shared" si="47"/>
        <v>58.700000000000045</v>
      </c>
      <c r="P257" s="14">
        <v>252</v>
      </c>
      <c r="Q257" s="41">
        <f t="shared" si="51"/>
        <v>1.0657894736842104</v>
      </c>
      <c r="R257" s="16">
        <f t="shared" si="45"/>
        <v>1.2789473684210524</v>
      </c>
      <c r="S257" s="16">
        <f t="shared" si="42"/>
        <v>2.9210526315789478</v>
      </c>
      <c r="T257" s="20">
        <f t="shared" si="46"/>
        <v>37.03763859649127</v>
      </c>
      <c r="U257">
        <v>23</v>
      </c>
      <c r="V257" s="21">
        <v>762.8</v>
      </c>
      <c r="W257">
        <f t="shared" si="39"/>
        <v>80.294736842105252</v>
      </c>
      <c r="X257">
        <f t="shared" si="43"/>
        <v>203753.50000000003</v>
      </c>
      <c r="Y257">
        <f t="shared" si="50"/>
        <v>7116.2</v>
      </c>
      <c r="Z257">
        <v>2</v>
      </c>
      <c r="AA257">
        <v>14.8823827919599</v>
      </c>
    </row>
    <row r="258" spans="1:27" x14ac:dyDescent="0.25">
      <c r="A258" s="106"/>
      <c r="B258" s="39"/>
      <c r="C258" s="13">
        <v>41772</v>
      </c>
      <c r="D258">
        <v>10.1</v>
      </c>
      <c r="E258">
        <v>7.4</v>
      </c>
      <c r="F258">
        <v>13.5</v>
      </c>
      <c r="G258">
        <f t="shared" si="44"/>
        <v>2384.7999999999993</v>
      </c>
      <c r="H258">
        <f t="shared" si="49"/>
        <v>85.8</v>
      </c>
      <c r="I258" s="64" t="s">
        <v>37</v>
      </c>
      <c r="J258">
        <v>0.8</v>
      </c>
      <c r="K258">
        <f t="shared" si="40"/>
        <v>555.79999999999995</v>
      </c>
      <c r="L258">
        <v>2.7</v>
      </c>
      <c r="M258">
        <f t="shared" si="41"/>
        <v>355.50000000000011</v>
      </c>
      <c r="N258" s="9">
        <f t="shared" si="38"/>
        <v>-1.9000000000000001</v>
      </c>
      <c r="O258" s="19">
        <f t="shared" si="47"/>
        <v>56.800000000000047</v>
      </c>
      <c r="P258" s="14">
        <v>253</v>
      </c>
      <c r="Q258" s="41">
        <f t="shared" si="51"/>
        <v>1.0517543859649121</v>
      </c>
      <c r="R258" s="16">
        <f t="shared" si="45"/>
        <v>2.8397368421052627</v>
      </c>
      <c r="S258" s="16">
        <f t="shared" si="42"/>
        <v>-2.0397368421052624</v>
      </c>
      <c r="T258" s="20">
        <f t="shared" si="46"/>
        <v>34.997901754386007</v>
      </c>
      <c r="U258" s="64" t="s">
        <v>38</v>
      </c>
      <c r="V258">
        <v>1803.3</v>
      </c>
      <c r="W258">
        <f t="shared" si="39"/>
        <v>178.54455445544554</v>
      </c>
      <c r="X258">
        <f t="shared" si="43"/>
        <v>205556.80000000002</v>
      </c>
      <c r="Y258">
        <f t="shared" si="50"/>
        <v>8919.5</v>
      </c>
      <c r="AA258">
        <v>14.9256727487722</v>
      </c>
    </row>
    <row r="259" spans="1:27" x14ac:dyDescent="0.25">
      <c r="A259" s="106"/>
      <c r="B259" s="39"/>
      <c r="C259" s="13">
        <v>41773</v>
      </c>
      <c r="D259">
        <v>10.9</v>
      </c>
      <c r="E259">
        <v>6.4</v>
      </c>
      <c r="F259">
        <v>15.3</v>
      </c>
      <c r="G259">
        <f t="shared" si="44"/>
        <v>2395.6999999999994</v>
      </c>
      <c r="H259">
        <f t="shared" si="49"/>
        <v>96.7</v>
      </c>
      <c r="I259">
        <v>0</v>
      </c>
      <c r="J259">
        <v>0.2</v>
      </c>
      <c r="K259">
        <f t="shared" si="40"/>
        <v>556</v>
      </c>
      <c r="L259">
        <v>3</v>
      </c>
      <c r="M259">
        <f t="shared" si="41"/>
        <v>358.50000000000011</v>
      </c>
      <c r="N259" s="9">
        <f t="shared" si="38"/>
        <v>-2.8</v>
      </c>
      <c r="O259" s="19">
        <f t="shared" si="47"/>
        <v>54.00000000000005</v>
      </c>
      <c r="P259" s="14">
        <v>254</v>
      </c>
      <c r="Q259" s="41">
        <f t="shared" si="51"/>
        <v>1.037719298245614</v>
      </c>
      <c r="R259" s="16">
        <f t="shared" si="45"/>
        <v>3.1131578947368421</v>
      </c>
      <c r="S259" s="16">
        <f t="shared" si="42"/>
        <v>-2.9131578947368419</v>
      </c>
      <c r="T259" s="20">
        <f t="shared" si="46"/>
        <v>32.084743859649166</v>
      </c>
      <c r="U259" s="23">
        <f>MIN(T252:T274)</f>
        <v>9.529656140350923</v>
      </c>
      <c r="V259">
        <v>2057.6999999999998</v>
      </c>
      <c r="W259">
        <f t="shared" si="39"/>
        <v>188.77981651376143</v>
      </c>
      <c r="X259">
        <f t="shared" si="43"/>
        <v>207614.50000000003</v>
      </c>
      <c r="Y259">
        <f t="shared" si="50"/>
        <v>10977.2</v>
      </c>
      <c r="AA259">
        <v>14.9683145762608</v>
      </c>
    </row>
    <row r="260" spans="1:27" x14ac:dyDescent="0.25">
      <c r="A260" s="106"/>
      <c r="B260" s="39"/>
      <c r="C260" s="13">
        <v>41774</v>
      </c>
      <c r="D260">
        <v>11.2</v>
      </c>
      <c r="E260">
        <v>7.5</v>
      </c>
      <c r="F260">
        <v>15.2</v>
      </c>
      <c r="G260">
        <f t="shared" si="44"/>
        <v>2406.8999999999992</v>
      </c>
      <c r="H260">
        <f t="shared" si="49"/>
        <v>107.9</v>
      </c>
      <c r="I260" s="64" t="s">
        <v>39</v>
      </c>
      <c r="J260">
        <v>0</v>
      </c>
      <c r="K260">
        <f t="shared" si="40"/>
        <v>556</v>
      </c>
      <c r="L260">
        <v>4.2</v>
      </c>
      <c r="M260">
        <f t="shared" si="41"/>
        <v>362.7000000000001</v>
      </c>
      <c r="N260" s="9">
        <f t="shared" si="38"/>
        <v>-4.2</v>
      </c>
      <c r="O260" s="19">
        <f t="shared" si="47"/>
        <v>49.800000000000047</v>
      </c>
      <c r="P260" s="14">
        <v>255</v>
      </c>
      <c r="Q260" s="41">
        <f t="shared" si="51"/>
        <v>1.0236842105263158</v>
      </c>
      <c r="R260" s="16">
        <f t="shared" si="45"/>
        <v>4.2994736842105263</v>
      </c>
      <c r="S260" s="16">
        <f t="shared" si="42"/>
        <v>-4.2994736842105263</v>
      </c>
      <c r="T260" s="20">
        <f t="shared" si="46"/>
        <v>27.78527017543864</v>
      </c>
      <c r="U260" s="64" t="s">
        <v>40</v>
      </c>
      <c r="V260">
        <v>2700.2</v>
      </c>
      <c r="W260">
        <f t="shared" si="39"/>
        <v>241.08928571428572</v>
      </c>
      <c r="X260">
        <f t="shared" si="43"/>
        <v>210314.70000000004</v>
      </c>
      <c r="Y260">
        <f t="shared" si="50"/>
        <v>13677.400000000001</v>
      </c>
      <c r="AA260">
        <v>15.0102858728743</v>
      </c>
    </row>
    <row r="261" spans="1:27" x14ac:dyDescent="0.25">
      <c r="A261" s="106"/>
      <c r="B261" s="39"/>
      <c r="C261" s="13">
        <v>41775</v>
      </c>
      <c r="D261">
        <v>12.6</v>
      </c>
      <c r="E261">
        <v>6.3</v>
      </c>
      <c r="F261">
        <v>17.5</v>
      </c>
      <c r="G261">
        <f t="shared" si="44"/>
        <v>2419.4999999999991</v>
      </c>
      <c r="H261">
        <f t="shared" si="49"/>
        <v>120.5</v>
      </c>
      <c r="I261">
        <v>0</v>
      </c>
      <c r="J261">
        <v>0</v>
      </c>
      <c r="K261">
        <f t="shared" si="40"/>
        <v>556</v>
      </c>
      <c r="L261">
        <v>4.3</v>
      </c>
      <c r="M261">
        <f t="shared" si="41"/>
        <v>367.00000000000011</v>
      </c>
      <c r="N261" s="9">
        <f t="shared" si="38"/>
        <v>-4.3</v>
      </c>
      <c r="O261" s="19">
        <f t="shared" si="47"/>
        <v>45.50000000000005</v>
      </c>
      <c r="P261" s="14">
        <v>256</v>
      </c>
      <c r="Q261" s="41">
        <f t="shared" si="51"/>
        <v>1.0096491228070175</v>
      </c>
      <c r="R261" s="16">
        <f t="shared" si="45"/>
        <v>4.3414912280701747</v>
      </c>
      <c r="S261" s="16">
        <f t="shared" si="42"/>
        <v>-4.3414912280701747</v>
      </c>
      <c r="T261" s="20">
        <f t="shared" si="46"/>
        <v>23.443778947368465</v>
      </c>
      <c r="U261" s="23">
        <f>MAX(T252:T274)</f>
        <v>37.313691228070219</v>
      </c>
      <c r="V261">
        <v>2634.8</v>
      </c>
      <c r="W261">
        <f t="shared" si="39"/>
        <v>209.11111111111114</v>
      </c>
      <c r="X261">
        <f t="shared" si="43"/>
        <v>212949.50000000003</v>
      </c>
      <c r="Y261">
        <f t="shared" si="50"/>
        <v>16312.2</v>
      </c>
      <c r="AA261">
        <v>15.051563922148</v>
      </c>
    </row>
    <row r="262" spans="1:27" x14ac:dyDescent="0.25">
      <c r="A262" s="106"/>
      <c r="B262" s="39"/>
      <c r="C262" s="13">
        <v>41776</v>
      </c>
      <c r="D262">
        <v>15.3</v>
      </c>
      <c r="E262">
        <v>9.6999999999999993</v>
      </c>
      <c r="F262">
        <v>20.3</v>
      </c>
      <c r="G262">
        <f t="shared" si="44"/>
        <v>2434.7999999999993</v>
      </c>
      <c r="H262">
        <f t="shared" si="49"/>
        <v>135.80000000000001</v>
      </c>
      <c r="I262" s="64" t="s">
        <v>41</v>
      </c>
      <c r="J262">
        <v>0</v>
      </c>
      <c r="K262">
        <f t="shared" si="40"/>
        <v>556</v>
      </c>
      <c r="L262">
        <v>5.4</v>
      </c>
      <c r="M262">
        <f t="shared" si="41"/>
        <v>372.40000000000009</v>
      </c>
      <c r="N262" s="9">
        <f t="shared" ref="N262:N308" si="52">J262-L262</f>
        <v>-5.4</v>
      </c>
      <c r="O262" s="19">
        <f t="shared" si="47"/>
        <v>40.100000000000051</v>
      </c>
      <c r="P262" s="14">
        <v>257</v>
      </c>
      <c r="Q262" s="41">
        <f t="shared" si="51"/>
        <v>0.99561403508771917</v>
      </c>
      <c r="R262" s="16">
        <f t="shared" si="45"/>
        <v>5.3763157894736837</v>
      </c>
      <c r="S262" s="16">
        <f t="shared" si="42"/>
        <v>-5.3763157894736837</v>
      </c>
      <c r="T262" s="20">
        <f t="shared" si="46"/>
        <v>18.067463157894782</v>
      </c>
      <c r="U262" s="64" t="s">
        <v>42</v>
      </c>
      <c r="V262">
        <v>3107.6</v>
      </c>
      <c r="W262">
        <f t="shared" ref="W262:W308" si="53">V262/D262</f>
        <v>203.11111111111109</v>
      </c>
      <c r="X262">
        <f t="shared" si="43"/>
        <v>216057.10000000003</v>
      </c>
      <c r="Y262">
        <f t="shared" si="50"/>
        <v>19419.8</v>
      </c>
      <c r="AA262">
        <v>15.0921257201879</v>
      </c>
    </row>
    <row r="263" spans="1:27" x14ac:dyDescent="0.25">
      <c r="A263" s="106"/>
      <c r="B263" s="39"/>
      <c r="C263" s="13">
        <v>41777</v>
      </c>
      <c r="D263">
        <v>16.7</v>
      </c>
      <c r="E263">
        <v>11.1</v>
      </c>
      <c r="F263">
        <v>22.3</v>
      </c>
      <c r="G263">
        <f t="shared" si="44"/>
        <v>2451.4999999999991</v>
      </c>
      <c r="H263">
        <f t="shared" si="49"/>
        <v>152.5</v>
      </c>
      <c r="I263">
        <v>0</v>
      </c>
      <c r="J263">
        <v>0</v>
      </c>
      <c r="K263">
        <f t="shared" ref="K263:K307" si="54">K262+J263</f>
        <v>556</v>
      </c>
      <c r="L263">
        <v>5.6</v>
      </c>
      <c r="M263">
        <f t="shared" ref="M263:M308" si="55">M262+L263</f>
        <v>378.00000000000011</v>
      </c>
      <c r="N263" s="9">
        <f t="shared" si="52"/>
        <v>-5.6</v>
      </c>
      <c r="O263" s="19">
        <f t="shared" si="47"/>
        <v>34.50000000000005</v>
      </c>
      <c r="P263" s="14">
        <v>258</v>
      </c>
      <c r="Q263" s="41">
        <f t="shared" si="51"/>
        <v>0.981578947368421</v>
      </c>
      <c r="R263" s="16">
        <f t="shared" si="45"/>
        <v>5.4968421052631573</v>
      </c>
      <c r="S263" s="16">
        <f t="shared" ref="S263:S308" si="56">J263-R263</f>
        <v>-5.4968421052631573</v>
      </c>
      <c r="T263" s="20">
        <f t="shared" si="46"/>
        <v>12.570621052631624</v>
      </c>
      <c r="U263" s="22">
        <f>AVERAGE(T252:T274)</f>
        <v>29.812241952707904</v>
      </c>
      <c r="V263">
        <v>3084.5</v>
      </c>
      <c r="W263">
        <f t="shared" si="53"/>
        <v>184.70059880239521</v>
      </c>
      <c r="X263">
        <f t="shared" ref="X263:X308" si="57">X262+V263</f>
        <v>219141.60000000003</v>
      </c>
      <c r="Y263">
        <f t="shared" si="50"/>
        <v>22504.3</v>
      </c>
      <c r="AA263">
        <v>15.1319480056244</v>
      </c>
    </row>
    <row r="264" spans="1:27" x14ac:dyDescent="0.25">
      <c r="A264" s="106"/>
      <c r="B264" s="39"/>
      <c r="C264" s="13">
        <v>41778</v>
      </c>
      <c r="D264">
        <v>18</v>
      </c>
      <c r="E264">
        <v>11.3</v>
      </c>
      <c r="F264">
        <v>24.3</v>
      </c>
      <c r="G264">
        <f t="shared" ref="G264:G308" si="58">G263+D264</f>
        <v>2469.4999999999991</v>
      </c>
      <c r="H264">
        <f t="shared" si="49"/>
        <v>170.5</v>
      </c>
      <c r="I264" s="64" t="s">
        <v>43</v>
      </c>
      <c r="J264">
        <v>1.7</v>
      </c>
      <c r="K264">
        <f t="shared" si="54"/>
        <v>557.70000000000005</v>
      </c>
      <c r="L264">
        <v>4.9000000000000004</v>
      </c>
      <c r="M264">
        <f t="shared" si="55"/>
        <v>382.90000000000009</v>
      </c>
      <c r="N264" s="9">
        <f t="shared" si="52"/>
        <v>-3.2</v>
      </c>
      <c r="O264" s="19">
        <f t="shared" si="47"/>
        <v>31.30000000000005</v>
      </c>
      <c r="P264" s="14">
        <v>259</v>
      </c>
      <c r="Q264" s="41">
        <f t="shared" si="51"/>
        <v>0.96754385964912271</v>
      </c>
      <c r="R264" s="16">
        <f t="shared" ref="R264:R308" si="59">Q264*L264</f>
        <v>4.7409649122807016</v>
      </c>
      <c r="S264" s="16">
        <f t="shared" si="56"/>
        <v>-3.0409649122807014</v>
      </c>
      <c r="T264" s="20">
        <f t="shared" si="46"/>
        <v>9.529656140350923</v>
      </c>
      <c r="V264">
        <v>2549</v>
      </c>
      <c r="W264">
        <f t="shared" si="53"/>
        <v>141.61111111111111</v>
      </c>
      <c r="X264">
        <f t="shared" si="57"/>
        <v>221690.60000000003</v>
      </c>
      <c r="Y264">
        <f t="shared" si="50"/>
        <v>25053.3</v>
      </c>
      <c r="AA264">
        <v>15.1710072920553</v>
      </c>
    </row>
    <row r="265" spans="1:27" x14ac:dyDescent="0.25">
      <c r="A265" s="106"/>
      <c r="B265" s="39"/>
      <c r="C265" s="13">
        <v>41779</v>
      </c>
      <c r="D265">
        <v>15</v>
      </c>
      <c r="E265">
        <v>13.5</v>
      </c>
      <c r="F265">
        <v>19.3</v>
      </c>
      <c r="G265">
        <f t="shared" si="58"/>
        <v>2484.4999999999991</v>
      </c>
      <c r="H265">
        <f t="shared" si="49"/>
        <v>185.5</v>
      </c>
      <c r="I265">
        <v>302.5</v>
      </c>
      <c r="J265">
        <v>17.8</v>
      </c>
      <c r="K265">
        <f t="shared" si="54"/>
        <v>575.5</v>
      </c>
      <c r="L265">
        <v>2</v>
      </c>
      <c r="M265">
        <f t="shared" si="55"/>
        <v>384.90000000000009</v>
      </c>
      <c r="N265">
        <f t="shared" si="52"/>
        <v>15.8</v>
      </c>
      <c r="O265" s="19">
        <f t="shared" si="47"/>
        <v>47.100000000000051</v>
      </c>
      <c r="P265" s="14">
        <v>260</v>
      </c>
      <c r="Q265" s="41">
        <f t="shared" si="51"/>
        <v>0.95350877192982453</v>
      </c>
      <c r="R265" s="16">
        <f t="shared" si="59"/>
        <v>1.9070175438596491</v>
      </c>
      <c r="S265" s="16">
        <f t="shared" si="56"/>
        <v>15.892982456140352</v>
      </c>
      <c r="T265" s="20">
        <f t="shared" si="46"/>
        <v>25.422638596491275</v>
      </c>
      <c r="U265" s="23">
        <f>(U263*100)/122.1</f>
        <v>24.416250575518351</v>
      </c>
      <c r="V265">
        <v>943.4</v>
      </c>
      <c r="W265">
        <f t="shared" si="53"/>
        <v>62.893333333333331</v>
      </c>
      <c r="X265">
        <f t="shared" si="57"/>
        <v>222634.00000000003</v>
      </c>
      <c r="Y265">
        <f t="shared" si="50"/>
        <v>25996.7</v>
      </c>
      <c r="AA265">
        <v>15.209279902987401</v>
      </c>
    </row>
    <row r="266" spans="1:27" x14ac:dyDescent="0.25">
      <c r="A266" s="106"/>
      <c r="B266" s="39"/>
      <c r="C266" s="13">
        <v>41780</v>
      </c>
      <c r="D266">
        <v>13.9</v>
      </c>
      <c r="E266">
        <v>12</v>
      </c>
      <c r="F266">
        <v>20.5</v>
      </c>
      <c r="G266">
        <f t="shared" si="58"/>
        <v>2498.3999999999992</v>
      </c>
      <c r="H266">
        <f t="shared" si="49"/>
        <v>199.4</v>
      </c>
      <c r="J266">
        <v>10.6</v>
      </c>
      <c r="K266">
        <f t="shared" si="54"/>
        <v>586.1</v>
      </c>
      <c r="L266">
        <v>3.6</v>
      </c>
      <c r="M266">
        <f t="shared" si="55"/>
        <v>388.50000000000011</v>
      </c>
      <c r="N266">
        <f t="shared" si="52"/>
        <v>7</v>
      </c>
      <c r="O266" s="19">
        <f t="shared" si="47"/>
        <v>54.100000000000051</v>
      </c>
      <c r="P266" s="14">
        <v>261</v>
      </c>
      <c r="Q266" s="41">
        <f t="shared" si="51"/>
        <v>0.93947368421052624</v>
      </c>
      <c r="R266" s="16">
        <f t="shared" si="59"/>
        <v>3.3821052631578947</v>
      </c>
      <c r="S266" s="16">
        <f t="shared" si="56"/>
        <v>7.2178947368421049</v>
      </c>
      <c r="T266" s="20">
        <f t="shared" ref="T266:T308" si="60">MIN(122.1,(T265+S266))</f>
        <v>32.64053333333338</v>
      </c>
      <c r="V266">
        <v>1874.6</v>
      </c>
      <c r="W266">
        <f t="shared" si="53"/>
        <v>134.86330935251797</v>
      </c>
      <c r="X266">
        <f t="shared" si="57"/>
        <v>224508.60000000003</v>
      </c>
      <c r="Y266">
        <f t="shared" si="50"/>
        <v>27871.3</v>
      </c>
      <c r="AA266">
        <v>15.246742009268599</v>
      </c>
    </row>
    <row r="267" spans="1:27" x14ac:dyDescent="0.25">
      <c r="A267" s="106"/>
      <c r="B267" s="39"/>
      <c r="C267" s="13">
        <v>41781</v>
      </c>
      <c r="D267">
        <v>13.8</v>
      </c>
      <c r="E267">
        <v>8.8000000000000007</v>
      </c>
      <c r="F267">
        <v>19.399999999999999</v>
      </c>
      <c r="G267">
        <f t="shared" si="58"/>
        <v>2512.1999999999994</v>
      </c>
      <c r="H267">
        <f t="shared" si="49"/>
        <v>213.20000000000002</v>
      </c>
      <c r="J267">
        <v>0.8</v>
      </c>
      <c r="K267">
        <f t="shared" si="54"/>
        <v>586.9</v>
      </c>
      <c r="L267">
        <v>4.0999999999999996</v>
      </c>
      <c r="M267">
        <f t="shared" si="55"/>
        <v>392.60000000000014</v>
      </c>
      <c r="N267" s="9">
        <f t="shared" si="52"/>
        <v>-3.3</v>
      </c>
      <c r="O267" s="19">
        <f t="shared" ref="O267:O308" si="61">O266+N267</f>
        <v>50.800000000000054</v>
      </c>
      <c r="P267" s="14">
        <v>262</v>
      </c>
      <c r="Q267" s="41">
        <f t="shared" si="51"/>
        <v>0.92543859649122795</v>
      </c>
      <c r="R267" s="16">
        <f t="shared" si="59"/>
        <v>3.7942982456140344</v>
      </c>
      <c r="S267" s="16">
        <f t="shared" si="56"/>
        <v>-2.9942982456140346</v>
      </c>
      <c r="T267" s="20">
        <f t="shared" si="60"/>
        <v>29.646235087719347</v>
      </c>
      <c r="V267">
        <v>2240.4</v>
      </c>
      <c r="W267">
        <f t="shared" si="53"/>
        <v>162.34782608695653</v>
      </c>
      <c r="X267">
        <f t="shared" si="57"/>
        <v>226749.00000000003</v>
      </c>
      <c r="Y267">
        <f t="shared" si="50"/>
        <v>30111.7</v>
      </c>
      <c r="AA267">
        <v>15.2833696689886</v>
      </c>
    </row>
    <row r="268" spans="1:27" x14ac:dyDescent="0.25">
      <c r="A268" s="106"/>
      <c r="B268" s="39"/>
      <c r="C268" s="13">
        <v>41782</v>
      </c>
      <c r="D268">
        <v>11.6</v>
      </c>
      <c r="E268">
        <v>9.8000000000000007</v>
      </c>
      <c r="F268">
        <v>17</v>
      </c>
      <c r="G268">
        <f t="shared" si="58"/>
        <v>2523.7999999999993</v>
      </c>
      <c r="H268">
        <f t="shared" si="49"/>
        <v>224.8</v>
      </c>
      <c r="J268">
        <v>4.0999999999999996</v>
      </c>
      <c r="K268">
        <f t="shared" si="54"/>
        <v>591</v>
      </c>
      <c r="L268">
        <v>2.8</v>
      </c>
      <c r="M268">
        <f t="shared" si="55"/>
        <v>395.40000000000015</v>
      </c>
      <c r="N268">
        <f t="shared" si="52"/>
        <v>1.2999999999999998</v>
      </c>
      <c r="O268" s="19">
        <f t="shared" si="61"/>
        <v>52.100000000000051</v>
      </c>
      <c r="P268" s="14">
        <v>263</v>
      </c>
      <c r="Q268" s="41">
        <f t="shared" si="51"/>
        <v>0.91140350877192977</v>
      </c>
      <c r="R268" s="16">
        <f t="shared" si="59"/>
        <v>2.551929824561403</v>
      </c>
      <c r="S268" s="16">
        <f t="shared" si="56"/>
        <v>1.5480701754385966</v>
      </c>
      <c r="T268" s="20">
        <f t="shared" si="60"/>
        <v>31.194305263157943</v>
      </c>
      <c r="V268">
        <v>1431</v>
      </c>
      <c r="W268">
        <f t="shared" si="53"/>
        <v>123.36206896551724</v>
      </c>
      <c r="X268">
        <f t="shared" si="57"/>
        <v>228180.00000000003</v>
      </c>
      <c r="Y268">
        <f t="shared" si="50"/>
        <v>31542.7</v>
      </c>
      <c r="AA268">
        <v>15.319138869805601</v>
      </c>
    </row>
    <row r="269" spans="1:27" x14ac:dyDescent="0.25">
      <c r="A269" s="106"/>
      <c r="B269" s="39"/>
      <c r="C269" s="13">
        <v>41783</v>
      </c>
      <c r="D269">
        <v>11.8</v>
      </c>
      <c r="E269">
        <v>6.9</v>
      </c>
      <c r="F269">
        <v>14.8</v>
      </c>
      <c r="G269">
        <f t="shared" si="58"/>
        <v>2535.5999999999995</v>
      </c>
      <c r="H269">
        <f t="shared" si="49"/>
        <v>236.60000000000002</v>
      </c>
      <c r="J269">
        <v>3.1</v>
      </c>
      <c r="K269">
        <f t="shared" si="54"/>
        <v>594.1</v>
      </c>
      <c r="L269">
        <v>2.1</v>
      </c>
      <c r="M269">
        <f t="shared" si="55"/>
        <v>397.50000000000017</v>
      </c>
      <c r="N269">
        <f t="shared" si="52"/>
        <v>1</v>
      </c>
      <c r="O269" s="19">
        <f t="shared" si="61"/>
        <v>53.100000000000051</v>
      </c>
      <c r="P269" s="14">
        <v>264</v>
      </c>
      <c r="Q269" s="41">
        <f t="shared" si="51"/>
        <v>0.89736842105263159</v>
      </c>
      <c r="R269" s="16">
        <f t="shared" si="59"/>
        <v>1.8844736842105265</v>
      </c>
      <c r="S269" s="16">
        <f t="shared" si="56"/>
        <v>1.2155263157894736</v>
      </c>
      <c r="T269" s="20">
        <f t="shared" si="60"/>
        <v>32.409831578947419</v>
      </c>
      <c r="V269">
        <v>1675.6</v>
      </c>
      <c r="W269">
        <f t="shared" si="53"/>
        <v>141.99999999999997</v>
      </c>
      <c r="X269">
        <f t="shared" si="57"/>
        <v>229855.60000000003</v>
      </c>
      <c r="Y269">
        <f t="shared" si="50"/>
        <v>33218.300000000003</v>
      </c>
      <c r="AA269">
        <v>15.3540255736423</v>
      </c>
    </row>
    <row r="270" spans="1:27" x14ac:dyDescent="0.25">
      <c r="A270" s="106"/>
      <c r="B270" s="39"/>
      <c r="C270" s="13">
        <v>41784</v>
      </c>
      <c r="D270">
        <v>12.9</v>
      </c>
      <c r="E270">
        <v>8</v>
      </c>
      <c r="F270">
        <v>18.100000000000001</v>
      </c>
      <c r="G270">
        <f t="shared" si="58"/>
        <v>2548.4999999999995</v>
      </c>
      <c r="H270">
        <f t="shared" si="49"/>
        <v>249.50000000000003</v>
      </c>
      <c r="J270">
        <v>5.7</v>
      </c>
      <c r="K270">
        <f t="shared" si="54"/>
        <v>599.80000000000007</v>
      </c>
      <c r="L270">
        <v>2</v>
      </c>
      <c r="M270">
        <f t="shared" si="55"/>
        <v>399.50000000000017</v>
      </c>
      <c r="N270">
        <f t="shared" si="52"/>
        <v>3.7</v>
      </c>
      <c r="O270" s="19">
        <f t="shared" si="61"/>
        <v>56.800000000000054</v>
      </c>
      <c r="P270" s="14">
        <v>265</v>
      </c>
      <c r="Q270" s="41">
        <f t="shared" si="51"/>
        <v>0.8833333333333333</v>
      </c>
      <c r="R270" s="16">
        <f t="shared" si="59"/>
        <v>1.7666666666666666</v>
      </c>
      <c r="S270" s="16">
        <f t="shared" si="56"/>
        <v>3.9333333333333336</v>
      </c>
      <c r="T270" s="20">
        <f t="shared" si="60"/>
        <v>36.343164912280756</v>
      </c>
      <c r="V270">
        <v>1318.4</v>
      </c>
      <c r="W270">
        <f t="shared" si="53"/>
        <v>102.20155038759691</v>
      </c>
      <c r="X270">
        <f t="shared" si="57"/>
        <v>231174.00000000003</v>
      </c>
      <c r="Y270">
        <f t="shared" si="50"/>
        <v>34536.700000000004</v>
      </c>
      <c r="AA270">
        <v>15.388005763670099</v>
      </c>
    </row>
    <row r="271" spans="1:27" x14ac:dyDescent="0.25">
      <c r="A271" s="106"/>
      <c r="B271" s="39"/>
      <c r="C271" s="13">
        <v>41785</v>
      </c>
      <c r="D271">
        <v>12.4</v>
      </c>
      <c r="E271">
        <v>10.3</v>
      </c>
      <c r="F271">
        <v>14.5</v>
      </c>
      <c r="G271">
        <f t="shared" si="58"/>
        <v>2560.8999999999996</v>
      </c>
      <c r="H271">
        <f t="shared" si="49"/>
        <v>261.90000000000003</v>
      </c>
      <c r="J271">
        <v>0</v>
      </c>
      <c r="K271">
        <f t="shared" si="54"/>
        <v>599.80000000000007</v>
      </c>
      <c r="L271">
        <v>0.7</v>
      </c>
      <c r="M271">
        <f t="shared" si="55"/>
        <v>400.20000000000016</v>
      </c>
      <c r="N271" s="9">
        <f t="shared" si="52"/>
        <v>-0.7</v>
      </c>
      <c r="O271" s="19">
        <f t="shared" si="61"/>
        <v>56.100000000000051</v>
      </c>
      <c r="P271" s="14">
        <v>266</v>
      </c>
      <c r="Q271" s="41">
        <f t="shared" si="51"/>
        <v>0.86929824561403501</v>
      </c>
      <c r="R271" s="16">
        <f t="shared" si="59"/>
        <v>0.60850877192982444</v>
      </c>
      <c r="S271" s="16">
        <f t="shared" si="56"/>
        <v>-0.60850877192982444</v>
      </c>
      <c r="T271" s="20">
        <f t="shared" si="60"/>
        <v>35.734656140350928</v>
      </c>
      <c r="V271" s="21">
        <v>522.1</v>
      </c>
      <c r="W271">
        <f t="shared" si="53"/>
        <v>42.104838709677423</v>
      </c>
      <c r="X271">
        <f t="shared" si="57"/>
        <v>231696.10000000003</v>
      </c>
      <c r="Y271">
        <f t="shared" si="50"/>
        <v>35058.800000000003</v>
      </c>
      <c r="AA271">
        <v>15.421055493483999</v>
      </c>
    </row>
    <row r="272" spans="1:27" s="60" customFormat="1" x14ac:dyDescent="0.25">
      <c r="A272" s="106"/>
      <c r="B272" s="58"/>
      <c r="C272" s="59">
        <v>41786</v>
      </c>
      <c r="D272" s="60">
        <v>13.6</v>
      </c>
      <c r="E272" s="60">
        <v>10.8</v>
      </c>
      <c r="F272" s="60">
        <v>16.8</v>
      </c>
      <c r="G272" s="60">
        <f t="shared" si="58"/>
        <v>2574.4999999999995</v>
      </c>
      <c r="H272" s="60">
        <f t="shared" si="49"/>
        <v>275.50000000000006</v>
      </c>
      <c r="J272" s="60">
        <v>0.6</v>
      </c>
      <c r="K272" s="60">
        <f t="shared" si="54"/>
        <v>600.40000000000009</v>
      </c>
      <c r="L272" s="60">
        <v>3.3</v>
      </c>
      <c r="M272" s="60">
        <f t="shared" si="55"/>
        <v>403.50000000000017</v>
      </c>
      <c r="N272" s="62">
        <f t="shared" si="52"/>
        <v>-2.6999999999999997</v>
      </c>
      <c r="O272" s="63">
        <f t="shared" si="61"/>
        <v>53.400000000000048</v>
      </c>
      <c r="P272" s="14">
        <v>267</v>
      </c>
      <c r="Q272" s="41">
        <f t="shared" si="51"/>
        <v>0.85526315789473673</v>
      </c>
      <c r="R272" s="55">
        <f t="shared" si="59"/>
        <v>2.822368421052631</v>
      </c>
      <c r="S272" s="16">
        <f t="shared" si="56"/>
        <v>-2.2223684210526309</v>
      </c>
      <c r="T272" s="20">
        <f t="shared" si="60"/>
        <v>33.5122877192983</v>
      </c>
      <c r="V272" s="60">
        <v>1854.7</v>
      </c>
      <c r="W272" s="60">
        <f t="shared" si="53"/>
        <v>136.375</v>
      </c>
      <c r="X272" s="60">
        <f t="shared" si="57"/>
        <v>233550.80000000005</v>
      </c>
      <c r="Y272">
        <f t="shared" si="50"/>
        <v>36913.5</v>
      </c>
      <c r="AA272" s="60">
        <v>15.4531509383469</v>
      </c>
    </row>
    <row r="273" spans="1:27" x14ac:dyDescent="0.25">
      <c r="A273" s="106"/>
      <c r="B273" s="39"/>
      <c r="C273" s="13">
        <v>41787</v>
      </c>
      <c r="D273">
        <v>13</v>
      </c>
      <c r="E273">
        <v>9.9</v>
      </c>
      <c r="F273">
        <v>16.7</v>
      </c>
      <c r="G273">
        <f t="shared" si="58"/>
        <v>2587.4999999999995</v>
      </c>
      <c r="H273">
        <f t="shared" si="49"/>
        <v>288.50000000000006</v>
      </c>
      <c r="J273">
        <v>0.6</v>
      </c>
      <c r="K273">
        <f t="shared" si="54"/>
        <v>601.00000000000011</v>
      </c>
      <c r="L273">
        <v>2.8</v>
      </c>
      <c r="M273">
        <f t="shared" si="55"/>
        <v>406.30000000000018</v>
      </c>
      <c r="N273" s="9">
        <f t="shared" si="52"/>
        <v>-2.1999999999999997</v>
      </c>
      <c r="O273" s="19">
        <f t="shared" si="61"/>
        <v>51.200000000000045</v>
      </c>
      <c r="P273" s="14">
        <v>268</v>
      </c>
      <c r="Q273" s="41">
        <f t="shared" si="51"/>
        <v>0.84122807017543855</v>
      </c>
      <c r="R273" s="16">
        <f t="shared" si="59"/>
        <v>2.3554385964912279</v>
      </c>
      <c r="S273" s="16">
        <f t="shared" si="56"/>
        <v>-1.7554385964912278</v>
      </c>
      <c r="T273" s="20">
        <f t="shared" si="60"/>
        <v>31.756849122807072</v>
      </c>
      <c r="V273">
        <v>1747</v>
      </c>
      <c r="W273">
        <f t="shared" si="53"/>
        <v>134.38461538461539</v>
      </c>
      <c r="X273">
        <f t="shared" si="57"/>
        <v>235297.80000000005</v>
      </c>
      <c r="Y273">
        <f t="shared" si="50"/>
        <v>38660.5</v>
      </c>
      <c r="AA273">
        <v>15.484268448360201</v>
      </c>
    </row>
    <row r="274" spans="1:27" s="29" customFormat="1" x14ac:dyDescent="0.25">
      <c r="A274" s="106"/>
      <c r="B274" s="26">
        <v>600</v>
      </c>
      <c r="C274" s="44">
        <v>41788</v>
      </c>
      <c r="D274" s="29">
        <v>14</v>
      </c>
      <c r="E274" s="29">
        <v>9.6</v>
      </c>
      <c r="F274" s="29">
        <v>18.8</v>
      </c>
      <c r="G274" s="29">
        <f t="shared" si="58"/>
        <v>2601.4999999999995</v>
      </c>
      <c r="H274" s="29">
        <f t="shared" ref="H274:H308" si="62">H273+D274</f>
        <v>302.50000000000006</v>
      </c>
      <c r="J274" s="29">
        <v>0</v>
      </c>
      <c r="K274" s="29">
        <f t="shared" si="54"/>
        <v>601.00000000000011</v>
      </c>
      <c r="L274" s="29">
        <v>3.9</v>
      </c>
      <c r="M274" s="29">
        <f t="shared" si="55"/>
        <v>410.20000000000016</v>
      </c>
      <c r="N274" s="45">
        <f t="shared" si="52"/>
        <v>-3.9</v>
      </c>
      <c r="O274" s="30">
        <f t="shared" si="61"/>
        <v>47.300000000000047</v>
      </c>
      <c r="P274" s="14">
        <v>269</v>
      </c>
      <c r="Q274" s="41">
        <f t="shared" si="51"/>
        <v>0.82719298245614037</v>
      </c>
      <c r="R274" s="31">
        <f t="shared" si="59"/>
        <v>3.2260526315789475</v>
      </c>
      <c r="S274" s="16">
        <f t="shared" si="56"/>
        <v>-3.2260526315789475</v>
      </c>
      <c r="T274" s="20">
        <f t="shared" si="60"/>
        <v>28.530796491228124</v>
      </c>
      <c r="V274" s="29">
        <v>2367.4</v>
      </c>
      <c r="W274" s="29">
        <f t="shared" si="53"/>
        <v>169.1</v>
      </c>
      <c r="X274" s="29">
        <f t="shared" si="57"/>
        <v>237665.20000000004</v>
      </c>
      <c r="Y274">
        <f t="shared" ref="Y274:Y308" si="63">Y273+V274</f>
        <v>41027.9</v>
      </c>
      <c r="AA274" s="29">
        <v>15.514384603396801</v>
      </c>
    </row>
    <row r="275" spans="1:27" x14ac:dyDescent="0.25">
      <c r="A275" s="107">
        <v>1000</v>
      </c>
      <c r="B275" s="39"/>
      <c r="C275" s="13">
        <v>41789</v>
      </c>
      <c r="D275">
        <v>15.6</v>
      </c>
      <c r="E275">
        <v>10.3</v>
      </c>
      <c r="F275">
        <v>19.600000000000001</v>
      </c>
      <c r="G275">
        <f t="shared" si="58"/>
        <v>2617.0999999999995</v>
      </c>
      <c r="H275">
        <v>15.6</v>
      </c>
      <c r="I275" s="65" t="s">
        <v>28</v>
      </c>
      <c r="J275">
        <v>1.1000000000000001</v>
      </c>
      <c r="K275">
        <f t="shared" si="54"/>
        <v>602.10000000000014</v>
      </c>
      <c r="L275">
        <v>1.8</v>
      </c>
      <c r="M275">
        <f t="shared" si="55"/>
        <v>412.00000000000017</v>
      </c>
      <c r="N275" s="9">
        <f t="shared" si="52"/>
        <v>-0.7</v>
      </c>
      <c r="O275" s="19">
        <f t="shared" si="61"/>
        <v>46.600000000000044</v>
      </c>
      <c r="P275" s="14">
        <v>270</v>
      </c>
      <c r="Q275" s="41">
        <f t="shared" si="51"/>
        <v>0.81315789473684208</v>
      </c>
      <c r="R275" s="16">
        <f t="shared" si="59"/>
        <v>1.4636842105263157</v>
      </c>
      <c r="S275" s="16">
        <f t="shared" si="56"/>
        <v>-0.36368421052631561</v>
      </c>
      <c r="T275" s="20">
        <f t="shared" si="60"/>
        <v>28.167112280701808</v>
      </c>
      <c r="U275" s="65" t="s">
        <v>29</v>
      </c>
      <c r="V275">
        <v>938.9</v>
      </c>
      <c r="W275">
        <f t="shared" si="53"/>
        <v>60.185897435897438</v>
      </c>
      <c r="X275">
        <f t="shared" si="57"/>
        <v>238604.10000000003</v>
      </c>
      <c r="Y275">
        <v>938.9</v>
      </c>
      <c r="Z275" s="65" t="s">
        <v>30</v>
      </c>
      <c r="AA275">
        <v>15.5434762696083</v>
      </c>
    </row>
    <row r="276" spans="1:27" x14ac:dyDescent="0.25">
      <c r="A276" s="107"/>
      <c r="B276" s="39"/>
      <c r="C276" s="13">
        <v>41790</v>
      </c>
      <c r="D276">
        <v>16</v>
      </c>
      <c r="E276">
        <v>11.8</v>
      </c>
      <c r="F276">
        <v>20.2</v>
      </c>
      <c r="G276">
        <f t="shared" si="58"/>
        <v>2633.0999999999995</v>
      </c>
      <c r="H276">
        <f t="shared" si="62"/>
        <v>31.6</v>
      </c>
      <c r="I276">
        <f>MIN(E275:E296)</f>
        <v>7.9</v>
      </c>
      <c r="J276">
        <v>0</v>
      </c>
      <c r="K276">
        <f t="shared" si="54"/>
        <v>602.10000000000014</v>
      </c>
      <c r="L276">
        <v>4.5</v>
      </c>
      <c r="M276">
        <f t="shared" si="55"/>
        <v>416.50000000000017</v>
      </c>
      <c r="N276" s="9">
        <f t="shared" si="52"/>
        <v>-4.5</v>
      </c>
      <c r="O276" s="19">
        <f t="shared" si="61"/>
        <v>42.100000000000044</v>
      </c>
      <c r="P276" s="14">
        <v>271</v>
      </c>
      <c r="Q276" s="41">
        <f t="shared" si="51"/>
        <v>0.79912280701754379</v>
      </c>
      <c r="R276" s="16">
        <f t="shared" si="59"/>
        <v>3.5960526315789472</v>
      </c>
      <c r="S276" s="16">
        <f t="shared" si="56"/>
        <v>-3.5960526315789472</v>
      </c>
      <c r="T276" s="20">
        <f t="shared" si="60"/>
        <v>24.571059649122862</v>
      </c>
      <c r="U276">
        <v>19</v>
      </c>
      <c r="V276">
        <v>2551.9</v>
      </c>
      <c r="W276">
        <f t="shared" si="53"/>
        <v>159.49375000000001</v>
      </c>
      <c r="X276">
        <f t="shared" si="57"/>
        <v>241156.00000000003</v>
      </c>
      <c r="Y276">
        <f t="shared" si="63"/>
        <v>3490.8</v>
      </c>
      <c r="Z276">
        <v>47269.4</v>
      </c>
      <c r="AA276">
        <v>15.5715206572978</v>
      </c>
    </row>
    <row r="277" spans="1:27" x14ac:dyDescent="0.25">
      <c r="A277" s="107"/>
      <c r="B277" s="39"/>
      <c r="C277" s="13">
        <v>41791</v>
      </c>
      <c r="D277">
        <v>14.8</v>
      </c>
      <c r="E277">
        <v>10.6</v>
      </c>
      <c r="F277">
        <v>18.899999999999999</v>
      </c>
      <c r="G277">
        <f t="shared" si="58"/>
        <v>2647.8999999999996</v>
      </c>
      <c r="H277">
        <f t="shared" si="62"/>
        <v>46.400000000000006</v>
      </c>
      <c r="I277" s="65" t="s">
        <v>31</v>
      </c>
      <c r="J277">
        <v>0</v>
      </c>
      <c r="K277">
        <f t="shared" si="54"/>
        <v>602.10000000000014</v>
      </c>
      <c r="L277">
        <v>2.6</v>
      </c>
      <c r="M277">
        <f t="shared" si="55"/>
        <v>419.10000000000019</v>
      </c>
      <c r="N277" s="9">
        <f t="shared" si="52"/>
        <v>-2.6</v>
      </c>
      <c r="O277" s="19">
        <f t="shared" si="61"/>
        <v>39.500000000000043</v>
      </c>
      <c r="P277" s="14">
        <v>272</v>
      </c>
      <c r="Q277" s="41">
        <f t="shared" si="51"/>
        <v>0.7850877192982455</v>
      </c>
      <c r="R277" s="16">
        <f t="shared" si="59"/>
        <v>2.0412280701754382</v>
      </c>
      <c r="S277" s="16">
        <f t="shared" si="56"/>
        <v>-2.0412280701754382</v>
      </c>
      <c r="T277" s="20">
        <f t="shared" si="60"/>
        <v>22.529831578947423</v>
      </c>
      <c r="U277" s="65" t="s">
        <v>32</v>
      </c>
      <c r="V277">
        <v>1287.2</v>
      </c>
      <c r="W277">
        <f t="shared" si="53"/>
        <v>86.972972972972968</v>
      </c>
      <c r="X277">
        <f t="shared" si="57"/>
        <v>242443.20000000004</v>
      </c>
      <c r="Y277">
        <f t="shared" si="63"/>
        <v>4778</v>
      </c>
      <c r="Z277" s="65" t="s">
        <v>33</v>
      </c>
      <c r="AA277">
        <v>15.598495379924699</v>
      </c>
    </row>
    <row r="278" spans="1:27" x14ac:dyDescent="0.25">
      <c r="A278" s="107"/>
      <c r="B278" s="39"/>
      <c r="C278" s="13">
        <v>41792</v>
      </c>
      <c r="D278">
        <v>16.7</v>
      </c>
      <c r="E278">
        <v>12.7</v>
      </c>
      <c r="F278">
        <v>20.100000000000001</v>
      </c>
      <c r="G278">
        <f t="shared" si="58"/>
        <v>2664.5999999999995</v>
      </c>
      <c r="H278">
        <f t="shared" si="62"/>
        <v>63.100000000000009</v>
      </c>
      <c r="I278">
        <f>MAX(F275:F296)</f>
        <v>28.7</v>
      </c>
      <c r="J278">
        <v>0</v>
      </c>
      <c r="K278">
        <f t="shared" si="54"/>
        <v>602.10000000000014</v>
      </c>
      <c r="L278">
        <v>2.6</v>
      </c>
      <c r="M278">
        <f t="shared" si="55"/>
        <v>421.70000000000022</v>
      </c>
      <c r="N278" s="9">
        <f t="shared" si="52"/>
        <v>-2.6</v>
      </c>
      <c r="O278" s="19">
        <f t="shared" si="61"/>
        <v>36.900000000000041</v>
      </c>
      <c r="P278" s="14">
        <v>273</v>
      </c>
      <c r="Q278" s="41">
        <f t="shared" si="51"/>
        <v>0.77105263157894732</v>
      </c>
      <c r="R278" s="16">
        <f t="shared" si="59"/>
        <v>2.0047368421052632</v>
      </c>
      <c r="S278" s="16">
        <f t="shared" si="56"/>
        <v>-2.0047368421052632</v>
      </c>
      <c r="T278" s="20">
        <f t="shared" si="60"/>
        <v>20.52509473684216</v>
      </c>
      <c r="U278">
        <v>6</v>
      </c>
      <c r="V278">
        <v>1316.7</v>
      </c>
      <c r="W278">
        <f t="shared" si="53"/>
        <v>78.844311377245518</v>
      </c>
      <c r="X278">
        <f t="shared" si="57"/>
        <v>243759.90000000005</v>
      </c>
      <c r="Y278">
        <f t="shared" si="63"/>
        <v>6094.7</v>
      </c>
      <c r="Z278" s="22">
        <f>(Z276/100)/I288</f>
        <v>1.1796705764911406</v>
      </c>
      <c r="AA278">
        <v>15.624378513990999</v>
      </c>
    </row>
    <row r="279" spans="1:27" x14ac:dyDescent="0.25">
      <c r="A279" s="107"/>
      <c r="B279" s="39"/>
      <c r="C279" s="13">
        <v>41793</v>
      </c>
      <c r="D279">
        <v>15</v>
      </c>
      <c r="E279">
        <v>12.1</v>
      </c>
      <c r="F279">
        <v>18.600000000000001</v>
      </c>
      <c r="G279">
        <f t="shared" si="58"/>
        <v>2679.5999999999995</v>
      </c>
      <c r="H279">
        <f t="shared" si="62"/>
        <v>78.100000000000009</v>
      </c>
      <c r="I279" s="65" t="s">
        <v>34</v>
      </c>
      <c r="J279">
        <v>5.2</v>
      </c>
      <c r="K279">
        <f t="shared" si="54"/>
        <v>607.30000000000018</v>
      </c>
      <c r="L279">
        <v>3.6</v>
      </c>
      <c r="M279">
        <f t="shared" si="55"/>
        <v>425.30000000000024</v>
      </c>
      <c r="N279">
        <f t="shared" si="52"/>
        <v>1.6</v>
      </c>
      <c r="O279" s="19">
        <f t="shared" si="61"/>
        <v>38.500000000000043</v>
      </c>
      <c r="P279" s="14">
        <v>274</v>
      </c>
      <c r="Q279" s="41">
        <f t="shared" si="51"/>
        <v>0.75701754385964914</v>
      </c>
      <c r="R279" s="16">
        <f t="shared" si="59"/>
        <v>2.7252631578947368</v>
      </c>
      <c r="S279" s="16">
        <f t="shared" si="56"/>
        <v>2.4747368421052633</v>
      </c>
      <c r="T279" s="20">
        <f t="shared" si="60"/>
        <v>22.999831578947422</v>
      </c>
      <c r="U279" s="65" t="s">
        <v>35</v>
      </c>
      <c r="V279">
        <v>2119.3000000000002</v>
      </c>
      <c r="W279">
        <f t="shared" si="53"/>
        <v>141.28666666666669</v>
      </c>
      <c r="X279">
        <f t="shared" si="57"/>
        <v>245879.20000000004</v>
      </c>
      <c r="Y279">
        <f t="shared" si="63"/>
        <v>8214</v>
      </c>
      <c r="Z279" s="65" t="s">
        <v>36</v>
      </c>
      <c r="AA279">
        <v>15.649148659533401</v>
      </c>
    </row>
    <row r="280" spans="1:27" x14ac:dyDescent="0.25">
      <c r="A280" s="107"/>
      <c r="B280" s="39"/>
      <c r="C280" s="13">
        <v>41794</v>
      </c>
      <c r="D280">
        <v>13.4</v>
      </c>
      <c r="E280">
        <v>12.7</v>
      </c>
      <c r="F280">
        <v>15.4</v>
      </c>
      <c r="G280">
        <f t="shared" si="58"/>
        <v>2692.9999999999995</v>
      </c>
      <c r="H280">
        <f t="shared" si="62"/>
        <v>91.500000000000014</v>
      </c>
      <c r="I280" s="23">
        <f>AVERAGE(D275:D296)</f>
        <v>18.213636363636365</v>
      </c>
      <c r="J280">
        <v>1.7</v>
      </c>
      <c r="K280">
        <f t="shared" si="54"/>
        <v>609.00000000000023</v>
      </c>
      <c r="L280">
        <v>2.5</v>
      </c>
      <c r="M280">
        <f t="shared" si="55"/>
        <v>427.80000000000024</v>
      </c>
      <c r="N280" s="9">
        <f t="shared" si="52"/>
        <v>-0.8</v>
      </c>
      <c r="O280" s="19">
        <f t="shared" si="61"/>
        <v>37.700000000000045</v>
      </c>
      <c r="P280" s="14">
        <v>275</v>
      </c>
      <c r="Q280" s="41">
        <f t="shared" si="51"/>
        <v>0.74298245614035086</v>
      </c>
      <c r="R280" s="16">
        <f t="shared" si="59"/>
        <v>1.8574561403508771</v>
      </c>
      <c r="S280" s="16">
        <f t="shared" si="56"/>
        <v>-0.15745614035087718</v>
      </c>
      <c r="T280" s="20">
        <f t="shared" si="60"/>
        <v>22.842375438596545</v>
      </c>
      <c r="U280">
        <v>16</v>
      </c>
      <c r="V280">
        <v>1439.6</v>
      </c>
      <c r="W280">
        <f t="shared" si="53"/>
        <v>107.43283582089552</v>
      </c>
      <c r="X280">
        <f t="shared" si="57"/>
        <v>247318.80000000005</v>
      </c>
      <c r="Y280">
        <f t="shared" si="63"/>
        <v>9653.6</v>
      </c>
      <c r="Z280">
        <v>0</v>
      </c>
      <c r="AA280">
        <v>15.672785000931301</v>
      </c>
    </row>
    <row r="281" spans="1:27" x14ac:dyDescent="0.25">
      <c r="A281" s="107"/>
      <c r="B281" s="39"/>
      <c r="C281" s="13">
        <v>41795</v>
      </c>
      <c r="D281">
        <v>14.1</v>
      </c>
      <c r="E281">
        <v>7.9</v>
      </c>
      <c r="F281">
        <v>19.3</v>
      </c>
      <c r="G281">
        <f t="shared" si="58"/>
        <v>2707.0999999999995</v>
      </c>
      <c r="H281">
        <f t="shared" si="62"/>
        <v>105.60000000000001</v>
      </c>
      <c r="I281" s="65" t="s">
        <v>37</v>
      </c>
      <c r="J281">
        <v>0</v>
      </c>
      <c r="K281">
        <f t="shared" si="54"/>
        <v>609.00000000000023</v>
      </c>
      <c r="L281">
        <v>3.7</v>
      </c>
      <c r="M281">
        <f t="shared" si="55"/>
        <v>431.50000000000023</v>
      </c>
      <c r="N281" s="9">
        <f t="shared" si="52"/>
        <v>-3.7</v>
      </c>
      <c r="O281" s="19">
        <f t="shared" si="61"/>
        <v>34.000000000000043</v>
      </c>
      <c r="P281" s="14">
        <v>276</v>
      </c>
      <c r="Q281" s="41">
        <f t="shared" si="51"/>
        <v>0.72894736842105257</v>
      </c>
      <c r="R281" s="16">
        <f t="shared" si="59"/>
        <v>2.6971052631578947</v>
      </c>
      <c r="S281" s="16">
        <f t="shared" si="56"/>
        <v>-2.6971052631578947</v>
      </c>
      <c r="T281" s="20">
        <f t="shared" si="60"/>
        <v>20.14527017543865</v>
      </c>
      <c r="U281" s="65" t="s">
        <v>38</v>
      </c>
      <c r="V281">
        <v>2435</v>
      </c>
      <c r="W281">
        <f t="shared" si="53"/>
        <v>172.69503546099293</v>
      </c>
      <c r="X281">
        <f t="shared" si="57"/>
        <v>249753.80000000005</v>
      </c>
      <c r="Y281">
        <f t="shared" si="63"/>
        <v>12088.6</v>
      </c>
      <c r="AA281">
        <v>15.69526736772</v>
      </c>
    </row>
    <row r="282" spans="1:27" x14ac:dyDescent="0.25">
      <c r="A282" s="107"/>
      <c r="B282" s="39"/>
      <c r="C282" s="13">
        <v>41796</v>
      </c>
      <c r="D282">
        <v>20.9</v>
      </c>
      <c r="E282">
        <v>10.9</v>
      </c>
      <c r="F282" s="11">
        <v>27.5</v>
      </c>
      <c r="G282">
        <f t="shared" si="58"/>
        <v>2727.9999999999995</v>
      </c>
      <c r="H282">
        <f t="shared" si="62"/>
        <v>126.5</v>
      </c>
      <c r="I282">
        <v>0</v>
      </c>
      <c r="J282">
        <v>0</v>
      </c>
      <c r="K282">
        <f t="shared" si="54"/>
        <v>609.00000000000023</v>
      </c>
      <c r="L282">
        <v>5.2</v>
      </c>
      <c r="M282">
        <f t="shared" si="55"/>
        <v>436.70000000000022</v>
      </c>
      <c r="N282" s="9">
        <f t="shared" si="52"/>
        <v>-5.2</v>
      </c>
      <c r="O282" s="19">
        <f t="shared" si="61"/>
        <v>28.800000000000043</v>
      </c>
      <c r="P282" s="14">
        <v>277</v>
      </c>
      <c r="Q282" s="41">
        <f t="shared" si="51"/>
        <v>0.71491228070175428</v>
      </c>
      <c r="R282" s="16">
        <f t="shared" si="59"/>
        <v>3.7175438596491222</v>
      </c>
      <c r="S282" s="16">
        <f t="shared" si="56"/>
        <v>-3.7175438596491222</v>
      </c>
      <c r="T282" s="20">
        <f t="shared" si="60"/>
        <v>16.427726315789528</v>
      </c>
      <c r="U282" s="23">
        <v>0</v>
      </c>
      <c r="V282">
        <v>2802</v>
      </c>
      <c r="W282">
        <f t="shared" si="53"/>
        <v>134.06698564593302</v>
      </c>
      <c r="X282">
        <f t="shared" si="57"/>
        <v>252555.80000000005</v>
      </c>
      <c r="Y282">
        <f t="shared" si="63"/>
        <v>14890.6</v>
      </c>
      <c r="AA282">
        <v>15.716576295085</v>
      </c>
    </row>
    <row r="283" spans="1:27" x14ac:dyDescent="0.25">
      <c r="A283" s="107"/>
      <c r="B283" s="39"/>
      <c r="C283" s="13">
        <v>41797</v>
      </c>
      <c r="D283">
        <v>22.6</v>
      </c>
      <c r="E283">
        <v>18.7</v>
      </c>
      <c r="F283" s="11">
        <v>26.7</v>
      </c>
      <c r="G283">
        <f t="shared" si="58"/>
        <v>2750.5999999999995</v>
      </c>
      <c r="H283">
        <f t="shared" si="62"/>
        <v>149.1</v>
      </c>
      <c r="I283" s="65" t="s">
        <v>39</v>
      </c>
      <c r="J283">
        <v>6.4</v>
      </c>
      <c r="K283">
        <f t="shared" si="54"/>
        <v>615.4000000000002</v>
      </c>
      <c r="L283">
        <v>3.4</v>
      </c>
      <c r="M283">
        <f t="shared" si="55"/>
        <v>440.10000000000019</v>
      </c>
      <c r="N283">
        <f t="shared" si="52"/>
        <v>3.0000000000000004</v>
      </c>
      <c r="O283" s="19">
        <f t="shared" si="61"/>
        <v>31.800000000000043</v>
      </c>
      <c r="P283" s="14">
        <v>278</v>
      </c>
      <c r="Q283" s="41">
        <f t="shared" si="51"/>
        <v>0.7008771929824561</v>
      </c>
      <c r="R283" s="16">
        <f t="shared" si="59"/>
        <v>2.3829824561403505</v>
      </c>
      <c r="S283" s="16">
        <f t="shared" si="56"/>
        <v>4.0170175438596498</v>
      </c>
      <c r="T283" s="20">
        <f t="shared" si="60"/>
        <v>20.444743859649179</v>
      </c>
      <c r="U283" s="65" t="s">
        <v>40</v>
      </c>
      <c r="V283">
        <v>1476.2</v>
      </c>
      <c r="W283">
        <f t="shared" si="53"/>
        <v>65.318584070796462</v>
      </c>
      <c r="X283">
        <f t="shared" si="57"/>
        <v>254032.00000000006</v>
      </c>
      <c r="Y283">
        <f t="shared" si="63"/>
        <v>16366.800000000001</v>
      </c>
      <c r="AA283">
        <v>15.7366930837008</v>
      </c>
    </row>
    <row r="284" spans="1:27" x14ac:dyDescent="0.25">
      <c r="A284" s="107"/>
      <c r="B284" s="39"/>
      <c r="C284" s="13">
        <v>41798</v>
      </c>
      <c r="D284">
        <v>23.4</v>
      </c>
      <c r="E284">
        <v>18.2</v>
      </c>
      <c r="F284" s="11">
        <v>28.7</v>
      </c>
      <c r="G284">
        <f t="shared" si="58"/>
        <v>2773.9999999999995</v>
      </c>
      <c r="H284">
        <f t="shared" si="62"/>
        <v>172.5</v>
      </c>
      <c r="I284">
        <v>7</v>
      </c>
      <c r="J284">
        <v>0</v>
      </c>
      <c r="K284">
        <f t="shared" si="54"/>
        <v>615.4000000000002</v>
      </c>
      <c r="L284">
        <v>4</v>
      </c>
      <c r="M284">
        <f t="shared" si="55"/>
        <v>444.10000000000019</v>
      </c>
      <c r="N284" s="9">
        <f t="shared" si="52"/>
        <v>-4</v>
      </c>
      <c r="O284" s="19">
        <f t="shared" si="61"/>
        <v>27.800000000000043</v>
      </c>
      <c r="P284" s="14">
        <v>279</v>
      </c>
      <c r="Q284" s="41">
        <f t="shared" si="51"/>
        <v>0.68684210526315781</v>
      </c>
      <c r="R284" s="16">
        <f t="shared" si="59"/>
        <v>2.7473684210526312</v>
      </c>
      <c r="S284" s="16">
        <f t="shared" si="56"/>
        <v>-2.7473684210526312</v>
      </c>
      <c r="T284" s="20">
        <f t="shared" si="60"/>
        <v>17.697375438596548</v>
      </c>
      <c r="U284" s="23">
        <f>MAX(T275:T296)</f>
        <v>28.167112280701808</v>
      </c>
      <c r="V284">
        <v>1746.8</v>
      </c>
      <c r="W284">
        <f t="shared" si="53"/>
        <v>74.649572649572647</v>
      </c>
      <c r="X284">
        <f t="shared" si="57"/>
        <v>255778.80000000005</v>
      </c>
      <c r="Y284">
        <f t="shared" si="63"/>
        <v>18113.600000000002</v>
      </c>
      <c r="AA284">
        <v>15.7555998585662</v>
      </c>
    </row>
    <row r="285" spans="1:27" x14ac:dyDescent="0.25">
      <c r="A285" s="107"/>
      <c r="B285" s="39"/>
      <c r="C285" s="13">
        <v>41799</v>
      </c>
      <c r="D285">
        <v>23.6</v>
      </c>
      <c r="E285">
        <v>19.8</v>
      </c>
      <c r="F285" s="11">
        <v>27.5</v>
      </c>
      <c r="G285">
        <f t="shared" si="58"/>
        <v>2797.5999999999995</v>
      </c>
      <c r="H285">
        <f t="shared" si="62"/>
        <v>196.1</v>
      </c>
      <c r="I285" s="65" t="s">
        <v>41</v>
      </c>
      <c r="J285">
        <v>2.6</v>
      </c>
      <c r="K285">
        <f t="shared" si="54"/>
        <v>618.00000000000023</v>
      </c>
      <c r="L285">
        <v>3.3</v>
      </c>
      <c r="M285">
        <f t="shared" si="55"/>
        <v>447.4000000000002</v>
      </c>
      <c r="N285" s="9">
        <f t="shared" si="52"/>
        <v>-0.69999999999999973</v>
      </c>
      <c r="O285" s="19">
        <f t="shared" si="61"/>
        <v>27.100000000000044</v>
      </c>
      <c r="P285" s="14">
        <v>280</v>
      </c>
      <c r="Q285" s="41">
        <f t="shared" si="51"/>
        <v>0.67280701754385963</v>
      </c>
      <c r="R285" s="16">
        <f t="shared" si="59"/>
        <v>2.2202631578947365</v>
      </c>
      <c r="S285" s="16">
        <f t="shared" si="56"/>
        <v>0.37973684210526359</v>
      </c>
      <c r="T285" s="20">
        <f t="shared" si="60"/>
        <v>18.077112280701812</v>
      </c>
      <c r="U285" s="65" t="s">
        <v>42</v>
      </c>
      <c r="V285">
        <v>1714.2</v>
      </c>
      <c r="W285">
        <f t="shared" si="53"/>
        <v>72.635593220338976</v>
      </c>
      <c r="X285">
        <f t="shared" si="57"/>
        <v>257493.00000000006</v>
      </c>
      <c r="Y285">
        <f t="shared" si="63"/>
        <v>19827.800000000003</v>
      </c>
      <c r="AA285">
        <v>15.7732796264812</v>
      </c>
    </row>
    <row r="286" spans="1:27" x14ac:dyDescent="0.25">
      <c r="A286" s="107"/>
      <c r="B286" s="39"/>
      <c r="C286" s="13">
        <v>41800</v>
      </c>
      <c r="D286">
        <v>18.8</v>
      </c>
      <c r="E286">
        <v>17.7</v>
      </c>
      <c r="F286">
        <v>21.5</v>
      </c>
      <c r="G286">
        <f t="shared" si="58"/>
        <v>2816.3999999999996</v>
      </c>
      <c r="H286">
        <f t="shared" si="62"/>
        <v>214.9</v>
      </c>
      <c r="I286">
        <v>0</v>
      </c>
      <c r="J286">
        <v>0.2</v>
      </c>
      <c r="K286">
        <f t="shared" si="54"/>
        <v>618.20000000000027</v>
      </c>
      <c r="L286">
        <v>4.0999999999999996</v>
      </c>
      <c r="M286">
        <f t="shared" si="55"/>
        <v>451.50000000000023</v>
      </c>
      <c r="N286" s="9">
        <f t="shared" si="52"/>
        <v>-3.8999999999999995</v>
      </c>
      <c r="O286" s="19">
        <f t="shared" si="61"/>
        <v>23.200000000000045</v>
      </c>
      <c r="P286" s="14">
        <v>281</v>
      </c>
      <c r="Q286" s="41">
        <f t="shared" si="51"/>
        <v>0.65877192982456134</v>
      </c>
      <c r="R286" s="16">
        <f t="shared" si="59"/>
        <v>2.7009649122807011</v>
      </c>
      <c r="S286" s="16">
        <f t="shared" si="56"/>
        <v>-2.5009649122807009</v>
      </c>
      <c r="T286" s="20">
        <f t="shared" si="60"/>
        <v>15.576147368421111</v>
      </c>
      <c r="U286" s="22">
        <f>AVERAGE(T275:T296)</f>
        <v>12.699227591706579</v>
      </c>
      <c r="V286">
        <v>2009.8</v>
      </c>
      <c r="W286">
        <f t="shared" si="53"/>
        <v>106.90425531914893</v>
      </c>
      <c r="X286">
        <f t="shared" si="57"/>
        <v>259502.80000000005</v>
      </c>
      <c r="Y286">
        <f t="shared" si="63"/>
        <v>21837.600000000002</v>
      </c>
      <c r="AA286">
        <v>15.789716331809601</v>
      </c>
    </row>
    <row r="287" spans="1:27" x14ac:dyDescent="0.25">
      <c r="A287" s="107"/>
      <c r="B287" s="39"/>
      <c r="C287" s="13">
        <v>41801</v>
      </c>
      <c r="D287">
        <v>20.9</v>
      </c>
      <c r="E287">
        <v>14.9</v>
      </c>
      <c r="F287" s="11">
        <v>25</v>
      </c>
      <c r="G287">
        <f t="shared" si="58"/>
        <v>2837.2999999999997</v>
      </c>
      <c r="H287">
        <f t="shared" si="62"/>
        <v>235.8</v>
      </c>
      <c r="I287" s="65" t="s">
        <v>43</v>
      </c>
      <c r="J287">
        <v>0</v>
      </c>
      <c r="K287">
        <f t="shared" si="54"/>
        <v>618.20000000000027</v>
      </c>
      <c r="L287">
        <v>4</v>
      </c>
      <c r="M287">
        <f t="shared" si="55"/>
        <v>455.50000000000023</v>
      </c>
      <c r="N287" s="9">
        <f t="shared" si="52"/>
        <v>-4</v>
      </c>
      <c r="O287" s="19">
        <f t="shared" si="61"/>
        <v>19.200000000000045</v>
      </c>
      <c r="P287" s="14">
        <v>282</v>
      </c>
      <c r="Q287" s="41">
        <f t="shared" si="51"/>
        <v>0.64473684210526316</v>
      </c>
      <c r="R287" s="16">
        <f t="shared" si="59"/>
        <v>2.5789473684210527</v>
      </c>
      <c r="S287" s="16">
        <f t="shared" si="56"/>
        <v>-2.5789473684210527</v>
      </c>
      <c r="T287" s="20">
        <f t="shared" si="60"/>
        <v>12.997200000000058</v>
      </c>
      <c r="V287">
        <v>1955.2</v>
      </c>
      <c r="W287">
        <f t="shared" si="53"/>
        <v>93.550239234449776</v>
      </c>
      <c r="X287">
        <f t="shared" si="57"/>
        <v>261458.00000000006</v>
      </c>
      <c r="Y287">
        <f t="shared" si="63"/>
        <v>23792.800000000003</v>
      </c>
      <c r="AA287">
        <v>15.804894910165</v>
      </c>
    </row>
    <row r="288" spans="1:27" x14ac:dyDescent="0.25">
      <c r="A288" s="107"/>
      <c r="B288" s="39"/>
      <c r="C288" s="13">
        <v>41802</v>
      </c>
      <c r="D288">
        <v>21.6</v>
      </c>
      <c r="E288">
        <v>16.899999999999999</v>
      </c>
      <c r="F288" s="11">
        <v>26.3</v>
      </c>
      <c r="G288">
        <f t="shared" si="58"/>
        <v>2858.8999999999996</v>
      </c>
      <c r="H288">
        <f t="shared" si="62"/>
        <v>257.40000000000003</v>
      </c>
      <c r="I288">
        <v>400.7</v>
      </c>
      <c r="J288">
        <v>0</v>
      </c>
      <c r="K288">
        <f t="shared" si="54"/>
        <v>618.20000000000027</v>
      </c>
      <c r="L288">
        <v>5.7</v>
      </c>
      <c r="M288">
        <f t="shared" si="55"/>
        <v>461.20000000000022</v>
      </c>
      <c r="N288" s="9">
        <f t="shared" si="52"/>
        <v>-5.7</v>
      </c>
      <c r="O288" s="19">
        <f t="shared" si="61"/>
        <v>13.500000000000046</v>
      </c>
      <c r="P288" s="14">
        <v>283</v>
      </c>
      <c r="Q288" s="41">
        <f t="shared" si="51"/>
        <v>0.63070175438596487</v>
      </c>
      <c r="R288" s="16">
        <f t="shared" si="59"/>
        <v>3.5949999999999998</v>
      </c>
      <c r="S288" s="16">
        <f t="shared" si="56"/>
        <v>-3.5949999999999998</v>
      </c>
      <c r="T288" s="20">
        <f t="shared" si="60"/>
        <v>9.4022000000000574</v>
      </c>
      <c r="U288" s="66">
        <f>(U286*100)/122.1</f>
        <v>10.400677798285487</v>
      </c>
      <c r="V288">
        <v>2701.8</v>
      </c>
      <c r="W288">
        <f t="shared" si="53"/>
        <v>125.08333333333333</v>
      </c>
      <c r="X288">
        <f t="shared" si="57"/>
        <v>264159.80000000005</v>
      </c>
      <c r="Y288">
        <f t="shared" si="63"/>
        <v>26494.600000000002</v>
      </c>
      <c r="AA288">
        <v>15.8188013396678</v>
      </c>
    </row>
    <row r="289" spans="1:27" x14ac:dyDescent="0.25">
      <c r="A289" s="107"/>
      <c r="B289" s="39"/>
      <c r="C289" s="13">
        <v>41803</v>
      </c>
      <c r="D289">
        <v>20.8</v>
      </c>
      <c r="E289">
        <v>16.399999999999999</v>
      </c>
      <c r="F289" s="11">
        <v>25.8</v>
      </c>
      <c r="G289">
        <f t="shared" si="58"/>
        <v>2879.7</v>
      </c>
      <c r="H289">
        <f t="shared" si="62"/>
        <v>278.20000000000005</v>
      </c>
      <c r="J289">
        <v>0</v>
      </c>
      <c r="K289">
        <f t="shared" si="54"/>
        <v>618.20000000000027</v>
      </c>
      <c r="L289">
        <v>6.9</v>
      </c>
      <c r="M289">
        <f t="shared" si="55"/>
        <v>468.10000000000019</v>
      </c>
      <c r="N289" s="9">
        <f t="shared" si="52"/>
        <v>-6.9</v>
      </c>
      <c r="O289" s="19">
        <f t="shared" si="61"/>
        <v>6.6000000000000458</v>
      </c>
      <c r="P289" s="14">
        <v>284</v>
      </c>
      <c r="Q289" s="41">
        <f t="shared" si="51"/>
        <v>0.6166666666666667</v>
      </c>
      <c r="R289" s="16">
        <f t="shared" si="59"/>
        <v>4.2550000000000008</v>
      </c>
      <c r="S289" s="16">
        <f t="shared" si="56"/>
        <v>-4.2550000000000008</v>
      </c>
      <c r="T289" s="20">
        <f t="shared" si="60"/>
        <v>5.1472000000000566</v>
      </c>
      <c r="V289">
        <v>3312.9</v>
      </c>
      <c r="W289">
        <f t="shared" si="53"/>
        <v>159.27403846153845</v>
      </c>
      <c r="X289">
        <f t="shared" si="57"/>
        <v>267472.70000000007</v>
      </c>
      <c r="Y289">
        <f t="shared" si="63"/>
        <v>29807.500000000004</v>
      </c>
      <c r="AA289">
        <v>15.831422689423899</v>
      </c>
    </row>
    <row r="290" spans="1:27" x14ac:dyDescent="0.25">
      <c r="A290" s="107"/>
      <c r="B290" s="39"/>
      <c r="C290" s="13">
        <v>41804</v>
      </c>
      <c r="D290">
        <v>18.399999999999999</v>
      </c>
      <c r="E290">
        <v>15</v>
      </c>
      <c r="F290">
        <v>23.3</v>
      </c>
      <c r="G290">
        <f t="shared" si="58"/>
        <v>2898.1</v>
      </c>
      <c r="H290">
        <f t="shared" si="62"/>
        <v>296.60000000000002</v>
      </c>
      <c r="J290">
        <v>0</v>
      </c>
      <c r="K290">
        <f t="shared" si="54"/>
        <v>618.20000000000027</v>
      </c>
      <c r="L290">
        <v>5.5</v>
      </c>
      <c r="M290">
        <f t="shared" si="55"/>
        <v>473.60000000000019</v>
      </c>
      <c r="N290" s="9">
        <f t="shared" si="52"/>
        <v>-5.5</v>
      </c>
      <c r="O290" s="19">
        <f t="shared" si="61"/>
        <v>1.1000000000000458</v>
      </c>
      <c r="P290" s="14">
        <v>285</v>
      </c>
      <c r="Q290" s="41">
        <f t="shared" si="51"/>
        <v>0.60263157894736841</v>
      </c>
      <c r="R290" s="16">
        <f t="shared" si="59"/>
        <v>3.314473684210526</v>
      </c>
      <c r="S290" s="16">
        <f t="shared" si="56"/>
        <v>-3.314473684210526</v>
      </c>
      <c r="T290" s="20">
        <f t="shared" si="60"/>
        <v>1.8327263157895306</v>
      </c>
      <c r="V290">
        <v>2518.6</v>
      </c>
      <c r="W290">
        <f t="shared" si="53"/>
        <v>136.88043478260869</v>
      </c>
      <c r="X290">
        <f t="shared" si="57"/>
        <v>269991.30000000005</v>
      </c>
      <c r="Y290">
        <f t="shared" si="63"/>
        <v>32326.100000000002</v>
      </c>
      <c r="AA290">
        <v>15.8427471648869</v>
      </c>
    </row>
    <row r="291" spans="1:27" x14ac:dyDescent="0.25">
      <c r="A291" s="107"/>
      <c r="B291" s="39"/>
      <c r="C291" s="13">
        <v>41805</v>
      </c>
      <c r="D291">
        <v>16.7</v>
      </c>
      <c r="E291">
        <v>13.1</v>
      </c>
      <c r="F291">
        <v>20.6</v>
      </c>
      <c r="G291">
        <f t="shared" si="58"/>
        <v>2914.7999999999997</v>
      </c>
      <c r="H291">
        <f t="shared" si="62"/>
        <v>313.3</v>
      </c>
      <c r="J291">
        <v>0</v>
      </c>
      <c r="K291">
        <f t="shared" si="54"/>
        <v>618.20000000000027</v>
      </c>
      <c r="L291">
        <v>5.5</v>
      </c>
      <c r="M291">
        <f t="shared" si="55"/>
        <v>479.10000000000019</v>
      </c>
      <c r="N291" s="9">
        <f t="shared" si="52"/>
        <v>-5.5</v>
      </c>
      <c r="O291" s="19">
        <v>0</v>
      </c>
      <c r="P291" s="14">
        <v>286</v>
      </c>
      <c r="Q291" s="41">
        <f t="shared" si="51"/>
        <v>0.58859649122807012</v>
      </c>
      <c r="R291" s="16">
        <f t="shared" si="59"/>
        <v>3.2372807017543854</v>
      </c>
      <c r="S291" s="16">
        <f t="shared" si="56"/>
        <v>-3.2372807017543854</v>
      </c>
      <c r="T291" s="20">
        <v>0</v>
      </c>
      <c r="V291">
        <v>2759.8</v>
      </c>
      <c r="W291">
        <f t="shared" si="53"/>
        <v>165.25748502994014</v>
      </c>
      <c r="X291">
        <f t="shared" si="57"/>
        <v>272751.10000000003</v>
      </c>
      <c r="Y291">
        <f t="shared" si="63"/>
        <v>35085.9</v>
      </c>
      <c r="AA291">
        <v>15.8527641497821</v>
      </c>
    </row>
    <row r="292" spans="1:27" x14ac:dyDescent="0.25">
      <c r="A292" s="107"/>
      <c r="B292" s="39"/>
      <c r="C292" s="13">
        <v>41806</v>
      </c>
      <c r="D292">
        <v>17.100000000000001</v>
      </c>
      <c r="E292">
        <v>12.9</v>
      </c>
      <c r="F292">
        <v>22.5</v>
      </c>
      <c r="G292">
        <f t="shared" si="58"/>
        <v>2931.8999999999996</v>
      </c>
      <c r="H292">
        <f t="shared" si="62"/>
        <v>330.40000000000003</v>
      </c>
      <c r="J292">
        <v>0</v>
      </c>
      <c r="K292">
        <f t="shared" si="54"/>
        <v>618.20000000000027</v>
      </c>
      <c r="L292">
        <v>6</v>
      </c>
      <c r="M292">
        <f t="shared" si="55"/>
        <v>485.10000000000019</v>
      </c>
      <c r="N292" s="9">
        <f t="shared" si="52"/>
        <v>-6</v>
      </c>
      <c r="O292" s="19">
        <v>0</v>
      </c>
      <c r="P292" s="14">
        <v>287</v>
      </c>
      <c r="Q292" s="41">
        <f t="shared" si="51"/>
        <v>0.57456140350877183</v>
      </c>
      <c r="R292" s="16">
        <f t="shared" si="59"/>
        <v>3.447368421052631</v>
      </c>
      <c r="S292" s="16">
        <f t="shared" si="56"/>
        <v>-3.447368421052631</v>
      </c>
      <c r="T292" s="20">
        <v>0</v>
      </c>
      <c r="V292">
        <v>2766.8</v>
      </c>
      <c r="W292">
        <f t="shared" si="53"/>
        <v>161.80116959064327</v>
      </c>
      <c r="X292">
        <f t="shared" si="57"/>
        <v>275517.90000000002</v>
      </c>
      <c r="Y292">
        <f t="shared" si="63"/>
        <v>37852.700000000004</v>
      </c>
      <c r="AA292">
        <v>15.8614642442883</v>
      </c>
    </row>
    <row r="293" spans="1:27" x14ac:dyDescent="0.25">
      <c r="A293" s="107"/>
      <c r="B293" s="39"/>
      <c r="C293" s="13">
        <v>41807</v>
      </c>
      <c r="D293">
        <v>15.9</v>
      </c>
      <c r="E293">
        <v>12.2</v>
      </c>
      <c r="F293">
        <v>19</v>
      </c>
      <c r="G293">
        <f t="shared" si="58"/>
        <v>2947.7999999999997</v>
      </c>
      <c r="H293">
        <f t="shared" si="62"/>
        <v>346.3</v>
      </c>
      <c r="J293">
        <v>0</v>
      </c>
      <c r="K293">
        <f t="shared" si="54"/>
        <v>618.20000000000027</v>
      </c>
      <c r="L293">
        <v>3.4</v>
      </c>
      <c r="M293">
        <f t="shared" si="55"/>
        <v>488.50000000000017</v>
      </c>
      <c r="N293" s="9">
        <f t="shared" si="52"/>
        <v>-3.4</v>
      </c>
      <c r="O293" s="19">
        <v>0</v>
      </c>
      <c r="P293" s="14">
        <v>288</v>
      </c>
      <c r="Q293" s="41">
        <f t="shared" si="51"/>
        <v>0.56052631578947365</v>
      </c>
      <c r="R293" s="16">
        <f t="shared" si="59"/>
        <v>1.9057894736842103</v>
      </c>
      <c r="S293" s="16">
        <f t="shared" si="56"/>
        <v>-1.9057894736842103</v>
      </c>
      <c r="T293" s="20">
        <v>0</v>
      </c>
      <c r="V293">
        <v>1542.7</v>
      </c>
      <c r="W293">
        <f t="shared" si="53"/>
        <v>97.025157232704402</v>
      </c>
      <c r="X293">
        <f t="shared" si="57"/>
        <v>277060.60000000003</v>
      </c>
      <c r="Y293">
        <f t="shared" si="63"/>
        <v>39395.4</v>
      </c>
      <c r="AA293">
        <v>15.868839299195001</v>
      </c>
    </row>
    <row r="294" spans="1:27" x14ac:dyDescent="0.25">
      <c r="A294" s="107"/>
      <c r="B294" s="39"/>
      <c r="C294" s="13">
        <v>41808</v>
      </c>
      <c r="D294">
        <v>17.600000000000001</v>
      </c>
      <c r="E294">
        <v>12.6</v>
      </c>
      <c r="F294">
        <v>22.4</v>
      </c>
      <c r="G294">
        <f t="shared" si="58"/>
        <v>2965.3999999999996</v>
      </c>
      <c r="H294">
        <f t="shared" si="62"/>
        <v>363.90000000000003</v>
      </c>
      <c r="J294">
        <v>0</v>
      </c>
      <c r="K294">
        <f t="shared" si="54"/>
        <v>618.20000000000027</v>
      </c>
      <c r="L294">
        <v>5</v>
      </c>
      <c r="M294">
        <f t="shared" si="55"/>
        <v>493.50000000000017</v>
      </c>
      <c r="N294" s="9">
        <f t="shared" si="52"/>
        <v>-5</v>
      </c>
      <c r="O294" s="19">
        <v>0</v>
      </c>
      <c r="P294" s="14">
        <v>289</v>
      </c>
      <c r="Q294" s="41">
        <f t="shared" si="51"/>
        <v>0.54649122807017536</v>
      </c>
      <c r="R294" s="16">
        <f t="shared" si="59"/>
        <v>2.7324561403508767</v>
      </c>
      <c r="S294" s="16">
        <f t="shared" si="56"/>
        <v>-2.7324561403508767</v>
      </c>
      <c r="T294" s="20">
        <v>0</v>
      </c>
      <c r="V294">
        <v>2436.4</v>
      </c>
      <c r="W294">
        <f t="shared" si="53"/>
        <v>138.43181818181819</v>
      </c>
      <c r="X294">
        <f t="shared" si="57"/>
        <v>279497.00000000006</v>
      </c>
      <c r="Y294">
        <f t="shared" si="63"/>
        <v>41831.800000000003</v>
      </c>
      <c r="AA294">
        <v>15.874882445780299</v>
      </c>
    </row>
    <row r="295" spans="1:27" s="60" customFormat="1" x14ac:dyDescent="0.25">
      <c r="A295" s="107"/>
      <c r="B295" s="58"/>
      <c r="C295" s="59">
        <v>41809</v>
      </c>
      <c r="D295" s="60">
        <v>18.2</v>
      </c>
      <c r="E295" s="60">
        <v>13.2</v>
      </c>
      <c r="F295" s="60">
        <v>23.5</v>
      </c>
      <c r="G295" s="60">
        <f t="shared" si="58"/>
        <v>2983.5999999999995</v>
      </c>
      <c r="H295" s="60">
        <f t="shared" si="62"/>
        <v>382.1</v>
      </c>
      <c r="J295" s="60">
        <v>0</v>
      </c>
      <c r="K295" s="60">
        <f t="shared" si="54"/>
        <v>618.20000000000027</v>
      </c>
      <c r="L295" s="60">
        <v>5.3</v>
      </c>
      <c r="M295" s="60">
        <f t="shared" si="55"/>
        <v>498.80000000000018</v>
      </c>
      <c r="N295" s="62">
        <f t="shared" si="52"/>
        <v>-5.3</v>
      </c>
      <c r="O295" s="63">
        <v>0</v>
      </c>
      <c r="P295" s="14">
        <v>290</v>
      </c>
      <c r="Q295" s="41">
        <f t="shared" si="51"/>
        <v>0.53245614035087718</v>
      </c>
      <c r="R295" s="55">
        <f t="shared" si="59"/>
        <v>2.8220175438596491</v>
      </c>
      <c r="S295" s="16">
        <f t="shared" si="56"/>
        <v>-2.8220175438596491</v>
      </c>
      <c r="T295" s="20">
        <v>0</v>
      </c>
      <c r="V295" s="60">
        <v>2589.6</v>
      </c>
      <c r="W295" s="60">
        <f t="shared" si="53"/>
        <v>142.28571428571428</v>
      </c>
      <c r="X295" s="60">
        <f t="shared" si="57"/>
        <v>282086.60000000003</v>
      </c>
      <c r="Y295">
        <f t="shared" si="63"/>
        <v>44421.4</v>
      </c>
      <c r="AA295" s="60">
        <v>15.8795881211816</v>
      </c>
    </row>
    <row r="296" spans="1:27" s="29" customFormat="1" ht="15" customHeight="1" x14ac:dyDescent="0.25">
      <c r="A296" s="107"/>
      <c r="B296" s="67">
        <v>1000</v>
      </c>
      <c r="C296" s="44">
        <v>41810</v>
      </c>
      <c r="D296" s="29">
        <v>18.600000000000001</v>
      </c>
      <c r="E296" s="29">
        <v>12.7</v>
      </c>
      <c r="F296" s="29">
        <v>23.7</v>
      </c>
      <c r="G296" s="29">
        <f t="shared" si="58"/>
        <v>3002.1999999999994</v>
      </c>
      <c r="H296" s="29">
        <f t="shared" si="62"/>
        <v>400.70000000000005</v>
      </c>
      <c r="J296" s="29">
        <v>0</v>
      </c>
      <c r="K296" s="29">
        <f t="shared" si="54"/>
        <v>618.20000000000027</v>
      </c>
      <c r="L296" s="29">
        <v>5.4</v>
      </c>
      <c r="M296" s="29">
        <f t="shared" si="55"/>
        <v>504.20000000000016</v>
      </c>
      <c r="N296" s="45">
        <f t="shared" si="52"/>
        <v>-5.4</v>
      </c>
      <c r="O296" s="30">
        <v>0</v>
      </c>
      <c r="P296" s="14">
        <v>291</v>
      </c>
      <c r="Q296" s="41">
        <f t="shared" si="51"/>
        <v>0.51842105263157889</v>
      </c>
      <c r="R296" s="31">
        <f t="shared" si="59"/>
        <v>2.7994736842105263</v>
      </c>
      <c r="S296" s="16">
        <f t="shared" si="56"/>
        <v>-2.7994736842105263</v>
      </c>
      <c r="T296" s="20">
        <v>0</v>
      </c>
      <c r="V296" s="29">
        <v>2848</v>
      </c>
      <c r="W296" s="29">
        <f t="shared" si="53"/>
        <v>153.11827956989245</v>
      </c>
      <c r="X296" s="29">
        <f t="shared" si="57"/>
        <v>284934.60000000003</v>
      </c>
      <c r="Y296">
        <f t="shared" si="63"/>
        <v>47269.4</v>
      </c>
      <c r="AA296" s="29">
        <v>15.882952089065901</v>
      </c>
    </row>
    <row r="297" spans="1:27" x14ac:dyDescent="0.25">
      <c r="A297" s="68"/>
      <c r="B297" s="69"/>
      <c r="C297" s="13">
        <v>41811</v>
      </c>
      <c r="D297">
        <v>20.2</v>
      </c>
      <c r="E297">
        <v>13.8</v>
      </c>
      <c r="F297">
        <v>26.3</v>
      </c>
      <c r="G297">
        <f t="shared" si="58"/>
        <v>3022.3999999999992</v>
      </c>
      <c r="H297">
        <v>20.2</v>
      </c>
      <c r="J297">
        <v>0</v>
      </c>
      <c r="K297">
        <f t="shared" si="54"/>
        <v>618.20000000000027</v>
      </c>
      <c r="L297">
        <v>7</v>
      </c>
      <c r="M297">
        <f t="shared" si="55"/>
        <v>511.20000000000016</v>
      </c>
      <c r="N297" s="9">
        <f t="shared" si="52"/>
        <v>-7</v>
      </c>
      <c r="O297" s="19">
        <v>0</v>
      </c>
      <c r="P297" s="14">
        <v>292</v>
      </c>
      <c r="Q297" s="41">
        <f t="shared" si="51"/>
        <v>0.50438596491228072</v>
      </c>
      <c r="R297" s="16">
        <f t="shared" si="59"/>
        <v>3.5307017543859649</v>
      </c>
      <c r="S297" s="16">
        <f t="shared" si="56"/>
        <v>-3.5307017543859649</v>
      </c>
      <c r="T297" s="20">
        <v>0</v>
      </c>
      <c r="V297">
        <v>2975.8</v>
      </c>
      <c r="W297">
        <f t="shared" si="53"/>
        <v>147.31683168316832</v>
      </c>
      <c r="X297">
        <f t="shared" si="57"/>
        <v>287910.40000000002</v>
      </c>
      <c r="Y297">
        <f t="shared" si="63"/>
        <v>50245.200000000004</v>
      </c>
      <c r="AA297">
        <v>15.884971455438</v>
      </c>
    </row>
    <row r="298" spans="1:27" x14ac:dyDescent="0.25">
      <c r="A298" s="68"/>
      <c r="B298" s="69"/>
      <c r="C298" s="13">
        <v>41812</v>
      </c>
      <c r="D298">
        <v>22.3</v>
      </c>
      <c r="E298">
        <v>15.5</v>
      </c>
      <c r="F298">
        <v>28.6</v>
      </c>
      <c r="G298">
        <f t="shared" si="58"/>
        <v>3044.6999999999994</v>
      </c>
      <c r="H298">
        <f t="shared" si="62"/>
        <v>42.5</v>
      </c>
      <c r="J298">
        <v>0.1</v>
      </c>
      <c r="K298">
        <f t="shared" si="54"/>
        <v>618.3000000000003</v>
      </c>
      <c r="L298">
        <v>5.5</v>
      </c>
      <c r="M298">
        <f t="shared" si="55"/>
        <v>516.70000000000016</v>
      </c>
      <c r="N298" s="9">
        <f t="shared" si="52"/>
        <v>-5.4</v>
      </c>
      <c r="O298" s="19">
        <v>0</v>
      </c>
      <c r="P298" s="14">
        <v>293</v>
      </c>
      <c r="Q298" s="41">
        <f t="shared" si="51"/>
        <v>0.49035087719298243</v>
      </c>
      <c r="R298" s="16">
        <f t="shared" si="59"/>
        <v>2.6969298245614035</v>
      </c>
      <c r="S298" s="16">
        <f t="shared" si="56"/>
        <v>-2.5969298245614034</v>
      </c>
      <c r="T298" s="20">
        <v>0</v>
      </c>
      <c r="V298">
        <v>1943.1</v>
      </c>
      <c r="W298">
        <f t="shared" si="53"/>
        <v>87.13452914798205</v>
      </c>
      <c r="X298">
        <f t="shared" si="57"/>
        <v>289853.5</v>
      </c>
      <c r="Y298">
        <f t="shared" si="63"/>
        <v>52188.3</v>
      </c>
      <c r="AA298">
        <v>15.885644679465299</v>
      </c>
    </row>
    <row r="299" spans="1:27" x14ac:dyDescent="0.25">
      <c r="A299" s="68"/>
      <c r="B299" s="69"/>
      <c r="C299" s="13">
        <v>41813</v>
      </c>
      <c r="D299">
        <v>16.100000000000001</v>
      </c>
      <c r="E299">
        <v>15.4</v>
      </c>
      <c r="F299">
        <v>17.3</v>
      </c>
      <c r="G299">
        <f t="shared" si="58"/>
        <v>3060.7999999999993</v>
      </c>
      <c r="H299">
        <f t="shared" si="62"/>
        <v>58.6</v>
      </c>
      <c r="J299">
        <v>8.6999999999999993</v>
      </c>
      <c r="K299">
        <f t="shared" si="54"/>
        <v>627.00000000000034</v>
      </c>
      <c r="L299">
        <v>1.7</v>
      </c>
      <c r="M299">
        <f t="shared" si="55"/>
        <v>518.4000000000002</v>
      </c>
      <c r="N299">
        <f t="shared" si="52"/>
        <v>6.9999999999999991</v>
      </c>
      <c r="O299" s="19">
        <f t="shared" si="61"/>
        <v>6.9999999999999991</v>
      </c>
      <c r="P299" s="14">
        <v>294</v>
      </c>
      <c r="Q299" s="41">
        <f t="shared" si="51"/>
        <v>0.47631578947368425</v>
      </c>
      <c r="R299" s="16">
        <f t="shared" si="59"/>
        <v>0.8097368421052632</v>
      </c>
      <c r="S299" s="16">
        <f t="shared" si="56"/>
        <v>7.8902631578947364</v>
      </c>
      <c r="T299" s="20">
        <f t="shared" si="60"/>
        <v>7.8902631578947364</v>
      </c>
      <c r="V299">
        <v>673.2</v>
      </c>
      <c r="W299">
        <f t="shared" si="53"/>
        <v>41.813664596273291</v>
      </c>
      <c r="X299">
        <f t="shared" si="57"/>
        <v>290526.7</v>
      </c>
      <c r="Y299">
        <f t="shared" si="63"/>
        <v>52861.5</v>
      </c>
      <c r="AA299">
        <v>15.8849715792323</v>
      </c>
    </row>
    <row r="300" spans="1:27" x14ac:dyDescent="0.25">
      <c r="A300" s="68"/>
      <c r="B300" s="69"/>
      <c r="C300" s="13">
        <v>41814</v>
      </c>
      <c r="D300">
        <v>19.5</v>
      </c>
      <c r="E300">
        <v>13.9</v>
      </c>
      <c r="F300">
        <v>25</v>
      </c>
      <c r="G300">
        <f t="shared" si="58"/>
        <v>3080.2999999999993</v>
      </c>
      <c r="H300">
        <f t="shared" si="62"/>
        <v>78.099999999999994</v>
      </c>
      <c r="J300">
        <v>0</v>
      </c>
      <c r="K300">
        <f t="shared" si="54"/>
        <v>627.00000000000034</v>
      </c>
      <c r="L300">
        <v>5.5</v>
      </c>
      <c r="M300">
        <f t="shared" si="55"/>
        <v>523.9000000000002</v>
      </c>
      <c r="N300" s="9">
        <f t="shared" si="52"/>
        <v>-5.5</v>
      </c>
      <c r="O300" s="19">
        <f t="shared" si="61"/>
        <v>1.4999999999999991</v>
      </c>
      <c r="P300" s="14">
        <v>295</v>
      </c>
      <c r="Q300" s="41">
        <f t="shared" si="51"/>
        <v>0.46228070175438596</v>
      </c>
      <c r="R300" s="16">
        <f t="shared" si="59"/>
        <v>2.5425438596491228</v>
      </c>
      <c r="S300" s="16">
        <f t="shared" si="56"/>
        <v>-2.5425438596491228</v>
      </c>
      <c r="T300" s="20">
        <f t="shared" si="60"/>
        <v>5.3477192982456137</v>
      </c>
      <c r="V300">
        <v>2698.8</v>
      </c>
      <c r="W300">
        <f t="shared" si="53"/>
        <v>138.4</v>
      </c>
      <c r="X300">
        <f t="shared" si="57"/>
        <v>293225.5</v>
      </c>
      <c r="Y300">
        <f t="shared" si="63"/>
        <v>55560.3</v>
      </c>
      <c r="AA300">
        <v>15.8829533323817</v>
      </c>
    </row>
    <row r="301" spans="1:27" x14ac:dyDescent="0.25">
      <c r="A301" s="68"/>
      <c r="B301" s="69"/>
      <c r="C301" s="13">
        <v>41815</v>
      </c>
      <c r="D301">
        <v>20</v>
      </c>
      <c r="E301">
        <v>15.7</v>
      </c>
      <c r="F301">
        <v>23.8</v>
      </c>
      <c r="G301">
        <f t="shared" si="58"/>
        <v>3100.2999999999993</v>
      </c>
      <c r="H301">
        <f t="shared" si="62"/>
        <v>98.1</v>
      </c>
      <c r="J301">
        <v>0.1</v>
      </c>
      <c r="K301">
        <f t="shared" si="54"/>
        <v>627.10000000000036</v>
      </c>
      <c r="L301">
        <v>5.9</v>
      </c>
      <c r="M301">
        <f t="shared" si="55"/>
        <v>529.80000000000018</v>
      </c>
      <c r="N301" s="9">
        <f t="shared" si="52"/>
        <v>-5.8000000000000007</v>
      </c>
      <c r="O301" s="19">
        <v>0</v>
      </c>
      <c r="P301" s="14">
        <v>296</v>
      </c>
      <c r="Q301" s="41">
        <f t="shared" si="51"/>
        <v>0.44824561403508778</v>
      </c>
      <c r="R301" s="16">
        <f t="shared" si="59"/>
        <v>2.6446491228070181</v>
      </c>
      <c r="S301" s="16">
        <f t="shared" si="56"/>
        <v>-2.544649122807018</v>
      </c>
      <c r="T301" s="20">
        <f t="shared" si="60"/>
        <v>2.8030701754385956</v>
      </c>
      <c r="V301">
        <v>2658</v>
      </c>
      <c r="W301">
        <f t="shared" si="53"/>
        <v>132.9</v>
      </c>
      <c r="X301">
        <f t="shared" si="57"/>
        <v>295883.5</v>
      </c>
      <c r="Y301">
        <f t="shared" si="63"/>
        <v>58218.3</v>
      </c>
      <c r="AA301">
        <v>15.879592471635201</v>
      </c>
    </row>
    <row r="302" spans="1:27" x14ac:dyDescent="0.25">
      <c r="A302" s="68"/>
      <c r="B302" s="69"/>
      <c r="C302" s="13">
        <v>41816</v>
      </c>
      <c r="D302">
        <v>18.899999999999999</v>
      </c>
      <c r="E302">
        <v>15.9</v>
      </c>
      <c r="F302">
        <v>24.8</v>
      </c>
      <c r="G302">
        <f t="shared" si="58"/>
        <v>3119.1999999999994</v>
      </c>
      <c r="H302">
        <f t="shared" si="62"/>
        <v>117</v>
      </c>
      <c r="J302">
        <v>5.3</v>
      </c>
      <c r="K302">
        <f t="shared" si="54"/>
        <v>632.40000000000032</v>
      </c>
      <c r="L302">
        <v>4.7</v>
      </c>
      <c r="M302">
        <f t="shared" si="55"/>
        <v>534.50000000000023</v>
      </c>
      <c r="N302">
        <f t="shared" si="52"/>
        <v>0.59999999999999964</v>
      </c>
      <c r="O302" s="19">
        <f t="shared" si="61"/>
        <v>0.59999999999999964</v>
      </c>
      <c r="P302" s="14">
        <v>297</v>
      </c>
      <c r="Q302" s="41">
        <f t="shared" si="51"/>
        <v>0.43421052631578949</v>
      </c>
      <c r="R302" s="16">
        <f t="shared" si="59"/>
        <v>2.0407894736842107</v>
      </c>
      <c r="S302" s="16">
        <f t="shared" si="56"/>
        <v>3.2592105263157891</v>
      </c>
      <c r="T302" s="20">
        <f t="shared" si="60"/>
        <v>6.0622807017543847</v>
      </c>
      <c r="V302">
        <v>2135.1</v>
      </c>
      <c r="W302">
        <f t="shared" si="53"/>
        <v>112.96825396825398</v>
      </c>
      <c r="X302">
        <f t="shared" si="57"/>
        <v>298018.59999999998</v>
      </c>
      <c r="Y302">
        <f t="shared" si="63"/>
        <v>60353.4</v>
      </c>
      <c r="AA302">
        <v>15.874892875229801</v>
      </c>
    </row>
    <row r="303" spans="1:27" x14ac:dyDescent="0.25">
      <c r="A303" s="68"/>
      <c r="B303" s="69"/>
      <c r="C303" s="13">
        <v>41817</v>
      </c>
      <c r="D303">
        <v>17.3</v>
      </c>
      <c r="E303">
        <v>14.4</v>
      </c>
      <c r="F303">
        <v>22.7</v>
      </c>
      <c r="G303">
        <f t="shared" si="58"/>
        <v>3136.4999999999995</v>
      </c>
      <c r="H303">
        <f t="shared" si="62"/>
        <v>134.30000000000001</v>
      </c>
      <c r="J303">
        <v>10.8</v>
      </c>
      <c r="K303">
        <f t="shared" si="54"/>
        <v>643.20000000000027</v>
      </c>
      <c r="L303">
        <v>3.7</v>
      </c>
      <c r="M303">
        <f t="shared" si="55"/>
        <v>538.20000000000027</v>
      </c>
      <c r="N303">
        <f t="shared" si="52"/>
        <v>7.1000000000000005</v>
      </c>
      <c r="O303" s="19">
        <f t="shared" si="61"/>
        <v>7.7</v>
      </c>
      <c r="P303" s="14">
        <v>298</v>
      </c>
      <c r="Q303" s="41">
        <f t="shared" si="51"/>
        <v>0.4201754385964912</v>
      </c>
      <c r="R303" s="16">
        <f t="shared" si="59"/>
        <v>1.5546491228070176</v>
      </c>
      <c r="S303" s="16">
        <f t="shared" si="56"/>
        <v>9.2453508771929833</v>
      </c>
      <c r="T303" s="20">
        <f t="shared" si="60"/>
        <v>15.307631578947369</v>
      </c>
      <c r="V303">
        <v>1718.8</v>
      </c>
      <c r="W303">
        <f t="shared" si="53"/>
        <v>99.352601156069355</v>
      </c>
      <c r="X303">
        <f t="shared" si="57"/>
        <v>299737.39999999997</v>
      </c>
      <c r="Y303">
        <f t="shared" si="63"/>
        <v>62072.200000000004</v>
      </c>
      <c r="AA303">
        <v>15.8688597523455</v>
      </c>
    </row>
    <row r="304" spans="1:27" x14ac:dyDescent="0.25">
      <c r="A304" s="68"/>
      <c r="B304" s="69"/>
      <c r="C304" s="13">
        <v>41818</v>
      </c>
      <c r="D304">
        <v>15.8</v>
      </c>
      <c r="E304">
        <v>14.1</v>
      </c>
      <c r="F304">
        <v>18.100000000000001</v>
      </c>
      <c r="G304">
        <f t="shared" si="58"/>
        <v>3152.2999999999997</v>
      </c>
      <c r="H304">
        <f t="shared" si="62"/>
        <v>150.10000000000002</v>
      </c>
      <c r="J304">
        <v>21</v>
      </c>
      <c r="K304">
        <f t="shared" si="54"/>
        <v>664.20000000000027</v>
      </c>
      <c r="L304">
        <v>1.6</v>
      </c>
      <c r="M304">
        <f t="shared" si="55"/>
        <v>539.8000000000003</v>
      </c>
      <c r="N304">
        <f t="shared" si="52"/>
        <v>19.399999999999999</v>
      </c>
      <c r="O304" s="19">
        <f t="shared" si="61"/>
        <v>27.099999999999998</v>
      </c>
      <c r="P304" s="14">
        <v>299</v>
      </c>
      <c r="Q304" s="41">
        <f t="shared" si="51"/>
        <v>0.40614035087719291</v>
      </c>
      <c r="R304" s="16">
        <f t="shared" si="59"/>
        <v>0.64982456140350875</v>
      </c>
      <c r="S304" s="16">
        <f t="shared" si="56"/>
        <v>20.350175438596491</v>
      </c>
      <c r="T304" s="20">
        <f t="shared" si="60"/>
        <v>35.65780701754386</v>
      </c>
      <c r="V304" s="21">
        <v>725.8</v>
      </c>
      <c r="W304">
        <f t="shared" si="53"/>
        <v>45.936708860759488</v>
      </c>
      <c r="X304">
        <f t="shared" si="57"/>
        <v>300463.19999999995</v>
      </c>
      <c r="Y304">
        <f t="shared" si="63"/>
        <v>62798.000000000007</v>
      </c>
      <c r="AA304">
        <v>15.861499623636201</v>
      </c>
    </row>
    <row r="305" spans="1:27" x14ac:dyDescent="0.25">
      <c r="A305" s="68"/>
      <c r="B305" s="69"/>
      <c r="C305" s="13">
        <v>41819</v>
      </c>
      <c r="D305">
        <v>15.3</v>
      </c>
      <c r="E305">
        <v>13.3</v>
      </c>
      <c r="F305">
        <v>19.100000000000001</v>
      </c>
      <c r="G305">
        <f t="shared" si="58"/>
        <v>3167.6</v>
      </c>
      <c r="H305">
        <f t="shared" si="62"/>
        <v>165.40000000000003</v>
      </c>
      <c r="J305">
        <v>2.7</v>
      </c>
      <c r="K305">
        <f t="shared" si="54"/>
        <v>666.90000000000032</v>
      </c>
      <c r="L305">
        <v>3.3</v>
      </c>
      <c r="M305">
        <f t="shared" si="55"/>
        <v>543.10000000000025</v>
      </c>
      <c r="N305" s="9">
        <f t="shared" si="52"/>
        <v>-0.59999999999999964</v>
      </c>
      <c r="O305" s="19">
        <f t="shared" si="61"/>
        <v>26.5</v>
      </c>
      <c r="P305" s="14">
        <v>300</v>
      </c>
      <c r="Q305" s="41">
        <f t="shared" si="51"/>
        <v>0.39210526315789473</v>
      </c>
      <c r="R305" s="16">
        <f t="shared" si="59"/>
        <v>1.2939473684210525</v>
      </c>
      <c r="S305" s="16">
        <f t="shared" si="56"/>
        <v>1.4060526315789477</v>
      </c>
      <c r="T305" s="20">
        <f t="shared" si="60"/>
        <v>37.063859649122804</v>
      </c>
      <c r="V305">
        <v>1659.1</v>
      </c>
      <c r="W305">
        <f t="shared" si="53"/>
        <v>108.43790849673202</v>
      </c>
      <c r="X305">
        <f t="shared" si="57"/>
        <v>302122.29999999993</v>
      </c>
      <c r="Y305">
        <f t="shared" si="63"/>
        <v>64457.100000000006</v>
      </c>
      <c r="AA305">
        <v>15.8528202970167</v>
      </c>
    </row>
    <row r="306" spans="1:27" x14ac:dyDescent="0.25">
      <c r="A306" s="68"/>
      <c r="B306" s="69"/>
      <c r="C306" s="13">
        <v>41820</v>
      </c>
      <c r="D306">
        <v>16.399999999999999</v>
      </c>
      <c r="E306">
        <v>11.9</v>
      </c>
      <c r="F306">
        <v>20.2</v>
      </c>
      <c r="G306">
        <f t="shared" si="58"/>
        <v>3184</v>
      </c>
      <c r="H306">
        <f t="shared" si="62"/>
        <v>181.80000000000004</v>
      </c>
      <c r="J306">
        <v>0</v>
      </c>
      <c r="K306">
        <f t="shared" si="54"/>
        <v>666.90000000000032</v>
      </c>
      <c r="L306">
        <v>3.6</v>
      </c>
      <c r="M306">
        <f t="shared" si="55"/>
        <v>546.70000000000027</v>
      </c>
      <c r="N306" s="9">
        <f t="shared" si="52"/>
        <v>-3.6</v>
      </c>
      <c r="O306" s="19">
        <f t="shared" si="61"/>
        <v>22.9</v>
      </c>
      <c r="P306" s="14">
        <v>301</v>
      </c>
      <c r="Q306" s="41">
        <f t="shared" si="51"/>
        <v>0.37807017543859645</v>
      </c>
      <c r="R306" s="16">
        <f t="shared" si="59"/>
        <v>1.3610526315789473</v>
      </c>
      <c r="S306" s="16">
        <f t="shared" si="56"/>
        <v>-1.3610526315789473</v>
      </c>
      <c r="T306" s="20">
        <f t="shared" si="60"/>
        <v>35.702807017543854</v>
      </c>
      <c r="V306">
        <v>1879.2</v>
      </c>
      <c r="W306">
        <f t="shared" si="53"/>
        <v>114.58536585365854</v>
      </c>
      <c r="X306">
        <f t="shared" si="57"/>
        <v>304001.49999999994</v>
      </c>
      <c r="Y306">
        <f t="shared" si="63"/>
        <v>66336.3</v>
      </c>
      <c r="AA306">
        <v>15.842830838890601</v>
      </c>
    </row>
    <row r="307" spans="1:27" x14ac:dyDescent="0.25">
      <c r="A307" s="68"/>
      <c r="B307" s="69"/>
      <c r="C307" s="13">
        <v>41821</v>
      </c>
      <c r="D307">
        <v>18.600000000000001</v>
      </c>
      <c r="E307">
        <v>12.1</v>
      </c>
      <c r="F307">
        <v>23.8</v>
      </c>
      <c r="G307">
        <f t="shared" si="58"/>
        <v>3202.6</v>
      </c>
      <c r="H307">
        <f t="shared" si="62"/>
        <v>200.40000000000003</v>
      </c>
      <c r="J307">
        <v>0.1</v>
      </c>
      <c r="K307">
        <f t="shared" si="54"/>
        <v>667.00000000000034</v>
      </c>
      <c r="L307">
        <v>2.9</v>
      </c>
      <c r="M307">
        <f t="shared" si="55"/>
        <v>549.60000000000025</v>
      </c>
      <c r="N307" s="9">
        <f t="shared" si="52"/>
        <v>-2.8</v>
      </c>
      <c r="O307" s="19">
        <f t="shared" si="61"/>
        <v>20.099999999999998</v>
      </c>
      <c r="P307" s="14">
        <v>302</v>
      </c>
      <c r="Q307" s="41">
        <f t="shared" si="51"/>
        <v>0.36403508771929827</v>
      </c>
      <c r="R307" s="16">
        <f t="shared" si="59"/>
        <v>1.055701754385965</v>
      </c>
      <c r="S307" s="16">
        <f t="shared" si="56"/>
        <v>-0.95570175438596505</v>
      </c>
      <c r="T307" s="20">
        <f t="shared" si="60"/>
        <v>34.747105263157891</v>
      </c>
      <c r="V307">
        <v>1247.7</v>
      </c>
      <c r="W307">
        <f t="shared" si="53"/>
        <v>67.08064516129032</v>
      </c>
      <c r="X307">
        <f t="shared" si="57"/>
        <v>305249.19999999995</v>
      </c>
      <c r="Y307">
        <f t="shared" si="63"/>
        <v>67584</v>
      </c>
      <c r="AA307">
        <v>15.8315415410386</v>
      </c>
    </row>
    <row r="308" spans="1:27" x14ac:dyDescent="0.25">
      <c r="A308" s="68"/>
      <c r="B308" s="69"/>
      <c r="C308" s="13">
        <v>41822</v>
      </c>
      <c r="D308">
        <v>20.9</v>
      </c>
      <c r="E308">
        <v>15</v>
      </c>
      <c r="F308">
        <v>26.1</v>
      </c>
      <c r="G308">
        <f t="shared" si="58"/>
        <v>3223.5</v>
      </c>
      <c r="H308">
        <f t="shared" si="62"/>
        <v>221.30000000000004</v>
      </c>
      <c r="J308">
        <v>0</v>
      </c>
      <c r="K308">
        <f>K307+J308</f>
        <v>667.00000000000034</v>
      </c>
      <c r="L308">
        <v>5.6</v>
      </c>
      <c r="M308">
        <f t="shared" si="55"/>
        <v>555.20000000000027</v>
      </c>
      <c r="N308" s="9">
        <f t="shared" si="52"/>
        <v>-5.6</v>
      </c>
      <c r="O308" s="19">
        <f t="shared" si="61"/>
        <v>14.499999999999998</v>
      </c>
      <c r="P308" s="14">
        <v>303</v>
      </c>
      <c r="Q308" s="41">
        <f t="shared" si="51"/>
        <v>0.35</v>
      </c>
      <c r="R308" s="16">
        <f t="shared" si="59"/>
        <v>1.9599999999999997</v>
      </c>
      <c r="S308" s="16">
        <f t="shared" si="56"/>
        <v>-1.9599999999999997</v>
      </c>
      <c r="T308" s="20">
        <f t="shared" si="60"/>
        <v>32.787105263157891</v>
      </c>
      <c r="V308">
        <v>2445.1</v>
      </c>
      <c r="W308">
        <f t="shared" si="53"/>
        <v>116.99043062200957</v>
      </c>
      <c r="X308">
        <f t="shared" si="57"/>
        <v>307694.29999999993</v>
      </c>
      <c r="Y308">
        <f t="shared" si="63"/>
        <v>70029.100000000006</v>
      </c>
      <c r="AA308">
        <v>15.818963883416099</v>
      </c>
    </row>
    <row r="309" spans="1:27" x14ac:dyDescent="0.25">
      <c r="A309" s="108" t="s">
        <v>50</v>
      </c>
      <c r="B309" s="108"/>
      <c r="C309" s="108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</row>
  </sheetData>
  <mergeCells count="15">
    <mergeCell ref="A252:A274"/>
    <mergeCell ref="A275:A296"/>
    <mergeCell ref="A309:Z309"/>
    <mergeCell ref="D1:I2"/>
    <mergeCell ref="J1:U2"/>
    <mergeCell ref="V1:Z2"/>
    <mergeCell ref="J3:O3"/>
    <mergeCell ref="P3:T3"/>
    <mergeCell ref="G4:H4"/>
    <mergeCell ref="X4:Y4"/>
    <mergeCell ref="A5:Z5"/>
    <mergeCell ref="A6:A79"/>
    <mergeCell ref="A80:A127"/>
    <mergeCell ref="A128:A202"/>
    <mergeCell ref="A224:A251"/>
  </mergeCells>
  <conditionalFormatting sqref="U7 T5:T309">
    <cfRule type="cellIs" dxfId="9" priority="1" operator="equal">
      <formula>0</formula>
    </cfRule>
    <cfRule type="cellIs" dxfId="8" priority="2" operator="lessThanOrEqual">
      <formula>40.7</formula>
    </cfRule>
  </conditionalFormatting>
  <conditionalFormatting sqref="T1:T4">
    <cfRule type="cellIs" dxfId="7" priority="4" operator="equal">
      <formula>0</formula>
    </cfRule>
    <cfRule type="cellIs" dxfId="6" priority="5" operator="lessThanOrEqual">
      <formula>40.7</formula>
    </cfRule>
  </conditionalFormatting>
  <conditionalFormatting sqref="S6:S308">
    <cfRule type="cellIs" dxfId="5" priority="3" operator="lessThanOr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309"/>
  <sheetViews>
    <sheetView topLeftCell="A175" zoomScale="70" zoomScaleNormal="70" workbookViewId="0">
      <selection activeCell="AB189" sqref="AB189:AB198"/>
    </sheetView>
  </sheetViews>
  <sheetFormatPr baseColWidth="10" defaultRowHeight="15" x14ac:dyDescent="0.25"/>
  <cols>
    <col min="26" max="26" width="12.28515625" bestFit="1" customWidth="1"/>
  </cols>
  <sheetData>
    <row r="1" spans="1:27" x14ac:dyDescent="0.25">
      <c r="B1" s="1"/>
      <c r="C1" s="2"/>
      <c r="D1" s="109" t="s">
        <v>0</v>
      </c>
      <c r="E1" s="109"/>
      <c r="F1" s="109"/>
      <c r="G1" s="109"/>
      <c r="H1" s="109"/>
      <c r="I1" s="109"/>
      <c r="J1" s="109" t="s">
        <v>1</v>
      </c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 t="s">
        <v>2</v>
      </c>
      <c r="W1" s="109"/>
      <c r="X1" s="109"/>
      <c r="Y1" s="109"/>
      <c r="Z1" s="109"/>
    </row>
    <row r="2" spans="1:27" x14ac:dyDescent="0.25">
      <c r="B2" s="1"/>
      <c r="C2" s="2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</row>
    <row r="3" spans="1:27" x14ac:dyDescent="0.25">
      <c r="B3" s="1"/>
      <c r="C3" s="2"/>
      <c r="D3" s="3"/>
      <c r="E3" s="3"/>
      <c r="F3" s="3"/>
      <c r="G3" s="3"/>
      <c r="H3" s="3"/>
      <c r="I3" s="3"/>
      <c r="J3" s="110"/>
      <c r="K3" s="110"/>
      <c r="L3" s="110"/>
      <c r="M3" s="110"/>
      <c r="N3" s="110"/>
      <c r="O3" s="110"/>
      <c r="P3" s="111" t="s">
        <v>3</v>
      </c>
      <c r="Q3" s="112"/>
      <c r="R3" s="112"/>
      <c r="S3" s="112"/>
      <c r="T3" s="113"/>
      <c r="U3" s="4"/>
      <c r="V3" s="3"/>
      <c r="W3" s="3"/>
      <c r="X3" s="3"/>
      <c r="Y3" s="3"/>
      <c r="Z3" s="3"/>
    </row>
    <row r="4" spans="1:27" x14ac:dyDescent="0.25">
      <c r="A4" t="s">
        <v>4</v>
      </c>
      <c r="B4" s="1">
        <v>5</v>
      </c>
      <c r="C4" s="5" t="s">
        <v>5</v>
      </c>
      <c r="D4" t="s">
        <v>6</v>
      </c>
      <c r="E4" t="s">
        <v>7</v>
      </c>
      <c r="F4" t="s">
        <v>8</v>
      </c>
      <c r="G4" s="114" t="s">
        <v>9</v>
      </c>
      <c r="H4" s="114"/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s="6" t="s">
        <v>17</v>
      </c>
      <c r="Q4" s="7" t="s">
        <v>18</v>
      </c>
      <c r="R4" s="7" t="s">
        <v>19</v>
      </c>
      <c r="S4" s="7" t="s">
        <v>20</v>
      </c>
      <c r="T4" s="8" t="s">
        <v>21</v>
      </c>
      <c r="U4" t="s">
        <v>10</v>
      </c>
      <c r="V4" t="s">
        <v>22</v>
      </c>
      <c r="W4" t="s">
        <v>23</v>
      </c>
      <c r="X4" s="115" t="s">
        <v>24</v>
      </c>
      <c r="Y4" s="115"/>
      <c r="Z4" t="s">
        <v>10</v>
      </c>
      <c r="AA4" t="s">
        <v>25</v>
      </c>
    </row>
    <row r="5" spans="1:27" ht="15" customHeight="1" x14ac:dyDescent="0.25">
      <c r="A5" s="116" t="s">
        <v>26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</row>
    <row r="6" spans="1:27" ht="15" customHeight="1" x14ac:dyDescent="0.25">
      <c r="A6" s="117" t="s">
        <v>27</v>
      </c>
      <c r="B6" s="12"/>
      <c r="C6" s="13">
        <v>41520</v>
      </c>
      <c r="D6">
        <v>19.5</v>
      </c>
      <c r="E6">
        <v>10.8</v>
      </c>
      <c r="F6" s="11">
        <v>26.4</v>
      </c>
      <c r="G6">
        <f>D6</f>
        <v>19.5</v>
      </c>
      <c r="I6" s="17" t="s">
        <v>28</v>
      </c>
      <c r="J6">
        <v>0</v>
      </c>
      <c r="K6">
        <f>J6</f>
        <v>0</v>
      </c>
      <c r="L6">
        <v>5.4</v>
      </c>
      <c r="M6">
        <f>L6</f>
        <v>5.4</v>
      </c>
      <c r="N6" s="9">
        <f t="shared" ref="N6:N69" si="0">J6-L6</f>
        <v>-5.4</v>
      </c>
      <c r="O6" s="18">
        <v>0</v>
      </c>
      <c r="P6" s="14">
        <v>1</v>
      </c>
      <c r="Q6" s="15">
        <v>0.35</v>
      </c>
      <c r="R6" s="16">
        <f>Q6*L6</f>
        <v>1.89</v>
      </c>
      <c r="S6" s="16">
        <f>J6-R6</f>
        <v>-1.89</v>
      </c>
      <c r="T6" s="8">
        <v>0</v>
      </c>
      <c r="U6" s="17" t="s">
        <v>29</v>
      </c>
      <c r="V6">
        <v>2247.1</v>
      </c>
      <c r="W6">
        <f t="shared" ref="W6:W69" si="1">V6/D6</f>
        <v>115.23589743589743</v>
      </c>
      <c r="X6">
        <f>V6</f>
        <v>2247.1</v>
      </c>
      <c r="Z6" s="17" t="s">
        <v>30</v>
      </c>
      <c r="AA6">
        <v>13.298368539328299</v>
      </c>
    </row>
    <row r="7" spans="1:27" x14ac:dyDescent="0.25">
      <c r="A7" s="117"/>
      <c r="B7" s="12"/>
      <c r="C7" s="13">
        <v>41521</v>
      </c>
      <c r="D7">
        <v>22.6</v>
      </c>
      <c r="E7">
        <v>12.2</v>
      </c>
      <c r="F7" s="11">
        <v>31.3</v>
      </c>
      <c r="G7">
        <f>G6+D7</f>
        <v>42.1</v>
      </c>
      <c r="I7">
        <f>MIN(E6:E79)</f>
        <v>-0.2</v>
      </c>
      <c r="J7">
        <v>0</v>
      </c>
      <c r="K7">
        <f t="shared" ref="K7:K70" si="2">K6+J7</f>
        <v>0</v>
      </c>
      <c r="L7">
        <v>5.8</v>
      </c>
      <c r="M7">
        <f t="shared" ref="M7:M70" si="3">M6+L7</f>
        <v>11.2</v>
      </c>
      <c r="N7" s="9">
        <f t="shared" si="0"/>
        <v>-5.8</v>
      </c>
      <c r="O7" s="18">
        <v>0</v>
      </c>
      <c r="P7" s="14">
        <v>2</v>
      </c>
      <c r="Q7" s="15">
        <v>0.35</v>
      </c>
      <c r="R7" s="16">
        <f>Q7*L7</f>
        <v>2.0299999999999998</v>
      </c>
      <c r="S7" s="16">
        <f t="shared" ref="S7:S70" si="4">J7-R7</f>
        <v>-2.0299999999999998</v>
      </c>
      <c r="T7" s="8">
        <v>0</v>
      </c>
      <c r="U7" s="15">
        <v>36</v>
      </c>
      <c r="V7">
        <v>2357.5</v>
      </c>
      <c r="W7">
        <f t="shared" si="1"/>
        <v>104.3141592920354</v>
      </c>
      <c r="X7">
        <f t="shared" ref="X7:X70" si="5">X6+V7</f>
        <v>4604.6000000000004</v>
      </c>
      <c r="Z7">
        <v>59193.599999999991</v>
      </c>
      <c r="AA7">
        <v>13.2443065002529</v>
      </c>
    </row>
    <row r="8" spans="1:27" x14ac:dyDescent="0.25">
      <c r="A8" s="117"/>
      <c r="B8" s="12"/>
      <c r="C8" s="13">
        <v>41522</v>
      </c>
      <c r="D8">
        <v>23.2</v>
      </c>
      <c r="E8">
        <v>13.9</v>
      </c>
      <c r="F8" s="11">
        <v>30.8</v>
      </c>
      <c r="G8">
        <f t="shared" ref="G8:G71" si="6">G7+D8</f>
        <v>65.3</v>
      </c>
      <c r="I8" s="17" t="s">
        <v>31</v>
      </c>
      <c r="J8">
        <v>0</v>
      </c>
      <c r="K8">
        <f t="shared" si="2"/>
        <v>0</v>
      </c>
      <c r="L8">
        <v>5.8</v>
      </c>
      <c r="M8">
        <f t="shared" si="3"/>
        <v>17</v>
      </c>
      <c r="N8" s="9">
        <f t="shared" si="0"/>
        <v>-5.8</v>
      </c>
      <c r="O8" s="18">
        <v>0</v>
      </c>
      <c r="P8" s="14">
        <v>3</v>
      </c>
      <c r="Q8" s="15">
        <v>0.35</v>
      </c>
      <c r="R8" s="16">
        <f t="shared" ref="R8:R71" si="7">Q8*L8</f>
        <v>2.0299999999999998</v>
      </c>
      <c r="S8" s="16">
        <f t="shared" si="4"/>
        <v>-2.0299999999999998</v>
      </c>
      <c r="T8" s="8">
        <v>0</v>
      </c>
      <c r="U8" s="17" t="s">
        <v>32</v>
      </c>
      <c r="V8">
        <v>2364.8000000000002</v>
      </c>
      <c r="W8">
        <f t="shared" si="1"/>
        <v>101.93103448275863</v>
      </c>
      <c r="X8">
        <f t="shared" si="5"/>
        <v>6969.4000000000005</v>
      </c>
      <c r="Z8" s="17" t="s">
        <v>33</v>
      </c>
      <c r="AA8">
        <v>13.190107175532001</v>
      </c>
    </row>
    <row r="9" spans="1:27" x14ac:dyDescent="0.25">
      <c r="A9" s="117"/>
      <c r="B9" s="12"/>
      <c r="C9" s="13">
        <v>41523</v>
      </c>
      <c r="D9">
        <v>18</v>
      </c>
      <c r="E9">
        <v>16.3</v>
      </c>
      <c r="F9">
        <v>20.5</v>
      </c>
      <c r="G9">
        <f t="shared" si="6"/>
        <v>83.3</v>
      </c>
      <c r="I9">
        <f>MAX(F6:F79)</f>
        <v>31.3</v>
      </c>
      <c r="J9">
        <v>5.2</v>
      </c>
      <c r="K9">
        <f t="shared" si="2"/>
        <v>5.2</v>
      </c>
      <c r="L9">
        <v>2.2000000000000002</v>
      </c>
      <c r="M9">
        <f t="shared" si="3"/>
        <v>19.2</v>
      </c>
      <c r="N9">
        <f t="shared" si="0"/>
        <v>3</v>
      </c>
      <c r="O9" s="19">
        <v>3</v>
      </c>
      <c r="P9" s="14">
        <v>4</v>
      </c>
      <c r="Q9" s="15">
        <v>0.35</v>
      </c>
      <c r="R9" s="16">
        <f t="shared" si="7"/>
        <v>0.77</v>
      </c>
      <c r="S9" s="16">
        <f t="shared" si="4"/>
        <v>4.43</v>
      </c>
      <c r="T9" s="20">
        <f>MIN(122.1,(T8+S9))</f>
        <v>4.43</v>
      </c>
      <c r="U9">
        <v>3</v>
      </c>
      <c r="V9" s="21">
        <v>709.2</v>
      </c>
      <c r="W9">
        <f t="shared" si="1"/>
        <v>39.400000000000006</v>
      </c>
      <c r="X9">
        <f t="shared" si="5"/>
        <v>7678.6</v>
      </c>
      <c r="Z9" s="22">
        <f>(Z7/100)/I19</f>
        <v>0.56949778718491428</v>
      </c>
      <c r="AA9">
        <v>13.1357783717981</v>
      </c>
    </row>
    <row r="10" spans="1:27" x14ac:dyDescent="0.25">
      <c r="A10" s="117"/>
      <c r="B10" s="12"/>
      <c r="C10" s="13">
        <v>41524</v>
      </c>
      <c r="D10">
        <v>15.1</v>
      </c>
      <c r="E10">
        <v>12.2</v>
      </c>
      <c r="F10">
        <v>18.600000000000001</v>
      </c>
      <c r="G10">
        <f t="shared" si="6"/>
        <v>98.399999999999991</v>
      </c>
      <c r="I10" s="17" t="s">
        <v>34</v>
      </c>
      <c r="J10">
        <v>0.7</v>
      </c>
      <c r="K10">
        <f t="shared" si="2"/>
        <v>5.9</v>
      </c>
      <c r="L10">
        <v>1.6</v>
      </c>
      <c r="M10">
        <f t="shared" si="3"/>
        <v>20.8</v>
      </c>
      <c r="N10" s="9">
        <f t="shared" si="0"/>
        <v>-0.90000000000000013</v>
      </c>
      <c r="O10" s="19">
        <f>O9+N10</f>
        <v>2.0999999999999996</v>
      </c>
      <c r="P10" s="14">
        <v>5</v>
      </c>
      <c r="Q10" s="15">
        <v>0.35</v>
      </c>
      <c r="R10" s="16">
        <f t="shared" si="7"/>
        <v>0.55999999999999994</v>
      </c>
      <c r="S10" s="16">
        <f t="shared" si="4"/>
        <v>0.14000000000000001</v>
      </c>
      <c r="T10" s="20">
        <f t="shared" ref="T10:T73" si="8">MIN(122.1,(T9+S10))</f>
        <v>4.5699999999999994</v>
      </c>
      <c r="U10" s="17" t="s">
        <v>35</v>
      </c>
      <c r="V10">
        <v>941.8</v>
      </c>
      <c r="W10">
        <f t="shared" si="1"/>
        <v>62.370860927152314</v>
      </c>
      <c r="X10">
        <f t="shared" si="5"/>
        <v>8620.4</v>
      </c>
      <c r="Z10" s="17" t="s">
        <v>36</v>
      </c>
      <c r="AA10">
        <v>13.081327639429199</v>
      </c>
    </row>
    <row r="11" spans="1:27" x14ac:dyDescent="0.25">
      <c r="A11" s="117"/>
      <c r="B11" s="12"/>
      <c r="C11" s="13">
        <v>41525</v>
      </c>
      <c r="D11">
        <v>14.9</v>
      </c>
      <c r="E11">
        <v>11.5</v>
      </c>
      <c r="F11">
        <v>18</v>
      </c>
      <c r="G11">
        <f t="shared" si="6"/>
        <v>113.3</v>
      </c>
      <c r="I11" s="23">
        <f>AVERAGE(D6:D79)</f>
        <v>14.045945945945947</v>
      </c>
      <c r="J11">
        <v>0</v>
      </c>
      <c r="K11">
        <f t="shared" si="2"/>
        <v>5.9</v>
      </c>
      <c r="L11">
        <v>2.1</v>
      </c>
      <c r="M11">
        <f t="shared" si="3"/>
        <v>22.900000000000002</v>
      </c>
      <c r="N11" s="9">
        <f t="shared" si="0"/>
        <v>-2.1</v>
      </c>
      <c r="O11" s="19">
        <f t="shared" ref="O11:O74" si="9">O10+N11</f>
        <v>0</v>
      </c>
      <c r="P11" s="14">
        <v>6</v>
      </c>
      <c r="Q11" s="15">
        <v>0.35</v>
      </c>
      <c r="R11" s="16">
        <f t="shared" si="7"/>
        <v>0.73499999999999999</v>
      </c>
      <c r="S11" s="16">
        <f t="shared" si="4"/>
        <v>-0.73499999999999999</v>
      </c>
      <c r="T11" s="20">
        <f t="shared" si="8"/>
        <v>3.8349999999999995</v>
      </c>
      <c r="U11">
        <v>28</v>
      </c>
      <c r="V11">
        <v>1081.0999999999999</v>
      </c>
      <c r="W11">
        <f t="shared" si="1"/>
        <v>72.55704697986576</v>
      </c>
      <c r="X11">
        <f t="shared" si="5"/>
        <v>9701.5</v>
      </c>
      <c r="Z11">
        <v>48</v>
      </c>
      <c r="AA11">
        <v>13.0267622867635</v>
      </c>
    </row>
    <row r="12" spans="1:27" x14ac:dyDescent="0.25">
      <c r="A12" s="117"/>
      <c r="B12" s="12"/>
      <c r="C12" s="13">
        <v>41526</v>
      </c>
      <c r="D12">
        <v>15</v>
      </c>
      <c r="E12">
        <v>11.8</v>
      </c>
      <c r="F12">
        <v>18.399999999999999</v>
      </c>
      <c r="G12">
        <f t="shared" si="6"/>
        <v>128.30000000000001</v>
      </c>
      <c r="I12" s="17" t="s">
        <v>37</v>
      </c>
      <c r="J12">
        <v>0.8</v>
      </c>
      <c r="K12">
        <f t="shared" si="2"/>
        <v>6.7</v>
      </c>
      <c r="L12">
        <v>2</v>
      </c>
      <c r="M12">
        <f t="shared" si="3"/>
        <v>24.900000000000002</v>
      </c>
      <c r="N12" s="9">
        <f t="shared" si="0"/>
        <v>-1.2</v>
      </c>
      <c r="O12" s="19">
        <v>0</v>
      </c>
      <c r="P12" s="14">
        <v>7</v>
      </c>
      <c r="Q12" s="15">
        <v>0.35</v>
      </c>
      <c r="R12" s="16">
        <f t="shared" si="7"/>
        <v>0.7</v>
      </c>
      <c r="S12" s="16">
        <f t="shared" si="4"/>
        <v>0.10000000000000009</v>
      </c>
      <c r="T12" s="20">
        <f t="shared" si="8"/>
        <v>3.9349999999999996</v>
      </c>
      <c r="U12" s="17" t="s">
        <v>38</v>
      </c>
      <c r="V12" s="21">
        <v>615</v>
      </c>
      <c r="W12">
        <f t="shared" si="1"/>
        <v>41</v>
      </c>
      <c r="X12">
        <f t="shared" si="5"/>
        <v>10316.5</v>
      </c>
      <c r="AA12">
        <v>12.9720893944409</v>
      </c>
    </row>
    <row r="13" spans="1:27" x14ac:dyDescent="0.25">
      <c r="A13" s="117"/>
      <c r="B13" s="12"/>
      <c r="C13" s="13">
        <v>41527</v>
      </c>
      <c r="D13">
        <v>15.3</v>
      </c>
      <c r="E13">
        <v>13</v>
      </c>
      <c r="F13">
        <v>18.5</v>
      </c>
      <c r="G13">
        <f t="shared" si="6"/>
        <v>143.60000000000002</v>
      </c>
      <c r="I13">
        <v>1</v>
      </c>
      <c r="J13">
        <v>0</v>
      </c>
      <c r="K13">
        <f t="shared" si="2"/>
        <v>6.7</v>
      </c>
      <c r="L13">
        <v>3</v>
      </c>
      <c r="M13">
        <f t="shared" si="3"/>
        <v>27.900000000000002</v>
      </c>
      <c r="N13" s="9">
        <f t="shared" si="0"/>
        <v>-3</v>
      </c>
      <c r="O13" s="19">
        <v>0</v>
      </c>
      <c r="P13" s="14">
        <v>8</v>
      </c>
      <c r="Q13" s="15">
        <v>0.35</v>
      </c>
      <c r="R13" s="16">
        <f t="shared" si="7"/>
        <v>1.0499999999999998</v>
      </c>
      <c r="S13" s="16">
        <f t="shared" si="4"/>
        <v>-1.0499999999999998</v>
      </c>
      <c r="T13" s="20">
        <f t="shared" si="8"/>
        <v>2.8849999999999998</v>
      </c>
      <c r="U13">
        <v>0</v>
      </c>
      <c r="V13">
        <v>1516.8</v>
      </c>
      <c r="W13">
        <f t="shared" si="1"/>
        <v>99.137254901960773</v>
      </c>
      <c r="X13">
        <f t="shared" si="5"/>
        <v>11833.3</v>
      </c>
      <c r="AA13">
        <v>12.917315829857801</v>
      </c>
    </row>
    <row r="14" spans="1:27" x14ac:dyDescent="0.25">
      <c r="A14" s="117"/>
      <c r="B14" s="12"/>
      <c r="C14" s="13">
        <v>41528</v>
      </c>
      <c r="D14">
        <v>13.1</v>
      </c>
      <c r="E14">
        <v>9</v>
      </c>
      <c r="F14">
        <v>16.600000000000001</v>
      </c>
      <c r="G14">
        <f t="shared" si="6"/>
        <v>156.70000000000002</v>
      </c>
      <c r="I14" s="17" t="s">
        <v>39</v>
      </c>
      <c r="J14">
        <v>0.3</v>
      </c>
      <c r="K14">
        <f t="shared" si="2"/>
        <v>7</v>
      </c>
      <c r="L14">
        <v>2</v>
      </c>
      <c r="M14">
        <f t="shared" si="3"/>
        <v>29.900000000000002</v>
      </c>
      <c r="N14" s="9">
        <f t="shared" si="0"/>
        <v>-1.7</v>
      </c>
      <c r="O14" s="19">
        <v>0</v>
      </c>
      <c r="P14" s="14">
        <v>9</v>
      </c>
      <c r="Q14" s="15">
        <f>0.35+((P14-8)/66)*(1-0.35)</f>
        <v>0.35984848484848481</v>
      </c>
      <c r="R14" s="16">
        <f t="shared" si="7"/>
        <v>0.71969696969696961</v>
      </c>
      <c r="S14" s="16">
        <f t="shared" si="4"/>
        <v>-0.41969696969696962</v>
      </c>
      <c r="T14" s="20">
        <f t="shared" si="8"/>
        <v>2.4653030303030303</v>
      </c>
      <c r="U14" s="17" t="s">
        <v>40</v>
      </c>
      <c r="V14">
        <v>1078.5999999999999</v>
      </c>
      <c r="W14">
        <f t="shared" si="1"/>
        <v>82.33587786259541</v>
      </c>
      <c r="X14">
        <f t="shared" si="5"/>
        <v>12911.9</v>
      </c>
      <c r="AA14">
        <v>12.8624482617226</v>
      </c>
    </row>
    <row r="15" spans="1:27" x14ac:dyDescent="0.25">
      <c r="A15" s="117"/>
      <c r="B15" s="12"/>
      <c r="C15" s="13">
        <v>41529</v>
      </c>
      <c r="D15">
        <v>14</v>
      </c>
      <c r="E15">
        <v>11.8</v>
      </c>
      <c r="F15">
        <v>16.100000000000001</v>
      </c>
      <c r="G15">
        <f t="shared" si="6"/>
        <v>170.70000000000002</v>
      </c>
      <c r="I15">
        <v>5</v>
      </c>
      <c r="J15">
        <v>0.2</v>
      </c>
      <c r="K15">
        <f t="shared" si="2"/>
        <v>7.2</v>
      </c>
      <c r="L15">
        <v>1.2</v>
      </c>
      <c r="M15">
        <f t="shared" si="3"/>
        <v>31.1</v>
      </c>
      <c r="N15" s="9">
        <f t="shared" si="0"/>
        <v>-1</v>
      </c>
      <c r="O15" s="19">
        <v>0</v>
      </c>
      <c r="P15" s="14">
        <v>10</v>
      </c>
      <c r="Q15" s="15">
        <f t="shared" ref="Q15:Q78" si="10">0.35+((P15-8)/66)*(1-0.35)</f>
        <v>0.36969696969696969</v>
      </c>
      <c r="R15" s="16">
        <f t="shared" si="7"/>
        <v>0.44363636363636361</v>
      </c>
      <c r="S15" s="16">
        <f t="shared" si="4"/>
        <v>-0.2436363636363636</v>
      </c>
      <c r="T15" s="20">
        <f t="shared" si="8"/>
        <v>2.2216666666666667</v>
      </c>
      <c r="U15">
        <f>MAX(T6:T79)</f>
        <v>122.1</v>
      </c>
      <c r="V15" s="21">
        <v>577.9</v>
      </c>
      <c r="W15">
        <f t="shared" si="1"/>
        <v>41.278571428571425</v>
      </c>
      <c r="X15">
        <f t="shared" si="5"/>
        <v>13489.8</v>
      </c>
      <c r="AA15">
        <v>12.807493174703801</v>
      </c>
    </row>
    <row r="16" spans="1:27" x14ac:dyDescent="0.25">
      <c r="A16" s="117"/>
      <c r="B16" s="12"/>
      <c r="C16" s="13">
        <v>41530</v>
      </c>
      <c r="D16">
        <v>16.899999999999999</v>
      </c>
      <c r="E16">
        <v>12.7</v>
      </c>
      <c r="F16">
        <v>19.7</v>
      </c>
      <c r="G16">
        <f t="shared" si="6"/>
        <v>187.60000000000002</v>
      </c>
      <c r="I16" s="17" t="s">
        <v>41</v>
      </c>
      <c r="J16">
        <v>0</v>
      </c>
      <c r="K16">
        <f t="shared" si="2"/>
        <v>7.2</v>
      </c>
      <c r="L16">
        <v>1.1000000000000001</v>
      </c>
      <c r="M16">
        <f t="shared" si="3"/>
        <v>32.200000000000003</v>
      </c>
      <c r="N16" s="9">
        <f t="shared" si="0"/>
        <v>-1.1000000000000001</v>
      </c>
      <c r="O16" s="19">
        <v>0</v>
      </c>
      <c r="P16" s="14">
        <v>11</v>
      </c>
      <c r="Q16" s="15">
        <f t="shared" si="10"/>
        <v>0.37954545454545452</v>
      </c>
      <c r="R16" s="16">
        <f t="shared" si="7"/>
        <v>0.41749999999999998</v>
      </c>
      <c r="S16" s="16">
        <f t="shared" si="4"/>
        <v>-0.41749999999999998</v>
      </c>
      <c r="T16" s="20">
        <f t="shared" si="8"/>
        <v>1.8041666666666667</v>
      </c>
      <c r="U16" s="17" t="s">
        <v>42</v>
      </c>
      <c r="V16" s="21">
        <v>644.70000000000005</v>
      </c>
      <c r="W16">
        <f t="shared" si="1"/>
        <v>38.147928994082847</v>
      </c>
      <c r="X16">
        <f t="shared" si="5"/>
        <v>14134.5</v>
      </c>
      <c r="AA16">
        <v>12.7524568841618</v>
      </c>
    </row>
    <row r="17" spans="1:27" x14ac:dyDescent="0.25">
      <c r="A17" s="117"/>
      <c r="B17" s="12"/>
      <c r="C17" s="13">
        <v>41531</v>
      </c>
      <c r="D17">
        <v>15.6</v>
      </c>
      <c r="E17">
        <v>15.2</v>
      </c>
      <c r="F17">
        <v>16.899999999999999</v>
      </c>
      <c r="G17">
        <f t="shared" si="6"/>
        <v>203.20000000000002</v>
      </c>
      <c r="I17">
        <v>5</v>
      </c>
      <c r="J17">
        <v>30.5</v>
      </c>
      <c r="K17">
        <f t="shared" si="2"/>
        <v>37.700000000000003</v>
      </c>
      <c r="L17">
        <v>1</v>
      </c>
      <c r="M17">
        <f t="shared" si="3"/>
        <v>33.200000000000003</v>
      </c>
      <c r="N17">
        <f t="shared" si="0"/>
        <v>29.5</v>
      </c>
      <c r="O17" s="19">
        <f t="shared" si="9"/>
        <v>29.5</v>
      </c>
      <c r="P17" s="14">
        <v>12</v>
      </c>
      <c r="Q17" s="15">
        <f t="shared" si="10"/>
        <v>0.3893939393939394</v>
      </c>
      <c r="R17" s="16">
        <f t="shared" si="7"/>
        <v>0.3893939393939394</v>
      </c>
      <c r="S17" s="16">
        <f t="shared" si="4"/>
        <v>30.110606060606059</v>
      </c>
      <c r="T17" s="20">
        <f t="shared" si="8"/>
        <v>31.914772727272727</v>
      </c>
      <c r="U17" s="23">
        <f>AVERAGE(T6:T79)</f>
        <v>63.904489148239158</v>
      </c>
      <c r="V17" s="21">
        <v>384.7</v>
      </c>
      <c r="W17">
        <f t="shared" si="1"/>
        <v>24.660256410256409</v>
      </c>
      <c r="X17">
        <f t="shared" si="5"/>
        <v>14519.2</v>
      </c>
      <c r="AA17">
        <v>12.697345550959099</v>
      </c>
    </row>
    <row r="18" spans="1:27" x14ac:dyDescent="0.25">
      <c r="A18" s="117"/>
      <c r="B18" s="12"/>
      <c r="C18" s="13">
        <v>41532</v>
      </c>
      <c r="D18">
        <v>14.4</v>
      </c>
      <c r="E18">
        <v>11.6</v>
      </c>
      <c r="F18">
        <v>17</v>
      </c>
      <c r="G18">
        <f t="shared" si="6"/>
        <v>217.60000000000002</v>
      </c>
      <c r="I18" s="17" t="s">
        <v>43</v>
      </c>
      <c r="J18">
        <v>1.5</v>
      </c>
      <c r="K18">
        <f t="shared" si="2"/>
        <v>39.200000000000003</v>
      </c>
      <c r="L18">
        <v>2.5</v>
      </c>
      <c r="M18">
        <f t="shared" si="3"/>
        <v>35.700000000000003</v>
      </c>
      <c r="N18" s="9">
        <f t="shared" si="0"/>
        <v>-1</v>
      </c>
      <c r="O18" s="19">
        <f t="shared" si="9"/>
        <v>28.5</v>
      </c>
      <c r="P18" s="14">
        <v>13</v>
      </c>
      <c r="Q18" s="15">
        <f t="shared" si="10"/>
        <v>0.39924242424242423</v>
      </c>
      <c r="R18" s="16">
        <f t="shared" si="7"/>
        <v>0.99810606060606055</v>
      </c>
      <c r="S18" s="16">
        <f t="shared" si="4"/>
        <v>0.50189393939393945</v>
      </c>
      <c r="T18" s="20">
        <f t="shared" si="8"/>
        <v>32.416666666666664</v>
      </c>
      <c r="V18">
        <v>1454.1</v>
      </c>
      <c r="W18">
        <f t="shared" si="1"/>
        <v>100.97916666666666</v>
      </c>
      <c r="X18">
        <f t="shared" si="5"/>
        <v>15973.300000000001</v>
      </c>
      <c r="AA18">
        <v>12.6421651963439</v>
      </c>
    </row>
    <row r="19" spans="1:27" x14ac:dyDescent="0.25">
      <c r="A19" s="117"/>
      <c r="B19" s="12"/>
      <c r="C19" s="13">
        <v>41533</v>
      </c>
      <c r="D19">
        <v>13.3</v>
      </c>
      <c r="E19">
        <v>12.4</v>
      </c>
      <c r="F19">
        <v>16.600000000000001</v>
      </c>
      <c r="G19">
        <f t="shared" si="6"/>
        <v>230.90000000000003</v>
      </c>
      <c r="I19">
        <v>1039.4000000000001</v>
      </c>
      <c r="J19">
        <v>2.1</v>
      </c>
      <c r="K19">
        <f t="shared" si="2"/>
        <v>41.300000000000004</v>
      </c>
      <c r="L19">
        <v>2.8</v>
      </c>
      <c r="M19">
        <f t="shared" si="3"/>
        <v>38.5</v>
      </c>
      <c r="N19" s="9">
        <f t="shared" si="0"/>
        <v>-0.69999999999999973</v>
      </c>
      <c r="O19" s="19">
        <f t="shared" si="9"/>
        <v>27.8</v>
      </c>
      <c r="P19" s="14">
        <v>14</v>
      </c>
      <c r="Q19" s="15">
        <f t="shared" si="10"/>
        <v>0.40909090909090906</v>
      </c>
      <c r="R19" s="16">
        <f t="shared" si="7"/>
        <v>1.1454545454545453</v>
      </c>
      <c r="S19" s="16">
        <f t="shared" si="4"/>
        <v>0.95454545454545481</v>
      </c>
      <c r="T19" s="20">
        <f t="shared" si="8"/>
        <v>33.371212121212118</v>
      </c>
      <c r="U19" s="23"/>
      <c r="V19">
        <v>1137.9000000000001</v>
      </c>
      <c r="W19">
        <f t="shared" si="1"/>
        <v>85.556390977443613</v>
      </c>
      <c r="X19">
        <f t="shared" si="5"/>
        <v>17111.2</v>
      </c>
      <c r="AA19">
        <v>12.586921716903801</v>
      </c>
    </row>
    <row r="20" spans="1:27" x14ac:dyDescent="0.25">
      <c r="A20" s="117"/>
      <c r="B20" s="12"/>
      <c r="C20" s="13">
        <v>41534</v>
      </c>
      <c r="D20">
        <v>13</v>
      </c>
      <c r="E20">
        <v>9.3000000000000007</v>
      </c>
      <c r="F20">
        <v>16.5</v>
      </c>
      <c r="G20">
        <f t="shared" si="6"/>
        <v>243.90000000000003</v>
      </c>
      <c r="J20">
        <v>3.3</v>
      </c>
      <c r="K20">
        <f t="shared" si="2"/>
        <v>44.6</v>
      </c>
      <c r="L20">
        <v>1.6</v>
      </c>
      <c r="M20">
        <f t="shared" si="3"/>
        <v>40.1</v>
      </c>
      <c r="N20">
        <f t="shared" si="0"/>
        <v>1.6999999999999997</v>
      </c>
      <c r="O20" s="19">
        <f t="shared" si="9"/>
        <v>29.5</v>
      </c>
      <c r="P20" s="14">
        <v>15</v>
      </c>
      <c r="Q20" s="15">
        <f t="shared" si="10"/>
        <v>0.41893939393939394</v>
      </c>
      <c r="R20" s="16">
        <f t="shared" si="7"/>
        <v>0.6703030303030304</v>
      </c>
      <c r="S20" s="16">
        <f t="shared" si="4"/>
        <v>2.6296969696969694</v>
      </c>
      <c r="T20" s="20">
        <f t="shared" si="8"/>
        <v>36.00090909090909</v>
      </c>
      <c r="V20" s="21">
        <v>708.9</v>
      </c>
      <c r="W20">
        <f t="shared" si="1"/>
        <v>54.530769230769231</v>
      </c>
      <c r="X20">
        <f t="shared" si="5"/>
        <v>17820.100000000002</v>
      </c>
      <c r="AA20">
        <v>12.531620899588701</v>
      </c>
    </row>
    <row r="21" spans="1:27" x14ac:dyDescent="0.25">
      <c r="A21" s="117"/>
      <c r="B21" s="12"/>
      <c r="C21" s="13">
        <v>41535</v>
      </c>
      <c r="D21">
        <v>16.100000000000001</v>
      </c>
      <c r="E21">
        <v>14.3</v>
      </c>
      <c r="F21">
        <v>17.600000000000001</v>
      </c>
      <c r="G21">
        <f t="shared" si="6"/>
        <v>260.00000000000006</v>
      </c>
      <c r="J21">
        <v>2.8</v>
      </c>
      <c r="K21">
        <f t="shared" si="2"/>
        <v>47.4</v>
      </c>
      <c r="L21">
        <v>2</v>
      </c>
      <c r="M21">
        <f t="shared" si="3"/>
        <v>42.1</v>
      </c>
      <c r="N21">
        <f t="shared" si="0"/>
        <v>0.79999999999999982</v>
      </c>
      <c r="O21" s="19">
        <f t="shared" si="9"/>
        <v>30.3</v>
      </c>
      <c r="P21" s="14">
        <v>16</v>
      </c>
      <c r="Q21" s="15">
        <f t="shared" si="10"/>
        <v>0.42878787878787877</v>
      </c>
      <c r="R21" s="16">
        <f t="shared" si="7"/>
        <v>0.85757575757575755</v>
      </c>
      <c r="S21" s="16">
        <f t="shared" si="4"/>
        <v>1.9424242424242424</v>
      </c>
      <c r="T21" s="20">
        <f t="shared" si="8"/>
        <v>37.943333333333335</v>
      </c>
      <c r="V21">
        <v>1084.4000000000001</v>
      </c>
      <c r="W21">
        <f t="shared" si="1"/>
        <v>67.354037267080741</v>
      </c>
      <c r="X21">
        <f t="shared" si="5"/>
        <v>18904.500000000004</v>
      </c>
      <c r="AA21">
        <v>12.476268436800799</v>
      </c>
    </row>
    <row r="22" spans="1:27" x14ac:dyDescent="0.25">
      <c r="A22" s="117"/>
      <c r="B22" s="12"/>
      <c r="C22" s="13">
        <v>41536</v>
      </c>
      <c r="D22">
        <v>12.9</v>
      </c>
      <c r="E22">
        <v>8.6999999999999993</v>
      </c>
      <c r="F22">
        <v>15.5</v>
      </c>
      <c r="G22">
        <f t="shared" si="6"/>
        <v>272.90000000000003</v>
      </c>
      <c r="J22">
        <v>1.5</v>
      </c>
      <c r="K22">
        <f t="shared" si="2"/>
        <v>48.9</v>
      </c>
      <c r="L22">
        <v>1.2</v>
      </c>
      <c r="M22">
        <f t="shared" si="3"/>
        <v>43.300000000000004</v>
      </c>
      <c r="N22">
        <f t="shared" si="0"/>
        <v>0.30000000000000004</v>
      </c>
      <c r="O22" s="19">
        <f t="shared" si="9"/>
        <v>30.6</v>
      </c>
      <c r="P22" s="14">
        <v>17</v>
      </c>
      <c r="Q22" s="15">
        <f t="shared" si="10"/>
        <v>0.4386363636363636</v>
      </c>
      <c r="R22" s="16">
        <f t="shared" si="7"/>
        <v>0.52636363636363626</v>
      </c>
      <c r="S22" s="16">
        <f t="shared" si="4"/>
        <v>0.97363636363636374</v>
      </c>
      <c r="T22" s="20">
        <f t="shared" si="8"/>
        <v>38.916969696969701</v>
      </c>
      <c r="V22" s="21">
        <v>849.9</v>
      </c>
      <c r="W22">
        <f t="shared" si="1"/>
        <v>65.883720930232556</v>
      </c>
      <c r="X22">
        <f t="shared" si="5"/>
        <v>19754.400000000005</v>
      </c>
      <c r="AA22">
        <v>12.4208699415524</v>
      </c>
    </row>
    <row r="23" spans="1:27" x14ac:dyDescent="0.25">
      <c r="A23" s="117"/>
      <c r="B23" s="12"/>
      <c r="C23" s="13">
        <v>41537</v>
      </c>
      <c r="D23">
        <v>15.2</v>
      </c>
      <c r="E23">
        <v>13.7</v>
      </c>
      <c r="F23">
        <v>18.3</v>
      </c>
      <c r="G23">
        <f t="shared" si="6"/>
        <v>288.10000000000002</v>
      </c>
      <c r="J23">
        <v>0.4</v>
      </c>
      <c r="K23">
        <f t="shared" si="2"/>
        <v>49.3</v>
      </c>
      <c r="L23">
        <v>2.6</v>
      </c>
      <c r="M23">
        <f t="shared" si="3"/>
        <v>45.900000000000006</v>
      </c>
      <c r="N23" s="9">
        <f t="shared" si="0"/>
        <v>-2.2000000000000002</v>
      </c>
      <c r="O23" s="19">
        <f t="shared" si="9"/>
        <v>28.400000000000002</v>
      </c>
      <c r="P23" s="14">
        <v>18</v>
      </c>
      <c r="Q23" s="15">
        <f t="shared" si="10"/>
        <v>0.44848484848484849</v>
      </c>
      <c r="R23" s="16">
        <f t="shared" si="7"/>
        <v>1.166060606060606</v>
      </c>
      <c r="S23" s="16">
        <f t="shared" si="4"/>
        <v>-0.766060606060606</v>
      </c>
      <c r="T23" s="20">
        <f t="shared" si="8"/>
        <v>38.150909090909096</v>
      </c>
      <c r="V23">
        <v>1391</v>
      </c>
      <c r="W23">
        <f t="shared" si="1"/>
        <v>91.51315789473685</v>
      </c>
      <c r="X23">
        <f t="shared" si="5"/>
        <v>21145.400000000005</v>
      </c>
      <c r="AA23">
        <v>12.365430962693701</v>
      </c>
    </row>
    <row r="24" spans="1:27" x14ac:dyDescent="0.25">
      <c r="A24" s="117"/>
      <c r="B24" s="12"/>
      <c r="C24" s="13">
        <v>41538</v>
      </c>
      <c r="D24">
        <v>14.8</v>
      </c>
      <c r="E24">
        <v>9.3000000000000007</v>
      </c>
      <c r="F24">
        <v>20</v>
      </c>
      <c r="G24">
        <f t="shared" si="6"/>
        <v>302.90000000000003</v>
      </c>
      <c r="J24">
        <v>0</v>
      </c>
      <c r="K24">
        <f t="shared" si="2"/>
        <v>49.3</v>
      </c>
      <c r="L24">
        <v>2</v>
      </c>
      <c r="M24">
        <f t="shared" si="3"/>
        <v>47.900000000000006</v>
      </c>
      <c r="N24" s="9">
        <f t="shared" si="0"/>
        <v>-2</v>
      </c>
      <c r="O24" s="19">
        <f t="shared" si="9"/>
        <v>26.400000000000002</v>
      </c>
      <c r="P24" s="14">
        <v>19</v>
      </c>
      <c r="Q24" s="15">
        <f t="shared" si="10"/>
        <v>0.45833333333333331</v>
      </c>
      <c r="R24" s="16">
        <f t="shared" si="7"/>
        <v>0.91666666666666663</v>
      </c>
      <c r="S24" s="16">
        <f t="shared" si="4"/>
        <v>-0.91666666666666663</v>
      </c>
      <c r="T24" s="20">
        <f t="shared" si="8"/>
        <v>37.234242424242431</v>
      </c>
      <c r="V24">
        <v>1355.6</v>
      </c>
      <c r="W24">
        <f t="shared" si="1"/>
        <v>91.594594594594582</v>
      </c>
      <c r="X24">
        <f t="shared" si="5"/>
        <v>22501.000000000004</v>
      </c>
      <c r="AA24">
        <v>12.309957000210501</v>
      </c>
    </row>
    <row r="25" spans="1:27" x14ac:dyDescent="0.25">
      <c r="A25" s="117"/>
      <c r="B25" s="12"/>
      <c r="C25" s="13">
        <v>41539</v>
      </c>
      <c r="D25">
        <v>16.7</v>
      </c>
      <c r="E25">
        <v>10.9</v>
      </c>
      <c r="F25">
        <v>22.4</v>
      </c>
      <c r="G25">
        <f t="shared" si="6"/>
        <v>319.60000000000002</v>
      </c>
      <c r="J25">
        <v>0</v>
      </c>
      <c r="K25">
        <f t="shared" si="2"/>
        <v>49.3</v>
      </c>
      <c r="L25">
        <v>3.1</v>
      </c>
      <c r="M25">
        <f t="shared" si="3"/>
        <v>51.000000000000007</v>
      </c>
      <c r="N25" s="9">
        <f t="shared" si="0"/>
        <v>-3.1</v>
      </c>
      <c r="O25" s="19">
        <f t="shared" si="9"/>
        <v>23.3</v>
      </c>
      <c r="P25" s="14">
        <v>20</v>
      </c>
      <c r="Q25" s="15">
        <f t="shared" si="10"/>
        <v>0.46818181818181814</v>
      </c>
      <c r="R25" s="16">
        <f t="shared" si="7"/>
        <v>1.4513636363636362</v>
      </c>
      <c r="S25" s="16">
        <f t="shared" si="4"/>
        <v>-1.4513636363636362</v>
      </c>
      <c r="T25" s="20">
        <f t="shared" si="8"/>
        <v>35.782878787878794</v>
      </c>
      <c r="V25">
        <v>1685.6</v>
      </c>
      <c r="W25">
        <f t="shared" si="1"/>
        <v>100.93413173652695</v>
      </c>
      <c r="X25">
        <f t="shared" si="5"/>
        <v>24186.600000000002</v>
      </c>
      <c r="AA25">
        <v>12.254453520596099</v>
      </c>
    </row>
    <row r="26" spans="1:27" x14ac:dyDescent="0.25">
      <c r="A26" s="117"/>
      <c r="B26" s="12"/>
      <c r="C26" s="13">
        <v>41540</v>
      </c>
      <c r="D26">
        <v>17.3</v>
      </c>
      <c r="E26">
        <v>13.6</v>
      </c>
      <c r="F26">
        <v>21.6</v>
      </c>
      <c r="G26">
        <f t="shared" si="6"/>
        <v>336.90000000000003</v>
      </c>
      <c r="J26">
        <v>0</v>
      </c>
      <c r="K26">
        <f t="shared" si="2"/>
        <v>49.3</v>
      </c>
      <c r="L26">
        <v>3.4</v>
      </c>
      <c r="M26">
        <f t="shared" si="3"/>
        <v>54.400000000000006</v>
      </c>
      <c r="N26" s="9">
        <f t="shared" si="0"/>
        <v>-3.4</v>
      </c>
      <c r="O26" s="19">
        <f t="shared" si="9"/>
        <v>19.900000000000002</v>
      </c>
      <c r="P26" s="14">
        <v>21</v>
      </c>
      <c r="Q26" s="15">
        <f t="shared" si="10"/>
        <v>0.47803030303030303</v>
      </c>
      <c r="R26" s="16">
        <f t="shared" si="7"/>
        <v>1.6253030303030302</v>
      </c>
      <c r="S26" s="16">
        <f t="shared" si="4"/>
        <v>-1.6253030303030302</v>
      </c>
      <c r="T26" s="20">
        <f t="shared" si="8"/>
        <v>34.157575757575763</v>
      </c>
      <c r="V26">
        <v>1691.7</v>
      </c>
      <c r="W26">
        <f t="shared" si="1"/>
        <v>97.786127167630056</v>
      </c>
      <c r="X26">
        <f t="shared" si="5"/>
        <v>25878.300000000003</v>
      </c>
      <c r="AA26">
        <v>12.1989259722989</v>
      </c>
    </row>
    <row r="27" spans="1:27" x14ac:dyDescent="0.25">
      <c r="A27" s="117"/>
      <c r="B27" s="12"/>
      <c r="C27" s="13">
        <v>41541</v>
      </c>
      <c r="D27">
        <v>17.399999999999999</v>
      </c>
      <c r="E27">
        <v>10.6</v>
      </c>
      <c r="F27">
        <v>24.7</v>
      </c>
      <c r="G27">
        <f t="shared" si="6"/>
        <v>354.3</v>
      </c>
      <c r="J27">
        <v>0</v>
      </c>
      <c r="K27">
        <f t="shared" si="2"/>
        <v>49.3</v>
      </c>
      <c r="L27">
        <v>3.3</v>
      </c>
      <c r="M27">
        <f t="shared" si="3"/>
        <v>57.7</v>
      </c>
      <c r="N27" s="9">
        <f t="shared" si="0"/>
        <v>-3.3</v>
      </c>
      <c r="O27" s="19">
        <f t="shared" si="9"/>
        <v>16.600000000000001</v>
      </c>
      <c r="P27" s="14">
        <v>22</v>
      </c>
      <c r="Q27" s="15">
        <f t="shared" si="10"/>
        <v>0.48787878787878786</v>
      </c>
      <c r="R27" s="16">
        <f t="shared" si="7"/>
        <v>1.6099999999999999</v>
      </c>
      <c r="S27" s="16">
        <f t="shared" si="4"/>
        <v>-1.6099999999999999</v>
      </c>
      <c r="T27" s="20">
        <f t="shared" si="8"/>
        <v>32.547575757575764</v>
      </c>
      <c r="V27">
        <v>1824.4</v>
      </c>
      <c r="W27">
        <f t="shared" si="1"/>
        <v>104.85057471264369</v>
      </c>
      <c r="X27">
        <f t="shared" si="5"/>
        <v>27702.700000000004</v>
      </c>
      <c r="AA27">
        <v>12.1433798012499</v>
      </c>
    </row>
    <row r="28" spans="1:27" x14ac:dyDescent="0.25">
      <c r="A28" s="117"/>
      <c r="B28" s="12"/>
      <c r="C28" s="13">
        <v>41542</v>
      </c>
      <c r="D28">
        <v>18.600000000000001</v>
      </c>
      <c r="E28">
        <v>11.9</v>
      </c>
      <c r="F28" s="11">
        <v>25.2</v>
      </c>
      <c r="G28">
        <f t="shared" si="6"/>
        <v>372.90000000000003</v>
      </c>
      <c r="J28">
        <v>0</v>
      </c>
      <c r="K28">
        <f t="shared" si="2"/>
        <v>49.3</v>
      </c>
      <c r="L28">
        <v>1.6</v>
      </c>
      <c r="M28">
        <f t="shared" si="3"/>
        <v>59.300000000000004</v>
      </c>
      <c r="N28" s="9">
        <f t="shared" si="0"/>
        <v>-1.6</v>
      </c>
      <c r="O28" s="19">
        <f t="shared" si="9"/>
        <v>15.000000000000002</v>
      </c>
      <c r="P28" s="14">
        <v>23</v>
      </c>
      <c r="Q28" s="15">
        <f t="shared" si="10"/>
        <v>0.49772727272727268</v>
      </c>
      <c r="R28" s="16">
        <f t="shared" si="7"/>
        <v>0.79636363636363638</v>
      </c>
      <c r="S28" s="16">
        <f t="shared" si="4"/>
        <v>-0.79636363636363638</v>
      </c>
      <c r="T28" s="20">
        <f t="shared" si="8"/>
        <v>31.751212121212127</v>
      </c>
      <c r="V28">
        <v>972.6</v>
      </c>
      <c r="W28">
        <f t="shared" si="1"/>
        <v>52.29032258064516</v>
      </c>
      <c r="X28">
        <f t="shared" si="5"/>
        <v>28675.300000000003</v>
      </c>
      <c r="AA28">
        <v>12.087820466473699</v>
      </c>
    </row>
    <row r="29" spans="1:27" x14ac:dyDescent="0.25">
      <c r="A29" s="117"/>
      <c r="B29" s="12"/>
      <c r="C29" s="13">
        <v>41543</v>
      </c>
      <c r="D29">
        <v>19.8</v>
      </c>
      <c r="E29">
        <v>16.100000000000001</v>
      </c>
      <c r="F29">
        <v>24.6</v>
      </c>
      <c r="G29">
        <f t="shared" si="6"/>
        <v>392.70000000000005</v>
      </c>
      <c r="J29">
        <v>0.6</v>
      </c>
      <c r="K29">
        <f t="shared" si="2"/>
        <v>49.9</v>
      </c>
      <c r="L29">
        <v>1.4</v>
      </c>
      <c r="M29">
        <f t="shared" si="3"/>
        <v>60.7</v>
      </c>
      <c r="N29" s="9">
        <f t="shared" si="0"/>
        <v>-0.79999999999999993</v>
      </c>
      <c r="O29" s="19">
        <f t="shared" si="9"/>
        <v>14.200000000000001</v>
      </c>
      <c r="P29" s="14">
        <v>24</v>
      </c>
      <c r="Q29" s="15">
        <f t="shared" si="10"/>
        <v>0.50757575757575757</v>
      </c>
      <c r="R29" s="16">
        <f t="shared" si="7"/>
        <v>0.71060606060606057</v>
      </c>
      <c r="S29" s="16">
        <f t="shared" si="4"/>
        <v>-0.1106060606060606</v>
      </c>
      <c r="T29" s="20">
        <f t="shared" si="8"/>
        <v>31.640606060606068</v>
      </c>
      <c r="V29" s="21">
        <v>781.6</v>
      </c>
      <c r="W29">
        <f t="shared" si="1"/>
        <v>39.474747474747474</v>
      </c>
      <c r="X29">
        <f t="shared" si="5"/>
        <v>29456.9</v>
      </c>
      <c r="AA29">
        <v>12.0322534557853</v>
      </c>
    </row>
    <row r="30" spans="1:27" x14ac:dyDescent="0.25">
      <c r="A30" s="117"/>
      <c r="B30" s="12"/>
      <c r="C30" s="13">
        <v>41544</v>
      </c>
      <c r="D30">
        <v>20.7</v>
      </c>
      <c r="E30">
        <v>15.2</v>
      </c>
      <c r="F30" s="11">
        <v>25.3</v>
      </c>
      <c r="G30">
        <f t="shared" si="6"/>
        <v>413.40000000000003</v>
      </c>
      <c r="J30">
        <v>0.9</v>
      </c>
      <c r="K30">
        <f t="shared" si="2"/>
        <v>50.8</v>
      </c>
      <c r="L30">
        <v>2.6</v>
      </c>
      <c r="M30">
        <f t="shared" si="3"/>
        <v>63.300000000000004</v>
      </c>
      <c r="N30" s="9">
        <f t="shared" si="0"/>
        <v>-1.7000000000000002</v>
      </c>
      <c r="O30" s="19">
        <f t="shared" si="9"/>
        <v>12.5</v>
      </c>
      <c r="P30" s="14">
        <v>25</v>
      </c>
      <c r="Q30" s="15">
        <f t="shared" si="10"/>
        <v>0.51742424242424234</v>
      </c>
      <c r="R30" s="16">
        <f t="shared" si="7"/>
        <v>1.3453030303030302</v>
      </c>
      <c r="S30" s="16">
        <f t="shared" si="4"/>
        <v>-0.4453030303030302</v>
      </c>
      <c r="T30" s="20">
        <f t="shared" si="8"/>
        <v>31.195303030303037</v>
      </c>
      <c r="V30">
        <v>1346.9</v>
      </c>
      <c r="W30">
        <f t="shared" si="1"/>
        <v>65.067632850241552</v>
      </c>
      <c r="X30">
        <f t="shared" si="5"/>
        <v>30803.800000000003</v>
      </c>
      <c r="AA30">
        <v>11.9766843015777</v>
      </c>
    </row>
    <row r="31" spans="1:27" x14ac:dyDescent="0.25">
      <c r="A31" s="117"/>
      <c r="B31" s="12"/>
      <c r="C31" s="13">
        <v>41545</v>
      </c>
      <c r="D31">
        <v>19.3</v>
      </c>
      <c r="E31">
        <v>17.7</v>
      </c>
      <c r="F31">
        <v>23</v>
      </c>
      <c r="G31">
        <f t="shared" si="6"/>
        <v>432.70000000000005</v>
      </c>
      <c r="J31">
        <v>4</v>
      </c>
      <c r="K31">
        <f t="shared" si="2"/>
        <v>54.8</v>
      </c>
      <c r="L31">
        <v>1.2</v>
      </c>
      <c r="M31">
        <f t="shared" si="3"/>
        <v>64.5</v>
      </c>
      <c r="N31">
        <f t="shared" si="0"/>
        <v>2.8</v>
      </c>
      <c r="O31" s="19">
        <f t="shared" si="9"/>
        <v>15.3</v>
      </c>
      <c r="P31" s="14">
        <v>26</v>
      </c>
      <c r="Q31" s="15">
        <f t="shared" si="10"/>
        <v>0.52727272727272723</v>
      </c>
      <c r="R31" s="16">
        <f t="shared" si="7"/>
        <v>0.63272727272727269</v>
      </c>
      <c r="S31" s="16">
        <f t="shared" si="4"/>
        <v>3.3672727272727272</v>
      </c>
      <c r="T31" s="20">
        <f t="shared" si="8"/>
        <v>34.562575757575765</v>
      </c>
      <c r="V31" s="21">
        <v>387.9</v>
      </c>
      <c r="W31">
        <f t="shared" si="1"/>
        <v>20.098445595854919</v>
      </c>
      <c r="X31">
        <f t="shared" si="5"/>
        <v>31191.700000000004</v>
      </c>
      <c r="AA31">
        <v>11.921118596703099</v>
      </c>
    </row>
    <row r="32" spans="1:27" x14ac:dyDescent="0.25">
      <c r="A32" s="117"/>
      <c r="B32" s="12"/>
      <c r="C32" s="13">
        <v>41546</v>
      </c>
      <c r="D32">
        <v>17.2</v>
      </c>
      <c r="E32">
        <v>15.4</v>
      </c>
      <c r="F32">
        <v>20.5</v>
      </c>
      <c r="G32">
        <f t="shared" si="6"/>
        <v>449.90000000000003</v>
      </c>
      <c r="J32">
        <v>3.4</v>
      </c>
      <c r="K32">
        <f t="shared" si="2"/>
        <v>58.199999999999996</v>
      </c>
      <c r="L32">
        <v>1.2</v>
      </c>
      <c r="M32">
        <f t="shared" si="3"/>
        <v>65.7</v>
      </c>
      <c r="N32">
        <f t="shared" si="0"/>
        <v>2.2000000000000002</v>
      </c>
      <c r="O32" s="19">
        <f t="shared" si="9"/>
        <v>17.5</v>
      </c>
      <c r="P32" s="14">
        <v>27</v>
      </c>
      <c r="Q32" s="15">
        <f t="shared" si="10"/>
        <v>0.53712121212121211</v>
      </c>
      <c r="R32" s="16">
        <f t="shared" si="7"/>
        <v>0.64454545454545453</v>
      </c>
      <c r="S32" s="16">
        <f t="shared" si="4"/>
        <v>2.7554545454545454</v>
      </c>
      <c r="T32" s="20">
        <f t="shared" si="8"/>
        <v>37.318030303030312</v>
      </c>
      <c r="V32" s="21">
        <v>561.70000000000005</v>
      </c>
      <c r="W32">
        <f t="shared" si="1"/>
        <v>32.656976744186053</v>
      </c>
      <c r="X32">
        <f t="shared" si="5"/>
        <v>31753.400000000005</v>
      </c>
      <c r="AA32">
        <v>11.8655620104504</v>
      </c>
    </row>
    <row r="33" spans="1:27" x14ac:dyDescent="0.25">
      <c r="A33" s="117"/>
      <c r="B33" s="12"/>
      <c r="C33" s="13">
        <v>41547</v>
      </c>
      <c r="D33">
        <v>16.399999999999999</v>
      </c>
      <c r="E33">
        <v>15.2</v>
      </c>
      <c r="F33">
        <v>18.7</v>
      </c>
      <c r="G33">
        <f t="shared" si="6"/>
        <v>466.3</v>
      </c>
      <c r="J33">
        <v>0</v>
      </c>
      <c r="K33">
        <f t="shared" si="2"/>
        <v>58.199999999999996</v>
      </c>
      <c r="L33">
        <v>1.5</v>
      </c>
      <c r="M33">
        <f t="shared" si="3"/>
        <v>67.2</v>
      </c>
      <c r="N33" s="9">
        <f t="shared" si="0"/>
        <v>-1.5</v>
      </c>
      <c r="O33" s="19">
        <f t="shared" si="9"/>
        <v>16</v>
      </c>
      <c r="P33" s="14">
        <v>28</v>
      </c>
      <c r="Q33" s="15">
        <f t="shared" si="10"/>
        <v>0.54696969696969699</v>
      </c>
      <c r="R33" s="16">
        <f t="shared" si="7"/>
        <v>0.82045454545454555</v>
      </c>
      <c r="S33" s="16">
        <f t="shared" si="4"/>
        <v>-0.82045454545454555</v>
      </c>
      <c r="T33" s="20">
        <f t="shared" si="8"/>
        <v>36.497575757575767</v>
      </c>
      <c r="V33" s="21">
        <v>751.2</v>
      </c>
      <c r="W33">
        <f t="shared" si="1"/>
        <v>45.804878048780495</v>
      </c>
      <c r="X33">
        <f t="shared" si="5"/>
        <v>32504.600000000006</v>
      </c>
      <c r="AA33">
        <v>11.8100203046213</v>
      </c>
    </row>
    <row r="34" spans="1:27" x14ac:dyDescent="0.25">
      <c r="A34" s="117"/>
      <c r="B34" s="12"/>
      <c r="C34" s="13">
        <v>41548</v>
      </c>
      <c r="D34">
        <v>16.8</v>
      </c>
      <c r="E34">
        <v>13.7</v>
      </c>
      <c r="F34">
        <v>20.100000000000001</v>
      </c>
      <c r="G34">
        <f t="shared" si="6"/>
        <v>483.1</v>
      </c>
      <c r="J34">
        <v>0.1</v>
      </c>
      <c r="K34">
        <f t="shared" si="2"/>
        <v>58.3</v>
      </c>
      <c r="L34">
        <v>1.7</v>
      </c>
      <c r="M34">
        <f t="shared" si="3"/>
        <v>68.900000000000006</v>
      </c>
      <c r="N34" s="9">
        <f t="shared" si="0"/>
        <v>-1.5999999999999999</v>
      </c>
      <c r="O34" s="19">
        <f t="shared" si="9"/>
        <v>14.4</v>
      </c>
      <c r="P34" s="14">
        <v>29</v>
      </c>
      <c r="Q34" s="15">
        <f t="shared" si="10"/>
        <v>0.55681818181818177</v>
      </c>
      <c r="R34" s="16">
        <f t="shared" si="7"/>
        <v>0.94659090909090893</v>
      </c>
      <c r="S34" s="16">
        <f t="shared" si="4"/>
        <v>-0.84659090909090895</v>
      </c>
      <c r="T34" s="20">
        <f t="shared" si="8"/>
        <v>35.65098484848486</v>
      </c>
      <c r="V34" s="21">
        <v>891.7</v>
      </c>
      <c r="W34">
        <f t="shared" si="1"/>
        <v>53.077380952380956</v>
      </c>
      <c r="X34">
        <f t="shared" si="5"/>
        <v>33396.300000000003</v>
      </c>
      <c r="AA34">
        <v>11.754499349708199</v>
      </c>
    </row>
    <row r="35" spans="1:27" x14ac:dyDescent="0.25">
      <c r="A35" s="117"/>
      <c r="B35" s="12"/>
      <c r="C35" s="13">
        <v>41549</v>
      </c>
      <c r="D35">
        <v>18.3</v>
      </c>
      <c r="E35">
        <v>13.6</v>
      </c>
      <c r="F35">
        <v>22.1</v>
      </c>
      <c r="G35">
        <f t="shared" si="6"/>
        <v>501.40000000000003</v>
      </c>
      <c r="J35">
        <v>0.2</v>
      </c>
      <c r="K35">
        <f t="shared" si="2"/>
        <v>58.5</v>
      </c>
      <c r="L35">
        <v>1.1000000000000001</v>
      </c>
      <c r="M35">
        <f t="shared" si="3"/>
        <v>70</v>
      </c>
      <c r="N35" s="9">
        <f t="shared" si="0"/>
        <v>-0.90000000000000013</v>
      </c>
      <c r="O35" s="19">
        <f t="shared" si="9"/>
        <v>13.5</v>
      </c>
      <c r="P35" s="14">
        <v>30</v>
      </c>
      <c r="Q35" s="15">
        <f t="shared" si="10"/>
        <v>0.56666666666666665</v>
      </c>
      <c r="R35" s="16">
        <f t="shared" si="7"/>
        <v>0.62333333333333341</v>
      </c>
      <c r="S35" s="16">
        <f t="shared" si="4"/>
        <v>-0.42333333333333339</v>
      </c>
      <c r="T35" s="20">
        <f t="shared" si="8"/>
        <v>35.227651515151528</v>
      </c>
      <c r="V35" s="21">
        <v>770.5</v>
      </c>
      <c r="W35">
        <f t="shared" si="1"/>
        <v>42.103825136612024</v>
      </c>
      <c r="X35">
        <f t="shared" si="5"/>
        <v>34166.800000000003</v>
      </c>
      <c r="AA35">
        <v>11.699005141172901</v>
      </c>
    </row>
    <row r="36" spans="1:27" x14ac:dyDescent="0.25">
      <c r="A36" s="117"/>
      <c r="B36" s="12"/>
      <c r="C36" s="13">
        <v>41550</v>
      </c>
      <c r="D36">
        <v>20</v>
      </c>
      <c r="E36">
        <v>16.3</v>
      </c>
      <c r="F36">
        <v>23.5</v>
      </c>
      <c r="G36">
        <f t="shared" si="6"/>
        <v>521.40000000000009</v>
      </c>
      <c r="J36">
        <v>0</v>
      </c>
      <c r="K36">
        <f t="shared" si="2"/>
        <v>58.5</v>
      </c>
      <c r="L36">
        <v>1.5</v>
      </c>
      <c r="M36">
        <f t="shared" si="3"/>
        <v>71.5</v>
      </c>
      <c r="N36" s="9">
        <f t="shared" si="0"/>
        <v>-1.5</v>
      </c>
      <c r="O36" s="19">
        <f t="shared" si="9"/>
        <v>12</v>
      </c>
      <c r="P36" s="14">
        <v>31</v>
      </c>
      <c r="Q36" s="15">
        <f t="shared" si="10"/>
        <v>0.57651515151515154</v>
      </c>
      <c r="R36" s="16">
        <f t="shared" si="7"/>
        <v>0.86477272727272725</v>
      </c>
      <c r="S36" s="16">
        <f t="shared" si="4"/>
        <v>-0.86477272727272725</v>
      </c>
      <c r="T36" s="20">
        <f t="shared" si="8"/>
        <v>34.362878787878799</v>
      </c>
      <c r="V36" s="21">
        <v>505.7</v>
      </c>
      <c r="W36">
        <f t="shared" si="1"/>
        <v>25.285</v>
      </c>
      <c r="X36">
        <f t="shared" si="5"/>
        <v>34672.5</v>
      </c>
      <c r="AA36">
        <v>11.6435438158283</v>
      </c>
    </row>
    <row r="37" spans="1:27" x14ac:dyDescent="0.25">
      <c r="A37" s="117"/>
      <c r="B37" s="12"/>
      <c r="C37" s="13">
        <v>41551</v>
      </c>
      <c r="D37">
        <v>18.2</v>
      </c>
      <c r="E37">
        <v>17.600000000000001</v>
      </c>
      <c r="F37">
        <v>19.8</v>
      </c>
      <c r="G37">
        <f t="shared" si="6"/>
        <v>539.60000000000014</v>
      </c>
      <c r="J37">
        <v>18.5</v>
      </c>
      <c r="K37">
        <f t="shared" si="2"/>
        <v>77</v>
      </c>
      <c r="L37">
        <v>1.3</v>
      </c>
      <c r="M37">
        <f t="shared" si="3"/>
        <v>72.8</v>
      </c>
      <c r="N37">
        <f t="shared" si="0"/>
        <v>17.2</v>
      </c>
      <c r="O37" s="19">
        <f t="shared" si="9"/>
        <v>29.2</v>
      </c>
      <c r="P37" s="14">
        <v>32</v>
      </c>
      <c r="Q37" s="15">
        <f t="shared" si="10"/>
        <v>0.58636363636363642</v>
      </c>
      <c r="R37" s="16">
        <f t="shared" si="7"/>
        <v>0.76227272727272732</v>
      </c>
      <c r="S37" s="16">
        <f t="shared" si="4"/>
        <v>17.737727272727273</v>
      </c>
      <c r="T37" s="20">
        <f t="shared" si="8"/>
        <v>52.100606060606069</v>
      </c>
      <c r="V37" s="21">
        <v>535.20000000000005</v>
      </c>
      <c r="W37">
        <f t="shared" si="1"/>
        <v>29.406593406593409</v>
      </c>
      <c r="X37">
        <f t="shared" si="5"/>
        <v>35207.699999999997</v>
      </c>
      <c r="AA37">
        <v>11.588121668320399</v>
      </c>
    </row>
    <row r="38" spans="1:27" x14ac:dyDescent="0.25">
      <c r="A38" s="117"/>
      <c r="B38" s="12"/>
      <c r="C38" s="13">
        <v>41552</v>
      </c>
      <c r="D38">
        <v>15.3</v>
      </c>
      <c r="E38">
        <v>15.2</v>
      </c>
      <c r="F38">
        <v>17.2</v>
      </c>
      <c r="G38">
        <f t="shared" si="6"/>
        <v>554.90000000000009</v>
      </c>
      <c r="J38">
        <v>0.2</v>
      </c>
      <c r="K38">
        <f t="shared" si="2"/>
        <v>77.2</v>
      </c>
      <c r="L38">
        <v>1.8</v>
      </c>
      <c r="M38">
        <f t="shared" si="3"/>
        <v>74.599999999999994</v>
      </c>
      <c r="N38" s="9">
        <f t="shared" si="0"/>
        <v>-1.6</v>
      </c>
      <c r="O38" s="19">
        <f t="shared" si="9"/>
        <v>27.599999999999998</v>
      </c>
      <c r="P38" s="14">
        <v>33</v>
      </c>
      <c r="Q38" s="15">
        <f t="shared" si="10"/>
        <v>0.59621212121212119</v>
      </c>
      <c r="R38" s="16">
        <f t="shared" si="7"/>
        <v>1.0731818181818182</v>
      </c>
      <c r="S38" s="16">
        <f t="shared" si="4"/>
        <v>-0.87318181818181828</v>
      </c>
      <c r="T38" s="20">
        <f t="shared" si="8"/>
        <v>51.227424242424249</v>
      </c>
      <c r="V38">
        <v>1041.4000000000001</v>
      </c>
      <c r="W38">
        <f t="shared" si="1"/>
        <v>68.06535947712419</v>
      </c>
      <c r="X38">
        <f t="shared" si="5"/>
        <v>36249.1</v>
      </c>
      <c r="AA38">
        <v>11.5327451677094</v>
      </c>
    </row>
    <row r="39" spans="1:27" x14ac:dyDescent="0.25">
      <c r="A39" s="117"/>
      <c r="B39" s="12"/>
      <c r="C39" s="13">
        <v>41553</v>
      </c>
      <c r="D39">
        <v>13.4</v>
      </c>
      <c r="E39">
        <v>11.7</v>
      </c>
      <c r="F39">
        <v>15.5</v>
      </c>
      <c r="G39">
        <f t="shared" si="6"/>
        <v>568.30000000000007</v>
      </c>
      <c r="J39">
        <v>0.2</v>
      </c>
      <c r="K39">
        <f t="shared" si="2"/>
        <v>77.400000000000006</v>
      </c>
      <c r="L39">
        <v>0.8</v>
      </c>
      <c r="M39">
        <f t="shared" si="3"/>
        <v>75.399999999999991</v>
      </c>
      <c r="N39" s="9">
        <f t="shared" si="0"/>
        <v>-0.60000000000000009</v>
      </c>
      <c r="O39" s="19">
        <f t="shared" si="9"/>
        <v>26.999999999999996</v>
      </c>
      <c r="P39" s="14">
        <v>34</v>
      </c>
      <c r="Q39" s="15">
        <f t="shared" si="10"/>
        <v>0.60606060606060597</v>
      </c>
      <c r="R39" s="16">
        <f t="shared" si="7"/>
        <v>0.48484848484848481</v>
      </c>
      <c r="S39" s="16">
        <f t="shared" si="4"/>
        <v>-0.2848484848484848</v>
      </c>
      <c r="T39" s="20">
        <f t="shared" si="8"/>
        <v>50.942575757575767</v>
      </c>
      <c r="V39" s="21">
        <v>550.6</v>
      </c>
      <c r="W39">
        <f t="shared" si="1"/>
        <v>41.089552238805972</v>
      </c>
      <c r="X39">
        <f t="shared" si="5"/>
        <v>36799.699999999997</v>
      </c>
      <c r="AA39">
        <v>11.4774209741457</v>
      </c>
    </row>
    <row r="40" spans="1:27" x14ac:dyDescent="0.25">
      <c r="A40" s="117"/>
      <c r="B40" s="12"/>
      <c r="C40" s="13">
        <v>41554</v>
      </c>
      <c r="D40">
        <v>13.7</v>
      </c>
      <c r="E40">
        <v>8.8000000000000007</v>
      </c>
      <c r="F40">
        <v>17.5</v>
      </c>
      <c r="G40">
        <f t="shared" si="6"/>
        <v>582.00000000000011</v>
      </c>
      <c r="J40">
        <v>0</v>
      </c>
      <c r="K40">
        <f t="shared" si="2"/>
        <v>77.400000000000006</v>
      </c>
      <c r="L40">
        <v>1.5</v>
      </c>
      <c r="M40">
        <f t="shared" si="3"/>
        <v>76.899999999999991</v>
      </c>
      <c r="N40" s="9">
        <f t="shared" si="0"/>
        <v>-1.5</v>
      </c>
      <c r="O40" s="19">
        <f t="shared" si="9"/>
        <v>25.499999999999996</v>
      </c>
      <c r="P40" s="14">
        <v>35</v>
      </c>
      <c r="Q40" s="15">
        <f t="shared" si="10"/>
        <v>0.61590909090909096</v>
      </c>
      <c r="R40" s="16">
        <f t="shared" si="7"/>
        <v>0.92386363636363644</v>
      </c>
      <c r="S40" s="16">
        <f t="shared" si="4"/>
        <v>-0.92386363636363644</v>
      </c>
      <c r="T40" s="20">
        <f t="shared" si="8"/>
        <v>50.018712121212133</v>
      </c>
      <c r="V40">
        <v>1068.2</v>
      </c>
      <c r="W40">
        <f t="shared" si="1"/>
        <v>77.970802919708035</v>
      </c>
      <c r="X40">
        <f t="shared" si="5"/>
        <v>37867.899999999994</v>
      </c>
      <c r="AA40">
        <v>11.4221559556354</v>
      </c>
    </row>
    <row r="41" spans="1:27" x14ac:dyDescent="0.25">
      <c r="A41" s="117"/>
      <c r="B41" s="12"/>
      <c r="C41" s="13">
        <v>41555</v>
      </c>
      <c r="D41">
        <v>14.6</v>
      </c>
      <c r="E41">
        <v>13.4</v>
      </c>
      <c r="F41">
        <v>15.7</v>
      </c>
      <c r="G41">
        <f t="shared" si="6"/>
        <v>596.60000000000014</v>
      </c>
      <c r="J41">
        <v>0</v>
      </c>
      <c r="K41">
        <f t="shared" si="2"/>
        <v>77.400000000000006</v>
      </c>
      <c r="L41">
        <v>0.9</v>
      </c>
      <c r="M41">
        <f t="shared" si="3"/>
        <v>77.8</v>
      </c>
      <c r="N41" s="9">
        <f t="shared" si="0"/>
        <v>-0.9</v>
      </c>
      <c r="O41" s="19">
        <f t="shared" si="9"/>
        <v>24.599999999999998</v>
      </c>
      <c r="P41" s="14">
        <v>36</v>
      </c>
      <c r="Q41" s="15">
        <f t="shared" si="10"/>
        <v>0.62575757575757573</v>
      </c>
      <c r="R41" s="16">
        <f t="shared" si="7"/>
        <v>0.56318181818181823</v>
      </c>
      <c r="S41" s="16">
        <f t="shared" si="4"/>
        <v>-0.56318181818181823</v>
      </c>
      <c r="T41" s="20">
        <f t="shared" si="8"/>
        <v>49.455530303030315</v>
      </c>
      <c r="V41" s="21">
        <v>482.1</v>
      </c>
      <c r="W41">
        <f t="shared" si="1"/>
        <v>33.020547945205479</v>
      </c>
      <c r="X41">
        <f t="shared" si="5"/>
        <v>38349.999999999993</v>
      </c>
      <c r="AA41">
        <v>11.3669572048881</v>
      </c>
    </row>
    <row r="42" spans="1:27" x14ac:dyDescent="0.25">
      <c r="A42" s="117"/>
      <c r="B42" s="12"/>
      <c r="C42" s="13">
        <v>41556</v>
      </c>
      <c r="D42">
        <v>15.1</v>
      </c>
      <c r="E42">
        <v>12.4</v>
      </c>
      <c r="F42">
        <v>18.100000000000001</v>
      </c>
      <c r="G42">
        <f t="shared" si="6"/>
        <v>611.70000000000016</v>
      </c>
      <c r="J42">
        <v>0.3</v>
      </c>
      <c r="K42">
        <f t="shared" si="2"/>
        <v>77.7</v>
      </c>
      <c r="L42">
        <v>1.8</v>
      </c>
      <c r="M42">
        <f t="shared" si="3"/>
        <v>79.599999999999994</v>
      </c>
      <c r="N42" s="9">
        <f t="shared" si="0"/>
        <v>-1.5</v>
      </c>
      <c r="O42" s="19">
        <f t="shared" si="9"/>
        <v>23.099999999999998</v>
      </c>
      <c r="P42" s="14">
        <v>37</v>
      </c>
      <c r="Q42" s="15">
        <f t="shared" si="10"/>
        <v>0.63560606060606062</v>
      </c>
      <c r="R42" s="16">
        <f t="shared" si="7"/>
        <v>1.144090909090909</v>
      </c>
      <c r="S42" s="16">
        <f t="shared" si="4"/>
        <v>-0.844090909090909</v>
      </c>
      <c r="T42" s="20">
        <f t="shared" si="8"/>
        <v>48.611439393939406</v>
      </c>
      <c r="V42">
        <v>986.9</v>
      </c>
      <c r="W42">
        <f t="shared" si="1"/>
        <v>65.357615894039739</v>
      </c>
      <c r="X42">
        <f t="shared" si="5"/>
        <v>39336.899999999994</v>
      </c>
      <c r="AA42">
        <v>11.3118320562383</v>
      </c>
    </row>
    <row r="43" spans="1:27" x14ac:dyDescent="0.25">
      <c r="A43" s="117"/>
      <c r="B43" s="12"/>
      <c r="C43" s="13">
        <v>41557</v>
      </c>
      <c r="D43">
        <v>10.8</v>
      </c>
      <c r="E43">
        <v>10.6</v>
      </c>
      <c r="F43">
        <v>12.1</v>
      </c>
      <c r="G43">
        <f t="shared" si="6"/>
        <v>622.50000000000011</v>
      </c>
      <c r="J43">
        <v>0.7</v>
      </c>
      <c r="K43">
        <f t="shared" si="2"/>
        <v>78.400000000000006</v>
      </c>
      <c r="L43">
        <v>2.1</v>
      </c>
      <c r="M43">
        <f t="shared" si="3"/>
        <v>81.699999999999989</v>
      </c>
      <c r="N43" s="9">
        <f t="shared" si="0"/>
        <v>-1.4000000000000001</v>
      </c>
      <c r="O43" s="19">
        <f t="shared" si="9"/>
        <v>21.7</v>
      </c>
      <c r="P43" s="14">
        <v>38</v>
      </c>
      <c r="Q43" s="15">
        <f t="shared" si="10"/>
        <v>0.6454545454545455</v>
      </c>
      <c r="R43" s="16">
        <f t="shared" si="7"/>
        <v>1.3554545454545457</v>
      </c>
      <c r="S43" s="16">
        <f t="shared" si="4"/>
        <v>-0.65545454545454573</v>
      </c>
      <c r="T43" s="20">
        <f t="shared" si="8"/>
        <v>47.95598484848486</v>
      </c>
      <c r="V43">
        <v>1107</v>
      </c>
      <c r="W43">
        <f t="shared" si="1"/>
        <v>102.5</v>
      </c>
      <c r="X43">
        <f t="shared" si="5"/>
        <v>40443.899999999994</v>
      </c>
      <c r="AA43">
        <v>11.2567881026278</v>
      </c>
    </row>
    <row r="44" spans="1:27" x14ac:dyDescent="0.25">
      <c r="A44" s="117"/>
      <c r="B44" s="12"/>
      <c r="C44" s="13">
        <v>41558</v>
      </c>
      <c r="D44">
        <v>8.5</v>
      </c>
      <c r="E44">
        <v>5.8</v>
      </c>
      <c r="F44">
        <v>11.2</v>
      </c>
      <c r="G44">
        <f t="shared" si="6"/>
        <v>631.00000000000011</v>
      </c>
      <c r="J44">
        <v>4.9000000000000004</v>
      </c>
      <c r="K44">
        <f t="shared" si="2"/>
        <v>83.300000000000011</v>
      </c>
      <c r="L44">
        <v>1</v>
      </c>
      <c r="M44">
        <f t="shared" si="3"/>
        <v>82.699999999999989</v>
      </c>
      <c r="N44">
        <f t="shared" si="0"/>
        <v>3.9000000000000004</v>
      </c>
      <c r="O44" s="19">
        <f t="shared" si="9"/>
        <v>25.6</v>
      </c>
      <c r="P44" s="14">
        <v>39</v>
      </c>
      <c r="Q44" s="15">
        <f t="shared" si="10"/>
        <v>0.65530303030303028</v>
      </c>
      <c r="R44" s="16">
        <f t="shared" si="7"/>
        <v>0.65530303030303028</v>
      </c>
      <c r="S44" s="16">
        <f t="shared" si="4"/>
        <v>4.2446969696969701</v>
      </c>
      <c r="T44" s="20">
        <f t="shared" si="8"/>
        <v>52.200681818181828</v>
      </c>
      <c r="V44" s="21">
        <v>660.9</v>
      </c>
      <c r="W44">
        <f t="shared" si="1"/>
        <v>77.752941176470586</v>
      </c>
      <c r="X44">
        <f t="shared" si="5"/>
        <v>41104.799999999996</v>
      </c>
      <c r="AA44">
        <v>11.2018332126361</v>
      </c>
    </row>
    <row r="45" spans="1:27" x14ac:dyDescent="0.25">
      <c r="A45" s="117"/>
      <c r="B45" s="12"/>
      <c r="C45" s="13">
        <v>41559</v>
      </c>
      <c r="D45">
        <v>6.6</v>
      </c>
      <c r="E45">
        <v>5.7</v>
      </c>
      <c r="F45">
        <v>9.1</v>
      </c>
      <c r="G45">
        <f t="shared" si="6"/>
        <v>637.60000000000014</v>
      </c>
      <c r="J45">
        <v>1.1000000000000001</v>
      </c>
      <c r="K45">
        <f t="shared" si="2"/>
        <v>84.4</v>
      </c>
      <c r="L45">
        <v>0.6</v>
      </c>
      <c r="M45">
        <f t="shared" si="3"/>
        <v>83.299999999999983</v>
      </c>
      <c r="N45">
        <f t="shared" si="0"/>
        <v>0.50000000000000011</v>
      </c>
      <c r="O45" s="19">
        <f t="shared" si="9"/>
        <v>26.1</v>
      </c>
      <c r="P45" s="14">
        <v>40</v>
      </c>
      <c r="Q45" s="15">
        <f t="shared" si="10"/>
        <v>0.66515151515151516</v>
      </c>
      <c r="R45" s="16">
        <f t="shared" si="7"/>
        <v>0.39909090909090911</v>
      </c>
      <c r="S45" s="16">
        <f t="shared" si="4"/>
        <v>0.70090909090909093</v>
      </c>
      <c r="T45" s="20">
        <f t="shared" si="8"/>
        <v>52.90159090909092</v>
      </c>
      <c r="V45" s="21">
        <v>345.5</v>
      </c>
      <c r="W45">
        <f t="shared" si="1"/>
        <v>52.348484848484851</v>
      </c>
      <c r="X45">
        <f t="shared" si="5"/>
        <v>41450.299999999996</v>
      </c>
      <c r="AA45">
        <v>11.146975547542199</v>
      </c>
    </row>
    <row r="46" spans="1:27" x14ac:dyDescent="0.25">
      <c r="A46" s="117"/>
      <c r="B46" s="12"/>
      <c r="C46" s="13">
        <v>41560</v>
      </c>
      <c r="D46">
        <v>7.6</v>
      </c>
      <c r="E46" s="24">
        <v>-0.2</v>
      </c>
      <c r="F46">
        <v>12.5</v>
      </c>
      <c r="G46">
        <f t="shared" si="6"/>
        <v>645.20000000000016</v>
      </c>
      <c r="J46">
        <v>2</v>
      </c>
      <c r="K46">
        <f t="shared" si="2"/>
        <v>86.4</v>
      </c>
      <c r="L46">
        <v>0.6</v>
      </c>
      <c r="M46">
        <f t="shared" si="3"/>
        <v>83.899999999999977</v>
      </c>
      <c r="N46">
        <f t="shared" si="0"/>
        <v>1.4</v>
      </c>
      <c r="O46" s="19">
        <f t="shared" si="9"/>
        <v>27.5</v>
      </c>
      <c r="P46" s="14">
        <v>41</v>
      </c>
      <c r="Q46" s="15">
        <f t="shared" si="10"/>
        <v>0.67500000000000004</v>
      </c>
      <c r="R46" s="16">
        <f t="shared" si="7"/>
        <v>0.40500000000000003</v>
      </c>
      <c r="S46" s="16">
        <f t="shared" si="4"/>
        <v>1.595</v>
      </c>
      <c r="T46" s="20">
        <f t="shared" si="8"/>
        <v>54.496590909090919</v>
      </c>
      <c r="V46" s="21">
        <v>648.20000000000005</v>
      </c>
      <c r="W46">
        <f t="shared" si="1"/>
        <v>85.289473684210535</v>
      </c>
      <c r="X46">
        <f t="shared" si="5"/>
        <v>42098.499999999993</v>
      </c>
      <c r="AA46">
        <v>11.0922235783974</v>
      </c>
    </row>
    <row r="47" spans="1:27" x14ac:dyDescent="0.25">
      <c r="A47" s="117"/>
      <c r="B47" s="12"/>
      <c r="C47" s="13">
        <v>41561</v>
      </c>
      <c r="D47">
        <v>13.7</v>
      </c>
      <c r="E47">
        <v>10.8</v>
      </c>
      <c r="F47">
        <v>15.7</v>
      </c>
      <c r="G47">
        <f t="shared" si="6"/>
        <v>658.9000000000002</v>
      </c>
      <c r="J47">
        <v>8.1999999999999993</v>
      </c>
      <c r="K47">
        <f t="shared" si="2"/>
        <v>94.600000000000009</v>
      </c>
      <c r="L47">
        <v>1</v>
      </c>
      <c r="M47">
        <f t="shared" si="3"/>
        <v>84.899999999999977</v>
      </c>
      <c r="N47">
        <f t="shared" si="0"/>
        <v>7.1999999999999993</v>
      </c>
      <c r="O47" s="19">
        <f t="shared" si="9"/>
        <v>34.700000000000003</v>
      </c>
      <c r="P47" s="14">
        <v>42</v>
      </c>
      <c r="Q47" s="15">
        <f t="shared" si="10"/>
        <v>0.68484848484848482</v>
      </c>
      <c r="R47" s="16">
        <f t="shared" si="7"/>
        <v>0.68484848484848482</v>
      </c>
      <c r="S47" s="16">
        <f t="shared" si="4"/>
        <v>7.5151515151515147</v>
      </c>
      <c r="T47" s="20">
        <f t="shared" si="8"/>
        <v>62.011742424242435</v>
      </c>
      <c r="V47" s="21">
        <v>483.9</v>
      </c>
      <c r="W47">
        <f t="shared" si="1"/>
        <v>35.321167883211679</v>
      </c>
      <c r="X47">
        <f t="shared" si="5"/>
        <v>42582.399999999994</v>
      </c>
      <c r="AA47">
        <v>11.037586103088699</v>
      </c>
    </row>
    <row r="48" spans="1:27" x14ac:dyDescent="0.25">
      <c r="A48" s="117"/>
      <c r="B48" s="12"/>
      <c r="C48" s="13">
        <v>41562</v>
      </c>
      <c r="D48">
        <v>14</v>
      </c>
      <c r="E48">
        <v>13.2</v>
      </c>
      <c r="F48">
        <v>15</v>
      </c>
      <c r="G48">
        <f t="shared" si="6"/>
        <v>672.9000000000002</v>
      </c>
      <c r="J48">
        <v>16.7</v>
      </c>
      <c r="K48">
        <f t="shared" si="2"/>
        <v>111.30000000000001</v>
      </c>
      <c r="L48">
        <v>0.6</v>
      </c>
      <c r="M48">
        <f t="shared" si="3"/>
        <v>85.499999999999972</v>
      </c>
      <c r="N48">
        <f t="shared" si="0"/>
        <v>16.099999999999998</v>
      </c>
      <c r="O48" s="19">
        <f t="shared" si="9"/>
        <v>50.8</v>
      </c>
      <c r="P48" s="14">
        <v>43</v>
      </c>
      <c r="Q48" s="15">
        <f t="shared" si="10"/>
        <v>0.69469696969696959</v>
      </c>
      <c r="R48" s="16">
        <f t="shared" si="7"/>
        <v>0.41681818181818175</v>
      </c>
      <c r="S48" s="16">
        <f t="shared" si="4"/>
        <v>16.283181818181816</v>
      </c>
      <c r="T48" s="20">
        <f t="shared" si="8"/>
        <v>78.294924242424258</v>
      </c>
      <c r="V48" s="21">
        <v>224.2</v>
      </c>
      <c r="W48">
        <f t="shared" si="1"/>
        <v>16.014285714285712</v>
      </c>
      <c r="X48">
        <f t="shared" si="5"/>
        <v>42806.599999999991</v>
      </c>
      <c r="AA48">
        <v>10.9830722633639</v>
      </c>
    </row>
    <row r="49" spans="1:27" x14ac:dyDescent="0.25">
      <c r="A49" s="117"/>
      <c r="B49" s="12"/>
      <c r="C49" s="13">
        <v>41563</v>
      </c>
      <c r="D49">
        <v>14.8</v>
      </c>
      <c r="E49">
        <v>12.9</v>
      </c>
      <c r="F49">
        <v>16.399999999999999</v>
      </c>
      <c r="G49">
        <f t="shared" si="6"/>
        <v>687.70000000000016</v>
      </c>
      <c r="J49">
        <v>2.5</v>
      </c>
      <c r="K49">
        <f t="shared" si="2"/>
        <v>113.80000000000001</v>
      </c>
      <c r="L49">
        <v>0.4</v>
      </c>
      <c r="M49">
        <f t="shared" si="3"/>
        <v>85.899999999999977</v>
      </c>
      <c r="N49">
        <f t="shared" si="0"/>
        <v>2.1</v>
      </c>
      <c r="O49" s="19">
        <f t="shared" si="9"/>
        <v>52.9</v>
      </c>
      <c r="P49" s="14">
        <v>44</v>
      </c>
      <c r="Q49" s="15">
        <f t="shared" si="10"/>
        <v>0.70454545454545459</v>
      </c>
      <c r="R49" s="16">
        <f t="shared" si="7"/>
        <v>0.28181818181818186</v>
      </c>
      <c r="S49" s="16">
        <f t="shared" si="4"/>
        <v>2.2181818181818183</v>
      </c>
      <c r="T49" s="20">
        <f t="shared" si="8"/>
        <v>80.513106060606077</v>
      </c>
      <c r="V49" s="21">
        <v>321</v>
      </c>
      <c r="W49">
        <f t="shared" si="1"/>
        <v>21.689189189189189</v>
      </c>
      <c r="X49">
        <f t="shared" si="5"/>
        <v>43127.599999999991</v>
      </c>
      <c r="AA49">
        <v>10.928691561791901</v>
      </c>
    </row>
    <row r="50" spans="1:27" x14ac:dyDescent="0.25">
      <c r="A50" s="117"/>
      <c r="B50" s="12"/>
      <c r="C50" s="13">
        <v>41564</v>
      </c>
      <c r="D50">
        <v>13</v>
      </c>
      <c r="E50">
        <v>12.2</v>
      </c>
      <c r="F50">
        <v>16.3</v>
      </c>
      <c r="G50">
        <f t="shared" si="6"/>
        <v>700.70000000000016</v>
      </c>
      <c r="J50">
        <v>0.2</v>
      </c>
      <c r="K50">
        <f t="shared" si="2"/>
        <v>114.00000000000001</v>
      </c>
      <c r="L50">
        <v>1.3</v>
      </c>
      <c r="M50">
        <f t="shared" si="3"/>
        <v>87.199999999999974</v>
      </c>
      <c r="N50" s="9">
        <f t="shared" si="0"/>
        <v>-1.1000000000000001</v>
      </c>
      <c r="O50" s="19">
        <f t="shared" si="9"/>
        <v>51.8</v>
      </c>
      <c r="P50" s="14">
        <v>45</v>
      </c>
      <c r="Q50" s="15">
        <f t="shared" si="10"/>
        <v>0.71439393939393936</v>
      </c>
      <c r="R50" s="16">
        <f t="shared" si="7"/>
        <v>0.92871212121212121</v>
      </c>
      <c r="S50" s="16">
        <f t="shared" si="4"/>
        <v>-0.72871212121212126</v>
      </c>
      <c r="T50" s="20">
        <f t="shared" si="8"/>
        <v>79.784393939393951</v>
      </c>
      <c r="V50" s="21">
        <v>810.8</v>
      </c>
      <c r="W50">
        <f t="shared" si="1"/>
        <v>62.369230769230768</v>
      </c>
      <c r="X50">
        <f t="shared" si="5"/>
        <v>43938.399999999994</v>
      </c>
      <c r="AA50">
        <v>10.8744538786235</v>
      </c>
    </row>
    <row r="51" spans="1:27" x14ac:dyDescent="0.25">
      <c r="A51" s="117"/>
      <c r="B51" s="12"/>
      <c r="C51" s="13">
        <v>41565</v>
      </c>
      <c r="D51">
        <v>11.3</v>
      </c>
      <c r="E51">
        <v>7.5</v>
      </c>
      <c r="F51">
        <v>14.5</v>
      </c>
      <c r="G51">
        <f t="shared" si="6"/>
        <v>712.00000000000011</v>
      </c>
      <c r="J51">
        <v>0.2</v>
      </c>
      <c r="K51">
        <f t="shared" si="2"/>
        <v>114.20000000000002</v>
      </c>
      <c r="L51">
        <v>1.2</v>
      </c>
      <c r="M51">
        <f t="shared" si="3"/>
        <v>88.399999999999977</v>
      </c>
      <c r="N51" s="9">
        <f t="shared" si="0"/>
        <v>-1</v>
      </c>
      <c r="O51" s="19">
        <f t="shared" si="9"/>
        <v>50.8</v>
      </c>
      <c r="P51" s="14">
        <v>46</v>
      </c>
      <c r="Q51" s="15">
        <f t="shared" si="10"/>
        <v>0.72424242424242424</v>
      </c>
      <c r="R51" s="16">
        <f t="shared" si="7"/>
        <v>0.86909090909090903</v>
      </c>
      <c r="S51" s="16">
        <f t="shared" si="4"/>
        <v>-0.66909090909090896</v>
      </c>
      <c r="T51" s="20">
        <f t="shared" si="8"/>
        <v>79.115303030303039</v>
      </c>
      <c r="V51">
        <v>985.5</v>
      </c>
      <c r="W51">
        <f t="shared" si="1"/>
        <v>87.212389380530965</v>
      </c>
      <c r="X51">
        <f t="shared" si="5"/>
        <v>44923.899999999994</v>
      </c>
      <c r="AA51">
        <v>10.820369488516</v>
      </c>
    </row>
    <row r="52" spans="1:27" x14ac:dyDescent="0.25">
      <c r="A52" s="117"/>
      <c r="B52" s="12"/>
      <c r="C52" s="13">
        <v>41566</v>
      </c>
      <c r="D52">
        <v>14.9</v>
      </c>
      <c r="E52">
        <v>9.1999999999999993</v>
      </c>
      <c r="F52">
        <v>19.899999999999999</v>
      </c>
      <c r="G52">
        <f t="shared" si="6"/>
        <v>726.90000000000009</v>
      </c>
      <c r="J52">
        <v>10.5</v>
      </c>
      <c r="K52">
        <f t="shared" si="2"/>
        <v>124.70000000000002</v>
      </c>
      <c r="L52">
        <v>0.7</v>
      </c>
      <c r="M52">
        <f t="shared" si="3"/>
        <v>89.09999999999998</v>
      </c>
      <c r="N52">
        <f t="shared" si="0"/>
        <v>9.8000000000000007</v>
      </c>
      <c r="O52" s="19">
        <f t="shared" si="9"/>
        <v>60.599999999999994</v>
      </c>
      <c r="P52" s="14">
        <v>47</v>
      </c>
      <c r="Q52" s="15">
        <f t="shared" si="10"/>
        <v>0.73409090909090913</v>
      </c>
      <c r="R52" s="16">
        <f t="shared" si="7"/>
        <v>0.51386363636363641</v>
      </c>
      <c r="S52" s="16">
        <f t="shared" si="4"/>
        <v>9.9861363636363638</v>
      </c>
      <c r="T52" s="20">
        <f t="shared" si="8"/>
        <v>89.101439393939401</v>
      </c>
      <c r="V52" s="21">
        <v>461.7</v>
      </c>
      <c r="W52">
        <f t="shared" si="1"/>
        <v>30.986577181208052</v>
      </c>
      <c r="X52">
        <f t="shared" si="5"/>
        <v>45385.599999999991</v>
      </c>
      <c r="AA52">
        <v>10.7664490770799</v>
      </c>
    </row>
    <row r="53" spans="1:27" x14ac:dyDescent="0.25">
      <c r="A53" s="117"/>
      <c r="B53" s="12"/>
      <c r="C53" s="13">
        <v>41567</v>
      </c>
      <c r="D53">
        <v>15.3</v>
      </c>
      <c r="E53">
        <v>13.5</v>
      </c>
      <c r="F53">
        <v>19.3</v>
      </c>
      <c r="G53">
        <f t="shared" si="6"/>
        <v>742.2</v>
      </c>
      <c r="J53">
        <v>1.4</v>
      </c>
      <c r="K53">
        <f t="shared" si="2"/>
        <v>126.10000000000002</v>
      </c>
      <c r="L53">
        <v>1.7</v>
      </c>
      <c r="M53">
        <f t="shared" si="3"/>
        <v>90.799999999999983</v>
      </c>
      <c r="N53" s="9">
        <f t="shared" si="0"/>
        <v>-0.30000000000000004</v>
      </c>
      <c r="O53" s="19">
        <f t="shared" si="9"/>
        <v>60.3</v>
      </c>
      <c r="P53" s="14">
        <v>48</v>
      </c>
      <c r="Q53" s="15">
        <f t="shared" si="10"/>
        <v>0.7439393939393939</v>
      </c>
      <c r="R53" s="16">
        <f t="shared" si="7"/>
        <v>1.2646969696969697</v>
      </c>
      <c r="S53" s="16">
        <f t="shared" si="4"/>
        <v>0.13530303030303026</v>
      </c>
      <c r="T53" s="20">
        <f t="shared" si="8"/>
        <v>89.236742424242436</v>
      </c>
      <c r="V53" s="21">
        <v>730.6</v>
      </c>
      <c r="W53">
        <f t="shared" si="1"/>
        <v>47.751633986928105</v>
      </c>
      <c r="X53">
        <f t="shared" si="5"/>
        <v>46116.19999999999</v>
      </c>
      <c r="AA53">
        <v>10.712703757201901</v>
      </c>
    </row>
    <row r="54" spans="1:27" x14ac:dyDescent="0.25">
      <c r="A54" s="117"/>
      <c r="B54" s="12"/>
      <c r="C54" s="13">
        <v>41568</v>
      </c>
      <c r="D54">
        <v>16.2</v>
      </c>
      <c r="E54">
        <v>11.4</v>
      </c>
      <c r="F54">
        <v>21.7</v>
      </c>
      <c r="G54">
        <f t="shared" si="6"/>
        <v>758.40000000000009</v>
      </c>
      <c r="J54">
        <v>0.3</v>
      </c>
      <c r="K54">
        <f t="shared" si="2"/>
        <v>126.40000000000002</v>
      </c>
      <c r="L54">
        <v>1.2</v>
      </c>
      <c r="M54">
        <f t="shared" si="3"/>
        <v>91.999999999999986</v>
      </c>
      <c r="N54" s="9">
        <f t="shared" si="0"/>
        <v>-0.89999999999999991</v>
      </c>
      <c r="O54" s="19">
        <f t="shared" si="9"/>
        <v>59.4</v>
      </c>
      <c r="P54" s="14">
        <v>49</v>
      </c>
      <c r="Q54" s="15">
        <f t="shared" si="10"/>
        <v>0.75378787878787878</v>
      </c>
      <c r="R54" s="16">
        <f t="shared" si="7"/>
        <v>0.90454545454545454</v>
      </c>
      <c r="S54" s="16">
        <f t="shared" si="4"/>
        <v>-0.6045454545454545</v>
      </c>
      <c r="T54" s="20">
        <f t="shared" si="8"/>
        <v>88.632196969696977</v>
      </c>
      <c r="V54" s="21">
        <v>732.6</v>
      </c>
      <c r="W54">
        <f t="shared" si="1"/>
        <v>45.222222222222229</v>
      </c>
      <c r="X54">
        <f t="shared" si="5"/>
        <v>46848.799999999988</v>
      </c>
      <c r="AA54">
        <v>10.6591450850944</v>
      </c>
    </row>
    <row r="55" spans="1:27" x14ac:dyDescent="0.25">
      <c r="A55" s="117"/>
      <c r="B55" s="12"/>
      <c r="C55" s="13">
        <v>41569</v>
      </c>
      <c r="D55">
        <v>17.3</v>
      </c>
      <c r="E55">
        <v>14.3</v>
      </c>
      <c r="F55">
        <v>21.4</v>
      </c>
      <c r="G55">
        <f t="shared" si="6"/>
        <v>775.7</v>
      </c>
      <c r="J55">
        <v>2.1</v>
      </c>
      <c r="K55">
        <f t="shared" si="2"/>
        <v>128.50000000000003</v>
      </c>
      <c r="L55">
        <v>1.5</v>
      </c>
      <c r="M55">
        <f t="shared" si="3"/>
        <v>93.499999999999986</v>
      </c>
      <c r="N55">
        <f t="shared" si="0"/>
        <v>0.60000000000000009</v>
      </c>
      <c r="O55" s="19">
        <f t="shared" si="9"/>
        <v>60</v>
      </c>
      <c r="P55" s="14">
        <v>50</v>
      </c>
      <c r="Q55" s="15">
        <f t="shared" si="10"/>
        <v>0.76363636363636367</v>
      </c>
      <c r="R55" s="16">
        <f t="shared" si="7"/>
        <v>1.1454545454545455</v>
      </c>
      <c r="S55" s="16">
        <f t="shared" si="4"/>
        <v>0.95454545454545459</v>
      </c>
      <c r="T55" s="20">
        <f t="shared" si="8"/>
        <v>89.586742424242431</v>
      </c>
      <c r="V55" s="21">
        <v>593.6</v>
      </c>
      <c r="W55">
        <f t="shared" si="1"/>
        <v>34.312138728323703</v>
      </c>
      <c r="X55">
        <f t="shared" si="5"/>
        <v>47442.399999999987</v>
      </c>
      <c r="AA55">
        <v>10.6057850760146</v>
      </c>
    </row>
    <row r="56" spans="1:27" x14ac:dyDescent="0.25">
      <c r="A56" s="117"/>
      <c r="B56" s="12"/>
      <c r="C56" s="13">
        <v>41570</v>
      </c>
      <c r="D56">
        <v>16.399999999999999</v>
      </c>
      <c r="E56">
        <v>15.5</v>
      </c>
      <c r="F56">
        <v>20.100000000000001</v>
      </c>
      <c r="G56">
        <f t="shared" si="6"/>
        <v>792.1</v>
      </c>
      <c r="J56">
        <v>3</v>
      </c>
      <c r="K56">
        <f t="shared" si="2"/>
        <v>131.50000000000003</v>
      </c>
      <c r="L56">
        <v>2.7</v>
      </c>
      <c r="M56">
        <f t="shared" si="3"/>
        <v>96.199999999999989</v>
      </c>
      <c r="N56">
        <f t="shared" si="0"/>
        <v>0.29999999999999982</v>
      </c>
      <c r="O56" s="19">
        <f t="shared" si="9"/>
        <v>60.3</v>
      </c>
      <c r="P56" s="14">
        <v>51</v>
      </c>
      <c r="Q56" s="15">
        <f t="shared" si="10"/>
        <v>0.77348484848484844</v>
      </c>
      <c r="R56" s="16">
        <f t="shared" si="7"/>
        <v>2.0884090909090909</v>
      </c>
      <c r="S56" s="16">
        <f t="shared" si="4"/>
        <v>0.91159090909090912</v>
      </c>
      <c r="T56" s="20">
        <f t="shared" si="8"/>
        <v>90.498333333333335</v>
      </c>
      <c r="V56">
        <v>924.4</v>
      </c>
      <c r="W56">
        <f t="shared" si="1"/>
        <v>56.365853658536587</v>
      </c>
      <c r="X56">
        <f t="shared" si="5"/>
        <v>48366.799999999988</v>
      </c>
      <c r="AA56">
        <v>10.552636219593699</v>
      </c>
    </row>
    <row r="57" spans="1:27" x14ac:dyDescent="0.25">
      <c r="A57" s="117"/>
      <c r="B57" s="12"/>
      <c r="C57" s="13">
        <v>41571</v>
      </c>
      <c r="D57">
        <v>14.1</v>
      </c>
      <c r="E57">
        <v>8.1999999999999993</v>
      </c>
      <c r="F57">
        <v>19.600000000000001</v>
      </c>
      <c r="G57">
        <f t="shared" si="6"/>
        <v>806.2</v>
      </c>
      <c r="J57">
        <v>0.1</v>
      </c>
      <c r="K57">
        <f t="shared" si="2"/>
        <v>131.60000000000002</v>
      </c>
      <c r="L57">
        <v>1.5</v>
      </c>
      <c r="M57">
        <f t="shared" si="3"/>
        <v>97.699999999999989</v>
      </c>
      <c r="N57" s="9">
        <f t="shared" si="0"/>
        <v>-1.4</v>
      </c>
      <c r="O57" s="19">
        <f t="shared" si="9"/>
        <v>58.9</v>
      </c>
      <c r="P57" s="14">
        <v>52</v>
      </c>
      <c r="Q57" s="15">
        <f t="shared" si="10"/>
        <v>0.78333333333333333</v>
      </c>
      <c r="R57" s="16">
        <f t="shared" si="7"/>
        <v>1.175</v>
      </c>
      <c r="S57" s="16">
        <f t="shared" si="4"/>
        <v>-1.075</v>
      </c>
      <c r="T57" s="20">
        <f t="shared" si="8"/>
        <v>89.423333333333332</v>
      </c>
      <c r="V57">
        <v>1058.5999999999999</v>
      </c>
      <c r="W57">
        <f t="shared" si="1"/>
        <v>75.078014184397162</v>
      </c>
      <c r="X57">
        <f t="shared" si="5"/>
        <v>49425.399999999987</v>
      </c>
      <c r="AA57">
        <v>10.4997114947105</v>
      </c>
    </row>
    <row r="58" spans="1:27" x14ac:dyDescent="0.25">
      <c r="A58" s="117"/>
      <c r="B58" s="12"/>
      <c r="C58" s="13">
        <v>41572</v>
      </c>
      <c r="D58">
        <v>17.2</v>
      </c>
      <c r="E58">
        <v>14.4</v>
      </c>
      <c r="F58">
        <v>19.3</v>
      </c>
      <c r="G58">
        <f t="shared" si="6"/>
        <v>823.40000000000009</v>
      </c>
      <c r="J58">
        <v>15.2</v>
      </c>
      <c r="K58">
        <f t="shared" si="2"/>
        <v>146.80000000000001</v>
      </c>
      <c r="L58">
        <v>0.5</v>
      </c>
      <c r="M58">
        <f t="shared" si="3"/>
        <v>98.199999999999989</v>
      </c>
      <c r="N58">
        <f t="shared" si="0"/>
        <v>14.7</v>
      </c>
      <c r="O58" s="19">
        <f t="shared" si="9"/>
        <v>73.599999999999994</v>
      </c>
      <c r="P58" s="14">
        <v>53</v>
      </c>
      <c r="Q58" s="15">
        <f t="shared" si="10"/>
        <v>0.79318181818181821</v>
      </c>
      <c r="R58" s="16">
        <f t="shared" si="7"/>
        <v>0.39659090909090911</v>
      </c>
      <c r="S58" s="16">
        <f t="shared" si="4"/>
        <v>14.80340909090909</v>
      </c>
      <c r="T58" s="20">
        <f t="shared" si="8"/>
        <v>104.22674242424242</v>
      </c>
      <c r="V58" s="21">
        <v>185.6</v>
      </c>
      <c r="W58">
        <f t="shared" si="1"/>
        <v>10.790697674418604</v>
      </c>
      <c r="X58">
        <f t="shared" si="5"/>
        <v>49610.999999999985</v>
      </c>
      <c r="AA58">
        <v>10.4470243838368</v>
      </c>
    </row>
    <row r="59" spans="1:27" x14ac:dyDescent="0.25">
      <c r="A59" s="117"/>
      <c r="B59" s="12"/>
      <c r="C59" s="13">
        <v>41573</v>
      </c>
      <c r="D59">
        <v>17.100000000000001</v>
      </c>
      <c r="E59">
        <v>13.5</v>
      </c>
      <c r="F59">
        <v>21.8</v>
      </c>
      <c r="G59">
        <f t="shared" si="6"/>
        <v>840.50000000000011</v>
      </c>
      <c r="J59">
        <v>1.4</v>
      </c>
      <c r="K59">
        <f t="shared" si="2"/>
        <v>148.20000000000002</v>
      </c>
      <c r="L59">
        <v>1.5</v>
      </c>
      <c r="M59">
        <f t="shared" si="3"/>
        <v>99.699999999999989</v>
      </c>
      <c r="N59" s="9">
        <f t="shared" si="0"/>
        <v>-0.10000000000000009</v>
      </c>
      <c r="O59" s="19">
        <f t="shared" si="9"/>
        <v>73.5</v>
      </c>
      <c r="P59" s="14">
        <v>54</v>
      </c>
      <c r="Q59" s="15">
        <f t="shared" si="10"/>
        <v>0.80303030303030298</v>
      </c>
      <c r="R59" s="16">
        <f t="shared" si="7"/>
        <v>1.2045454545454546</v>
      </c>
      <c r="S59" s="16">
        <f t="shared" si="4"/>
        <v>0.19545454545454533</v>
      </c>
      <c r="T59" s="20">
        <f t="shared" si="8"/>
        <v>104.42219696969696</v>
      </c>
      <c r="V59" s="21">
        <v>619.79999999999995</v>
      </c>
      <c r="W59">
        <f t="shared" si="1"/>
        <v>36.245614035087712</v>
      </c>
      <c r="X59">
        <f t="shared" si="5"/>
        <v>50230.799999999988</v>
      </c>
      <c r="AA59">
        <v>10.3945888867795</v>
      </c>
    </row>
    <row r="60" spans="1:27" x14ac:dyDescent="0.25">
      <c r="A60" s="117"/>
      <c r="B60" s="12"/>
      <c r="C60" s="13">
        <v>41574</v>
      </c>
      <c r="D60">
        <v>14.8</v>
      </c>
      <c r="E60">
        <v>13.9</v>
      </c>
      <c r="F60">
        <v>17.3</v>
      </c>
      <c r="G60">
        <f t="shared" si="6"/>
        <v>855.30000000000007</v>
      </c>
      <c r="J60">
        <v>6.1</v>
      </c>
      <c r="K60">
        <f t="shared" si="2"/>
        <v>154.30000000000001</v>
      </c>
      <c r="L60">
        <v>1.6</v>
      </c>
      <c r="M60">
        <f t="shared" si="3"/>
        <v>101.29999999999998</v>
      </c>
      <c r="N60">
        <f t="shared" si="0"/>
        <v>4.5</v>
      </c>
      <c r="O60" s="19">
        <f t="shared" si="9"/>
        <v>78</v>
      </c>
      <c r="P60" s="14">
        <v>55</v>
      </c>
      <c r="Q60" s="15">
        <f t="shared" si="10"/>
        <v>0.81287878787878787</v>
      </c>
      <c r="R60" s="16">
        <f t="shared" si="7"/>
        <v>1.3006060606060608</v>
      </c>
      <c r="S60" s="16">
        <f t="shared" si="4"/>
        <v>4.7993939393939389</v>
      </c>
      <c r="T60" s="20">
        <f t="shared" si="8"/>
        <v>109.22159090909089</v>
      </c>
      <c r="V60" s="21">
        <v>252.4</v>
      </c>
      <c r="W60">
        <f t="shared" si="1"/>
        <v>17.054054054054053</v>
      </c>
      <c r="X60">
        <f t="shared" si="5"/>
        <v>50483.19999999999</v>
      </c>
      <c r="AA60">
        <v>10.3424195337355</v>
      </c>
    </row>
    <row r="61" spans="1:27" x14ac:dyDescent="0.25">
      <c r="A61" s="117"/>
      <c r="B61" s="12"/>
      <c r="C61" s="13">
        <v>41575</v>
      </c>
      <c r="D61">
        <v>14.2</v>
      </c>
      <c r="E61">
        <v>13</v>
      </c>
      <c r="F61">
        <v>16.899999999999999</v>
      </c>
      <c r="G61">
        <f t="shared" si="6"/>
        <v>869.50000000000011</v>
      </c>
      <c r="J61">
        <v>2.8</v>
      </c>
      <c r="K61">
        <f t="shared" si="2"/>
        <v>157.10000000000002</v>
      </c>
      <c r="L61">
        <v>1.7</v>
      </c>
      <c r="M61">
        <f t="shared" si="3"/>
        <v>102.99999999999999</v>
      </c>
      <c r="N61">
        <f t="shared" si="0"/>
        <v>1.0999999999999999</v>
      </c>
      <c r="O61" s="19">
        <f t="shared" si="9"/>
        <v>79.099999999999994</v>
      </c>
      <c r="P61" s="14">
        <v>56</v>
      </c>
      <c r="Q61" s="15">
        <f t="shared" si="10"/>
        <v>0.82272727272727275</v>
      </c>
      <c r="R61" s="16">
        <f t="shared" si="7"/>
        <v>1.3986363636363637</v>
      </c>
      <c r="S61" s="16">
        <f t="shared" si="4"/>
        <v>1.4013636363636361</v>
      </c>
      <c r="T61" s="20">
        <f t="shared" si="8"/>
        <v>110.62295454545453</v>
      </c>
      <c r="V61" s="21">
        <v>272</v>
      </c>
      <c r="W61">
        <f t="shared" si="1"/>
        <v>19.154929577464788</v>
      </c>
      <c r="X61">
        <f t="shared" si="5"/>
        <v>50755.19999999999</v>
      </c>
      <c r="AA61">
        <v>10.290531397571201</v>
      </c>
    </row>
    <row r="62" spans="1:27" x14ac:dyDescent="0.25">
      <c r="A62" s="117"/>
      <c r="B62" s="12"/>
      <c r="C62" s="13">
        <v>41576</v>
      </c>
      <c r="D62">
        <v>9.5</v>
      </c>
      <c r="E62">
        <v>8</v>
      </c>
      <c r="F62">
        <v>14.3</v>
      </c>
      <c r="G62">
        <f t="shared" si="6"/>
        <v>879.00000000000011</v>
      </c>
      <c r="J62">
        <v>1.1000000000000001</v>
      </c>
      <c r="K62">
        <f t="shared" si="2"/>
        <v>158.20000000000002</v>
      </c>
      <c r="L62">
        <v>1.6</v>
      </c>
      <c r="M62">
        <f t="shared" si="3"/>
        <v>104.59999999999998</v>
      </c>
      <c r="N62" s="9">
        <f t="shared" si="0"/>
        <v>-0.5</v>
      </c>
      <c r="O62" s="19">
        <f t="shared" si="9"/>
        <v>78.599999999999994</v>
      </c>
      <c r="P62" s="14">
        <v>57</v>
      </c>
      <c r="Q62" s="15">
        <f t="shared" si="10"/>
        <v>0.83257575757575752</v>
      </c>
      <c r="R62" s="16">
        <f t="shared" si="7"/>
        <v>1.332121212121212</v>
      </c>
      <c r="S62" s="16">
        <f t="shared" si="4"/>
        <v>-0.23212121212121195</v>
      </c>
      <c r="T62" s="20">
        <f t="shared" si="8"/>
        <v>110.39083333333332</v>
      </c>
      <c r="V62">
        <v>944.5</v>
      </c>
      <c r="W62">
        <f t="shared" si="1"/>
        <v>99.421052631578945</v>
      </c>
      <c r="X62">
        <f t="shared" si="5"/>
        <v>51699.69999999999</v>
      </c>
      <c r="AA62">
        <v>10.238940105234001</v>
      </c>
    </row>
    <row r="63" spans="1:27" x14ac:dyDescent="0.25">
      <c r="A63" s="117"/>
      <c r="B63" s="12"/>
      <c r="C63" s="13">
        <v>41577</v>
      </c>
      <c r="D63">
        <v>6.6</v>
      </c>
      <c r="E63" s="25">
        <v>3.2</v>
      </c>
      <c r="F63">
        <v>11.6</v>
      </c>
      <c r="G63">
        <f t="shared" si="6"/>
        <v>885.60000000000014</v>
      </c>
      <c r="J63">
        <v>0</v>
      </c>
      <c r="K63">
        <f t="shared" si="2"/>
        <v>158.20000000000002</v>
      </c>
      <c r="L63">
        <v>0.7</v>
      </c>
      <c r="M63">
        <f t="shared" si="3"/>
        <v>105.29999999999998</v>
      </c>
      <c r="N63" s="9">
        <f t="shared" si="0"/>
        <v>-0.7</v>
      </c>
      <c r="O63" s="19">
        <f t="shared" si="9"/>
        <v>77.899999999999991</v>
      </c>
      <c r="P63" s="14">
        <v>58</v>
      </c>
      <c r="Q63" s="15">
        <f t="shared" si="10"/>
        <v>0.84242424242424241</v>
      </c>
      <c r="R63" s="16">
        <f t="shared" si="7"/>
        <v>0.58969696969696961</v>
      </c>
      <c r="S63" s="16">
        <f t="shared" si="4"/>
        <v>-0.58969696969696961</v>
      </c>
      <c r="T63" s="20">
        <f t="shared" si="8"/>
        <v>109.80113636363635</v>
      </c>
      <c r="V63" s="21">
        <v>672.7</v>
      </c>
      <c r="W63">
        <f t="shared" si="1"/>
        <v>101.92424242424244</v>
      </c>
      <c r="X63">
        <f t="shared" si="5"/>
        <v>52372.399999999987</v>
      </c>
      <c r="AA63">
        <v>10.187661848192899</v>
      </c>
    </row>
    <row r="64" spans="1:27" x14ac:dyDescent="0.25">
      <c r="A64" s="117"/>
      <c r="B64" s="12"/>
      <c r="C64" s="13">
        <v>41578</v>
      </c>
      <c r="D64">
        <v>6.8</v>
      </c>
      <c r="E64" s="25">
        <v>0.7</v>
      </c>
      <c r="F64">
        <v>13.1</v>
      </c>
      <c r="G64">
        <f t="shared" si="6"/>
        <v>892.40000000000009</v>
      </c>
      <c r="J64">
        <v>0</v>
      </c>
      <c r="K64">
        <f t="shared" si="2"/>
        <v>158.20000000000002</v>
      </c>
      <c r="L64">
        <v>1.1000000000000001</v>
      </c>
      <c r="M64">
        <f t="shared" si="3"/>
        <v>106.39999999999998</v>
      </c>
      <c r="N64" s="9">
        <f t="shared" si="0"/>
        <v>-1.1000000000000001</v>
      </c>
      <c r="O64" s="19">
        <f t="shared" si="9"/>
        <v>76.8</v>
      </c>
      <c r="P64" s="14">
        <v>59</v>
      </c>
      <c r="Q64" s="15">
        <f t="shared" si="10"/>
        <v>0.85227272727272729</v>
      </c>
      <c r="R64" s="16">
        <f t="shared" si="7"/>
        <v>0.93750000000000011</v>
      </c>
      <c r="S64" s="16">
        <f t="shared" si="4"/>
        <v>-0.93750000000000011</v>
      </c>
      <c r="T64" s="20">
        <f t="shared" si="8"/>
        <v>108.86363636363635</v>
      </c>
      <c r="V64">
        <v>1033.5999999999999</v>
      </c>
      <c r="W64">
        <f t="shared" si="1"/>
        <v>152</v>
      </c>
      <c r="X64">
        <f t="shared" si="5"/>
        <v>53405.999999999985</v>
      </c>
      <c r="AA64">
        <v>10.1367133918062</v>
      </c>
    </row>
    <row r="65" spans="1:27" x14ac:dyDescent="0.25">
      <c r="A65" s="117"/>
      <c r="B65" s="12"/>
      <c r="C65" s="13">
        <v>41579</v>
      </c>
      <c r="D65">
        <v>9.1</v>
      </c>
      <c r="E65">
        <v>5.8</v>
      </c>
      <c r="F65">
        <v>14</v>
      </c>
      <c r="G65">
        <f t="shared" si="6"/>
        <v>901.50000000000011</v>
      </c>
      <c r="J65">
        <v>9.1</v>
      </c>
      <c r="K65">
        <f t="shared" si="2"/>
        <v>167.3</v>
      </c>
      <c r="L65">
        <v>1.3</v>
      </c>
      <c r="M65">
        <f t="shared" si="3"/>
        <v>107.69999999999997</v>
      </c>
      <c r="N65">
        <f t="shared" si="0"/>
        <v>7.8</v>
      </c>
      <c r="O65" s="19">
        <f t="shared" si="9"/>
        <v>84.6</v>
      </c>
      <c r="P65" s="14">
        <v>60</v>
      </c>
      <c r="Q65" s="15">
        <f t="shared" si="10"/>
        <v>0.86212121212121207</v>
      </c>
      <c r="R65" s="16">
        <f t="shared" si="7"/>
        <v>1.1207575757575756</v>
      </c>
      <c r="S65" s="16">
        <f t="shared" si="4"/>
        <v>7.9792424242424236</v>
      </c>
      <c r="T65" s="20">
        <f t="shared" si="8"/>
        <v>116.84287878787877</v>
      </c>
      <c r="V65" s="21">
        <v>460.1</v>
      </c>
      <c r="W65">
        <f t="shared" si="1"/>
        <v>50.560439560439562</v>
      </c>
      <c r="X65">
        <f t="shared" si="5"/>
        <v>53866.099999999984</v>
      </c>
      <c r="AA65">
        <v>10.086112083502099</v>
      </c>
    </row>
    <row r="66" spans="1:27" x14ac:dyDescent="0.25">
      <c r="A66" s="117"/>
      <c r="B66" s="12"/>
      <c r="C66" s="13">
        <v>41580</v>
      </c>
      <c r="D66">
        <v>13.9</v>
      </c>
      <c r="E66">
        <v>9.6999999999999993</v>
      </c>
      <c r="F66">
        <v>15.7</v>
      </c>
      <c r="G66">
        <f t="shared" si="6"/>
        <v>915.40000000000009</v>
      </c>
      <c r="J66">
        <v>3.5</v>
      </c>
      <c r="K66">
        <f t="shared" si="2"/>
        <v>170.8</v>
      </c>
      <c r="L66">
        <v>0.3</v>
      </c>
      <c r="M66">
        <f t="shared" si="3"/>
        <v>107.99999999999997</v>
      </c>
      <c r="N66">
        <f t="shared" si="0"/>
        <v>3.2</v>
      </c>
      <c r="O66" s="19">
        <f t="shared" si="9"/>
        <v>87.8</v>
      </c>
      <c r="P66" s="14">
        <v>61</v>
      </c>
      <c r="Q66" s="15">
        <f t="shared" si="10"/>
        <v>0.87196969696969695</v>
      </c>
      <c r="R66" s="16">
        <f t="shared" si="7"/>
        <v>0.2615909090909091</v>
      </c>
      <c r="S66" s="16">
        <f t="shared" si="4"/>
        <v>3.2384090909090908</v>
      </c>
      <c r="T66" s="20">
        <f t="shared" si="8"/>
        <v>120.08128787878786</v>
      </c>
      <c r="V66" s="21">
        <v>361.3</v>
      </c>
      <c r="W66">
        <f t="shared" si="1"/>
        <v>25.992805755395683</v>
      </c>
      <c r="X66">
        <f t="shared" si="5"/>
        <v>54227.399999999987</v>
      </c>
      <c r="AA66">
        <v>10.035875859657001</v>
      </c>
    </row>
    <row r="67" spans="1:27" x14ac:dyDescent="0.25">
      <c r="A67" s="117"/>
      <c r="B67" s="12"/>
      <c r="C67" s="13">
        <v>41581</v>
      </c>
      <c r="D67">
        <v>10.6</v>
      </c>
      <c r="E67">
        <v>8</v>
      </c>
      <c r="F67">
        <v>12.4</v>
      </c>
      <c r="G67">
        <f t="shared" si="6"/>
        <v>926.00000000000011</v>
      </c>
      <c r="J67">
        <v>12.9</v>
      </c>
      <c r="K67">
        <f t="shared" si="2"/>
        <v>183.70000000000002</v>
      </c>
      <c r="L67">
        <v>1.2</v>
      </c>
      <c r="M67">
        <f t="shared" si="3"/>
        <v>109.19999999999997</v>
      </c>
      <c r="N67">
        <f t="shared" si="0"/>
        <v>11.700000000000001</v>
      </c>
      <c r="O67" s="19">
        <f t="shared" si="9"/>
        <v>99.5</v>
      </c>
      <c r="P67" s="14">
        <v>62</v>
      </c>
      <c r="Q67" s="15">
        <f t="shared" si="10"/>
        <v>0.88181818181818183</v>
      </c>
      <c r="R67" s="16">
        <f t="shared" si="7"/>
        <v>1.0581818181818181</v>
      </c>
      <c r="S67" s="16">
        <f t="shared" si="4"/>
        <v>11.841818181818182</v>
      </c>
      <c r="T67" s="20">
        <f t="shared" si="8"/>
        <v>122.1</v>
      </c>
      <c r="V67" s="21">
        <v>588.70000000000005</v>
      </c>
      <c r="W67">
        <f t="shared" si="1"/>
        <v>55.53773584905661</v>
      </c>
      <c r="X67">
        <f t="shared" si="5"/>
        <v>54816.099999999984</v>
      </c>
      <c r="AA67">
        <v>9.9860232510499696</v>
      </c>
    </row>
    <row r="68" spans="1:27" x14ac:dyDescent="0.25">
      <c r="A68" s="117"/>
      <c r="B68" s="12"/>
      <c r="C68" s="13">
        <v>41582</v>
      </c>
      <c r="D68">
        <v>10.5</v>
      </c>
      <c r="E68">
        <v>9.3000000000000007</v>
      </c>
      <c r="F68">
        <v>12.6</v>
      </c>
      <c r="G68">
        <f t="shared" si="6"/>
        <v>936.50000000000011</v>
      </c>
      <c r="J68">
        <v>6.6</v>
      </c>
      <c r="K68">
        <f t="shared" si="2"/>
        <v>190.3</v>
      </c>
      <c r="L68">
        <v>0.7</v>
      </c>
      <c r="M68">
        <f t="shared" si="3"/>
        <v>109.89999999999998</v>
      </c>
      <c r="N68">
        <f t="shared" si="0"/>
        <v>5.8999999999999995</v>
      </c>
      <c r="O68" s="19">
        <f t="shared" si="9"/>
        <v>105.4</v>
      </c>
      <c r="P68" s="14">
        <v>63</v>
      </c>
      <c r="Q68" s="15">
        <f t="shared" si="10"/>
        <v>0.89166666666666672</v>
      </c>
      <c r="R68" s="16">
        <f t="shared" si="7"/>
        <v>0.62416666666666665</v>
      </c>
      <c r="S68" s="16">
        <f t="shared" si="4"/>
        <v>5.9758333333333331</v>
      </c>
      <c r="T68" s="20">
        <f t="shared" si="8"/>
        <v>122.1</v>
      </c>
      <c r="V68" s="21">
        <v>257.5</v>
      </c>
      <c r="W68">
        <f t="shared" si="1"/>
        <v>24.523809523809526</v>
      </c>
      <c r="X68">
        <f t="shared" si="5"/>
        <v>55073.599999999984</v>
      </c>
      <c r="AA68">
        <v>9.9365733867663995</v>
      </c>
    </row>
    <row r="69" spans="1:27" x14ac:dyDescent="0.25">
      <c r="A69" s="117"/>
      <c r="B69" s="12"/>
      <c r="C69" s="13">
        <v>41583</v>
      </c>
      <c r="D69">
        <v>10.5</v>
      </c>
      <c r="E69">
        <v>5.4</v>
      </c>
      <c r="F69">
        <v>14.3</v>
      </c>
      <c r="G69">
        <f t="shared" si="6"/>
        <v>947.00000000000011</v>
      </c>
      <c r="J69">
        <v>6.6</v>
      </c>
      <c r="K69">
        <f t="shared" si="2"/>
        <v>196.9</v>
      </c>
      <c r="L69">
        <v>0.2</v>
      </c>
      <c r="M69">
        <f t="shared" si="3"/>
        <v>110.09999999999998</v>
      </c>
      <c r="N69">
        <f t="shared" si="0"/>
        <v>6.3999999999999995</v>
      </c>
      <c r="O69" s="19">
        <f t="shared" si="9"/>
        <v>111.80000000000001</v>
      </c>
      <c r="P69" s="14">
        <v>64</v>
      </c>
      <c r="Q69" s="15">
        <f t="shared" si="10"/>
        <v>0.90151515151515149</v>
      </c>
      <c r="R69" s="16">
        <f t="shared" si="7"/>
        <v>0.1803030303030303</v>
      </c>
      <c r="S69" s="16">
        <f t="shared" si="4"/>
        <v>6.419696969696969</v>
      </c>
      <c r="T69" s="20">
        <f t="shared" si="8"/>
        <v>122.1</v>
      </c>
      <c r="V69" s="21">
        <v>140.5</v>
      </c>
      <c r="W69">
        <f t="shared" si="1"/>
        <v>13.380952380952381</v>
      </c>
      <c r="X69">
        <f t="shared" si="5"/>
        <v>55214.099999999984</v>
      </c>
      <c r="AA69">
        <v>9.8875459964200498</v>
      </c>
    </row>
    <row r="70" spans="1:27" x14ac:dyDescent="0.25">
      <c r="A70" s="117"/>
      <c r="B70" s="12"/>
      <c r="C70" s="13">
        <v>41584</v>
      </c>
      <c r="D70">
        <v>14.5</v>
      </c>
      <c r="E70">
        <v>12.5</v>
      </c>
      <c r="F70">
        <v>15.4</v>
      </c>
      <c r="G70">
        <f t="shared" si="6"/>
        <v>961.50000000000011</v>
      </c>
      <c r="J70">
        <v>1</v>
      </c>
      <c r="K70">
        <f t="shared" si="2"/>
        <v>197.9</v>
      </c>
      <c r="L70">
        <v>0.9</v>
      </c>
      <c r="M70">
        <f t="shared" si="3"/>
        <v>110.99999999999999</v>
      </c>
      <c r="N70">
        <f t="shared" ref="N70:N133" si="11">J70-L70</f>
        <v>9.9999999999999978E-2</v>
      </c>
      <c r="O70" s="19">
        <f t="shared" si="9"/>
        <v>111.9</v>
      </c>
      <c r="P70" s="14">
        <v>65</v>
      </c>
      <c r="Q70" s="15">
        <f t="shared" si="10"/>
        <v>0.91136363636363638</v>
      </c>
      <c r="R70" s="16">
        <f t="shared" si="7"/>
        <v>0.8202272727272728</v>
      </c>
      <c r="S70" s="16">
        <f t="shared" si="4"/>
        <v>0.1797727272727272</v>
      </c>
      <c r="T70" s="20">
        <f t="shared" si="8"/>
        <v>122.1</v>
      </c>
      <c r="V70" s="21">
        <v>402.9</v>
      </c>
      <c r="W70">
        <f t="shared" ref="W70:W133" si="12">V70/D70</f>
        <v>27.786206896551722</v>
      </c>
      <c r="X70">
        <f t="shared" si="5"/>
        <v>55616.999999999985</v>
      </c>
      <c r="AA70">
        <v>9.83896141055952</v>
      </c>
    </row>
    <row r="71" spans="1:27" x14ac:dyDescent="0.25">
      <c r="A71" s="117"/>
      <c r="B71" s="12"/>
      <c r="C71" s="13">
        <v>41585</v>
      </c>
      <c r="D71">
        <v>15.2</v>
      </c>
      <c r="E71">
        <v>14</v>
      </c>
      <c r="F71">
        <v>17.3</v>
      </c>
      <c r="G71">
        <f t="shared" si="6"/>
        <v>976.70000000000016</v>
      </c>
      <c r="J71">
        <v>5.3</v>
      </c>
      <c r="K71">
        <f t="shared" ref="K71:K134" si="13">K70+J71</f>
        <v>203.20000000000002</v>
      </c>
      <c r="L71">
        <v>1.2</v>
      </c>
      <c r="M71">
        <f t="shared" ref="M71:M134" si="14">M70+L71</f>
        <v>112.19999999999999</v>
      </c>
      <c r="N71">
        <f t="shared" si="11"/>
        <v>4.0999999999999996</v>
      </c>
      <c r="O71" s="19">
        <f t="shared" si="9"/>
        <v>116</v>
      </c>
      <c r="P71" s="14">
        <v>66</v>
      </c>
      <c r="Q71" s="15">
        <f t="shared" si="10"/>
        <v>0.92121212121212126</v>
      </c>
      <c r="R71" s="16">
        <f t="shared" si="7"/>
        <v>1.1054545454545455</v>
      </c>
      <c r="S71" s="16">
        <f t="shared" ref="S71:S134" si="15">J71-R71</f>
        <v>4.1945454545454544</v>
      </c>
      <c r="T71" s="20">
        <f t="shared" si="8"/>
        <v>122.1</v>
      </c>
      <c r="V71" s="21">
        <v>492.5</v>
      </c>
      <c r="W71">
        <f t="shared" si="12"/>
        <v>32.401315789473685</v>
      </c>
      <c r="X71">
        <f t="shared" ref="X71:X134" si="16">X70+V71</f>
        <v>56109.499999999985</v>
      </c>
      <c r="AA71">
        <v>9.7908405591211896</v>
      </c>
    </row>
    <row r="72" spans="1:27" x14ac:dyDescent="0.25">
      <c r="A72" s="117"/>
      <c r="B72" s="12"/>
      <c r="C72" s="13">
        <v>41586</v>
      </c>
      <c r="D72">
        <v>12.4</v>
      </c>
      <c r="E72">
        <v>11.7</v>
      </c>
      <c r="F72">
        <v>15.5</v>
      </c>
      <c r="G72">
        <f t="shared" ref="G72:G135" si="17">G71+D72</f>
        <v>989.10000000000014</v>
      </c>
      <c r="J72">
        <v>4</v>
      </c>
      <c r="K72">
        <f t="shared" si="13"/>
        <v>207.20000000000002</v>
      </c>
      <c r="L72">
        <v>1.2</v>
      </c>
      <c r="M72">
        <f t="shared" si="14"/>
        <v>113.39999999999999</v>
      </c>
      <c r="N72">
        <f t="shared" si="11"/>
        <v>2.8</v>
      </c>
      <c r="O72" s="19">
        <f t="shared" si="9"/>
        <v>118.8</v>
      </c>
      <c r="P72" s="14">
        <v>67</v>
      </c>
      <c r="Q72" s="15">
        <f t="shared" si="10"/>
        <v>0.93106060606060603</v>
      </c>
      <c r="R72" s="16">
        <f t="shared" ref="R72:R135" si="18">Q72*L72</f>
        <v>1.1172727272727272</v>
      </c>
      <c r="S72" s="16">
        <f t="shared" si="15"/>
        <v>2.8827272727272728</v>
      </c>
      <c r="T72" s="20">
        <f t="shared" si="8"/>
        <v>122.1</v>
      </c>
      <c r="V72" s="21">
        <v>373.4</v>
      </c>
      <c r="W72">
        <f t="shared" si="12"/>
        <v>30.112903225806448</v>
      </c>
      <c r="X72">
        <f t="shared" si="16"/>
        <v>56482.899999999987</v>
      </c>
      <c r="AA72">
        <v>9.7432049677888592</v>
      </c>
    </row>
    <row r="73" spans="1:27" x14ac:dyDescent="0.25">
      <c r="A73" s="117"/>
      <c r="B73" s="12"/>
      <c r="C73" s="13">
        <v>41587</v>
      </c>
      <c r="D73">
        <v>8.6</v>
      </c>
      <c r="E73">
        <v>5.8</v>
      </c>
      <c r="F73">
        <v>11.8</v>
      </c>
      <c r="G73">
        <f t="shared" si="17"/>
        <v>997.70000000000016</v>
      </c>
      <c r="J73">
        <v>21.5</v>
      </c>
      <c r="K73">
        <f t="shared" si="13"/>
        <v>228.70000000000002</v>
      </c>
      <c r="L73">
        <v>0.8</v>
      </c>
      <c r="M73">
        <f t="shared" si="14"/>
        <v>114.19999999999999</v>
      </c>
      <c r="N73">
        <f t="shared" si="11"/>
        <v>20.7</v>
      </c>
      <c r="O73" s="19">
        <v>122.1</v>
      </c>
      <c r="P73" s="14">
        <v>68</v>
      </c>
      <c r="Q73" s="15">
        <f t="shared" si="10"/>
        <v>0.94090909090909092</v>
      </c>
      <c r="R73" s="16">
        <f t="shared" si="18"/>
        <v>0.7527272727272728</v>
      </c>
      <c r="S73" s="16">
        <f t="shared" si="15"/>
        <v>20.747272727272726</v>
      </c>
      <c r="T73" s="20">
        <f t="shared" si="8"/>
        <v>122.1</v>
      </c>
      <c r="V73" s="21">
        <v>388.4</v>
      </c>
      <c r="W73">
        <f t="shared" si="12"/>
        <v>45.162790697674417</v>
      </c>
      <c r="X73">
        <f t="shared" si="16"/>
        <v>56871.299999999988</v>
      </c>
      <c r="AA73">
        <v>9.6960767521187705</v>
      </c>
    </row>
    <row r="74" spans="1:27" x14ac:dyDescent="0.25">
      <c r="A74" s="117"/>
      <c r="B74" s="12"/>
      <c r="C74" s="13">
        <v>41588</v>
      </c>
      <c r="D74">
        <v>8.4</v>
      </c>
      <c r="E74">
        <v>6.1</v>
      </c>
      <c r="F74">
        <v>11.6</v>
      </c>
      <c r="G74">
        <f t="shared" si="17"/>
        <v>1006.1000000000001</v>
      </c>
      <c r="J74">
        <v>0.7</v>
      </c>
      <c r="K74">
        <f t="shared" si="13"/>
        <v>229.4</v>
      </c>
      <c r="L74">
        <v>1.2</v>
      </c>
      <c r="M74">
        <f t="shared" si="14"/>
        <v>115.39999999999999</v>
      </c>
      <c r="N74" s="9">
        <f t="shared" si="11"/>
        <v>-0.5</v>
      </c>
      <c r="O74" s="19">
        <f t="shared" si="9"/>
        <v>121.6</v>
      </c>
      <c r="P74" s="14">
        <v>69</v>
      </c>
      <c r="Q74" s="15">
        <f t="shared" si="10"/>
        <v>0.95075757575757569</v>
      </c>
      <c r="R74" s="16">
        <f t="shared" si="18"/>
        <v>1.1409090909090909</v>
      </c>
      <c r="S74" s="16">
        <f t="shared" si="15"/>
        <v>-0.44090909090909092</v>
      </c>
      <c r="T74" s="20">
        <f t="shared" ref="T74:T137" si="19">MIN(122.1,(T73+S74))</f>
        <v>121.65909090909091</v>
      </c>
      <c r="V74" s="21">
        <v>623.1</v>
      </c>
      <c r="W74">
        <f t="shared" si="12"/>
        <v>74.178571428571431</v>
      </c>
      <c r="X74">
        <f t="shared" si="16"/>
        <v>57494.399999999987</v>
      </c>
      <c r="AA74">
        <v>9.6494786092884404</v>
      </c>
    </row>
    <row r="75" spans="1:27" x14ac:dyDescent="0.25">
      <c r="A75" s="117"/>
      <c r="B75" s="12"/>
      <c r="C75" s="13">
        <v>41589</v>
      </c>
      <c r="D75">
        <v>5.8</v>
      </c>
      <c r="E75" s="25">
        <v>0.3</v>
      </c>
      <c r="F75">
        <v>10</v>
      </c>
      <c r="G75">
        <f t="shared" si="17"/>
        <v>1011.9000000000001</v>
      </c>
      <c r="J75">
        <v>0.4</v>
      </c>
      <c r="K75">
        <f t="shared" si="13"/>
        <v>229.8</v>
      </c>
      <c r="L75">
        <v>0.8</v>
      </c>
      <c r="M75">
        <f t="shared" si="14"/>
        <v>116.19999999999999</v>
      </c>
      <c r="N75" s="9">
        <f t="shared" si="11"/>
        <v>-0.4</v>
      </c>
      <c r="O75" s="19">
        <f t="shared" ref="O75:O138" si="20">O74+N75</f>
        <v>121.19999999999999</v>
      </c>
      <c r="P75" s="14">
        <v>70</v>
      </c>
      <c r="Q75" s="15">
        <f t="shared" si="10"/>
        <v>0.96060606060606069</v>
      </c>
      <c r="R75" s="16">
        <f t="shared" si="18"/>
        <v>0.76848484848484855</v>
      </c>
      <c r="S75" s="16">
        <f t="shared" si="15"/>
        <v>-0.36848484848484853</v>
      </c>
      <c r="T75" s="20">
        <f t="shared" si="19"/>
        <v>121.29060606060605</v>
      </c>
      <c r="V75" s="21">
        <v>663</v>
      </c>
      <c r="W75">
        <f t="shared" si="12"/>
        <v>114.31034482758621</v>
      </c>
      <c r="X75">
        <f t="shared" si="16"/>
        <v>58157.399999999987</v>
      </c>
      <c r="AA75">
        <v>9.6034338073282193</v>
      </c>
    </row>
    <row r="76" spans="1:27" x14ac:dyDescent="0.25">
      <c r="A76" s="117"/>
      <c r="B76" s="12"/>
      <c r="C76" s="13">
        <v>41590</v>
      </c>
      <c r="D76">
        <v>9.3000000000000007</v>
      </c>
      <c r="E76">
        <v>6.7</v>
      </c>
      <c r="F76">
        <v>11.5</v>
      </c>
      <c r="G76">
        <f t="shared" si="17"/>
        <v>1021.2</v>
      </c>
      <c r="J76">
        <v>1.8</v>
      </c>
      <c r="K76">
        <f t="shared" si="13"/>
        <v>231.60000000000002</v>
      </c>
      <c r="L76">
        <v>0.7</v>
      </c>
      <c r="M76">
        <f t="shared" si="14"/>
        <v>116.89999999999999</v>
      </c>
      <c r="N76">
        <f t="shared" si="11"/>
        <v>1.1000000000000001</v>
      </c>
      <c r="O76" s="19">
        <v>122.1</v>
      </c>
      <c r="P76" s="14">
        <v>71</v>
      </c>
      <c r="Q76" s="15">
        <f t="shared" si="10"/>
        <v>0.97045454545454546</v>
      </c>
      <c r="R76" s="16">
        <f t="shared" si="18"/>
        <v>0.67931818181818182</v>
      </c>
      <c r="S76" s="16">
        <f t="shared" si="15"/>
        <v>1.1206818181818181</v>
      </c>
      <c r="T76" s="20">
        <f t="shared" si="19"/>
        <v>122.1</v>
      </c>
      <c r="V76" s="21">
        <v>259.5</v>
      </c>
      <c r="W76">
        <f t="shared" si="12"/>
        <v>27.903225806451612</v>
      </c>
      <c r="X76">
        <f t="shared" si="16"/>
        <v>58416.899999999987</v>
      </c>
      <c r="AA76">
        <v>9.5579661716969202</v>
      </c>
    </row>
    <row r="77" spans="1:27" x14ac:dyDescent="0.25">
      <c r="A77" s="117"/>
      <c r="B77" s="12"/>
      <c r="C77" s="13">
        <v>41591</v>
      </c>
      <c r="D77">
        <v>7.9</v>
      </c>
      <c r="E77">
        <v>6.5</v>
      </c>
      <c r="F77">
        <v>9.6</v>
      </c>
      <c r="G77">
        <f t="shared" si="17"/>
        <v>1029.1000000000001</v>
      </c>
      <c r="J77">
        <v>0</v>
      </c>
      <c r="K77">
        <f t="shared" si="13"/>
        <v>231.60000000000002</v>
      </c>
      <c r="L77">
        <v>0.5</v>
      </c>
      <c r="M77">
        <f t="shared" si="14"/>
        <v>117.39999999999999</v>
      </c>
      <c r="N77" s="9">
        <f t="shared" si="11"/>
        <v>-0.5</v>
      </c>
      <c r="O77" s="19">
        <f t="shared" si="20"/>
        <v>121.6</v>
      </c>
      <c r="P77" s="14">
        <v>72</v>
      </c>
      <c r="Q77" s="15">
        <f t="shared" si="10"/>
        <v>0.98030303030303034</v>
      </c>
      <c r="R77" s="16">
        <f t="shared" si="18"/>
        <v>0.49015151515151517</v>
      </c>
      <c r="S77" s="16">
        <f t="shared" si="15"/>
        <v>-0.49015151515151517</v>
      </c>
      <c r="T77" s="20">
        <f t="shared" si="19"/>
        <v>121.60984848484848</v>
      </c>
      <c r="V77" s="21">
        <v>376.4</v>
      </c>
      <c r="W77">
        <f t="shared" si="12"/>
        <v>47.645569620253163</v>
      </c>
      <c r="X77">
        <f t="shared" si="16"/>
        <v>58793.299999999988</v>
      </c>
      <c r="AA77">
        <v>9.5131000690660308</v>
      </c>
    </row>
    <row r="78" spans="1:27" x14ac:dyDescent="0.25">
      <c r="A78" s="117"/>
      <c r="B78" s="12"/>
      <c r="C78" s="13">
        <v>41592</v>
      </c>
      <c r="D78">
        <v>5.0999999999999996</v>
      </c>
      <c r="E78" s="25">
        <v>2</v>
      </c>
      <c r="F78">
        <v>8.5</v>
      </c>
      <c r="G78">
        <f t="shared" si="17"/>
        <v>1034.2</v>
      </c>
      <c r="J78">
        <v>2</v>
      </c>
      <c r="K78">
        <f t="shared" si="13"/>
        <v>233.60000000000002</v>
      </c>
      <c r="L78">
        <v>0.3</v>
      </c>
      <c r="M78">
        <f t="shared" si="14"/>
        <v>117.69999999999999</v>
      </c>
      <c r="N78">
        <f t="shared" si="11"/>
        <v>1.7</v>
      </c>
      <c r="O78" s="19">
        <v>122.1</v>
      </c>
      <c r="P78" s="14">
        <v>73</v>
      </c>
      <c r="Q78" s="15">
        <f t="shared" si="10"/>
        <v>0.99015151515151512</v>
      </c>
      <c r="R78" s="16">
        <f t="shared" si="18"/>
        <v>0.2970454545454545</v>
      </c>
      <c r="S78" s="16">
        <f t="shared" si="15"/>
        <v>1.7029545454545456</v>
      </c>
      <c r="T78" s="20">
        <f t="shared" si="19"/>
        <v>122.1</v>
      </c>
      <c r="V78" s="21">
        <v>221.8</v>
      </c>
      <c r="W78">
        <f t="shared" si="12"/>
        <v>43.490196078431374</v>
      </c>
      <c r="X78">
        <f t="shared" si="16"/>
        <v>59015.099999999991</v>
      </c>
      <c r="AA78">
        <v>9.4688603881822502</v>
      </c>
    </row>
    <row r="79" spans="1:27" s="28" customFormat="1" x14ac:dyDescent="0.25">
      <c r="A79" s="117"/>
      <c r="B79" s="26"/>
      <c r="C79" s="27">
        <v>41593</v>
      </c>
      <c r="D79" s="28">
        <v>5.2</v>
      </c>
      <c r="E79" s="28">
        <v>4.4000000000000004</v>
      </c>
      <c r="F79" s="28">
        <v>6.6</v>
      </c>
      <c r="G79" s="29">
        <f t="shared" si="17"/>
        <v>1039.4000000000001</v>
      </c>
      <c r="J79" s="28">
        <v>4.2</v>
      </c>
      <c r="K79" s="28">
        <f t="shared" si="13"/>
        <v>237.8</v>
      </c>
      <c r="L79" s="28">
        <v>0.6</v>
      </c>
      <c r="M79" s="28">
        <f t="shared" si="14"/>
        <v>118.29999999999998</v>
      </c>
      <c r="N79" s="28">
        <f t="shared" si="11"/>
        <v>3.6</v>
      </c>
      <c r="O79" s="30">
        <v>122.1</v>
      </c>
      <c r="P79" s="14">
        <v>74</v>
      </c>
      <c r="Q79" s="15">
        <f t="shared" ref="Q79" si="21">0.35+((P79-8)/66)*(1-0.35)</f>
        <v>1</v>
      </c>
      <c r="R79" s="31">
        <f t="shared" si="18"/>
        <v>0.6</v>
      </c>
      <c r="S79" s="16">
        <f t="shared" si="15"/>
        <v>3.6</v>
      </c>
      <c r="T79" s="20">
        <f t="shared" si="19"/>
        <v>122.1</v>
      </c>
      <c r="V79" s="32">
        <v>178.5</v>
      </c>
      <c r="W79" s="28">
        <f t="shared" si="12"/>
        <v>34.326923076923073</v>
      </c>
      <c r="X79" s="28">
        <f t="shared" si="16"/>
        <v>59193.599999999991</v>
      </c>
      <c r="AA79" s="29">
        <v>9.4252725176848902</v>
      </c>
    </row>
    <row r="80" spans="1:27" x14ac:dyDescent="0.25">
      <c r="A80" s="118" t="s">
        <v>44</v>
      </c>
      <c r="B80" s="33"/>
      <c r="C80" s="13">
        <v>41594</v>
      </c>
      <c r="D80" s="25">
        <v>3.3</v>
      </c>
      <c r="E80" s="25">
        <v>0</v>
      </c>
      <c r="F80">
        <v>6.2</v>
      </c>
      <c r="G80">
        <f t="shared" si="17"/>
        <v>1042.7</v>
      </c>
      <c r="H80">
        <f>D80</f>
        <v>3.3</v>
      </c>
      <c r="I80" s="34" t="s">
        <v>28</v>
      </c>
      <c r="J80">
        <v>0</v>
      </c>
      <c r="K80">
        <f t="shared" si="13"/>
        <v>237.8</v>
      </c>
      <c r="L80">
        <v>0.7</v>
      </c>
      <c r="M80">
        <f t="shared" si="14"/>
        <v>118.99999999999999</v>
      </c>
      <c r="N80" s="9">
        <f t="shared" si="11"/>
        <v>-0.7</v>
      </c>
      <c r="O80" s="19">
        <f t="shared" si="20"/>
        <v>121.39999999999999</v>
      </c>
      <c r="P80" s="14">
        <v>75</v>
      </c>
      <c r="Q80" s="15">
        <v>1</v>
      </c>
      <c r="R80" s="16">
        <f t="shared" si="18"/>
        <v>0.7</v>
      </c>
      <c r="S80" s="16">
        <f t="shared" si="15"/>
        <v>-0.7</v>
      </c>
      <c r="T80" s="20">
        <f t="shared" si="19"/>
        <v>121.39999999999999</v>
      </c>
      <c r="U80" s="34" t="s">
        <v>29</v>
      </c>
      <c r="V80" s="21">
        <v>624.5</v>
      </c>
      <c r="W80">
        <f t="shared" si="12"/>
        <v>189.24242424242425</v>
      </c>
      <c r="X80">
        <f t="shared" si="16"/>
        <v>59818.099999999991</v>
      </c>
      <c r="Y80">
        <f>V80</f>
        <v>624.5</v>
      </c>
      <c r="Z80" s="34" t="s">
        <v>30</v>
      </c>
      <c r="AA80">
        <v>9.3823623207630398</v>
      </c>
    </row>
    <row r="81" spans="1:27" x14ac:dyDescent="0.25">
      <c r="A81" s="118"/>
      <c r="B81" s="12"/>
      <c r="C81" s="13">
        <v>41595</v>
      </c>
      <c r="D81" s="25">
        <v>4.3</v>
      </c>
      <c r="E81" s="25">
        <v>3.7</v>
      </c>
      <c r="F81">
        <v>5.3</v>
      </c>
      <c r="G81">
        <f t="shared" si="17"/>
        <v>1047</v>
      </c>
      <c r="H81">
        <f>H80+D81</f>
        <v>7.6</v>
      </c>
      <c r="I81">
        <f>MIN(E80:E127)</f>
        <v>-3.5</v>
      </c>
      <c r="J81">
        <v>0</v>
      </c>
      <c r="K81">
        <f t="shared" si="13"/>
        <v>237.8</v>
      </c>
      <c r="L81">
        <v>0.8</v>
      </c>
      <c r="M81">
        <f t="shared" si="14"/>
        <v>119.79999999999998</v>
      </c>
      <c r="N81" s="9">
        <f t="shared" si="11"/>
        <v>-0.8</v>
      </c>
      <c r="O81" s="19">
        <f t="shared" si="20"/>
        <v>120.6</v>
      </c>
      <c r="P81" s="14">
        <v>76</v>
      </c>
      <c r="Q81" s="15">
        <v>1</v>
      </c>
      <c r="R81" s="16">
        <f t="shared" si="18"/>
        <v>0.8</v>
      </c>
      <c r="S81" s="16">
        <f t="shared" si="15"/>
        <v>-0.8</v>
      </c>
      <c r="T81" s="20">
        <f t="shared" si="19"/>
        <v>120.6</v>
      </c>
      <c r="U81">
        <v>32</v>
      </c>
      <c r="V81" s="21">
        <v>260.89999999999998</v>
      </c>
      <c r="W81">
        <f t="shared" si="12"/>
        <v>60.674418604651159</v>
      </c>
      <c r="X81">
        <f t="shared" si="16"/>
        <v>60078.999999999993</v>
      </c>
      <c r="Y81">
        <f>Y80+V81</f>
        <v>885.4</v>
      </c>
      <c r="Z81">
        <v>19324.799999999996</v>
      </c>
      <c r="AA81">
        <v>9.3401561065481609</v>
      </c>
    </row>
    <row r="82" spans="1:27" x14ac:dyDescent="0.25">
      <c r="A82" s="118"/>
      <c r="B82" s="12"/>
      <c r="C82" s="13">
        <v>41596</v>
      </c>
      <c r="D82" s="25">
        <v>3.1</v>
      </c>
      <c r="E82" s="25">
        <v>2.4</v>
      </c>
      <c r="F82" s="25">
        <v>3.6</v>
      </c>
      <c r="G82">
        <f t="shared" si="17"/>
        <v>1050.0999999999999</v>
      </c>
      <c r="H82">
        <f t="shared" ref="H82:H145" si="22">H81+D82</f>
        <v>10.7</v>
      </c>
      <c r="I82" s="34" t="s">
        <v>31</v>
      </c>
      <c r="J82">
        <v>0</v>
      </c>
      <c r="K82">
        <f t="shared" si="13"/>
        <v>237.8</v>
      </c>
      <c r="L82">
        <v>0.6</v>
      </c>
      <c r="M82">
        <f t="shared" si="14"/>
        <v>120.39999999999998</v>
      </c>
      <c r="N82" s="9">
        <f t="shared" si="11"/>
        <v>-0.6</v>
      </c>
      <c r="O82" s="19">
        <f t="shared" si="20"/>
        <v>120</v>
      </c>
      <c r="P82" s="14">
        <v>77</v>
      </c>
      <c r="Q82" s="15">
        <v>1</v>
      </c>
      <c r="R82" s="16">
        <f t="shared" si="18"/>
        <v>0.6</v>
      </c>
      <c r="S82" s="16">
        <f t="shared" si="15"/>
        <v>-0.6</v>
      </c>
      <c r="T82" s="20">
        <f t="shared" si="19"/>
        <v>120</v>
      </c>
      <c r="U82" s="34" t="s">
        <v>32</v>
      </c>
      <c r="V82" s="21">
        <v>365.1</v>
      </c>
      <c r="W82">
        <f t="shared" si="12"/>
        <v>117.7741935483871</v>
      </c>
      <c r="X82">
        <f t="shared" si="16"/>
        <v>60444.099999999991</v>
      </c>
      <c r="Y82">
        <f t="shared" ref="Y82:Y145" si="23">Y81+V82</f>
        <v>1250.5</v>
      </c>
      <c r="Z82" s="34" t="s">
        <v>33</v>
      </c>
      <c r="AA82">
        <v>9.2986805981502094</v>
      </c>
    </row>
    <row r="83" spans="1:27" x14ac:dyDescent="0.25">
      <c r="A83" s="118"/>
      <c r="B83" s="12"/>
      <c r="C83" s="13">
        <v>41597</v>
      </c>
      <c r="D83" s="25">
        <v>3.4</v>
      </c>
      <c r="E83" s="25">
        <v>2.7</v>
      </c>
      <c r="F83" s="25">
        <v>4.9000000000000004</v>
      </c>
      <c r="G83">
        <f t="shared" si="17"/>
        <v>1053.5</v>
      </c>
      <c r="H83">
        <f t="shared" si="22"/>
        <v>14.1</v>
      </c>
      <c r="I83">
        <f>MAX(F80:F127)</f>
        <v>13.2</v>
      </c>
      <c r="J83">
        <v>1.5</v>
      </c>
      <c r="K83">
        <f t="shared" si="13"/>
        <v>239.3</v>
      </c>
      <c r="L83">
        <v>0.2</v>
      </c>
      <c r="M83">
        <f t="shared" si="14"/>
        <v>120.59999999999998</v>
      </c>
      <c r="N83">
        <f t="shared" si="11"/>
        <v>1.3</v>
      </c>
      <c r="O83" s="19">
        <f t="shared" si="20"/>
        <v>121.3</v>
      </c>
      <c r="P83" s="14">
        <v>78</v>
      </c>
      <c r="Q83" s="15">
        <v>1</v>
      </c>
      <c r="R83" s="16">
        <f t="shared" si="18"/>
        <v>0.2</v>
      </c>
      <c r="S83" s="16">
        <f t="shared" si="15"/>
        <v>1.3</v>
      </c>
      <c r="T83" s="20">
        <f t="shared" si="19"/>
        <v>121.3</v>
      </c>
      <c r="U83">
        <v>0</v>
      </c>
      <c r="V83" s="21">
        <v>206.6</v>
      </c>
      <c r="W83">
        <f t="shared" si="12"/>
        <v>60.764705882352942</v>
      </c>
      <c r="X83">
        <f t="shared" si="16"/>
        <v>60650.69999999999</v>
      </c>
      <c r="Y83">
        <f t="shared" si="23"/>
        <v>1457.1</v>
      </c>
      <c r="Z83" s="22">
        <f>(Z81/100)/I93</f>
        <v>0.8926004618937643</v>
      </c>
      <c r="AA83">
        <v>9.2579628972601995</v>
      </c>
    </row>
    <row r="84" spans="1:27" x14ac:dyDescent="0.25">
      <c r="A84" s="118"/>
      <c r="B84" s="12"/>
      <c r="C84" s="13">
        <v>41598</v>
      </c>
      <c r="D84" s="25">
        <v>2.5</v>
      </c>
      <c r="E84" s="24">
        <v>-0.4</v>
      </c>
      <c r="F84">
        <v>5.0999999999999996</v>
      </c>
      <c r="G84">
        <f t="shared" si="17"/>
        <v>1056</v>
      </c>
      <c r="H84">
        <f t="shared" si="22"/>
        <v>16.600000000000001</v>
      </c>
      <c r="I84" s="34" t="s">
        <v>34</v>
      </c>
      <c r="J84">
        <v>9.4</v>
      </c>
      <c r="K84">
        <f t="shared" si="13"/>
        <v>248.70000000000002</v>
      </c>
      <c r="L84">
        <v>0.6</v>
      </c>
      <c r="M84">
        <f t="shared" si="14"/>
        <v>121.19999999999997</v>
      </c>
      <c r="N84">
        <f t="shared" si="11"/>
        <v>8.8000000000000007</v>
      </c>
      <c r="O84" s="19">
        <v>122.1</v>
      </c>
      <c r="P84" s="14">
        <v>79</v>
      </c>
      <c r="Q84" s="15">
        <v>1</v>
      </c>
      <c r="R84" s="16">
        <f t="shared" si="18"/>
        <v>0.6</v>
      </c>
      <c r="S84" s="16">
        <f t="shared" si="15"/>
        <v>8.8000000000000007</v>
      </c>
      <c r="T84" s="20">
        <f t="shared" si="19"/>
        <v>122.1</v>
      </c>
      <c r="U84" s="34" t="s">
        <v>35</v>
      </c>
      <c r="V84" s="21">
        <v>665.3</v>
      </c>
      <c r="W84">
        <f t="shared" si="12"/>
        <v>266.12</v>
      </c>
      <c r="X84">
        <f t="shared" si="16"/>
        <v>61315.999999999993</v>
      </c>
      <c r="Y84">
        <f t="shared" si="23"/>
        <v>2122.3999999999996</v>
      </c>
      <c r="Z84" s="34" t="s">
        <v>36</v>
      </c>
      <c r="AA84">
        <v>9.2180304452589308</v>
      </c>
    </row>
    <row r="85" spans="1:27" x14ac:dyDescent="0.25">
      <c r="A85" s="118"/>
      <c r="B85" s="12"/>
      <c r="C85" s="13">
        <v>41599</v>
      </c>
      <c r="D85" s="25">
        <v>2.9</v>
      </c>
      <c r="E85" s="25">
        <v>2.4</v>
      </c>
      <c r="F85" s="25">
        <v>3.6</v>
      </c>
      <c r="G85">
        <f t="shared" si="17"/>
        <v>1058.9000000000001</v>
      </c>
      <c r="H85">
        <f t="shared" si="22"/>
        <v>19.5</v>
      </c>
      <c r="I85" s="23">
        <f>AVERAGE(D80:D127)</f>
        <v>4.510416666666667</v>
      </c>
      <c r="J85">
        <v>2.5</v>
      </c>
      <c r="K85">
        <f t="shared" si="13"/>
        <v>251.20000000000002</v>
      </c>
      <c r="L85">
        <v>0.3</v>
      </c>
      <c r="M85">
        <f t="shared" si="14"/>
        <v>121.49999999999997</v>
      </c>
      <c r="N85">
        <f t="shared" si="11"/>
        <v>2.2000000000000002</v>
      </c>
      <c r="O85" s="19">
        <v>122.1</v>
      </c>
      <c r="P85" s="14">
        <v>80</v>
      </c>
      <c r="Q85" s="15">
        <v>1</v>
      </c>
      <c r="R85" s="16">
        <f t="shared" si="18"/>
        <v>0.3</v>
      </c>
      <c r="S85" s="16">
        <f t="shared" si="15"/>
        <v>2.2000000000000002</v>
      </c>
      <c r="T85" s="20">
        <f t="shared" si="19"/>
        <v>122.1</v>
      </c>
      <c r="U85">
        <v>0</v>
      </c>
      <c r="V85" s="21">
        <v>163.19999999999999</v>
      </c>
      <c r="W85">
        <f t="shared" si="12"/>
        <v>56.275862068965516</v>
      </c>
      <c r="X85">
        <f t="shared" si="16"/>
        <v>61479.19999999999</v>
      </c>
      <c r="Y85">
        <f t="shared" si="23"/>
        <v>2285.5999999999995</v>
      </c>
      <c r="Z85">
        <v>48</v>
      </c>
      <c r="AA85">
        <v>9.1789109807908495</v>
      </c>
    </row>
    <row r="86" spans="1:27" x14ac:dyDescent="0.25">
      <c r="A86" s="118"/>
      <c r="B86" s="12"/>
      <c r="C86" s="13">
        <v>41600</v>
      </c>
      <c r="D86" s="25">
        <v>2.7</v>
      </c>
      <c r="E86" s="25">
        <v>1.8</v>
      </c>
      <c r="F86" s="25">
        <v>3.9</v>
      </c>
      <c r="G86">
        <f t="shared" si="17"/>
        <v>1061.6000000000001</v>
      </c>
      <c r="H86">
        <f t="shared" si="22"/>
        <v>22.2</v>
      </c>
      <c r="I86" s="34" t="s">
        <v>37</v>
      </c>
      <c r="J86">
        <v>1.7</v>
      </c>
      <c r="K86">
        <f t="shared" si="13"/>
        <v>252.9</v>
      </c>
      <c r="L86">
        <v>0.4</v>
      </c>
      <c r="M86">
        <f t="shared" si="14"/>
        <v>121.89999999999998</v>
      </c>
      <c r="N86">
        <f t="shared" si="11"/>
        <v>1.2999999999999998</v>
      </c>
      <c r="O86" s="19">
        <v>122.1</v>
      </c>
      <c r="P86" s="14">
        <v>81</v>
      </c>
      <c r="Q86" s="15">
        <v>1</v>
      </c>
      <c r="R86" s="16">
        <f t="shared" si="18"/>
        <v>0.4</v>
      </c>
      <c r="S86" s="16">
        <f t="shared" si="15"/>
        <v>1.2999999999999998</v>
      </c>
      <c r="T86" s="20">
        <f t="shared" si="19"/>
        <v>122.1</v>
      </c>
      <c r="U86" s="34" t="s">
        <v>38</v>
      </c>
      <c r="V86" s="21">
        <v>174.8</v>
      </c>
      <c r="W86">
        <f t="shared" si="12"/>
        <v>64.740740740740748</v>
      </c>
      <c r="X86">
        <f t="shared" si="16"/>
        <v>61653.999999999993</v>
      </c>
      <c r="Y86">
        <f t="shared" si="23"/>
        <v>2460.3999999999996</v>
      </c>
      <c r="AA86">
        <v>9.1406324937835794</v>
      </c>
    </row>
    <row r="87" spans="1:27" x14ac:dyDescent="0.25">
      <c r="A87" s="118"/>
      <c r="B87" s="12"/>
      <c r="C87" s="13">
        <v>41601</v>
      </c>
      <c r="D87" s="25">
        <v>4.2</v>
      </c>
      <c r="E87" s="25">
        <v>2.6</v>
      </c>
      <c r="F87" s="25">
        <v>4.7</v>
      </c>
      <c r="G87">
        <f t="shared" si="17"/>
        <v>1065.8000000000002</v>
      </c>
      <c r="H87">
        <f t="shared" si="22"/>
        <v>26.4</v>
      </c>
      <c r="I87" s="25">
        <v>14</v>
      </c>
      <c r="J87">
        <v>0</v>
      </c>
      <c r="K87">
        <f t="shared" si="13"/>
        <v>252.9</v>
      </c>
      <c r="L87">
        <v>0.2</v>
      </c>
      <c r="M87">
        <f t="shared" si="14"/>
        <v>122.09999999999998</v>
      </c>
      <c r="N87" s="9">
        <f t="shared" si="11"/>
        <v>-0.2</v>
      </c>
      <c r="O87" s="19">
        <f t="shared" si="20"/>
        <v>121.89999999999999</v>
      </c>
      <c r="P87" s="14">
        <v>82</v>
      </c>
      <c r="Q87" s="15">
        <v>1</v>
      </c>
      <c r="R87" s="16">
        <f t="shared" si="18"/>
        <v>0.2</v>
      </c>
      <c r="S87" s="16">
        <f t="shared" si="15"/>
        <v>-0.2</v>
      </c>
      <c r="T87" s="20">
        <f t="shared" si="19"/>
        <v>121.89999999999999</v>
      </c>
      <c r="U87" s="23">
        <f>MIN(T80:T127)</f>
        <v>112.10000000000001</v>
      </c>
      <c r="V87" s="21">
        <v>224.7</v>
      </c>
      <c r="W87">
        <f t="shared" si="12"/>
        <v>53.499999999999993</v>
      </c>
      <c r="X87">
        <f t="shared" si="16"/>
        <v>61878.69999999999</v>
      </c>
      <c r="Y87">
        <f t="shared" si="23"/>
        <v>2685.0999999999995</v>
      </c>
      <c r="AA87">
        <v>9.1032231759171403</v>
      </c>
    </row>
    <row r="88" spans="1:27" x14ac:dyDescent="0.25">
      <c r="A88" s="118"/>
      <c r="B88" s="12"/>
      <c r="C88" s="13">
        <v>41602</v>
      </c>
      <c r="D88">
        <v>5.3</v>
      </c>
      <c r="E88" s="25">
        <v>4.0999999999999996</v>
      </c>
      <c r="F88">
        <v>6.2</v>
      </c>
      <c r="G88">
        <f t="shared" si="17"/>
        <v>1071.1000000000001</v>
      </c>
      <c r="H88">
        <f t="shared" si="22"/>
        <v>31.7</v>
      </c>
      <c r="I88" s="34" t="s">
        <v>39</v>
      </c>
      <c r="J88">
        <v>0</v>
      </c>
      <c r="K88">
        <f t="shared" si="13"/>
        <v>252.9</v>
      </c>
      <c r="L88">
        <v>0.7</v>
      </c>
      <c r="M88">
        <f t="shared" si="14"/>
        <v>122.79999999999998</v>
      </c>
      <c r="N88" s="9">
        <f t="shared" si="11"/>
        <v>-0.7</v>
      </c>
      <c r="O88" s="19">
        <f t="shared" si="20"/>
        <v>121.19999999999999</v>
      </c>
      <c r="P88" s="14">
        <v>83</v>
      </c>
      <c r="Q88" s="15">
        <v>1</v>
      </c>
      <c r="R88" s="16">
        <f t="shared" si="18"/>
        <v>0.7</v>
      </c>
      <c r="S88" s="16">
        <f t="shared" si="15"/>
        <v>-0.7</v>
      </c>
      <c r="T88" s="20">
        <f t="shared" si="19"/>
        <v>121.19999999999999</v>
      </c>
      <c r="U88" s="34" t="s">
        <v>40</v>
      </c>
      <c r="V88" s="21">
        <v>618</v>
      </c>
      <c r="W88">
        <f t="shared" si="12"/>
        <v>116.60377358490567</v>
      </c>
      <c r="X88">
        <f t="shared" si="16"/>
        <v>62496.69999999999</v>
      </c>
      <c r="Y88">
        <f t="shared" si="23"/>
        <v>3303.0999999999995</v>
      </c>
      <c r="AA88">
        <v>9.0667113675729691</v>
      </c>
    </row>
    <row r="89" spans="1:27" x14ac:dyDescent="0.25">
      <c r="A89" s="118"/>
      <c r="B89" s="12"/>
      <c r="C89" s="13">
        <v>41603</v>
      </c>
      <c r="D89" s="25">
        <v>4.2</v>
      </c>
      <c r="E89" s="25">
        <v>3</v>
      </c>
      <c r="F89">
        <v>5.8</v>
      </c>
      <c r="G89">
        <f t="shared" si="17"/>
        <v>1075.3000000000002</v>
      </c>
      <c r="H89">
        <f t="shared" si="22"/>
        <v>35.9</v>
      </c>
      <c r="I89">
        <v>0</v>
      </c>
      <c r="J89">
        <v>0</v>
      </c>
      <c r="K89">
        <f t="shared" si="13"/>
        <v>252.9</v>
      </c>
      <c r="L89">
        <v>0.7</v>
      </c>
      <c r="M89">
        <f t="shared" si="14"/>
        <v>123.49999999999999</v>
      </c>
      <c r="N89" s="9">
        <f t="shared" si="11"/>
        <v>-0.7</v>
      </c>
      <c r="O89" s="19">
        <f t="shared" si="20"/>
        <v>120.49999999999999</v>
      </c>
      <c r="P89" s="14">
        <v>84</v>
      </c>
      <c r="Q89" s="15">
        <v>1</v>
      </c>
      <c r="R89" s="16">
        <f t="shared" si="18"/>
        <v>0.7</v>
      </c>
      <c r="S89" s="16">
        <f t="shared" si="15"/>
        <v>-0.7</v>
      </c>
      <c r="T89" s="20">
        <f t="shared" si="19"/>
        <v>120.49999999999999</v>
      </c>
      <c r="U89">
        <v>122.1</v>
      </c>
      <c r="V89" s="21">
        <v>328.6</v>
      </c>
      <c r="W89">
        <f t="shared" si="12"/>
        <v>78.238095238095241</v>
      </c>
      <c r="X89">
        <f t="shared" si="16"/>
        <v>62825.299999999988</v>
      </c>
      <c r="Y89">
        <f t="shared" si="23"/>
        <v>3631.6999999999994</v>
      </c>
      <c r="AA89">
        <v>9.03112550132089</v>
      </c>
    </row>
    <row r="90" spans="1:27" x14ac:dyDescent="0.25">
      <c r="A90" s="118"/>
      <c r="B90" s="35"/>
      <c r="C90" s="13">
        <v>41604</v>
      </c>
      <c r="D90" s="25">
        <v>3.6</v>
      </c>
      <c r="E90" s="25">
        <v>2.6</v>
      </c>
      <c r="F90">
        <v>5.7</v>
      </c>
      <c r="G90">
        <f t="shared" si="17"/>
        <v>1078.9000000000001</v>
      </c>
      <c r="H90">
        <f t="shared" si="22"/>
        <v>39.5</v>
      </c>
      <c r="I90" s="34" t="s">
        <v>41</v>
      </c>
      <c r="J90">
        <v>0</v>
      </c>
      <c r="K90">
        <f t="shared" si="13"/>
        <v>252.9</v>
      </c>
      <c r="L90">
        <v>1.2</v>
      </c>
      <c r="M90">
        <f t="shared" si="14"/>
        <v>124.69999999999999</v>
      </c>
      <c r="N90" s="9">
        <f t="shared" si="11"/>
        <v>-1.2</v>
      </c>
      <c r="O90" s="19">
        <f t="shared" si="20"/>
        <v>119.29999999999998</v>
      </c>
      <c r="P90" s="14">
        <v>85</v>
      </c>
      <c r="Q90" s="15">
        <v>1</v>
      </c>
      <c r="R90" s="16">
        <f t="shared" si="18"/>
        <v>1.2</v>
      </c>
      <c r="S90" s="16">
        <f t="shared" si="15"/>
        <v>-1.2</v>
      </c>
      <c r="T90" s="20">
        <f t="shared" si="19"/>
        <v>119.29999999999998</v>
      </c>
      <c r="U90" s="34" t="s">
        <v>42</v>
      </c>
      <c r="V90" s="21">
        <v>724.8</v>
      </c>
      <c r="W90">
        <f t="shared" si="12"/>
        <v>201.33333333333331</v>
      </c>
      <c r="X90">
        <f t="shared" si="16"/>
        <v>63550.099999999991</v>
      </c>
      <c r="Y90">
        <f t="shared" si="23"/>
        <v>4356.4999999999991</v>
      </c>
      <c r="AA90" s="36">
        <v>8.9964940420320705</v>
      </c>
    </row>
    <row r="91" spans="1:27" x14ac:dyDescent="0.25">
      <c r="A91" s="118"/>
      <c r="B91" s="35"/>
      <c r="C91" s="13">
        <v>41605</v>
      </c>
      <c r="D91" s="25">
        <v>2</v>
      </c>
      <c r="E91" s="25">
        <v>0.1</v>
      </c>
      <c r="F91">
        <v>5.4</v>
      </c>
      <c r="G91">
        <f t="shared" si="17"/>
        <v>1080.9000000000001</v>
      </c>
      <c r="H91">
        <f t="shared" si="22"/>
        <v>41.5</v>
      </c>
      <c r="I91">
        <v>28</v>
      </c>
      <c r="J91">
        <v>0</v>
      </c>
      <c r="K91">
        <f t="shared" si="13"/>
        <v>252.9</v>
      </c>
      <c r="L91">
        <v>0.6</v>
      </c>
      <c r="M91">
        <f t="shared" si="14"/>
        <v>125.29999999999998</v>
      </c>
      <c r="N91" s="9">
        <f t="shared" si="11"/>
        <v>-0.6</v>
      </c>
      <c r="O91" s="19">
        <f t="shared" si="20"/>
        <v>118.69999999999999</v>
      </c>
      <c r="P91" s="14">
        <v>86</v>
      </c>
      <c r="Q91" s="15">
        <v>1</v>
      </c>
      <c r="R91" s="16">
        <f t="shared" si="18"/>
        <v>0.6</v>
      </c>
      <c r="S91" s="16">
        <f t="shared" si="15"/>
        <v>-0.6</v>
      </c>
      <c r="T91" s="20">
        <f t="shared" si="19"/>
        <v>118.69999999999999</v>
      </c>
      <c r="U91" s="22">
        <f>AVERAGE(T80:T127)</f>
        <v>118.16875000000005</v>
      </c>
      <c r="V91" s="21">
        <v>489.9</v>
      </c>
      <c r="W91">
        <f t="shared" si="12"/>
        <v>244.95</v>
      </c>
      <c r="X91">
        <f t="shared" si="16"/>
        <v>64039.999999999993</v>
      </c>
      <c r="Y91">
        <f t="shared" si="23"/>
        <v>4846.3999999999987</v>
      </c>
      <c r="AA91" s="36">
        <v>8.9628454237378303</v>
      </c>
    </row>
    <row r="92" spans="1:27" x14ac:dyDescent="0.25">
      <c r="A92" s="118"/>
      <c r="B92" s="35"/>
      <c r="C92" s="13">
        <v>41606</v>
      </c>
      <c r="D92" s="25">
        <v>0.8</v>
      </c>
      <c r="E92" s="24">
        <v>-2.2000000000000002</v>
      </c>
      <c r="F92" s="25">
        <v>3.3</v>
      </c>
      <c r="G92">
        <f t="shared" si="17"/>
        <v>1081.7</v>
      </c>
      <c r="H92">
        <f t="shared" si="22"/>
        <v>42.3</v>
      </c>
      <c r="I92" s="34" t="s">
        <v>43</v>
      </c>
      <c r="J92">
        <v>0</v>
      </c>
      <c r="K92">
        <f t="shared" si="13"/>
        <v>252.9</v>
      </c>
      <c r="L92">
        <v>0.4</v>
      </c>
      <c r="M92">
        <f t="shared" si="14"/>
        <v>125.69999999999999</v>
      </c>
      <c r="N92" s="9">
        <f t="shared" si="11"/>
        <v>-0.4</v>
      </c>
      <c r="O92" s="19">
        <f t="shared" si="20"/>
        <v>118.29999999999998</v>
      </c>
      <c r="P92" s="14">
        <v>87</v>
      </c>
      <c r="Q92" s="15">
        <v>1</v>
      </c>
      <c r="R92" s="16">
        <f t="shared" si="18"/>
        <v>0.4</v>
      </c>
      <c r="S92" s="16">
        <f t="shared" si="15"/>
        <v>-0.4</v>
      </c>
      <c r="T92" s="20">
        <f t="shared" si="19"/>
        <v>118.29999999999998</v>
      </c>
      <c r="U92" s="34" t="s">
        <v>45</v>
      </c>
      <c r="V92" s="21">
        <v>208.3</v>
      </c>
      <c r="W92">
        <f t="shared" si="12"/>
        <v>260.375</v>
      </c>
      <c r="X92">
        <f t="shared" si="16"/>
        <v>64248.299999999996</v>
      </c>
      <c r="Y92">
        <f t="shared" si="23"/>
        <v>5054.6999999999989</v>
      </c>
      <c r="AA92" s="36">
        <v>8.9302079833875805</v>
      </c>
    </row>
    <row r="93" spans="1:27" x14ac:dyDescent="0.25">
      <c r="A93" s="118"/>
      <c r="B93" s="35"/>
      <c r="C93" s="13">
        <v>41607</v>
      </c>
      <c r="D93" s="25">
        <v>4.9000000000000004</v>
      </c>
      <c r="E93" s="25">
        <v>2.5</v>
      </c>
      <c r="F93">
        <v>6.6</v>
      </c>
      <c r="G93">
        <f t="shared" si="17"/>
        <v>1086.6000000000001</v>
      </c>
      <c r="H93">
        <f t="shared" si="22"/>
        <v>47.199999999999996</v>
      </c>
      <c r="I93">
        <v>216.5</v>
      </c>
      <c r="J93">
        <v>1.1000000000000001</v>
      </c>
      <c r="K93">
        <f t="shared" si="13"/>
        <v>254</v>
      </c>
      <c r="L93">
        <v>0.2</v>
      </c>
      <c r="M93">
        <f t="shared" si="14"/>
        <v>125.89999999999999</v>
      </c>
      <c r="N93">
        <f t="shared" si="11"/>
        <v>0.90000000000000013</v>
      </c>
      <c r="O93" s="19">
        <f t="shared" si="20"/>
        <v>119.19999999999999</v>
      </c>
      <c r="P93" s="14">
        <v>88</v>
      </c>
      <c r="Q93" s="15">
        <v>1</v>
      </c>
      <c r="R93" s="16">
        <f t="shared" si="18"/>
        <v>0.2</v>
      </c>
      <c r="S93" s="16">
        <f t="shared" si="15"/>
        <v>0.90000000000000013</v>
      </c>
      <c r="T93" s="20">
        <f t="shared" si="19"/>
        <v>119.19999999999999</v>
      </c>
      <c r="U93" s="23">
        <v>38</v>
      </c>
      <c r="V93" s="21">
        <v>264.89999999999998</v>
      </c>
      <c r="W93">
        <f t="shared" si="12"/>
        <v>54.061224489795912</v>
      </c>
      <c r="X93">
        <f t="shared" si="16"/>
        <v>64513.2</v>
      </c>
      <c r="Y93">
        <f t="shared" si="23"/>
        <v>5319.5999999999985</v>
      </c>
      <c r="AA93" s="36">
        <v>8.8986098916936101</v>
      </c>
    </row>
    <row r="94" spans="1:27" x14ac:dyDescent="0.25">
      <c r="A94" s="118"/>
      <c r="B94" s="35"/>
      <c r="C94" s="13">
        <v>41608</v>
      </c>
      <c r="D94" s="25">
        <v>4.9000000000000004</v>
      </c>
      <c r="E94" s="25">
        <v>4.9000000000000004</v>
      </c>
      <c r="F94">
        <v>5.7</v>
      </c>
      <c r="G94">
        <f t="shared" si="17"/>
        <v>1091.5000000000002</v>
      </c>
      <c r="H94">
        <f t="shared" si="22"/>
        <v>52.099999999999994</v>
      </c>
      <c r="J94">
        <v>0.3</v>
      </c>
      <c r="K94">
        <f t="shared" si="13"/>
        <v>254.3</v>
      </c>
      <c r="L94">
        <v>0.3</v>
      </c>
      <c r="M94">
        <f t="shared" si="14"/>
        <v>126.19999999999999</v>
      </c>
      <c r="N94">
        <f t="shared" si="11"/>
        <v>0</v>
      </c>
      <c r="O94" s="19">
        <f t="shared" si="20"/>
        <v>119.19999999999999</v>
      </c>
      <c r="P94" s="14">
        <v>89</v>
      </c>
      <c r="Q94" s="15">
        <v>1</v>
      </c>
      <c r="R94" s="16">
        <f t="shared" si="18"/>
        <v>0.3</v>
      </c>
      <c r="S94" s="16">
        <f t="shared" si="15"/>
        <v>0</v>
      </c>
      <c r="T94" s="20">
        <f t="shared" si="19"/>
        <v>119.19999999999999</v>
      </c>
      <c r="V94" s="21">
        <v>215.9</v>
      </c>
      <c r="W94">
        <f t="shared" si="12"/>
        <v>44.061224489795919</v>
      </c>
      <c r="X94">
        <f t="shared" si="16"/>
        <v>64729.1</v>
      </c>
      <c r="Y94">
        <f t="shared" si="23"/>
        <v>5535.4999999999982</v>
      </c>
      <c r="AA94" s="36">
        <v>8.8680790812860604</v>
      </c>
    </row>
    <row r="95" spans="1:27" x14ac:dyDescent="0.25">
      <c r="A95" s="118"/>
      <c r="B95" s="35"/>
      <c r="C95" s="13">
        <v>41609</v>
      </c>
      <c r="D95" s="25">
        <v>3.7</v>
      </c>
      <c r="E95" s="25">
        <v>2</v>
      </c>
      <c r="F95">
        <v>5.9</v>
      </c>
      <c r="G95">
        <f t="shared" si="17"/>
        <v>1095.2000000000003</v>
      </c>
      <c r="H95">
        <f t="shared" si="22"/>
        <v>55.8</v>
      </c>
      <c r="J95">
        <v>0</v>
      </c>
      <c r="K95">
        <f t="shared" si="13"/>
        <v>254.3</v>
      </c>
      <c r="L95">
        <v>0.6</v>
      </c>
      <c r="M95">
        <f t="shared" si="14"/>
        <v>126.79999999999998</v>
      </c>
      <c r="N95" s="9">
        <f t="shared" si="11"/>
        <v>-0.6</v>
      </c>
      <c r="O95" s="19">
        <f t="shared" si="20"/>
        <v>118.6</v>
      </c>
      <c r="P95" s="14">
        <v>90</v>
      </c>
      <c r="Q95" s="15">
        <v>1</v>
      </c>
      <c r="R95" s="16">
        <f t="shared" si="18"/>
        <v>0.6</v>
      </c>
      <c r="S95" s="16">
        <f t="shared" si="15"/>
        <v>-0.6</v>
      </c>
      <c r="T95" s="20">
        <f t="shared" si="19"/>
        <v>118.6</v>
      </c>
      <c r="V95" s="21">
        <v>459.5</v>
      </c>
      <c r="W95">
        <f t="shared" si="12"/>
        <v>124.18918918918918</v>
      </c>
      <c r="X95">
        <f t="shared" si="16"/>
        <v>65188.6</v>
      </c>
      <c r="Y95">
        <f t="shared" si="23"/>
        <v>5994.9999999999982</v>
      </c>
      <c r="AA95" s="36">
        <v>8.8386431724372407</v>
      </c>
    </row>
    <row r="96" spans="1:27" x14ac:dyDescent="0.25">
      <c r="A96" s="118"/>
      <c r="B96" s="35"/>
      <c r="C96" s="13">
        <v>41610</v>
      </c>
      <c r="D96" s="25">
        <v>4.0999999999999996</v>
      </c>
      <c r="E96" s="25">
        <v>3</v>
      </c>
      <c r="F96">
        <v>6.4</v>
      </c>
      <c r="G96">
        <f t="shared" si="17"/>
        <v>1099.3000000000002</v>
      </c>
      <c r="H96">
        <f t="shared" si="22"/>
        <v>59.9</v>
      </c>
      <c r="J96">
        <v>0</v>
      </c>
      <c r="K96">
        <f t="shared" si="13"/>
        <v>254.3</v>
      </c>
      <c r="L96">
        <v>0.8</v>
      </c>
      <c r="M96">
        <f t="shared" si="14"/>
        <v>127.59999999999998</v>
      </c>
      <c r="N96" s="9">
        <f t="shared" si="11"/>
        <v>-0.8</v>
      </c>
      <c r="O96" s="19">
        <f t="shared" si="20"/>
        <v>117.8</v>
      </c>
      <c r="P96" s="14">
        <v>91</v>
      </c>
      <c r="Q96" s="15">
        <v>1</v>
      </c>
      <c r="R96" s="16">
        <f t="shared" si="18"/>
        <v>0.8</v>
      </c>
      <c r="S96" s="16">
        <f t="shared" si="15"/>
        <v>-0.8</v>
      </c>
      <c r="T96" s="20">
        <f t="shared" si="19"/>
        <v>117.8</v>
      </c>
      <c r="V96" s="21">
        <v>327.9</v>
      </c>
      <c r="W96">
        <f t="shared" si="12"/>
        <v>79.975609756097569</v>
      </c>
      <c r="X96">
        <f t="shared" si="16"/>
        <v>65516.5</v>
      </c>
      <c r="Y96">
        <f t="shared" si="23"/>
        <v>6322.8999999999978</v>
      </c>
      <c r="AA96" s="36">
        <v>8.81032939665082</v>
      </c>
    </row>
    <row r="97" spans="1:27" x14ac:dyDescent="0.25">
      <c r="A97" s="118"/>
      <c r="B97" s="35"/>
      <c r="C97" s="13">
        <v>41611</v>
      </c>
      <c r="D97" s="25">
        <v>1.3</v>
      </c>
      <c r="E97" s="24">
        <v>-2.5</v>
      </c>
      <c r="F97">
        <v>5.5</v>
      </c>
      <c r="G97">
        <f t="shared" si="17"/>
        <v>1100.6000000000001</v>
      </c>
      <c r="H97">
        <f t="shared" si="22"/>
        <v>61.199999999999996</v>
      </c>
      <c r="J97">
        <v>0</v>
      </c>
      <c r="K97">
        <f t="shared" si="13"/>
        <v>254.3</v>
      </c>
      <c r="L97">
        <v>0.7</v>
      </c>
      <c r="M97">
        <f t="shared" si="14"/>
        <v>128.29999999999998</v>
      </c>
      <c r="N97" s="9">
        <f t="shared" si="11"/>
        <v>-0.7</v>
      </c>
      <c r="O97" s="19">
        <f t="shared" si="20"/>
        <v>117.1</v>
      </c>
      <c r="P97" s="14">
        <v>92</v>
      </c>
      <c r="Q97" s="15">
        <v>1</v>
      </c>
      <c r="R97" s="16">
        <f t="shared" si="18"/>
        <v>0.7</v>
      </c>
      <c r="S97" s="16">
        <f t="shared" si="15"/>
        <v>-0.7</v>
      </c>
      <c r="T97" s="20">
        <f t="shared" si="19"/>
        <v>117.1</v>
      </c>
      <c r="V97" s="21">
        <v>679.6</v>
      </c>
      <c r="W97">
        <f t="shared" si="12"/>
        <v>522.76923076923072</v>
      </c>
      <c r="X97">
        <f t="shared" si="16"/>
        <v>66196.100000000006</v>
      </c>
      <c r="Y97">
        <f t="shared" si="23"/>
        <v>7002.4999999999982</v>
      </c>
      <c r="AA97" s="36">
        <v>8.7831645184467408</v>
      </c>
    </row>
    <row r="98" spans="1:27" x14ac:dyDescent="0.25">
      <c r="A98" s="118"/>
      <c r="B98" s="35"/>
      <c r="C98" s="13">
        <v>41612</v>
      </c>
      <c r="D98" s="25">
        <v>1.1000000000000001</v>
      </c>
      <c r="E98" s="24">
        <v>-2</v>
      </c>
      <c r="F98" s="25">
        <v>3.2</v>
      </c>
      <c r="G98">
        <f t="shared" si="17"/>
        <v>1101.7</v>
      </c>
      <c r="H98">
        <f t="shared" si="22"/>
        <v>62.3</v>
      </c>
      <c r="J98">
        <v>0</v>
      </c>
      <c r="K98">
        <f t="shared" si="13"/>
        <v>254.3</v>
      </c>
      <c r="L98">
        <v>0.3</v>
      </c>
      <c r="M98">
        <f t="shared" si="14"/>
        <v>128.6</v>
      </c>
      <c r="N98" s="9">
        <f t="shared" si="11"/>
        <v>-0.3</v>
      </c>
      <c r="O98" s="19">
        <f t="shared" si="20"/>
        <v>116.8</v>
      </c>
      <c r="P98" s="14">
        <v>93</v>
      </c>
      <c r="Q98" s="15">
        <v>1</v>
      </c>
      <c r="R98" s="16">
        <f t="shared" si="18"/>
        <v>0.3</v>
      </c>
      <c r="S98" s="16">
        <f t="shared" si="15"/>
        <v>-0.3</v>
      </c>
      <c r="T98" s="20">
        <f t="shared" si="19"/>
        <v>116.8</v>
      </c>
      <c r="V98" s="21">
        <v>348.4</v>
      </c>
      <c r="W98">
        <f t="shared" si="12"/>
        <v>316.72727272727269</v>
      </c>
      <c r="X98">
        <f t="shared" si="16"/>
        <v>66544.5</v>
      </c>
      <c r="Y98">
        <f t="shared" si="23"/>
        <v>7350.8999999999978</v>
      </c>
      <c r="AA98" s="36">
        <v>8.7571747557076591</v>
      </c>
    </row>
    <row r="99" spans="1:27" x14ac:dyDescent="0.25">
      <c r="A99" s="118"/>
      <c r="B99" s="35"/>
      <c r="C99" s="13">
        <v>41613</v>
      </c>
      <c r="D99" s="25">
        <v>4.5</v>
      </c>
      <c r="E99" s="25">
        <v>3</v>
      </c>
      <c r="F99">
        <v>5.9</v>
      </c>
      <c r="G99">
        <f t="shared" si="17"/>
        <v>1106.2</v>
      </c>
      <c r="H99">
        <f t="shared" si="22"/>
        <v>66.8</v>
      </c>
      <c r="J99">
        <v>0.3</v>
      </c>
      <c r="K99">
        <f t="shared" si="13"/>
        <v>254.60000000000002</v>
      </c>
      <c r="L99">
        <v>0.4</v>
      </c>
      <c r="M99">
        <f t="shared" si="14"/>
        <v>129</v>
      </c>
      <c r="N99" s="9">
        <f t="shared" si="11"/>
        <v>-0.10000000000000003</v>
      </c>
      <c r="O99" s="19">
        <f t="shared" si="20"/>
        <v>116.7</v>
      </c>
      <c r="P99" s="14">
        <v>94</v>
      </c>
      <c r="Q99" s="15">
        <v>1</v>
      </c>
      <c r="R99" s="16">
        <f t="shared" si="18"/>
        <v>0.4</v>
      </c>
      <c r="S99" s="16">
        <f t="shared" si="15"/>
        <v>-0.10000000000000003</v>
      </c>
      <c r="T99" s="20">
        <f t="shared" si="19"/>
        <v>116.7</v>
      </c>
      <c r="V99" s="21">
        <v>213.8</v>
      </c>
      <c r="W99">
        <f t="shared" si="12"/>
        <v>47.511111111111113</v>
      </c>
      <c r="X99">
        <f t="shared" si="16"/>
        <v>66758.3</v>
      </c>
      <c r="Y99">
        <f t="shared" si="23"/>
        <v>7564.699999999998</v>
      </c>
      <c r="AA99" s="36">
        <v>8.7323856989857909</v>
      </c>
    </row>
    <row r="100" spans="1:27" x14ac:dyDescent="0.25">
      <c r="A100" s="118"/>
      <c r="B100" s="35"/>
      <c r="C100" s="13">
        <v>41614</v>
      </c>
      <c r="D100" s="25">
        <v>5</v>
      </c>
      <c r="E100" s="25">
        <v>4.4000000000000004</v>
      </c>
      <c r="F100">
        <v>7.7</v>
      </c>
      <c r="G100">
        <f t="shared" si="17"/>
        <v>1111.2</v>
      </c>
      <c r="H100">
        <f t="shared" si="22"/>
        <v>71.8</v>
      </c>
      <c r="J100">
        <v>0</v>
      </c>
      <c r="K100">
        <f t="shared" si="13"/>
        <v>254.60000000000002</v>
      </c>
      <c r="L100">
        <v>0.7</v>
      </c>
      <c r="M100">
        <f t="shared" si="14"/>
        <v>129.69999999999999</v>
      </c>
      <c r="N100" s="9">
        <f t="shared" si="11"/>
        <v>-0.7</v>
      </c>
      <c r="O100" s="19">
        <f t="shared" si="20"/>
        <v>116</v>
      </c>
      <c r="P100" s="14">
        <v>95</v>
      </c>
      <c r="Q100" s="15">
        <v>1</v>
      </c>
      <c r="R100" s="16">
        <f t="shared" si="18"/>
        <v>0.7</v>
      </c>
      <c r="S100" s="16">
        <f t="shared" si="15"/>
        <v>-0.7</v>
      </c>
      <c r="T100" s="20">
        <f t="shared" si="19"/>
        <v>116</v>
      </c>
      <c r="V100" s="21">
        <v>306</v>
      </c>
      <c r="W100">
        <f t="shared" si="12"/>
        <v>61.2</v>
      </c>
      <c r="X100">
        <f t="shared" si="16"/>
        <v>67064.3</v>
      </c>
      <c r="Y100">
        <f t="shared" si="23"/>
        <v>7870.699999999998</v>
      </c>
      <c r="AA100" s="36">
        <v>8.7088222302001199</v>
      </c>
    </row>
    <row r="101" spans="1:27" x14ac:dyDescent="0.25">
      <c r="A101" s="118"/>
      <c r="B101" s="35"/>
      <c r="C101" s="13">
        <v>41615</v>
      </c>
      <c r="D101" s="25">
        <v>2.4</v>
      </c>
      <c r="E101" s="25">
        <v>0.2</v>
      </c>
      <c r="F101">
        <v>6.7</v>
      </c>
      <c r="G101">
        <f t="shared" si="17"/>
        <v>1113.6000000000001</v>
      </c>
      <c r="H101">
        <f t="shared" si="22"/>
        <v>74.2</v>
      </c>
      <c r="J101">
        <v>0</v>
      </c>
      <c r="K101">
        <f t="shared" si="13"/>
        <v>254.60000000000002</v>
      </c>
      <c r="L101">
        <v>0.8</v>
      </c>
      <c r="M101">
        <f t="shared" si="14"/>
        <v>130.5</v>
      </c>
      <c r="N101" s="9">
        <f t="shared" si="11"/>
        <v>-0.8</v>
      </c>
      <c r="O101" s="19">
        <f t="shared" si="20"/>
        <v>115.2</v>
      </c>
      <c r="P101" s="14">
        <v>96</v>
      </c>
      <c r="Q101" s="15">
        <v>1</v>
      </c>
      <c r="R101" s="16">
        <f t="shared" si="18"/>
        <v>0.8</v>
      </c>
      <c r="S101" s="16">
        <f t="shared" si="15"/>
        <v>-0.8</v>
      </c>
      <c r="T101" s="20">
        <f t="shared" si="19"/>
        <v>115.2</v>
      </c>
      <c r="V101" s="21">
        <v>619.70000000000005</v>
      </c>
      <c r="W101">
        <f t="shared" si="12"/>
        <v>258.20833333333337</v>
      </c>
      <c r="X101">
        <f t="shared" si="16"/>
        <v>67684</v>
      </c>
      <c r="Y101">
        <f t="shared" si="23"/>
        <v>8490.3999999999978</v>
      </c>
      <c r="AA101" s="36">
        <v>8.6865084411824505</v>
      </c>
    </row>
    <row r="102" spans="1:27" x14ac:dyDescent="0.25">
      <c r="A102" s="118"/>
      <c r="B102" s="35"/>
      <c r="C102" s="13">
        <v>41616</v>
      </c>
      <c r="D102" s="25">
        <v>1.2</v>
      </c>
      <c r="E102" s="24">
        <v>-1.8</v>
      </c>
      <c r="F102">
        <v>5.8</v>
      </c>
      <c r="G102">
        <f t="shared" si="17"/>
        <v>1114.8000000000002</v>
      </c>
      <c r="H102">
        <f t="shared" si="22"/>
        <v>75.400000000000006</v>
      </c>
      <c r="J102">
        <v>0</v>
      </c>
      <c r="K102">
        <f t="shared" si="13"/>
        <v>254.60000000000002</v>
      </c>
      <c r="L102">
        <v>0.7</v>
      </c>
      <c r="M102">
        <f t="shared" si="14"/>
        <v>131.19999999999999</v>
      </c>
      <c r="N102" s="9">
        <f t="shared" si="11"/>
        <v>-0.7</v>
      </c>
      <c r="O102" s="19">
        <f t="shared" si="20"/>
        <v>114.5</v>
      </c>
      <c r="P102" s="14">
        <v>97</v>
      </c>
      <c r="Q102" s="15">
        <v>1</v>
      </c>
      <c r="R102" s="16">
        <f t="shared" si="18"/>
        <v>0.7</v>
      </c>
      <c r="S102" s="16">
        <f t="shared" si="15"/>
        <v>-0.7</v>
      </c>
      <c r="T102" s="20">
        <f t="shared" si="19"/>
        <v>114.5</v>
      </c>
      <c r="V102" s="21">
        <v>714</v>
      </c>
      <c r="W102">
        <f t="shared" si="12"/>
        <v>595</v>
      </c>
      <c r="X102">
        <f t="shared" si="16"/>
        <v>68398</v>
      </c>
      <c r="Y102">
        <f t="shared" si="23"/>
        <v>9204.3999999999978</v>
      </c>
      <c r="AA102" s="36">
        <v>8.6654675525556293</v>
      </c>
    </row>
    <row r="103" spans="1:27" x14ac:dyDescent="0.25">
      <c r="A103" s="118"/>
      <c r="B103" s="35"/>
      <c r="C103" s="13">
        <v>41617</v>
      </c>
      <c r="D103" s="25">
        <v>1</v>
      </c>
      <c r="E103" s="24">
        <v>-3.2</v>
      </c>
      <c r="F103">
        <v>6.3</v>
      </c>
      <c r="G103">
        <f t="shared" si="17"/>
        <v>1115.8000000000002</v>
      </c>
      <c r="H103">
        <f t="shared" si="22"/>
        <v>76.400000000000006</v>
      </c>
      <c r="J103">
        <v>0</v>
      </c>
      <c r="K103">
        <f t="shared" si="13"/>
        <v>254.60000000000002</v>
      </c>
      <c r="L103">
        <v>0.6</v>
      </c>
      <c r="M103">
        <f t="shared" si="14"/>
        <v>131.79999999999998</v>
      </c>
      <c r="N103" s="9">
        <f t="shared" si="11"/>
        <v>-0.6</v>
      </c>
      <c r="O103" s="19">
        <f t="shared" si="20"/>
        <v>113.9</v>
      </c>
      <c r="P103" s="14">
        <v>98</v>
      </c>
      <c r="Q103" s="15">
        <v>1</v>
      </c>
      <c r="R103" s="16">
        <f t="shared" si="18"/>
        <v>0.6</v>
      </c>
      <c r="S103" s="16">
        <f t="shared" si="15"/>
        <v>-0.6</v>
      </c>
      <c r="T103" s="20">
        <f t="shared" si="19"/>
        <v>113.9</v>
      </c>
      <c r="V103" s="21">
        <v>631.6</v>
      </c>
      <c r="W103">
        <f t="shared" si="12"/>
        <v>631.6</v>
      </c>
      <c r="X103">
        <f t="shared" si="16"/>
        <v>69029.600000000006</v>
      </c>
      <c r="Y103">
        <f t="shared" si="23"/>
        <v>9835.9999999999982</v>
      </c>
      <c r="AA103" s="36">
        <v>8.6457218334486399</v>
      </c>
    </row>
    <row r="104" spans="1:27" x14ac:dyDescent="0.25">
      <c r="A104" s="118"/>
      <c r="B104" s="35"/>
      <c r="C104" s="13">
        <v>41618</v>
      </c>
      <c r="D104" s="25">
        <v>1.1000000000000001</v>
      </c>
      <c r="E104" s="24">
        <v>-2.5</v>
      </c>
      <c r="F104">
        <v>5.7</v>
      </c>
      <c r="G104">
        <f t="shared" si="17"/>
        <v>1116.9000000000001</v>
      </c>
      <c r="H104">
        <f t="shared" si="22"/>
        <v>77.5</v>
      </c>
      <c r="J104">
        <v>0</v>
      </c>
      <c r="K104">
        <f t="shared" si="13"/>
        <v>254.60000000000002</v>
      </c>
      <c r="L104">
        <v>0.7</v>
      </c>
      <c r="M104">
        <f t="shared" si="14"/>
        <v>132.49999999999997</v>
      </c>
      <c r="N104" s="9">
        <f t="shared" si="11"/>
        <v>-0.7</v>
      </c>
      <c r="O104" s="19">
        <f t="shared" si="20"/>
        <v>113.2</v>
      </c>
      <c r="P104" s="14">
        <v>99</v>
      </c>
      <c r="Q104" s="15">
        <v>1</v>
      </c>
      <c r="R104" s="16">
        <f t="shared" si="18"/>
        <v>0.7</v>
      </c>
      <c r="S104" s="16">
        <f t="shared" si="15"/>
        <v>-0.7</v>
      </c>
      <c r="T104" s="20">
        <f t="shared" si="19"/>
        <v>113.2</v>
      </c>
      <c r="V104" s="21">
        <v>682.8</v>
      </c>
      <c r="W104">
        <f t="shared" si="12"/>
        <v>620.72727272727263</v>
      </c>
      <c r="X104">
        <f t="shared" si="16"/>
        <v>69712.400000000009</v>
      </c>
      <c r="Y104">
        <f t="shared" si="23"/>
        <v>10518.799999999997</v>
      </c>
      <c r="AA104" s="36">
        <v>8.6272925225698796</v>
      </c>
    </row>
    <row r="105" spans="1:27" x14ac:dyDescent="0.25">
      <c r="A105" s="118"/>
      <c r="B105" s="35"/>
      <c r="C105" s="13">
        <v>41619</v>
      </c>
      <c r="D105" s="25">
        <v>0.1</v>
      </c>
      <c r="E105" s="24">
        <v>-3.3</v>
      </c>
      <c r="F105" s="25">
        <v>3.9</v>
      </c>
      <c r="G105">
        <f t="shared" si="17"/>
        <v>1117</v>
      </c>
      <c r="H105">
        <f t="shared" si="22"/>
        <v>77.599999999999994</v>
      </c>
      <c r="J105">
        <v>0</v>
      </c>
      <c r="K105">
        <f t="shared" si="13"/>
        <v>254.60000000000002</v>
      </c>
      <c r="L105">
        <v>0.6</v>
      </c>
      <c r="M105">
        <f t="shared" si="14"/>
        <v>133.09999999999997</v>
      </c>
      <c r="N105" s="9">
        <f t="shared" si="11"/>
        <v>-0.6</v>
      </c>
      <c r="O105" s="19">
        <f t="shared" si="20"/>
        <v>112.60000000000001</v>
      </c>
      <c r="P105" s="14">
        <v>100</v>
      </c>
      <c r="Q105" s="15">
        <v>1</v>
      </c>
      <c r="R105" s="16">
        <f t="shared" si="18"/>
        <v>0.6</v>
      </c>
      <c r="S105" s="16">
        <f t="shared" si="15"/>
        <v>-0.6</v>
      </c>
      <c r="T105" s="20">
        <f t="shared" si="19"/>
        <v>112.60000000000001</v>
      </c>
      <c r="V105" s="21">
        <v>684</v>
      </c>
      <c r="W105">
        <f t="shared" si="12"/>
        <v>6840</v>
      </c>
      <c r="X105">
        <f t="shared" si="16"/>
        <v>70396.400000000009</v>
      </c>
      <c r="Y105">
        <f t="shared" si="23"/>
        <v>11202.799999999997</v>
      </c>
      <c r="AA105" s="36">
        <v>8.6101997511717201</v>
      </c>
    </row>
    <row r="106" spans="1:27" x14ac:dyDescent="0.25">
      <c r="A106" s="118"/>
      <c r="B106" s="35"/>
      <c r="C106" s="13">
        <v>41620</v>
      </c>
      <c r="D106" s="25">
        <v>0.1</v>
      </c>
      <c r="E106" s="24">
        <v>-3.5</v>
      </c>
      <c r="F106" s="25">
        <v>4.5999999999999996</v>
      </c>
      <c r="G106">
        <f t="shared" si="17"/>
        <v>1117.0999999999999</v>
      </c>
      <c r="H106">
        <f t="shared" si="22"/>
        <v>77.699999999999989</v>
      </c>
      <c r="J106">
        <v>0</v>
      </c>
      <c r="K106">
        <f t="shared" si="13"/>
        <v>254.60000000000002</v>
      </c>
      <c r="L106">
        <v>0.5</v>
      </c>
      <c r="M106">
        <f t="shared" si="14"/>
        <v>133.59999999999997</v>
      </c>
      <c r="N106" s="9">
        <f t="shared" si="11"/>
        <v>-0.5</v>
      </c>
      <c r="O106" s="19">
        <f t="shared" si="20"/>
        <v>112.10000000000001</v>
      </c>
      <c r="P106" s="14">
        <v>101</v>
      </c>
      <c r="Q106" s="15">
        <v>1</v>
      </c>
      <c r="R106" s="16">
        <f t="shared" si="18"/>
        <v>0.5</v>
      </c>
      <c r="S106" s="16">
        <f t="shared" si="15"/>
        <v>-0.5</v>
      </c>
      <c r="T106" s="20">
        <f t="shared" si="19"/>
        <v>112.10000000000001</v>
      </c>
      <c r="V106" s="21">
        <v>548.79999999999995</v>
      </c>
      <c r="W106">
        <f t="shared" si="12"/>
        <v>5487.9999999999991</v>
      </c>
      <c r="X106">
        <f t="shared" si="16"/>
        <v>70945.200000000012</v>
      </c>
      <c r="Y106">
        <f t="shared" si="23"/>
        <v>11751.599999999997</v>
      </c>
      <c r="AA106" s="36">
        <v>8.5944624684455402</v>
      </c>
    </row>
    <row r="107" spans="1:27" x14ac:dyDescent="0.25">
      <c r="A107" s="118"/>
      <c r="B107" s="35"/>
      <c r="C107" s="13">
        <v>41621</v>
      </c>
      <c r="D107" s="25">
        <v>2.9</v>
      </c>
      <c r="E107" s="24">
        <v>-3.4</v>
      </c>
      <c r="F107">
        <v>7.4</v>
      </c>
      <c r="G107">
        <f t="shared" si="17"/>
        <v>1120</v>
      </c>
      <c r="H107">
        <f t="shared" si="22"/>
        <v>80.599999999999994</v>
      </c>
      <c r="J107">
        <v>4.2</v>
      </c>
      <c r="K107">
        <f t="shared" si="13"/>
        <v>258.8</v>
      </c>
      <c r="L107">
        <v>0.5</v>
      </c>
      <c r="M107">
        <f t="shared" si="14"/>
        <v>134.09999999999997</v>
      </c>
      <c r="N107">
        <f t="shared" si="11"/>
        <v>3.7</v>
      </c>
      <c r="O107" s="19">
        <f t="shared" si="20"/>
        <v>115.80000000000001</v>
      </c>
      <c r="P107" s="14">
        <v>102</v>
      </c>
      <c r="Q107" s="15">
        <v>1</v>
      </c>
      <c r="R107" s="16">
        <f t="shared" si="18"/>
        <v>0.5</v>
      </c>
      <c r="S107" s="16">
        <f t="shared" si="15"/>
        <v>3.7</v>
      </c>
      <c r="T107" s="20">
        <f t="shared" si="19"/>
        <v>115.80000000000001</v>
      </c>
      <c r="V107" s="21">
        <v>573.79999999999995</v>
      </c>
      <c r="W107">
        <f t="shared" si="12"/>
        <v>197.86206896551724</v>
      </c>
      <c r="X107">
        <f t="shared" si="16"/>
        <v>71519.000000000015</v>
      </c>
      <c r="Y107">
        <f t="shared" si="23"/>
        <v>12325.399999999996</v>
      </c>
      <c r="AA107" s="36">
        <v>8.5800983698870308</v>
      </c>
    </row>
    <row r="108" spans="1:27" x14ac:dyDescent="0.25">
      <c r="A108" s="118"/>
      <c r="B108" s="35"/>
      <c r="C108" s="13">
        <v>41622</v>
      </c>
      <c r="D108" s="25">
        <v>4.8</v>
      </c>
      <c r="E108" s="25">
        <v>3.2</v>
      </c>
      <c r="F108">
        <v>6.5</v>
      </c>
      <c r="G108">
        <f t="shared" si="17"/>
        <v>1124.8</v>
      </c>
      <c r="H108">
        <f t="shared" si="22"/>
        <v>85.399999999999991</v>
      </c>
      <c r="J108">
        <v>0</v>
      </c>
      <c r="K108">
        <f t="shared" si="13"/>
        <v>258.8</v>
      </c>
      <c r="L108">
        <v>0.2</v>
      </c>
      <c r="M108">
        <f t="shared" si="14"/>
        <v>134.29999999999995</v>
      </c>
      <c r="N108" s="9">
        <f t="shared" si="11"/>
        <v>-0.2</v>
      </c>
      <c r="O108" s="19">
        <f t="shared" si="20"/>
        <v>115.60000000000001</v>
      </c>
      <c r="P108" s="14">
        <v>103</v>
      </c>
      <c r="Q108" s="15">
        <v>1</v>
      </c>
      <c r="R108" s="16">
        <f t="shared" si="18"/>
        <v>0.2</v>
      </c>
      <c r="S108" s="16">
        <f t="shared" si="15"/>
        <v>-0.2</v>
      </c>
      <c r="T108" s="20">
        <f t="shared" si="19"/>
        <v>115.60000000000001</v>
      </c>
      <c r="V108" s="21">
        <v>212.3</v>
      </c>
      <c r="W108">
        <f t="shared" si="12"/>
        <v>44.229166666666671</v>
      </c>
      <c r="X108">
        <f t="shared" si="16"/>
        <v>71731.300000000017</v>
      </c>
      <c r="Y108">
        <f t="shared" si="23"/>
        <v>12537.699999999995</v>
      </c>
      <c r="AA108" s="36">
        <v>8.5671238291655598</v>
      </c>
    </row>
    <row r="109" spans="1:27" x14ac:dyDescent="0.25">
      <c r="A109" s="118"/>
      <c r="B109" s="35"/>
      <c r="C109" s="13">
        <v>41623</v>
      </c>
      <c r="D109" s="25">
        <v>2.9</v>
      </c>
      <c r="E109" s="24">
        <v>-0.3</v>
      </c>
      <c r="F109">
        <v>8.3000000000000007</v>
      </c>
      <c r="G109">
        <f t="shared" si="17"/>
        <v>1127.7</v>
      </c>
      <c r="H109">
        <f t="shared" si="22"/>
        <v>88.3</v>
      </c>
      <c r="J109">
        <v>0.1</v>
      </c>
      <c r="K109">
        <f t="shared" si="13"/>
        <v>258.90000000000003</v>
      </c>
      <c r="L109">
        <v>0.7</v>
      </c>
      <c r="M109">
        <f t="shared" si="14"/>
        <v>134.99999999999994</v>
      </c>
      <c r="N109" s="9">
        <f t="shared" si="11"/>
        <v>-0.6</v>
      </c>
      <c r="O109" s="19">
        <f t="shared" si="20"/>
        <v>115.00000000000001</v>
      </c>
      <c r="P109" s="14">
        <v>104</v>
      </c>
      <c r="Q109" s="15">
        <v>1</v>
      </c>
      <c r="R109" s="16">
        <f t="shared" si="18"/>
        <v>0.7</v>
      </c>
      <c r="S109" s="16">
        <f t="shared" si="15"/>
        <v>-0.6</v>
      </c>
      <c r="T109" s="20">
        <f t="shared" si="19"/>
        <v>115.00000000000001</v>
      </c>
      <c r="V109" s="21">
        <v>594</v>
      </c>
      <c r="W109">
        <f t="shared" si="12"/>
        <v>204.82758620689657</v>
      </c>
      <c r="X109">
        <f t="shared" si="16"/>
        <v>72325.300000000017</v>
      </c>
      <c r="Y109">
        <f t="shared" si="23"/>
        <v>13131.699999999995</v>
      </c>
      <c r="AA109" s="36">
        <v>8.5555538340193706</v>
      </c>
    </row>
    <row r="110" spans="1:27" x14ac:dyDescent="0.25">
      <c r="A110" s="118"/>
      <c r="B110" s="35"/>
      <c r="C110" s="13">
        <v>41624</v>
      </c>
      <c r="D110" s="25">
        <v>4.0999999999999996</v>
      </c>
      <c r="E110" s="24">
        <v>-0.4</v>
      </c>
      <c r="F110">
        <v>12</v>
      </c>
      <c r="G110">
        <f t="shared" si="17"/>
        <v>1131.8</v>
      </c>
      <c r="H110">
        <f t="shared" si="22"/>
        <v>92.399999999999991</v>
      </c>
      <c r="J110">
        <v>0</v>
      </c>
      <c r="K110">
        <f t="shared" si="13"/>
        <v>258.90000000000003</v>
      </c>
      <c r="L110">
        <v>0.8</v>
      </c>
      <c r="M110">
        <f t="shared" si="14"/>
        <v>135.79999999999995</v>
      </c>
      <c r="N110" s="9">
        <f t="shared" si="11"/>
        <v>-0.8</v>
      </c>
      <c r="O110" s="19">
        <f t="shared" si="20"/>
        <v>114.20000000000002</v>
      </c>
      <c r="P110" s="14">
        <v>105</v>
      </c>
      <c r="Q110" s="15">
        <v>1</v>
      </c>
      <c r="R110" s="16">
        <f t="shared" si="18"/>
        <v>0.8</v>
      </c>
      <c r="S110" s="16">
        <f t="shared" si="15"/>
        <v>-0.8</v>
      </c>
      <c r="T110" s="20">
        <f t="shared" si="19"/>
        <v>114.20000000000002</v>
      </c>
      <c r="V110" s="21">
        <v>596.20000000000005</v>
      </c>
      <c r="W110">
        <f t="shared" si="12"/>
        <v>145.41463414634148</v>
      </c>
      <c r="X110">
        <f t="shared" si="16"/>
        <v>72921.500000000015</v>
      </c>
      <c r="Y110">
        <f t="shared" si="23"/>
        <v>13727.899999999996</v>
      </c>
      <c r="AA110" s="36">
        <v>8.5454019266794496</v>
      </c>
    </row>
    <row r="111" spans="1:27" x14ac:dyDescent="0.25">
      <c r="A111" s="118"/>
      <c r="B111" s="35"/>
      <c r="C111" s="13">
        <v>41625</v>
      </c>
      <c r="D111" s="25">
        <v>6</v>
      </c>
      <c r="E111" s="24">
        <v>-1</v>
      </c>
      <c r="F111">
        <v>13.2</v>
      </c>
      <c r="G111">
        <f t="shared" si="17"/>
        <v>1137.8</v>
      </c>
      <c r="H111">
        <f t="shared" si="22"/>
        <v>98.399999999999991</v>
      </c>
      <c r="J111">
        <v>0.2</v>
      </c>
      <c r="K111">
        <f t="shared" si="13"/>
        <v>259.10000000000002</v>
      </c>
      <c r="L111">
        <v>0.7</v>
      </c>
      <c r="M111">
        <f t="shared" si="14"/>
        <v>136.49999999999994</v>
      </c>
      <c r="N111" s="9">
        <f t="shared" si="11"/>
        <v>-0.49999999999999994</v>
      </c>
      <c r="O111" s="19">
        <f t="shared" si="20"/>
        <v>113.70000000000002</v>
      </c>
      <c r="P111" s="14">
        <v>106</v>
      </c>
      <c r="Q111" s="15">
        <v>1</v>
      </c>
      <c r="R111" s="16">
        <f t="shared" si="18"/>
        <v>0.7</v>
      </c>
      <c r="S111" s="16">
        <f t="shared" si="15"/>
        <v>-0.49999999999999994</v>
      </c>
      <c r="T111" s="20">
        <f t="shared" si="19"/>
        <v>113.70000000000002</v>
      </c>
      <c r="V111" s="21">
        <v>540.6</v>
      </c>
      <c r="W111">
        <f t="shared" si="12"/>
        <v>90.100000000000009</v>
      </c>
      <c r="X111">
        <f t="shared" si="16"/>
        <v>73462.10000000002</v>
      </c>
      <c r="Y111">
        <f t="shared" si="23"/>
        <v>14268.499999999996</v>
      </c>
      <c r="AA111" s="36">
        <v>8.5366801493000803</v>
      </c>
    </row>
    <row r="112" spans="1:27" x14ac:dyDescent="0.25">
      <c r="A112" s="118"/>
      <c r="B112" s="12"/>
      <c r="C112" s="13">
        <v>41626</v>
      </c>
      <c r="D112">
        <v>8.8000000000000007</v>
      </c>
      <c r="E112">
        <v>6.3</v>
      </c>
      <c r="F112">
        <v>11.5</v>
      </c>
      <c r="G112">
        <f t="shared" si="17"/>
        <v>1146.5999999999999</v>
      </c>
      <c r="H112">
        <f t="shared" si="22"/>
        <v>107.19999999999999</v>
      </c>
      <c r="J112">
        <v>1.7</v>
      </c>
      <c r="K112">
        <f t="shared" si="13"/>
        <v>260.8</v>
      </c>
      <c r="L112">
        <v>1</v>
      </c>
      <c r="M112">
        <f t="shared" si="14"/>
        <v>137.49999999999994</v>
      </c>
      <c r="N112">
        <f t="shared" si="11"/>
        <v>0.7</v>
      </c>
      <c r="O112" s="19">
        <f t="shared" si="20"/>
        <v>114.40000000000002</v>
      </c>
      <c r="P112" s="14">
        <v>107</v>
      </c>
      <c r="Q112" s="15">
        <v>1</v>
      </c>
      <c r="R112" s="16">
        <f t="shared" si="18"/>
        <v>1</v>
      </c>
      <c r="S112" s="16">
        <f t="shared" si="15"/>
        <v>0.7</v>
      </c>
      <c r="T112" s="20">
        <f t="shared" si="19"/>
        <v>114.40000000000002</v>
      </c>
      <c r="V112" s="21">
        <v>354.7</v>
      </c>
      <c r="W112">
        <f t="shared" si="12"/>
        <v>40.30681818181818</v>
      </c>
      <c r="X112">
        <f t="shared" si="16"/>
        <v>73816.800000000017</v>
      </c>
      <c r="Y112">
        <f t="shared" si="23"/>
        <v>14623.199999999997</v>
      </c>
      <c r="AA112" s="36">
        <v>8.5293989948420403</v>
      </c>
    </row>
    <row r="113" spans="1:27" x14ac:dyDescent="0.25">
      <c r="A113" s="118"/>
      <c r="B113" s="35"/>
      <c r="C113" s="13">
        <v>41627</v>
      </c>
      <c r="D113">
        <v>7.3</v>
      </c>
      <c r="E113" s="25">
        <v>3.6</v>
      </c>
      <c r="F113">
        <v>9.8000000000000007</v>
      </c>
      <c r="G113">
        <f t="shared" si="17"/>
        <v>1153.8999999999999</v>
      </c>
      <c r="H113">
        <f t="shared" si="22"/>
        <v>114.49999999999999</v>
      </c>
      <c r="J113">
        <v>0.3</v>
      </c>
      <c r="K113">
        <f t="shared" si="13"/>
        <v>261.10000000000002</v>
      </c>
      <c r="L113">
        <v>0.5</v>
      </c>
      <c r="M113">
        <f t="shared" si="14"/>
        <v>137.99999999999994</v>
      </c>
      <c r="N113" s="9">
        <f t="shared" si="11"/>
        <v>-0.2</v>
      </c>
      <c r="O113" s="19">
        <f t="shared" si="20"/>
        <v>114.20000000000002</v>
      </c>
      <c r="P113" s="14">
        <v>108</v>
      </c>
      <c r="Q113" s="15">
        <v>1</v>
      </c>
      <c r="R113" s="16">
        <f t="shared" si="18"/>
        <v>0.5</v>
      </c>
      <c r="S113" s="16">
        <f t="shared" si="15"/>
        <v>-0.2</v>
      </c>
      <c r="T113" s="20">
        <f t="shared" si="19"/>
        <v>114.20000000000002</v>
      </c>
      <c r="V113" s="21">
        <v>424.2</v>
      </c>
      <c r="W113">
        <f t="shared" si="12"/>
        <v>58.109589041095887</v>
      </c>
      <c r="X113">
        <f t="shared" si="16"/>
        <v>74241.000000000015</v>
      </c>
      <c r="Y113">
        <f t="shared" si="23"/>
        <v>15047.399999999998</v>
      </c>
      <c r="AA113" s="36">
        <v>8.5235673638171896</v>
      </c>
    </row>
    <row r="114" spans="1:27" x14ac:dyDescent="0.25">
      <c r="A114" s="118"/>
      <c r="B114" s="35"/>
      <c r="C114" s="13">
        <v>41628</v>
      </c>
      <c r="D114" s="25">
        <v>3.5</v>
      </c>
      <c r="E114" s="25">
        <v>2</v>
      </c>
      <c r="F114">
        <v>7</v>
      </c>
      <c r="G114">
        <f t="shared" si="17"/>
        <v>1157.3999999999999</v>
      </c>
      <c r="H114">
        <f t="shared" si="22"/>
        <v>117.99999999999999</v>
      </c>
      <c r="J114">
        <v>0</v>
      </c>
      <c r="K114">
        <f t="shared" si="13"/>
        <v>261.10000000000002</v>
      </c>
      <c r="L114">
        <v>0.6</v>
      </c>
      <c r="M114">
        <f t="shared" si="14"/>
        <v>138.59999999999994</v>
      </c>
      <c r="N114" s="9">
        <f t="shared" si="11"/>
        <v>-0.6</v>
      </c>
      <c r="O114" s="19">
        <f t="shared" si="20"/>
        <v>113.60000000000002</v>
      </c>
      <c r="P114" s="14">
        <v>109</v>
      </c>
      <c r="Q114" s="15">
        <v>1</v>
      </c>
      <c r="R114" s="16">
        <f t="shared" si="18"/>
        <v>0.6</v>
      </c>
      <c r="S114" s="16">
        <f t="shared" si="15"/>
        <v>-0.6</v>
      </c>
      <c r="T114" s="20">
        <f t="shared" si="19"/>
        <v>113.60000000000002</v>
      </c>
      <c r="V114" s="21">
        <v>590.4</v>
      </c>
      <c r="W114">
        <f t="shared" si="12"/>
        <v>168.68571428571428</v>
      </c>
      <c r="X114">
        <f t="shared" si="16"/>
        <v>74831.400000000009</v>
      </c>
      <c r="Y114">
        <f t="shared" si="23"/>
        <v>15637.799999999997</v>
      </c>
      <c r="AA114" s="36">
        <v>8.5191925272595306</v>
      </c>
    </row>
    <row r="115" spans="1:27" x14ac:dyDescent="0.25">
      <c r="A115" s="118"/>
      <c r="B115" s="35"/>
      <c r="C115" s="13">
        <v>41629</v>
      </c>
      <c r="D115" s="25">
        <v>3</v>
      </c>
      <c r="E115" s="24">
        <v>-0.4</v>
      </c>
      <c r="F115">
        <v>7.3</v>
      </c>
      <c r="G115">
        <f t="shared" si="17"/>
        <v>1160.3999999999999</v>
      </c>
      <c r="H115">
        <f t="shared" si="22"/>
        <v>120.99999999999999</v>
      </c>
      <c r="J115">
        <v>1.1000000000000001</v>
      </c>
      <c r="K115">
        <f t="shared" si="13"/>
        <v>262.20000000000005</v>
      </c>
      <c r="L115">
        <v>0.6</v>
      </c>
      <c r="M115">
        <f t="shared" si="14"/>
        <v>139.19999999999993</v>
      </c>
      <c r="N115">
        <f t="shared" si="11"/>
        <v>0.50000000000000011</v>
      </c>
      <c r="O115" s="19">
        <f t="shared" si="20"/>
        <v>114.10000000000002</v>
      </c>
      <c r="P115" s="14">
        <v>110</v>
      </c>
      <c r="Q115" s="15">
        <v>1</v>
      </c>
      <c r="R115" s="16">
        <f t="shared" si="18"/>
        <v>0.6</v>
      </c>
      <c r="S115" s="16">
        <f t="shared" si="15"/>
        <v>0.50000000000000011</v>
      </c>
      <c r="T115" s="20">
        <f t="shared" si="19"/>
        <v>114.10000000000002</v>
      </c>
      <c r="V115" s="21">
        <v>312.5</v>
      </c>
      <c r="W115">
        <f t="shared" si="12"/>
        <v>104.16666666666667</v>
      </c>
      <c r="X115">
        <f t="shared" si="16"/>
        <v>75143.900000000009</v>
      </c>
      <c r="Y115">
        <f t="shared" si="23"/>
        <v>15950.299999999997</v>
      </c>
      <c r="AA115" s="36">
        <v>8.5162800962391305</v>
      </c>
    </row>
    <row r="116" spans="1:27" x14ac:dyDescent="0.25">
      <c r="A116" s="118"/>
      <c r="B116" s="35"/>
      <c r="C116" s="13">
        <v>41630</v>
      </c>
      <c r="D116">
        <v>8.6999999999999993</v>
      </c>
      <c r="E116" s="25">
        <v>3.6</v>
      </c>
      <c r="F116">
        <v>10.3</v>
      </c>
      <c r="G116">
        <f t="shared" si="17"/>
        <v>1169.0999999999999</v>
      </c>
      <c r="H116">
        <f t="shared" si="22"/>
        <v>129.69999999999999</v>
      </c>
      <c r="J116">
        <v>1.1000000000000001</v>
      </c>
      <c r="K116">
        <f t="shared" si="13"/>
        <v>263.30000000000007</v>
      </c>
      <c r="L116">
        <v>0.2</v>
      </c>
      <c r="M116">
        <f t="shared" si="14"/>
        <v>139.39999999999992</v>
      </c>
      <c r="N116">
        <f t="shared" si="11"/>
        <v>0.90000000000000013</v>
      </c>
      <c r="O116" s="19">
        <f t="shared" si="20"/>
        <v>115.00000000000003</v>
      </c>
      <c r="P116" s="14">
        <v>111</v>
      </c>
      <c r="Q116" s="15">
        <v>1</v>
      </c>
      <c r="R116" s="16">
        <f t="shared" si="18"/>
        <v>0.2</v>
      </c>
      <c r="S116" s="16">
        <f t="shared" si="15"/>
        <v>0.90000000000000013</v>
      </c>
      <c r="T116" s="20">
        <f t="shared" si="19"/>
        <v>115.00000000000003</v>
      </c>
      <c r="V116" s="21">
        <v>254</v>
      </c>
      <c r="W116">
        <f t="shared" si="12"/>
        <v>29.195402298850578</v>
      </c>
      <c r="X116">
        <f t="shared" si="16"/>
        <v>75397.900000000009</v>
      </c>
      <c r="Y116">
        <f t="shared" si="23"/>
        <v>16204.299999999997</v>
      </c>
      <c r="AA116" s="36">
        <v>8.5148339981825707</v>
      </c>
    </row>
    <row r="117" spans="1:27" x14ac:dyDescent="0.25">
      <c r="A117" s="118"/>
      <c r="B117" s="12"/>
      <c r="C117" s="13">
        <v>41631</v>
      </c>
      <c r="D117">
        <v>10.4</v>
      </c>
      <c r="E117">
        <v>8.6999999999999993</v>
      </c>
      <c r="F117">
        <v>12.9</v>
      </c>
      <c r="G117">
        <f t="shared" si="17"/>
        <v>1179.5</v>
      </c>
      <c r="H117">
        <f t="shared" si="22"/>
        <v>140.1</v>
      </c>
      <c r="J117">
        <v>1.2</v>
      </c>
      <c r="K117">
        <f t="shared" si="13"/>
        <v>264.50000000000006</v>
      </c>
      <c r="L117">
        <v>1.6</v>
      </c>
      <c r="M117">
        <f t="shared" si="14"/>
        <v>140.99999999999991</v>
      </c>
      <c r="N117" s="9">
        <f t="shared" si="11"/>
        <v>-0.40000000000000013</v>
      </c>
      <c r="O117" s="19">
        <f t="shared" si="20"/>
        <v>114.60000000000002</v>
      </c>
      <c r="P117" s="14">
        <v>112</v>
      </c>
      <c r="Q117" s="15">
        <v>1</v>
      </c>
      <c r="R117" s="16">
        <f t="shared" si="18"/>
        <v>1.6</v>
      </c>
      <c r="S117" s="16">
        <f t="shared" si="15"/>
        <v>-0.40000000000000013</v>
      </c>
      <c r="T117" s="20">
        <f t="shared" si="19"/>
        <v>114.60000000000002</v>
      </c>
      <c r="V117" s="21">
        <v>520.5</v>
      </c>
      <c r="W117">
        <f t="shared" si="12"/>
        <v>50.04807692307692</v>
      </c>
      <c r="X117">
        <f t="shared" si="16"/>
        <v>75918.400000000009</v>
      </c>
      <c r="Y117">
        <f t="shared" si="23"/>
        <v>16724.799999999996</v>
      </c>
      <c r="AA117" s="36">
        <v>8.5148564602056798</v>
      </c>
    </row>
    <row r="118" spans="1:27" x14ac:dyDescent="0.25">
      <c r="A118" s="118"/>
      <c r="B118" s="12"/>
      <c r="C118" s="13">
        <v>41632</v>
      </c>
      <c r="D118">
        <v>10.9</v>
      </c>
      <c r="E118">
        <v>10.3</v>
      </c>
      <c r="F118">
        <v>12.1</v>
      </c>
      <c r="G118">
        <f t="shared" si="17"/>
        <v>1190.4000000000001</v>
      </c>
      <c r="H118">
        <f t="shared" si="22"/>
        <v>151</v>
      </c>
      <c r="J118">
        <v>14.4</v>
      </c>
      <c r="K118">
        <f t="shared" si="13"/>
        <v>278.90000000000003</v>
      </c>
      <c r="L118">
        <v>1.5</v>
      </c>
      <c r="M118">
        <f t="shared" si="14"/>
        <v>142.49999999999991</v>
      </c>
      <c r="N118">
        <f t="shared" si="11"/>
        <v>12.9</v>
      </c>
      <c r="O118" s="19">
        <v>122.1</v>
      </c>
      <c r="P118" s="14">
        <v>113</v>
      </c>
      <c r="Q118" s="15">
        <v>1</v>
      </c>
      <c r="R118" s="16">
        <f t="shared" si="18"/>
        <v>1.5</v>
      </c>
      <c r="S118" s="16">
        <f t="shared" si="15"/>
        <v>12.9</v>
      </c>
      <c r="T118" s="20">
        <f t="shared" si="19"/>
        <v>122.1</v>
      </c>
      <c r="V118" s="21">
        <v>105.6</v>
      </c>
      <c r="W118">
        <f t="shared" si="12"/>
        <v>9.6880733944954116</v>
      </c>
      <c r="X118">
        <f t="shared" si="16"/>
        <v>76024.000000000015</v>
      </c>
      <c r="Y118">
        <f t="shared" si="23"/>
        <v>16830.399999999994</v>
      </c>
      <c r="AA118" s="36">
        <v>8.5163479996050704</v>
      </c>
    </row>
    <row r="119" spans="1:27" x14ac:dyDescent="0.25">
      <c r="A119" s="118"/>
      <c r="B119" s="12"/>
      <c r="C119" s="13">
        <v>41633</v>
      </c>
      <c r="D119">
        <v>7.2</v>
      </c>
      <c r="E119">
        <v>6</v>
      </c>
      <c r="F119">
        <v>9.6999999999999993</v>
      </c>
      <c r="G119">
        <f t="shared" si="17"/>
        <v>1197.6000000000001</v>
      </c>
      <c r="H119">
        <f t="shared" si="22"/>
        <v>158.19999999999999</v>
      </c>
      <c r="J119">
        <v>5</v>
      </c>
      <c r="K119">
        <f t="shared" si="13"/>
        <v>283.90000000000003</v>
      </c>
      <c r="L119">
        <v>0.8</v>
      </c>
      <c r="M119">
        <f t="shared" si="14"/>
        <v>143.29999999999993</v>
      </c>
      <c r="N119">
        <f t="shared" si="11"/>
        <v>4.2</v>
      </c>
      <c r="O119" s="19">
        <v>122.1</v>
      </c>
      <c r="P119" s="14">
        <v>114</v>
      </c>
      <c r="Q119" s="15">
        <v>1</v>
      </c>
      <c r="R119" s="16">
        <f t="shared" si="18"/>
        <v>0.8</v>
      </c>
      <c r="S119" s="16">
        <f t="shared" si="15"/>
        <v>4.2</v>
      </c>
      <c r="T119" s="20">
        <f t="shared" si="19"/>
        <v>122.1</v>
      </c>
      <c r="V119" s="21">
        <v>273</v>
      </c>
      <c r="W119">
        <f t="shared" si="12"/>
        <v>37.916666666666664</v>
      </c>
      <c r="X119">
        <f t="shared" si="16"/>
        <v>76297.000000000015</v>
      </c>
      <c r="Y119">
        <f t="shared" si="23"/>
        <v>17103.399999999994</v>
      </c>
      <c r="AA119" s="36">
        <v>8.5193074215917797</v>
      </c>
    </row>
    <row r="120" spans="1:27" x14ac:dyDescent="0.25">
      <c r="A120" s="118"/>
      <c r="B120" s="35"/>
      <c r="C120" s="13">
        <v>41634</v>
      </c>
      <c r="D120" s="25">
        <v>4.8</v>
      </c>
      <c r="E120" s="25">
        <v>3.1</v>
      </c>
      <c r="F120">
        <v>7.7</v>
      </c>
      <c r="G120">
        <f t="shared" si="17"/>
        <v>1202.4000000000001</v>
      </c>
      <c r="H120">
        <f t="shared" si="22"/>
        <v>163</v>
      </c>
      <c r="J120">
        <v>0.4</v>
      </c>
      <c r="K120">
        <f t="shared" si="13"/>
        <v>284.3</v>
      </c>
      <c r="L120">
        <v>0.6</v>
      </c>
      <c r="M120">
        <f t="shared" si="14"/>
        <v>143.89999999999992</v>
      </c>
      <c r="N120" s="9">
        <f t="shared" si="11"/>
        <v>-0.19999999999999996</v>
      </c>
      <c r="O120" s="19">
        <f t="shared" si="20"/>
        <v>121.89999999999999</v>
      </c>
      <c r="P120" s="14">
        <v>115</v>
      </c>
      <c r="Q120" s="15">
        <v>1</v>
      </c>
      <c r="R120" s="16">
        <f t="shared" si="18"/>
        <v>0.6</v>
      </c>
      <c r="S120" s="16">
        <f t="shared" si="15"/>
        <v>-0.19999999999999996</v>
      </c>
      <c r="T120" s="20">
        <f t="shared" si="19"/>
        <v>121.89999999999999</v>
      </c>
      <c r="V120" s="21">
        <v>395.8</v>
      </c>
      <c r="W120">
        <f t="shared" si="12"/>
        <v>82.458333333333343</v>
      </c>
      <c r="X120">
        <f t="shared" si="16"/>
        <v>76692.800000000017</v>
      </c>
      <c r="Y120">
        <f t="shared" si="23"/>
        <v>17499.199999999993</v>
      </c>
      <c r="AA120" s="36">
        <v>8.5237318242874203</v>
      </c>
    </row>
    <row r="121" spans="1:27" x14ac:dyDescent="0.25">
      <c r="A121" s="118"/>
      <c r="B121" s="35"/>
      <c r="C121" s="13">
        <v>41635</v>
      </c>
      <c r="D121">
        <v>9.8000000000000007</v>
      </c>
      <c r="E121" s="25">
        <v>3.2</v>
      </c>
      <c r="F121">
        <v>11.7</v>
      </c>
      <c r="G121">
        <f t="shared" si="17"/>
        <v>1212.2</v>
      </c>
      <c r="H121">
        <f t="shared" si="22"/>
        <v>172.8</v>
      </c>
      <c r="J121">
        <v>4.8</v>
      </c>
      <c r="K121">
        <f t="shared" si="13"/>
        <v>289.10000000000002</v>
      </c>
      <c r="L121">
        <v>0.2</v>
      </c>
      <c r="M121">
        <f t="shared" si="14"/>
        <v>144.09999999999991</v>
      </c>
      <c r="N121">
        <f t="shared" si="11"/>
        <v>4.5999999999999996</v>
      </c>
      <c r="O121" s="19">
        <v>122.1</v>
      </c>
      <c r="P121" s="14">
        <v>116</v>
      </c>
      <c r="Q121" s="15">
        <v>1</v>
      </c>
      <c r="R121" s="16">
        <f t="shared" si="18"/>
        <v>0.2</v>
      </c>
      <c r="S121" s="16">
        <f t="shared" si="15"/>
        <v>4.5999999999999996</v>
      </c>
      <c r="T121" s="20">
        <f t="shared" si="19"/>
        <v>122.1</v>
      </c>
      <c r="V121" s="21">
        <v>234.8</v>
      </c>
      <c r="W121">
        <f t="shared" si="12"/>
        <v>23.959183673469386</v>
      </c>
      <c r="X121">
        <f t="shared" si="16"/>
        <v>76927.60000000002</v>
      </c>
      <c r="Y121">
        <f t="shared" si="23"/>
        <v>17733.999999999993</v>
      </c>
      <c r="AA121" s="36">
        <v>8.5296166109387599</v>
      </c>
    </row>
    <row r="122" spans="1:27" x14ac:dyDescent="0.25">
      <c r="A122" s="118"/>
      <c r="B122" s="35"/>
      <c r="C122" s="13">
        <v>41636</v>
      </c>
      <c r="D122">
        <v>8</v>
      </c>
      <c r="E122" s="25">
        <v>4.7</v>
      </c>
      <c r="F122">
        <v>10.199999999999999</v>
      </c>
      <c r="G122">
        <f t="shared" si="17"/>
        <v>1220.2</v>
      </c>
      <c r="H122">
        <f t="shared" si="22"/>
        <v>180.8</v>
      </c>
      <c r="J122">
        <v>0.9</v>
      </c>
      <c r="K122">
        <f t="shared" si="13"/>
        <v>290</v>
      </c>
      <c r="L122">
        <v>0.5</v>
      </c>
      <c r="M122">
        <f t="shared" si="14"/>
        <v>144.59999999999991</v>
      </c>
      <c r="N122">
        <f t="shared" si="11"/>
        <v>0.4</v>
      </c>
      <c r="O122" s="19">
        <v>122.1</v>
      </c>
      <c r="P122" s="14">
        <v>117</v>
      </c>
      <c r="Q122" s="15">
        <v>1</v>
      </c>
      <c r="R122" s="16">
        <f t="shared" si="18"/>
        <v>0.5</v>
      </c>
      <c r="S122" s="16">
        <f t="shared" si="15"/>
        <v>0.4</v>
      </c>
      <c r="T122" s="20">
        <f t="shared" si="19"/>
        <v>122.1</v>
      </c>
      <c r="V122" s="21">
        <v>193.2</v>
      </c>
      <c r="W122">
        <f t="shared" si="12"/>
        <v>24.15</v>
      </c>
      <c r="X122">
        <f t="shared" si="16"/>
        <v>77120.800000000017</v>
      </c>
      <c r="Y122">
        <f t="shared" si="23"/>
        <v>17927.199999999993</v>
      </c>
      <c r="AA122" s="36">
        <v>8.5369555092438603</v>
      </c>
    </row>
    <row r="123" spans="1:27" x14ac:dyDescent="0.25">
      <c r="A123" s="118"/>
      <c r="B123" s="35"/>
      <c r="C123" s="13">
        <v>41637</v>
      </c>
      <c r="D123" s="25">
        <v>4.4000000000000004</v>
      </c>
      <c r="E123" s="25">
        <v>3.5</v>
      </c>
      <c r="F123">
        <v>7.1</v>
      </c>
      <c r="G123">
        <f t="shared" si="17"/>
        <v>1224.6000000000001</v>
      </c>
      <c r="H123">
        <f t="shared" si="22"/>
        <v>185.20000000000002</v>
      </c>
      <c r="J123">
        <v>0</v>
      </c>
      <c r="K123">
        <f t="shared" si="13"/>
        <v>290</v>
      </c>
      <c r="L123">
        <v>0.6</v>
      </c>
      <c r="M123">
        <f t="shared" si="14"/>
        <v>145.1999999999999</v>
      </c>
      <c r="N123" s="9">
        <f t="shared" si="11"/>
        <v>-0.6</v>
      </c>
      <c r="O123" s="19">
        <f t="shared" si="20"/>
        <v>121.5</v>
      </c>
      <c r="P123" s="14">
        <v>118</v>
      </c>
      <c r="Q123" s="15">
        <v>1</v>
      </c>
      <c r="R123" s="16">
        <f t="shared" si="18"/>
        <v>0.6</v>
      </c>
      <c r="S123" s="16">
        <f t="shared" si="15"/>
        <v>-0.6</v>
      </c>
      <c r="T123" s="20">
        <f t="shared" si="19"/>
        <v>121.5</v>
      </c>
      <c r="V123" s="21">
        <v>214.9</v>
      </c>
      <c r="W123">
        <f t="shared" si="12"/>
        <v>48.840909090909086</v>
      </c>
      <c r="X123">
        <f t="shared" si="16"/>
        <v>77335.700000000012</v>
      </c>
      <c r="Y123">
        <f t="shared" si="23"/>
        <v>18142.099999999995</v>
      </c>
      <c r="AA123" s="36">
        <v>8.5457405976207603</v>
      </c>
    </row>
    <row r="124" spans="1:27" x14ac:dyDescent="0.25">
      <c r="A124" s="118"/>
      <c r="B124" s="35"/>
      <c r="C124" s="13">
        <v>41638</v>
      </c>
      <c r="D124" s="25">
        <v>4.7</v>
      </c>
      <c r="E124" s="25">
        <v>1.2</v>
      </c>
      <c r="F124">
        <v>7.4</v>
      </c>
      <c r="G124">
        <f t="shared" si="17"/>
        <v>1229.3000000000002</v>
      </c>
      <c r="H124">
        <f t="shared" si="22"/>
        <v>189.9</v>
      </c>
      <c r="J124">
        <v>0.3</v>
      </c>
      <c r="K124">
        <f t="shared" si="13"/>
        <v>290.3</v>
      </c>
      <c r="L124">
        <v>0.4</v>
      </c>
      <c r="M124">
        <f t="shared" si="14"/>
        <v>145.59999999999991</v>
      </c>
      <c r="N124" s="9">
        <f t="shared" si="11"/>
        <v>-0.10000000000000003</v>
      </c>
      <c r="O124" s="19">
        <f t="shared" si="20"/>
        <v>121.4</v>
      </c>
      <c r="P124" s="14">
        <v>119</v>
      </c>
      <c r="Q124" s="15">
        <v>1</v>
      </c>
      <c r="R124" s="16">
        <f t="shared" si="18"/>
        <v>0.4</v>
      </c>
      <c r="S124" s="16">
        <f t="shared" si="15"/>
        <v>-0.10000000000000003</v>
      </c>
      <c r="T124" s="20">
        <f t="shared" si="19"/>
        <v>121.4</v>
      </c>
      <c r="V124" s="21">
        <v>236.8</v>
      </c>
      <c r="W124">
        <f t="shared" si="12"/>
        <v>50.382978723404257</v>
      </c>
      <c r="X124">
        <f t="shared" si="16"/>
        <v>77572.500000000015</v>
      </c>
      <c r="Y124">
        <f t="shared" si="23"/>
        <v>18378.899999999994</v>
      </c>
      <c r="AA124" s="36">
        <v>8.5559623381911791</v>
      </c>
    </row>
    <row r="125" spans="1:27" x14ac:dyDescent="0.25">
      <c r="A125" s="118"/>
      <c r="B125" s="35"/>
      <c r="C125" s="13">
        <v>41639</v>
      </c>
      <c r="D125">
        <v>7.5</v>
      </c>
      <c r="E125" s="25">
        <v>4.0999999999999996</v>
      </c>
      <c r="F125">
        <v>10.7</v>
      </c>
      <c r="G125">
        <f t="shared" si="17"/>
        <v>1236.8000000000002</v>
      </c>
      <c r="H125">
        <f t="shared" si="22"/>
        <v>197.4</v>
      </c>
      <c r="J125">
        <v>2</v>
      </c>
      <c r="K125">
        <f t="shared" si="13"/>
        <v>292.3</v>
      </c>
      <c r="L125">
        <v>1.3</v>
      </c>
      <c r="M125">
        <f t="shared" si="14"/>
        <v>146.89999999999992</v>
      </c>
      <c r="N125">
        <f t="shared" si="11"/>
        <v>0.7</v>
      </c>
      <c r="O125" s="19">
        <f t="shared" si="20"/>
        <v>122.10000000000001</v>
      </c>
      <c r="P125" s="14">
        <v>120</v>
      </c>
      <c r="Q125" s="15">
        <v>1</v>
      </c>
      <c r="R125" s="16">
        <f t="shared" si="18"/>
        <v>1.3</v>
      </c>
      <c r="S125" s="16">
        <f t="shared" si="15"/>
        <v>0.7</v>
      </c>
      <c r="T125" s="20">
        <f t="shared" si="19"/>
        <v>122.1</v>
      </c>
      <c r="V125" s="21">
        <v>316.89999999999998</v>
      </c>
      <c r="W125">
        <f t="shared" si="12"/>
        <v>42.25333333333333</v>
      </c>
      <c r="X125">
        <f t="shared" si="16"/>
        <v>77889.400000000009</v>
      </c>
      <c r="Y125">
        <f t="shared" si="23"/>
        <v>18695.799999999996</v>
      </c>
      <c r="AA125" s="36">
        <v>8.5676096161953694</v>
      </c>
    </row>
    <row r="126" spans="1:27" x14ac:dyDescent="0.25">
      <c r="A126" s="118"/>
      <c r="B126" s="12"/>
      <c r="C126" s="13">
        <v>41640</v>
      </c>
      <c r="D126">
        <v>9.3000000000000007</v>
      </c>
      <c r="E126">
        <v>6.9</v>
      </c>
      <c r="F126">
        <v>11.1</v>
      </c>
      <c r="G126">
        <f t="shared" si="17"/>
        <v>1246.1000000000001</v>
      </c>
      <c r="H126">
        <f t="shared" si="22"/>
        <v>206.70000000000002</v>
      </c>
      <c r="J126">
        <v>9.1</v>
      </c>
      <c r="K126">
        <f t="shared" si="13"/>
        <v>301.40000000000003</v>
      </c>
      <c r="L126">
        <v>0.9</v>
      </c>
      <c r="M126">
        <f t="shared" si="14"/>
        <v>147.79999999999993</v>
      </c>
      <c r="N126">
        <f t="shared" si="11"/>
        <v>8.1999999999999993</v>
      </c>
      <c r="O126" s="19">
        <v>122.1</v>
      </c>
      <c r="P126" s="14">
        <v>121</v>
      </c>
      <c r="Q126" s="15">
        <v>1</v>
      </c>
      <c r="R126" s="16">
        <f t="shared" si="18"/>
        <v>0.9</v>
      </c>
      <c r="S126" s="16">
        <f t="shared" si="15"/>
        <v>8.1999999999999993</v>
      </c>
      <c r="T126" s="20">
        <f t="shared" si="19"/>
        <v>122.1</v>
      </c>
      <c r="V126" s="21">
        <v>247.6</v>
      </c>
      <c r="W126">
        <f t="shared" si="12"/>
        <v>26.623655913978492</v>
      </c>
      <c r="X126">
        <f t="shared" si="16"/>
        <v>78137.000000000015</v>
      </c>
      <c r="Y126">
        <f t="shared" si="23"/>
        <v>18943.399999999994</v>
      </c>
      <c r="AA126" s="36">
        <v>8.5848821427098798</v>
      </c>
    </row>
    <row r="127" spans="1:27" s="28" customFormat="1" x14ac:dyDescent="0.25">
      <c r="A127" s="118"/>
      <c r="B127" s="37"/>
      <c r="C127" s="27">
        <v>41641</v>
      </c>
      <c r="D127" s="28">
        <v>9.8000000000000007</v>
      </c>
      <c r="E127" s="28">
        <v>9.4</v>
      </c>
      <c r="F127" s="28">
        <v>11.1</v>
      </c>
      <c r="G127" s="29">
        <f t="shared" si="17"/>
        <v>1255.9000000000001</v>
      </c>
      <c r="H127" s="29">
        <f t="shared" si="22"/>
        <v>216.50000000000003</v>
      </c>
      <c r="J127" s="28">
        <v>1.8</v>
      </c>
      <c r="K127" s="28">
        <f t="shared" si="13"/>
        <v>303.20000000000005</v>
      </c>
      <c r="L127" s="28">
        <v>1</v>
      </c>
      <c r="M127" s="28">
        <f t="shared" si="14"/>
        <v>148.79999999999993</v>
      </c>
      <c r="N127" s="28">
        <f t="shared" si="11"/>
        <v>0.8</v>
      </c>
      <c r="O127" s="30">
        <v>122.1</v>
      </c>
      <c r="P127" s="14">
        <v>122</v>
      </c>
      <c r="Q127" s="15">
        <v>1</v>
      </c>
      <c r="R127" s="31">
        <f t="shared" si="18"/>
        <v>1</v>
      </c>
      <c r="S127" s="16">
        <f t="shared" si="15"/>
        <v>0.8</v>
      </c>
      <c r="T127" s="20">
        <f t="shared" si="19"/>
        <v>122.1</v>
      </c>
      <c r="V127" s="32">
        <v>381.4</v>
      </c>
      <c r="W127" s="28">
        <f t="shared" si="12"/>
        <v>38.918367346938773</v>
      </c>
      <c r="X127" s="28">
        <f t="shared" si="16"/>
        <v>78518.400000000009</v>
      </c>
      <c r="Y127">
        <f t="shared" si="23"/>
        <v>19324.799999999996</v>
      </c>
      <c r="AA127" s="38">
        <v>8.5997597775296697</v>
      </c>
    </row>
    <row r="128" spans="1:27" ht="15" customHeight="1" x14ac:dyDescent="0.25">
      <c r="A128" s="70" t="s">
        <v>46</v>
      </c>
      <c r="B128" s="39"/>
      <c r="C128" s="13">
        <v>41642</v>
      </c>
      <c r="D128">
        <v>10.3</v>
      </c>
      <c r="E128">
        <v>8.6</v>
      </c>
      <c r="F128">
        <v>13.1</v>
      </c>
      <c r="G128">
        <f t="shared" si="17"/>
        <v>1266.2</v>
      </c>
      <c r="H128">
        <v>10.3</v>
      </c>
      <c r="I128" s="40" t="s">
        <v>28</v>
      </c>
      <c r="J128">
        <v>0.4</v>
      </c>
      <c r="K128">
        <f t="shared" si="13"/>
        <v>303.60000000000002</v>
      </c>
      <c r="L128">
        <v>1.2</v>
      </c>
      <c r="M128">
        <f t="shared" si="14"/>
        <v>149.99999999999991</v>
      </c>
      <c r="N128" s="9">
        <f t="shared" si="11"/>
        <v>-0.79999999999999993</v>
      </c>
      <c r="O128" s="19">
        <f t="shared" si="20"/>
        <v>121.3</v>
      </c>
      <c r="P128" s="14">
        <v>123</v>
      </c>
      <c r="Q128" s="41">
        <f>1+((P128-122)/74)*(1.15-1)</f>
        <v>1.0020270270270271</v>
      </c>
      <c r="R128" s="16">
        <f t="shared" si="18"/>
        <v>1.2024324324324325</v>
      </c>
      <c r="S128" s="16">
        <f t="shared" si="15"/>
        <v>-0.80243243243243245</v>
      </c>
      <c r="T128" s="20">
        <f t="shared" si="19"/>
        <v>121.29756756756757</v>
      </c>
      <c r="U128" s="40" t="s">
        <v>29</v>
      </c>
      <c r="V128" s="21">
        <v>304.2</v>
      </c>
      <c r="W128">
        <f t="shared" si="12"/>
        <v>29.533980582524268</v>
      </c>
      <c r="X128">
        <f t="shared" si="16"/>
        <v>78822.600000000006</v>
      </c>
      <c r="Y128">
        <v>304.2</v>
      </c>
      <c r="Z128" s="40" t="s">
        <v>30</v>
      </c>
      <c r="AA128" s="36">
        <v>8.6160156694509205</v>
      </c>
    </row>
    <row r="129" spans="1:27" x14ac:dyDescent="0.25">
      <c r="A129" s="70"/>
      <c r="B129" s="39"/>
      <c r="C129" s="13">
        <v>41643</v>
      </c>
      <c r="D129">
        <v>8.1999999999999993</v>
      </c>
      <c r="E129">
        <v>6.7</v>
      </c>
      <c r="F129">
        <v>13.8</v>
      </c>
      <c r="G129">
        <f t="shared" si="17"/>
        <v>1274.4000000000001</v>
      </c>
      <c r="H129">
        <f t="shared" si="22"/>
        <v>18.5</v>
      </c>
      <c r="I129">
        <f>MIN(E128:E201)</f>
        <v>-1.6</v>
      </c>
      <c r="J129">
        <v>6.6</v>
      </c>
      <c r="K129">
        <f t="shared" si="13"/>
        <v>310.20000000000005</v>
      </c>
      <c r="L129">
        <v>1.6</v>
      </c>
      <c r="M129">
        <f t="shared" si="14"/>
        <v>151.59999999999991</v>
      </c>
      <c r="N129">
        <f t="shared" si="11"/>
        <v>5</v>
      </c>
      <c r="O129" s="19">
        <v>122.1</v>
      </c>
      <c r="P129" s="14">
        <v>124</v>
      </c>
      <c r="Q129" s="41">
        <f t="shared" ref="Q129:Q192" si="24">1+((P129-122)/74)*(1.15-1)</f>
        <v>1.0040540540540541</v>
      </c>
      <c r="R129" s="16">
        <f t="shared" si="18"/>
        <v>1.6064864864864867</v>
      </c>
      <c r="S129" s="16">
        <f t="shared" si="15"/>
        <v>4.9935135135135127</v>
      </c>
      <c r="T129" s="20">
        <f t="shared" si="19"/>
        <v>122.1</v>
      </c>
      <c r="U129">
        <v>40</v>
      </c>
      <c r="V129" s="21">
        <v>445.5</v>
      </c>
      <c r="W129">
        <f t="shared" si="12"/>
        <v>54.329268292682933</v>
      </c>
      <c r="X129">
        <f t="shared" si="16"/>
        <v>79268.100000000006</v>
      </c>
      <c r="Y129">
        <f t="shared" si="23"/>
        <v>749.7</v>
      </c>
      <c r="Z129">
        <v>49161.8</v>
      </c>
      <c r="AA129" s="36">
        <v>8.6336325083013499</v>
      </c>
    </row>
    <row r="130" spans="1:27" x14ac:dyDescent="0.25">
      <c r="A130" s="70"/>
      <c r="B130" s="42"/>
      <c r="C130" s="13">
        <v>41644</v>
      </c>
      <c r="D130">
        <v>7.2</v>
      </c>
      <c r="E130" s="25">
        <v>3.7</v>
      </c>
      <c r="F130">
        <v>9.3000000000000007</v>
      </c>
      <c r="G130">
        <f t="shared" si="17"/>
        <v>1281.6000000000001</v>
      </c>
      <c r="H130">
        <f t="shared" si="22"/>
        <v>25.7</v>
      </c>
      <c r="I130" s="40" t="s">
        <v>31</v>
      </c>
      <c r="J130">
        <v>0.5</v>
      </c>
      <c r="K130">
        <f t="shared" si="13"/>
        <v>310.70000000000005</v>
      </c>
      <c r="L130">
        <v>0.4</v>
      </c>
      <c r="M130">
        <f t="shared" si="14"/>
        <v>151.99999999999991</v>
      </c>
      <c r="N130">
        <f t="shared" si="11"/>
        <v>9.9999999999999978E-2</v>
      </c>
      <c r="O130" s="19">
        <v>122.1</v>
      </c>
      <c r="P130" s="14">
        <v>125</v>
      </c>
      <c r="Q130" s="41">
        <f t="shared" si="24"/>
        <v>1.0060810810810812</v>
      </c>
      <c r="R130" s="16">
        <f t="shared" si="18"/>
        <v>0.40243243243243249</v>
      </c>
      <c r="S130" s="16">
        <f t="shared" si="15"/>
        <v>9.7567567567567515E-2</v>
      </c>
      <c r="T130" s="20">
        <f t="shared" si="19"/>
        <v>122.1</v>
      </c>
      <c r="U130" s="40" t="s">
        <v>32</v>
      </c>
      <c r="V130" s="21">
        <v>350.9</v>
      </c>
      <c r="W130">
        <f t="shared" si="12"/>
        <v>48.736111111111107</v>
      </c>
      <c r="X130">
        <f t="shared" si="16"/>
        <v>79619</v>
      </c>
      <c r="Y130">
        <f t="shared" si="23"/>
        <v>1100.5999999999999</v>
      </c>
      <c r="Z130" s="40" t="s">
        <v>33</v>
      </c>
      <c r="AA130" s="36">
        <v>8.6525917079007595</v>
      </c>
    </row>
    <row r="131" spans="1:27" x14ac:dyDescent="0.25">
      <c r="A131" s="70"/>
      <c r="B131" s="39"/>
      <c r="C131" s="13">
        <v>41645</v>
      </c>
      <c r="D131">
        <v>11.1</v>
      </c>
      <c r="E131">
        <v>8.5</v>
      </c>
      <c r="F131">
        <v>13.2</v>
      </c>
      <c r="G131">
        <f t="shared" si="17"/>
        <v>1292.7</v>
      </c>
      <c r="H131">
        <f t="shared" si="22"/>
        <v>36.799999999999997</v>
      </c>
      <c r="I131">
        <f>MAX(F128:F201)</f>
        <v>18.8</v>
      </c>
      <c r="J131">
        <v>0.8</v>
      </c>
      <c r="K131">
        <f t="shared" si="13"/>
        <v>311.50000000000006</v>
      </c>
      <c r="L131">
        <v>0.9</v>
      </c>
      <c r="M131">
        <f t="shared" si="14"/>
        <v>152.89999999999992</v>
      </c>
      <c r="N131" s="9">
        <f t="shared" si="11"/>
        <v>-9.9999999999999978E-2</v>
      </c>
      <c r="O131" s="19">
        <f t="shared" si="20"/>
        <v>122</v>
      </c>
      <c r="P131" s="14">
        <v>126</v>
      </c>
      <c r="Q131" s="41">
        <f t="shared" si="24"/>
        <v>1.008108108108108</v>
      </c>
      <c r="R131" s="16">
        <f t="shared" si="18"/>
        <v>0.90729729729729724</v>
      </c>
      <c r="S131" s="16">
        <f t="shared" si="15"/>
        <v>-0.1072972972972972</v>
      </c>
      <c r="T131" s="20">
        <f t="shared" si="19"/>
        <v>121.9927027027027</v>
      </c>
      <c r="U131">
        <v>0</v>
      </c>
      <c r="V131" s="21">
        <v>167.7</v>
      </c>
      <c r="W131">
        <f t="shared" si="12"/>
        <v>15.108108108108107</v>
      </c>
      <c r="X131">
        <f t="shared" si="16"/>
        <v>79786.7</v>
      </c>
      <c r="Y131">
        <f t="shared" si="23"/>
        <v>1268.3</v>
      </c>
      <c r="Z131" s="43">
        <f>(Z129/100)/I141</f>
        <v>0.95850653148761955</v>
      </c>
      <c r="AA131" s="36">
        <v>8.67287347664025</v>
      </c>
    </row>
    <row r="132" spans="1:27" x14ac:dyDescent="0.25">
      <c r="A132" s="70"/>
      <c r="B132" s="39"/>
      <c r="C132" s="13">
        <v>41646</v>
      </c>
      <c r="D132">
        <v>11.2</v>
      </c>
      <c r="E132">
        <v>9.9</v>
      </c>
      <c r="F132">
        <v>12.5</v>
      </c>
      <c r="G132">
        <f t="shared" si="17"/>
        <v>1303.9000000000001</v>
      </c>
      <c r="H132">
        <f t="shared" si="22"/>
        <v>48</v>
      </c>
      <c r="I132" s="40" t="s">
        <v>34</v>
      </c>
      <c r="J132">
        <v>0.5</v>
      </c>
      <c r="K132">
        <f t="shared" si="13"/>
        <v>312.00000000000006</v>
      </c>
      <c r="L132">
        <v>0.8</v>
      </c>
      <c r="M132">
        <f t="shared" si="14"/>
        <v>153.69999999999993</v>
      </c>
      <c r="N132" s="9">
        <f t="shared" si="11"/>
        <v>-0.30000000000000004</v>
      </c>
      <c r="O132" s="19">
        <f t="shared" si="20"/>
        <v>121.7</v>
      </c>
      <c r="P132" s="14">
        <v>127</v>
      </c>
      <c r="Q132" s="41">
        <f t="shared" si="24"/>
        <v>1.0101351351351351</v>
      </c>
      <c r="R132" s="16">
        <f t="shared" si="18"/>
        <v>0.80810810810810807</v>
      </c>
      <c r="S132" s="16">
        <f t="shared" si="15"/>
        <v>-0.30810810810810807</v>
      </c>
      <c r="T132" s="20">
        <f t="shared" si="19"/>
        <v>121.68459459459459</v>
      </c>
      <c r="U132" s="40" t="s">
        <v>35</v>
      </c>
      <c r="V132" s="21">
        <v>249.3</v>
      </c>
      <c r="W132">
        <f t="shared" si="12"/>
        <v>22.258928571428573</v>
      </c>
      <c r="X132">
        <f t="shared" si="16"/>
        <v>80036</v>
      </c>
      <c r="Y132">
        <f t="shared" si="23"/>
        <v>1517.6</v>
      </c>
      <c r="Z132" s="40" t="s">
        <v>36</v>
      </c>
      <c r="AA132" s="36">
        <v>8.6944568912068796</v>
      </c>
    </row>
    <row r="133" spans="1:27" x14ac:dyDescent="0.25">
      <c r="A133" s="70"/>
      <c r="B133" s="39"/>
      <c r="C133" s="13">
        <v>41647</v>
      </c>
      <c r="D133">
        <v>10.5</v>
      </c>
      <c r="E133">
        <v>8.3000000000000007</v>
      </c>
      <c r="F133">
        <v>12.9</v>
      </c>
      <c r="G133">
        <f t="shared" si="17"/>
        <v>1314.4</v>
      </c>
      <c r="H133">
        <f t="shared" si="22"/>
        <v>58.5</v>
      </c>
      <c r="I133" s="23">
        <f>AVERAGE(D128:D201)</f>
        <v>6.9310810810810821</v>
      </c>
      <c r="J133">
        <v>0</v>
      </c>
      <c r="K133">
        <f t="shared" si="13"/>
        <v>312.00000000000006</v>
      </c>
      <c r="L133">
        <v>0.6</v>
      </c>
      <c r="M133">
        <f t="shared" si="14"/>
        <v>154.29999999999993</v>
      </c>
      <c r="N133" s="9">
        <f t="shared" si="11"/>
        <v>-0.6</v>
      </c>
      <c r="O133" s="19">
        <f t="shared" si="20"/>
        <v>121.10000000000001</v>
      </c>
      <c r="P133" s="14">
        <v>128</v>
      </c>
      <c r="Q133" s="41">
        <f t="shared" si="24"/>
        <v>1.0121621621621621</v>
      </c>
      <c r="R133" s="16">
        <f t="shared" si="18"/>
        <v>0.60729729729729731</v>
      </c>
      <c r="S133" s="16">
        <f t="shared" si="15"/>
        <v>-0.60729729729729731</v>
      </c>
      <c r="T133" s="20">
        <f t="shared" si="19"/>
        <v>121.07729729729729</v>
      </c>
      <c r="U133">
        <v>0</v>
      </c>
      <c r="V133" s="21">
        <v>276.10000000000002</v>
      </c>
      <c r="W133">
        <f t="shared" si="12"/>
        <v>26.295238095238098</v>
      </c>
      <c r="X133">
        <f t="shared" si="16"/>
        <v>80312.100000000006</v>
      </c>
      <c r="Y133">
        <f t="shared" si="23"/>
        <v>1793.6999999999998</v>
      </c>
      <c r="Z133">
        <v>55</v>
      </c>
      <c r="AA133" s="36">
        <v>8.7173199729154298</v>
      </c>
    </row>
    <row r="134" spans="1:27" x14ac:dyDescent="0.25">
      <c r="A134" s="70"/>
      <c r="B134" s="39"/>
      <c r="C134" s="13">
        <v>41648</v>
      </c>
      <c r="D134">
        <v>9.1</v>
      </c>
      <c r="E134">
        <v>7.9</v>
      </c>
      <c r="F134">
        <v>11.3</v>
      </c>
      <c r="G134">
        <f t="shared" si="17"/>
        <v>1323.5</v>
      </c>
      <c r="H134">
        <f t="shared" si="22"/>
        <v>67.599999999999994</v>
      </c>
      <c r="I134" s="40" t="s">
        <v>37</v>
      </c>
      <c r="J134">
        <v>0.3</v>
      </c>
      <c r="K134">
        <f t="shared" si="13"/>
        <v>312.30000000000007</v>
      </c>
      <c r="L134">
        <v>1</v>
      </c>
      <c r="M134">
        <f t="shared" si="14"/>
        <v>155.29999999999993</v>
      </c>
      <c r="N134" s="9">
        <f t="shared" ref="N134:N197" si="25">J134-L134</f>
        <v>-0.7</v>
      </c>
      <c r="O134" s="19">
        <f t="shared" si="20"/>
        <v>120.4</v>
      </c>
      <c r="P134" s="14">
        <v>129</v>
      </c>
      <c r="Q134" s="41">
        <f t="shared" si="24"/>
        <v>1.0141891891891892</v>
      </c>
      <c r="R134" s="16">
        <f t="shared" si="18"/>
        <v>1.0141891891891892</v>
      </c>
      <c r="S134" s="16">
        <f t="shared" si="15"/>
        <v>-0.71418918918918917</v>
      </c>
      <c r="T134" s="20">
        <f t="shared" si="19"/>
        <v>120.36310810810811</v>
      </c>
      <c r="U134" s="40" t="s">
        <v>38</v>
      </c>
      <c r="V134" s="21">
        <v>269.89999999999998</v>
      </c>
      <c r="W134">
        <f t="shared" ref="W134:W197" si="26">V134/D134</f>
        <v>29.659340659340657</v>
      </c>
      <c r="X134">
        <f t="shared" si="16"/>
        <v>80582</v>
      </c>
      <c r="Y134">
        <f t="shared" si="23"/>
        <v>2063.6</v>
      </c>
      <c r="AA134" s="36">
        <v>8.7414397661068506</v>
      </c>
    </row>
    <row r="135" spans="1:27" x14ac:dyDescent="0.25">
      <c r="A135" s="70"/>
      <c r="B135" s="39"/>
      <c r="C135" s="13">
        <v>41649</v>
      </c>
      <c r="D135">
        <v>8</v>
      </c>
      <c r="E135">
        <v>6.3</v>
      </c>
      <c r="F135">
        <v>11.3</v>
      </c>
      <c r="G135">
        <f t="shared" si="17"/>
        <v>1331.5</v>
      </c>
      <c r="H135">
        <f t="shared" si="22"/>
        <v>75.599999999999994</v>
      </c>
      <c r="I135">
        <v>5</v>
      </c>
      <c r="J135">
        <v>0</v>
      </c>
      <c r="K135">
        <f t="shared" ref="K135:K198" si="27">K134+J135</f>
        <v>312.30000000000007</v>
      </c>
      <c r="L135">
        <v>0.7</v>
      </c>
      <c r="M135">
        <f t="shared" ref="M135:M198" si="28">M134+L135</f>
        <v>155.99999999999991</v>
      </c>
      <c r="N135" s="9">
        <f t="shared" si="25"/>
        <v>-0.7</v>
      </c>
      <c r="O135" s="19">
        <f t="shared" si="20"/>
        <v>119.7</v>
      </c>
      <c r="P135" s="14">
        <v>130</v>
      </c>
      <c r="Q135" s="41">
        <f t="shared" si="24"/>
        <v>1.0162162162162163</v>
      </c>
      <c r="R135" s="16">
        <f t="shared" si="18"/>
        <v>0.7113513513513513</v>
      </c>
      <c r="S135" s="16">
        <f t="shared" ref="S135:S198" si="29">J135-R135</f>
        <v>-0.7113513513513513</v>
      </c>
      <c r="T135" s="20">
        <f t="shared" si="19"/>
        <v>119.65175675675675</v>
      </c>
      <c r="U135" s="23">
        <f>MIN(T128:T201)</f>
        <v>88.648175675675702</v>
      </c>
      <c r="V135" s="21">
        <v>359.9</v>
      </c>
      <c r="W135">
        <f t="shared" si="26"/>
        <v>44.987499999999997</v>
      </c>
      <c r="X135">
        <f t="shared" ref="X135:X198" si="30">X134+V135</f>
        <v>80941.899999999994</v>
      </c>
      <c r="Y135">
        <f t="shared" si="23"/>
        <v>2423.5</v>
      </c>
      <c r="AA135" s="36">
        <v>8.7667924180776495</v>
      </c>
    </row>
    <row r="136" spans="1:27" x14ac:dyDescent="0.25">
      <c r="A136" s="70"/>
      <c r="B136" s="39"/>
      <c r="C136" s="13">
        <v>41650</v>
      </c>
      <c r="D136">
        <v>7.6</v>
      </c>
      <c r="E136">
        <v>6.4</v>
      </c>
      <c r="F136">
        <v>9.4</v>
      </c>
      <c r="G136">
        <f t="shared" ref="G136:G199" si="31">G135+D136</f>
        <v>1339.1</v>
      </c>
      <c r="H136">
        <f t="shared" si="22"/>
        <v>83.199999999999989</v>
      </c>
      <c r="I136" s="40" t="s">
        <v>39</v>
      </c>
      <c r="J136">
        <v>0</v>
      </c>
      <c r="K136">
        <f t="shared" si="27"/>
        <v>312.30000000000007</v>
      </c>
      <c r="L136">
        <v>0.4</v>
      </c>
      <c r="M136">
        <f t="shared" si="28"/>
        <v>156.39999999999992</v>
      </c>
      <c r="N136" s="9">
        <f t="shared" si="25"/>
        <v>-0.4</v>
      </c>
      <c r="O136" s="19">
        <f t="shared" si="20"/>
        <v>119.3</v>
      </c>
      <c r="P136" s="14">
        <v>131</v>
      </c>
      <c r="Q136" s="41">
        <f t="shared" si="24"/>
        <v>1.0182432432432433</v>
      </c>
      <c r="R136" s="16">
        <f t="shared" ref="R136:R199" si="32">Q136*L136</f>
        <v>0.40729729729729736</v>
      </c>
      <c r="S136" s="16">
        <f t="shared" si="29"/>
        <v>-0.40729729729729736</v>
      </c>
      <c r="T136" s="20">
        <f t="shared" si="19"/>
        <v>119.24445945945946</v>
      </c>
      <c r="U136" s="40" t="s">
        <v>40</v>
      </c>
      <c r="V136" s="21">
        <v>109.2</v>
      </c>
      <c r="W136">
        <f t="shared" si="26"/>
        <v>14.368421052631581</v>
      </c>
      <c r="X136">
        <f t="shared" si="30"/>
        <v>81051.099999999991</v>
      </c>
      <c r="Y136">
        <f t="shared" si="23"/>
        <v>2532.6999999999998</v>
      </c>
      <c r="AA136" s="36">
        <v>8.7933532600142996</v>
      </c>
    </row>
    <row r="137" spans="1:27" x14ac:dyDescent="0.25">
      <c r="A137" s="70"/>
      <c r="B137" s="39"/>
      <c r="C137" s="13">
        <v>41651</v>
      </c>
      <c r="D137">
        <v>6.8</v>
      </c>
      <c r="E137">
        <v>6.7</v>
      </c>
      <c r="F137">
        <v>7.8</v>
      </c>
      <c r="G137">
        <f t="shared" si="31"/>
        <v>1345.8999999999999</v>
      </c>
      <c r="H137">
        <f t="shared" si="22"/>
        <v>89.999999999999986</v>
      </c>
      <c r="I137">
        <v>0</v>
      </c>
      <c r="J137">
        <v>0.9</v>
      </c>
      <c r="K137">
        <f t="shared" si="27"/>
        <v>313.20000000000005</v>
      </c>
      <c r="L137">
        <v>0.7</v>
      </c>
      <c r="M137">
        <f t="shared" si="28"/>
        <v>157.09999999999991</v>
      </c>
      <c r="N137">
        <f t="shared" si="25"/>
        <v>0.20000000000000007</v>
      </c>
      <c r="O137" s="19">
        <f t="shared" si="20"/>
        <v>119.5</v>
      </c>
      <c r="P137" s="14">
        <v>132</v>
      </c>
      <c r="Q137" s="41">
        <f t="shared" si="24"/>
        <v>1.0202702702702702</v>
      </c>
      <c r="R137" s="16">
        <f t="shared" si="32"/>
        <v>0.71418918918918906</v>
      </c>
      <c r="S137" s="16">
        <f t="shared" si="29"/>
        <v>0.18581081081081097</v>
      </c>
      <c r="T137" s="20">
        <f t="shared" si="19"/>
        <v>119.43027027027027</v>
      </c>
      <c r="U137" s="23">
        <f>MAX(T128:T201)</f>
        <v>122.1</v>
      </c>
      <c r="V137" s="21">
        <v>353.8</v>
      </c>
      <c r="W137">
        <f t="shared" si="26"/>
        <v>52.029411764705884</v>
      </c>
      <c r="X137">
        <f t="shared" si="30"/>
        <v>81404.899999999994</v>
      </c>
      <c r="Y137">
        <f t="shared" si="23"/>
        <v>2886.5</v>
      </c>
      <c r="AA137" s="36">
        <v>8.8210968884218204</v>
      </c>
    </row>
    <row r="138" spans="1:27" x14ac:dyDescent="0.25">
      <c r="A138" s="70"/>
      <c r="B138" s="42"/>
      <c r="C138" s="13">
        <v>41652</v>
      </c>
      <c r="D138">
        <v>7.3</v>
      </c>
      <c r="E138" s="25">
        <v>5</v>
      </c>
      <c r="F138">
        <v>10.1</v>
      </c>
      <c r="G138">
        <f t="shared" si="31"/>
        <v>1353.1999999999998</v>
      </c>
      <c r="H138">
        <f t="shared" si="22"/>
        <v>97.299999999999983</v>
      </c>
      <c r="I138" s="40" t="s">
        <v>41</v>
      </c>
      <c r="J138">
        <v>3</v>
      </c>
      <c r="K138">
        <f t="shared" si="27"/>
        <v>316.20000000000005</v>
      </c>
      <c r="L138">
        <v>0.6</v>
      </c>
      <c r="M138">
        <f t="shared" si="28"/>
        <v>157.6999999999999</v>
      </c>
      <c r="N138">
        <f t="shared" si="25"/>
        <v>2.4</v>
      </c>
      <c r="O138" s="19">
        <f t="shared" si="20"/>
        <v>121.9</v>
      </c>
      <c r="P138" s="14">
        <v>133</v>
      </c>
      <c r="Q138" s="41">
        <f t="shared" si="24"/>
        <v>1.0222972972972972</v>
      </c>
      <c r="R138" s="16">
        <f t="shared" si="32"/>
        <v>0.61337837837837828</v>
      </c>
      <c r="S138" s="16">
        <f t="shared" si="29"/>
        <v>2.3866216216216216</v>
      </c>
      <c r="T138" s="20">
        <f t="shared" ref="T138:T201" si="33">MIN(122.1,(T137+S138))</f>
        <v>121.81689189189188</v>
      </c>
      <c r="U138" s="40" t="s">
        <v>42</v>
      </c>
      <c r="V138" s="21">
        <v>326.39999999999998</v>
      </c>
      <c r="W138">
        <f t="shared" si="26"/>
        <v>44.712328767123289</v>
      </c>
      <c r="X138">
        <f t="shared" si="30"/>
        <v>81731.299999999988</v>
      </c>
      <c r="Y138">
        <f t="shared" si="23"/>
        <v>3212.9</v>
      </c>
      <c r="AA138" s="36">
        <v>8.8499972465554695</v>
      </c>
    </row>
    <row r="139" spans="1:27" x14ac:dyDescent="0.25">
      <c r="A139" s="70"/>
      <c r="B139" s="42"/>
      <c r="C139" s="13">
        <v>41653</v>
      </c>
      <c r="D139" s="25">
        <v>4.7</v>
      </c>
      <c r="E139" s="25">
        <v>3.5</v>
      </c>
      <c r="F139">
        <v>7.3</v>
      </c>
      <c r="G139">
        <f t="shared" si="31"/>
        <v>1357.8999999999999</v>
      </c>
      <c r="H139">
        <f t="shared" si="22"/>
        <v>101.99999999999999</v>
      </c>
      <c r="I139">
        <v>43</v>
      </c>
      <c r="J139">
        <v>0.8</v>
      </c>
      <c r="K139">
        <f t="shared" si="27"/>
        <v>317.00000000000006</v>
      </c>
      <c r="L139">
        <v>0.8</v>
      </c>
      <c r="M139">
        <f t="shared" si="28"/>
        <v>158.49999999999991</v>
      </c>
      <c r="N139">
        <f t="shared" si="25"/>
        <v>0</v>
      </c>
      <c r="O139" s="19">
        <f t="shared" ref="O139:O202" si="34">O138+N139</f>
        <v>121.9</v>
      </c>
      <c r="P139" s="14">
        <v>134</v>
      </c>
      <c r="Q139" s="41">
        <f t="shared" si="24"/>
        <v>1.0243243243243243</v>
      </c>
      <c r="R139" s="16">
        <f t="shared" si="32"/>
        <v>0.81945945945945953</v>
      </c>
      <c r="S139" s="16">
        <f t="shared" si="29"/>
        <v>-1.9459459459459483E-2</v>
      </c>
      <c r="T139" s="20">
        <f t="shared" si="33"/>
        <v>121.79743243243243</v>
      </c>
      <c r="U139" s="22">
        <f>AVERAGE(T128:T201)</f>
        <v>118.21062728268821</v>
      </c>
      <c r="V139" s="21">
        <v>578.70000000000005</v>
      </c>
      <c r="W139">
        <f t="shared" si="26"/>
        <v>123.12765957446808</v>
      </c>
      <c r="X139">
        <f t="shared" si="30"/>
        <v>82309.999999999985</v>
      </c>
      <c r="Y139">
        <f t="shared" si="23"/>
        <v>3791.6000000000004</v>
      </c>
      <c r="AA139" s="36">
        <v>8.8800277053881</v>
      </c>
    </row>
    <row r="140" spans="1:27" x14ac:dyDescent="0.25">
      <c r="A140" s="70"/>
      <c r="B140" s="42"/>
      <c r="C140" s="13">
        <v>41654</v>
      </c>
      <c r="D140">
        <v>5.9</v>
      </c>
      <c r="E140" s="25">
        <v>1.4</v>
      </c>
      <c r="F140">
        <v>9.5</v>
      </c>
      <c r="G140">
        <f t="shared" si="31"/>
        <v>1363.8</v>
      </c>
      <c r="H140">
        <f t="shared" si="22"/>
        <v>107.89999999999999</v>
      </c>
      <c r="I140" s="40" t="s">
        <v>43</v>
      </c>
      <c r="J140">
        <v>2.4</v>
      </c>
      <c r="K140">
        <f t="shared" si="27"/>
        <v>319.40000000000003</v>
      </c>
      <c r="L140">
        <v>0.5</v>
      </c>
      <c r="M140">
        <f t="shared" si="28"/>
        <v>158.99999999999991</v>
      </c>
      <c r="N140">
        <f t="shared" si="25"/>
        <v>1.9</v>
      </c>
      <c r="O140" s="19">
        <v>122.1</v>
      </c>
      <c r="P140" s="14">
        <v>135</v>
      </c>
      <c r="Q140" s="41">
        <f t="shared" si="24"/>
        <v>1.0263513513513514</v>
      </c>
      <c r="R140" s="16">
        <f t="shared" si="32"/>
        <v>0.51317567567567568</v>
      </c>
      <c r="S140" s="16">
        <f t="shared" si="29"/>
        <v>1.8868243243243241</v>
      </c>
      <c r="T140" s="20">
        <f t="shared" si="33"/>
        <v>122.1</v>
      </c>
      <c r="V140" s="21">
        <v>143.4</v>
      </c>
      <c r="W140">
        <f t="shared" si="26"/>
        <v>24.305084745762713</v>
      </c>
      <c r="X140">
        <f t="shared" si="30"/>
        <v>82453.39999999998</v>
      </c>
      <c r="Y140">
        <f t="shared" si="23"/>
        <v>3935.0000000000005</v>
      </c>
      <c r="AA140" s="36">
        <v>8.9111611436734695</v>
      </c>
    </row>
    <row r="141" spans="1:27" x14ac:dyDescent="0.25">
      <c r="A141" s="70"/>
      <c r="B141" s="39"/>
      <c r="C141" s="13">
        <v>41655</v>
      </c>
      <c r="D141">
        <v>8.1</v>
      </c>
      <c r="E141">
        <v>6.5</v>
      </c>
      <c r="F141">
        <v>9.9</v>
      </c>
      <c r="G141">
        <f t="shared" si="31"/>
        <v>1371.8999999999999</v>
      </c>
      <c r="H141">
        <f t="shared" si="22"/>
        <v>115.99999999999999</v>
      </c>
      <c r="I141">
        <v>512.9</v>
      </c>
      <c r="J141">
        <v>2.8</v>
      </c>
      <c r="K141">
        <f t="shared" si="27"/>
        <v>322.20000000000005</v>
      </c>
      <c r="L141">
        <v>1</v>
      </c>
      <c r="M141">
        <f t="shared" si="28"/>
        <v>159.99999999999991</v>
      </c>
      <c r="N141">
        <f t="shared" si="25"/>
        <v>1.7999999999999998</v>
      </c>
      <c r="O141" s="19">
        <v>122.1</v>
      </c>
      <c r="P141" s="14">
        <v>136</v>
      </c>
      <c r="Q141" s="41">
        <f t="shared" si="24"/>
        <v>1.0283783783783784</v>
      </c>
      <c r="R141" s="16">
        <f t="shared" si="32"/>
        <v>1.0283783783783784</v>
      </c>
      <c r="S141" s="16">
        <f t="shared" si="29"/>
        <v>1.7716216216216214</v>
      </c>
      <c r="T141" s="20">
        <f t="shared" si="33"/>
        <v>122.1</v>
      </c>
      <c r="U141" s="23">
        <f>(U139*100)/122.1</f>
        <v>96.814600559122198</v>
      </c>
      <c r="V141" s="21">
        <v>497.7</v>
      </c>
      <c r="W141">
        <f t="shared" si="26"/>
        <v>61.444444444444443</v>
      </c>
      <c r="X141">
        <f t="shared" si="30"/>
        <v>82951.099999999977</v>
      </c>
      <c r="Y141">
        <f t="shared" si="23"/>
        <v>4432.7000000000007</v>
      </c>
      <c r="AA141" s="36">
        <v>8.9433700266954403</v>
      </c>
    </row>
    <row r="142" spans="1:27" x14ac:dyDescent="0.25">
      <c r="A142" s="70"/>
      <c r="B142" s="42"/>
      <c r="C142" s="13">
        <v>41656</v>
      </c>
      <c r="D142">
        <v>6.2</v>
      </c>
      <c r="E142" s="25">
        <v>4.9000000000000004</v>
      </c>
      <c r="F142">
        <v>10.8</v>
      </c>
      <c r="G142">
        <f t="shared" si="31"/>
        <v>1378.1</v>
      </c>
      <c r="H142">
        <f t="shared" si="22"/>
        <v>122.19999999999999</v>
      </c>
      <c r="J142">
        <v>0</v>
      </c>
      <c r="K142">
        <f t="shared" si="27"/>
        <v>322.20000000000005</v>
      </c>
      <c r="L142">
        <v>1.4</v>
      </c>
      <c r="M142">
        <f t="shared" si="28"/>
        <v>161.39999999999992</v>
      </c>
      <c r="N142" s="9">
        <f t="shared" si="25"/>
        <v>-1.4</v>
      </c>
      <c r="O142" s="19">
        <f t="shared" si="34"/>
        <v>120.69999999999999</v>
      </c>
      <c r="P142" s="14">
        <v>137</v>
      </c>
      <c r="Q142" s="41">
        <f t="shared" si="24"/>
        <v>1.0304054054054055</v>
      </c>
      <c r="R142" s="16">
        <f t="shared" si="32"/>
        <v>1.4425675675675675</v>
      </c>
      <c r="S142" s="16">
        <f t="shared" si="29"/>
        <v>-1.4425675675675675</v>
      </c>
      <c r="T142" s="20">
        <f t="shared" si="33"/>
        <v>120.65743243243243</v>
      </c>
      <c r="V142" s="21">
        <v>767.6</v>
      </c>
      <c r="W142">
        <f t="shared" si="26"/>
        <v>123.80645161290323</v>
      </c>
      <c r="X142">
        <f t="shared" si="30"/>
        <v>83718.699999999983</v>
      </c>
      <c r="Y142">
        <f t="shared" si="23"/>
        <v>5200.3000000000011</v>
      </c>
      <c r="AA142" s="36">
        <v>8.9766264833261609</v>
      </c>
    </row>
    <row r="143" spans="1:27" x14ac:dyDescent="0.25">
      <c r="A143" s="70"/>
      <c r="B143" s="39"/>
      <c r="C143" s="13">
        <v>41657</v>
      </c>
      <c r="D143">
        <v>6.5</v>
      </c>
      <c r="E143" s="25">
        <v>2.1</v>
      </c>
      <c r="F143">
        <v>10.6</v>
      </c>
      <c r="G143">
        <f t="shared" si="31"/>
        <v>1384.6</v>
      </c>
      <c r="H143">
        <f t="shared" si="22"/>
        <v>128.69999999999999</v>
      </c>
      <c r="J143">
        <v>7.7</v>
      </c>
      <c r="K143">
        <f t="shared" si="27"/>
        <v>329.90000000000003</v>
      </c>
      <c r="L143">
        <v>0.6</v>
      </c>
      <c r="M143">
        <f t="shared" si="28"/>
        <v>161.99999999999991</v>
      </c>
      <c r="N143">
        <f t="shared" si="25"/>
        <v>7.1000000000000005</v>
      </c>
      <c r="O143" s="19">
        <v>122.1</v>
      </c>
      <c r="P143" s="14">
        <v>138</v>
      </c>
      <c r="Q143" s="41">
        <f t="shared" si="24"/>
        <v>1.0324324324324323</v>
      </c>
      <c r="R143" s="16">
        <f t="shared" si="32"/>
        <v>0.61945945945945935</v>
      </c>
      <c r="S143" s="16">
        <f t="shared" si="29"/>
        <v>7.0805405405405413</v>
      </c>
      <c r="T143" s="20">
        <f t="shared" si="33"/>
        <v>122.1</v>
      </c>
      <c r="V143" s="21">
        <v>398.2</v>
      </c>
      <c r="W143">
        <f t="shared" si="26"/>
        <v>61.261538461538457</v>
      </c>
      <c r="X143">
        <f t="shared" si="30"/>
        <v>84116.89999999998</v>
      </c>
      <c r="Y143">
        <f t="shared" si="23"/>
        <v>5598.5000000000009</v>
      </c>
      <c r="AA143">
        <v>9.0109023810498403</v>
      </c>
    </row>
    <row r="144" spans="1:27" x14ac:dyDescent="0.25">
      <c r="A144" s="70"/>
      <c r="B144" s="39"/>
      <c r="C144" s="13">
        <v>41658</v>
      </c>
      <c r="D144">
        <v>6.5</v>
      </c>
      <c r="E144">
        <v>5.9</v>
      </c>
      <c r="F144">
        <v>8.8000000000000007</v>
      </c>
      <c r="G144">
        <f t="shared" si="31"/>
        <v>1391.1</v>
      </c>
      <c r="H144">
        <f t="shared" si="22"/>
        <v>135.19999999999999</v>
      </c>
      <c r="J144">
        <v>0</v>
      </c>
      <c r="K144">
        <f t="shared" si="27"/>
        <v>329.90000000000003</v>
      </c>
      <c r="L144">
        <v>0.4</v>
      </c>
      <c r="M144">
        <f t="shared" si="28"/>
        <v>162.39999999999992</v>
      </c>
      <c r="N144" s="9">
        <f t="shared" si="25"/>
        <v>-0.4</v>
      </c>
      <c r="O144" s="19">
        <f t="shared" si="34"/>
        <v>121.69999999999999</v>
      </c>
      <c r="P144" s="14">
        <v>139</v>
      </c>
      <c r="Q144" s="41">
        <f t="shared" si="24"/>
        <v>1.0344594594594594</v>
      </c>
      <c r="R144" s="16">
        <f t="shared" si="32"/>
        <v>0.41378378378378378</v>
      </c>
      <c r="S144" s="16">
        <f t="shared" si="29"/>
        <v>-0.41378378378378378</v>
      </c>
      <c r="T144" s="20">
        <f t="shared" si="33"/>
        <v>121.68621621621621</v>
      </c>
      <c r="V144" s="21">
        <v>193.9</v>
      </c>
      <c r="W144">
        <f t="shared" si="26"/>
        <v>29.830769230769231</v>
      </c>
      <c r="X144">
        <f t="shared" si="30"/>
        <v>84310.799999999974</v>
      </c>
      <c r="Y144">
        <f t="shared" si="23"/>
        <v>5792.4000000000005</v>
      </c>
      <c r="AA144">
        <v>9.0461693986449205</v>
      </c>
    </row>
    <row r="145" spans="1:27" x14ac:dyDescent="0.25">
      <c r="A145" s="70"/>
      <c r="B145" s="39"/>
      <c r="C145" s="13">
        <v>41659</v>
      </c>
      <c r="D145" s="25">
        <v>3.5</v>
      </c>
      <c r="E145" s="25">
        <v>3.3</v>
      </c>
      <c r="F145" s="25">
        <v>3.9</v>
      </c>
      <c r="G145">
        <f t="shared" si="31"/>
        <v>1394.6</v>
      </c>
      <c r="H145">
        <f t="shared" si="22"/>
        <v>138.69999999999999</v>
      </c>
      <c r="J145">
        <v>0</v>
      </c>
      <c r="K145">
        <f t="shared" si="27"/>
        <v>329.90000000000003</v>
      </c>
      <c r="L145">
        <v>0.1</v>
      </c>
      <c r="M145">
        <f t="shared" si="28"/>
        <v>162.49999999999991</v>
      </c>
      <c r="N145" s="9">
        <f t="shared" si="25"/>
        <v>-0.1</v>
      </c>
      <c r="O145" s="19">
        <f t="shared" si="34"/>
        <v>121.6</v>
      </c>
      <c r="P145" s="14">
        <v>140</v>
      </c>
      <c r="Q145" s="41">
        <f t="shared" si="24"/>
        <v>1.0364864864864864</v>
      </c>
      <c r="R145" s="16">
        <f t="shared" si="32"/>
        <v>0.10364864864864864</v>
      </c>
      <c r="S145" s="16">
        <f t="shared" si="29"/>
        <v>-0.10364864864864864</v>
      </c>
      <c r="T145" s="20">
        <f t="shared" si="33"/>
        <v>121.58256756756757</v>
      </c>
      <c r="V145" s="21">
        <v>59.3</v>
      </c>
      <c r="W145">
        <f t="shared" si="26"/>
        <v>16.942857142857143</v>
      </c>
      <c r="X145">
        <f t="shared" si="30"/>
        <v>84370.099999999977</v>
      </c>
      <c r="Y145">
        <f t="shared" si="23"/>
        <v>5851.7000000000007</v>
      </c>
      <c r="AA145">
        <v>9.0823990962525194</v>
      </c>
    </row>
    <row r="146" spans="1:27" x14ac:dyDescent="0.25">
      <c r="A146" s="70"/>
      <c r="B146" s="39"/>
      <c r="C146" s="13">
        <v>41660</v>
      </c>
      <c r="D146" s="25">
        <v>2.7</v>
      </c>
      <c r="E146" s="25">
        <v>2.2999999999999998</v>
      </c>
      <c r="F146">
        <v>5.4</v>
      </c>
      <c r="G146">
        <f t="shared" si="31"/>
        <v>1397.3</v>
      </c>
      <c r="H146">
        <f t="shared" ref="H146:H209" si="35">H145+D146</f>
        <v>141.39999999999998</v>
      </c>
      <c r="J146">
        <v>0</v>
      </c>
      <c r="K146">
        <f t="shared" si="27"/>
        <v>329.90000000000003</v>
      </c>
      <c r="L146">
        <v>0.5</v>
      </c>
      <c r="M146">
        <f t="shared" si="28"/>
        <v>162.99999999999991</v>
      </c>
      <c r="N146" s="9">
        <f t="shared" si="25"/>
        <v>-0.5</v>
      </c>
      <c r="O146" s="19">
        <f t="shared" si="34"/>
        <v>121.1</v>
      </c>
      <c r="P146" s="14">
        <v>141</v>
      </c>
      <c r="Q146" s="41">
        <f t="shared" si="24"/>
        <v>1.0385135135135135</v>
      </c>
      <c r="R146" s="16">
        <f t="shared" si="32"/>
        <v>0.51925675675675675</v>
      </c>
      <c r="S146" s="16">
        <f t="shared" si="29"/>
        <v>-0.51925675675675675</v>
      </c>
      <c r="T146" s="20">
        <f t="shared" si="33"/>
        <v>121.0633108108108</v>
      </c>
      <c r="V146" s="21">
        <v>273.39999999999998</v>
      </c>
      <c r="W146">
        <f t="shared" si="26"/>
        <v>101.25925925925924</v>
      </c>
      <c r="X146">
        <f t="shared" si="30"/>
        <v>84643.499999999971</v>
      </c>
      <c r="Y146">
        <f t="shared" ref="Y146:Y209" si="36">Y145+V146</f>
        <v>6125.1</v>
      </c>
      <c r="AA146">
        <v>9.1195629825958093</v>
      </c>
    </row>
    <row r="147" spans="1:27" x14ac:dyDescent="0.25">
      <c r="A147" s="70"/>
      <c r="B147" s="39"/>
      <c r="C147" s="13">
        <v>41661</v>
      </c>
      <c r="D147" s="25">
        <v>2.2999999999999998</v>
      </c>
      <c r="E147" s="24">
        <v>-0.3</v>
      </c>
      <c r="F147">
        <v>5.2</v>
      </c>
      <c r="G147">
        <f t="shared" si="31"/>
        <v>1399.6</v>
      </c>
      <c r="H147">
        <f t="shared" si="35"/>
        <v>143.69999999999999</v>
      </c>
      <c r="J147">
        <v>3.4</v>
      </c>
      <c r="K147">
        <f t="shared" si="27"/>
        <v>333.3</v>
      </c>
      <c r="L147">
        <v>0.3</v>
      </c>
      <c r="M147">
        <f t="shared" si="28"/>
        <v>163.29999999999993</v>
      </c>
      <c r="N147">
        <f t="shared" si="25"/>
        <v>3.1</v>
      </c>
      <c r="O147" s="19">
        <v>122.1</v>
      </c>
      <c r="P147" s="14">
        <v>142</v>
      </c>
      <c r="Q147" s="41">
        <f t="shared" si="24"/>
        <v>1.0405405405405406</v>
      </c>
      <c r="R147" s="16">
        <f t="shared" si="32"/>
        <v>0.31216216216216214</v>
      </c>
      <c r="S147" s="16">
        <f t="shared" si="29"/>
        <v>3.0878378378378377</v>
      </c>
      <c r="T147" s="20">
        <f t="shared" si="33"/>
        <v>122.1</v>
      </c>
      <c r="V147" s="21">
        <v>129.19999999999999</v>
      </c>
      <c r="W147">
        <f t="shared" si="26"/>
        <v>56.173913043478258</v>
      </c>
      <c r="X147">
        <f t="shared" si="30"/>
        <v>84772.699999999968</v>
      </c>
      <c r="Y147">
        <f t="shared" si="36"/>
        <v>6254.3</v>
      </c>
      <c r="AA147">
        <v>9.1576325791502402</v>
      </c>
    </row>
    <row r="148" spans="1:27" x14ac:dyDescent="0.25">
      <c r="A148" s="70"/>
      <c r="B148" s="39"/>
      <c r="C148" s="13">
        <v>41662</v>
      </c>
      <c r="D148">
        <v>5.9</v>
      </c>
      <c r="E148" s="25">
        <v>3.8</v>
      </c>
      <c r="F148">
        <v>6.9</v>
      </c>
      <c r="G148">
        <f t="shared" si="31"/>
        <v>1405.5</v>
      </c>
      <c r="H148">
        <f t="shared" si="35"/>
        <v>149.6</v>
      </c>
      <c r="J148">
        <v>3.4</v>
      </c>
      <c r="K148">
        <f t="shared" si="27"/>
        <v>336.7</v>
      </c>
      <c r="L148">
        <v>0.1</v>
      </c>
      <c r="M148">
        <f t="shared" si="28"/>
        <v>163.39999999999992</v>
      </c>
      <c r="N148">
        <f t="shared" si="25"/>
        <v>3.3</v>
      </c>
      <c r="O148" s="19">
        <v>122.1</v>
      </c>
      <c r="P148" s="14">
        <v>143</v>
      </c>
      <c r="Q148" s="41">
        <f t="shared" si="24"/>
        <v>1.0425675675675676</v>
      </c>
      <c r="R148" s="16">
        <f t="shared" si="32"/>
        <v>0.10425675675675677</v>
      </c>
      <c r="S148" s="16">
        <f t="shared" si="29"/>
        <v>3.2957432432432432</v>
      </c>
      <c r="T148" s="20">
        <f t="shared" si="33"/>
        <v>122.1</v>
      </c>
      <c r="V148" s="21">
        <v>161.80000000000001</v>
      </c>
      <c r="W148">
        <f t="shared" si="26"/>
        <v>27.423728813559322</v>
      </c>
      <c r="X148">
        <f t="shared" si="30"/>
        <v>84934.499999999971</v>
      </c>
      <c r="Y148">
        <f t="shared" si="36"/>
        <v>6416.1</v>
      </c>
      <c r="AA148">
        <v>9.1965794810995494</v>
      </c>
    </row>
    <row r="149" spans="1:27" x14ac:dyDescent="0.25">
      <c r="A149" s="70"/>
      <c r="B149" s="39"/>
      <c r="C149" s="13">
        <v>41663</v>
      </c>
      <c r="D149">
        <v>5.0999999999999996</v>
      </c>
      <c r="E149" s="25">
        <v>4.5</v>
      </c>
      <c r="F149">
        <v>5.6</v>
      </c>
      <c r="G149">
        <f t="shared" si="31"/>
        <v>1410.6</v>
      </c>
      <c r="H149">
        <f t="shared" si="35"/>
        <v>154.69999999999999</v>
      </c>
      <c r="J149">
        <v>9.5</v>
      </c>
      <c r="K149">
        <f t="shared" si="27"/>
        <v>346.2</v>
      </c>
      <c r="L149">
        <v>0.2</v>
      </c>
      <c r="M149">
        <f t="shared" si="28"/>
        <v>163.59999999999991</v>
      </c>
      <c r="N149">
        <f t="shared" si="25"/>
        <v>9.3000000000000007</v>
      </c>
      <c r="O149" s="19">
        <v>122.1</v>
      </c>
      <c r="P149" s="14">
        <v>144</v>
      </c>
      <c r="Q149" s="41">
        <f t="shared" si="24"/>
        <v>1.0445945945945945</v>
      </c>
      <c r="R149" s="16">
        <f t="shared" si="32"/>
        <v>0.20891891891891889</v>
      </c>
      <c r="S149" s="16">
        <f t="shared" si="29"/>
        <v>9.2910810810810815</v>
      </c>
      <c r="T149" s="20">
        <f t="shared" si="33"/>
        <v>122.1</v>
      </c>
      <c r="V149" s="21">
        <v>66.900000000000006</v>
      </c>
      <c r="W149">
        <f t="shared" si="26"/>
        <v>13.117647058823531</v>
      </c>
      <c r="X149">
        <f t="shared" si="30"/>
        <v>85001.399999999965</v>
      </c>
      <c r="Y149">
        <f t="shared" si="36"/>
        <v>6483</v>
      </c>
      <c r="AA149">
        <v>9.2363754149463606</v>
      </c>
    </row>
    <row r="150" spans="1:27" x14ac:dyDescent="0.25">
      <c r="A150" s="70"/>
      <c r="B150" s="39"/>
      <c r="C150" s="13">
        <v>41664</v>
      </c>
      <c r="D150">
        <v>5.4</v>
      </c>
      <c r="E150" s="25">
        <v>3.2</v>
      </c>
      <c r="F150">
        <v>8</v>
      </c>
      <c r="G150">
        <f t="shared" si="31"/>
        <v>1416</v>
      </c>
      <c r="H150">
        <f t="shared" si="35"/>
        <v>160.1</v>
      </c>
      <c r="J150">
        <v>1.1000000000000001</v>
      </c>
      <c r="K150">
        <f t="shared" si="27"/>
        <v>347.3</v>
      </c>
      <c r="L150">
        <v>0.3</v>
      </c>
      <c r="M150">
        <f t="shared" si="28"/>
        <v>163.89999999999992</v>
      </c>
      <c r="N150">
        <f t="shared" si="25"/>
        <v>0.8</v>
      </c>
      <c r="O150" s="19">
        <v>122.1</v>
      </c>
      <c r="P150" s="14">
        <v>145</v>
      </c>
      <c r="Q150" s="41">
        <f t="shared" si="24"/>
        <v>1.0466216216216215</v>
      </c>
      <c r="R150" s="16">
        <f t="shared" si="32"/>
        <v>0.31398648648648647</v>
      </c>
      <c r="S150" s="16">
        <f t="shared" si="29"/>
        <v>0.78601351351351356</v>
      </c>
      <c r="T150" s="20">
        <f t="shared" si="33"/>
        <v>122.1</v>
      </c>
      <c r="V150" s="21">
        <v>138</v>
      </c>
      <c r="W150">
        <f t="shared" si="26"/>
        <v>25.555555555555554</v>
      </c>
      <c r="X150">
        <f t="shared" si="30"/>
        <v>85139.399999999965</v>
      </c>
      <c r="Y150">
        <f t="shared" si="36"/>
        <v>6621</v>
      </c>
      <c r="AA150">
        <v>9.2769922926781696</v>
      </c>
    </row>
    <row r="151" spans="1:27" x14ac:dyDescent="0.25">
      <c r="A151" s="70"/>
      <c r="B151" s="39"/>
      <c r="C151" s="13">
        <v>41665</v>
      </c>
      <c r="D151">
        <v>7.8</v>
      </c>
      <c r="E151">
        <v>5.7</v>
      </c>
      <c r="F151">
        <v>9.8000000000000007</v>
      </c>
      <c r="G151">
        <f t="shared" si="31"/>
        <v>1423.8</v>
      </c>
      <c r="H151">
        <f t="shared" si="35"/>
        <v>167.9</v>
      </c>
      <c r="J151">
        <v>7.5</v>
      </c>
      <c r="K151">
        <f t="shared" si="27"/>
        <v>354.8</v>
      </c>
      <c r="L151">
        <v>0.4</v>
      </c>
      <c r="M151">
        <f t="shared" si="28"/>
        <v>164.29999999999993</v>
      </c>
      <c r="N151">
        <f t="shared" si="25"/>
        <v>7.1</v>
      </c>
      <c r="O151" s="19">
        <v>122.1</v>
      </c>
      <c r="P151" s="14">
        <v>146</v>
      </c>
      <c r="Q151" s="41">
        <f t="shared" si="24"/>
        <v>1.0486486486486486</v>
      </c>
      <c r="R151" s="16">
        <f t="shared" si="32"/>
        <v>0.41945945945945945</v>
      </c>
      <c r="S151" s="16">
        <f t="shared" si="29"/>
        <v>7.0805405405405404</v>
      </c>
      <c r="T151" s="20">
        <f t="shared" si="33"/>
        <v>122.1</v>
      </c>
      <c r="V151" s="21">
        <v>249.3</v>
      </c>
      <c r="W151">
        <f t="shared" si="26"/>
        <v>31.961538461538463</v>
      </c>
      <c r="X151">
        <f t="shared" si="30"/>
        <v>85388.699999999968</v>
      </c>
      <c r="Y151">
        <f t="shared" si="36"/>
        <v>6870.3</v>
      </c>
      <c r="AA151">
        <v>9.3184022624206193</v>
      </c>
    </row>
    <row r="152" spans="1:27" x14ac:dyDescent="0.25">
      <c r="A152" s="70"/>
      <c r="B152" s="39"/>
      <c r="C152" s="13">
        <v>41666</v>
      </c>
      <c r="D152" s="25">
        <v>4.7</v>
      </c>
      <c r="E152" s="25">
        <v>3.5</v>
      </c>
      <c r="F152">
        <v>7.2</v>
      </c>
      <c r="G152">
        <f t="shared" si="31"/>
        <v>1428.5</v>
      </c>
      <c r="H152">
        <f t="shared" si="35"/>
        <v>172.6</v>
      </c>
      <c r="J152">
        <v>1</v>
      </c>
      <c r="K152">
        <f t="shared" si="27"/>
        <v>355.8</v>
      </c>
      <c r="L152">
        <v>1</v>
      </c>
      <c r="M152">
        <f t="shared" si="28"/>
        <v>165.29999999999993</v>
      </c>
      <c r="N152">
        <f t="shared" si="25"/>
        <v>0</v>
      </c>
      <c r="O152" s="19">
        <v>122.1</v>
      </c>
      <c r="P152" s="14">
        <v>147</v>
      </c>
      <c r="Q152" s="41">
        <f t="shared" si="24"/>
        <v>1.0506756756756757</v>
      </c>
      <c r="R152" s="16">
        <f t="shared" si="32"/>
        <v>1.0506756756756757</v>
      </c>
      <c r="S152" s="16">
        <f t="shared" si="29"/>
        <v>-5.0675675675675658E-2</v>
      </c>
      <c r="T152" s="20">
        <f t="shared" si="33"/>
        <v>122.04932432432432</v>
      </c>
      <c r="V152" s="21">
        <v>679.6</v>
      </c>
      <c r="W152">
        <f t="shared" si="26"/>
        <v>144.59574468085106</v>
      </c>
      <c r="X152">
        <f t="shared" si="30"/>
        <v>86068.299999999974</v>
      </c>
      <c r="Y152">
        <f t="shared" si="36"/>
        <v>7549.9000000000005</v>
      </c>
      <c r="AA152">
        <v>9.3605777555382303</v>
      </c>
    </row>
    <row r="153" spans="1:27" x14ac:dyDescent="0.25">
      <c r="A153" s="70"/>
      <c r="B153" s="39"/>
      <c r="C153" s="13">
        <v>41667</v>
      </c>
      <c r="D153" s="25">
        <v>4.5</v>
      </c>
      <c r="E153" s="25">
        <v>2.4</v>
      </c>
      <c r="F153">
        <v>5.5</v>
      </c>
      <c r="G153">
        <f t="shared" si="31"/>
        <v>1433</v>
      </c>
      <c r="H153">
        <f t="shared" si="35"/>
        <v>177.1</v>
      </c>
      <c r="J153">
        <v>4.5999999999999996</v>
      </c>
      <c r="K153">
        <f t="shared" si="27"/>
        <v>360.40000000000003</v>
      </c>
      <c r="L153">
        <v>0.3</v>
      </c>
      <c r="M153">
        <f t="shared" si="28"/>
        <v>165.59999999999994</v>
      </c>
      <c r="N153">
        <f t="shared" si="25"/>
        <v>4.3</v>
      </c>
      <c r="O153" s="19">
        <v>122.1</v>
      </c>
      <c r="P153" s="14">
        <v>148</v>
      </c>
      <c r="Q153" s="41">
        <f t="shared" si="24"/>
        <v>1.0527027027027027</v>
      </c>
      <c r="R153" s="16">
        <f t="shared" si="32"/>
        <v>0.3158108108108108</v>
      </c>
      <c r="S153" s="16">
        <f t="shared" si="29"/>
        <v>4.2841891891891892</v>
      </c>
      <c r="T153" s="20">
        <f t="shared" si="33"/>
        <v>122.1</v>
      </c>
      <c r="V153" s="21">
        <v>135.69999999999999</v>
      </c>
      <c r="W153">
        <f t="shared" si="26"/>
        <v>30.155555555555551</v>
      </c>
      <c r="X153">
        <f t="shared" si="30"/>
        <v>86203.999999999971</v>
      </c>
      <c r="Y153">
        <f t="shared" si="36"/>
        <v>7685.6</v>
      </c>
      <c r="AA153">
        <v>9.4034915301694895</v>
      </c>
    </row>
    <row r="154" spans="1:27" x14ac:dyDescent="0.25">
      <c r="A154" s="70"/>
      <c r="B154" s="39"/>
      <c r="C154" s="13">
        <v>41668</v>
      </c>
      <c r="D154">
        <v>5.0999999999999996</v>
      </c>
      <c r="E154" s="25">
        <v>4.4000000000000004</v>
      </c>
      <c r="F154">
        <v>6.5</v>
      </c>
      <c r="G154">
        <f t="shared" si="31"/>
        <v>1438.1</v>
      </c>
      <c r="H154">
        <f t="shared" si="35"/>
        <v>182.2</v>
      </c>
      <c r="J154">
        <v>4.9000000000000004</v>
      </c>
      <c r="K154">
        <f t="shared" si="27"/>
        <v>365.3</v>
      </c>
      <c r="L154">
        <v>0.5</v>
      </c>
      <c r="M154">
        <f t="shared" si="28"/>
        <v>166.09999999999994</v>
      </c>
      <c r="N154">
        <f t="shared" si="25"/>
        <v>4.4000000000000004</v>
      </c>
      <c r="O154" s="19">
        <v>122.1</v>
      </c>
      <c r="P154" s="14">
        <v>149</v>
      </c>
      <c r="Q154" s="41">
        <f t="shared" si="24"/>
        <v>1.0547297297297298</v>
      </c>
      <c r="R154" s="16">
        <f t="shared" si="32"/>
        <v>0.52736486486486489</v>
      </c>
      <c r="S154" s="16">
        <f t="shared" si="29"/>
        <v>4.3726351351351358</v>
      </c>
      <c r="T154" s="20">
        <f t="shared" si="33"/>
        <v>122.1</v>
      </c>
      <c r="V154" s="21">
        <v>209.6</v>
      </c>
      <c r="W154">
        <f t="shared" si="26"/>
        <v>41.098039215686278</v>
      </c>
      <c r="X154">
        <f t="shared" si="30"/>
        <v>86413.599999999977</v>
      </c>
      <c r="Y154">
        <f t="shared" si="36"/>
        <v>7895.2000000000007</v>
      </c>
      <c r="AA154">
        <v>9.4471167112080092</v>
      </c>
    </row>
    <row r="155" spans="1:27" x14ac:dyDescent="0.25">
      <c r="A155" s="70"/>
      <c r="B155" s="39"/>
      <c r="C155" s="13">
        <v>41669</v>
      </c>
      <c r="D155" s="25">
        <v>4.7</v>
      </c>
      <c r="E155" s="25">
        <v>3.7</v>
      </c>
      <c r="F155">
        <v>8</v>
      </c>
      <c r="G155">
        <f t="shared" si="31"/>
        <v>1442.8</v>
      </c>
      <c r="H155">
        <f t="shared" si="35"/>
        <v>186.89999999999998</v>
      </c>
      <c r="J155">
        <v>0.3</v>
      </c>
      <c r="K155">
        <f t="shared" si="27"/>
        <v>365.6</v>
      </c>
      <c r="L155">
        <v>0.8</v>
      </c>
      <c r="M155">
        <f t="shared" si="28"/>
        <v>166.89999999999995</v>
      </c>
      <c r="N155" s="9">
        <f t="shared" si="25"/>
        <v>-0.5</v>
      </c>
      <c r="O155" s="19">
        <f t="shared" si="34"/>
        <v>121.6</v>
      </c>
      <c r="P155" s="14">
        <v>150</v>
      </c>
      <c r="Q155" s="41">
        <f t="shared" si="24"/>
        <v>1.0567567567567566</v>
      </c>
      <c r="R155" s="16">
        <f t="shared" si="32"/>
        <v>0.84540540540540532</v>
      </c>
      <c r="S155" s="16">
        <f t="shared" si="29"/>
        <v>-0.54540540540540539</v>
      </c>
      <c r="T155" s="20">
        <f t="shared" si="33"/>
        <v>121.55459459459459</v>
      </c>
      <c r="V155" s="21">
        <v>633.70000000000005</v>
      </c>
      <c r="W155">
        <f t="shared" si="26"/>
        <v>134.82978723404256</v>
      </c>
      <c r="X155">
        <f t="shared" si="30"/>
        <v>87047.299999999974</v>
      </c>
      <c r="Y155">
        <f t="shared" si="36"/>
        <v>8528.9000000000015</v>
      </c>
      <c r="AA155">
        <v>9.4914268267631599</v>
      </c>
    </row>
    <row r="156" spans="1:27" x14ac:dyDescent="0.25">
      <c r="A156" s="70"/>
      <c r="B156" s="39"/>
      <c r="C156" s="13">
        <v>41670</v>
      </c>
      <c r="D156" s="25">
        <v>4.5999999999999996</v>
      </c>
      <c r="E156" s="24">
        <v>-1.6</v>
      </c>
      <c r="F156">
        <v>8.6999999999999993</v>
      </c>
      <c r="G156">
        <f t="shared" si="31"/>
        <v>1447.3999999999999</v>
      </c>
      <c r="H156">
        <f t="shared" si="35"/>
        <v>191.49999999999997</v>
      </c>
      <c r="J156">
        <v>2.4</v>
      </c>
      <c r="K156">
        <f t="shared" si="27"/>
        <v>368</v>
      </c>
      <c r="L156">
        <v>0.8</v>
      </c>
      <c r="M156">
        <f t="shared" si="28"/>
        <v>167.69999999999996</v>
      </c>
      <c r="N156">
        <f t="shared" si="25"/>
        <v>1.5999999999999999</v>
      </c>
      <c r="O156" s="19">
        <v>122.1</v>
      </c>
      <c r="P156" s="14">
        <v>151</v>
      </c>
      <c r="Q156" s="41">
        <f t="shared" si="24"/>
        <v>1.0587837837837837</v>
      </c>
      <c r="R156" s="16">
        <f t="shared" si="32"/>
        <v>0.84702702702702704</v>
      </c>
      <c r="S156" s="16">
        <f t="shared" si="29"/>
        <v>1.5529729729729729</v>
      </c>
      <c r="T156" s="20">
        <f t="shared" si="33"/>
        <v>122.1</v>
      </c>
      <c r="V156" s="21">
        <v>836.8</v>
      </c>
      <c r="W156">
        <f t="shared" si="26"/>
        <v>181.91304347826087</v>
      </c>
      <c r="X156">
        <f t="shared" si="30"/>
        <v>87884.099999999977</v>
      </c>
      <c r="Y156">
        <f t="shared" si="36"/>
        <v>9365.7000000000007</v>
      </c>
      <c r="AA156">
        <v>9.5363958411539507</v>
      </c>
    </row>
    <row r="157" spans="1:27" x14ac:dyDescent="0.25">
      <c r="A157" s="70"/>
      <c r="B157" s="39"/>
      <c r="C157" s="13">
        <v>41671</v>
      </c>
      <c r="D157">
        <v>6.2</v>
      </c>
      <c r="E157">
        <v>5.4</v>
      </c>
      <c r="F157">
        <v>8</v>
      </c>
      <c r="G157">
        <f t="shared" si="31"/>
        <v>1453.6</v>
      </c>
      <c r="H157">
        <f t="shared" si="35"/>
        <v>197.69999999999996</v>
      </c>
      <c r="J157">
        <v>2</v>
      </c>
      <c r="K157">
        <f t="shared" si="27"/>
        <v>370</v>
      </c>
      <c r="L157">
        <v>0.7</v>
      </c>
      <c r="M157">
        <f t="shared" si="28"/>
        <v>168.39999999999995</v>
      </c>
      <c r="N157">
        <f t="shared" si="25"/>
        <v>1.3</v>
      </c>
      <c r="O157" s="19">
        <v>122.1</v>
      </c>
      <c r="P157" s="14">
        <v>152</v>
      </c>
      <c r="Q157" s="41">
        <f t="shared" si="24"/>
        <v>1.0608108108108107</v>
      </c>
      <c r="R157" s="16">
        <f t="shared" si="32"/>
        <v>0.74256756756756748</v>
      </c>
      <c r="S157" s="16">
        <f t="shared" si="29"/>
        <v>1.2574324324324326</v>
      </c>
      <c r="T157" s="20">
        <f t="shared" si="33"/>
        <v>122.1</v>
      </c>
      <c r="V157" s="21">
        <v>261.89999999999998</v>
      </c>
      <c r="W157">
        <f t="shared" si="26"/>
        <v>42.241935483870961</v>
      </c>
      <c r="X157">
        <f t="shared" si="30"/>
        <v>88145.999999999971</v>
      </c>
      <c r="Y157">
        <f t="shared" si="36"/>
        <v>9627.6</v>
      </c>
      <c r="AA157">
        <v>9.5819981845075706</v>
      </c>
    </row>
    <row r="158" spans="1:27" x14ac:dyDescent="0.25">
      <c r="A158" s="70"/>
      <c r="B158" s="39"/>
      <c r="C158" s="13">
        <v>41672</v>
      </c>
      <c r="D158" s="25">
        <v>4</v>
      </c>
      <c r="E158" s="25">
        <v>1.2</v>
      </c>
      <c r="F158">
        <v>8</v>
      </c>
      <c r="G158">
        <f t="shared" si="31"/>
        <v>1457.6</v>
      </c>
      <c r="H158">
        <f t="shared" si="35"/>
        <v>201.69999999999996</v>
      </c>
      <c r="J158">
        <v>0.1</v>
      </c>
      <c r="K158">
        <f t="shared" si="27"/>
        <v>370.1</v>
      </c>
      <c r="L158">
        <v>0.9</v>
      </c>
      <c r="M158">
        <f t="shared" si="28"/>
        <v>169.29999999999995</v>
      </c>
      <c r="N158" s="9">
        <f t="shared" si="25"/>
        <v>-0.8</v>
      </c>
      <c r="O158" s="19">
        <f t="shared" si="34"/>
        <v>121.3</v>
      </c>
      <c r="P158" s="14">
        <v>153</v>
      </c>
      <c r="Q158" s="41">
        <f t="shared" si="24"/>
        <v>1.0628378378378378</v>
      </c>
      <c r="R158" s="16">
        <f t="shared" si="32"/>
        <v>0.95655405405405403</v>
      </c>
      <c r="S158" s="16">
        <f t="shared" si="29"/>
        <v>-0.85655405405405405</v>
      </c>
      <c r="T158" s="20">
        <f t="shared" si="33"/>
        <v>121.24344594594594</v>
      </c>
      <c r="V158" s="21">
        <v>833.4</v>
      </c>
      <c r="W158">
        <f t="shared" si="26"/>
        <v>208.35</v>
      </c>
      <c r="X158">
        <f t="shared" si="30"/>
        <v>88979.399999999965</v>
      </c>
      <c r="Y158">
        <f t="shared" si="36"/>
        <v>10461</v>
      </c>
      <c r="AA158">
        <v>9.6282087790491904</v>
      </c>
    </row>
    <row r="159" spans="1:27" x14ac:dyDescent="0.25">
      <c r="A159" s="70"/>
      <c r="B159" s="39"/>
      <c r="C159" s="13">
        <v>41673</v>
      </c>
      <c r="D159" s="25">
        <v>4.8</v>
      </c>
      <c r="E159" s="24">
        <v>-0.8</v>
      </c>
      <c r="F159">
        <v>7.8</v>
      </c>
      <c r="G159">
        <f t="shared" si="31"/>
        <v>1462.3999999999999</v>
      </c>
      <c r="H159">
        <f t="shared" si="35"/>
        <v>206.49999999999997</v>
      </c>
      <c r="J159">
        <v>0.9</v>
      </c>
      <c r="K159">
        <f t="shared" si="27"/>
        <v>371</v>
      </c>
      <c r="L159">
        <v>0.7</v>
      </c>
      <c r="M159">
        <f t="shared" si="28"/>
        <v>169.99999999999994</v>
      </c>
      <c r="N159">
        <f t="shared" si="25"/>
        <v>0.20000000000000007</v>
      </c>
      <c r="O159" s="19">
        <f t="shared" si="34"/>
        <v>121.5</v>
      </c>
      <c r="P159" s="14">
        <v>154</v>
      </c>
      <c r="Q159" s="41">
        <f t="shared" si="24"/>
        <v>1.0648648648648649</v>
      </c>
      <c r="R159" s="16">
        <f t="shared" si="32"/>
        <v>0.74540540540540534</v>
      </c>
      <c r="S159" s="16">
        <f t="shared" si="29"/>
        <v>0.15459459459459468</v>
      </c>
      <c r="T159" s="20">
        <f t="shared" si="33"/>
        <v>121.39804054054053</v>
      </c>
      <c r="V159" s="21">
        <v>843.2</v>
      </c>
      <c r="W159">
        <f t="shared" si="26"/>
        <v>175.66666666666669</v>
      </c>
      <c r="X159">
        <f t="shared" si="30"/>
        <v>89822.599999999962</v>
      </c>
      <c r="Y159">
        <f t="shared" si="36"/>
        <v>11304.2</v>
      </c>
      <c r="AA159">
        <v>9.6750030621834604</v>
      </c>
    </row>
    <row r="160" spans="1:27" x14ac:dyDescent="0.25">
      <c r="A160" s="70"/>
      <c r="B160" s="39"/>
      <c r="C160" s="13">
        <v>41674</v>
      </c>
      <c r="D160">
        <v>6.6</v>
      </c>
      <c r="E160" s="25">
        <v>3.8</v>
      </c>
      <c r="F160">
        <v>9.1999999999999993</v>
      </c>
      <c r="G160">
        <f t="shared" si="31"/>
        <v>1468.9999999999998</v>
      </c>
      <c r="H160">
        <f t="shared" si="35"/>
        <v>213.09999999999997</v>
      </c>
      <c r="J160">
        <v>1.8</v>
      </c>
      <c r="K160">
        <f t="shared" si="27"/>
        <v>372.8</v>
      </c>
      <c r="L160">
        <v>1.2</v>
      </c>
      <c r="M160">
        <f t="shared" si="28"/>
        <v>171.19999999999993</v>
      </c>
      <c r="N160">
        <f t="shared" si="25"/>
        <v>0.60000000000000009</v>
      </c>
      <c r="O160" s="19">
        <f t="shared" si="34"/>
        <v>122.1</v>
      </c>
      <c r="P160" s="14">
        <v>155</v>
      </c>
      <c r="Q160" s="41">
        <f t="shared" si="24"/>
        <v>1.0668918918918919</v>
      </c>
      <c r="R160" s="16">
        <f t="shared" si="32"/>
        <v>1.2802702702702702</v>
      </c>
      <c r="S160" s="16">
        <f t="shared" si="29"/>
        <v>0.51972972972972986</v>
      </c>
      <c r="T160" s="20">
        <f t="shared" si="33"/>
        <v>121.91777027027027</v>
      </c>
      <c r="V160" s="21">
        <v>376.1</v>
      </c>
      <c r="W160">
        <f t="shared" si="26"/>
        <v>56.984848484848492</v>
      </c>
      <c r="X160">
        <f t="shared" si="30"/>
        <v>90198.699999999968</v>
      </c>
      <c r="Y160">
        <f t="shared" si="36"/>
        <v>11680.300000000001</v>
      </c>
      <c r="AA160">
        <v>9.7223570064787594</v>
      </c>
    </row>
    <row r="161" spans="1:27" x14ac:dyDescent="0.25">
      <c r="A161" s="70"/>
      <c r="B161" s="39"/>
      <c r="C161" s="13">
        <v>41675</v>
      </c>
      <c r="D161">
        <v>7</v>
      </c>
      <c r="E161">
        <v>6.5</v>
      </c>
      <c r="F161">
        <v>8.1</v>
      </c>
      <c r="G161">
        <f t="shared" si="31"/>
        <v>1475.9999999999998</v>
      </c>
      <c r="H161">
        <f t="shared" si="35"/>
        <v>220.09999999999997</v>
      </c>
      <c r="J161">
        <v>1.2</v>
      </c>
      <c r="K161">
        <f t="shared" si="27"/>
        <v>374</v>
      </c>
      <c r="L161">
        <v>1.2</v>
      </c>
      <c r="M161">
        <f t="shared" si="28"/>
        <v>172.39999999999992</v>
      </c>
      <c r="N161">
        <f t="shared" si="25"/>
        <v>0</v>
      </c>
      <c r="O161" s="19">
        <f t="shared" si="34"/>
        <v>122.1</v>
      </c>
      <c r="P161" s="14">
        <v>156</v>
      </c>
      <c r="Q161" s="41">
        <f t="shared" si="24"/>
        <v>1.0689189189189188</v>
      </c>
      <c r="R161" s="16">
        <f t="shared" si="32"/>
        <v>1.2827027027027025</v>
      </c>
      <c r="S161" s="16">
        <f t="shared" si="29"/>
        <v>-8.2702702702702524E-2</v>
      </c>
      <c r="T161" s="20">
        <f t="shared" si="33"/>
        <v>121.83506756756756</v>
      </c>
      <c r="V161" s="21">
        <v>522.29999999999995</v>
      </c>
      <c r="W161">
        <f t="shared" si="26"/>
        <v>74.614285714285714</v>
      </c>
      <c r="X161">
        <f t="shared" si="30"/>
        <v>90720.999999999971</v>
      </c>
      <c r="Y161">
        <f t="shared" si="36"/>
        <v>12202.6</v>
      </c>
      <c r="AA161">
        <v>9.7702471366751595</v>
      </c>
    </row>
    <row r="162" spans="1:27" x14ac:dyDescent="0.25">
      <c r="A162" s="70"/>
      <c r="B162" s="39"/>
      <c r="C162" s="13">
        <v>41676</v>
      </c>
      <c r="D162">
        <v>9.6</v>
      </c>
      <c r="E162" s="25">
        <v>4.7</v>
      </c>
      <c r="F162">
        <v>13.1</v>
      </c>
      <c r="G162">
        <f t="shared" si="31"/>
        <v>1485.5999999999997</v>
      </c>
      <c r="H162">
        <f t="shared" si="35"/>
        <v>229.69999999999996</v>
      </c>
      <c r="J162">
        <v>0.8</v>
      </c>
      <c r="K162">
        <f t="shared" si="27"/>
        <v>374.8</v>
      </c>
      <c r="L162">
        <v>1.7</v>
      </c>
      <c r="M162">
        <f t="shared" si="28"/>
        <v>174.09999999999991</v>
      </c>
      <c r="N162" s="9">
        <f t="shared" si="25"/>
        <v>-0.89999999999999991</v>
      </c>
      <c r="O162" s="19">
        <f t="shared" si="34"/>
        <v>121.19999999999999</v>
      </c>
      <c r="P162" s="14">
        <v>157</v>
      </c>
      <c r="Q162" s="41">
        <f t="shared" si="24"/>
        <v>1.0709459459459458</v>
      </c>
      <c r="R162" s="16">
        <f t="shared" si="32"/>
        <v>1.8206081081081078</v>
      </c>
      <c r="S162" s="16">
        <f t="shared" si="29"/>
        <v>-1.0206081081081078</v>
      </c>
      <c r="T162" s="20">
        <f t="shared" si="33"/>
        <v>120.81445945945946</v>
      </c>
      <c r="V162" s="21">
        <v>338.5</v>
      </c>
      <c r="W162">
        <f t="shared" si="26"/>
        <v>35.260416666666671</v>
      </c>
      <c r="X162">
        <f t="shared" si="30"/>
        <v>91059.499999999971</v>
      </c>
      <c r="Y162">
        <f t="shared" si="36"/>
        <v>12541.1</v>
      </c>
      <c r="AA162">
        <v>9.8186505438437202</v>
      </c>
    </row>
    <row r="163" spans="1:27" x14ac:dyDescent="0.25">
      <c r="A163" s="70"/>
      <c r="B163" s="39"/>
      <c r="C163" s="13">
        <v>41677</v>
      </c>
      <c r="D163">
        <v>9.5</v>
      </c>
      <c r="E163">
        <v>8.5</v>
      </c>
      <c r="F163">
        <v>10.7</v>
      </c>
      <c r="G163">
        <f t="shared" si="31"/>
        <v>1495.0999999999997</v>
      </c>
      <c r="H163">
        <f t="shared" si="35"/>
        <v>239.19999999999996</v>
      </c>
      <c r="J163">
        <v>1.6</v>
      </c>
      <c r="K163">
        <f t="shared" si="27"/>
        <v>376.40000000000003</v>
      </c>
      <c r="L163">
        <v>2.4</v>
      </c>
      <c r="M163">
        <f t="shared" si="28"/>
        <v>176.49999999999991</v>
      </c>
      <c r="N163" s="9">
        <f t="shared" si="25"/>
        <v>-0.79999999999999982</v>
      </c>
      <c r="O163" s="19">
        <f t="shared" si="34"/>
        <v>120.39999999999999</v>
      </c>
      <c r="P163" s="14">
        <v>158</v>
      </c>
      <c r="Q163" s="41">
        <f t="shared" si="24"/>
        <v>1.0729729729729729</v>
      </c>
      <c r="R163" s="16">
        <f t="shared" si="32"/>
        <v>2.575135135135135</v>
      </c>
      <c r="S163" s="16">
        <f t="shared" si="29"/>
        <v>-0.97513513513513495</v>
      </c>
      <c r="T163" s="20">
        <f t="shared" si="33"/>
        <v>119.83932432432432</v>
      </c>
      <c r="V163" s="21">
        <v>575.6</v>
      </c>
      <c r="W163">
        <f t="shared" si="26"/>
        <v>60.589473684210532</v>
      </c>
      <c r="X163">
        <f t="shared" si="30"/>
        <v>91635.099999999977</v>
      </c>
      <c r="Y163">
        <f t="shared" si="36"/>
        <v>13116.7</v>
      </c>
      <c r="AA163">
        <v>9.8675448968311592</v>
      </c>
    </row>
    <row r="164" spans="1:27" x14ac:dyDescent="0.25">
      <c r="A164" s="70"/>
      <c r="B164" s="39"/>
      <c r="C164" s="13">
        <v>41678</v>
      </c>
      <c r="D164">
        <v>6.8</v>
      </c>
      <c r="E164">
        <v>5.6</v>
      </c>
      <c r="F164">
        <v>8.5</v>
      </c>
      <c r="G164">
        <f t="shared" si="31"/>
        <v>1501.8999999999996</v>
      </c>
      <c r="H164">
        <f t="shared" si="35"/>
        <v>245.99999999999997</v>
      </c>
      <c r="J164">
        <v>10.8</v>
      </c>
      <c r="K164">
        <f t="shared" si="27"/>
        <v>387.20000000000005</v>
      </c>
      <c r="L164">
        <v>1</v>
      </c>
      <c r="M164">
        <f t="shared" si="28"/>
        <v>177.49999999999991</v>
      </c>
      <c r="N164">
        <f t="shared" si="25"/>
        <v>9.8000000000000007</v>
      </c>
      <c r="O164" s="19">
        <v>122.1</v>
      </c>
      <c r="P164" s="14">
        <v>159</v>
      </c>
      <c r="Q164" s="41">
        <f t="shared" si="24"/>
        <v>1.075</v>
      </c>
      <c r="R164" s="16">
        <f t="shared" si="32"/>
        <v>1.075</v>
      </c>
      <c r="S164" s="16">
        <f t="shared" si="29"/>
        <v>9.7250000000000014</v>
      </c>
      <c r="T164" s="20">
        <f t="shared" si="33"/>
        <v>122.1</v>
      </c>
      <c r="V164" s="21">
        <v>197.8</v>
      </c>
      <c r="W164">
        <f t="shared" si="26"/>
        <v>29.088235294117649</v>
      </c>
      <c r="X164">
        <f t="shared" si="30"/>
        <v>91832.89999999998</v>
      </c>
      <c r="Y164">
        <f t="shared" si="36"/>
        <v>13314.5</v>
      </c>
      <c r="AA164">
        <v>9.9169084511272896</v>
      </c>
    </row>
    <row r="165" spans="1:27" x14ac:dyDescent="0.25">
      <c r="A165" s="70"/>
      <c r="B165" s="39"/>
      <c r="C165" s="13">
        <v>41679</v>
      </c>
      <c r="D165" s="25">
        <v>4.8</v>
      </c>
      <c r="E165" s="25">
        <v>2.7</v>
      </c>
      <c r="F165">
        <v>6.8</v>
      </c>
      <c r="G165">
        <f t="shared" si="31"/>
        <v>1506.6999999999996</v>
      </c>
      <c r="H165">
        <f t="shared" si="35"/>
        <v>250.79999999999998</v>
      </c>
      <c r="J165">
        <v>3.6</v>
      </c>
      <c r="K165">
        <f t="shared" si="27"/>
        <v>390.80000000000007</v>
      </c>
      <c r="L165">
        <v>0.8</v>
      </c>
      <c r="M165">
        <f t="shared" si="28"/>
        <v>178.29999999999993</v>
      </c>
      <c r="N165">
        <f t="shared" si="25"/>
        <v>2.8</v>
      </c>
      <c r="O165" s="19">
        <v>122.1</v>
      </c>
      <c r="P165" s="14">
        <v>160</v>
      </c>
      <c r="Q165" s="41">
        <f t="shared" si="24"/>
        <v>1.077027027027027</v>
      </c>
      <c r="R165" s="16">
        <f t="shared" si="32"/>
        <v>0.8616216216216217</v>
      </c>
      <c r="S165" s="16">
        <f t="shared" si="29"/>
        <v>2.7383783783783784</v>
      </c>
      <c r="T165" s="20">
        <f t="shared" si="33"/>
        <v>122.1</v>
      </c>
      <c r="V165" s="21">
        <v>497.9</v>
      </c>
      <c r="W165">
        <f t="shared" si="26"/>
        <v>103.72916666666667</v>
      </c>
      <c r="X165">
        <f t="shared" si="30"/>
        <v>92330.799999999974</v>
      </c>
      <c r="Y165">
        <f t="shared" si="36"/>
        <v>13812.4</v>
      </c>
      <c r="AA165">
        <v>9.9667200552955908</v>
      </c>
    </row>
    <row r="166" spans="1:27" x14ac:dyDescent="0.25">
      <c r="A166" s="70"/>
      <c r="B166" s="39"/>
      <c r="C166" s="13">
        <v>41680</v>
      </c>
      <c r="D166" s="25">
        <v>5</v>
      </c>
      <c r="E166" s="25">
        <v>4.5</v>
      </c>
      <c r="F166">
        <v>6.1</v>
      </c>
      <c r="G166">
        <f t="shared" si="31"/>
        <v>1511.6999999999996</v>
      </c>
      <c r="H166">
        <f t="shared" si="35"/>
        <v>255.79999999999998</v>
      </c>
      <c r="J166">
        <v>4.7</v>
      </c>
      <c r="K166">
        <f t="shared" si="27"/>
        <v>395.50000000000006</v>
      </c>
      <c r="L166">
        <v>0.5</v>
      </c>
      <c r="M166">
        <f t="shared" si="28"/>
        <v>178.79999999999993</v>
      </c>
      <c r="N166">
        <f t="shared" si="25"/>
        <v>4.2</v>
      </c>
      <c r="O166" s="19">
        <v>122.1</v>
      </c>
      <c r="P166" s="14">
        <v>161</v>
      </c>
      <c r="Q166" s="41">
        <f t="shared" si="24"/>
        <v>1.0790540540540541</v>
      </c>
      <c r="R166" s="16">
        <f t="shared" si="32"/>
        <v>0.53952702702702704</v>
      </c>
      <c r="S166" s="16">
        <f t="shared" si="29"/>
        <v>4.1604729729729728</v>
      </c>
      <c r="T166" s="20">
        <f t="shared" si="33"/>
        <v>122.1</v>
      </c>
      <c r="V166" s="21">
        <v>252.5</v>
      </c>
      <c r="W166">
        <f t="shared" si="26"/>
        <v>50.5</v>
      </c>
      <c r="X166">
        <f t="shared" si="30"/>
        <v>92583.299999999974</v>
      </c>
      <c r="Y166">
        <f t="shared" si="36"/>
        <v>14064.9</v>
      </c>
      <c r="AA166">
        <v>10.016959155108401</v>
      </c>
    </row>
    <row r="167" spans="1:27" x14ac:dyDescent="0.25">
      <c r="A167" s="70"/>
      <c r="B167" s="39"/>
      <c r="C167" s="13">
        <v>41681</v>
      </c>
      <c r="D167" s="25">
        <v>4.0999999999999996</v>
      </c>
      <c r="E167" s="25">
        <v>0.9</v>
      </c>
      <c r="F167">
        <v>7.3</v>
      </c>
      <c r="G167">
        <f t="shared" si="31"/>
        <v>1515.7999999999995</v>
      </c>
      <c r="H167">
        <f t="shared" si="35"/>
        <v>259.89999999999998</v>
      </c>
      <c r="J167">
        <v>4.8</v>
      </c>
      <c r="K167">
        <f t="shared" si="27"/>
        <v>400.30000000000007</v>
      </c>
      <c r="L167">
        <v>0.6</v>
      </c>
      <c r="M167">
        <f t="shared" si="28"/>
        <v>179.39999999999992</v>
      </c>
      <c r="N167">
        <f t="shared" si="25"/>
        <v>4.2</v>
      </c>
      <c r="O167" s="19">
        <v>122.1</v>
      </c>
      <c r="P167" s="14">
        <v>162</v>
      </c>
      <c r="Q167" s="41">
        <f t="shared" si="24"/>
        <v>1.0810810810810811</v>
      </c>
      <c r="R167" s="16">
        <f t="shared" si="32"/>
        <v>0.64864864864864868</v>
      </c>
      <c r="S167" s="16">
        <f t="shared" si="29"/>
        <v>4.1513513513513516</v>
      </c>
      <c r="T167" s="20">
        <f t="shared" si="33"/>
        <v>122.1</v>
      </c>
      <c r="V167" s="21">
        <v>590.6</v>
      </c>
      <c r="W167">
        <f t="shared" si="26"/>
        <v>144.04878048780489</v>
      </c>
      <c r="X167">
        <f t="shared" si="30"/>
        <v>93173.89999999998</v>
      </c>
      <c r="Y167">
        <f t="shared" si="36"/>
        <v>14655.5</v>
      </c>
      <c r="AA167">
        <v>10.0676057955279</v>
      </c>
    </row>
    <row r="168" spans="1:27" x14ac:dyDescent="0.25">
      <c r="A168" s="70"/>
      <c r="B168" s="39"/>
      <c r="C168" s="13">
        <v>41682</v>
      </c>
      <c r="D168">
        <v>5.9</v>
      </c>
      <c r="E168" s="25">
        <v>0.9</v>
      </c>
      <c r="F168">
        <v>8.9</v>
      </c>
      <c r="G168">
        <f t="shared" si="31"/>
        <v>1521.6999999999996</v>
      </c>
      <c r="H168">
        <f t="shared" si="35"/>
        <v>265.79999999999995</v>
      </c>
      <c r="J168">
        <v>8.8000000000000007</v>
      </c>
      <c r="K168">
        <f t="shared" si="27"/>
        <v>409.10000000000008</v>
      </c>
      <c r="L168">
        <v>0.8</v>
      </c>
      <c r="M168">
        <f t="shared" si="28"/>
        <v>180.19999999999993</v>
      </c>
      <c r="N168">
        <f t="shared" si="25"/>
        <v>8</v>
      </c>
      <c r="O168" s="19">
        <v>122.1</v>
      </c>
      <c r="P168" s="14">
        <v>163</v>
      </c>
      <c r="Q168" s="41">
        <f t="shared" si="24"/>
        <v>1.083108108108108</v>
      </c>
      <c r="R168" s="16">
        <f t="shared" si="32"/>
        <v>0.86648648648648641</v>
      </c>
      <c r="S168" s="16">
        <f t="shared" si="29"/>
        <v>7.933513513513514</v>
      </c>
      <c r="T168" s="20">
        <f t="shared" si="33"/>
        <v>122.1</v>
      </c>
      <c r="V168">
        <v>942.4</v>
      </c>
      <c r="W168">
        <f t="shared" si="26"/>
        <v>159.72881355932202</v>
      </c>
      <c r="X168">
        <f t="shared" si="30"/>
        <v>94116.299999999974</v>
      </c>
      <c r="Y168">
        <f t="shared" si="36"/>
        <v>15597.9</v>
      </c>
      <c r="AA168">
        <v>10.118640620674199</v>
      </c>
    </row>
    <row r="169" spans="1:27" x14ac:dyDescent="0.25">
      <c r="A169" s="70"/>
      <c r="B169" s="39"/>
      <c r="C169" s="13">
        <v>41683</v>
      </c>
      <c r="D169">
        <v>7.7</v>
      </c>
      <c r="E169">
        <v>6.2</v>
      </c>
      <c r="F169">
        <v>10.3</v>
      </c>
      <c r="G169">
        <f t="shared" si="31"/>
        <v>1529.3999999999996</v>
      </c>
      <c r="H169">
        <f t="shared" si="35"/>
        <v>273.49999999999994</v>
      </c>
      <c r="J169">
        <v>7.1</v>
      </c>
      <c r="K169">
        <f t="shared" si="27"/>
        <v>416.2000000000001</v>
      </c>
      <c r="L169">
        <v>1.1000000000000001</v>
      </c>
      <c r="M169">
        <f t="shared" si="28"/>
        <v>181.29999999999993</v>
      </c>
      <c r="N169">
        <f t="shared" si="25"/>
        <v>6</v>
      </c>
      <c r="O169" s="19">
        <v>122.1</v>
      </c>
      <c r="P169" s="14">
        <v>164</v>
      </c>
      <c r="Q169" s="41">
        <f t="shared" si="24"/>
        <v>1.085135135135135</v>
      </c>
      <c r="R169" s="16">
        <f t="shared" si="32"/>
        <v>1.1936486486486486</v>
      </c>
      <c r="S169" s="16">
        <f t="shared" si="29"/>
        <v>5.9063513513513506</v>
      </c>
      <c r="T169" s="20">
        <f t="shared" si="33"/>
        <v>122.1</v>
      </c>
      <c r="V169" s="21">
        <v>198.4</v>
      </c>
      <c r="W169">
        <f t="shared" si="26"/>
        <v>25.766233766233768</v>
      </c>
      <c r="X169">
        <f t="shared" si="30"/>
        <v>94314.699999999968</v>
      </c>
      <c r="Y169">
        <f t="shared" si="36"/>
        <v>15796.3</v>
      </c>
      <c r="AA169">
        <v>10.170044871917399</v>
      </c>
    </row>
    <row r="170" spans="1:27" x14ac:dyDescent="0.25">
      <c r="A170" s="70"/>
      <c r="B170" s="39"/>
      <c r="C170" s="13">
        <v>41684</v>
      </c>
      <c r="D170">
        <v>10.6</v>
      </c>
      <c r="E170" s="25">
        <v>4.9000000000000004</v>
      </c>
      <c r="F170">
        <v>15.7</v>
      </c>
      <c r="G170">
        <f t="shared" si="31"/>
        <v>1539.9999999999995</v>
      </c>
      <c r="H170">
        <f t="shared" si="35"/>
        <v>284.09999999999997</v>
      </c>
      <c r="J170">
        <v>2.2999999999999998</v>
      </c>
      <c r="K170">
        <f t="shared" si="27"/>
        <v>418.50000000000011</v>
      </c>
      <c r="L170">
        <v>1.4</v>
      </c>
      <c r="M170">
        <f t="shared" si="28"/>
        <v>182.69999999999993</v>
      </c>
      <c r="N170">
        <f t="shared" si="25"/>
        <v>0.89999999999999991</v>
      </c>
      <c r="O170" s="19">
        <v>122.1</v>
      </c>
      <c r="P170" s="14">
        <v>165</v>
      </c>
      <c r="Q170" s="41">
        <f t="shared" si="24"/>
        <v>1.0871621621621621</v>
      </c>
      <c r="R170" s="16">
        <f t="shared" si="32"/>
        <v>1.5220270270270269</v>
      </c>
      <c r="S170" s="16">
        <f t="shared" si="29"/>
        <v>0.77797297297297296</v>
      </c>
      <c r="T170" s="20">
        <f t="shared" si="33"/>
        <v>122.1</v>
      </c>
      <c r="V170" s="21">
        <v>429.3</v>
      </c>
      <c r="W170">
        <f t="shared" si="26"/>
        <v>40.5</v>
      </c>
      <c r="X170">
        <f t="shared" si="30"/>
        <v>94743.999999999971</v>
      </c>
      <c r="Y170">
        <f t="shared" si="36"/>
        <v>16225.599999999999</v>
      </c>
      <c r="AA170">
        <v>10.2218003842305</v>
      </c>
    </row>
    <row r="171" spans="1:27" x14ac:dyDescent="0.25">
      <c r="A171" s="70"/>
      <c r="B171" s="39"/>
      <c r="C171" s="13">
        <v>41685</v>
      </c>
      <c r="D171">
        <v>8</v>
      </c>
      <c r="E171">
        <v>7.4</v>
      </c>
      <c r="F171">
        <v>8.9</v>
      </c>
      <c r="G171">
        <f t="shared" si="31"/>
        <v>1547.9999999999995</v>
      </c>
      <c r="H171">
        <f t="shared" si="35"/>
        <v>292.09999999999997</v>
      </c>
      <c r="J171">
        <v>7.3</v>
      </c>
      <c r="K171">
        <f t="shared" si="27"/>
        <v>425.80000000000013</v>
      </c>
      <c r="L171">
        <v>0.9</v>
      </c>
      <c r="M171">
        <f t="shared" si="28"/>
        <v>183.59999999999994</v>
      </c>
      <c r="N171">
        <f t="shared" si="25"/>
        <v>6.3999999999999995</v>
      </c>
      <c r="O171" s="19">
        <v>122.1</v>
      </c>
      <c r="P171" s="14">
        <v>166</v>
      </c>
      <c r="Q171" s="41">
        <f t="shared" si="24"/>
        <v>1.0891891891891892</v>
      </c>
      <c r="R171" s="16">
        <f t="shared" si="32"/>
        <v>0.98027027027027025</v>
      </c>
      <c r="S171" s="16">
        <f t="shared" si="29"/>
        <v>6.3197297297297297</v>
      </c>
      <c r="T171" s="20">
        <f t="shared" si="33"/>
        <v>122.1</v>
      </c>
      <c r="V171" s="21">
        <v>363.4</v>
      </c>
      <c r="W171">
        <f t="shared" si="26"/>
        <v>45.424999999999997</v>
      </c>
      <c r="X171">
        <f t="shared" si="30"/>
        <v>95107.399999999965</v>
      </c>
      <c r="Y171">
        <f t="shared" si="36"/>
        <v>16589</v>
      </c>
      <c r="AA171">
        <v>10.2738895809354</v>
      </c>
    </row>
    <row r="172" spans="1:27" x14ac:dyDescent="0.25">
      <c r="A172" s="70"/>
      <c r="B172" s="39"/>
      <c r="C172" s="13">
        <v>41686</v>
      </c>
      <c r="D172">
        <v>6.9</v>
      </c>
      <c r="E172">
        <v>5.6</v>
      </c>
      <c r="F172">
        <v>9.5</v>
      </c>
      <c r="G172">
        <f t="shared" si="31"/>
        <v>1554.8999999999996</v>
      </c>
      <c r="H172">
        <f t="shared" si="35"/>
        <v>298.99999999999994</v>
      </c>
      <c r="J172">
        <v>0.3</v>
      </c>
      <c r="K172">
        <f t="shared" si="27"/>
        <v>426.10000000000014</v>
      </c>
      <c r="L172">
        <v>0.9</v>
      </c>
      <c r="M172">
        <f t="shared" si="28"/>
        <v>184.49999999999994</v>
      </c>
      <c r="N172" s="9">
        <f t="shared" si="25"/>
        <v>-0.60000000000000009</v>
      </c>
      <c r="O172" s="19">
        <f t="shared" si="34"/>
        <v>121.5</v>
      </c>
      <c r="P172" s="14">
        <v>167</v>
      </c>
      <c r="Q172" s="41">
        <f t="shared" si="24"/>
        <v>1.0912162162162162</v>
      </c>
      <c r="R172" s="16">
        <f t="shared" si="32"/>
        <v>0.98209459459459458</v>
      </c>
      <c r="S172" s="16">
        <f t="shared" si="29"/>
        <v>-0.68209459459459465</v>
      </c>
      <c r="T172" s="20">
        <f t="shared" si="33"/>
        <v>121.41790540540541</v>
      </c>
      <c r="V172" s="21">
        <v>437.5</v>
      </c>
      <c r="W172">
        <f t="shared" si="26"/>
        <v>63.405797101449274</v>
      </c>
      <c r="X172">
        <f t="shared" si="30"/>
        <v>95544.899999999965</v>
      </c>
      <c r="Y172">
        <f t="shared" si="36"/>
        <v>17026.5</v>
      </c>
      <c r="AA172">
        <v>10.326295466968199</v>
      </c>
    </row>
    <row r="173" spans="1:27" x14ac:dyDescent="0.25">
      <c r="A173" s="70"/>
      <c r="B173" s="39"/>
      <c r="C173" s="13">
        <v>41687</v>
      </c>
      <c r="D173">
        <v>5.8</v>
      </c>
      <c r="E173" s="25">
        <v>1.6</v>
      </c>
      <c r="F173">
        <v>11</v>
      </c>
      <c r="G173">
        <f t="shared" si="31"/>
        <v>1560.6999999999996</v>
      </c>
      <c r="H173">
        <f t="shared" si="35"/>
        <v>304.79999999999995</v>
      </c>
      <c r="J173">
        <v>0</v>
      </c>
      <c r="K173">
        <f t="shared" si="27"/>
        <v>426.10000000000014</v>
      </c>
      <c r="L173">
        <v>1.3</v>
      </c>
      <c r="M173">
        <f t="shared" si="28"/>
        <v>185.79999999999995</v>
      </c>
      <c r="N173" s="9">
        <f t="shared" si="25"/>
        <v>-1.3</v>
      </c>
      <c r="O173" s="19">
        <f t="shared" si="34"/>
        <v>120.2</v>
      </c>
      <c r="P173" s="14">
        <v>168</v>
      </c>
      <c r="Q173" s="41">
        <f t="shared" si="24"/>
        <v>1.0932432432432431</v>
      </c>
      <c r="R173" s="16">
        <f t="shared" si="32"/>
        <v>1.4212162162162161</v>
      </c>
      <c r="S173" s="16">
        <f t="shared" si="29"/>
        <v>-1.4212162162162161</v>
      </c>
      <c r="T173" s="20">
        <f t="shared" si="33"/>
        <v>119.99668918918918</v>
      </c>
      <c r="V173">
        <v>1172.7</v>
      </c>
      <c r="W173">
        <f t="shared" si="26"/>
        <v>202.18965517241381</v>
      </c>
      <c r="X173">
        <f t="shared" si="30"/>
        <v>96717.599999999962</v>
      </c>
      <c r="Y173">
        <f t="shared" si="36"/>
        <v>18199.2</v>
      </c>
      <c r="AA173">
        <v>10.3790016207895</v>
      </c>
    </row>
    <row r="174" spans="1:27" x14ac:dyDescent="0.25">
      <c r="A174" s="70"/>
      <c r="B174" s="39"/>
      <c r="C174" s="13">
        <v>41688</v>
      </c>
      <c r="D174">
        <v>6.3</v>
      </c>
      <c r="E174" s="25">
        <v>2.7</v>
      </c>
      <c r="F174">
        <v>10.199999999999999</v>
      </c>
      <c r="G174">
        <f t="shared" si="31"/>
        <v>1566.9999999999995</v>
      </c>
      <c r="H174">
        <f t="shared" si="35"/>
        <v>311.09999999999997</v>
      </c>
      <c r="J174">
        <v>0.6</v>
      </c>
      <c r="K174">
        <f t="shared" si="27"/>
        <v>426.70000000000016</v>
      </c>
      <c r="L174">
        <v>0.6</v>
      </c>
      <c r="M174">
        <f t="shared" si="28"/>
        <v>186.39999999999995</v>
      </c>
      <c r="N174">
        <f t="shared" si="25"/>
        <v>0</v>
      </c>
      <c r="O174" s="19">
        <f t="shared" si="34"/>
        <v>120.2</v>
      </c>
      <c r="P174" s="14">
        <v>169</v>
      </c>
      <c r="Q174" s="41">
        <f t="shared" si="24"/>
        <v>1.0952702702702701</v>
      </c>
      <c r="R174" s="16">
        <f t="shared" si="32"/>
        <v>0.65716216216216206</v>
      </c>
      <c r="S174" s="16">
        <f t="shared" si="29"/>
        <v>-5.7162162162162078E-2</v>
      </c>
      <c r="T174" s="20">
        <f t="shared" si="33"/>
        <v>119.93952702702703</v>
      </c>
      <c r="V174" s="21">
        <v>437.7</v>
      </c>
      <c r="W174">
        <f t="shared" si="26"/>
        <v>69.476190476190482</v>
      </c>
      <c r="X174">
        <f t="shared" si="30"/>
        <v>97155.299999999959</v>
      </c>
      <c r="Y174">
        <f t="shared" si="36"/>
        <v>18636.900000000001</v>
      </c>
      <c r="AA174">
        <v>10.431992185056201</v>
      </c>
    </row>
    <row r="175" spans="1:27" x14ac:dyDescent="0.25">
      <c r="A175" s="70"/>
      <c r="B175" s="39"/>
      <c r="C175" s="13">
        <v>41689</v>
      </c>
      <c r="D175">
        <v>7.6</v>
      </c>
      <c r="E175" s="25">
        <v>4.5</v>
      </c>
      <c r="F175">
        <v>10</v>
      </c>
      <c r="G175">
        <f t="shared" si="31"/>
        <v>1574.5999999999995</v>
      </c>
      <c r="H175">
        <f t="shared" si="35"/>
        <v>318.7</v>
      </c>
      <c r="J175">
        <v>1.4</v>
      </c>
      <c r="K175">
        <f t="shared" si="27"/>
        <v>428.10000000000014</v>
      </c>
      <c r="L175">
        <v>0.5</v>
      </c>
      <c r="M175">
        <f t="shared" si="28"/>
        <v>186.89999999999995</v>
      </c>
      <c r="N175">
        <f t="shared" si="25"/>
        <v>0.89999999999999991</v>
      </c>
      <c r="O175" s="19">
        <f t="shared" si="34"/>
        <v>121.10000000000001</v>
      </c>
      <c r="P175" s="14">
        <v>170</v>
      </c>
      <c r="Q175" s="41">
        <f t="shared" si="24"/>
        <v>1.0972972972972972</v>
      </c>
      <c r="R175" s="16">
        <f t="shared" si="32"/>
        <v>0.5486486486486486</v>
      </c>
      <c r="S175" s="16">
        <f t="shared" si="29"/>
        <v>0.85135135135135132</v>
      </c>
      <c r="T175" s="20">
        <f t="shared" si="33"/>
        <v>120.79087837837838</v>
      </c>
      <c r="V175" s="21">
        <v>437.8</v>
      </c>
      <c r="W175">
        <f t="shared" si="26"/>
        <v>57.60526315789474</v>
      </c>
      <c r="X175">
        <f t="shared" si="30"/>
        <v>97593.099999999962</v>
      </c>
      <c r="Y175">
        <f t="shared" si="36"/>
        <v>19074.7</v>
      </c>
      <c r="AA175">
        <v>10.4852518561687</v>
      </c>
    </row>
    <row r="176" spans="1:27" x14ac:dyDescent="0.25">
      <c r="A176" s="70"/>
      <c r="B176" s="39"/>
      <c r="C176" s="13">
        <v>41690</v>
      </c>
      <c r="D176">
        <v>9.1</v>
      </c>
      <c r="E176">
        <v>7.6</v>
      </c>
      <c r="F176">
        <v>10.6</v>
      </c>
      <c r="G176">
        <f t="shared" si="31"/>
        <v>1583.6999999999994</v>
      </c>
      <c r="H176">
        <f t="shared" si="35"/>
        <v>327.8</v>
      </c>
      <c r="J176">
        <v>3</v>
      </c>
      <c r="K176">
        <f t="shared" si="27"/>
        <v>431.10000000000014</v>
      </c>
      <c r="L176">
        <v>0.6</v>
      </c>
      <c r="M176">
        <f t="shared" si="28"/>
        <v>187.49999999999994</v>
      </c>
      <c r="N176">
        <f t="shared" si="25"/>
        <v>2.4</v>
      </c>
      <c r="O176" s="19">
        <v>122.1</v>
      </c>
      <c r="P176" s="14">
        <v>171</v>
      </c>
      <c r="Q176" s="41">
        <f t="shared" si="24"/>
        <v>1.0993243243243243</v>
      </c>
      <c r="R176" s="16">
        <f t="shared" si="32"/>
        <v>0.65959459459459457</v>
      </c>
      <c r="S176" s="16">
        <f t="shared" si="29"/>
        <v>2.3404054054054053</v>
      </c>
      <c r="T176" s="20">
        <f t="shared" si="33"/>
        <v>122.1</v>
      </c>
      <c r="V176" s="21">
        <v>242.1</v>
      </c>
      <c r="W176">
        <f t="shared" si="26"/>
        <v>26.604395604395606</v>
      </c>
      <c r="X176">
        <f t="shared" si="30"/>
        <v>97835.199999999968</v>
      </c>
      <c r="Y176">
        <f t="shared" si="36"/>
        <v>19316.8</v>
      </c>
      <c r="AA176">
        <v>10.5387658728016</v>
      </c>
    </row>
    <row r="177" spans="1:28" x14ac:dyDescent="0.25">
      <c r="A177" s="70"/>
      <c r="B177" s="39"/>
      <c r="C177" s="13">
        <v>41691</v>
      </c>
      <c r="D177">
        <v>6.3</v>
      </c>
      <c r="E177">
        <v>5.4</v>
      </c>
      <c r="F177">
        <v>8.6</v>
      </c>
      <c r="G177">
        <f t="shared" si="31"/>
        <v>1589.9999999999993</v>
      </c>
      <c r="H177">
        <f t="shared" si="35"/>
        <v>334.1</v>
      </c>
      <c r="J177">
        <v>1.5</v>
      </c>
      <c r="K177">
        <f t="shared" si="27"/>
        <v>432.60000000000014</v>
      </c>
      <c r="L177">
        <v>1.3</v>
      </c>
      <c r="M177">
        <f t="shared" si="28"/>
        <v>188.79999999999995</v>
      </c>
      <c r="N177">
        <f t="shared" si="25"/>
        <v>0.19999999999999996</v>
      </c>
      <c r="O177" s="19">
        <v>122.1</v>
      </c>
      <c r="P177" s="14">
        <v>172</v>
      </c>
      <c r="Q177" s="41">
        <f t="shared" si="24"/>
        <v>1.1013513513513513</v>
      </c>
      <c r="R177" s="16">
        <f t="shared" si="32"/>
        <v>1.4317567567567568</v>
      </c>
      <c r="S177" s="16">
        <f t="shared" si="29"/>
        <v>6.8243243243243157E-2</v>
      </c>
      <c r="T177" s="20">
        <f t="shared" si="33"/>
        <v>122.1</v>
      </c>
      <c r="V177" s="21">
        <v>752.7</v>
      </c>
      <c r="W177">
        <f t="shared" si="26"/>
        <v>119.47619047619048</v>
      </c>
      <c r="X177">
        <f t="shared" si="30"/>
        <v>98587.899999999965</v>
      </c>
      <c r="Y177">
        <f t="shared" si="36"/>
        <v>20069.5</v>
      </c>
      <c r="AA177">
        <v>10.592520003518301</v>
      </c>
    </row>
    <row r="178" spans="1:28" x14ac:dyDescent="0.25">
      <c r="A178" s="70"/>
      <c r="B178" s="39"/>
      <c r="C178" s="13">
        <v>41692</v>
      </c>
      <c r="D178">
        <v>7.1</v>
      </c>
      <c r="E178" s="25">
        <v>4</v>
      </c>
      <c r="F178">
        <v>9.1999999999999993</v>
      </c>
      <c r="G178">
        <f t="shared" si="31"/>
        <v>1597.0999999999992</v>
      </c>
      <c r="H178">
        <f t="shared" si="35"/>
        <v>341.20000000000005</v>
      </c>
      <c r="J178">
        <v>1</v>
      </c>
      <c r="K178">
        <f t="shared" si="27"/>
        <v>433.60000000000014</v>
      </c>
      <c r="L178">
        <v>0.4</v>
      </c>
      <c r="M178">
        <f t="shared" si="28"/>
        <v>189.19999999999996</v>
      </c>
      <c r="N178">
        <f t="shared" si="25"/>
        <v>0.6</v>
      </c>
      <c r="O178" s="19">
        <v>122.1</v>
      </c>
      <c r="P178" s="14">
        <v>173</v>
      </c>
      <c r="Q178" s="41">
        <f t="shared" si="24"/>
        <v>1.1033783783783784</v>
      </c>
      <c r="R178" s="16">
        <f t="shared" si="32"/>
        <v>0.4413513513513514</v>
      </c>
      <c r="S178" s="16">
        <f t="shared" si="29"/>
        <v>0.5586486486486486</v>
      </c>
      <c r="T178" s="20">
        <f t="shared" si="33"/>
        <v>122.1</v>
      </c>
      <c r="V178" s="21">
        <v>225.7</v>
      </c>
      <c r="W178">
        <f t="shared" si="26"/>
        <v>31.788732394366196</v>
      </c>
      <c r="X178">
        <f t="shared" si="30"/>
        <v>98813.599999999962</v>
      </c>
      <c r="Y178">
        <f t="shared" si="36"/>
        <v>20295.2</v>
      </c>
      <c r="AA178">
        <v>10.646500533566901</v>
      </c>
    </row>
    <row r="179" spans="1:28" x14ac:dyDescent="0.25">
      <c r="A179" s="70"/>
      <c r="B179" s="39"/>
      <c r="C179" s="13">
        <v>41693</v>
      </c>
      <c r="D179">
        <v>7.3</v>
      </c>
      <c r="E179" s="25">
        <v>3.7</v>
      </c>
      <c r="F179">
        <v>11.3</v>
      </c>
      <c r="G179">
        <f t="shared" si="31"/>
        <v>1604.3999999999992</v>
      </c>
      <c r="H179">
        <f t="shared" si="35"/>
        <v>348.50000000000006</v>
      </c>
      <c r="J179">
        <v>0</v>
      </c>
      <c r="K179">
        <f t="shared" si="27"/>
        <v>433.60000000000014</v>
      </c>
      <c r="L179">
        <v>1.5</v>
      </c>
      <c r="M179">
        <f t="shared" si="28"/>
        <v>190.69999999999996</v>
      </c>
      <c r="N179" s="9">
        <f t="shared" si="25"/>
        <v>-1.5</v>
      </c>
      <c r="O179" s="19">
        <f t="shared" si="34"/>
        <v>120.6</v>
      </c>
      <c r="P179" s="14">
        <v>174</v>
      </c>
      <c r="Q179" s="41">
        <f t="shared" si="24"/>
        <v>1.1054054054054054</v>
      </c>
      <c r="R179" s="16">
        <f t="shared" si="32"/>
        <v>1.6581081081081082</v>
      </c>
      <c r="S179" s="16">
        <f t="shared" si="29"/>
        <v>-1.6581081081081082</v>
      </c>
      <c r="T179" s="20">
        <f t="shared" si="33"/>
        <v>120.44189189189188</v>
      </c>
      <c r="V179">
        <v>1186.0999999999999</v>
      </c>
      <c r="W179">
        <f t="shared" si="26"/>
        <v>162.47945205479451</v>
      </c>
      <c r="X179">
        <f t="shared" si="30"/>
        <v>99999.699999999968</v>
      </c>
      <c r="Y179">
        <f t="shared" si="36"/>
        <v>21481.3</v>
      </c>
      <c r="AA179">
        <v>10.7006942509475</v>
      </c>
    </row>
    <row r="180" spans="1:28" x14ac:dyDescent="0.25">
      <c r="A180" s="70"/>
      <c r="B180" s="39"/>
      <c r="C180" s="13">
        <v>41694</v>
      </c>
      <c r="D180">
        <v>8.5</v>
      </c>
      <c r="E180" s="25">
        <v>0.9</v>
      </c>
      <c r="F180">
        <v>15.4</v>
      </c>
      <c r="G180">
        <f t="shared" si="31"/>
        <v>1612.8999999999992</v>
      </c>
      <c r="H180">
        <f t="shared" si="35"/>
        <v>357.00000000000006</v>
      </c>
      <c r="J180">
        <v>0</v>
      </c>
      <c r="K180">
        <f t="shared" si="27"/>
        <v>433.60000000000014</v>
      </c>
      <c r="L180">
        <v>2</v>
      </c>
      <c r="M180">
        <f t="shared" si="28"/>
        <v>192.69999999999996</v>
      </c>
      <c r="N180" s="9">
        <f t="shared" si="25"/>
        <v>-2</v>
      </c>
      <c r="O180" s="19">
        <f t="shared" si="34"/>
        <v>118.6</v>
      </c>
      <c r="P180" s="14">
        <v>175</v>
      </c>
      <c r="Q180" s="41">
        <f t="shared" si="24"/>
        <v>1.1074324324324323</v>
      </c>
      <c r="R180" s="16">
        <f t="shared" si="32"/>
        <v>2.2148648648648646</v>
      </c>
      <c r="S180" s="16">
        <f t="shared" si="29"/>
        <v>-2.2148648648648646</v>
      </c>
      <c r="T180" s="20">
        <f t="shared" si="33"/>
        <v>118.22702702702702</v>
      </c>
      <c r="V180">
        <v>1164.2</v>
      </c>
      <c r="W180">
        <f t="shared" si="26"/>
        <v>136.96470588235294</v>
      </c>
      <c r="X180">
        <f t="shared" si="30"/>
        <v>101163.89999999997</v>
      </c>
      <c r="Y180">
        <f t="shared" si="36"/>
        <v>22645.5</v>
      </c>
      <c r="AA180">
        <v>10.7550884318351</v>
      </c>
    </row>
    <row r="181" spans="1:28" x14ac:dyDescent="0.25">
      <c r="A181" s="70"/>
      <c r="B181" s="39"/>
      <c r="C181" s="13">
        <v>41695</v>
      </c>
      <c r="D181">
        <v>8.6</v>
      </c>
      <c r="E181">
        <v>6.4</v>
      </c>
      <c r="F181">
        <v>11.6</v>
      </c>
      <c r="G181">
        <f t="shared" si="31"/>
        <v>1621.4999999999991</v>
      </c>
      <c r="H181">
        <f t="shared" si="35"/>
        <v>365.60000000000008</v>
      </c>
      <c r="J181">
        <v>5.4</v>
      </c>
      <c r="K181">
        <f t="shared" si="27"/>
        <v>439.00000000000011</v>
      </c>
      <c r="L181">
        <v>1.7</v>
      </c>
      <c r="M181">
        <f t="shared" si="28"/>
        <v>194.39999999999995</v>
      </c>
      <c r="N181">
        <f t="shared" si="25"/>
        <v>3.7</v>
      </c>
      <c r="O181" s="19">
        <v>122.1</v>
      </c>
      <c r="P181" s="14">
        <v>176</v>
      </c>
      <c r="Q181" s="41">
        <f t="shared" si="24"/>
        <v>1.1094594594594593</v>
      </c>
      <c r="R181" s="16">
        <f t="shared" si="32"/>
        <v>1.8860810810810809</v>
      </c>
      <c r="S181" s="16">
        <f t="shared" si="29"/>
        <v>3.5139189189189195</v>
      </c>
      <c r="T181" s="20">
        <f t="shared" si="33"/>
        <v>121.74094594594594</v>
      </c>
      <c r="V181" s="21">
        <v>618</v>
      </c>
      <c r="W181">
        <f t="shared" si="26"/>
        <v>71.860465116279073</v>
      </c>
      <c r="X181">
        <f t="shared" si="30"/>
        <v>101781.89999999997</v>
      </c>
      <c r="Y181">
        <f t="shared" si="36"/>
        <v>23263.5</v>
      </c>
      <c r="AA181">
        <v>10.8096708254366</v>
      </c>
    </row>
    <row r="182" spans="1:28" x14ac:dyDescent="0.25">
      <c r="A182" s="70"/>
      <c r="B182" s="39"/>
      <c r="C182" s="13">
        <v>41696</v>
      </c>
      <c r="D182" s="25">
        <v>5</v>
      </c>
      <c r="E182" s="25">
        <v>1.9</v>
      </c>
      <c r="F182">
        <v>8.3000000000000007</v>
      </c>
      <c r="G182">
        <f t="shared" si="31"/>
        <v>1626.4999999999991</v>
      </c>
      <c r="H182">
        <f t="shared" si="35"/>
        <v>370.60000000000008</v>
      </c>
      <c r="J182">
        <v>0.2</v>
      </c>
      <c r="K182">
        <f t="shared" si="27"/>
        <v>439.2000000000001</v>
      </c>
      <c r="L182">
        <v>1.2</v>
      </c>
      <c r="M182">
        <f t="shared" si="28"/>
        <v>195.59999999999994</v>
      </c>
      <c r="N182" s="9">
        <f t="shared" si="25"/>
        <v>-1</v>
      </c>
      <c r="O182" s="19">
        <f t="shared" si="34"/>
        <v>121.1</v>
      </c>
      <c r="P182" s="14">
        <v>177</v>
      </c>
      <c r="Q182" s="41">
        <f t="shared" si="24"/>
        <v>1.1114864864864864</v>
      </c>
      <c r="R182" s="16">
        <f t="shared" si="32"/>
        <v>1.3337837837837836</v>
      </c>
      <c r="S182" s="16">
        <f t="shared" si="29"/>
        <v>-1.1337837837837836</v>
      </c>
      <c r="T182" s="20">
        <f t="shared" si="33"/>
        <v>120.60716216216215</v>
      </c>
      <c r="V182">
        <v>1007.5</v>
      </c>
      <c r="W182">
        <f t="shared" si="26"/>
        <v>201.5</v>
      </c>
      <c r="X182">
        <f t="shared" si="30"/>
        <v>102789.39999999997</v>
      </c>
      <c r="Y182">
        <f t="shared" si="36"/>
        <v>24271</v>
      </c>
      <c r="AA182">
        <v>10.8644296383567</v>
      </c>
    </row>
    <row r="183" spans="1:28" x14ac:dyDescent="0.25">
      <c r="A183" s="70"/>
      <c r="B183" s="39"/>
      <c r="C183" s="13">
        <v>41697</v>
      </c>
      <c r="D183">
        <v>5.5</v>
      </c>
      <c r="E183" s="25">
        <v>3.3</v>
      </c>
      <c r="F183">
        <v>7.2</v>
      </c>
      <c r="G183">
        <f t="shared" si="31"/>
        <v>1631.9999999999991</v>
      </c>
      <c r="H183">
        <f t="shared" si="35"/>
        <v>376.10000000000008</v>
      </c>
      <c r="J183">
        <v>13.7</v>
      </c>
      <c r="K183">
        <f t="shared" si="27"/>
        <v>452.90000000000009</v>
      </c>
      <c r="L183">
        <v>0.4</v>
      </c>
      <c r="M183">
        <f t="shared" si="28"/>
        <v>195.99999999999994</v>
      </c>
      <c r="N183">
        <f t="shared" si="25"/>
        <v>13.299999999999999</v>
      </c>
      <c r="O183" s="19">
        <v>122.1</v>
      </c>
      <c r="P183" s="14">
        <v>178</v>
      </c>
      <c r="Q183" s="41">
        <f t="shared" si="24"/>
        <v>1.1135135135135135</v>
      </c>
      <c r="R183" s="16">
        <f t="shared" si="32"/>
        <v>0.44540540540540541</v>
      </c>
      <c r="S183" s="16">
        <f t="shared" si="29"/>
        <v>13.254594594594593</v>
      </c>
      <c r="T183" s="20">
        <f t="shared" si="33"/>
        <v>122.1</v>
      </c>
      <c r="V183" s="21">
        <v>285.39999999999998</v>
      </c>
      <c r="W183">
        <f t="shared" si="26"/>
        <v>51.890909090909084</v>
      </c>
      <c r="X183">
        <f t="shared" si="30"/>
        <v>103074.79999999996</v>
      </c>
      <c r="Y183">
        <f t="shared" si="36"/>
        <v>24556.400000000001</v>
      </c>
      <c r="AA183">
        <v>10.9193535185382</v>
      </c>
    </row>
    <row r="184" spans="1:28" x14ac:dyDescent="0.25">
      <c r="A184" s="70"/>
      <c r="B184" s="39"/>
      <c r="C184" s="13">
        <v>41698</v>
      </c>
      <c r="D184">
        <v>6.8</v>
      </c>
      <c r="E184">
        <v>5.9</v>
      </c>
      <c r="F184">
        <v>8.5</v>
      </c>
      <c r="G184">
        <f t="shared" si="31"/>
        <v>1638.799999999999</v>
      </c>
      <c r="H184">
        <f t="shared" si="35"/>
        <v>382.90000000000009</v>
      </c>
      <c r="J184">
        <v>7.2</v>
      </c>
      <c r="K184">
        <f t="shared" si="27"/>
        <v>460.10000000000008</v>
      </c>
      <c r="L184">
        <v>1.5</v>
      </c>
      <c r="M184">
        <f t="shared" si="28"/>
        <v>197.49999999999994</v>
      </c>
      <c r="N184">
        <f t="shared" si="25"/>
        <v>5.7</v>
      </c>
      <c r="O184" s="19">
        <v>122.1</v>
      </c>
      <c r="P184" s="14">
        <v>179</v>
      </c>
      <c r="Q184" s="41">
        <f t="shared" si="24"/>
        <v>1.1155405405405405</v>
      </c>
      <c r="R184" s="16">
        <f t="shared" si="32"/>
        <v>1.6733108108108108</v>
      </c>
      <c r="S184" s="16">
        <f t="shared" si="29"/>
        <v>5.5266891891891898</v>
      </c>
      <c r="T184" s="20">
        <f t="shared" si="33"/>
        <v>122.1</v>
      </c>
      <c r="V184" s="21">
        <v>830.7</v>
      </c>
      <c r="W184">
        <f t="shared" si="26"/>
        <v>122.16176470588236</v>
      </c>
      <c r="X184">
        <f t="shared" si="30"/>
        <v>103905.49999999996</v>
      </c>
      <c r="Y184">
        <f t="shared" si="36"/>
        <v>25387.100000000002</v>
      </c>
      <c r="AA184">
        <v>10.974431538840699</v>
      </c>
    </row>
    <row r="185" spans="1:28" x14ac:dyDescent="0.25">
      <c r="A185" s="70"/>
      <c r="B185" s="39"/>
      <c r="C185" s="13">
        <v>41699</v>
      </c>
      <c r="D185" s="25">
        <v>4.9000000000000004</v>
      </c>
      <c r="E185" s="25">
        <v>4.4000000000000004</v>
      </c>
      <c r="F185">
        <v>7.5</v>
      </c>
      <c r="G185">
        <f t="shared" si="31"/>
        <v>1643.6999999999991</v>
      </c>
      <c r="H185">
        <f t="shared" si="35"/>
        <v>387.80000000000007</v>
      </c>
      <c r="J185">
        <v>0</v>
      </c>
      <c r="K185">
        <f t="shared" si="27"/>
        <v>460.10000000000008</v>
      </c>
      <c r="L185">
        <v>1.6</v>
      </c>
      <c r="M185">
        <f t="shared" si="28"/>
        <v>199.09999999999994</v>
      </c>
      <c r="N185" s="9">
        <f t="shared" si="25"/>
        <v>-1.6</v>
      </c>
      <c r="O185" s="19">
        <f t="shared" si="34"/>
        <v>120.5</v>
      </c>
      <c r="P185" s="14">
        <v>180</v>
      </c>
      <c r="Q185" s="41">
        <f t="shared" si="24"/>
        <v>1.1175675675675676</v>
      </c>
      <c r="R185" s="16">
        <f t="shared" si="32"/>
        <v>1.7881081081081083</v>
      </c>
      <c r="S185" s="16">
        <f t="shared" si="29"/>
        <v>-1.7881081081081083</v>
      </c>
      <c r="T185" s="20">
        <f t="shared" si="33"/>
        <v>120.31189189189189</v>
      </c>
      <c r="V185">
        <v>1081.8</v>
      </c>
      <c r="W185">
        <f t="shared" si="26"/>
        <v>220.7755102040816</v>
      </c>
      <c r="X185">
        <f t="shared" si="30"/>
        <v>104987.29999999996</v>
      </c>
      <c r="Y185">
        <f t="shared" si="36"/>
        <v>26468.9</v>
      </c>
      <c r="AA185">
        <v>11.0296531803146</v>
      </c>
    </row>
    <row r="186" spans="1:28" x14ac:dyDescent="0.25">
      <c r="A186" s="70"/>
      <c r="B186" s="39"/>
      <c r="C186" s="13">
        <v>41700</v>
      </c>
      <c r="D186">
        <v>5.0999999999999996</v>
      </c>
      <c r="E186" s="24">
        <v>-1.4</v>
      </c>
      <c r="F186">
        <v>10</v>
      </c>
      <c r="G186">
        <f t="shared" si="31"/>
        <v>1648.799999999999</v>
      </c>
      <c r="H186">
        <f t="shared" si="35"/>
        <v>392.90000000000009</v>
      </c>
      <c r="J186">
        <v>4.2</v>
      </c>
      <c r="K186">
        <f t="shared" si="27"/>
        <v>464.30000000000007</v>
      </c>
      <c r="L186">
        <v>1.4</v>
      </c>
      <c r="M186">
        <f t="shared" si="28"/>
        <v>200.49999999999994</v>
      </c>
      <c r="N186">
        <f t="shared" si="25"/>
        <v>2.8000000000000003</v>
      </c>
      <c r="O186" s="19">
        <v>122.1</v>
      </c>
      <c r="P186" s="14">
        <v>181</v>
      </c>
      <c r="Q186" s="41">
        <f t="shared" si="24"/>
        <v>1.1195945945945944</v>
      </c>
      <c r="R186" s="16">
        <f t="shared" si="32"/>
        <v>1.567432432432432</v>
      </c>
      <c r="S186" s="16">
        <f t="shared" si="29"/>
        <v>2.6325675675675679</v>
      </c>
      <c r="T186" s="20">
        <f t="shared" si="33"/>
        <v>122.1</v>
      </c>
      <c r="V186">
        <v>1259.3</v>
      </c>
      <c r="W186">
        <f t="shared" si="26"/>
        <v>246.92156862745099</v>
      </c>
      <c r="X186">
        <f t="shared" si="30"/>
        <v>106246.59999999996</v>
      </c>
      <c r="Y186">
        <f t="shared" si="36"/>
        <v>27728.2</v>
      </c>
      <c r="AA186">
        <v>11.0850083152216</v>
      </c>
    </row>
    <row r="187" spans="1:28" x14ac:dyDescent="0.25">
      <c r="A187" s="70"/>
      <c r="B187" s="39"/>
      <c r="C187" s="13">
        <v>41701</v>
      </c>
      <c r="D187">
        <v>5.7</v>
      </c>
      <c r="E187" s="25">
        <v>3.8</v>
      </c>
      <c r="F187">
        <v>8.4</v>
      </c>
      <c r="G187">
        <f t="shared" si="31"/>
        <v>1654.4999999999991</v>
      </c>
      <c r="H187">
        <f t="shared" si="35"/>
        <v>398.60000000000008</v>
      </c>
      <c r="J187">
        <v>2.9</v>
      </c>
      <c r="K187">
        <f t="shared" si="27"/>
        <v>467.20000000000005</v>
      </c>
      <c r="L187">
        <v>1.1000000000000001</v>
      </c>
      <c r="M187">
        <f t="shared" si="28"/>
        <v>201.59999999999994</v>
      </c>
      <c r="N187">
        <f t="shared" si="25"/>
        <v>1.7999999999999998</v>
      </c>
      <c r="O187" s="19">
        <v>122.1</v>
      </c>
      <c r="P187" s="14">
        <v>182</v>
      </c>
      <c r="Q187" s="41">
        <f t="shared" si="24"/>
        <v>1.1216216216216215</v>
      </c>
      <c r="R187" s="16">
        <f t="shared" si="32"/>
        <v>1.2337837837837837</v>
      </c>
      <c r="S187" s="16">
        <f t="shared" si="29"/>
        <v>1.6662162162162162</v>
      </c>
      <c r="T187" s="20">
        <f t="shared" si="33"/>
        <v>122.1</v>
      </c>
      <c r="V187" s="21">
        <v>605.1</v>
      </c>
      <c r="W187">
        <f t="shared" si="26"/>
        <v>106.15789473684211</v>
      </c>
      <c r="X187">
        <f t="shared" si="30"/>
        <v>106851.69999999997</v>
      </c>
      <c r="Y187">
        <f t="shared" si="36"/>
        <v>28333.3</v>
      </c>
      <c r="AA187">
        <v>11.140487189850999</v>
      </c>
    </row>
    <row r="188" spans="1:28" x14ac:dyDescent="0.25">
      <c r="A188" s="70"/>
      <c r="B188" s="39"/>
      <c r="C188" s="13">
        <v>41702</v>
      </c>
      <c r="D188">
        <v>5.9</v>
      </c>
      <c r="E188" s="25">
        <v>4.2</v>
      </c>
      <c r="F188">
        <v>8.8000000000000007</v>
      </c>
      <c r="G188">
        <f t="shared" si="31"/>
        <v>1660.3999999999992</v>
      </c>
      <c r="H188">
        <f t="shared" si="35"/>
        <v>404.50000000000006</v>
      </c>
      <c r="J188">
        <v>0</v>
      </c>
      <c r="K188">
        <f t="shared" si="27"/>
        <v>467.20000000000005</v>
      </c>
      <c r="L188">
        <v>1.1000000000000001</v>
      </c>
      <c r="M188">
        <f t="shared" si="28"/>
        <v>202.69999999999993</v>
      </c>
      <c r="N188" s="9">
        <f t="shared" si="25"/>
        <v>-1.1000000000000001</v>
      </c>
      <c r="O188" s="19">
        <f t="shared" si="34"/>
        <v>121</v>
      </c>
      <c r="P188" s="14">
        <v>183</v>
      </c>
      <c r="Q188" s="41">
        <f t="shared" si="24"/>
        <v>1.1236486486486486</v>
      </c>
      <c r="R188" s="16">
        <f t="shared" si="32"/>
        <v>1.2360135135135135</v>
      </c>
      <c r="S188" s="16">
        <f t="shared" si="29"/>
        <v>-1.2360135135135135</v>
      </c>
      <c r="T188" s="20">
        <f t="shared" si="33"/>
        <v>120.86398648648648</v>
      </c>
      <c r="V188" s="21">
        <v>716.3</v>
      </c>
      <c r="W188">
        <f t="shared" si="26"/>
        <v>121.40677966101694</v>
      </c>
      <c r="X188">
        <f t="shared" si="30"/>
        <v>107567.99999999997</v>
      </c>
      <c r="Y188">
        <f t="shared" si="36"/>
        <v>29049.599999999999</v>
      </c>
      <c r="AA188">
        <v>11.196080407173399</v>
      </c>
    </row>
    <row r="189" spans="1:28" x14ac:dyDescent="0.25">
      <c r="A189" s="70"/>
      <c r="B189" s="39"/>
      <c r="C189" s="13">
        <v>41703</v>
      </c>
      <c r="D189">
        <v>5.5</v>
      </c>
      <c r="E189" s="25">
        <v>0.2</v>
      </c>
      <c r="F189">
        <v>11.4</v>
      </c>
      <c r="G189">
        <f t="shared" si="31"/>
        <v>1665.8999999999992</v>
      </c>
      <c r="H189">
        <f t="shared" si="35"/>
        <v>410.00000000000006</v>
      </c>
      <c r="J189" s="129">
        <v>0</v>
      </c>
      <c r="K189">
        <f t="shared" si="27"/>
        <v>467.20000000000005</v>
      </c>
      <c r="L189">
        <v>1.6</v>
      </c>
      <c r="M189">
        <f t="shared" si="28"/>
        <v>204.29999999999993</v>
      </c>
      <c r="N189" s="9">
        <f t="shared" si="25"/>
        <v>-1.6</v>
      </c>
      <c r="O189" s="19">
        <f t="shared" si="34"/>
        <v>119.4</v>
      </c>
      <c r="P189" s="14">
        <v>184</v>
      </c>
      <c r="Q189" s="41">
        <f t="shared" si="24"/>
        <v>1.1256756756756756</v>
      </c>
      <c r="R189" s="16">
        <f t="shared" si="32"/>
        <v>1.8010810810810811</v>
      </c>
      <c r="S189" s="16">
        <f t="shared" si="29"/>
        <v>-1.8010810810810811</v>
      </c>
      <c r="T189" s="20">
        <f t="shared" si="33"/>
        <v>119.0629054054054</v>
      </c>
      <c r="V189">
        <v>1467.4</v>
      </c>
      <c r="W189">
        <f t="shared" si="26"/>
        <v>266.8</v>
      </c>
      <c r="X189">
        <f t="shared" si="30"/>
        <v>109035.39999999997</v>
      </c>
      <c r="Y189">
        <f t="shared" si="36"/>
        <v>30517</v>
      </c>
      <c r="AA189">
        <v>11.25177890937</v>
      </c>
      <c r="AB189" s="135" t="s">
        <v>56</v>
      </c>
    </row>
    <row r="190" spans="1:28" x14ac:dyDescent="0.25">
      <c r="A190" s="70"/>
      <c r="B190" s="39"/>
      <c r="C190" s="13">
        <v>41704</v>
      </c>
      <c r="D190">
        <v>6.2</v>
      </c>
      <c r="E190" s="25">
        <v>0.8</v>
      </c>
      <c r="F190">
        <v>12.4</v>
      </c>
      <c r="G190">
        <f t="shared" si="31"/>
        <v>1672.0999999999992</v>
      </c>
      <c r="H190">
        <f t="shared" si="35"/>
        <v>416.20000000000005</v>
      </c>
      <c r="J190" s="129">
        <v>0</v>
      </c>
      <c r="K190">
        <f t="shared" si="27"/>
        <v>467.20000000000005</v>
      </c>
      <c r="L190">
        <v>2.1</v>
      </c>
      <c r="M190">
        <f t="shared" si="28"/>
        <v>206.39999999999992</v>
      </c>
      <c r="N190" s="9">
        <f t="shared" si="25"/>
        <v>-2.1</v>
      </c>
      <c r="O190" s="19">
        <f t="shared" si="34"/>
        <v>117.30000000000001</v>
      </c>
      <c r="P190" s="14">
        <v>185</v>
      </c>
      <c r="Q190" s="41">
        <f t="shared" si="24"/>
        <v>1.1277027027027027</v>
      </c>
      <c r="R190" s="16">
        <f t="shared" si="32"/>
        <v>2.3681756756756758</v>
      </c>
      <c r="S190" s="16">
        <f t="shared" si="29"/>
        <v>-2.3681756756756758</v>
      </c>
      <c r="T190" s="20">
        <f t="shared" si="33"/>
        <v>116.69472972972973</v>
      </c>
      <c r="V190">
        <v>1660.5</v>
      </c>
      <c r="W190">
        <f t="shared" si="26"/>
        <v>267.82258064516128</v>
      </c>
      <c r="X190">
        <f t="shared" si="30"/>
        <v>110695.89999999997</v>
      </c>
      <c r="Y190">
        <f t="shared" si="36"/>
        <v>32177.5</v>
      </c>
      <c r="AA190">
        <v>11.3075739602747</v>
      </c>
      <c r="AB190" s="22">
        <f>AVERAGE(T196:T209)</f>
        <v>88.222191119691132</v>
      </c>
    </row>
    <row r="191" spans="1:28" x14ac:dyDescent="0.25">
      <c r="A191" s="70"/>
      <c r="B191" s="39"/>
      <c r="C191" s="13">
        <v>41705</v>
      </c>
      <c r="D191">
        <v>6.8</v>
      </c>
      <c r="E191" s="24">
        <v>-0.5</v>
      </c>
      <c r="F191">
        <v>13.9</v>
      </c>
      <c r="G191">
        <f t="shared" si="31"/>
        <v>1678.8999999999992</v>
      </c>
      <c r="H191">
        <f t="shared" si="35"/>
        <v>423.00000000000006</v>
      </c>
      <c r="J191" s="129">
        <v>0</v>
      </c>
      <c r="K191">
        <f t="shared" si="27"/>
        <v>467.20000000000005</v>
      </c>
      <c r="L191">
        <v>1.9</v>
      </c>
      <c r="M191">
        <f t="shared" si="28"/>
        <v>208.29999999999993</v>
      </c>
      <c r="N191" s="9">
        <f t="shared" si="25"/>
        <v>-1.9</v>
      </c>
      <c r="O191" s="19">
        <f t="shared" si="34"/>
        <v>115.4</v>
      </c>
      <c r="P191" s="14">
        <v>186</v>
      </c>
      <c r="Q191" s="41">
        <f t="shared" si="24"/>
        <v>1.1297297297297297</v>
      </c>
      <c r="R191" s="16">
        <f t="shared" si="32"/>
        <v>2.1464864864864865</v>
      </c>
      <c r="S191" s="16">
        <f t="shared" si="29"/>
        <v>-2.1464864864864865</v>
      </c>
      <c r="T191" s="20">
        <f t="shared" si="33"/>
        <v>114.54824324324325</v>
      </c>
      <c r="V191">
        <v>1470</v>
      </c>
      <c r="W191">
        <f t="shared" si="26"/>
        <v>216.1764705882353</v>
      </c>
      <c r="X191">
        <f t="shared" si="30"/>
        <v>112165.89999999997</v>
      </c>
      <c r="Y191">
        <f t="shared" si="36"/>
        <v>33647.5</v>
      </c>
      <c r="AA191">
        <v>11.363457127755799</v>
      </c>
      <c r="AB191" s="135" t="s">
        <v>55</v>
      </c>
    </row>
    <row r="192" spans="1:28" x14ac:dyDescent="0.25">
      <c r="A192" s="70"/>
      <c r="B192" s="39"/>
      <c r="C192" s="13">
        <v>41706</v>
      </c>
      <c r="D192">
        <v>8.8000000000000007</v>
      </c>
      <c r="E192" s="25">
        <v>2.2000000000000002</v>
      </c>
      <c r="F192">
        <v>15.8</v>
      </c>
      <c r="G192">
        <f t="shared" si="31"/>
        <v>1687.6999999999991</v>
      </c>
      <c r="H192">
        <f t="shared" si="35"/>
        <v>431.80000000000007</v>
      </c>
      <c r="J192" s="129">
        <v>0</v>
      </c>
      <c r="K192">
        <f t="shared" si="27"/>
        <v>467.20000000000005</v>
      </c>
      <c r="L192">
        <v>2.6</v>
      </c>
      <c r="M192">
        <f t="shared" si="28"/>
        <v>210.89999999999992</v>
      </c>
      <c r="N192" s="9">
        <f t="shared" si="25"/>
        <v>-2.6</v>
      </c>
      <c r="O192" s="19">
        <f t="shared" si="34"/>
        <v>112.80000000000001</v>
      </c>
      <c r="P192" s="14">
        <v>187</v>
      </c>
      <c r="Q192" s="41">
        <f t="shared" si="24"/>
        <v>1.1317567567567566</v>
      </c>
      <c r="R192" s="16">
        <f t="shared" si="32"/>
        <v>2.9425675675675671</v>
      </c>
      <c r="S192" s="16">
        <f t="shared" si="29"/>
        <v>-2.9425675675675671</v>
      </c>
      <c r="T192" s="20">
        <f t="shared" si="33"/>
        <v>111.60567567567568</v>
      </c>
      <c r="V192">
        <v>1698.1</v>
      </c>
      <c r="W192">
        <f t="shared" si="26"/>
        <v>192.96590909090907</v>
      </c>
      <c r="X192">
        <f t="shared" si="30"/>
        <v>113863.99999999997</v>
      </c>
      <c r="Y192">
        <f t="shared" si="36"/>
        <v>35345.599999999999</v>
      </c>
      <c r="AA192">
        <v>11.4194202660684</v>
      </c>
      <c r="AB192">
        <v>10</v>
      </c>
    </row>
    <row r="193" spans="1:55" x14ac:dyDescent="0.25">
      <c r="A193" s="70"/>
      <c r="B193" s="39"/>
      <c r="C193" s="13">
        <v>41707</v>
      </c>
      <c r="D193">
        <v>10.4</v>
      </c>
      <c r="E193" s="25">
        <v>2.5</v>
      </c>
      <c r="F193">
        <v>18.8</v>
      </c>
      <c r="G193">
        <f t="shared" si="31"/>
        <v>1698.0999999999992</v>
      </c>
      <c r="H193">
        <f t="shared" si="35"/>
        <v>442.20000000000005</v>
      </c>
      <c r="J193" s="129">
        <v>0</v>
      </c>
      <c r="K193">
        <f t="shared" si="27"/>
        <v>467.20000000000005</v>
      </c>
      <c r="L193">
        <v>3</v>
      </c>
      <c r="M193">
        <f t="shared" si="28"/>
        <v>213.89999999999992</v>
      </c>
      <c r="N193" s="9">
        <f t="shared" si="25"/>
        <v>-3</v>
      </c>
      <c r="O193" s="19">
        <f t="shared" si="34"/>
        <v>109.80000000000001</v>
      </c>
      <c r="P193" s="14">
        <v>188</v>
      </c>
      <c r="Q193" s="41">
        <f t="shared" ref="Q193:Q201" si="37">1+((P193-122)/74)*(1.15-1)</f>
        <v>1.1337837837837836</v>
      </c>
      <c r="R193" s="16">
        <f t="shared" si="32"/>
        <v>3.4013513513513507</v>
      </c>
      <c r="S193" s="16">
        <f t="shared" si="29"/>
        <v>-3.4013513513513507</v>
      </c>
      <c r="T193" s="20">
        <f t="shared" si="33"/>
        <v>108.20432432432433</v>
      </c>
      <c r="V193">
        <v>1737.3</v>
      </c>
      <c r="W193">
        <f t="shared" si="26"/>
        <v>167.04807692307691</v>
      </c>
      <c r="X193">
        <f t="shared" si="30"/>
        <v>115601.29999999997</v>
      </c>
      <c r="Y193">
        <f t="shared" si="36"/>
        <v>37082.9</v>
      </c>
      <c r="AA193">
        <v>11.4754554981985</v>
      </c>
      <c r="AB193" s="135" t="s">
        <v>54</v>
      </c>
    </row>
    <row r="194" spans="1:55" x14ac:dyDescent="0.25">
      <c r="A194" s="70"/>
      <c r="B194" s="39"/>
      <c r="C194" s="13">
        <v>41708</v>
      </c>
      <c r="D194">
        <v>9.9</v>
      </c>
      <c r="E194" s="25">
        <v>3.1</v>
      </c>
      <c r="F194">
        <v>17.5</v>
      </c>
      <c r="G194">
        <f t="shared" si="31"/>
        <v>1707.9999999999993</v>
      </c>
      <c r="H194">
        <f t="shared" si="35"/>
        <v>452.1</v>
      </c>
      <c r="J194" s="129">
        <v>0</v>
      </c>
      <c r="K194">
        <f t="shared" si="27"/>
        <v>467.20000000000005</v>
      </c>
      <c r="L194">
        <v>2.8</v>
      </c>
      <c r="M194">
        <f t="shared" si="28"/>
        <v>216.69999999999993</v>
      </c>
      <c r="N194" s="9">
        <f t="shared" si="25"/>
        <v>-2.8</v>
      </c>
      <c r="O194" s="19">
        <f t="shared" si="34"/>
        <v>107.00000000000001</v>
      </c>
      <c r="P194" s="14">
        <v>189</v>
      </c>
      <c r="Q194" s="41">
        <f t="shared" si="37"/>
        <v>1.1358108108108107</v>
      </c>
      <c r="R194" s="16">
        <f t="shared" si="32"/>
        <v>3.1802702702702699</v>
      </c>
      <c r="S194" s="16">
        <f t="shared" si="29"/>
        <v>-3.1802702702702699</v>
      </c>
      <c r="T194" s="20">
        <f t="shared" si="33"/>
        <v>105.02405405405406</v>
      </c>
      <c r="V194">
        <v>1748.1</v>
      </c>
      <c r="W194">
        <f t="shared" si="26"/>
        <v>176.57575757575756</v>
      </c>
      <c r="X194">
        <f t="shared" si="30"/>
        <v>117349.39999999998</v>
      </c>
      <c r="Y194">
        <f t="shared" si="36"/>
        <v>38831</v>
      </c>
      <c r="AA194">
        <v>11.53155519822</v>
      </c>
      <c r="AB194">
        <v>4</v>
      </c>
    </row>
    <row r="195" spans="1:55" x14ac:dyDescent="0.25">
      <c r="A195" s="70"/>
      <c r="B195" s="39"/>
      <c r="C195" s="13">
        <v>41709</v>
      </c>
      <c r="D195">
        <v>9.9</v>
      </c>
      <c r="E195">
        <v>5.6</v>
      </c>
      <c r="F195">
        <v>14.5</v>
      </c>
      <c r="G195">
        <f t="shared" si="31"/>
        <v>1717.8999999999994</v>
      </c>
      <c r="H195">
        <f t="shared" si="35"/>
        <v>462</v>
      </c>
      <c r="J195" s="129">
        <v>0</v>
      </c>
      <c r="K195">
        <f t="shared" si="27"/>
        <v>467.20000000000005</v>
      </c>
      <c r="L195">
        <v>2.6</v>
      </c>
      <c r="M195">
        <f t="shared" si="28"/>
        <v>219.29999999999993</v>
      </c>
      <c r="N195" s="9">
        <f t="shared" si="25"/>
        <v>-2.6</v>
      </c>
      <c r="O195" s="19">
        <f t="shared" si="34"/>
        <v>104.40000000000002</v>
      </c>
      <c r="P195" s="14">
        <v>190</v>
      </c>
      <c r="Q195" s="41">
        <f t="shared" si="37"/>
        <v>1.1378378378378378</v>
      </c>
      <c r="R195" s="16">
        <f t="shared" si="32"/>
        <v>2.9583783783783781</v>
      </c>
      <c r="S195" s="16">
        <f t="shared" si="29"/>
        <v>-2.9583783783783781</v>
      </c>
      <c r="T195" s="20">
        <f t="shared" si="33"/>
        <v>102.06567567567568</v>
      </c>
      <c r="V195">
        <v>1696.9</v>
      </c>
      <c r="W195">
        <f t="shared" si="26"/>
        <v>171.40404040404042</v>
      </c>
      <c r="X195">
        <f t="shared" si="30"/>
        <v>119046.29999999997</v>
      </c>
      <c r="Y195">
        <f t="shared" si="36"/>
        <v>40527.9</v>
      </c>
      <c r="AA195">
        <v>11.587711973684099</v>
      </c>
      <c r="AB195" s="135" t="s">
        <v>53</v>
      </c>
    </row>
    <row r="196" spans="1:55" s="11" customFormat="1" x14ac:dyDescent="0.25">
      <c r="A196" s="70"/>
      <c r="B196" s="39"/>
      <c r="C196" s="10">
        <v>41710</v>
      </c>
      <c r="D196" s="5">
        <v>8.6</v>
      </c>
      <c r="E196" s="5">
        <v>3.5</v>
      </c>
      <c r="F196" s="5">
        <v>15</v>
      </c>
      <c r="G196" s="5">
        <f t="shared" si="31"/>
        <v>1726.4999999999993</v>
      </c>
      <c r="H196" s="5">
        <f t="shared" si="35"/>
        <v>470.6</v>
      </c>
      <c r="I196" s="5"/>
      <c r="J196" s="129">
        <v>0</v>
      </c>
      <c r="K196" s="5">
        <f t="shared" si="27"/>
        <v>467.20000000000005</v>
      </c>
      <c r="L196" s="5">
        <v>2.6</v>
      </c>
      <c r="M196" s="5">
        <f t="shared" si="28"/>
        <v>221.89999999999992</v>
      </c>
      <c r="N196" s="5">
        <f t="shared" si="25"/>
        <v>-2.6</v>
      </c>
      <c r="O196" s="19">
        <f t="shared" si="34"/>
        <v>101.80000000000003</v>
      </c>
      <c r="P196" s="14">
        <v>191</v>
      </c>
      <c r="Q196" s="41">
        <f t="shared" si="37"/>
        <v>1.1398648648648648</v>
      </c>
      <c r="R196" s="16">
        <f t="shared" si="32"/>
        <v>2.9636486486486486</v>
      </c>
      <c r="S196" s="16">
        <f t="shared" si="29"/>
        <v>-2.9636486486486486</v>
      </c>
      <c r="T196" s="132">
        <f t="shared" si="33"/>
        <v>99.102027027027034</v>
      </c>
      <c r="U196" s="5"/>
      <c r="V196" s="5">
        <v>1793.3</v>
      </c>
      <c r="W196" s="5">
        <f t="shared" si="26"/>
        <v>208.52325581395348</v>
      </c>
      <c r="X196" s="5">
        <f t="shared" si="30"/>
        <v>120839.59999999998</v>
      </c>
      <c r="Y196">
        <f t="shared" si="36"/>
        <v>42321.200000000004</v>
      </c>
      <c r="Z196" s="5"/>
      <c r="AA196" s="5">
        <v>11.6439186480532</v>
      </c>
      <c r="AB196" s="5">
        <v>0</v>
      </c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</row>
    <row r="197" spans="1:55" x14ac:dyDescent="0.25">
      <c r="A197" s="70"/>
      <c r="B197" s="39"/>
      <c r="C197" s="13">
        <v>41711</v>
      </c>
      <c r="D197">
        <v>9.3000000000000007</v>
      </c>
      <c r="E197" s="25">
        <v>1.7</v>
      </c>
      <c r="F197">
        <v>16.899999999999999</v>
      </c>
      <c r="G197">
        <f t="shared" si="31"/>
        <v>1735.7999999999993</v>
      </c>
      <c r="H197">
        <f t="shared" si="35"/>
        <v>479.90000000000003</v>
      </c>
      <c r="J197" s="129">
        <v>0</v>
      </c>
      <c r="K197">
        <f t="shared" si="27"/>
        <v>467.20000000000005</v>
      </c>
      <c r="L197">
        <v>2.4</v>
      </c>
      <c r="M197">
        <f t="shared" si="28"/>
        <v>224.29999999999993</v>
      </c>
      <c r="N197" s="9">
        <f t="shared" si="25"/>
        <v>-2.4</v>
      </c>
      <c r="O197" s="19">
        <f t="shared" si="34"/>
        <v>99.40000000000002</v>
      </c>
      <c r="P197" s="14">
        <v>192</v>
      </c>
      <c r="Q197" s="41">
        <f t="shared" si="37"/>
        <v>1.1418918918918919</v>
      </c>
      <c r="R197" s="16">
        <f t="shared" si="32"/>
        <v>2.7405405405405405</v>
      </c>
      <c r="S197" s="16">
        <f t="shared" si="29"/>
        <v>-2.7405405405405405</v>
      </c>
      <c r="T197" s="132">
        <f t="shared" si="33"/>
        <v>96.361486486486498</v>
      </c>
      <c r="V197">
        <v>1805.6</v>
      </c>
      <c r="W197">
        <f t="shared" si="26"/>
        <v>194.15053763440858</v>
      </c>
      <c r="X197">
        <f t="shared" si="30"/>
        <v>122645.19999999998</v>
      </c>
      <c r="Y197">
        <f t="shared" si="36"/>
        <v>44126.8</v>
      </c>
      <c r="AA197">
        <v>11.700168243194501</v>
      </c>
      <c r="AB197" s="135" t="s">
        <v>52</v>
      </c>
    </row>
    <row r="198" spans="1:55" x14ac:dyDescent="0.25">
      <c r="A198" s="70"/>
      <c r="B198" s="39"/>
      <c r="C198" s="13">
        <v>41712</v>
      </c>
      <c r="D198">
        <v>10</v>
      </c>
      <c r="E198" s="25">
        <v>3.1</v>
      </c>
      <c r="F198">
        <v>16.5</v>
      </c>
      <c r="G198">
        <f t="shared" si="31"/>
        <v>1745.7999999999993</v>
      </c>
      <c r="H198">
        <f t="shared" si="35"/>
        <v>489.90000000000003</v>
      </c>
      <c r="J198" s="129">
        <v>0</v>
      </c>
      <c r="K198">
        <f t="shared" si="27"/>
        <v>467.20000000000005</v>
      </c>
      <c r="L198">
        <v>2.4</v>
      </c>
      <c r="M198">
        <f t="shared" si="28"/>
        <v>226.69999999999993</v>
      </c>
      <c r="N198" s="9">
        <f t="shared" ref="N198:N261" si="38">J198-L198</f>
        <v>-2.4</v>
      </c>
      <c r="O198" s="19">
        <f t="shared" si="34"/>
        <v>97.000000000000014</v>
      </c>
      <c r="P198" s="14">
        <v>193</v>
      </c>
      <c r="Q198" s="41">
        <f t="shared" si="37"/>
        <v>1.1439189189189189</v>
      </c>
      <c r="R198" s="16">
        <f t="shared" si="32"/>
        <v>2.7454054054054056</v>
      </c>
      <c r="S198" s="16">
        <f t="shared" si="29"/>
        <v>-2.7454054054054056</v>
      </c>
      <c r="T198" s="132">
        <f t="shared" si="33"/>
        <v>93.616081081081091</v>
      </c>
      <c r="V198">
        <v>1799.7</v>
      </c>
      <c r="W198">
        <f t="shared" ref="W198:W261" si="39">V198/D198</f>
        <v>179.97</v>
      </c>
      <c r="X198">
        <f t="shared" si="30"/>
        <v>124444.89999999998</v>
      </c>
      <c r="Y198">
        <f t="shared" si="36"/>
        <v>45926.5</v>
      </c>
      <c r="AA198">
        <v>11.756453961942601</v>
      </c>
      <c r="AB198">
        <f>SUM(J200:J209)</f>
        <v>14.3</v>
      </c>
    </row>
    <row r="199" spans="1:55" s="124" customFormat="1" x14ac:dyDescent="0.25">
      <c r="A199" s="121"/>
      <c r="B199" s="122" t="s">
        <v>51</v>
      </c>
      <c r="C199" s="123">
        <v>41713</v>
      </c>
      <c r="D199" s="124">
        <v>7.1</v>
      </c>
      <c r="E199" s="124">
        <v>5.0999999999999996</v>
      </c>
      <c r="F199" s="124">
        <v>9.6</v>
      </c>
      <c r="G199" s="124">
        <f t="shared" si="31"/>
        <v>1752.8999999999992</v>
      </c>
      <c r="H199" s="124">
        <f t="shared" si="35"/>
        <v>497.00000000000006</v>
      </c>
      <c r="J199" s="124">
        <v>0</v>
      </c>
      <c r="K199" s="124">
        <f t="shared" ref="K199:K262" si="40">K198+J199</f>
        <v>467.20000000000005</v>
      </c>
      <c r="L199" s="124">
        <v>0.8</v>
      </c>
      <c r="M199" s="124">
        <f t="shared" ref="M199:M262" si="41">M198+L199</f>
        <v>227.49999999999994</v>
      </c>
      <c r="N199" s="124">
        <f t="shared" si="38"/>
        <v>-0.8</v>
      </c>
      <c r="O199" s="124">
        <f t="shared" si="34"/>
        <v>96.200000000000017</v>
      </c>
      <c r="P199" s="125">
        <v>194</v>
      </c>
      <c r="Q199" s="126">
        <f t="shared" si="37"/>
        <v>1.1459459459459458</v>
      </c>
      <c r="R199" s="127">
        <f t="shared" si="32"/>
        <v>0.91675675675675672</v>
      </c>
      <c r="S199" s="127">
        <f t="shared" ref="S199:S262" si="42">J199-R199</f>
        <v>-0.91675675675675672</v>
      </c>
      <c r="T199" s="128">
        <f t="shared" si="33"/>
        <v>92.699324324324337</v>
      </c>
      <c r="V199" s="124">
        <v>493.3</v>
      </c>
      <c r="W199" s="124">
        <f t="shared" si="39"/>
        <v>69.478873239436624</v>
      </c>
      <c r="X199" s="124">
        <f t="shared" ref="X199:X262" si="43">X198+V199</f>
        <v>124938.19999999998</v>
      </c>
      <c r="Y199" s="124">
        <f t="shared" si="36"/>
        <v>46419.8</v>
      </c>
      <c r="AA199" s="124">
        <v>11.8127691707385</v>
      </c>
    </row>
    <row r="200" spans="1:55" x14ac:dyDescent="0.25">
      <c r="A200" s="70"/>
      <c r="B200" s="39"/>
      <c r="C200" s="13">
        <v>41714</v>
      </c>
      <c r="D200">
        <v>7.7</v>
      </c>
      <c r="E200" s="25">
        <v>4.4000000000000004</v>
      </c>
      <c r="F200">
        <v>11.5</v>
      </c>
      <c r="G200">
        <f t="shared" ref="G200:G263" si="44">G199+D200</f>
        <v>1760.5999999999992</v>
      </c>
      <c r="H200">
        <f t="shared" si="35"/>
        <v>504.70000000000005</v>
      </c>
      <c r="J200" s="129">
        <v>0.2</v>
      </c>
      <c r="K200">
        <f t="shared" si="40"/>
        <v>467.40000000000003</v>
      </c>
      <c r="L200">
        <v>1.9</v>
      </c>
      <c r="M200">
        <f t="shared" si="41"/>
        <v>229.39999999999995</v>
      </c>
      <c r="N200" s="9">
        <f t="shared" si="38"/>
        <v>-1.7</v>
      </c>
      <c r="O200" s="19">
        <f t="shared" si="34"/>
        <v>94.500000000000014</v>
      </c>
      <c r="P200" s="14">
        <v>195</v>
      </c>
      <c r="Q200" s="41">
        <f t="shared" si="37"/>
        <v>1.1479729729729728</v>
      </c>
      <c r="R200" s="16">
        <f t="shared" ref="R200:R263" si="45">Q200*L200</f>
        <v>2.1811486486486484</v>
      </c>
      <c r="S200" s="16">
        <f t="shared" si="42"/>
        <v>-1.9811486486486485</v>
      </c>
      <c r="T200" s="132">
        <f t="shared" si="33"/>
        <v>90.718175675675695</v>
      </c>
      <c r="V200">
        <v>1392.5</v>
      </c>
      <c r="W200">
        <f t="shared" si="39"/>
        <v>180.84415584415584</v>
      </c>
      <c r="X200">
        <f t="shared" si="43"/>
        <v>126330.69999999998</v>
      </c>
      <c r="Y200">
        <f t="shared" si="36"/>
        <v>47812.3</v>
      </c>
      <c r="AA200">
        <v>11.869107382354301</v>
      </c>
    </row>
    <row r="201" spans="1:55" s="81" customFormat="1" ht="15.75" thickBot="1" x14ac:dyDescent="0.3">
      <c r="A201" s="78"/>
      <c r="B201" s="79"/>
      <c r="C201" s="80">
        <v>41715</v>
      </c>
      <c r="D201" s="81">
        <v>8.1999999999999993</v>
      </c>
      <c r="E201" s="82">
        <v>2.6</v>
      </c>
      <c r="F201" s="81">
        <v>13.9</v>
      </c>
      <c r="G201" s="81">
        <f t="shared" si="44"/>
        <v>1768.7999999999993</v>
      </c>
      <c r="H201" s="81">
        <f t="shared" si="35"/>
        <v>512.90000000000009</v>
      </c>
      <c r="J201" s="130">
        <v>0</v>
      </c>
      <c r="K201" s="81">
        <f t="shared" si="40"/>
        <v>467.40000000000003</v>
      </c>
      <c r="L201" s="81">
        <v>1.8</v>
      </c>
      <c r="M201" s="81">
        <f t="shared" si="41"/>
        <v>231.19999999999996</v>
      </c>
      <c r="N201" s="83">
        <f t="shared" si="38"/>
        <v>-1.8</v>
      </c>
      <c r="O201" s="84">
        <f t="shared" si="34"/>
        <v>92.700000000000017</v>
      </c>
      <c r="P201" s="85">
        <v>196</v>
      </c>
      <c r="Q201" s="41">
        <f t="shared" si="37"/>
        <v>1.1499999999999999</v>
      </c>
      <c r="R201" s="86">
        <f t="shared" si="45"/>
        <v>2.0699999999999998</v>
      </c>
      <c r="S201" s="86">
        <f t="shared" si="42"/>
        <v>-2.0699999999999998</v>
      </c>
      <c r="T201" s="133">
        <f t="shared" si="33"/>
        <v>88.648175675675702</v>
      </c>
      <c r="V201" s="81">
        <v>1349.5</v>
      </c>
      <c r="W201" s="81">
        <f t="shared" si="39"/>
        <v>164.57317073170734</v>
      </c>
      <c r="X201" s="81">
        <f t="shared" si="43"/>
        <v>127680.19999999998</v>
      </c>
      <c r="Y201" s="81">
        <f t="shared" si="36"/>
        <v>49161.8</v>
      </c>
      <c r="AA201" s="81">
        <v>11.925462238704601</v>
      </c>
    </row>
    <row r="202" spans="1:55" s="60" customFormat="1" x14ac:dyDescent="0.25">
      <c r="A202" s="71" t="s">
        <v>47</v>
      </c>
      <c r="B202" s="58" t="s">
        <v>47</v>
      </c>
      <c r="C202" s="59">
        <v>41716</v>
      </c>
      <c r="D202" s="60">
        <v>8.1</v>
      </c>
      <c r="E202" s="61">
        <v>1.8</v>
      </c>
      <c r="F202" s="60">
        <v>13.7</v>
      </c>
      <c r="G202" s="60">
        <f t="shared" si="44"/>
        <v>1776.8999999999992</v>
      </c>
      <c r="H202" s="60">
        <v>8.1</v>
      </c>
      <c r="J202" s="131">
        <v>0</v>
      </c>
      <c r="K202" s="60">
        <f t="shared" si="40"/>
        <v>467.40000000000003</v>
      </c>
      <c r="L202" s="60">
        <v>1.5</v>
      </c>
      <c r="M202" s="60">
        <f t="shared" si="41"/>
        <v>232.69999999999996</v>
      </c>
      <c r="N202" s="62">
        <f t="shared" si="38"/>
        <v>-1.5</v>
      </c>
      <c r="O202" s="63">
        <f t="shared" si="34"/>
        <v>91.200000000000017</v>
      </c>
      <c r="P202" s="72">
        <v>197</v>
      </c>
      <c r="Q202" s="73">
        <f t="shared" ref="Q202" si="46">1+((P202-122)/75)*(1.15-1)</f>
        <v>1.1499999999999999</v>
      </c>
      <c r="R202" s="55">
        <f t="shared" si="45"/>
        <v>1.7249999999999999</v>
      </c>
      <c r="S202" s="55">
        <f t="shared" si="42"/>
        <v>-1.7249999999999999</v>
      </c>
      <c r="T202" s="134">
        <f t="shared" ref="T202:T265" si="47">MIN(122.1,(T201+S202))</f>
        <v>86.923175675675708</v>
      </c>
      <c r="V202" s="60">
        <v>1271.7</v>
      </c>
      <c r="W202" s="60">
        <f t="shared" si="39"/>
        <v>157</v>
      </c>
      <c r="X202" s="60">
        <f t="shared" si="43"/>
        <v>128951.89999999998</v>
      </c>
      <c r="Y202" s="60">
        <f>V202</f>
        <v>1271.7</v>
      </c>
      <c r="AA202" s="60">
        <v>11.9818274937524</v>
      </c>
    </row>
    <row r="203" spans="1:55" x14ac:dyDescent="0.25">
      <c r="A203" s="46"/>
      <c r="B203" s="1"/>
      <c r="C203" s="13">
        <v>41717</v>
      </c>
      <c r="D203">
        <v>9.1999999999999993</v>
      </c>
      <c r="E203" s="25">
        <v>3.2</v>
      </c>
      <c r="F203">
        <v>13.9</v>
      </c>
      <c r="G203">
        <f t="shared" si="44"/>
        <v>1786.0999999999992</v>
      </c>
      <c r="H203">
        <f>H202+D203</f>
        <v>17.299999999999997</v>
      </c>
      <c r="I203" s="47" t="s">
        <v>28</v>
      </c>
      <c r="J203" s="129">
        <v>0</v>
      </c>
      <c r="K203">
        <f t="shared" si="40"/>
        <v>467.40000000000003</v>
      </c>
      <c r="L203">
        <v>2.2000000000000002</v>
      </c>
      <c r="M203">
        <f t="shared" si="41"/>
        <v>234.89999999999995</v>
      </c>
      <c r="N203" s="9">
        <f t="shared" si="38"/>
        <v>-2.2000000000000002</v>
      </c>
      <c r="O203" s="19">
        <f t="shared" ref="O203:O266" si="48">O202+N203</f>
        <v>89.000000000000014</v>
      </c>
      <c r="P203" s="14">
        <v>198</v>
      </c>
      <c r="Q203" s="15">
        <v>1.1499999999999999</v>
      </c>
      <c r="R203" s="16">
        <f t="shared" si="45"/>
        <v>2.5299999999999998</v>
      </c>
      <c r="S203" s="16">
        <f t="shared" si="42"/>
        <v>-2.5299999999999998</v>
      </c>
      <c r="T203" s="132">
        <f t="shared" si="47"/>
        <v>84.393175675675707</v>
      </c>
      <c r="U203" s="47" t="s">
        <v>29</v>
      </c>
      <c r="V203">
        <v>1735.9</v>
      </c>
      <c r="W203" s="48">
        <f>(V203/100)/D203</f>
        <v>1.8868478260869568</v>
      </c>
      <c r="X203">
        <f t="shared" si="43"/>
        <v>130687.79999999997</v>
      </c>
      <c r="Y203">
        <f>Y202+V203</f>
        <v>3007.6000000000004</v>
      </c>
      <c r="Z203" s="47" t="s">
        <v>30</v>
      </c>
      <c r="AA203">
        <v>12.0381969965074</v>
      </c>
    </row>
    <row r="204" spans="1:55" x14ac:dyDescent="0.25">
      <c r="A204" s="46"/>
      <c r="B204" s="1"/>
      <c r="C204" s="13">
        <v>41718</v>
      </c>
      <c r="D204">
        <v>12.7</v>
      </c>
      <c r="E204" s="25">
        <v>3.5</v>
      </c>
      <c r="F204">
        <v>19.899999999999999</v>
      </c>
      <c r="G204">
        <f t="shared" si="44"/>
        <v>1798.7999999999993</v>
      </c>
      <c r="H204">
        <f t="shared" si="35"/>
        <v>29.999999999999996</v>
      </c>
      <c r="I204">
        <f>MIN(E202:E222)</f>
        <v>-1.1000000000000001</v>
      </c>
      <c r="J204" s="129">
        <v>0</v>
      </c>
      <c r="K204">
        <f t="shared" si="40"/>
        <v>467.40000000000003</v>
      </c>
      <c r="L204">
        <v>3.4</v>
      </c>
      <c r="M204">
        <f t="shared" si="41"/>
        <v>238.29999999999995</v>
      </c>
      <c r="N204" s="9">
        <f t="shared" si="38"/>
        <v>-3.4</v>
      </c>
      <c r="O204" s="19">
        <f t="shared" si="48"/>
        <v>85.600000000000009</v>
      </c>
      <c r="P204" s="14">
        <v>199</v>
      </c>
      <c r="Q204" s="15">
        <v>1.1499999999999999</v>
      </c>
      <c r="R204" s="16">
        <f t="shared" si="45"/>
        <v>3.9099999999999997</v>
      </c>
      <c r="S204" s="16">
        <f t="shared" si="42"/>
        <v>-3.9099999999999997</v>
      </c>
      <c r="T204" s="132">
        <f t="shared" si="47"/>
        <v>80.48317567567571</v>
      </c>
      <c r="U204">
        <v>15</v>
      </c>
      <c r="V204">
        <v>1978.4</v>
      </c>
      <c r="W204" s="48">
        <f t="shared" ref="W204:W223" si="49">(V204/100)/D204</f>
        <v>1.5577952755905515</v>
      </c>
      <c r="X204">
        <f t="shared" si="43"/>
        <v>132666.19999999998</v>
      </c>
      <c r="Y204">
        <f t="shared" si="36"/>
        <v>4986</v>
      </c>
      <c r="Z204">
        <v>25029.9</v>
      </c>
      <c r="AA204">
        <v>12.0945646741219</v>
      </c>
    </row>
    <row r="205" spans="1:55" x14ac:dyDescent="0.25">
      <c r="A205" s="46"/>
      <c r="B205" s="1"/>
      <c r="C205" s="13">
        <v>41719</v>
      </c>
      <c r="D205">
        <v>10.8</v>
      </c>
      <c r="E205">
        <v>10.199999999999999</v>
      </c>
      <c r="F205">
        <v>12</v>
      </c>
      <c r="G205">
        <f t="shared" si="44"/>
        <v>1809.5999999999992</v>
      </c>
      <c r="H205">
        <f t="shared" si="35"/>
        <v>40.799999999999997</v>
      </c>
      <c r="I205" s="47" t="s">
        <v>31</v>
      </c>
      <c r="J205" s="129">
        <v>2.7</v>
      </c>
      <c r="K205">
        <f t="shared" si="40"/>
        <v>470.1</v>
      </c>
      <c r="L205">
        <v>1.2</v>
      </c>
      <c r="M205">
        <f t="shared" si="41"/>
        <v>239.49999999999994</v>
      </c>
      <c r="N205">
        <f t="shared" si="38"/>
        <v>1.5000000000000002</v>
      </c>
      <c r="O205" s="19">
        <f t="shared" si="48"/>
        <v>87.100000000000009</v>
      </c>
      <c r="P205" s="14">
        <v>200</v>
      </c>
      <c r="Q205" s="15">
        <v>1.1499999999999999</v>
      </c>
      <c r="R205" s="16">
        <f t="shared" si="45"/>
        <v>1.38</v>
      </c>
      <c r="S205" s="16">
        <f t="shared" si="42"/>
        <v>1.3200000000000003</v>
      </c>
      <c r="T205" s="132">
        <f t="shared" si="47"/>
        <v>81.803175675675703</v>
      </c>
      <c r="U205" s="47" t="s">
        <v>32</v>
      </c>
      <c r="V205" s="21">
        <v>563.20000000000005</v>
      </c>
      <c r="W205" s="49">
        <f t="shared" si="49"/>
        <v>0.52148148148148155</v>
      </c>
      <c r="X205">
        <f t="shared" si="43"/>
        <v>133229.4</v>
      </c>
      <c r="Y205">
        <f t="shared" si="36"/>
        <v>5549.2</v>
      </c>
      <c r="Z205" s="47" t="s">
        <v>33</v>
      </c>
      <c r="AA205">
        <v>12.1509245150813</v>
      </c>
    </row>
    <row r="206" spans="1:55" x14ac:dyDescent="0.25">
      <c r="A206" s="46"/>
      <c r="B206" s="1"/>
      <c r="C206" s="13">
        <v>41720</v>
      </c>
      <c r="D206">
        <v>7.8</v>
      </c>
      <c r="E206">
        <v>7.7</v>
      </c>
      <c r="F206">
        <v>9.6</v>
      </c>
      <c r="G206">
        <f t="shared" si="44"/>
        <v>1817.3999999999992</v>
      </c>
      <c r="H206">
        <f t="shared" si="35"/>
        <v>48.599999999999994</v>
      </c>
      <c r="I206">
        <f>MAX(F202:F222)</f>
        <v>23.3</v>
      </c>
      <c r="J206" s="129">
        <v>3.1</v>
      </c>
      <c r="K206">
        <f t="shared" si="40"/>
        <v>473.20000000000005</v>
      </c>
      <c r="L206">
        <v>1.6</v>
      </c>
      <c r="M206">
        <f t="shared" si="41"/>
        <v>241.09999999999994</v>
      </c>
      <c r="N206">
        <f t="shared" si="38"/>
        <v>1.5</v>
      </c>
      <c r="O206" s="19">
        <f t="shared" si="48"/>
        <v>88.600000000000009</v>
      </c>
      <c r="P206" s="14">
        <v>201</v>
      </c>
      <c r="Q206" s="15">
        <v>1.1499999999999999</v>
      </c>
      <c r="R206" s="16">
        <f t="shared" si="45"/>
        <v>1.8399999999999999</v>
      </c>
      <c r="S206" s="16">
        <f t="shared" si="42"/>
        <v>1.2600000000000002</v>
      </c>
      <c r="T206" s="132">
        <f t="shared" si="47"/>
        <v>83.063175675675708</v>
      </c>
      <c r="U206">
        <v>0</v>
      </c>
      <c r="V206" s="21">
        <v>859.4</v>
      </c>
      <c r="W206" s="49">
        <f t="shared" si="49"/>
        <v>1.1017948717948718</v>
      </c>
      <c r="X206">
        <f t="shared" si="43"/>
        <v>134088.79999999999</v>
      </c>
      <c r="Y206">
        <f t="shared" si="36"/>
        <v>6408.5999999999995</v>
      </c>
      <c r="Z206" s="22">
        <f>(Z204/100)/I216</f>
        <v>1.1767700987306067</v>
      </c>
      <c r="AA206">
        <v>12.2072705524909</v>
      </c>
    </row>
    <row r="207" spans="1:55" x14ac:dyDescent="0.25">
      <c r="A207" s="46"/>
      <c r="B207" s="1"/>
      <c r="C207" s="13">
        <v>41721</v>
      </c>
      <c r="D207" s="25">
        <v>4.5999999999999996</v>
      </c>
      <c r="E207" s="25">
        <v>1.4</v>
      </c>
      <c r="F207">
        <v>8.6999999999999993</v>
      </c>
      <c r="G207">
        <f t="shared" si="44"/>
        <v>1821.9999999999991</v>
      </c>
      <c r="H207">
        <f t="shared" si="35"/>
        <v>53.199999999999996</v>
      </c>
      <c r="I207" s="47" t="s">
        <v>34</v>
      </c>
      <c r="J207" s="129">
        <v>2.8</v>
      </c>
      <c r="K207">
        <f t="shared" si="40"/>
        <v>476.00000000000006</v>
      </c>
      <c r="L207">
        <v>1.4</v>
      </c>
      <c r="M207">
        <f t="shared" si="41"/>
        <v>242.49999999999994</v>
      </c>
      <c r="N207">
        <f t="shared" si="38"/>
        <v>1.4</v>
      </c>
      <c r="O207" s="19">
        <f t="shared" si="48"/>
        <v>90.000000000000014</v>
      </c>
      <c r="P207" s="14">
        <v>202</v>
      </c>
      <c r="Q207" s="15">
        <v>1.1499999999999999</v>
      </c>
      <c r="R207" s="16">
        <f t="shared" si="45"/>
        <v>1.6099999999999999</v>
      </c>
      <c r="S207" s="16">
        <f t="shared" si="42"/>
        <v>1.19</v>
      </c>
      <c r="T207" s="132">
        <f t="shared" si="47"/>
        <v>84.253175675675706</v>
      </c>
      <c r="U207" s="47" t="s">
        <v>35</v>
      </c>
      <c r="V207">
        <v>1158.5999999999999</v>
      </c>
      <c r="W207" s="48">
        <f t="shared" si="49"/>
        <v>2.5186956521739128</v>
      </c>
      <c r="X207">
        <f t="shared" si="43"/>
        <v>135247.4</v>
      </c>
      <c r="Y207">
        <f t="shared" si="36"/>
        <v>7567.1999999999989</v>
      </c>
      <c r="Z207" s="47" t="s">
        <v>36</v>
      </c>
      <c r="AA207">
        <v>12.2635968474573</v>
      </c>
    </row>
    <row r="208" spans="1:55" x14ac:dyDescent="0.25">
      <c r="A208" s="46"/>
      <c r="B208" s="1"/>
      <c r="C208" s="13">
        <v>41722</v>
      </c>
      <c r="D208">
        <v>5.5</v>
      </c>
      <c r="E208" s="24">
        <v>-0.4</v>
      </c>
      <c r="F208">
        <v>10.1</v>
      </c>
      <c r="G208">
        <f t="shared" si="44"/>
        <v>1827.4999999999991</v>
      </c>
      <c r="H208">
        <f t="shared" si="35"/>
        <v>58.699999999999996</v>
      </c>
      <c r="I208" s="23">
        <f>AVERAGE(D202:D222)</f>
        <v>10.12857142857143</v>
      </c>
      <c r="J208" s="129">
        <v>4.0999999999999996</v>
      </c>
      <c r="K208">
        <f t="shared" si="40"/>
        <v>480.10000000000008</v>
      </c>
      <c r="L208">
        <v>1.4</v>
      </c>
      <c r="M208">
        <f t="shared" si="41"/>
        <v>243.89999999999995</v>
      </c>
      <c r="N208">
        <f t="shared" si="38"/>
        <v>2.6999999999999997</v>
      </c>
      <c r="O208" s="19">
        <f t="shared" si="48"/>
        <v>92.700000000000017</v>
      </c>
      <c r="P208" s="14">
        <v>203</v>
      </c>
      <c r="Q208" s="15">
        <v>1.1499999999999999</v>
      </c>
      <c r="R208" s="16">
        <f t="shared" si="45"/>
        <v>1.6099999999999999</v>
      </c>
      <c r="S208" s="16">
        <f t="shared" si="42"/>
        <v>2.4899999999999998</v>
      </c>
      <c r="T208" s="132">
        <f t="shared" si="47"/>
        <v>86.743175675675701</v>
      </c>
      <c r="U208">
        <v>0</v>
      </c>
      <c r="V208">
        <v>1140.9000000000001</v>
      </c>
      <c r="W208" s="48">
        <f t="shared" si="49"/>
        <v>2.0743636363636364</v>
      </c>
      <c r="X208">
        <f t="shared" si="43"/>
        <v>136388.29999999999</v>
      </c>
      <c r="Y208">
        <f t="shared" si="36"/>
        <v>8708.0999999999985</v>
      </c>
      <c r="Z208">
        <v>4</v>
      </c>
      <c r="AA208">
        <v>12.319897472562699</v>
      </c>
    </row>
    <row r="209" spans="1:40" x14ac:dyDescent="0.25">
      <c r="A209" s="46"/>
      <c r="B209" s="1"/>
      <c r="C209" s="13">
        <v>41723</v>
      </c>
      <c r="D209">
        <v>7.4</v>
      </c>
      <c r="E209" s="25">
        <v>4.9000000000000004</v>
      </c>
      <c r="F209">
        <v>10.3</v>
      </c>
      <c r="G209">
        <f t="shared" si="44"/>
        <v>1834.8999999999992</v>
      </c>
      <c r="H209">
        <f t="shared" si="35"/>
        <v>66.099999999999994</v>
      </c>
      <c r="I209" s="47" t="s">
        <v>37</v>
      </c>
      <c r="J209" s="129">
        <v>1.4</v>
      </c>
      <c r="K209">
        <f t="shared" si="40"/>
        <v>481.50000000000006</v>
      </c>
      <c r="L209">
        <v>1.6</v>
      </c>
      <c r="M209">
        <f t="shared" si="41"/>
        <v>245.49999999999994</v>
      </c>
      <c r="N209" s="9">
        <f t="shared" si="38"/>
        <v>-0.20000000000000018</v>
      </c>
      <c r="O209" s="19">
        <f t="shared" si="48"/>
        <v>92.500000000000014</v>
      </c>
      <c r="P209" s="14">
        <v>204</v>
      </c>
      <c r="Q209" s="15">
        <v>1.1499999999999999</v>
      </c>
      <c r="R209" s="16">
        <f t="shared" si="45"/>
        <v>1.8399999999999999</v>
      </c>
      <c r="S209" s="16">
        <f t="shared" si="42"/>
        <v>-0.43999999999999995</v>
      </c>
      <c r="T209" s="132">
        <f t="shared" si="47"/>
        <v>86.303175675675703</v>
      </c>
      <c r="U209" s="47" t="s">
        <v>38</v>
      </c>
      <c r="V209">
        <v>1148.9000000000001</v>
      </c>
      <c r="W209" s="48">
        <f t="shared" si="49"/>
        <v>1.5525675675675676</v>
      </c>
      <c r="X209">
        <f t="shared" si="43"/>
        <v>137537.19999999998</v>
      </c>
      <c r="Y209">
        <f t="shared" si="36"/>
        <v>9856.9999999999982</v>
      </c>
      <c r="AA209">
        <v>12.3761664954312</v>
      </c>
    </row>
    <row r="210" spans="1:40" x14ac:dyDescent="0.25">
      <c r="A210" s="46"/>
      <c r="B210" s="1"/>
      <c r="C210" s="13">
        <v>41724</v>
      </c>
      <c r="D210">
        <v>6.1</v>
      </c>
      <c r="E210" s="25">
        <v>3.5</v>
      </c>
      <c r="F210">
        <v>10.3</v>
      </c>
      <c r="G210">
        <f t="shared" si="44"/>
        <v>1840.9999999999991</v>
      </c>
      <c r="H210">
        <f t="shared" ref="H210:H273" si="50">H209+D210</f>
        <v>72.199999999999989</v>
      </c>
      <c r="I210">
        <v>2</v>
      </c>
      <c r="J210">
        <v>0</v>
      </c>
      <c r="K210">
        <f t="shared" si="40"/>
        <v>481.50000000000006</v>
      </c>
      <c r="L210">
        <v>1.8</v>
      </c>
      <c r="M210">
        <f t="shared" si="41"/>
        <v>247.29999999999995</v>
      </c>
      <c r="N210" s="9">
        <f t="shared" si="38"/>
        <v>-1.8</v>
      </c>
      <c r="O210" s="19">
        <f t="shared" si="48"/>
        <v>90.700000000000017</v>
      </c>
      <c r="P210" s="14">
        <v>205</v>
      </c>
      <c r="Q210" s="15">
        <v>1.1499999999999999</v>
      </c>
      <c r="R210" s="16">
        <f t="shared" si="45"/>
        <v>2.0699999999999998</v>
      </c>
      <c r="S210" s="16">
        <f t="shared" si="42"/>
        <v>-2.0699999999999998</v>
      </c>
      <c r="T210" s="20">
        <f t="shared" si="47"/>
        <v>84.23317567567571</v>
      </c>
      <c r="U210" s="23">
        <f>MIN(T202:T222)</f>
        <v>63.673175675675736</v>
      </c>
      <c r="V210">
        <v>1143.4000000000001</v>
      </c>
      <c r="W210" s="48">
        <f t="shared" si="49"/>
        <v>1.874426229508197</v>
      </c>
      <c r="X210">
        <f t="shared" si="43"/>
        <v>138680.59999999998</v>
      </c>
      <c r="Y210">
        <f t="shared" ref="Y210:Y273" si="51">Y209+V210</f>
        <v>11000.399999999998</v>
      </c>
      <c r="AA210">
        <v>12.4323979623851</v>
      </c>
    </row>
    <row r="211" spans="1:40" x14ac:dyDescent="0.25">
      <c r="A211" s="46" t="s">
        <v>48</v>
      </c>
      <c r="B211" s="1"/>
      <c r="C211" s="13">
        <v>41725</v>
      </c>
      <c r="D211">
        <v>5.2</v>
      </c>
      <c r="E211" s="24">
        <v>-1.1000000000000001</v>
      </c>
      <c r="F211">
        <v>10.3</v>
      </c>
      <c r="G211">
        <f t="shared" si="44"/>
        <v>1846.1999999999991</v>
      </c>
      <c r="H211">
        <f t="shared" si="50"/>
        <v>77.399999999999991</v>
      </c>
      <c r="I211" s="47" t="s">
        <v>39</v>
      </c>
      <c r="J211">
        <v>0</v>
      </c>
      <c r="K211">
        <f t="shared" si="40"/>
        <v>481.50000000000006</v>
      </c>
      <c r="L211">
        <v>1.8</v>
      </c>
      <c r="M211">
        <f t="shared" si="41"/>
        <v>249.09999999999997</v>
      </c>
      <c r="N211" s="9">
        <f t="shared" si="38"/>
        <v>-1.8</v>
      </c>
      <c r="O211" s="19">
        <f t="shared" si="48"/>
        <v>88.90000000000002</v>
      </c>
      <c r="P211" s="14">
        <v>206</v>
      </c>
      <c r="Q211" s="15">
        <v>1.1499999999999999</v>
      </c>
      <c r="R211" s="16">
        <f t="shared" si="45"/>
        <v>2.0699999999999998</v>
      </c>
      <c r="S211" s="16">
        <f t="shared" si="42"/>
        <v>-2.0699999999999998</v>
      </c>
      <c r="T211" s="20">
        <f t="shared" si="47"/>
        <v>82.163175675675717</v>
      </c>
      <c r="U211" s="47" t="s">
        <v>40</v>
      </c>
      <c r="V211">
        <v>1596.9</v>
      </c>
      <c r="W211" s="48">
        <f t="shared" si="49"/>
        <v>3.0709615384615385</v>
      </c>
      <c r="X211">
        <f t="shared" si="43"/>
        <v>140277.49999999997</v>
      </c>
      <c r="Y211">
        <f t="shared" si="51"/>
        <v>12597.299999999997</v>
      </c>
      <c r="AA211">
        <v>12.4885858821902</v>
      </c>
    </row>
    <row r="212" spans="1:40" x14ac:dyDescent="0.25">
      <c r="A212" s="50"/>
      <c r="B212" s="1"/>
      <c r="C212" s="13">
        <v>41726</v>
      </c>
      <c r="D212">
        <v>8.5</v>
      </c>
      <c r="E212" s="25">
        <v>2.2000000000000002</v>
      </c>
      <c r="F212">
        <v>14.5</v>
      </c>
      <c r="G212">
        <f t="shared" si="44"/>
        <v>1854.6999999999991</v>
      </c>
      <c r="H212">
        <f t="shared" si="50"/>
        <v>85.899999999999991</v>
      </c>
      <c r="I212">
        <v>0</v>
      </c>
      <c r="J212">
        <v>0</v>
      </c>
      <c r="K212">
        <f t="shared" si="40"/>
        <v>481.50000000000006</v>
      </c>
      <c r="L212">
        <v>1.8</v>
      </c>
      <c r="M212">
        <f t="shared" si="41"/>
        <v>250.89999999999998</v>
      </c>
      <c r="N212" s="9">
        <f t="shared" si="38"/>
        <v>-1.8</v>
      </c>
      <c r="O212" s="19">
        <f t="shared" si="48"/>
        <v>87.100000000000023</v>
      </c>
      <c r="P212" s="14">
        <v>207</v>
      </c>
      <c r="Q212" s="15">
        <v>1.1499999999999999</v>
      </c>
      <c r="R212" s="16">
        <f t="shared" si="45"/>
        <v>2.0699999999999998</v>
      </c>
      <c r="S212" s="16">
        <f t="shared" si="42"/>
        <v>-2.0699999999999998</v>
      </c>
      <c r="T212" s="20">
        <f t="shared" si="47"/>
        <v>80.093175675675724</v>
      </c>
      <c r="U212" s="23">
        <f>MAX(T202:T222)</f>
        <v>86.923175675675708</v>
      </c>
      <c r="V212">
        <v>1018.3</v>
      </c>
      <c r="W212" s="49">
        <f t="shared" si="49"/>
        <v>1.198</v>
      </c>
      <c r="X212">
        <f t="shared" si="43"/>
        <v>141295.79999999996</v>
      </c>
      <c r="Y212">
        <f t="shared" si="51"/>
        <v>13615.599999999997</v>
      </c>
      <c r="AA212">
        <v>12.5447242098874</v>
      </c>
    </row>
    <row r="213" spans="1:40" x14ac:dyDescent="0.25">
      <c r="A213" s="50"/>
      <c r="B213" s="1"/>
      <c r="C213" s="13">
        <v>41727</v>
      </c>
      <c r="D213">
        <v>11.4</v>
      </c>
      <c r="E213" s="25">
        <v>3.2</v>
      </c>
      <c r="F213">
        <v>19</v>
      </c>
      <c r="G213">
        <f t="shared" si="44"/>
        <v>1866.0999999999992</v>
      </c>
      <c r="H213">
        <f t="shared" si="50"/>
        <v>97.3</v>
      </c>
      <c r="I213" s="47" t="s">
        <v>41</v>
      </c>
      <c r="J213">
        <v>0</v>
      </c>
      <c r="K213">
        <f t="shared" si="40"/>
        <v>481.50000000000006</v>
      </c>
      <c r="L213">
        <v>2.6</v>
      </c>
      <c r="M213">
        <f t="shared" si="41"/>
        <v>253.49999999999997</v>
      </c>
      <c r="N213" s="9">
        <f t="shared" si="38"/>
        <v>-2.6</v>
      </c>
      <c r="O213" s="19">
        <f t="shared" si="48"/>
        <v>84.500000000000028</v>
      </c>
      <c r="P213" s="14">
        <v>208</v>
      </c>
      <c r="Q213" s="15">
        <v>1.1499999999999999</v>
      </c>
      <c r="R213" s="16">
        <f t="shared" si="45"/>
        <v>2.9899999999999998</v>
      </c>
      <c r="S213" s="16">
        <f t="shared" si="42"/>
        <v>-2.9899999999999998</v>
      </c>
      <c r="T213" s="20">
        <f t="shared" si="47"/>
        <v>77.103175675675729</v>
      </c>
      <c r="U213" s="47" t="s">
        <v>42</v>
      </c>
      <c r="V213">
        <v>1340.4</v>
      </c>
      <c r="W213" s="49">
        <f t="shared" si="49"/>
        <v>1.1757894736842107</v>
      </c>
      <c r="X213">
        <f t="shared" si="43"/>
        <v>142636.19999999995</v>
      </c>
      <c r="Y213">
        <f t="shared" si="51"/>
        <v>14955.999999999996</v>
      </c>
      <c r="AA213">
        <v>12.600806830711701</v>
      </c>
    </row>
    <row r="214" spans="1:40" x14ac:dyDescent="0.25">
      <c r="A214" s="50"/>
      <c r="B214" s="1"/>
      <c r="C214" s="13">
        <v>41728</v>
      </c>
      <c r="D214">
        <v>12.1</v>
      </c>
      <c r="E214">
        <v>7.5</v>
      </c>
      <c r="F214">
        <v>17.3</v>
      </c>
      <c r="G214">
        <f t="shared" si="44"/>
        <v>1878.1999999999991</v>
      </c>
      <c r="H214">
        <f t="shared" si="50"/>
        <v>109.39999999999999</v>
      </c>
      <c r="I214">
        <v>8</v>
      </c>
      <c r="J214">
        <v>0.2</v>
      </c>
      <c r="K214">
        <f t="shared" si="40"/>
        <v>481.70000000000005</v>
      </c>
      <c r="L214">
        <v>1.5</v>
      </c>
      <c r="M214">
        <f t="shared" si="41"/>
        <v>254.99999999999997</v>
      </c>
      <c r="N214" s="9">
        <f t="shared" si="38"/>
        <v>-1.3</v>
      </c>
      <c r="O214" s="19">
        <f t="shared" si="48"/>
        <v>83.200000000000031</v>
      </c>
      <c r="P214" s="14">
        <v>209</v>
      </c>
      <c r="Q214" s="15">
        <v>1.1499999999999999</v>
      </c>
      <c r="R214" s="16">
        <f t="shared" si="45"/>
        <v>1.7249999999999999</v>
      </c>
      <c r="S214" s="16">
        <f t="shared" si="42"/>
        <v>-1.5249999999999999</v>
      </c>
      <c r="T214" s="20">
        <f t="shared" si="47"/>
        <v>75.578175675675723</v>
      </c>
      <c r="U214" s="22">
        <f>AVERAGE(T202:T222)</f>
        <v>77.663413770913792</v>
      </c>
      <c r="V214">
        <v>965.5</v>
      </c>
      <c r="W214" s="49">
        <f t="shared" si="49"/>
        <v>0.79793388429752066</v>
      </c>
      <c r="X214">
        <f t="shared" si="43"/>
        <v>143601.69999999995</v>
      </c>
      <c r="Y214">
        <f t="shared" si="51"/>
        <v>15921.499999999996</v>
      </c>
      <c r="AA214">
        <v>12.6568275440966</v>
      </c>
    </row>
    <row r="215" spans="1:40" x14ac:dyDescent="0.25">
      <c r="A215" s="50"/>
      <c r="B215" s="1"/>
      <c r="C215" s="13">
        <v>41729</v>
      </c>
      <c r="D215">
        <v>11.6</v>
      </c>
      <c r="E215">
        <v>6.1</v>
      </c>
      <c r="F215">
        <v>15.8</v>
      </c>
      <c r="G215">
        <f t="shared" si="44"/>
        <v>1889.799999999999</v>
      </c>
      <c r="H215">
        <f t="shared" si="50"/>
        <v>120.99999999999999</v>
      </c>
      <c r="I215" s="47" t="s">
        <v>43</v>
      </c>
      <c r="J215">
        <v>0</v>
      </c>
      <c r="K215">
        <f t="shared" si="40"/>
        <v>481.70000000000005</v>
      </c>
      <c r="L215">
        <v>1.7</v>
      </c>
      <c r="M215">
        <f t="shared" si="41"/>
        <v>256.7</v>
      </c>
      <c r="N215" s="9">
        <f t="shared" si="38"/>
        <v>-1.7</v>
      </c>
      <c r="O215" s="19">
        <f t="shared" si="48"/>
        <v>81.500000000000028</v>
      </c>
      <c r="P215" s="14">
        <v>210</v>
      </c>
      <c r="Q215" s="15">
        <v>1.1499999999999999</v>
      </c>
      <c r="R215" s="16">
        <f t="shared" si="45"/>
        <v>1.9549999999999998</v>
      </c>
      <c r="S215" s="16">
        <f t="shared" si="42"/>
        <v>-1.9549999999999998</v>
      </c>
      <c r="T215" s="20">
        <f t="shared" si="47"/>
        <v>73.623175675675725</v>
      </c>
      <c r="V215">
        <v>1513.5</v>
      </c>
      <c r="W215" s="11">
        <f t="shared" si="49"/>
        <v>1.3047413793103448</v>
      </c>
      <c r="X215">
        <f t="shared" si="43"/>
        <v>145115.19999999995</v>
      </c>
      <c r="Y215">
        <f t="shared" si="51"/>
        <v>17434.999999999996</v>
      </c>
      <c r="AA215">
        <v>12.7127800477652</v>
      </c>
    </row>
    <row r="216" spans="1:40" x14ac:dyDescent="0.25">
      <c r="A216" s="50"/>
      <c r="B216" s="1"/>
      <c r="C216" s="13">
        <v>41730</v>
      </c>
      <c r="D216">
        <v>13</v>
      </c>
      <c r="E216">
        <v>6.8</v>
      </c>
      <c r="F216">
        <v>18.600000000000001</v>
      </c>
      <c r="G216">
        <f t="shared" si="44"/>
        <v>1902.799999999999</v>
      </c>
      <c r="H216">
        <f t="shared" si="50"/>
        <v>134</v>
      </c>
      <c r="I216">
        <v>212.7</v>
      </c>
      <c r="J216">
        <v>0</v>
      </c>
      <c r="K216">
        <f t="shared" si="40"/>
        <v>481.70000000000005</v>
      </c>
      <c r="L216">
        <v>2.1</v>
      </c>
      <c r="M216">
        <f t="shared" si="41"/>
        <v>258.8</v>
      </c>
      <c r="N216" s="9">
        <f t="shared" si="38"/>
        <v>-2.1</v>
      </c>
      <c r="O216" s="19">
        <f t="shared" si="48"/>
        <v>79.400000000000034</v>
      </c>
      <c r="P216" s="14">
        <v>211</v>
      </c>
      <c r="Q216" s="15">
        <v>1.1499999999999999</v>
      </c>
      <c r="R216" s="16">
        <f t="shared" si="45"/>
        <v>2.415</v>
      </c>
      <c r="S216" s="16">
        <f t="shared" si="42"/>
        <v>-2.415</v>
      </c>
      <c r="T216" s="20">
        <f t="shared" si="47"/>
        <v>71.208175675675719</v>
      </c>
      <c r="U216" s="23">
        <f>(U214*100)/122.1</f>
        <v>63.606399484777882</v>
      </c>
      <c r="V216">
        <v>1545.5</v>
      </c>
      <c r="W216" s="49">
        <f t="shared" si="49"/>
        <v>1.1888461538461539</v>
      </c>
      <c r="X216">
        <f t="shared" si="43"/>
        <v>146660.69999999995</v>
      </c>
      <c r="Y216">
        <f t="shared" si="51"/>
        <v>18980.499999999996</v>
      </c>
      <c r="AA216">
        <v>12.7686579219087</v>
      </c>
    </row>
    <row r="217" spans="1:40" x14ac:dyDescent="0.25">
      <c r="A217" s="50"/>
      <c r="B217" s="1"/>
      <c r="C217" s="13">
        <v>41731</v>
      </c>
      <c r="D217">
        <v>14.3</v>
      </c>
      <c r="E217">
        <v>8.1999999999999993</v>
      </c>
      <c r="F217">
        <v>20.2</v>
      </c>
      <c r="G217">
        <f t="shared" si="44"/>
        <v>1917.099999999999</v>
      </c>
      <c r="H217">
        <f t="shared" si="50"/>
        <v>148.30000000000001</v>
      </c>
      <c r="J217">
        <v>0.6</v>
      </c>
      <c r="K217">
        <f t="shared" si="40"/>
        <v>482.30000000000007</v>
      </c>
      <c r="L217">
        <v>1.8</v>
      </c>
      <c r="M217">
        <f t="shared" si="41"/>
        <v>260.60000000000002</v>
      </c>
      <c r="N217" s="9">
        <f t="shared" si="38"/>
        <v>-1.2000000000000002</v>
      </c>
      <c r="O217" s="19">
        <f t="shared" si="48"/>
        <v>78.200000000000031</v>
      </c>
      <c r="P217" s="14">
        <v>212</v>
      </c>
      <c r="Q217" s="15">
        <v>1.1499999999999999</v>
      </c>
      <c r="R217" s="16">
        <f t="shared" si="45"/>
        <v>2.0699999999999998</v>
      </c>
      <c r="S217" s="16">
        <f t="shared" si="42"/>
        <v>-1.4699999999999998</v>
      </c>
      <c r="T217" s="20">
        <f t="shared" si="47"/>
        <v>69.73817567567572</v>
      </c>
      <c r="V217">
        <v>911.1</v>
      </c>
      <c r="W217" s="49">
        <f t="shared" si="49"/>
        <v>0.6371328671328671</v>
      </c>
      <c r="X217">
        <f t="shared" si="43"/>
        <v>147571.79999999996</v>
      </c>
      <c r="Y217">
        <f t="shared" si="51"/>
        <v>19891.599999999995</v>
      </c>
      <c r="AA217">
        <v>12.824454613454099</v>
      </c>
    </row>
    <row r="218" spans="1:40" x14ac:dyDescent="0.25">
      <c r="A218" s="50"/>
      <c r="B218" s="1"/>
      <c r="C218" s="13">
        <v>41732</v>
      </c>
      <c r="D218">
        <v>12.9</v>
      </c>
      <c r="E218">
        <v>11</v>
      </c>
      <c r="F218">
        <v>15.1</v>
      </c>
      <c r="G218">
        <f t="shared" si="44"/>
        <v>1929.9999999999991</v>
      </c>
      <c r="H218">
        <f t="shared" si="50"/>
        <v>161.20000000000002</v>
      </c>
      <c r="J218">
        <v>2</v>
      </c>
      <c r="K218">
        <f t="shared" si="40"/>
        <v>484.30000000000007</v>
      </c>
      <c r="L218">
        <v>0.9</v>
      </c>
      <c r="M218">
        <f t="shared" si="41"/>
        <v>261.5</v>
      </c>
      <c r="N218">
        <f t="shared" si="38"/>
        <v>1.1000000000000001</v>
      </c>
      <c r="O218" s="19">
        <f t="shared" si="48"/>
        <v>79.300000000000026</v>
      </c>
      <c r="P218" s="14">
        <v>213</v>
      </c>
      <c r="Q218" s="15">
        <v>1.1499999999999999</v>
      </c>
      <c r="R218" s="16">
        <f t="shared" si="45"/>
        <v>1.0349999999999999</v>
      </c>
      <c r="S218" s="16">
        <f t="shared" si="42"/>
        <v>0.96500000000000008</v>
      </c>
      <c r="T218" s="20">
        <f t="shared" si="47"/>
        <v>70.703175675675723</v>
      </c>
      <c r="V218" s="21">
        <v>358</v>
      </c>
      <c r="W218" s="49">
        <f t="shared" si="49"/>
        <v>0.27751937984496122</v>
      </c>
      <c r="X218">
        <f t="shared" si="43"/>
        <v>147929.79999999996</v>
      </c>
      <c r="Y218">
        <f t="shared" si="51"/>
        <v>20249.599999999995</v>
      </c>
      <c r="AA218">
        <v>12.880163420425699</v>
      </c>
    </row>
    <row r="219" spans="1:40" x14ac:dyDescent="0.25">
      <c r="A219" s="50"/>
      <c r="B219" s="1"/>
      <c r="C219" s="13">
        <v>41733</v>
      </c>
      <c r="D219">
        <v>10.8</v>
      </c>
      <c r="E219">
        <v>11.1</v>
      </c>
      <c r="F219">
        <v>11.6</v>
      </c>
      <c r="G219">
        <f t="shared" si="44"/>
        <v>1940.799999999999</v>
      </c>
      <c r="H219">
        <f t="shared" si="50"/>
        <v>172.00000000000003</v>
      </c>
      <c r="J219">
        <v>2</v>
      </c>
      <c r="K219">
        <f t="shared" si="40"/>
        <v>486.30000000000007</v>
      </c>
      <c r="L219">
        <v>0.6</v>
      </c>
      <c r="M219">
        <f t="shared" si="41"/>
        <v>262.10000000000002</v>
      </c>
      <c r="N219">
        <f t="shared" si="38"/>
        <v>1.4</v>
      </c>
      <c r="O219" s="19">
        <f t="shared" si="48"/>
        <v>80.700000000000031</v>
      </c>
      <c r="P219" s="14">
        <v>214</v>
      </c>
      <c r="Q219" s="15">
        <v>1.1499999999999999</v>
      </c>
      <c r="R219" s="16">
        <f t="shared" si="45"/>
        <v>0.69</v>
      </c>
      <c r="S219" s="16">
        <f t="shared" si="42"/>
        <v>1.31</v>
      </c>
      <c r="T219" s="20">
        <f t="shared" si="47"/>
        <v>72.013175675675726</v>
      </c>
      <c r="V219" s="21">
        <v>330.9</v>
      </c>
      <c r="W219" s="49">
        <f t="shared" si="49"/>
        <v>0.30638888888888882</v>
      </c>
      <c r="X219">
        <f t="shared" si="43"/>
        <v>148260.69999999995</v>
      </c>
      <c r="Y219">
        <f t="shared" si="51"/>
        <v>20580.499999999996</v>
      </c>
      <c r="AA219">
        <v>12.9357774764031</v>
      </c>
    </row>
    <row r="220" spans="1:40" x14ac:dyDescent="0.25">
      <c r="A220" s="51"/>
      <c r="B220" s="1"/>
      <c r="C220" s="13">
        <v>41734</v>
      </c>
      <c r="D220">
        <v>11.5</v>
      </c>
      <c r="E220">
        <v>5.9</v>
      </c>
      <c r="F220">
        <v>15</v>
      </c>
      <c r="G220">
        <f t="shared" si="44"/>
        <v>1952.299999999999</v>
      </c>
      <c r="H220">
        <f t="shared" si="50"/>
        <v>183.50000000000003</v>
      </c>
      <c r="J220">
        <v>0</v>
      </c>
      <c r="K220">
        <f t="shared" si="40"/>
        <v>486.30000000000007</v>
      </c>
      <c r="L220">
        <v>2.6</v>
      </c>
      <c r="M220">
        <f t="shared" si="41"/>
        <v>264.70000000000005</v>
      </c>
      <c r="N220" s="9">
        <f t="shared" si="38"/>
        <v>-2.6</v>
      </c>
      <c r="O220" s="19">
        <f t="shared" si="48"/>
        <v>78.100000000000037</v>
      </c>
      <c r="P220" s="14">
        <v>215</v>
      </c>
      <c r="Q220" s="15">
        <v>1.1499999999999999</v>
      </c>
      <c r="R220" s="16">
        <f t="shared" si="45"/>
        <v>2.9899999999999998</v>
      </c>
      <c r="S220" s="16">
        <f t="shared" si="42"/>
        <v>-2.9899999999999998</v>
      </c>
      <c r="T220" s="20">
        <f t="shared" si="47"/>
        <v>69.023175675675731</v>
      </c>
      <c r="V220">
        <v>1805.5</v>
      </c>
      <c r="W220" s="48">
        <f t="shared" si="49"/>
        <v>1.57</v>
      </c>
      <c r="X220">
        <f t="shared" si="43"/>
        <v>150066.19999999995</v>
      </c>
      <c r="Y220">
        <f t="shared" si="51"/>
        <v>22385.999999999996</v>
      </c>
      <c r="AA220">
        <v>12.9912897350835</v>
      </c>
    </row>
    <row r="221" spans="1:40" s="56" customFormat="1" x14ac:dyDescent="0.25">
      <c r="A221" s="50"/>
      <c r="B221" s="52"/>
      <c r="C221" s="53">
        <v>41735</v>
      </c>
      <c r="D221" s="52">
        <v>13.9</v>
      </c>
      <c r="E221" s="52">
        <v>12</v>
      </c>
      <c r="F221" s="52">
        <v>16.899999999999999</v>
      </c>
      <c r="G221" s="52">
        <f t="shared" si="44"/>
        <v>1966.1999999999991</v>
      </c>
      <c r="H221" s="52">
        <f t="shared" si="50"/>
        <v>197.40000000000003</v>
      </c>
      <c r="I221" s="52"/>
      <c r="J221" s="52">
        <v>0.4</v>
      </c>
      <c r="K221" s="52">
        <f t="shared" si="40"/>
        <v>486.70000000000005</v>
      </c>
      <c r="L221" s="52">
        <v>1.4</v>
      </c>
      <c r="M221" s="52">
        <f t="shared" si="41"/>
        <v>266.10000000000002</v>
      </c>
      <c r="N221" s="52">
        <f t="shared" si="38"/>
        <v>-0.99999999999999989</v>
      </c>
      <c r="O221" s="52">
        <f t="shared" si="48"/>
        <v>77.100000000000037</v>
      </c>
      <c r="P221" s="14">
        <v>216</v>
      </c>
      <c r="Q221" s="54">
        <v>1.1499999999999999</v>
      </c>
      <c r="R221" s="55">
        <f t="shared" si="45"/>
        <v>1.6099999999999999</v>
      </c>
      <c r="S221" s="16">
        <f t="shared" si="42"/>
        <v>-1.21</v>
      </c>
      <c r="T221" s="20">
        <f t="shared" si="47"/>
        <v>67.813175675675737</v>
      </c>
      <c r="U221" s="52"/>
      <c r="V221" s="52">
        <v>830.2</v>
      </c>
      <c r="W221" s="49">
        <f t="shared" si="49"/>
        <v>0.59726618705035972</v>
      </c>
      <c r="X221" s="52">
        <f t="shared" si="43"/>
        <v>150896.39999999997</v>
      </c>
      <c r="Y221">
        <f t="shared" si="51"/>
        <v>23216.199999999997</v>
      </c>
      <c r="Z221" s="52"/>
      <c r="AA221" s="52">
        <v>13.046692954953601</v>
      </c>
      <c r="AB221" s="52"/>
      <c r="AC221" s="52"/>
      <c r="AD221" s="52"/>
      <c r="AE221" s="52"/>
      <c r="AF221" s="52"/>
      <c r="AG221" s="52"/>
      <c r="AH221" s="52"/>
      <c r="AI221" s="52"/>
      <c r="AJ221" s="52"/>
      <c r="AK221" s="52"/>
      <c r="AL221" s="52"/>
      <c r="AM221" s="52"/>
      <c r="AN221" s="52"/>
    </row>
    <row r="222" spans="1:40" s="81" customFormat="1" ht="15.75" thickBot="1" x14ac:dyDescent="0.3">
      <c r="A222" s="88" t="s">
        <v>49</v>
      </c>
      <c r="B222" s="89"/>
      <c r="C222" s="80">
        <v>41736</v>
      </c>
      <c r="D222" s="81">
        <v>15.3</v>
      </c>
      <c r="E222" s="81">
        <v>8.6</v>
      </c>
      <c r="F222" s="81">
        <v>23.3</v>
      </c>
      <c r="G222" s="81">
        <f t="shared" si="44"/>
        <v>1981.4999999999991</v>
      </c>
      <c r="H222" s="81">
        <f t="shared" si="50"/>
        <v>212.70000000000005</v>
      </c>
      <c r="J222" s="81">
        <v>0</v>
      </c>
      <c r="K222" s="81">
        <f t="shared" si="40"/>
        <v>486.70000000000005</v>
      </c>
      <c r="L222" s="81">
        <v>3.6</v>
      </c>
      <c r="M222" s="81">
        <f t="shared" si="41"/>
        <v>269.70000000000005</v>
      </c>
      <c r="N222" s="83">
        <f t="shared" si="38"/>
        <v>-3.6</v>
      </c>
      <c r="O222" s="84">
        <f t="shared" si="48"/>
        <v>73.500000000000043</v>
      </c>
      <c r="P222" s="85">
        <v>217</v>
      </c>
      <c r="Q222" s="90">
        <v>1.1499999999999999</v>
      </c>
      <c r="R222" s="86">
        <f t="shared" si="45"/>
        <v>4.1399999999999997</v>
      </c>
      <c r="S222" s="86">
        <f t="shared" si="42"/>
        <v>-4.1399999999999997</v>
      </c>
      <c r="T222" s="87">
        <f t="shared" si="47"/>
        <v>63.673175675675736</v>
      </c>
      <c r="V222" s="81">
        <v>1813.7</v>
      </c>
      <c r="W222" s="91">
        <f t="shared" si="49"/>
        <v>1.1854248366013072</v>
      </c>
      <c r="X222" s="81">
        <f t="shared" si="43"/>
        <v>152710.09999999998</v>
      </c>
      <c r="Y222" s="81">
        <f t="shared" si="51"/>
        <v>25029.899999999998</v>
      </c>
      <c r="AA222" s="81">
        <v>13.101979684083</v>
      </c>
    </row>
    <row r="223" spans="1:40" s="60" customFormat="1" x14ac:dyDescent="0.25">
      <c r="A223" s="120">
        <v>300</v>
      </c>
      <c r="B223" s="75"/>
      <c r="C223" s="59">
        <v>41737</v>
      </c>
      <c r="D223" s="60">
        <v>10.199999999999999</v>
      </c>
      <c r="E223" s="60">
        <v>6.4</v>
      </c>
      <c r="F223" s="60">
        <v>14</v>
      </c>
      <c r="G223" s="60">
        <f t="shared" si="44"/>
        <v>1991.6999999999991</v>
      </c>
      <c r="H223" s="60">
        <f>D223</f>
        <v>10.199999999999999</v>
      </c>
      <c r="J223" s="60">
        <v>0</v>
      </c>
      <c r="K223" s="60">
        <f t="shared" si="40"/>
        <v>486.70000000000005</v>
      </c>
      <c r="L223" s="60">
        <v>2.6</v>
      </c>
      <c r="M223" s="60">
        <f t="shared" si="41"/>
        <v>272.30000000000007</v>
      </c>
      <c r="N223" s="62">
        <f t="shared" si="38"/>
        <v>-2.6</v>
      </c>
      <c r="O223" s="63">
        <f t="shared" si="48"/>
        <v>70.900000000000048</v>
      </c>
      <c r="P223" s="72">
        <v>218</v>
      </c>
      <c r="Q223" s="54">
        <v>1.1499999999999999</v>
      </c>
      <c r="R223" s="55">
        <f t="shared" si="45"/>
        <v>2.9899999999999998</v>
      </c>
      <c r="S223" s="55">
        <f t="shared" si="42"/>
        <v>-2.9899999999999998</v>
      </c>
      <c r="T223" s="74">
        <f t="shared" si="47"/>
        <v>60.683175675675734</v>
      </c>
      <c r="V223" s="60">
        <v>1825.6</v>
      </c>
      <c r="W223" s="76">
        <f t="shared" si="49"/>
        <v>1.7898039215686277</v>
      </c>
      <c r="X223" s="60">
        <f t="shared" si="43"/>
        <v>154535.69999999998</v>
      </c>
      <c r="Y223" s="60">
        <f>V223</f>
        <v>1825.6</v>
      </c>
      <c r="AA223" s="60">
        <v>13.1571422450474</v>
      </c>
    </row>
    <row r="224" spans="1:40" x14ac:dyDescent="0.25">
      <c r="A224" s="120"/>
      <c r="B224" s="39"/>
      <c r="C224" s="13">
        <v>41738</v>
      </c>
      <c r="D224">
        <v>9.6999999999999993</v>
      </c>
      <c r="E224" s="25">
        <v>3.3</v>
      </c>
      <c r="F224">
        <v>14.7</v>
      </c>
      <c r="G224">
        <f t="shared" si="44"/>
        <v>2001.3999999999992</v>
      </c>
      <c r="H224">
        <f>H223+D224</f>
        <v>19.899999999999999</v>
      </c>
      <c r="I224" s="57" t="s">
        <v>28</v>
      </c>
      <c r="J224">
        <v>0</v>
      </c>
      <c r="K224">
        <f t="shared" si="40"/>
        <v>486.70000000000005</v>
      </c>
      <c r="L224">
        <v>2.7</v>
      </c>
      <c r="M224">
        <f t="shared" si="41"/>
        <v>275.00000000000006</v>
      </c>
      <c r="N224" s="9">
        <f t="shared" si="38"/>
        <v>-2.7</v>
      </c>
      <c r="O224" s="19">
        <f t="shared" si="48"/>
        <v>68.200000000000045</v>
      </c>
      <c r="P224" s="14">
        <v>219</v>
      </c>
      <c r="Q224" s="15">
        <v>1.1499999999999999</v>
      </c>
      <c r="R224" s="16">
        <f t="shared" si="45"/>
        <v>3.105</v>
      </c>
      <c r="S224" s="16">
        <f t="shared" si="42"/>
        <v>-3.105</v>
      </c>
      <c r="T224" s="20">
        <f t="shared" si="47"/>
        <v>57.578175675675737</v>
      </c>
      <c r="U224" s="57" t="s">
        <v>29</v>
      </c>
      <c r="V224">
        <v>1990.8</v>
      </c>
      <c r="W224">
        <f t="shared" si="39"/>
        <v>205.23711340206188</v>
      </c>
      <c r="X224">
        <f t="shared" si="43"/>
        <v>156526.49999999997</v>
      </c>
      <c r="Y224">
        <f>Y223+V224</f>
        <v>3816.3999999999996</v>
      </c>
      <c r="Z224" s="57" t="s">
        <v>30</v>
      </c>
      <c r="AA224">
        <v>13.2121727199969</v>
      </c>
    </row>
    <row r="225" spans="1:27" x14ac:dyDescent="0.25">
      <c r="A225" s="120"/>
      <c r="B225" s="39"/>
      <c r="C225" s="13">
        <v>41739</v>
      </c>
      <c r="D225">
        <v>12.4</v>
      </c>
      <c r="E225">
        <v>5.0999999999999996</v>
      </c>
      <c r="F225">
        <v>18.8</v>
      </c>
      <c r="G225">
        <f t="shared" si="44"/>
        <v>2013.7999999999993</v>
      </c>
      <c r="H225">
        <f t="shared" si="50"/>
        <v>32.299999999999997</v>
      </c>
      <c r="I225">
        <f>MIN(E223:E250)</f>
        <v>1.8</v>
      </c>
      <c r="J225">
        <v>0</v>
      </c>
      <c r="K225">
        <f t="shared" si="40"/>
        <v>486.70000000000005</v>
      </c>
      <c r="L225">
        <v>4.0999999999999996</v>
      </c>
      <c r="M225">
        <f t="shared" si="41"/>
        <v>279.10000000000008</v>
      </c>
      <c r="N225" s="9">
        <f t="shared" si="38"/>
        <v>-4.0999999999999996</v>
      </c>
      <c r="O225" s="19">
        <f t="shared" si="48"/>
        <v>64.100000000000051</v>
      </c>
      <c r="P225" s="14">
        <v>220</v>
      </c>
      <c r="Q225" s="15">
        <v>1.1499999999999999</v>
      </c>
      <c r="R225" s="16">
        <f t="shared" si="45"/>
        <v>4.714999999999999</v>
      </c>
      <c r="S225" s="16">
        <f t="shared" si="42"/>
        <v>-4.714999999999999</v>
      </c>
      <c r="T225" s="20">
        <f t="shared" si="47"/>
        <v>52.863175675675741</v>
      </c>
      <c r="U225">
        <v>19</v>
      </c>
      <c r="V225">
        <v>2423.1</v>
      </c>
      <c r="W225">
        <f t="shared" si="39"/>
        <v>195.41129032258064</v>
      </c>
      <c r="X225">
        <f t="shared" si="43"/>
        <v>158949.59999999998</v>
      </c>
      <c r="Y225">
        <f t="shared" si="51"/>
        <v>6239.5</v>
      </c>
      <c r="Z225">
        <v>43264.3</v>
      </c>
      <c r="AA225">
        <v>13.2670629358827</v>
      </c>
    </row>
    <row r="226" spans="1:27" x14ac:dyDescent="0.25">
      <c r="A226" s="120"/>
      <c r="B226" s="39"/>
      <c r="C226" s="13">
        <v>41740</v>
      </c>
      <c r="D226">
        <v>12.7</v>
      </c>
      <c r="E226">
        <v>6.6</v>
      </c>
      <c r="F226">
        <v>18.899999999999999</v>
      </c>
      <c r="G226">
        <f t="shared" si="44"/>
        <v>2026.4999999999993</v>
      </c>
      <c r="H226">
        <f t="shared" si="50"/>
        <v>45</v>
      </c>
      <c r="I226" s="57" t="s">
        <v>31</v>
      </c>
      <c r="J226">
        <v>1.2</v>
      </c>
      <c r="K226">
        <f t="shared" si="40"/>
        <v>487.90000000000003</v>
      </c>
      <c r="L226">
        <v>1.7</v>
      </c>
      <c r="M226">
        <f t="shared" si="41"/>
        <v>280.80000000000007</v>
      </c>
      <c r="N226" s="9">
        <f t="shared" si="38"/>
        <v>-0.5</v>
      </c>
      <c r="O226" s="19">
        <f t="shared" si="48"/>
        <v>63.600000000000051</v>
      </c>
      <c r="P226" s="14">
        <v>221</v>
      </c>
      <c r="Q226" s="15">
        <v>1.1499999999999999</v>
      </c>
      <c r="R226" s="16">
        <f t="shared" si="45"/>
        <v>1.9549999999999998</v>
      </c>
      <c r="S226" s="16">
        <f t="shared" si="42"/>
        <v>-0.75499999999999989</v>
      </c>
      <c r="T226" s="20">
        <f t="shared" si="47"/>
        <v>52.108175675675739</v>
      </c>
      <c r="U226" s="57" t="s">
        <v>32</v>
      </c>
      <c r="V226">
        <v>1003.5</v>
      </c>
      <c r="W226">
        <f t="shared" si="39"/>
        <v>79.015748031496074</v>
      </c>
      <c r="X226">
        <f t="shared" si="43"/>
        <v>159953.09999999998</v>
      </c>
      <c r="Y226">
        <f t="shared" si="51"/>
        <v>7243</v>
      </c>
      <c r="Z226" s="57" t="s">
        <v>33</v>
      </c>
      <c r="AA226">
        <v>13.321804449861601</v>
      </c>
    </row>
    <row r="227" spans="1:27" x14ac:dyDescent="0.25">
      <c r="A227" s="120"/>
      <c r="B227" s="39"/>
      <c r="C227" s="13">
        <v>41741</v>
      </c>
      <c r="D227">
        <v>12</v>
      </c>
      <c r="E227">
        <v>6.2</v>
      </c>
      <c r="F227">
        <v>17.399999999999999</v>
      </c>
      <c r="G227">
        <f t="shared" si="44"/>
        <v>2038.4999999999993</v>
      </c>
      <c r="H227">
        <f t="shared" si="50"/>
        <v>57</v>
      </c>
      <c r="I227">
        <f>MAX(F223:F250)</f>
        <v>20.399999999999999</v>
      </c>
      <c r="J227">
        <v>0</v>
      </c>
      <c r="K227">
        <f t="shared" si="40"/>
        <v>487.90000000000003</v>
      </c>
      <c r="L227">
        <v>3.3</v>
      </c>
      <c r="M227">
        <f t="shared" si="41"/>
        <v>284.10000000000008</v>
      </c>
      <c r="N227" s="9">
        <f t="shared" si="38"/>
        <v>-3.3</v>
      </c>
      <c r="O227" s="19">
        <f t="shared" si="48"/>
        <v>60.300000000000054</v>
      </c>
      <c r="P227" s="14">
        <v>222</v>
      </c>
      <c r="Q227" s="15">
        <v>1.1499999999999999</v>
      </c>
      <c r="R227" s="16">
        <f t="shared" si="45"/>
        <v>3.7949999999999995</v>
      </c>
      <c r="S227" s="16">
        <f t="shared" si="42"/>
        <v>-3.7949999999999995</v>
      </c>
      <c r="T227" s="20">
        <f t="shared" si="47"/>
        <v>48.313175675675737</v>
      </c>
      <c r="U227">
        <v>0</v>
      </c>
      <c r="V227">
        <v>2099.8000000000002</v>
      </c>
      <c r="W227">
        <f t="shared" si="39"/>
        <v>174.98333333333335</v>
      </c>
      <c r="X227">
        <f t="shared" si="43"/>
        <v>162052.89999999997</v>
      </c>
      <c r="Y227">
        <f t="shared" si="51"/>
        <v>9342.7999999999993</v>
      </c>
      <c r="Z227" s="22">
        <f>(Z225/100)/I237</f>
        <v>1.4321185038066866</v>
      </c>
      <c r="AA227">
        <v>13.3763885348956</v>
      </c>
    </row>
    <row r="228" spans="1:27" x14ac:dyDescent="0.25">
      <c r="A228" s="120"/>
      <c r="B228" s="39"/>
      <c r="C228" s="13">
        <v>41742</v>
      </c>
      <c r="D228">
        <v>11.4</v>
      </c>
      <c r="E228">
        <v>7.5</v>
      </c>
      <c r="F228">
        <v>15.5</v>
      </c>
      <c r="G228">
        <f t="shared" si="44"/>
        <v>2049.8999999999992</v>
      </c>
      <c r="H228">
        <f t="shared" si="50"/>
        <v>68.400000000000006</v>
      </c>
      <c r="I228" s="57" t="s">
        <v>34</v>
      </c>
      <c r="J228">
        <v>0</v>
      </c>
      <c r="K228">
        <f t="shared" si="40"/>
        <v>487.90000000000003</v>
      </c>
      <c r="L228">
        <v>2.8</v>
      </c>
      <c r="M228">
        <f t="shared" si="41"/>
        <v>286.90000000000009</v>
      </c>
      <c r="N228" s="9">
        <f t="shared" si="38"/>
        <v>-2.8</v>
      </c>
      <c r="O228" s="19">
        <f t="shared" si="48"/>
        <v>57.500000000000057</v>
      </c>
      <c r="P228" s="14">
        <v>223</v>
      </c>
      <c r="Q228" s="15">
        <v>1.1499999999999999</v>
      </c>
      <c r="R228" s="16">
        <f t="shared" si="45"/>
        <v>3.2199999999999998</v>
      </c>
      <c r="S228" s="16">
        <f t="shared" si="42"/>
        <v>-3.2199999999999998</v>
      </c>
      <c r="T228" s="20">
        <f t="shared" si="47"/>
        <v>45.093175675675738</v>
      </c>
      <c r="U228" s="57" t="s">
        <v>35</v>
      </c>
      <c r="V228">
        <v>1902.3</v>
      </c>
      <c r="W228">
        <f t="shared" si="39"/>
        <v>166.86842105263156</v>
      </c>
      <c r="X228">
        <f t="shared" si="43"/>
        <v>163955.19999999995</v>
      </c>
      <c r="Y228">
        <f t="shared" si="51"/>
        <v>11245.099999999999</v>
      </c>
      <c r="Z228" s="57" t="s">
        <v>36</v>
      </c>
      <c r="AA228">
        <v>13.430806165572401</v>
      </c>
    </row>
    <row r="229" spans="1:27" x14ac:dyDescent="0.25">
      <c r="A229" s="120"/>
      <c r="B229" s="39"/>
      <c r="C229" s="13">
        <v>41743</v>
      </c>
      <c r="D229">
        <v>10.9</v>
      </c>
      <c r="E229" s="25">
        <v>4.7</v>
      </c>
      <c r="F229">
        <v>16.399999999999999</v>
      </c>
      <c r="G229">
        <f t="shared" si="44"/>
        <v>2060.7999999999993</v>
      </c>
      <c r="H229">
        <f t="shared" si="50"/>
        <v>79.300000000000011</v>
      </c>
      <c r="I229" s="23">
        <f>AVERAGE(D223:D250)</f>
        <v>10.789285714285713</v>
      </c>
      <c r="J229">
        <v>0</v>
      </c>
      <c r="K229">
        <f t="shared" si="40"/>
        <v>487.90000000000003</v>
      </c>
      <c r="L229">
        <v>3.5</v>
      </c>
      <c r="M229">
        <f t="shared" si="41"/>
        <v>290.40000000000009</v>
      </c>
      <c r="N229" s="9">
        <f t="shared" si="38"/>
        <v>-3.5</v>
      </c>
      <c r="O229" s="19">
        <f t="shared" si="48"/>
        <v>54.000000000000057</v>
      </c>
      <c r="P229" s="14">
        <v>224</v>
      </c>
      <c r="Q229" s="15">
        <v>1.1499999999999999</v>
      </c>
      <c r="R229" s="16">
        <f t="shared" si="45"/>
        <v>4.0249999999999995</v>
      </c>
      <c r="S229" s="16">
        <f t="shared" si="42"/>
        <v>-4.0249999999999995</v>
      </c>
      <c r="T229" s="20">
        <f t="shared" si="47"/>
        <v>41.068175675675739</v>
      </c>
      <c r="U229">
        <v>14</v>
      </c>
      <c r="V229">
        <v>2439.5</v>
      </c>
      <c r="W229">
        <f t="shared" si="39"/>
        <v>223.80733944954127</v>
      </c>
      <c r="X229">
        <f t="shared" si="43"/>
        <v>166394.69999999995</v>
      </c>
      <c r="Y229">
        <f t="shared" si="51"/>
        <v>13684.599999999999</v>
      </c>
      <c r="Z229">
        <v>5</v>
      </c>
      <c r="AA229">
        <v>13.4850480041683</v>
      </c>
    </row>
    <row r="230" spans="1:27" x14ac:dyDescent="0.25">
      <c r="A230" s="120"/>
      <c r="B230" s="39"/>
      <c r="C230" s="13">
        <v>41744</v>
      </c>
      <c r="D230">
        <v>9.1999999999999993</v>
      </c>
      <c r="E230" s="25">
        <v>3.9</v>
      </c>
      <c r="F230">
        <v>14</v>
      </c>
      <c r="G230">
        <f t="shared" si="44"/>
        <v>2069.9999999999991</v>
      </c>
      <c r="H230">
        <f t="shared" si="50"/>
        <v>88.500000000000014</v>
      </c>
      <c r="I230" s="57" t="s">
        <v>37</v>
      </c>
      <c r="J230">
        <v>0</v>
      </c>
      <c r="K230">
        <f t="shared" si="40"/>
        <v>487.90000000000003</v>
      </c>
      <c r="L230">
        <v>4.0999999999999996</v>
      </c>
      <c r="M230">
        <f t="shared" si="41"/>
        <v>294.50000000000011</v>
      </c>
      <c r="N230" s="9">
        <f t="shared" si="38"/>
        <v>-4.0999999999999996</v>
      </c>
      <c r="O230" s="19">
        <f t="shared" si="48"/>
        <v>49.900000000000055</v>
      </c>
      <c r="P230" s="14">
        <v>225</v>
      </c>
      <c r="Q230" s="15">
        <v>1.1499999999999999</v>
      </c>
      <c r="R230" s="16">
        <f t="shared" si="45"/>
        <v>4.714999999999999</v>
      </c>
      <c r="S230" s="16">
        <f t="shared" si="42"/>
        <v>-4.714999999999999</v>
      </c>
      <c r="T230" s="20">
        <f t="shared" si="47"/>
        <v>36.353175675675743</v>
      </c>
      <c r="U230" s="57" t="s">
        <v>38</v>
      </c>
      <c r="V230">
        <v>2606.9</v>
      </c>
      <c r="W230">
        <f t="shared" si="39"/>
        <v>283.35869565217394</v>
      </c>
      <c r="X230">
        <f t="shared" si="43"/>
        <v>169001.59999999995</v>
      </c>
      <c r="Y230">
        <f t="shared" si="51"/>
        <v>16291.499999999998</v>
      </c>
      <c r="AA230">
        <v>13.5391043869848</v>
      </c>
    </row>
    <row r="231" spans="1:27" x14ac:dyDescent="0.25">
      <c r="A231" s="120"/>
      <c r="B231" s="39"/>
      <c r="C231" s="13">
        <v>41745</v>
      </c>
      <c r="D231">
        <v>9.4</v>
      </c>
      <c r="E231" s="25">
        <v>2.7</v>
      </c>
      <c r="F231">
        <v>15.3</v>
      </c>
      <c r="G231">
        <f t="shared" si="44"/>
        <v>2079.3999999999992</v>
      </c>
      <c r="H231">
        <f t="shared" si="50"/>
        <v>97.90000000000002</v>
      </c>
      <c r="I231">
        <v>0</v>
      </c>
      <c r="J231">
        <v>0</v>
      </c>
      <c r="K231">
        <f t="shared" si="40"/>
        <v>487.90000000000003</v>
      </c>
      <c r="L231">
        <v>4.0999999999999996</v>
      </c>
      <c r="M231">
        <f t="shared" si="41"/>
        <v>298.60000000000014</v>
      </c>
      <c r="N231" s="9">
        <f t="shared" si="38"/>
        <v>-4.0999999999999996</v>
      </c>
      <c r="O231" s="19">
        <f t="shared" si="48"/>
        <v>45.800000000000054</v>
      </c>
      <c r="P231" s="14">
        <v>226</v>
      </c>
      <c r="Q231" s="15">
        <v>1.1499999999999999</v>
      </c>
      <c r="R231" s="16">
        <f t="shared" si="45"/>
        <v>4.714999999999999</v>
      </c>
      <c r="S231" s="16">
        <f t="shared" si="42"/>
        <v>-4.714999999999999</v>
      </c>
      <c r="T231" s="20">
        <f t="shared" si="47"/>
        <v>31.638175675675743</v>
      </c>
      <c r="U231" s="23">
        <f>MIN(T223:T250)</f>
        <v>19.313175675675744</v>
      </c>
      <c r="V231">
        <v>2425</v>
      </c>
      <c r="W231">
        <f t="shared" si="39"/>
        <v>257.97872340425533</v>
      </c>
      <c r="X231">
        <f t="shared" si="43"/>
        <v>171426.59999999995</v>
      </c>
      <c r="Y231">
        <f t="shared" si="51"/>
        <v>18716.5</v>
      </c>
      <c r="AA231">
        <v>13.5929653109868</v>
      </c>
    </row>
    <row r="232" spans="1:27" x14ac:dyDescent="0.25">
      <c r="A232" s="120"/>
      <c r="B232" s="39"/>
      <c r="C232" s="13">
        <v>41746</v>
      </c>
      <c r="D232">
        <v>11.3</v>
      </c>
      <c r="E232" s="25">
        <v>4.2</v>
      </c>
      <c r="F232">
        <v>18.2</v>
      </c>
      <c r="G232">
        <f t="shared" si="44"/>
        <v>2090.6999999999994</v>
      </c>
      <c r="H232">
        <f t="shared" si="50"/>
        <v>109.20000000000002</v>
      </c>
      <c r="I232" s="57" t="s">
        <v>39</v>
      </c>
      <c r="J232">
        <v>0</v>
      </c>
      <c r="K232">
        <f t="shared" si="40"/>
        <v>487.90000000000003</v>
      </c>
      <c r="L232">
        <v>4.0999999999999996</v>
      </c>
      <c r="M232">
        <f t="shared" si="41"/>
        <v>302.70000000000016</v>
      </c>
      <c r="N232" s="9">
        <f t="shared" si="38"/>
        <v>-4.0999999999999996</v>
      </c>
      <c r="O232" s="19">
        <f t="shared" si="48"/>
        <v>41.700000000000053</v>
      </c>
      <c r="P232" s="14">
        <v>227</v>
      </c>
      <c r="Q232" s="15">
        <v>1.1499999999999999</v>
      </c>
      <c r="R232" s="16">
        <f t="shared" si="45"/>
        <v>4.714999999999999</v>
      </c>
      <c r="S232" s="16">
        <f t="shared" si="42"/>
        <v>-4.714999999999999</v>
      </c>
      <c r="T232" s="20">
        <f t="shared" si="47"/>
        <v>26.923175675675743</v>
      </c>
      <c r="U232" s="57" t="s">
        <v>40</v>
      </c>
      <c r="V232">
        <v>2297.1999999999998</v>
      </c>
      <c r="W232">
        <f t="shared" si="39"/>
        <v>203.29203539823007</v>
      </c>
      <c r="X232">
        <f t="shared" si="43"/>
        <v>173723.79999999996</v>
      </c>
      <c r="Y232">
        <f t="shared" si="51"/>
        <v>21013.7</v>
      </c>
      <c r="AA232">
        <v>13.646620420779</v>
      </c>
    </row>
    <row r="233" spans="1:27" x14ac:dyDescent="0.25">
      <c r="A233" s="120"/>
      <c r="B233" s="39"/>
      <c r="C233" s="13">
        <v>41747</v>
      </c>
      <c r="D233">
        <v>10.3</v>
      </c>
      <c r="E233">
        <v>6.4</v>
      </c>
      <c r="F233">
        <v>13.5</v>
      </c>
      <c r="G233">
        <f t="shared" si="44"/>
        <v>2100.9999999999995</v>
      </c>
      <c r="H233">
        <f t="shared" si="50"/>
        <v>119.50000000000001</v>
      </c>
      <c r="I233">
        <v>0</v>
      </c>
      <c r="J233">
        <v>0</v>
      </c>
      <c r="K233">
        <f t="shared" si="40"/>
        <v>487.90000000000003</v>
      </c>
      <c r="L233">
        <v>1.9</v>
      </c>
      <c r="M233">
        <f t="shared" si="41"/>
        <v>304.60000000000014</v>
      </c>
      <c r="N233" s="9">
        <f t="shared" si="38"/>
        <v>-1.9</v>
      </c>
      <c r="O233" s="19">
        <f t="shared" si="48"/>
        <v>39.800000000000054</v>
      </c>
      <c r="P233" s="14">
        <v>228</v>
      </c>
      <c r="Q233" s="15">
        <v>1.1499999999999999</v>
      </c>
      <c r="R233" s="16">
        <f t="shared" si="45"/>
        <v>2.1849999999999996</v>
      </c>
      <c r="S233" s="16">
        <f t="shared" si="42"/>
        <v>-2.1849999999999996</v>
      </c>
      <c r="T233" s="20">
        <f t="shared" si="47"/>
        <v>24.738175675675745</v>
      </c>
      <c r="U233" s="23">
        <f>MAX(T223:T250)</f>
        <v>60.683175675675734</v>
      </c>
      <c r="V233">
        <v>929.8</v>
      </c>
      <c r="W233">
        <f t="shared" si="39"/>
        <v>90.271844660194162</v>
      </c>
      <c r="X233">
        <f t="shared" si="43"/>
        <v>174653.59999999995</v>
      </c>
      <c r="Y233">
        <f t="shared" si="51"/>
        <v>21943.5</v>
      </c>
      <c r="AA233">
        <v>13.700058995956301</v>
      </c>
    </row>
    <row r="234" spans="1:27" x14ac:dyDescent="0.25">
      <c r="A234" s="120"/>
      <c r="B234" s="39"/>
      <c r="C234" s="13">
        <v>41748</v>
      </c>
      <c r="D234">
        <v>7.6</v>
      </c>
      <c r="E234" s="25">
        <v>3</v>
      </c>
      <c r="F234">
        <v>12.6</v>
      </c>
      <c r="G234">
        <f t="shared" si="44"/>
        <v>2108.5999999999995</v>
      </c>
      <c r="H234">
        <f t="shared" si="50"/>
        <v>127.10000000000001</v>
      </c>
      <c r="I234" s="57" t="s">
        <v>41</v>
      </c>
      <c r="J234">
        <v>0</v>
      </c>
      <c r="K234">
        <f t="shared" si="40"/>
        <v>487.90000000000003</v>
      </c>
      <c r="L234">
        <v>2.5</v>
      </c>
      <c r="M234">
        <f t="shared" si="41"/>
        <v>307.10000000000014</v>
      </c>
      <c r="N234" s="9">
        <f t="shared" si="38"/>
        <v>-2.5</v>
      </c>
      <c r="O234" s="19">
        <f t="shared" si="48"/>
        <v>37.300000000000054</v>
      </c>
      <c r="P234" s="14">
        <v>229</v>
      </c>
      <c r="Q234" s="15">
        <v>1.1499999999999999</v>
      </c>
      <c r="R234" s="16">
        <f t="shared" si="45"/>
        <v>2.875</v>
      </c>
      <c r="S234" s="16">
        <f t="shared" si="42"/>
        <v>-2.875</v>
      </c>
      <c r="T234" s="20">
        <f t="shared" si="47"/>
        <v>21.863175675675745</v>
      </c>
      <c r="U234" s="57" t="s">
        <v>42</v>
      </c>
      <c r="V234">
        <v>1263.0999999999999</v>
      </c>
      <c r="W234">
        <f t="shared" si="39"/>
        <v>166.19736842105263</v>
      </c>
      <c r="X234">
        <f t="shared" si="43"/>
        <v>175916.69999999995</v>
      </c>
      <c r="Y234">
        <f t="shared" si="51"/>
        <v>23206.6</v>
      </c>
      <c r="AA234">
        <v>13.753269938868501</v>
      </c>
    </row>
    <row r="235" spans="1:27" x14ac:dyDescent="0.25">
      <c r="A235" s="120"/>
      <c r="B235" s="39"/>
      <c r="C235" s="13">
        <v>41749</v>
      </c>
      <c r="D235">
        <v>9.1999999999999993</v>
      </c>
      <c r="E235" s="25">
        <v>1.8</v>
      </c>
      <c r="F235">
        <v>14</v>
      </c>
      <c r="G235">
        <f t="shared" si="44"/>
        <v>2117.7999999999993</v>
      </c>
      <c r="H235">
        <f t="shared" si="50"/>
        <v>136.30000000000001</v>
      </c>
      <c r="I235">
        <v>8</v>
      </c>
      <c r="J235">
        <v>0.6</v>
      </c>
      <c r="K235">
        <f t="shared" si="40"/>
        <v>488.50000000000006</v>
      </c>
      <c r="L235">
        <v>2</v>
      </c>
      <c r="M235">
        <f t="shared" si="41"/>
        <v>309.10000000000014</v>
      </c>
      <c r="N235" s="9">
        <f t="shared" si="38"/>
        <v>-1.4</v>
      </c>
      <c r="O235" s="19">
        <f t="shared" si="48"/>
        <v>35.900000000000055</v>
      </c>
      <c r="P235" s="14">
        <v>230</v>
      </c>
      <c r="Q235" s="15">
        <v>1.1499999999999999</v>
      </c>
      <c r="R235" s="16">
        <f t="shared" si="45"/>
        <v>2.2999999999999998</v>
      </c>
      <c r="S235" s="16">
        <f t="shared" si="42"/>
        <v>-1.6999999999999997</v>
      </c>
      <c r="T235" s="20">
        <f t="shared" si="47"/>
        <v>20.163175675675745</v>
      </c>
      <c r="U235" s="22">
        <f>AVERAGE(T223:T250)</f>
        <v>38.629604247104304</v>
      </c>
      <c r="V235">
        <v>1485.5</v>
      </c>
      <c r="W235">
        <f t="shared" si="39"/>
        <v>161.46739130434784</v>
      </c>
      <c r="X235">
        <f t="shared" si="43"/>
        <v>177402.19999999995</v>
      </c>
      <c r="Y235">
        <f t="shared" si="51"/>
        <v>24692.1</v>
      </c>
      <c r="AA235">
        <v>13.8062417628445</v>
      </c>
    </row>
    <row r="236" spans="1:27" x14ac:dyDescent="0.25">
      <c r="A236" s="120"/>
      <c r="B236" s="39"/>
      <c r="C236" s="13">
        <v>41750</v>
      </c>
      <c r="D236">
        <v>10.5</v>
      </c>
      <c r="E236">
        <v>9</v>
      </c>
      <c r="F236">
        <v>13.1</v>
      </c>
      <c r="G236">
        <f t="shared" si="44"/>
        <v>2128.2999999999993</v>
      </c>
      <c r="H236">
        <f t="shared" si="50"/>
        <v>146.80000000000001</v>
      </c>
      <c r="I236" s="57" t="s">
        <v>43</v>
      </c>
      <c r="J236">
        <v>0.3</v>
      </c>
      <c r="K236">
        <f t="shared" si="40"/>
        <v>488.80000000000007</v>
      </c>
      <c r="L236">
        <v>1</v>
      </c>
      <c r="M236">
        <f t="shared" si="41"/>
        <v>310.10000000000014</v>
      </c>
      <c r="N236" s="9">
        <f t="shared" si="38"/>
        <v>-0.7</v>
      </c>
      <c r="O236" s="19">
        <f t="shared" si="48"/>
        <v>35.200000000000053</v>
      </c>
      <c r="P236" s="14">
        <v>231</v>
      </c>
      <c r="Q236" s="15">
        <v>1.1499999999999999</v>
      </c>
      <c r="R236" s="16">
        <f t="shared" si="45"/>
        <v>1.1499999999999999</v>
      </c>
      <c r="S236" s="16">
        <f t="shared" si="42"/>
        <v>-0.84999999999999987</v>
      </c>
      <c r="T236" s="20">
        <f t="shared" si="47"/>
        <v>19.313175675675744</v>
      </c>
      <c r="U236">
        <f>(U235*100)/122.1</f>
        <v>31.637677516055941</v>
      </c>
      <c r="V236" s="21">
        <v>605.5</v>
      </c>
      <c r="W236">
        <f t="shared" si="39"/>
        <v>57.666666666666664</v>
      </c>
      <c r="X236">
        <f t="shared" si="43"/>
        <v>178007.69999999995</v>
      </c>
      <c r="Y236">
        <f t="shared" si="51"/>
        <v>25297.599999999999</v>
      </c>
      <c r="AA236">
        <v>13.8589625809221</v>
      </c>
    </row>
    <row r="237" spans="1:27" x14ac:dyDescent="0.25">
      <c r="A237" s="120"/>
      <c r="B237" s="39"/>
      <c r="C237" s="13">
        <v>41751</v>
      </c>
      <c r="D237">
        <v>11.4</v>
      </c>
      <c r="E237">
        <v>5.6</v>
      </c>
      <c r="F237">
        <v>17.100000000000001</v>
      </c>
      <c r="G237">
        <f t="shared" si="44"/>
        <v>2139.6999999999994</v>
      </c>
      <c r="H237">
        <f t="shared" si="50"/>
        <v>158.20000000000002</v>
      </c>
      <c r="I237">
        <v>302.10000000000002</v>
      </c>
      <c r="J237">
        <v>4</v>
      </c>
      <c r="K237">
        <f t="shared" si="40"/>
        <v>492.80000000000007</v>
      </c>
      <c r="L237">
        <v>2</v>
      </c>
      <c r="M237">
        <f t="shared" si="41"/>
        <v>312.10000000000014</v>
      </c>
      <c r="N237">
        <f t="shared" si="38"/>
        <v>2</v>
      </c>
      <c r="O237" s="19">
        <f t="shared" si="48"/>
        <v>37.200000000000053</v>
      </c>
      <c r="P237" s="14">
        <v>232</v>
      </c>
      <c r="Q237" s="15">
        <v>1.1499999999999999</v>
      </c>
      <c r="R237" s="16">
        <f t="shared" si="45"/>
        <v>2.2999999999999998</v>
      </c>
      <c r="S237" s="16">
        <f t="shared" si="42"/>
        <v>1.7000000000000002</v>
      </c>
      <c r="T237" s="20">
        <f t="shared" si="47"/>
        <v>21.013175675675743</v>
      </c>
      <c r="U237" s="23"/>
      <c r="V237">
        <v>1311.1</v>
      </c>
      <c r="W237">
        <f t="shared" si="39"/>
        <v>115.00877192982455</v>
      </c>
      <c r="X237">
        <f t="shared" si="43"/>
        <v>179318.79999999996</v>
      </c>
      <c r="Y237">
        <f t="shared" si="51"/>
        <v>26608.699999999997</v>
      </c>
      <c r="AA237">
        <v>13.911420095134501</v>
      </c>
    </row>
    <row r="238" spans="1:27" x14ac:dyDescent="0.25">
      <c r="A238" s="120"/>
      <c r="B238" s="39"/>
      <c r="C238" s="13">
        <v>41752</v>
      </c>
      <c r="D238">
        <v>12.2</v>
      </c>
      <c r="E238">
        <v>5.9</v>
      </c>
      <c r="F238">
        <v>17.8</v>
      </c>
      <c r="G238">
        <f t="shared" si="44"/>
        <v>2151.8999999999992</v>
      </c>
      <c r="H238">
        <f t="shared" si="50"/>
        <v>170.4</v>
      </c>
      <c r="J238">
        <v>6.4</v>
      </c>
      <c r="K238">
        <f t="shared" si="40"/>
        <v>499.20000000000005</v>
      </c>
      <c r="L238">
        <v>3</v>
      </c>
      <c r="M238">
        <f t="shared" si="41"/>
        <v>315.10000000000014</v>
      </c>
      <c r="N238">
        <f t="shared" si="38"/>
        <v>3.4000000000000004</v>
      </c>
      <c r="O238" s="19">
        <f t="shared" si="48"/>
        <v>40.600000000000051</v>
      </c>
      <c r="P238" s="14">
        <v>233</v>
      </c>
      <c r="Q238" s="15">
        <v>1.1499999999999999</v>
      </c>
      <c r="R238" s="16">
        <f t="shared" si="45"/>
        <v>3.4499999999999997</v>
      </c>
      <c r="S238" s="16">
        <f t="shared" si="42"/>
        <v>2.9500000000000006</v>
      </c>
      <c r="T238" s="20">
        <f t="shared" si="47"/>
        <v>23.963175675675743</v>
      </c>
      <c r="V238">
        <v>1951</v>
      </c>
      <c r="W238">
        <f t="shared" si="39"/>
        <v>159.91803278688525</v>
      </c>
      <c r="X238">
        <f t="shared" si="43"/>
        <v>181269.79999999996</v>
      </c>
      <c r="Y238">
        <f t="shared" si="51"/>
        <v>28559.699999999997</v>
      </c>
      <c r="AA238">
        <v>13.963601586408799</v>
      </c>
    </row>
    <row r="239" spans="1:27" x14ac:dyDescent="0.25">
      <c r="A239" s="120"/>
      <c r="B239" s="39"/>
      <c r="C239" s="13">
        <v>41753</v>
      </c>
      <c r="D239">
        <v>12.4</v>
      </c>
      <c r="E239">
        <v>7.8</v>
      </c>
      <c r="F239">
        <v>15.8</v>
      </c>
      <c r="G239">
        <f t="shared" si="44"/>
        <v>2164.2999999999993</v>
      </c>
      <c r="H239">
        <f t="shared" si="50"/>
        <v>182.8</v>
      </c>
      <c r="J239">
        <v>6.1</v>
      </c>
      <c r="K239">
        <f t="shared" si="40"/>
        <v>505.30000000000007</v>
      </c>
      <c r="L239">
        <v>2.1</v>
      </c>
      <c r="M239">
        <f t="shared" si="41"/>
        <v>317.20000000000016</v>
      </c>
      <c r="N239">
        <f t="shared" si="38"/>
        <v>3.9999999999999996</v>
      </c>
      <c r="O239" s="19">
        <f t="shared" si="48"/>
        <v>44.600000000000051</v>
      </c>
      <c r="P239" s="14">
        <v>234</v>
      </c>
      <c r="Q239" s="15">
        <v>1.1499999999999999</v>
      </c>
      <c r="R239" s="16">
        <f t="shared" si="45"/>
        <v>2.415</v>
      </c>
      <c r="S239" s="16">
        <f t="shared" si="42"/>
        <v>3.6849999999999996</v>
      </c>
      <c r="T239" s="20">
        <f t="shared" si="47"/>
        <v>27.648175675675741</v>
      </c>
      <c r="V239">
        <v>1468.6</v>
      </c>
      <c r="W239">
        <f t="shared" si="39"/>
        <v>118.43548387096773</v>
      </c>
      <c r="X239">
        <f t="shared" si="43"/>
        <v>182738.39999999997</v>
      </c>
      <c r="Y239">
        <f t="shared" si="51"/>
        <v>30028.299999999996</v>
      </c>
      <c r="AA239">
        <v>14.015493905133701</v>
      </c>
    </row>
    <row r="240" spans="1:27" x14ac:dyDescent="0.25">
      <c r="A240" s="120"/>
      <c r="B240" s="39"/>
      <c r="C240" s="13">
        <v>41754</v>
      </c>
      <c r="D240">
        <v>11.5</v>
      </c>
      <c r="E240">
        <v>10</v>
      </c>
      <c r="F240">
        <v>13.6</v>
      </c>
      <c r="G240">
        <f t="shared" si="44"/>
        <v>2175.7999999999993</v>
      </c>
      <c r="H240">
        <f t="shared" si="50"/>
        <v>194.3</v>
      </c>
      <c r="J240">
        <v>0.4</v>
      </c>
      <c r="K240">
        <f t="shared" si="40"/>
        <v>505.70000000000005</v>
      </c>
      <c r="L240">
        <v>1.5</v>
      </c>
      <c r="M240">
        <f t="shared" si="41"/>
        <v>318.70000000000016</v>
      </c>
      <c r="N240" s="9">
        <f t="shared" si="38"/>
        <v>-1.1000000000000001</v>
      </c>
      <c r="O240" s="19">
        <f t="shared" si="48"/>
        <v>43.50000000000005</v>
      </c>
      <c r="P240" s="14">
        <v>235</v>
      </c>
      <c r="Q240" s="15">
        <v>1.1499999999999999</v>
      </c>
      <c r="R240" s="16">
        <f t="shared" si="45"/>
        <v>1.7249999999999999</v>
      </c>
      <c r="S240" s="16">
        <f t="shared" si="42"/>
        <v>-1.3249999999999997</v>
      </c>
      <c r="T240" s="20">
        <f t="shared" si="47"/>
        <v>26.323175675675742</v>
      </c>
      <c r="V240">
        <v>970.2</v>
      </c>
      <c r="W240">
        <f t="shared" si="39"/>
        <v>84.365217391304355</v>
      </c>
      <c r="X240">
        <f t="shared" si="43"/>
        <v>183708.59999999998</v>
      </c>
      <c r="Y240">
        <f t="shared" si="51"/>
        <v>30998.499999999996</v>
      </c>
      <c r="AA240">
        <v>14.0670834624586</v>
      </c>
    </row>
    <row r="241" spans="1:27" x14ac:dyDescent="0.25">
      <c r="A241" s="120"/>
      <c r="B241" s="39"/>
      <c r="C241" s="13">
        <v>41755</v>
      </c>
      <c r="D241">
        <v>10.3</v>
      </c>
      <c r="E241">
        <v>7</v>
      </c>
      <c r="F241">
        <v>13.6</v>
      </c>
      <c r="G241">
        <f t="shared" si="44"/>
        <v>2186.0999999999995</v>
      </c>
      <c r="H241">
        <f t="shared" si="50"/>
        <v>204.60000000000002</v>
      </c>
      <c r="J241">
        <v>2.5</v>
      </c>
      <c r="K241">
        <f t="shared" si="40"/>
        <v>508.20000000000005</v>
      </c>
      <c r="L241">
        <v>1.3</v>
      </c>
      <c r="M241">
        <f t="shared" si="41"/>
        <v>320.00000000000017</v>
      </c>
      <c r="N241">
        <f t="shared" si="38"/>
        <v>1.2</v>
      </c>
      <c r="O241" s="19">
        <f t="shared" si="48"/>
        <v>44.700000000000053</v>
      </c>
      <c r="P241" s="14">
        <v>236</v>
      </c>
      <c r="Q241" s="15">
        <v>1.1499999999999999</v>
      </c>
      <c r="R241" s="16">
        <f t="shared" si="45"/>
        <v>1.4949999999999999</v>
      </c>
      <c r="S241" s="16">
        <f t="shared" si="42"/>
        <v>1.0050000000000001</v>
      </c>
      <c r="T241" s="20">
        <f t="shared" si="47"/>
        <v>27.328175675675741</v>
      </c>
      <c r="V241" s="21">
        <v>840</v>
      </c>
      <c r="W241">
        <f t="shared" si="39"/>
        <v>81.553398058252426</v>
      </c>
      <c r="X241">
        <f t="shared" si="43"/>
        <v>184548.59999999998</v>
      </c>
      <c r="Y241">
        <f t="shared" si="51"/>
        <v>31838.499999999996</v>
      </c>
      <c r="AA241">
        <v>14.1183562223884</v>
      </c>
    </row>
    <row r="242" spans="1:27" x14ac:dyDescent="0.25">
      <c r="A242" s="120"/>
      <c r="B242" s="39"/>
      <c r="C242" s="13">
        <v>41756</v>
      </c>
      <c r="D242">
        <v>10</v>
      </c>
      <c r="E242">
        <v>7.4</v>
      </c>
      <c r="F242">
        <v>11.3</v>
      </c>
      <c r="G242">
        <f t="shared" si="44"/>
        <v>2196.0999999999995</v>
      </c>
      <c r="H242">
        <f t="shared" si="50"/>
        <v>214.60000000000002</v>
      </c>
      <c r="J242">
        <v>6.5</v>
      </c>
      <c r="K242">
        <f t="shared" si="40"/>
        <v>514.70000000000005</v>
      </c>
      <c r="L242">
        <v>0.9</v>
      </c>
      <c r="M242">
        <f t="shared" si="41"/>
        <v>320.90000000000015</v>
      </c>
      <c r="N242">
        <f t="shared" si="38"/>
        <v>5.6</v>
      </c>
      <c r="O242" s="19">
        <f t="shared" si="48"/>
        <v>50.300000000000054</v>
      </c>
      <c r="P242" s="14">
        <v>237</v>
      </c>
      <c r="Q242" s="15">
        <v>1.1499999999999999</v>
      </c>
      <c r="R242" s="16">
        <f t="shared" si="45"/>
        <v>1.0349999999999999</v>
      </c>
      <c r="S242" s="16">
        <f t="shared" si="42"/>
        <v>5.4649999999999999</v>
      </c>
      <c r="T242" s="20">
        <f t="shared" si="47"/>
        <v>32.793175675675741</v>
      </c>
      <c r="V242" s="21">
        <v>559.1</v>
      </c>
      <c r="W242">
        <f t="shared" si="39"/>
        <v>55.910000000000004</v>
      </c>
      <c r="X242">
        <f t="shared" si="43"/>
        <v>185107.69999999998</v>
      </c>
      <c r="Y242">
        <f t="shared" si="51"/>
        <v>32397.599999999995</v>
      </c>
      <c r="AA242">
        <v>14.1692976947439</v>
      </c>
    </row>
    <row r="243" spans="1:27" x14ac:dyDescent="0.25">
      <c r="A243" s="120"/>
      <c r="B243" s="39"/>
      <c r="C243" s="13">
        <v>41757</v>
      </c>
      <c r="D243">
        <v>10.5</v>
      </c>
      <c r="E243">
        <v>8.8000000000000007</v>
      </c>
      <c r="F243">
        <v>13.2</v>
      </c>
      <c r="G243">
        <f t="shared" si="44"/>
        <v>2206.5999999999995</v>
      </c>
      <c r="H243">
        <f t="shared" si="50"/>
        <v>225.10000000000002</v>
      </c>
      <c r="J243">
        <v>4.8</v>
      </c>
      <c r="K243">
        <f t="shared" si="40"/>
        <v>519.5</v>
      </c>
      <c r="L243">
        <v>1.7</v>
      </c>
      <c r="M243">
        <f t="shared" si="41"/>
        <v>322.60000000000014</v>
      </c>
      <c r="N243">
        <f t="shared" si="38"/>
        <v>3.0999999999999996</v>
      </c>
      <c r="O243" s="19">
        <f t="shared" si="48"/>
        <v>53.400000000000055</v>
      </c>
      <c r="P243" s="14">
        <v>238</v>
      </c>
      <c r="Q243" s="15">
        <v>1.1499999999999999</v>
      </c>
      <c r="R243" s="16">
        <f t="shared" si="45"/>
        <v>1.9549999999999998</v>
      </c>
      <c r="S243" s="16">
        <f t="shared" si="42"/>
        <v>2.8449999999999998</v>
      </c>
      <c r="T243" s="20">
        <f t="shared" si="47"/>
        <v>35.63817567567574</v>
      </c>
      <c r="V243">
        <v>1018.2</v>
      </c>
      <c r="W243">
        <f t="shared" si="39"/>
        <v>96.971428571428575</v>
      </c>
      <c r="X243">
        <f t="shared" si="43"/>
        <v>186125.9</v>
      </c>
      <c r="Y243">
        <f t="shared" si="51"/>
        <v>33415.799999999996</v>
      </c>
      <c r="AA243">
        <v>14.2198929290597</v>
      </c>
    </row>
    <row r="244" spans="1:27" x14ac:dyDescent="0.25">
      <c r="A244" s="120"/>
      <c r="B244" s="39"/>
      <c r="C244" s="13">
        <v>41758</v>
      </c>
      <c r="D244">
        <v>9.9</v>
      </c>
      <c r="E244">
        <v>7.5</v>
      </c>
      <c r="F244">
        <v>11.5</v>
      </c>
      <c r="G244">
        <f t="shared" si="44"/>
        <v>2216.4999999999995</v>
      </c>
      <c r="H244">
        <f t="shared" si="50"/>
        <v>235.00000000000003</v>
      </c>
      <c r="J244">
        <v>14.3</v>
      </c>
      <c r="K244">
        <f t="shared" si="40"/>
        <v>533.79999999999995</v>
      </c>
      <c r="L244">
        <v>0.8</v>
      </c>
      <c r="M244">
        <f t="shared" si="41"/>
        <v>323.40000000000015</v>
      </c>
      <c r="N244">
        <f t="shared" si="38"/>
        <v>13.5</v>
      </c>
      <c r="O244" s="19">
        <f t="shared" si="48"/>
        <v>66.900000000000063</v>
      </c>
      <c r="P244" s="14">
        <v>239</v>
      </c>
      <c r="Q244" s="15">
        <v>1.1499999999999999</v>
      </c>
      <c r="R244" s="16">
        <f t="shared" si="45"/>
        <v>0.91999999999999993</v>
      </c>
      <c r="S244" s="16">
        <f t="shared" si="42"/>
        <v>13.38</v>
      </c>
      <c r="T244" s="20">
        <f t="shared" si="47"/>
        <v>49.018175675675742</v>
      </c>
      <c r="V244" s="21">
        <v>566.9</v>
      </c>
      <c r="W244">
        <f t="shared" si="39"/>
        <v>57.262626262626256</v>
      </c>
      <c r="X244">
        <f t="shared" si="43"/>
        <v>186692.8</v>
      </c>
      <c r="Y244">
        <f t="shared" si="51"/>
        <v>33982.699999999997</v>
      </c>
      <c r="AA244">
        <v>14.270126509493499</v>
      </c>
    </row>
    <row r="245" spans="1:27" x14ac:dyDescent="0.25">
      <c r="A245" s="120"/>
      <c r="B245" s="39"/>
      <c r="C245" s="13">
        <v>41759</v>
      </c>
      <c r="D245">
        <v>10.7</v>
      </c>
      <c r="E245">
        <v>8.5</v>
      </c>
      <c r="F245">
        <v>14.4</v>
      </c>
      <c r="G245">
        <f t="shared" si="44"/>
        <v>2227.1999999999994</v>
      </c>
      <c r="H245">
        <f t="shared" si="50"/>
        <v>245.70000000000002</v>
      </c>
      <c r="J245">
        <v>2.2999999999999998</v>
      </c>
      <c r="K245">
        <f t="shared" si="40"/>
        <v>536.09999999999991</v>
      </c>
      <c r="L245">
        <v>1.6</v>
      </c>
      <c r="M245">
        <f t="shared" si="41"/>
        <v>325.00000000000017</v>
      </c>
      <c r="N245">
        <f t="shared" si="38"/>
        <v>0.69999999999999973</v>
      </c>
      <c r="O245" s="19">
        <f t="shared" si="48"/>
        <v>67.600000000000065</v>
      </c>
      <c r="P245" s="14">
        <v>240</v>
      </c>
      <c r="Q245" s="15">
        <v>1.1499999999999999</v>
      </c>
      <c r="R245" s="16">
        <f t="shared" si="45"/>
        <v>1.8399999999999999</v>
      </c>
      <c r="S245" s="16">
        <f t="shared" si="42"/>
        <v>0.45999999999999996</v>
      </c>
      <c r="T245" s="20">
        <f t="shared" si="47"/>
        <v>49.478175675675743</v>
      </c>
      <c r="V245">
        <v>969.5</v>
      </c>
      <c r="W245">
        <f t="shared" si="39"/>
        <v>90.607476635514018</v>
      </c>
      <c r="X245">
        <f t="shared" si="43"/>
        <v>187662.3</v>
      </c>
      <c r="Y245">
        <f t="shared" si="51"/>
        <v>34952.199999999997</v>
      </c>
      <c r="AA245">
        <v>14.319982550827399</v>
      </c>
    </row>
    <row r="246" spans="1:27" x14ac:dyDescent="0.25">
      <c r="A246" s="120"/>
      <c r="B246" s="39"/>
      <c r="C246" s="13">
        <v>41760</v>
      </c>
      <c r="D246">
        <v>10.9</v>
      </c>
      <c r="E246">
        <v>8.5</v>
      </c>
      <c r="F246">
        <v>14.3</v>
      </c>
      <c r="G246">
        <f t="shared" si="44"/>
        <v>2238.0999999999995</v>
      </c>
      <c r="H246">
        <f t="shared" si="50"/>
        <v>256.60000000000002</v>
      </c>
      <c r="J246">
        <v>8</v>
      </c>
      <c r="K246">
        <f t="shared" si="40"/>
        <v>544.09999999999991</v>
      </c>
      <c r="L246">
        <v>1.4</v>
      </c>
      <c r="M246">
        <f t="shared" si="41"/>
        <v>326.40000000000015</v>
      </c>
      <c r="N246">
        <f t="shared" si="38"/>
        <v>6.6</v>
      </c>
      <c r="O246" s="19">
        <f t="shared" si="48"/>
        <v>74.20000000000006</v>
      </c>
      <c r="P246" s="14">
        <v>241</v>
      </c>
      <c r="Q246" s="15">
        <v>1.1499999999999999</v>
      </c>
      <c r="R246" s="16">
        <f t="shared" si="45"/>
        <v>1.6099999999999999</v>
      </c>
      <c r="S246" s="16">
        <f t="shared" si="42"/>
        <v>6.3900000000000006</v>
      </c>
      <c r="T246" s="20">
        <f t="shared" si="47"/>
        <v>55.868175675675744</v>
      </c>
      <c r="V246" s="21">
        <v>769.7</v>
      </c>
      <c r="W246">
        <f t="shared" si="39"/>
        <v>70.614678899082577</v>
      </c>
      <c r="X246">
        <f t="shared" si="43"/>
        <v>188432</v>
      </c>
      <c r="Y246">
        <f t="shared" si="51"/>
        <v>35721.899999999994</v>
      </c>
      <c r="AA246">
        <v>14.3694446956405</v>
      </c>
    </row>
    <row r="247" spans="1:27" x14ac:dyDescent="0.25">
      <c r="A247" s="120"/>
      <c r="B247" s="39"/>
      <c r="C247" s="13">
        <v>41761</v>
      </c>
      <c r="D247">
        <v>11.4</v>
      </c>
      <c r="E247">
        <v>9.6999999999999993</v>
      </c>
      <c r="F247">
        <v>13.5</v>
      </c>
      <c r="G247">
        <f t="shared" si="44"/>
        <v>2249.4999999999995</v>
      </c>
      <c r="H247">
        <f t="shared" si="50"/>
        <v>268</v>
      </c>
      <c r="J247">
        <v>0.1</v>
      </c>
      <c r="K247">
        <f t="shared" si="40"/>
        <v>544.19999999999993</v>
      </c>
      <c r="L247">
        <v>2</v>
      </c>
      <c r="M247">
        <f t="shared" si="41"/>
        <v>328.40000000000015</v>
      </c>
      <c r="N247" s="9">
        <f t="shared" si="38"/>
        <v>-1.9</v>
      </c>
      <c r="O247" s="19">
        <f t="shared" si="48"/>
        <v>72.300000000000054</v>
      </c>
      <c r="P247" s="14">
        <v>242</v>
      </c>
      <c r="Q247" s="15">
        <v>1.1499999999999999</v>
      </c>
      <c r="R247" s="16">
        <f t="shared" si="45"/>
        <v>2.2999999999999998</v>
      </c>
      <c r="S247" s="16">
        <f t="shared" si="42"/>
        <v>-2.1999999999999997</v>
      </c>
      <c r="T247" s="20">
        <f t="shared" si="47"/>
        <v>53.668175675675741</v>
      </c>
      <c r="V247">
        <v>1204.2</v>
      </c>
      <c r="W247">
        <f t="shared" si="39"/>
        <v>105.63157894736842</v>
      </c>
      <c r="X247">
        <f t="shared" si="43"/>
        <v>189636.2</v>
      </c>
      <c r="Y247">
        <f t="shared" si="51"/>
        <v>36926.099999999991</v>
      </c>
      <c r="AA247">
        <v>14.4184961127386</v>
      </c>
    </row>
    <row r="248" spans="1:27" x14ac:dyDescent="0.25">
      <c r="A248" s="120"/>
      <c r="B248" s="39"/>
      <c r="C248" s="13">
        <v>41762</v>
      </c>
      <c r="D248">
        <v>9.6999999999999993</v>
      </c>
      <c r="E248">
        <v>7.8</v>
      </c>
      <c r="F248">
        <v>12.3</v>
      </c>
      <c r="G248">
        <f t="shared" si="44"/>
        <v>2259.1999999999994</v>
      </c>
      <c r="H248">
        <f t="shared" si="50"/>
        <v>277.7</v>
      </c>
      <c r="J248">
        <v>0</v>
      </c>
      <c r="K248">
        <f t="shared" si="40"/>
        <v>544.19999999999993</v>
      </c>
      <c r="L248">
        <v>2.4</v>
      </c>
      <c r="M248">
        <f t="shared" si="41"/>
        <v>330.80000000000013</v>
      </c>
      <c r="N248" s="9">
        <f t="shared" si="38"/>
        <v>-2.4</v>
      </c>
      <c r="O248" s="19">
        <f t="shared" si="48"/>
        <v>69.900000000000048</v>
      </c>
      <c r="P248" s="14">
        <v>243</v>
      </c>
      <c r="Q248" s="15">
        <v>1.1499999999999999</v>
      </c>
      <c r="R248" s="16">
        <f t="shared" si="45"/>
        <v>2.76</v>
      </c>
      <c r="S248" s="16">
        <f t="shared" si="42"/>
        <v>-2.76</v>
      </c>
      <c r="T248" s="20">
        <f t="shared" si="47"/>
        <v>50.908175675675743</v>
      </c>
      <c r="V248">
        <v>1378.4</v>
      </c>
      <c r="W248">
        <f t="shared" si="39"/>
        <v>142.10309278350516</v>
      </c>
      <c r="X248">
        <f t="shared" si="43"/>
        <v>191014.6</v>
      </c>
      <c r="Y248">
        <f t="shared" si="51"/>
        <v>38304.499999999993</v>
      </c>
      <c r="AA248">
        <v>14.467119496924701</v>
      </c>
    </row>
    <row r="249" spans="1:27" s="60" customFormat="1" x14ac:dyDescent="0.25">
      <c r="A249" s="120"/>
      <c r="B249" s="58"/>
      <c r="C249" s="59">
        <v>41763</v>
      </c>
      <c r="D249" s="60">
        <v>10.4</v>
      </c>
      <c r="E249" s="61">
        <v>4.8</v>
      </c>
      <c r="F249" s="60">
        <v>16.100000000000001</v>
      </c>
      <c r="G249" s="60">
        <f t="shared" si="44"/>
        <v>2269.5999999999995</v>
      </c>
      <c r="H249" s="60">
        <f t="shared" si="50"/>
        <v>288.09999999999997</v>
      </c>
      <c r="J249" s="60">
        <v>0</v>
      </c>
      <c r="K249" s="60">
        <f t="shared" si="40"/>
        <v>544.19999999999993</v>
      </c>
      <c r="L249" s="60">
        <v>3.6</v>
      </c>
      <c r="M249" s="60">
        <f t="shared" si="41"/>
        <v>334.40000000000015</v>
      </c>
      <c r="N249" s="62">
        <f t="shared" si="38"/>
        <v>-3.6</v>
      </c>
      <c r="O249" s="63">
        <f t="shared" si="48"/>
        <v>66.300000000000054</v>
      </c>
      <c r="P249" s="14">
        <v>244</v>
      </c>
      <c r="Q249" s="54">
        <v>1.1499999999999999</v>
      </c>
      <c r="R249" s="55">
        <f t="shared" si="45"/>
        <v>4.1399999999999997</v>
      </c>
      <c r="S249" s="16">
        <f t="shared" si="42"/>
        <v>-4.1399999999999997</v>
      </c>
      <c r="T249" s="20">
        <f t="shared" si="47"/>
        <v>46.768175675675742</v>
      </c>
      <c r="V249" s="60">
        <v>2455.1</v>
      </c>
      <c r="W249" s="60">
        <f t="shared" si="39"/>
        <v>236.06730769230768</v>
      </c>
      <c r="X249" s="60">
        <f t="shared" si="43"/>
        <v>193469.7</v>
      </c>
      <c r="Y249">
        <f t="shared" si="51"/>
        <v>40759.599999999991</v>
      </c>
      <c r="AA249" s="60">
        <v>14.515297070200001</v>
      </c>
    </row>
    <row r="250" spans="1:27" s="81" customFormat="1" ht="15.75" thickBot="1" x14ac:dyDescent="0.3">
      <c r="A250" s="120"/>
      <c r="B250" s="79"/>
      <c r="C250" s="80">
        <v>41764</v>
      </c>
      <c r="D250" s="81">
        <v>14</v>
      </c>
      <c r="E250" s="81">
        <v>5.0999999999999996</v>
      </c>
      <c r="F250" s="81">
        <v>20.399999999999999</v>
      </c>
      <c r="G250" s="81">
        <f t="shared" si="44"/>
        <v>2283.5999999999995</v>
      </c>
      <c r="H250" s="81">
        <f t="shared" si="50"/>
        <v>302.09999999999997</v>
      </c>
      <c r="J250" s="81">
        <v>0</v>
      </c>
      <c r="K250" s="81">
        <f t="shared" si="40"/>
        <v>544.19999999999993</v>
      </c>
      <c r="L250" s="81">
        <v>3.7</v>
      </c>
      <c r="M250" s="81">
        <f t="shared" si="41"/>
        <v>338.10000000000014</v>
      </c>
      <c r="N250" s="83">
        <f t="shared" si="38"/>
        <v>-3.7</v>
      </c>
      <c r="O250" s="84">
        <f t="shared" si="48"/>
        <v>62.600000000000051</v>
      </c>
      <c r="P250" s="85">
        <v>245</v>
      </c>
      <c r="Q250" s="90">
        <v>1.1499999999999999</v>
      </c>
      <c r="R250" s="86">
        <f t="shared" si="45"/>
        <v>4.2549999999999999</v>
      </c>
      <c r="S250" s="86">
        <f t="shared" si="42"/>
        <v>-4.2549999999999999</v>
      </c>
      <c r="T250" s="87">
        <f t="shared" si="47"/>
        <v>42.51317567567574</v>
      </c>
      <c r="V250" s="81">
        <v>2504.6999999999998</v>
      </c>
      <c r="W250" s="81">
        <f t="shared" si="39"/>
        <v>178.90714285714284</v>
      </c>
      <c r="X250" s="81">
        <f t="shared" si="43"/>
        <v>195974.40000000002</v>
      </c>
      <c r="Y250" s="81">
        <f t="shared" si="51"/>
        <v>43264.299999999988</v>
      </c>
      <c r="AA250" s="81">
        <v>14.5630105844849</v>
      </c>
    </row>
    <row r="251" spans="1:27" s="60" customFormat="1" x14ac:dyDescent="0.25">
      <c r="A251" s="106">
        <v>600</v>
      </c>
      <c r="B251" s="58"/>
      <c r="C251" s="59">
        <v>41765</v>
      </c>
      <c r="D251" s="60">
        <v>15.4</v>
      </c>
      <c r="E251" s="60">
        <v>12.1</v>
      </c>
      <c r="F251" s="60">
        <v>19</v>
      </c>
      <c r="G251" s="60">
        <f t="shared" si="44"/>
        <v>2298.9999999999995</v>
      </c>
      <c r="H251" s="60">
        <v>15.4</v>
      </c>
      <c r="J251" s="60">
        <v>0</v>
      </c>
      <c r="K251" s="60">
        <f t="shared" si="40"/>
        <v>544.19999999999993</v>
      </c>
      <c r="L251" s="60">
        <v>2</v>
      </c>
      <c r="M251" s="60">
        <f t="shared" si="41"/>
        <v>340.10000000000014</v>
      </c>
      <c r="N251" s="62">
        <f t="shared" si="38"/>
        <v>-2</v>
      </c>
      <c r="O251" s="63">
        <f t="shared" si="48"/>
        <v>60.600000000000051</v>
      </c>
      <c r="P251" s="72">
        <v>246</v>
      </c>
      <c r="Q251" s="41">
        <f>1.15+((P251-245)/58)*(0.35-1.15)</f>
        <v>1.136206896551724</v>
      </c>
      <c r="R251" s="55">
        <f t="shared" si="45"/>
        <v>2.272413793103448</v>
      </c>
      <c r="S251" s="55">
        <f t="shared" si="42"/>
        <v>-2.272413793103448</v>
      </c>
      <c r="T251" s="74">
        <f t="shared" si="47"/>
        <v>40.240761882572293</v>
      </c>
      <c r="V251" s="77">
        <v>662.9</v>
      </c>
      <c r="W251" s="60">
        <f t="shared" si="39"/>
        <v>43.04545454545454</v>
      </c>
      <c r="X251" s="60">
        <f t="shared" si="43"/>
        <v>196637.30000000002</v>
      </c>
      <c r="Y251" s="60">
        <f>V251</f>
        <v>662.9</v>
      </c>
      <c r="AA251" s="60">
        <v>14.610241325947801</v>
      </c>
    </row>
    <row r="252" spans="1:27" x14ac:dyDescent="0.25">
      <c r="A252" s="106"/>
      <c r="B252" s="39"/>
      <c r="C252" s="13">
        <v>41766</v>
      </c>
      <c r="D252">
        <v>13.8</v>
      </c>
      <c r="E252">
        <v>10.8</v>
      </c>
      <c r="F252">
        <v>16.899999999999999</v>
      </c>
      <c r="G252">
        <f t="shared" si="44"/>
        <v>2312.7999999999997</v>
      </c>
      <c r="H252">
        <f>H251+D252</f>
        <v>29.200000000000003</v>
      </c>
      <c r="I252" s="64" t="s">
        <v>28</v>
      </c>
      <c r="J252">
        <v>0</v>
      </c>
      <c r="K252">
        <f t="shared" si="40"/>
        <v>544.19999999999993</v>
      </c>
      <c r="L252">
        <v>2.6</v>
      </c>
      <c r="M252">
        <f t="shared" si="41"/>
        <v>342.70000000000016</v>
      </c>
      <c r="N252" s="9">
        <f t="shared" si="38"/>
        <v>-2.6</v>
      </c>
      <c r="O252" s="19">
        <f t="shared" si="48"/>
        <v>58.00000000000005</v>
      </c>
      <c r="P252" s="14">
        <v>247</v>
      </c>
      <c r="Q252" s="41">
        <f t="shared" ref="Q252:Q308" si="52">1.15+((P252-245)/58)*(0.35-1.15)</f>
        <v>1.1224137931034481</v>
      </c>
      <c r="R252" s="16">
        <f t="shared" si="45"/>
        <v>2.9182758620689651</v>
      </c>
      <c r="S252" s="16">
        <f t="shared" si="42"/>
        <v>-2.9182758620689651</v>
      </c>
      <c r="T252" s="20">
        <f t="shared" si="47"/>
        <v>37.322486020503327</v>
      </c>
      <c r="U252" s="64" t="s">
        <v>29</v>
      </c>
      <c r="V252">
        <v>1466.2</v>
      </c>
      <c r="W252">
        <f t="shared" si="39"/>
        <v>106.2463768115942</v>
      </c>
      <c r="X252">
        <f t="shared" si="43"/>
        <v>198103.50000000003</v>
      </c>
      <c r="Y252">
        <f>Y251+V252</f>
        <v>2129.1</v>
      </c>
      <c r="Z252" s="64" t="s">
        <v>30</v>
      </c>
      <c r="AA252">
        <v>14.6569701210347</v>
      </c>
    </row>
    <row r="253" spans="1:27" x14ac:dyDescent="0.25">
      <c r="A253" s="106"/>
      <c r="B253" s="39"/>
      <c r="C253" s="13">
        <v>41767</v>
      </c>
      <c r="D253">
        <v>13.6</v>
      </c>
      <c r="E253">
        <v>10.3</v>
      </c>
      <c r="F253">
        <v>16.100000000000001</v>
      </c>
      <c r="G253">
        <f t="shared" si="44"/>
        <v>2326.3999999999996</v>
      </c>
      <c r="H253">
        <f t="shared" si="50"/>
        <v>42.800000000000004</v>
      </c>
      <c r="I253">
        <f>MIN(E251:E273)</f>
        <v>6.3</v>
      </c>
      <c r="J253">
        <v>0.2</v>
      </c>
      <c r="K253">
        <f t="shared" si="40"/>
        <v>544.4</v>
      </c>
      <c r="L253">
        <v>2</v>
      </c>
      <c r="M253">
        <f t="shared" si="41"/>
        <v>344.70000000000016</v>
      </c>
      <c r="N253" s="9">
        <f t="shared" si="38"/>
        <v>-1.8</v>
      </c>
      <c r="O253" s="19">
        <f t="shared" si="48"/>
        <v>56.200000000000053</v>
      </c>
      <c r="P253" s="14">
        <v>248</v>
      </c>
      <c r="Q253" s="41">
        <f t="shared" si="52"/>
        <v>1.1086206896551722</v>
      </c>
      <c r="R253" s="16">
        <f t="shared" si="45"/>
        <v>2.2172413793103445</v>
      </c>
      <c r="S253" s="16">
        <f t="shared" si="42"/>
        <v>-2.0172413793103443</v>
      </c>
      <c r="T253" s="20">
        <f t="shared" si="47"/>
        <v>35.305244641192985</v>
      </c>
      <c r="U253">
        <v>16</v>
      </c>
      <c r="V253">
        <v>960.9</v>
      </c>
      <c r="W253">
        <f t="shared" si="39"/>
        <v>70.654411764705884</v>
      </c>
      <c r="X253">
        <f t="shared" si="43"/>
        <v>199064.40000000002</v>
      </c>
      <c r="Y253">
        <f t="shared" si="51"/>
        <v>3090</v>
      </c>
      <c r="Z253" s="60">
        <v>39323.4</v>
      </c>
      <c r="AA253">
        <v>14.703177344288401</v>
      </c>
    </row>
    <row r="254" spans="1:27" x14ac:dyDescent="0.25">
      <c r="A254" s="106"/>
      <c r="B254" s="39"/>
      <c r="C254" s="13">
        <v>41768</v>
      </c>
      <c r="D254">
        <v>14.6</v>
      </c>
      <c r="E254">
        <v>12.7</v>
      </c>
      <c r="F254">
        <v>18</v>
      </c>
      <c r="G254">
        <f t="shared" si="44"/>
        <v>2340.9999999999995</v>
      </c>
      <c r="H254">
        <f t="shared" si="50"/>
        <v>57.400000000000006</v>
      </c>
      <c r="I254" s="64" t="s">
        <v>31</v>
      </c>
      <c r="J254">
        <v>1.2</v>
      </c>
      <c r="K254">
        <f t="shared" si="40"/>
        <v>545.6</v>
      </c>
      <c r="L254">
        <v>2.9</v>
      </c>
      <c r="M254">
        <f t="shared" si="41"/>
        <v>347.60000000000014</v>
      </c>
      <c r="N254" s="9">
        <f t="shared" si="38"/>
        <v>-1.7</v>
      </c>
      <c r="O254" s="19">
        <f t="shared" si="48"/>
        <v>54.50000000000005</v>
      </c>
      <c r="P254" s="14">
        <v>249</v>
      </c>
      <c r="Q254" s="41">
        <f t="shared" si="52"/>
        <v>1.0948275862068966</v>
      </c>
      <c r="R254" s="16">
        <f t="shared" si="45"/>
        <v>3.1749999999999998</v>
      </c>
      <c r="S254" s="16">
        <f t="shared" si="42"/>
        <v>-1.9749999999999999</v>
      </c>
      <c r="T254" s="20">
        <f t="shared" si="47"/>
        <v>33.330244641192984</v>
      </c>
      <c r="U254" s="64" t="s">
        <v>32</v>
      </c>
      <c r="V254">
        <v>1473.6</v>
      </c>
      <c r="W254">
        <f t="shared" si="39"/>
        <v>100.93150684931507</v>
      </c>
      <c r="X254">
        <f t="shared" si="43"/>
        <v>200538.00000000003</v>
      </c>
      <c r="Y254">
        <f t="shared" si="51"/>
        <v>4563.6000000000004</v>
      </c>
      <c r="Z254" s="64" t="s">
        <v>33</v>
      </c>
      <c r="AA254">
        <v>14.748842928045301</v>
      </c>
    </row>
    <row r="255" spans="1:27" x14ac:dyDescent="0.25">
      <c r="A255" s="106"/>
      <c r="B255" s="39"/>
      <c r="C255" s="13">
        <v>41769</v>
      </c>
      <c r="D255">
        <v>13</v>
      </c>
      <c r="E255">
        <v>9.4</v>
      </c>
      <c r="F255">
        <v>16.3</v>
      </c>
      <c r="G255">
        <f t="shared" si="44"/>
        <v>2353.9999999999995</v>
      </c>
      <c r="H255">
        <f t="shared" si="50"/>
        <v>70.400000000000006</v>
      </c>
      <c r="I255">
        <f>MAX(F251:F273)</f>
        <v>24.3</v>
      </c>
      <c r="J255">
        <v>1.4</v>
      </c>
      <c r="K255">
        <f t="shared" si="40"/>
        <v>547</v>
      </c>
      <c r="L255">
        <v>1.5</v>
      </c>
      <c r="M255">
        <f t="shared" si="41"/>
        <v>349.10000000000014</v>
      </c>
      <c r="N255" s="9">
        <f t="shared" si="38"/>
        <v>-0.10000000000000009</v>
      </c>
      <c r="O255" s="19">
        <f t="shared" si="48"/>
        <v>54.400000000000048</v>
      </c>
      <c r="P255" s="14">
        <v>250</v>
      </c>
      <c r="Q255" s="41">
        <f t="shared" si="52"/>
        <v>1.0810344827586207</v>
      </c>
      <c r="R255" s="16">
        <f t="shared" si="45"/>
        <v>1.6215517241379311</v>
      </c>
      <c r="S255" s="16">
        <f t="shared" si="42"/>
        <v>-0.22155172413793123</v>
      </c>
      <c r="T255" s="20">
        <f t="shared" si="47"/>
        <v>33.108692917055052</v>
      </c>
      <c r="U255">
        <v>0</v>
      </c>
      <c r="V255">
        <v>929</v>
      </c>
      <c r="W255">
        <f t="shared" si="39"/>
        <v>71.461538461538467</v>
      </c>
      <c r="X255">
        <f t="shared" si="43"/>
        <v>201467.00000000003</v>
      </c>
      <c r="Y255">
        <f t="shared" si="51"/>
        <v>5492.6</v>
      </c>
      <c r="Z255" s="22">
        <f>(Z253/100)/I265</f>
        <v>1.2939585389930901</v>
      </c>
      <c r="AA255">
        <v>14.793946374099299</v>
      </c>
    </row>
    <row r="256" spans="1:27" x14ac:dyDescent="0.25">
      <c r="A256" s="106"/>
      <c r="B256" s="39"/>
      <c r="C256" s="13">
        <v>41770</v>
      </c>
      <c r="D256">
        <v>11.2</v>
      </c>
      <c r="E256">
        <v>9.5</v>
      </c>
      <c r="F256">
        <v>14.1</v>
      </c>
      <c r="G256">
        <f t="shared" si="44"/>
        <v>2365.1999999999994</v>
      </c>
      <c r="H256">
        <f t="shared" si="50"/>
        <v>81.600000000000009</v>
      </c>
      <c r="I256" s="64" t="s">
        <v>34</v>
      </c>
      <c r="J256">
        <v>3.8</v>
      </c>
      <c r="K256">
        <f t="shared" si="40"/>
        <v>550.79999999999995</v>
      </c>
      <c r="L256">
        <v>2.5</v>
      </c>
      <c r="M256">
        <f t="shared" si="41"/>
        <v>351.60000000000014</v>
      </c>
      <c r="N256">
        <f t="shared" si="38"/>
        <v>1.2999999999999998</v>
      </c>
      <c r="O256" s="19">
        <f t="shared" si="48"/>
        <v>55.700000000000045</v>
      </c>
      <c r="P256" s="14">
        <v>251</v>
      </c>
      <c r="Q256" s="41">
        <f t="shared" si="52"/>
        <v>1.0672413793103448</v>
      </c>
      <c r="R256" s="16">
        <f t="shared" si="45"/>
        <v>2.6681034482758621</v>
      </c>
      <c r="S256" s="16">
        <f t="shared" si="42"/>
        <v>1.1318965517241377</v>
      </c>
      <c r="T256" s="20">
        <f t="shared" si="47"/>
        <v>34.240589468779191</v>
      </c>
      <c r="U256" s="64" t="s">
        <v>35</v>
      </c>
      <c r="V256">
        <v>1523.7</v>
      </c>
      <c r="W256">
        <f t="shared" si="39"/>
        <v>136.04464285714286</v>
      </c>
      <c r="X256">
        <f t="shared" si="43"/>
        <v>202990.70000000004</v>
      </c>
      <c r="Y256">
        <f t="shared" si="51"/>
        <v>7016.3</v>
      </c>
      <c r="Z256" s="64" t="s">
        <v>36</v>
      </c>
      <c r="AA256">
        <v>14.8384667674129</v>
      </c>
    </row>
    <row r="257" spans="1:27" x14ac:dyDescent="0.25">
      <c r="A257" s="106"/>
      <c r="B257" s="39"/>
      <c r="C257" s="13">
        <v>41771</v>
      </c>
      <c r="D257">
        <v>9.5</v>
      </c>
      <c r="E257">
        <v>7</v>
      </c>
      <c r="F257">
        <v>11.6</v>
      </c>
      <c r="G257">
        <f t="shared" si="44"/>
        <v>2374.6999999999994</v>
      </c>
      <c r="H257">
        <f t="shared" si="50"/>
        <v>91.100000000000009</v>
      </c>
      <c r="I257" s="23">
        <f>AVERAGE(D251:D273)</f>
        <v>13.213043478260872</v>
      </c>
      <c r="J257">
        <v>4.2</v>
      </c>
      <c r="K257">
        <f t="shared" si="40"/>
        <v>555</v>
      </c>
      <c r="L257">
        <v>1.2</v>
      </c>
      <c r="M257">
        <f t="shared" si="41"/>
        <v>352.80000000000013</v>
      </c>
      <c r="N257">
        <f t="shared" si="38"/>
        <v>3</v>
      </c>
      <c r="O257" s="19">
        <f t="shared" si="48"/>
        <v>58.700000000000045</v>
      </c>
      <c r="P257" s="14">
        <v>252</v>
      </c>
      <c r="Q257" s="41">
        <f t="shared" si="52"/>
        <v>1.0534482758620689</v>
      </c>
      <c r="R257" s="16">
        <f t="shared" si="45"/>
        <v>1.2641379310344827</v>
      </c>
      <c r="S257" s="16">
        <f t="shared" si="42"/>
        <v>2.9358620689655175</v>
      </c>
      <c r="T257" s="20">
        <f t="shared" si="47"/>
        <v>37.176451537744711</v>
      </c>
      <c r="U257">
        <v>23</v>
      </c>
      <c r="V257" s="21">
        <v>762.8</v>
      </c>
      <c r="W257">
        <f t="shared" si="39"/>
        <v>80.294736842105252</v>
      </c>
      <c r="X257">
        <f t="shared" si="43"/>
        <v>203753.50000000003</v>
      </c>
      <c r="Y257">
        <f t="shared" si="51"/>
        <v>7779.1</v>
      </c>
      <c r="Z257">
        <v>3</v>
      </c>
      <c r="AA257">
        <v>14.8823827919599</v>
      </c>
    </row>
    <row r="258" spans="1:27" x14ac:dyDescent="0.25">
      <c r="A258" s="106"/>
      <c r="B258" s="39"/>
      <c r="C258" s="13">
        <v>41772</v>
      </c>
      <c r="D258">
        <v>10.1</v>
      </c>
      <c r="E258">
        <v>7.4</v>
      </c>
      <c r="F258">
        <v>13.5</v>
      </c>
      <c r="G258">
        <f t="shared" si="44"/>
        <v>2384.7999999999993</v>
      </c>
      <c r="H258">
        <f t="shared" si="50"/>
        <v>101.2</v>
      </c>
      <c r="I258" s="64" t="s">
        <v>37</v>
      </c>
      <c r="J258">
        <v>0.8</v>
      </c>
      <c r="K258">
        <f t="shared" si="40"/>
        <v>555.79999999999995</v>
      </c>
      <c r="L258">
        <v>2.7</v>
      </c>
      <c r="M258">
        <f t="shared" si="41"/>
        <v>355.50000000000011</v>
      </c>
      <c r="N258" s="9">
        <f t="shared" si="38"/>
        <v>-1.9000000000000001</v>
      </c>
      <c r="O258" s="19">
        <f t="shared" si="48"/>
        <v>56.800000000000047</v>
      </c>
      <c r="P258" s="14">
        <v>253</v>
      </c>
      <c r="Q258" s="41">
        <f t="shared" si="52"/>
        <v>1.039655172413793</v>
      </c>
      <c r="R258" s="16">
        <f t="shared" si="45"/>
        <v>2.8070689655172414</v>
      </c>
      <c r="S258" s="16">
        <f t="shared" si="42"/>
        <v>-2.0070689655172416</v>
      </c>
      <c r="T258" s="20">
        <f t="shared" si="47"/>
        <v>35.16938257222747</v>
      </c>
      <c r="U258" s="64" t="s">
        <v>38</v>
      </c>
      <c r="V258">
        <v>1803.3</v>
      </c>
      <c r="W258">
        <f t="shared" si="39"/>
        <v>178.54455445544554</v>
      </c>
      <c r="X258">
        <f t="shared" si="43"/>
        <v>205556.80000000002</v>
      </c>
      <c r="Y258">
        <f t="shared" si="51"/>
        <v>9582.4</v>
      </c>
      <c r="AA258">
        <v>14.9256727487722</v>
      </c>
    </row>
    <row r="259" spans="1:27" x14ac:dyDescent="0.25">
      <c r="A259" s="106"/>
      <c r="B259" s="39"/>
      <c r="C259" s="13">
        <v>41773</v>
      </c>
      <c r="D259">
        <v>10.9</v>
      </c>
      <c r="E259">
        <v>6.4</v>
      </c>
      <c r="F259">
        <v>15.3</v>
      </c>
      <c r="G259">
        <f t="shared" si="44"/>
        <v>2395.6999999999994</v>
      </c>
      <c r="H259">
        <f t="shared" si="50"/>
        <v>112.10000000000001</v>
      </c>
      <c r="I259">
        <v>0</v>
      </c>
      <c r="J259">
        <v>0.2</v>
      </c>
      <c r="K259">
        <f t="shared" si="40"/>
        <v>556</v>
      </c>
      <c r="L259">
        <v>3</v>
      </c>
      <c r="M259">
        <f t="shared" si="41"/>
        <v>358.50000000000011</v>
      </c>
      <c r="N259" s="9">
        <f t="shared" si="38"/>
        <v>-2.8</v>
      </c>
      <c r="O259" s="19">
        <f t="shared" si="48"/>
        <v>54.00000000000005</v>
      </c>
      <c r="P259" s="14">
        <v>254</v>
      </c>
      <c r="Q259" s="41">
        <f t="shared" si="52"/>
        <v>1.0258620689655171</v>
      </c>
      <c r="R259" s="16">
        <f t="shared" si="45"/>
        <v>3.0775862068965516</v>
      </c>
      <c r="S259" s="16">
        <f t="shared" si="42"/>
        <v>-2.8775862068965514</v>
      </c>
      <c r="T259" s="20">
        <f t="shared" si="47"/>
        <v>32.291796365330917</v>
      </c>
      <c r="U259" s="23">
        <f>MIN(T251:T273)</f>
        <v>10.007658434296435</v>
      </c>
      <c r="V259">
        <v>2057.6999999999998</v>
      </c>
      <c r="W259">
        <f t="shared" si="39"/>
        <v>188.77981651376143</v>
      </c>
      <c r="X259">
        <f t="shared" si="43"/>
        <v>207614.50000000003</v>
      </c>
      <c r="Y259">
        <f t="shared" si="51"/>
        <v>11640.099999999999</v>
      </c>
      <c r="AA259">
        <v>14.9683145762608</v>
      </c>
    </row>
    <row r="260" spans="1:27" x14ac:dyDescent="0.25">
      <c r="A260" s="106"/>
      <c r="B260" s="39"/>
      <c r="C260" s="13">
        <v>41774</v>
      </c>
      <c r="D260">
        <v>11.2</v>
      </c>
      <c r="E260">
        <v>7.5</v>
      </c>
      <c r="F260">
        <v>15.2</v>
      </c>
      <c r="G260">
        <f t="shared" si="44"/>
        <v>2406.8999999999992</v>
      </c>
      <c r="H260">
        <f t="shared" si="50"/>
        <v>123.30000000000001</v>
      </c>
      <c r="I260" s="64" t="s">
        <v>39</v>
      </c>
      <c r="J260">
        <v>0</v>
      </c>
      <c r="K260">
        <f t="shared" si="40"/>
        <v>556</v>
      </c>
      <c r="L260">
        <v>4.2</v>
      </c>
      <c r="M260">
        <f t="shared" si="41"/>
        <v>362.7000000000001</v>
      </c>
      <c r="N260" s="9">
        <f t="shared" si="38"/>
        <v>-4.2</v>
      </c>
      <c r="O260" s="19">
        <f t="shared" si="48"/>
        <v>49.800000000000047</v>
      </c>
      <c r="P260" s="14">
        <v>255</v>
      </c>
      <c r="Q260" s="41">
        <f t="shared" si="52"/>
        <v>1.0120689655172412</v>
      </c>
      <c r="R260" s="16">
        <f t="shared" si="45"/>
        <v>4.2506896551724136</v>
      </c>
      <c r="S260" s="16">
        <f t="shared" si="42"/>
        <v>-4.2506896551724136</v>
      </c>
      <c r="T260" s="20">
        <f t="shared" si="47"/>
        <v>28.041106710158502</v>
      </c>
      <c r="U260" s="64" t="s">
        <v>40</v>
      </c>
      <c r="V260">
        <v>2700.2</v>
      </c>
      <c r="W260">
        <f t="shared" si="39"/>
        <v>241.08928571428572</v>
      </c>
      <c r="X260">
        <f t="shared" si="43"/>
        <v>210314.70000000004</v>
      </c>
      <c r="Y260">
        <f t="shared" si="51"/>
        <v>14340.3</v>
      </c>
      <c r="AA260">
        <v>15.0102858728743</v>
      </c>
    </row>
    <row r="261" spans="1:27" x14ac:dyDescent="0.25">
      <c r="A261" s="106"/>
      <c r="B261" s="39"/>
      <c r="C261" s="13">
        <v>41775</v>
      </c>
      <c r="D261">
        <v>12.6</v>
      </c>
      <c r="E261">
        <v>6.3</v>
      </c>
      <c r="F261">
        <v>17.5</v>
      </c>
      <c r="G261">
        <f t="shared" si="44"/>
        <v>2419.4999999999991</v>
      </c>
      <c r="H261">
        <f t="shared" si="50"/>
        <v>135.9</v>
      </c>
      <c r="I261">
        <v>0</v>
      </c>
      <c r="J261">
        <v>0</v>
      </c>
      <c r="K261">
        <f t="shared" si="40"/>
        <v>556</v>
      </c>
      <c r="L261">
        <v>4.3</v>
      </c>
      <c r="M261">
        <f t="shared" si="41"/>
        <v>367.00000000000011</v>
      </c>
      <c r="N261" s="9">
        <f t="shared" si="38"/>
        <v>-4.3</v>
      </c>
      <c r="O261" s="19">
        <f t="shared" si="48"/>
        <v>45.50000000000005</v>
      </c>
      <c r="P261" s="14">
        <v>256</v>
      </c>
      <c r="Q261" s="41">
        <f t="shared" si="52"/>
        <v>0.99827586206896546</v>
      </c>
      <c r="R261" s="16">
        <f t="shared" si="45"/>
        <v>4.2925862068965515</v>
      </c>
      <c r="S261" s="16">
        <f t="shared" si="42"/>
        <v>-4.2925862068965515</v>
      </c>
      <c r="T261" s="20">
        <f t="shared" si="47"/>
        <v>23.74852050326195</v>
      </c>
      <c r="U261" s="23">
        <f>MAX(T251:T273)</f>
        <v>40.240761882572293</v>
      </c>
      <c r="V261">
        <v>2634.8</v>
      </c>
      <c r="W261">
        <f t="shared" si="39"/>
        <v>209.11111111111114</v>
      </c>
      <c r="X261">
        <f t="shared" si="43"/>
        <v>212949.50000000003</v>
      </c>
      <c r="Y261">
        <f t="shared" si="51"/>
        <v>16975.099999999999</v>
      </c>
      <c r="AA261">
        <v>15.051563922148</v>
      </c>
    </row>
    <row r="262" spans="1:27" x14ac:dyDescent="0.25">
      <c r="A262" s="106"/>
      <c r="B262" s="39"/>
      <c r="C262" s="13">
        <v>41776</v>
      </c>
      <c r="D262">
        <v>15.3</v>
      </c>
      <c r="E262">
        <v>9.6999999999999993</v>
      </c>
      <c r="F262">
        <v>20.3</v>
      </c>
      <c r="G262">
        <f t="shared" si="44"/>
        <v>2434.7999999999993</v>
      </c>
      <c r="H262">
        <f t="shared" si="50"/>
        <v>151.20000000000002</v>
      </c>
      <c r="I262" s="64" t="s">
        <v>41</v>
      </c>
      <c r="J262">
        <v>0</v>
      </c>
      <c r="K262">
        <f t="shared" si="40"/>
        <v>556</v>
      </c>
      <c r="L262">
        <v>5.4</v>
      </c>
      <c r="M262">
        <f t="shared" si="41"/>
        <v>372.40000000000009</v>
      </c>
      <c r="N262" s="9">
        <f t="shared" ref="N262:N308" si="53">J262-L262</f>
        <v>-5.4</v>
      </c>
      <c r="O262" s="19">
        <f t="shared" si="48"/>
        <v>40.100000000000051</v>
      </c>
      <c r="P262" s="14">
        <v>257</v>
      </c>
      <c r="Q262" s="41">
        <f t="shared" si="52"/>
        <v>0.98448275862068957</v>
      </c>
      <c r="R262" s="16">
        <f t="shared" si="45"/>
        <v>5.3162068965517237</v>
      </c>
      <c r="S262" s="16">
        <f t="shared" si="42"/>
        <v>-5.3162068965517237</v>
      </c>
      <c r="T262" s="20">
        <f t="shared" si="47"/>
        <v>18.432313606710228</v>
      </c>
      <c r="U262" s="64" t="s">
        <v>42</v>
      </c>
      <c r="V262">
        <v>3107.6</v>
      </c>
      <c r="W262">
        <f t="shared" ref="W262:W308" si="54">V262/D262</f>
        <v>203.11111111111109</v>
      </c>
      <c r="X262">
        <f t="shared" si="43"/>
        <v>216057.10000000003</v>
      </c>
      <c r="Y262">
        <f t="shared" si="51"/>
        <v>20082.699999999997</v>
      </c>
      <c r="AA262">
        <v>15.0921257201879</v>
      </c>
    </row>
    <row r="263" spans="1:27" x14ac:dyDescent="0.25">
      <c r="A263" s="106"/>
      <c r="B263" s="39"/>
      <c r="C263" s="13">
        <v>41777</v>
      </c>
      <c r="D263">
        <v>16.7</v>
      </c>
      <c r="E263">
        <v>11.1</v>
      </c>
      <c r="F263">
        <v>22.3</v>
      </c>
      <c r="G263">
        <f t="shared" si="44"/>
        <v>2451.4999999999991</v>
      </c>
      <c r="H263">
        <f t="shared" si="50"/>
        <v>167.9</v>
      </c>
      <c r="I263">
        <v>0</v>
      </c>
      <c r="J263">
        <v>0</v>
      </c>
      <c r="K263">
        <f t="shared" ref="K263:K307" si="55">K262+J263</f>
        <v>556</v>
      </c>
      <c r="L263">
        <v>5.6</v>
      </c>
      <c r="M263">
        <f t="shared" ref="M263:M308" si="56">M262+L263</f>
        <v>378.00000000000011</v>
      </c>
      <c r="N263" s="9">
        <f t="shared" si="53"/>
        <v>-5.6</v>
      </c>
      <c r="O263" s="19">
        <f t="shared" si="48"/>
        <v>34.50000000000005</v>
      </c>
      <c r="P263" s="14">
        <v>258</v>
      </c>
      <c r="Q263" s="41">
        <f t="shared" si="52"/>
        <v>0.97068965517241368</v>
      </c>
      <c r="R263" s="16">
        <f t="shared" si="45"/>
        <v>5.4358620689655162</v>
      </c>
      <c r="S263" s="16">
        <f t="shared" ref="S263:S308" si="57">J263-R263</f>
        <v>-5.4358620689655162</v>
      </c>
      <c r="T263" s="20">
        <f t="shared" si="47"/>
        <v>12.996451537744711</v>
      </c>
      <c r="U263" s="22">
        <f>AVERAGE(T251:T273)</f>
        <v>30.677141192917123</v>
      </c>
      <c r="V263">
        <v>3084.5</v>
      </c>
      <c r="W263">
        <f t="shared" si="54"/>
        <v>184.70059880239521</v>
      </c>
      <c r="X263">
        <f t="shared" ref="X263:X308" si="58">X262+V263</f>
        <v>219141.60000000003</v>
      </c>
      <c r="Y263">
        <f t="shared" si="51"/>
        <v>23167.199999999997</v>
      </c>
      <c r="AA263">
        <v>15.1319480056244</v>
      </c>
    </row>
    <row r="264" spans="1:27" x14ac:dyDescent="0.25">
      <c r="A264" s="106"/>
      <c r="B264" s="39"/>
      <c r="C264" s="13">
        <v>41778</v>
      </c>
      <c r="D264">
        <v>18</v>
      </c>
      <c r="E264">
        <v>11.3</v>
      </c>
      <c r="F264">
        <v>24.3</v>
      </c>
      <c r="G264">
        <f t="shared" ref="G264:G308" si="59">G263+D264</f>
        <v>2469.4999999999991</v>
      </c>
      <c r="H264">
        <f t="shared" si="50"/>
        <v>185.9</v>
      </c>
      <c r="I264" s="64" t="s">
        <v>43</v>
      </c>
      <c r="J264">
        <v>1.7</v>
      </c>
      <c r="K264">
        <f t="shared" si="55"/>
        <v>557.70000000000005</v>
      </c>
      <c r="L264">
        <v>4.9000000000000004</v>
      </c>
      <c r="M264">
        <f t="shared" si="56"/>
        <v>382.90000000000009</v>
      </c>
      <c r="N264" s="9">
        <f t="shared" si="53"/>
        <v>-3.2</v>
      </c>
      <c r="O264" s="19">
        <f t="shared" si="48"/>
        <v>31.30000000000005</v>
      </c>
      <c r="P264" s="14">
        <v>259</v>
      </c>
      <c r="Q264" s="41">
        <f t="shared" si="52"/>
        <v>0.9568965517241379</v>
      </c>
      <c r="R264" s="16">
        <f t="shared" ref="R264:R308" si="60">Q264*L264</f>
        <v>4.6887931034482762</v>
      </c>
      <c r="S264" s="16">
        <f t="shared" si="57"/>
        <v>-2.988793103448276</v>
      </c>
      <c r="T264" s="20">
        <f t="shared" si="47"/>
        <v>10.007658434296435</v>
      </c>
      <c r="V264">
        <v>2549</v>
      </c>
      <c r="W264">
        <f t="shared" si="54"/>
        <v>141.61111111111111</v>
      </c>
      <c r="X264">
        <f t="shared" si="58"/>
        <v>221690.60000000003</v>
      </c>
      <c r="Y264">
        <f t="shared" si="51"/>
        <v>25716.199999999997</v>
      </c>
      <c r="AA264">
        <v>15.1710072920553</v>
      </c>
    </row>
    <row r="265" spans="1:27" x14ac:dyDescent="0.25">
      <c r="A265" s="106"/>
      <c r="B265" s="39"/>
      <c r="C265" s="13">
        <v>41779</v>
      </c>
      <c r="D265">
        <v>15</v>
      </c>
      <c r="E265">
        <v>13.5</v>
      </c>
      <c r="F265">
        <v>19.3</v>
      </c>
      <c r="G265">
        <f t="shared" si="59"/>
        <v>2484.4999999999991</v>
      </c>
      <c r="H265">
        <f t="shared" si="50"/>
        <v>200.9</v>
      </c>
      <c r="I265">
        <v>303.89999999999998</v>
      </c>
      <c r="J265">
        <v>17.8</v>
      </c>
      <c r="K265">
        <f t="shared" si="55"/>
        <v>575.5</v>
      </c>
      <c r="L265">
        <v>2</v>
      </c>
      <c r="M265">
        <f t="shared" si="56"/>
        <v>384.90000000000009</v>
      </c>
      <c r="N265">
        <f t="shared" si="53"/>
        <v>15.8</v>
      </c>
      <c r="O265" s="19">
        <f t="shared" si="48"/>
        <v>47.100000000000051</v>
      </c>
      <c r="P265" s="14">
        <v>260</v>
      </c>
      <c r="Q265" s="41">
        <f t="shared" si="52"/>
        <v>0.94310344827586201</v>
      </c>
      <c r="R265" s="16">
        <f t="shared" si="60"/>
        <v>1.886206896551724</v>
      </c>
      <c r="S265" s="16">
        <f t="shared" si="57"/>
        <v>15.913793103448278</v>
      </c>
      <c r="T265" s="20">
        <f t="shared" si="47"/>
        <v>25.921451537744712</v>
      </c>
      <c r="U265" s="22">
        <f>(U263*100)/122.1</f>
        <v>25.124603761602888</v>
      </c>
      <c r="V265">
        <v>943.4</v>
      </c>
      <c r="W265">
        <f t="shared" si="54"/>
        <v>62.893333333333331</v>
      </c>
      <c r="X265">
        <f t="shared" si="58"/>
        <v>222634.00000000003</v>
      </c>
      <c r="Y265">
        <f t="shared" si="51"/>
        <v>26659.599999999999</v>
      </c>
      <c r="AA265">
        <v>15.209279902987401</v>
      </c>
    </row>
    <row r="266" spans="1:27" x14ac:dyDescent="0.25">
      <c r="A266" s="106"/>
      <c r="B266" s="39"/>
      <c r="C266" s="13">
        <v>41780</v>
      </c>
      <c r="D266">
        <v>13.9</v>
      </c>
      <c r="E266">
        <v>12</v>
      </c>
      <c r="F266">
        <v>20.5</v>
      </c>
      <c r="G266">
        <f t="shared" si="59"/>
        <v>2498.3999999999992</v>
      </c>
      <c r="H266">
        <f t="shared" si="50"/>
        <v>214.8</v>
      </c>
      <c r="J266">
        <v>10.6</v>
      </c>
      <c r="K266">
        <f t="shared" si="55"/>
        <v>586.1</v>
      </c>
      <c r="L266">
        <v>3.6</v>
      </c>
      <c r="M266">
        <f t="shared" si="56"/>
        <v>388.50000000000011</v>
      </c>
      <c r="N266">
        <f t="shared" si="53"/>
        <v>7</v>
      </c>
      <c r="O266" s="19">
        <f t="shared" si="48"/>
        <v>54.100000000000051</v>
      </c>
      <c r="P266" s="14">
        <v>261</v>
      </c>
      <c r="Q266" s="41">
        <f t="shared" si="52"/>
        <v>0.92931034482758612</v>
      </c>
      <c r="R266" s="16">
        <f t="shared" si="60"/>
        <v>3.3455172413793099</v>
      </c>
      <c r="S266" s="16">
        <f t="shared" si="57"/>
        <v>7.2544827586206893</v>
      </c>
      <c r="T266" s="20">
        <f t="shared" ref="T266:T308" si="61">MIN(122.1,(T265+S266))</f>
        <v>33.175934296365398</v>
      </c>
      <c r="V266">
        <v>1874.6</v>
      </c>
      <c r="W266">
        <f t="shared" si="54"/>
        <v>134.86330935251797</v>
      </c>
      <c r="X266">
        <f t="shared" si="58"/>
        <v>224508.60000000003</v>
      </c>
      <c r="Y266">
        <f t="shared" si="51"/>
        <v>28534.199999999997</v>
      </c>
      <c r="AA266">
        <v>15.246742009268599</v>
      </c>
    </row>
    <row r="267" spans="1:27" x14ac:dyDescent="0.25">
      <c r="A267" s="106"/>
      <c r="B267" s="39"/>
      <c r="C267" s="13">
        <v>41781</v>
      </c>
      <c r="D267">
        <v>13.8</v>
      </c>
      <c r="E267">
        <v>8.8000000000000007</v>
      </c>
      <c r="F267">
        <v>19.399999999999999</v>
      </c>
      <c r="G267">
        <f t="shared" si="59"/>
        <v>2512.1999999999994</v>
      </c>
      <c r="H267">
        <f t="shared" si="50"/>
        <v>228.60000000000002</v>
      </c>
      <c r="J267">
        <v>0.8</v>
      </c>
      <c r="K267">
        <f t="shared" si="55"/>
        <v>586.9</v>
      </c>
      <c r="L267">
        <v>4.0999999999999996</v>
      </c>
      <c r="M267">
        <f t="shared" si="56"/>
        <v>392.60000000000014</v>
      </c>
      <c r="N267" s="9">
        <f t="shared" si="53"/>
        <v>-3.3</v>
      </c>
      <c r="O267" s="19">
        <f t="shared" ref="O267:O308" si="62">O266+N267</f>
        <v>50.800000000000054</v>
      </c>
      <c r="P267" s="14">
        <v>262</v>
      </c>
      <c r="Q267" s="41">
        <f t="shared" si="52"/>
        <v>0.91551724137931023</v>
      </c>
      <c r="R267" s="16">
        <f t="shared" si="60"/>
        <v>3.7536206896551718</v>
      </c>
      <c r="S267" s="16">
        <f t="shared" si="57"/>
        <v>-2.953620689655172</v>
      </c>
      <c r="T267" s="20">
        <f t="shared" si="61"/>
        <v>30.222313606710227</v>
      </c>
      <c r="V267">
        <v>2240.4</v>
      </c>
      <c r="W267">
        <f t="shared" si="54"/>
        <v>162.34782608695653</v>
      </c>
      <c r="X267">
        <f t="shared" si="58"/>
        <v>226749.00000000003</v>
      </c>
      <c r="Y267">
        <f t="shared" si="51"/>
        <v>30774.6</v>
      </c>
      <c r="AA267">
        <v>15.2833696689886</v>
      </c>
    </row>
    <row r="268" spans="1:27" x14ac:dyDescent="0.25">
      <c r="A268" s="106"/>
      <c r="B268" s="39"/>
      <c r="C268" s="13">
        <v>41782</v>
      </c>
      <c r="D268">
        <v>11.6</v>
      </c>
      <c r="E268">
        <v>9.8000000000000007</v>
      </c>
      <c r="F268">
        <v>17</v>
      </c>
      <c r="G268">
        <f t="shared" si="59"/>
        <v>2523.7999999999993</v>
      </c>
      <c r="H268">
        <f t="shared" si="50"/>
        <v>240.20000000000002</v>
      </c>
      <c r="J268">
        <v>4.0999999999999996</v>
      </c>
      <c r="K268">
        <f t="shared" si="55"/>
        <v>591</v>
      </c>
      <c r="L268">
        <v>2.8</v>
      </c>
      <c r="M268">
        <f t="shared" si="56"/>
        <v>395.40000000000015</v>
      </c>
      <c r="N268">
        <f t="shared" si="53"/>
        <v>1.2999999999999998</v>
      </c>
      <c r="O268" s="19">
        <f t="shared" si="62"/>
        <v>52.100000000000051</v>
      </c>
      <c r="P268" s="14">
        <v>263</v>
      </c>
      <c r="Q268" s="41">
        <f t="shared" si="52"/>
        <v>0.90172413793103434</v>
      </c>
      <c r="R268" s="16">
        <f t="shared" si="60"/>
        <v>2.5248275862068961</v>
      </c>
      <c r="S268" s="16">
        <f t="shared" si="57"/>
        <v>1.5751724137931036</v>
      </c>
      <c r="T268" s="20">
        <f t="shared" si="61"/>
        <v>31.797486020503332</v>
      </c>
      <c r="V268">
        <v>1431</v>
      </c>
      <c r="W268">
        <f t="shared" si="54"/>
        <v>123.36206896551724</v>
      </c>
      <c r="X268">
        <f t="shared" si="58"/>
        <v>228180.00000000003</v>
      </c>
      <c r="Y268">
        <f t="shared" si="51"/>
        <v>32205.599999999999</v>
      </c>
      <c r="AA268">
        <v>15.319138869805601</v>
      </c>
    </row>
    <row r="269" spans="1:27" x14ac:dyDescent="0.25">
      <c r="A269" s="106"/>
      <c r="B269" s="39"/>
      <c r="C269" s="13">
        <v>41783</v>
      </c>
      <c r="D269">
        <v>11.8</v>
      </c>
      <c r="E269">
        <v>6.9</v>
      </c>
      <c r="F269">
        <v>14.8</v>
      </c>
      <c r="G269">
        <f t="shared" si="59"/>
        <v>2535.5999999999995</v>
      </c>
      <c r="H269">
        <f t="shared" si="50"/>
        <v>252.00000000000003</v>
      </c>
      <c r="J269">
        <v>3.1</v>
      </c>
      <c r="K269">
        <f t="shared" si="55"/>
        <v>594.1</v>
      </c>
      <c r="L269">
        <v>2.1</v>
      </c>
      <c r="M269">
        <f t="shared" si="56"/>
        <v>397.50000000000017</v>
      </c>
      <c r="N269">
        <f t="shared" si="53"/>
        <v>1</v>
      </c>
      <c r="O269" s="19">
        <f t="shared" si="62"/>
        <v>53.100000000000051</v>
      </c>
      <c r="P269" s="14">
        <v>264</v>
      </c>
      <c r="Q269" s="41">
        <f t="shared" si="52"/>
        <v>0.88793103448275856</v>
      </c>
      <c r="R269" s="16">
        <f t="shared" si="60"/>
        <v>1.864655172413793</v>
      </c>
      <c r="S269" s="16">
        <f t="shared" si="57"/>
        <v>1.2353448275862071</v>
      </c>
      <c r="T269" s="20">
        <f t="shared" si="61"/>
        <v>33.032830848089539</v>
      </c>
      <c r="V269">
        <v>1675.6</v>
      </c>
      <c r="W269">
        <f t="shared" si="54"/>
        <v>141.99999999999997</v>
      </c>
      <c r="X269">
        <f t="shared" si="58"/>
        <v>229855.60000000003</v>
      </c>
      <c r="Y269">
        <f t="shared" si="51"/>
        <v>33881.199999999997</v>
      </c>
      <c r="AA269">
        <v>15.3540255736423</v>
      </c>
    </row>
    <row r="270" spans="1:27" x14ac:dyDescent="0.25">
      <c r="A270" s="106"/>
      <c r="B270" s="39"/>
      <c r="C270" s="13">
        <v>41784</v>
      </c>
      <c r="D270">
        <v>12.9</v>
      </c>
      <c r="E270">
        <v>8</v>
      </c>
      <c r="F270">
        <v>18.100000000000001</v>
      </c>
      <c r="G270">
        <f t="shared" si="59"/>
        <v>2548.4999999999995</v>
      </c>
      <c r="H270">
        <f t="shared" si="50"/>
        <v>264.90000000000003</v>
      </c>
      <c r="J270">
        <v>5.7</v>
      </c>
      <c r="K270">
        <f t="shared" si="55"/>
        <v>599.80000000000007</v>
      </c>
      <c r="L270">
        <v>2</v>
      </c>
      <c r="M270">
        <f t="shared" si="56"/>
        <v>399.50000000000017</v>
      </c>
      <c r="N270">
        <f t="shared" si="53"/>
        <v>3.7</v>
      </c>
      <c r="O270" s="19">
        <f t="shared" si="62"/>
        <v>56.800000000000054</v>
      </c>
      <c r="P270" s="14">
        <v>265</v>
      </c>
      <c r="Q270" s="41">
        <f t="shared" si="52"/>
        <v>0.87413793103448267</v>
      </c>
      <c r="R270" s="16">
        <f t="shared" si="60"/>
        <v>1.7482758620689653</v>
      </c>
      <c r="S270" s="16">
        <f t="shared" si="57"/>
        <v>3.9517241379310351</v>
      </c>
      <c r="T270" s="20">
        <f t="shared" si="61"/>
        <v>36.984554986020576</v>
      </c>
      <c r="V270">
        <v>1318.4</v>
      </c>
      <c r="W270">
        <f t="shared" si="54"/>
        <v>102.20155038759691</v>
      </c>
      <c r="X270">
        <f t="shared" si="58"/>
        <v>231174.00000000003</v>
      </c>
      <c r="Y270">
        <f t="shared" si="51"/>
        <v>35199.599999999999</v>
      </c>
      <c r="AA270">
        <v>15.388005763670099</v>
      </c>
    </row>
    <row r="271" spans="1:27" x14ac:dyDescent="0.25">
      <c r="A271" s="106"/>
      <c r="B271" s="39"/>
      <c r="C271" s="13">
        <v>41785</v>
      </c>
      <c r="D271">
        <v>12.4</v>
      </c>
      <c r="E271">
        <v>10.3</v>
      </c>
      <c r="F271">
        <v>14.5</v>
      </c>
      <c r="G271">
        <f t="shared" si="59"/>
        <v>2560.8999999999996</v>
      </c>
      <c r="H271">
        <f t="shared" si="50"/>
        <v>277.3</v>
      </c>
      <c r="J271">
        <v>0</v>
      </c>
      <c r="K271">
        <f t="shared" si="55"/>
        <v>599.80000000000007</v>
      </c>
      <c r="L271">
        <v>0.7</v>
      </c>
      <c r="M271">
        <f t="shared" si="56"/>
        <v>400.20000000000016</v>
      </c>
      <c r="N271" s="9">
        <f t="shared" si="53"/>
        <v>-0.7</v>
      </c>
      <c r="O271" s="19">
        <f t="shared" si="62"/>
        <v>56.100000000000051</v>
      </c>
      <c r="P271" s="14">
        <v>266</v>
      </c>
      <c r="Q271" s="41">
        <f t="shared" si="52"/>
        <v>0.8603448275862069</v>
      </c>
      <c r="R271" s="16">
        <f t="shared" si="60"/>
        <v>0.60224137931034483</v>
      </c>
      <c r="S271" s="16">
        <f t="shared" si="57"/>
        <v>-0.60224137931034483</v>
      </c>
      <c r="T271" s="20">
        <f t="shared" si="61"/>
        <v>36.382313606710234</v>
      </c>
      <c r="V271" s="21">
        <v>522.1</v>
      </c>
      <c r="W271">
        <f t="shared" si="54"/>
        <v>42.104838709677423</v>
      </c>
      <c r="X271">
        <f t="shared" si="58"/>
        <v>231696.10000000003</v>
      </c>
      <c r="Y271">
        <f t="shared" si="51"/>
        <v>35721.699999999997</v>
      </c>
      <c r="AA271">
        <v>15.421055493483999</v>
      </c>
    </row>
    <row r="272" spans="1:27" s="60" customFormat="1" x14ac:dyDescent="0.25">
      <c r="A272" s="106"/>
      <c r="B272" s="58"/>
      <c r="C272" s="59">
        <v>41786</v>
      </c>
      <c r="D272" s="60">
        <v>13.6</v>
      </c>
      <c r="E272" s="60">
        <v>10.8</v>
      </c>
      <c r="F272" s="60">
        <v>16.8</v>
      </c>
      <c r="G272" s="60">
        <f t="shared" si="59"/>
        <v>2574.4999999999995</v>
      </c>
      <c r="H272" s="60">
        <f t="shared" si="50"/>
        <v>290.90000000000003</v>
      </c>
      <c r="J272" s="60">
        <v>0.6</v>
      </c>
      <c r="K272" s="60">
        <f t="shared" si="55"/>
        <v>600.40000000000009</v>
      </c>
      <c r="L272" s="60">
        <v>3.3</v>
      </c>
      <c r="M272" s="60">
        <f t="shared" si="56"/>
        <v>403.50000000000017</v>
      </c>
      <c r="N272" s="62">
        <f t="shared" si="53"/>
        <v>-2.6999999999999997</v>
      </c>
      <c r="O272" s="63">
        <f t="shared" si="62"/>
        <v>53.400000000000048</v>
      </c>
      <c r="P272" s="14">
        <v>267</v>
      </c>
      <c r="Q272" s="41">
        <f t="shared" si="52"/>
        <v>0.84655172413793101</v>
      </c>
      <c r="R272" s="55">
        <f t="shared" si="60"/>
        <v>2.7936206896551723</v>
      </c>
      <c r="S272" s="16">
        <f t="shared" si="57"/>
        <v>-2.1936206896551722</v>
      </c>
      <c r="T272" s="20">
        <f t="shared" si="61"/>
        <v>34.188692917055064</v>
      </c>
      <c r="V272" s="60">
        <v>1854.7</v>
      </c>
      <c r="W272" s="60">
        <f t="shared" si="54"/>
        <v>136.375</v>
      </c>
      <c r="X272" s="60">
        <f t="shared" si="58"/>
        <v>233550.80000000005</v>
      </c>
      <c r="Y272">
        <f t="shared" si="51"/>
        <v>37576.399999999994</v>
      </c>
      <c r="AA272" s="60">
        <v>15.4531509383469</v>
      </c>
    </row>
    <row r="273" spans="1:27" s="81" customFormat="1" ht="15.75" thickBot="1" x14ac:dyDescent="0.3">
      <c r="A273" s="106"/>
      <c r="B273" s="79"/>
      <c r="C273" s="80">
        <v>41787</v>
      </c>
      <c r="D273" s="81">
        <v>13</v>
      </c>
      <c r="E273" s="81">
        <v>9.9</v>
      </c>
      <c r="F273" s="81">
        <v>16.7</v>
      </c>
      <c r="G273" s="81">
        <f t="shared" si="59"/>
        <v>2587.4999999999995</v>
      </c>
      <c r="H273" s="81">
        <f t="shared" si="50"/>
        <v>303.90000000000003</v>
      </c>
      <c r="J273" s="81">
        <v>0.6</v>
      </c>
      <c r="K273" s="81">
        <f t="shared" si="55"/>
        <v>601.00000000000011</v>
      </c>
      <c r="L273" s="81">
        <v>2.8</v>
      </c>
      <c r="M273" s="81">
        <f t="shared" si="56"/>
        <v>406.30000000000018</v>
      </c>
      <c r="N273" s="83">
        <f t="shared" si="53"/>
        <v>-2.1999999999999997</v>
      </c>
      <c r="O273" s="84">
        <f t="shared" si="62"/>
        <v>51.200000000000045</v>
      </c>
      <c r="P273" s="85">
        <v>268</v>
      </c>
      <c r="Q273" s="41">
        <f t="shared" si="52"/>
        <v>0.83275862068965512</v>
      </c>
      <c r="R273" s="86">
        <f t="shared" si="60"/>
        <v>2.3317241379310341</v>
      </c>
      <c r="S273" s="86">
        <f t="shared" si="57"/>
        <v>-1.731724137931034</v>
      </c>
      <c r="T273" s="87">
        <f t="shared" si="61"/>
        <v>32.456968779124033</v>
      </c>
      <c r="V273" s="81">
        <v>1747</v>
      </c>
      <c r="W273" s="81">
        <f t="shared" si="54"/>
        <v>134.38461538461539</v>
      </c>
      <c r="X273" s="81">
        <f t="shared" si="58"/>
        <v>235297.80000000005</v>
      </c>
      <c r="Y273" s="81">
        <f t="shared" si="51"/>
        <v>39323.399999999994</v>
      </c>
      <c r="AA273" s="81">
        <v>15.484268448360201</v>
      </c>
    </row>
    <row r="274" spans="1:27" s="60" customFormat="1" x14ac:dyDescent="0.25">
      <c r="A274" s="107">
        <v>1000</v>
      </c>
      <c r="B274" s="58"/>
      <c r="C274" s="59">
        <v>41788</v>
      </c>
      <c r="D274" s="60">
        <v>14</v>
      </c>
      <c r="E274" s="60">
        <v>9.6</v>
      </c>
      <c r="F274" s="60">
        <v>18.8</v>
      </c>
      <c r="G274" s="60">
        <f t="shared" si="59"/>
        <v>2601.4999999999995</v>
      </c>
      <c r="H274" s="60">
        <v>14</v>
      </c>
      <c r="J274" s="60">
        <v>0</v>
      </c>
      <c r="K274" s="60">
        <f t="shared" si="55"/>
        <v>601.00000000000011</v>
      </c>
      <c r="L274" s="60">
        <v>3.9</v>
      </c>
      <c r="M274" s="60">
        <f t="shared" si="56"/>
        <v>410.20000000000016</v>
      </c>
      <c r="N274" s="62">
        <f t="shared" si="53"/>
        <v>-3.9</v>
      </c>
      <c r="O274" s="63">
        <f t="shared" si="62"/>
        <v>47.300000000000047</v>
      </c>
      <c r="P274" s="72">
        <v>269</v>
      </c>
      <c r="Q274" s="41">
        <f t="shared" si="52"/>
        <v>0.81896551724137923</v>
      </c>
      <c r="R274" s="55">
        <f t="shared" si="60"/>
        <v>3.193965517241379</v>
      </c>
      <c r="S274" s="55">
        <f t="shared" si="57"/>
        <v>-3.193965517241379</v>
      </c>
      <c r="T274" s="74">
        <f t="shared" si="61"/>
        <v>29.263003261882652</v>
      </c>
      <c r="V274" s="60">
        <v>2367.4</v>
      </c>
      <c r="W274" s="60">
        <f t="shared" si="54"/>
        <v>169.1</v>
      </c>
      <c r="X274" s="60">
        <f t="shared" si="58"/>
        <v>237665.20000000004</v>
      </c>
      <c r="Y274" s="60">
        <f>V274</f>
        <v>2367.4</v>
      </c>
      <c r="AA274" s="60">
        <v>15.514384603396801</v>
      </c>
    </row>
    <row r="275" spans="1:27" x14ac:dyDescent="0.25">
      <c r="A275" s="107"/>
      <c r="B275" s="39"/>
      <c r="C275" s="13">
        <v>41789</v>
      </c>
      <c r="D275">
        <v>15.6</v>
      </c>
      <c r="E275">
        <v>10.3</v>
      </c>
      <c r="F275">
        <v>19.600000000000001</v>
      </c>
      <c r="G275">
        <f t="shared" si="59"/>
        <v>2617.0999999999995</v>
      </c>
      <c r="H275">
        <f>H274+D275</f>
        <v>29.6</v>
      </c>
      <c r="I275" s="65" t="s">
        <v>28</v>
      </c>
      <c r="J275">
        <v>1.1000000000000001</v>
      </c>
      <c r="K275">
        <f t="shared" si="55"/>
        <v>602.10000000000014</v>
      </c>
      <c r="L275">
        <v>1.8</v>
      </c>
      <c r="M275">
        <f t="shared" si="56"/>
        <v>412.00000000000017</v>
      </c>
      <c r="N275" s="9">
        <f t="shared" si="53"/>
        <v>-0.7</v>
      </c>
      <c r="O275" s="19">
        <f t="shared" si="62"/>
        <v>46.600000000000044</v>
      </c>
      <c r="P275" s="14">
        <v>270</v>
      </c>
      <c r="Q275" s="41">
        <f t="shared" si="52"/>
        <v>0.80517241379310334</v>
      </c>
      <c r="R275" s="16">
        <f t="shared" si="60"/>
        <v>1.4493103448275861</v>
      </c>
      <c r="S275" s="16">
        <f t="shared" si="57"/>
        <v>-0.34931034482758605</v>
      </c>
      <c r="T275" s="20">
        <f t="shared" si="61"/>
        <v>28.913692917055066</v>
      </c>
      <c r="U275" s="65" t="s">
        <v>29</v>
      </c>
      <c r="V275">
        <v>938.9</v>
      </c>
      <c r="W275">
        <f t="shared" si="54"/>
        <v>60.185897435897438</v>
      </c>
      <c r="X275">
        <f t="shared" si="58"/>
        <v>238604.10000000003</v>
      </c>
      <c r="Y275">
        <f>Y274+V275</f>
        <v>3306.3</v>
      </c>
      <c r="Z275" s="65" t="s">
        <v>30</v>
      </c>
      <c r="AA275">
        <v>15.5434762696083</v>
      </c>
    </row>
    <row r="276" spans="1:27" x14ac:dyDescent="0.25">
      <c r="A276" s="107"/>
      <c r="B276" s="39"/>
      <c r="C276" s="13">
        <v>41790</v>
      </c>
      <c r="D276">
        <v>16</v>
      </c>
      <c r="E276">
        <v>11.8</v>
      </c>
      <c r="F276">
        <v>20.2</v>
      </c>
      <c r="G276">
        <f t="shared" si="59"/>
        <v>2633.0999999999995</v>
      </c>
      <c r="H276">
        <f t="shared" ref="H276:H308" si="63">H275+D276</f>
        <v>45.6</v>
      </c>
      <c r="I276">
        <f>MIN(E274:E296)</f>
        <v>7.9</v>
      </c>
      <c r="J276">
        <v>0</v>
      </c>
      <c r="K276">
        <f t="shared" si="55"/>
        <v>602.10000000000014</v>
      </c>
      <c r="L276">
        <v>4.5</v>
      </c>
      <c r="M276">
        <f t="shared" si="56"/>
        <v>416.50000000000017</v>
      </c>
      <c r="N276" s="9">
        <f t="shared" si="53"/>
        <v>-4.5</v>
      </c>
      <c r="O276" s="19">
        <f t="shared" si="62"/>
        <v>42.100000000000044</v>
      </c>
      <c r="P276" s="14">
        <v>271</v>
      </c>
      <c r="Q276" s="41">
        <f t="shared" si="52"/>
        <v>0.79137931034482745</v>
      </c>
      <c r="R276" s="16">
        <f t="shared" si="60"/>
        <v>3.5612068965517234</v>
      </c>
      <c r="S276" s="16">
        <f t="shared" si="57"/>
        <v>-3.5612068965517234</v>
      </c>
      <c r="T276" s="20">
        <f t="shared" si="61"/>
        <v>25.352486020503342</v>
      </c>
      <c r="U276">
        <v>19</v>
      </c>
      <c r="V276">
        <v>2551.9</v>
      </c>
      <c r="W276">
        <f t="shared" si="54"/>
        <v>159.49375000000001</v>
      </c>
      <c r="X276">
        <f t="shared" si="58"/>
        <v>241156.00000000003</v>
      </c>
      <c r="Y276">
        <f t="shared" ref="Y276:Y308" si="64">Y275+V276</f>
        <v>5858.2000000000007</v>
      </c>
      <c r="Z276">
        <v>49636.800000000003</v>
      </c>
      <c r="AA276">
        <v>15.5715206572978</v>
      </c>
    </row>
    <row r="277" spans="1:27" x14ac:dyDescent="0.25">
      <c r="A277" s="107"/>
      <c r="B277" s="39"/>
      <c r="C277" s="13">
        <v>41791</v>
      </c>
      <c r="D277">
        <v>14.8</v>
      </c>
      <c r="E277">
        <v>10.6</v>
      </c>
      <c r="F277">
        <v>18.899999999999999</v>
      </c>
      <c r="G277">
        <f t="shared" si="59"/>
        <v>2647.8999999999996</v>
      </c>
      <c r="H277">
        <f t="shared" si="63"/>
        <v>60.400000000000006</v>
      </c>
      <c r="I277" s="65" t="s">
        <v>31</v>
      </c>
      <c r="J277">
        <v>0</v>
      </c>
      <c r="K277">
        <f t="shared" si="55"/>
        <v>602.10000000000014</v>
      </c>
      <c r="L277">
        <v>2.6</v>
      </c>
      <c r="M277">
        <f t="shared" si="56"/>
        <v>419.10000000000019</v>
      </c>
      <c r="N277" s="9">
        <f t="shared" si="53"/>
        <v>-2.6</v>
      </c>
      <c r="O277" s="19">
        <f t="shared" si="62"/>
        <v>39.500000000000043</v>
      </c>
      <c r="P277" s="14">
        <v>272</v>
      </c>
      <c r="Q277" s="41">
        <f t="shared" si="52"/>
        <v>0.77758620689655167</v>
      </c>
      <c r="R277" s="16">
        <f t="shared" si="60"/>
        <v>2.0217241379310344</v>
      </c>
      <c r="S277" s="16">
        <f t="shared" si="57"/>
        <v>-2.0217241379310344</v>
      </c>
      <c r="T277" s="20">
        <f t="shared" si="61"/>
        <v>23.330761882572308</v>
      </c>
      <c r="U277" s="65" t="s">
        <v>32</v>
      </c>
      <c r="V277">
        <v>1287.2</v>
      </c>
      <c r="W277">
        <f t="shared" si="54"/>
        <v>86.972972972972968</v>
      </c>
      <c r="X277">
        <f t="shared" si="58"/>
        <v>242443.20000000004</v>
      </c>
      <c r="Y277">
        <f t="shared" si="64"/>
        <v>7145.4000000000005</v>
      </c>
      <c r="Z277" s="65" t="s">
        <v>33</v>
      </c>
      <c r="AA277">
        <v>15.598495379924699</v>
      </c>
    </row>
    <row r="278" spans="1:27" x14ac:dyDescent="0.25">
      <c r="A278" s="107"/>
      <c r="B278" s="39"/>
      <c r="C278" s="13">
        <v>41792</v>
      </c>
      <c r="D278">
        <v>16.7</v>
      </c>
      <c r="E278">
        <v>12.7</v>
      </c>
      <c r="F278">
        <v>20.100000000000001</v>
      </c>
      <c r="G278">
        <f t="shared" si="59"/>
        <v>2664.5999999999995</v>
      </c>
      <c r="H278">
        <f t="shared" si="63"/>
        <v>77.100000000000009</v>
      </c>
      <c r="I278">
        <f>MAX(F274:F296)</f>
        <v>28.7</v>
      </c>
      <c r="J278">
        <v>0</v>
      </c>
      <c r="K278">
        <f t="shared" si="55"/>
        <v>602.10000000000014</v>
      </c>
      <c r="L278">
        <v>2.6</v>
      </c>
      <c r="M278">
        <f t="shared" si="56"/>
        <v>421.70000000000022</v>
      </c>
      <c r="N278" s="9">
        <f t="shared" si="53"/>
        <v>-2.6</v>
      </c>
      <c r="O278" s="19">
        <f t="shared" si="62"/>
        <v>36.900000000000041</v>
      </c>
      <c r="P278" s="14">
        <v>273</v>
      </c>
      <c r="Q278" s="41">
        <f t="shared" si="52"/>
        <v>0.76379310344827578</v>
      </c>
      <c r="R278" s="16">
        <f t="shared" si="60"/>
        <v>1.9858620689655171</v>
      </c>
      <c r="S278" s="16">
        <f t="shared" si="57"/>
        <v>-1.9858620689655171</v>
      </c>
      <c r="T278" s="20">
        <f t="shared" si="61"/>
        <v>21.344899813606791</v>
      </c>
      <c r="U278">
        <v>6</v>
      </c>
      <c r="V278">
        <v>1316.7</v>
      </c>
      <c r="W278">
        <f t="shared" si="54"/>
        <v>78.844311377245518</v>
      </c>
      <c r="X278">
        <f t="shared" si="58"/>
        <v>243759.90000000005</v>
      </c>
      <c r="Y278">
        <f t="shared" si="64"/>
        <v>8462.1</v>
      </c>
      <c r="Z278" s="22">
        <f>(Z276/100)/I288</f>
        <v>1.196932722449964</v>
      </c>
      <c r="AA278">
        <v>15.624378513990999</v>
      </c>
    </row>
    <row r="279" spans="1:27" x14ac:dyDescent="0.25">
      <c r="A279" s="107"/>
      <c r="B279" s="39"/>
      <c r="C279" s="13">
        <v>41793</v>
      </c>
      <c r="D279">
        <v>15</v>
      </c>
      <c r="E279">
        <v>12.1</v>
      </c>
      <c r="F279">
        <v>18.600000000000001</v>
      </c>
      <c r="G279">
        <f t="shared" si="59"/>
        <v>2679.5999999999995</v>
      </c>
      <c r="H279">
        <f t="shared" si="63"/>
        <v>92.100000000000009</v>
      </c>
      <c r="I279" s="65" t="s">
        <v>34</v>
      </c>
      <c r="J279">
        <v>5.2</v>
      </c>
      <c r="K279">
        <f t="shared" si="55"/>
        <v>607.30000000000018</v>
      </c>
      <c r="L279">
        <v>3.6</v>
      </c>
      <c r="M279">
        <f t="shared" si="56"/>
        <v>425.30000000000024</v>
      </c>
      <c r="N279">
        <f t="shared" si="53"/>
        <v>1.6</v>
      </c>
      <c r="O279" s="19">
        <f t="shared" si="62"/>
        <v>38.500000000000043</v>
      </c>
      <c r="P279" s="14">
        <v>274</v>
      </c>
      <c r="Q279" s="41">
        <f t="shared" si="52"/>
        <v>0.75</v>
      </c>
      <c r="R279" s="16">
        <f t="shared" si="60"/>
        <v>2.7</v>
      </c>
      <c r="S279" s="16">
        <f t="shared" si="57"/>
        <v>2.5</v>
      </c>
      <c r="T279" s="20">
        <f t="shared" si="61"/>
        <v>23.844899813606791</v>
      </c>
      <c r="U279" s="65" t="s">
        <v>35</v>
      </c>
      <c r="V279">
        <v>2119.3000000000002</v>
      </c>
      <c r="W279">
        <f t="shared" si="54"/>
        <v>141.28666666666669</v>
      </c>
      <c r="X279">
        <f t="shared" si="58"/>
        <v>245879.20000000004</v>
      </c>
      <c r="Y279">
        <f t="shared" si="64"/>
        <v>10581.400000000001</v>
      </c>
      <c r="Z279" s="65" t="s">
        <v>36</v>
      </c>
      <c r="AA279">
        <v>15.649148659533401</v>
      </c>
    </row>
    <row r="280" spans="1:27" x14ac:dyDescent="0.25">
      <c r="A280" s="107"/>
      <c r="B280" s="39"/>
      <c r="C280" s="13">
        <v>41794</v>
      </c>
      <c r="D280">
        <v>13.4</v>
      </c>
      <c r="E280">
        <v>12.7</v>
      </c>
      <c r="F280">
        <v>15.4</v>
      </c>
      <c r="G280">
        <f t="shared" si="59"/>
        <v>2692.9999999999995</v>
      </c>
      <c r="H280">
        <f t="shared" si="63"/>
        <v>105.50000000000001</v>
      </c>
      <c r="I280" s="23">
        <f>AVERAGE(D274:D296)</f>
        <v>18.030434782608697</v>
      </c>
      <c r="J280">
        <v>1.7</v>
      </c>
      <c r="K280">
        <f t="shared" si="55"/>
        <v>609.00000000000023</v>
      </c>
      <c r="L280">
        <v>2.5</v>
      </c>
      <c r="M280">
        <f t="shared" si="56"/>
        <v>427.80000000000024</v>
      </c>
      <c r="N280" s="9">
        <f t="shared" si="53"/>
        <v>-0.8</v>
      </c>
      <c r="O280" s="19">
        <f t="shared" si="62"/>
        <v>37.700000000000045</v>
      </c>
      <c r="P280" s="14">
        <v>275</v>
      </c>
      <c r="Q280" s="41">
        <f t="shared" si="52"/>
        <v>0.73620689655172411</v>
      </c>
      <c r="R280" s="16">
        <f t="shared" si="60"/>
        <v>1.8405172413793103</v>
      </c>
      <c r="S280" s="16">
        <f t="shared" si="57"/>
        <v>-0.14051724137931032</v>
      </c>
      <c r="T280" s="20">
        <f t="shared" si="61"/>
        <v>23.70438257222748</v>
      </c>
      <c r="U280">
        <v>17</v>
      </c>
      <c r="V280">
        <v>1439.6</v>
      </c>
      <c r="W280">
        <f t="shared" si="54"/>
        <v>107.43283582089552</v>
      </c>
      <c r="X280">
        <f t="shared" si="58"/>
        <v>247318.80000000005</v>
      </c>
      <c r="Y280">
        <f t="shared" si="64"/>
        <v>12021.000000000002</v>
      </c>
      <c r="Z280">
        <v>0</v>
      </c>
      <c r="AA280">
        <v>15.672785000931301</v>
      </c>
    </row>
    <row r="281" spans="1:27" x14ac:dyDescent="0.25">
      <c r="A281" s="107"/>
      <c r="B281" s="39"/>
      <c r="C281" s="13">
        <v>41795</v>
      </c>
      <c r="D281">
        <v>14.1</v>
      </c>
      <c r="E281">
        <v>7.9</v>
      </c>
      <c r="F281">
        <v>19.3</v>
      </c>
      <c r="G281">
        <f t="shared" si="59"/>
        <v>2707.0999999999995</v>
      </c>
      <c r="H281">
        <f t="shared" si="63"/>
        <v>119.60000000000001</v>
      </c>
      <c r="I281" s="65" t="s">
        <v>37</v>
      </c>
      <c r="J281">
        <v>0</v>
      </c>
      <c r="K281">
        <f t="shared" si="55"/>
        <v>609.00000000000023</v>
      </c>
      <c r="L281">
        <v>3.7</v>
      </c>
      <c r="M281">
        <f t="shared" si="56"/>
        <v>431.50000000000023</v>
      </c>
      <c r="N281" s="9">
        <f t="shared" si="53"/>
        <v>-3.7</v>
      </c>
      <c r="O281" s="19">
        <f t="shared" si="62"/>
        <v>34.000000000000043</v>
      </c>
      <c r="P281" s="14">
        <v>276</v>
      </c>
      <c r="Q281" s="41">
        <f t="shared" si="52"/>
        <v>0.72241379310344822</v>
      </c>
      <c r="R281" s="16">
        <f t="shared" si="60"/>
        <v>2.6729310344827586</v>
      </c>
      <c r="S281" s="16">
        <f t="shared" si="57"/>
        <v>-2.6729310344827586</v>
      </c>
      <c r="T281" s="20">
        <f t="shared" si="61"/>
        <v>21.031451537744722</v>
      </c>
      <c r="U281" s="65" t="s">
        <v>38</v>
      </c>
      <c r="V281">
        <v>2435</v>
      </c>
      <c r="W281">
        <f t="shared" si="54"/>
        <v>172.69503546099293</v>
      </c>
      <c r="X281">
        <f t="shared" si="58"/>
        <v>249753.80000000005</v>
      </c>
      <c r="Y281">
        <f t="shared" si="64"/>
        <v>14456.000000000002</v>
      </c>
      <c r="AA281">
        <v>15.69526736772</v>
      </c>
    </row>
    <row r="282" spans="1:27" x14ac:dyDescent="0.25">
      <c r="A282" s="107"/>
      <c r="B282" s="39"/>
      <c r="C282" s="13">
        <v>41796</v>
      </c>
      <c r="D282">
        <v>20.9</v>
      </c>
      <c r="E282">
        <v>10.9</v>
      </c>
      <c r="F282" s="11">
        <v>27.5</v>
      </c>
      <c r="G282">
        <f t="shared" si="59"/>
        <v>2727.9999999999995</v>
      </c>
      <c r="H282">
        <f t="shared" si="63"/>
        <v>140.5</v>
      </c>
      <c r="I282">
        <v>0</v>
      </c>
      <c r="J282">
        <v>0</v>
      </c>
      <c r="K282">
        <f t="shared" si="55"/>
        <v>609.00000000000023</v>
      </c>
      <c r="L282">
        <v>5.2</v>
      </c>
      <c r="M282">
        <f t="shared" si="56"/>
        <v>436.70000000000022</v>
      </c>
      <c r="N282" s="9">
        <f t="shared" si="53"/>
        <v>-5.2</v>
      </c>
      <c r="O282" s="19">
        <f t="shared" si="62"/>
        <v>28.800000000000043</v>
      </c>
      <c r="P282" s="14">
        <v>277</v>
      </c>
      <c r="Q282" s="41">
        <f t="shared" si="52"/>
        <v>0.70862068965517233</v>
      </c>
      <c r="R282" s="16">
        <f t="shared" si="60"/>
        <v>3.6848275862068962</v>
      </c>
      <c r="S282" s="16">
        <f t="shared" si="57"/>
        <v>-3.6848275862068962</v>
      </c>
      <c r="T282" s="20">
        <f t="shared" si="61"/>
        <v>17.346623951537826</v>
      </c>
      <c r="U282" s="23">
        <v>0</v>
      </c>
      <c r="V282">
        <v>2802</v>
      </c>
      <c r="W282">
        <f t="shared" si="54"/>
        <v>134.06698564593302</v>
      </c>
      <c r="X282">
        <f t="shared" si="58"/>
        <v>252555.80000000005</v>
      </c>
      <c r="Y282">
        <f t="shared" si="64"/>
        <v>17258</v>
      </c>
      <c r="AA282">
        <v>15.716576295085</v>
      </c>
    </row>
    <row r="283" spans="1:27" x14ac:dyDescent="0.25">
      <c r="A283" s="107"/>
      <c r="B283" s="39"/>
      <c r="C283" s="13">
        <v>41797</v>
      </c>
      <c r="D283">
        <v>22.6</v>
      </c>
      <c r="E283">
        <v>18.7</v>
      </c>
      <c r="F283" s="11">
        <v>26.7</v>
      </c>
      <c r="G283">
        <f t="shared" si="59"/>
        <v>2750.5999999999995</v>
      </c>
      <c r="H283">
        <f t="shared" si="63"/>
        <v>163.1</v>
      </c>
      <c r="I283" s="65" t="s">
        <v>39</v>
      </c>
      <c r="J283">
        <v>6.4</v>
      </c>
      <c r="K283">
        <f t="shared" si="55"/>
        <v>615.4000000000002</v>
      </c>
      <c r="L283">
        <v>3.4</v>
      </c>
      <c r="M283">
        <f t="shared" si="56"/>
        <v>440.10000000000019</v>
      </c>
      <c r="N283">
        <f t="shared" si="53"/>
        <v>3.0000000000000004</v>
      </c>
      <c r="O283" s="19">
        <f t="shared" si="62"/>
        <v>31.800000000000043</v>
      </c>
      <c r="P283" s="14">
        <v>278</v>
      </c>
      <c r="Q283" s="41">
        <f t="shared" si="52"/>
        <v>0.69482758620689644</v>
      </c>
      <c r="R283" s="16">
        <f t="shared" si="60"/>
        <v>2.3624137931034479</v>
      </c>
      <c r="S283" s="16">
        <f t="shared" si="57"/>
        <v>4.0375862068965525</v>
      </c>
      <c r="T283" s="20">
        <f t="shared" si="61"/>
        <v>21.384210158434378</v>
      </c>
      <c r="U283" s="65" t="s">
        <v>40</v>
      </c>
      <c r="V283">
        <v>1476.2</v>
      </c>
      <c r="W283">
        <f t="shared" si="54"/>
        <v>65.318584070796462</v>
      </c>
      <c r="X283">
        <f t="shared" si="58"/>
        <v>254032.00000000006</v>
      </c>
      <c r="Y283">
        <f t="shared" si="64"/>
        <v>18734.2</v>
      </c>
      <c r="AA283">
        <v>15.7366930837008</v>
      </c>
    </row>
    <row r="284" spans="1:27" x14ac:dyDescent="0.25">
      <c r="A284" s="107"/>
      <c r="B284" s="39"/>
      <c r="C284" s="13">
        <v>41798</v>
      </c>
      <c r="D284">
        <v>23.4</v>
      </c>
      <c r="E284">
        <v>18.2</v>
      </c>
      <c r="F284" s="11">
        <v>28.7</v>
      </c>
      <c r="G284">
        <f t="shared" si="59"/>
        <v>2773.9999999999995</v>
      </c>
      <c r="H284">
        <f t="shared" si="63"/>
        <v>186.5</v>
      </c>
      <c r="I284">
        <v>7</v>
      </c>
      <c r="J284">
        <v>0</v>
      </c>
      <c r="K284">
        <f t="shared" si="55"/>
        <v>615.4000000000002</v>
      </c>
      <c r="L284">
        <v>4</v>
      </c>
      <c r="M284">
        <f t="shared" si="56"/>
        <v>444.10000000000019</v>
      </c>
      <c r="N284" s="9">
        <f t="shared" si="53"/>
        <v>-4</v>
      </c>
      <c r="O284" s="19">
        <f t="shared" si="62"/>
        <v>27.800000000000043</v>
      </c>
      <c r="P284" s="14">
        <v>279</v>
      </c>
      <c r="Q284" s="41">
        <f t="shared" si="52"/>
        <v>0.68103448275862066</v>
      </c>
      <c r="R284" s="16">
        <f t="shared" si="60"/>
        <v>2.7241379310344827</v>
      </c>
      <c r="S284" s="16">
        <f t="shared" si="57"/>
        <v>-2.7241379310344827</v>
      </c>
      <c r="T284" s="20">
        <f t="shared" si="61"/>
        <v>18.660072227399894</v>
      </c>
      <c r="U284" s="23">
        <f>MAX(T274:T296)</f>
        <v>29.263003261882652</v>
      </c>
      <c r="V284">
        <v>1746.8</v>
      </c>
      <c r="W284">
        <f t="shared" si="54"/>
        <v>74.649572649572647</v>
      </c>
      <c r="X284">
        <f t="shared" si="58"/>
        <v>255778.80000000005</v>
      </c>
      <c r="Y284">
        <f t="shared" si="64"/>
        <v>20481</v>
      </c>
      <c r="AA284">
        <v>15.7555998585662</v>
      </c>
    </row>
    <row r="285" spans="1:27" x14ac:dyDescent="0.25">
      <c r="A285" s="107"/>
      <c r="B285" s="39"/>
      <c r="C285" s="13">
        <v>41799</v>
      </c>
      <c r="D285">
        <v>23.6</v>
      </c>
      <c r="E285">
        <v>19.8</v>
      </c>
      <c r="F285" s="11">
        <v>27.5</v>
      </c>
      <c r="G285">
        <f t="shared" si="59"/>
        <v>2797.5999999999995</v>
      </c>
      <c r="H285">
        <f t="shared" si="63"/>
        <v>210.1</v>
      </c>
      <c r="I285" s="65" t="s">
        <v>41</v>
      </c>
      <c r="J285">
        <v>2.6</v>
      </c>
      <c r="K285">
        <f t="shared" si="55"/>
        <v>618.00000000000023</v>
      </c>
      <c r="L285">
        <v>3.3</v>
      </c>
      <c r="M285">
        <f t="shared" si="56"/>
        <v>447.4000000000002</v>
      </c>
      <c r="N285" s="9">
        <f t="shared" si="53"/>
        <v>-0.69999999999999973</v>
      </c>
      <c r="O285" s="19">
        <f t="shared" si="62"/>
        <v>27.100000000000044</v>
      </c>
      <c r="P285" s="14">
        <v>280</v>
      </c>
      <c r="Q285" s="41">
        <f t="shared" si="52"/>
        <v>0.66724137931034477</v>
      </c>
      <c r="R285" s="16">
        <f t="shared" si="60"/>
        <v>2.2018965517241376</v>
      </c>
      <c r="S285" s="16">
        <f t="shared" si="57"/>
        <v>0.39810344827586253</v>
      </c>
      <c r="T285" s="20">
        <f t="shared" si="61"/>
        <v>19.058175675675756</v>
      </c>
      <c r="U285" s="65" t="s">
        <v>42</v>
      </c>
      <c r="V285">
        <v>1714.2</v>
      </c>
      <c r="W285">
        <f t="shared" si="54"/>
        <v>72.635593220338976</v>
      </c>
      <c r="X285">
        <f t="shared" si="58"/>
        <v>257493.00000000006</v>
      </c>
      <c r="Y285">
        <f t="shared" si="64"/>
        <v>22195.200000000001</v>
      </c>
      <c r="AA285">
        <v>15.7732796264812</v>
      </c>
    </row>
    <row r="286" spans="1:27" x14ac:dyDescent="0.25">
      <c r="A286" s="107"/>
      <c r="B286" s="39"/>
      <c r="C286" s="13">
        <v>41800</v>
      </c>
      <c r="D286">
        <v>18.8</v>
      </c>
      <c r="E286">
        <v>17.7</v>
      </c>
      <c r="F286">
        <v>21.5</v>
      </c>
      <c r="G286">
        <f t="shared" si="59"/>
        <v>2816.3999999999996</v>
      </c>
      <c r="H286">
        <f t="shared" si="63"/>
        <v>228.9</v>
      </c>
      <c r="I286">
        <v>0</v>
      </c>
      <c r="J286">
        <v>0.2</v>
      </c>
      <c r="K286">
        <f t="shared" si="55"/>
        <v>618.20000000000027</v>
      </c>
      <c r="L286">
        <v>4.0999999999999996</v>
      </c>
      <c r="M286">
        <f t="shared" si="56"/>
        <v>451.50000000000023</v>
      </c>
      <c r="N286" s="9">
        <f t="shared" si="53"/>
        <v>-3.8999999999999995</v>
      </c>
      <c r="O286" s="19">
        <f t="shared" si="62"/>
        <v>23.200000000000045</v>
      </c>
      <c r="P286" s="14">
        <v>281</v>
      </c>
      <c r="Q286" s="41">
        <f t="shared" si="52"/>
        <v>0.65344827586206888</v>
      </c>
      <c r="R286" s="16">
        <f t="shared" si="60"/>
        <v>2.6791379310344823</v>
      </c>
      <c r="S286" s="16">
        <f t="shared" si="57"/>
        <v>-2.4791379310344821</v>
      </c>
      <c r="T286" s="20">
        <f t="shared" si="61"/>
        <v>16.579037744641273</v>
      </c>
      <c r="U286" s="22">
        <f>AVERAGE(T274:T296)</f>
        <v>14.063306758782828</v>
      </c>
      <c r="V286">
        <v>2009.8</v>
      </c>
      <c r="W286">
        <f t="shared" si="54"/>
        <v>106.90425531914893</v>
      </c>
      <c r="X286">
        <f t="shared" si="58"/>
        <v>259502.80000000005</v>
      </c>
      <c r="Y286">
        <f t="shared" si="64"/>
        <v>24205</v>
      </c>
      <c r="AA286">
        <v>15.789716331809601</v>
      </c>
    </row>
    <row r="287" spans="1:27" x14ac:dyDescent="0.25">
      <c r="A287" s="107"/>
      <c r="B287" s="39"/>
      <c r="C287" s="13">
        <v>41801</v>
      </c>
      <c r="D287">
        <v>20.9</v>
      </c>
      <c r="E287">
        <v>14.9</v>
      </c>
      <c r="F287" s="11">
        <v>25</v>
      </c>
      <c r="G287">
        <f t="shared" si="59"/>
        <v>2837.2999999999997</v>
      </c>
      <c r="H287">
        <f t="shared" si="63"/>
        <v>249.8</v>
      </c>
      <c r="I287" s="65" t="s">
        <v>43</v>
      </c>
      <c r="J287">
        <v>0</v>
      </c>
      <c r="K287">
        <f t="shared" si="55"/>
        <v>618.20000000000027</v>
      </c>
      <c r="L287">
        <v>4</v>
      </c>
      <c r="M287">
        <f t="shared" si="56"/>
        <v>455.50000000000023</v>
      </c>
      <c r="N287" s="9">
        <f t="shared" si="53"/>
        <v>-4</v>
      </c>
      <c r="O287" s="19">
        <f t="shared" si="62"/>
        <v>19.200000000000045</v>
      </c>
      <c r="P287" s="14">
        <v>282</v>
      </c>
      <c r="Q287" s="41">
        <f t="shared" si="52"/>
        <v>0.63965517241379299</v>
      </c>
      <c r="R287" s="16">
        <f t="shared" si="60"/>
        <v>2.558620689655172</v>
      </c>
      <c r="S287" s="16">
        <f t="shared" si="57"/>
        <v>-2.558620689655172</v>
      </c>
      <c r="T287" s="20">
        <f t="shared" si="61"/>
        <v>14.020417054986101</v>
      </c>
      <c r="V287">
        <v>1955.2</v>
      </c>
      <c r="W287">
        <f t="shared" si="54"/>
        <v>93.550239234449776</v>
      </c>
      <c r="X287">
        <f t="shared" si="58"/>
        <v>261458.00000000006</v>
      </c>
      <c r="Y287">
        <f t="shared" si="64"/>
        <v>26160.2</v>
      </c>
      <c r="AA287">
        <v>15.804894910165</v>
      </c>
    </row>
    <row r="288" spans="1:27" x14ac:dyDescent="0.25">
      <c r="A288" s="107"/>
      <c r="B288" s="39"/>
      <c r="C288" s="13">
        <v>41802</v>
      </c>
      <c r="D288">
        <v>21.6</v>
      </c>
      <c r="E288">
        <v>16.899999999999999</v>
      </c>
      <c r="F288" s="11">
        <v>26.3</v>
      </c>
      <c r="G288">
        <f t="shared" si="59"/>
        <v>2858.8999999999996</v>
      </c>
      <c r="H288">
        <f t="shared" si="63"/>
        <v>271.40000000000003</v>
      </c>
      <c r="I288">
        <v>414.7</v>
      </c>
      <c r="J288">
        <v>0</v>
      </c>
      <c r="K288">
        <f t="shared" si="55"/>
        <v>618.20000000000027</v>
      </c>
      <c r="L288">
        <v>5.7</v>
      </c>
      <c r="M288">
        <f t="shared" si="56"/>
        <v>461.20000000000022</v>
      </c>
      <c r="N288" s="9">
        <f t="shared" si="53"/>
        <v>-5.7</v>
      </c>
      <c r="O288" s="19">
        <f t="shared" si="62"/>
        <v>13.500000000000046</v>
      </c>
      <c r="P288" s="14">
        <v>283</v>
      </c>
      <c r="Q288" s="41">
        <f t="shared" si="52"/>
        <v>0.62586206896551722</v>
      </c>
      <c r="R288" s="16">
        <f t="shared" si="60"/>
        <v>3.5674137931034484</v>
      </c>
      <c r="S288" s="16">
        <f t="shared" si="57"/>
        <v>-3.5674137931034484</v>
      </c>
      <c r="T288" s="20">
        <f t="shared" si="61"/>
        <v>10.453003261882653</v>
      </c>
      <c r="U288" s="66">
        <f>(U286*100)/122.1</f>
        <v>11.51785975330289</v>
      </c>
      <c r="V288">
        <v>2701.8</v>
      </c>
      <c r="W288">
        <f t="shared" si="54"/>
        <v>125.08333333333333</v>
      </c>
      <c r="X288">
        <f t="shared" si="58"/>
        <v>264159.80000000005</v>
      </c>
      <c r="Y288">
        <f t="shared" si="64"/>
        <v>28862</v>
      </c>
      <c r="AA288">
        <v>15.8188013396678</v>
      </c>
    </row>
    <row r="289" spans="1:27" x14ac:dyDescent="0.25">
      <c r="A289" s="107"/>
      <c r="B289" s="39"/>
      <c r="C289" s="13">
        <v>41803</v>
      </c>
      <c r="D289">
        <v>20.8</v>
      </c>
      <c r="E289">
        <v>16.399999999999999</v>
      </c>
      <c r="F289" s="11">
        <v>25.8</v>
      </c>
      <c r="G289">
        <f t="shared" si="59"/>
        <v>2879.7</v>
      </c>
      <c r="H289">
        <f t="shared" si="63"/>
        <v>292.20000000000005</v>
      </c>
      <c r="J289">
        <v>0</v>
      </c>
      <c r="K289">
        <f t="shared" si="55"/>
        <v>618.20000000000027</v>
      </c>
      <c r="L289">
        <v>6.9</v>
      </c>
      <c r="M289">
        <f t="shared" si="56"/>
        <v>468.10000000000019</v>
      </c>
      <c r="N289" s="9">
        <f t="shared" si="53"/>
        <v>-6.9</v>
      </c>
      <c r="O289" s="19">
        <f t="shared" si="62"/>
        <v>6.6000000000000458</v>
      </c>
      <c r="P289" s="14">
        <v>284</v>
      </c>
      <c r="Q289" s="41">
        <f t="shared" si="52"/>
        <v>0.61206896551724133</v>
      </c>
      <c r="R289" s="16">
        <f t="shared" si="60"/>
        <v>4.2232758620689657</v>
      </c>
      <c r="S289" s="16">
        <f t="shared" si="57"/>
        <v>-4.2232758620689657</v>
      </c>
      <c r="T289" s="20">
        <f t="shared" si="61"/>
        <v>6.2297273998136875</v>
      </c>
      <c r="V289">
        <v>3312.9</v>
      </c>
      <c r="W289">
        <f t="shared" si="54"/>
        <v>159.27403846153845</v>
      </c>
      <c r="X289">
        <f t="shared" si="58"/>
        <v>267472.70000000007</v>
      </c>
      <c r="Y289">
        <f t="shared" si="64"/>
        <v>32174.9</v>
      </c>
      <c r="AA289">
        <v>15.831422689423899</v>
      </c>
    </row>
    <row r="290" spans="1:27" x14ac:dyDescent="0.25">
      <c r="A290" s="107"/>
      <c r="B290" s="39"/>
      <c r="C290" s="13">
        <v>41804</v>
      </c>
      <c r="D290">
        <v>18.399999999999999</v>
      </c>
      <c r="E290">
        <v>15</v>
      </c>
      <c r="F290">
        <v>23.3</v>
      </c>
      <c r="G290">
        <f t="shared" si="59"/>
        <v>2898.1</v>
      </c>
      <c r="H290">
        <f t="shared" si="63"/>
        <v>310.60000000000002</v>
      </c>
      <c r="J290">
        <v>0</v>
      </c>
      <c r="K290">
        <f t="shared" si="55"/>
        <v>618.20000000000027</v>
      </c>
      <c r="L290">
        <v>5.5</v>
      </c>
      <c r="M290">
        <f t="shared" si="56"/>
        <v>473.60000000000019</v>
      </c>
      <c r="N290" s="9">
        <f t="shared" si="53"/>
        <v>-5.5</v>
      </c>
      <c r="O290" s="19">
        <f t="shared" si="62"/>
        <v>1.1000000000000458</v>
      </c>
      <c r="P290" s="14">
        <v>285</v>
      </c>
      <c r="Q290" s="41">
        <f t="shared" si="52"/>
        <v>0.59827586206896544</v>
      </c>
      <c r="R290" s="16">
        <f t="shared" si="60"/>
        <v>3.2905172413793098</v>
      </c>
      <c r="S290" s="16">
        <f t="shared" si="57"/>
        <v>-3.2905172413793098</v>
      </c>
      <c r="T290" s="20">
        <f t="shared" si="61"/>
        <v>2.9392101584343777</v>
      </c>
      <c r="V290">
        <v>2518.6</v>
      </c>
      <c r="W290">
        <f t="shared" si="54"/>
        <v>136.88043478260869</v>
      </c>
      <c r="X290">
        <f t="shared" si="58"/>
        <v>269991.30000000005</v>
      </c>
      <c r="Y290">
        <f t="shared" si="64"/>
        <v>34693.5</v>
      </c>
      <c r="AA290">
        <v>15.8427471648869</v>
      </c>
    </row>
    <row r="291" spans="1:27" x14ac:dyDescent="0.25">
      <c r="A291" s="107"/>
      <c r="B291" s="39"/>
      <c r="C291" s="13">
        <v>41805</v>
      </c>
      <c r="D291">
        <v>16.7</v>
      </c>
      <c r="E291">
        <v>13.1</v>
      </c>
      <c r="F291">
        <v>20.6</v>
      </c>
      <c r="G291">
        <f t="shared" si="59"/>
        <v>2914.7999999999997</v>
      </c>
      <c r="H291">
        <f t="shared" si="63"/>
        <v>327.3</v>
      </c>
      <c r="J291">
        <v>0</v>
      </c>
      <c r="K291">
        <f t="shared" si="55"/>
        <v>618.20000000000027</v>
      </c>
      <c r="L291">
        <v>5.5</v>
      </c>
      <c r="M291">
        <f t="shared" si="56"/>
        <v>479.10000000000019</v>
      </c>
      <c r="N291" s="9">
        <f t="shared" si="53"/>
        <v>-5.5</v>
      </c>
      <c r="O291" s="19">
        <v>0</v>
      </c>
      <c r="P291" s="14">
        <v>286</v>
      </c>
      <c r="Q291" s="41">
        <f t="shared" si="52"/>
        <v>0.58448275862068966</v>
      </c>
      <c r="R291" s="16">
        <f t="shared" si="60"/>
        <v>3.2146551724137931</v>
      </c>
      <c r="S291" s="16">
        <f t="shared" si="57"/>
        <v>-3.2146551724137931</v>
      </c>
      <c r="T291" s="20">
        <v>0</v>
      </c>
      <c r="V291">
        <v>2759.8</v>
      </c>
      <c r="W291">
        <f t="shared" si="54"/>
        <v>165.25748502994014</v>
      </c>
      <c r="X291">
        <f t="shared" si="58"/>
        <v>272751.10000000003</v>
      </c>
      <c r="Y291">
        <f t="shared" si="64"/>
        <v>37453.300000000003</v>
      </c>
      <c r="AA291">
        <v>15.8527641497821</v>
      </c>
    </row>
    <row r="292" spans="1:27" x14ac:dyDescent="0.25">
      <c r="A292" s="107"/>
      <c r="B292" s="39"/>
      <c r="C292" s="13">
        <v>41806</v>
      </c>
      <c r="D292">
        <v>17.100000000000001</v>
      </c>
      <c r="E292">
        <v>12.9</v>
      </c>
      <c r="F292">
        <v>22.5</v>
      </c>
      <c r="G292">
        <f t="shared" si="59"/>
        <v>2931.8999999999996</v>
      </c>
      <c r="H292">
        <f t="shared" si="63"/>
        <v>344.40000000000003</v>
      </c>
      <c r="J292">
        <v>0</v>
      </c>
      <c r="K292">
        <f t="shared" si="55"/>
        <v>618.20000000000027</v>
      </c>
      <c r="L292">
        <v>6</v>
      </c>
      <c r="M292">
        <f t="shared" si="56"/>
        <v>485.10000000000019</v>
      </c>
      <c r="N292" s="9">
        <f t="shared" si="53"/>
        <v>-6</v>
      </c>
      <c r="O292" s="19">
        <v>0</v>
      </c>
      <c r="P292" s="14">
        <v>287</v>
      </c>
      <c r="Q292" s="41">
        <f t="shared" si="52"/>
        <v>0.57068965517241377</v>
      </c>
      <c r="R292" s="16">
        <f t="shared" si="60"/>
        <v>3.4241379310344824</v>
      </c>
      <c r="S292" s="16">
        <f t="shared" si="57"/>
        <v>-3.4241379310344824</v>
      </c>
      <c r="T292" s="20">
        <v>0</v>
      </c>
      <c r="V292">
        <v>2766.8</v>
      </c>
      <c r="W292">
        <f t="shared" si="54"/>
        <v>161.80116959064327</v>
      </c>
      <c r="X292">
        <f t="shared" si="58"/>
        <v>275517.90000000002</v>
      </c>
      <c r="Y292">
        <f t="shared" si="64"/>
        <v>40220.100000000006</v>
      </c>
      <c r="AA292">
        <v>15.8614642442883</v>
      </c>
    </row>
    <row r="293" spans="1:27" x14ac:dyDescent="0.25">
      <c r="A293" s="107"/>
      <c r="B293" s="39"/>
      <c r="C293" s="13">
        <v>41807</v>
      </c>
      <c r="D293">
        <v>15.9</v>
      </c>
      <c r="E293">
        <v>12.2</v>
      </c>
      <c r="F293">
        <v>19</v>
      </c>
      <c r="G293">
        <f t="shared" si="59"/>
        <v>2947.7999999999997</v>
      </c>
      <c r="H293">
        <f t="shared" si="63"/>
        <v>360.3</v>
      </c>
      <c r="J293">
        <v>0</v>
      </c>
      <c r="K293">
        <f t="shared" si="55"/>
        <v>618.20000000000027</v>
      </c>
      <c r="L293">
        <v>3.4</v>
      </c>
      <c r="M293">
        <f t="shared" si="56"/>
        <v>488.50000000000017</v>
      </c>
      <c r="N293" s="9">
        <f t="shared" si="53"/>
        <v>-3.4</v>
      </c>
      <c r="O293" s="19">
        <v>0</v>
      </c>
      <c r="P293" s="14">
        <v>288</v>
      </c>
      <c r="Q293" s="41">
        <f t="shared" si="52"/>
        <v>0.55689655172413788</v>
      </c>
      <c r="R293" s="16">
        <f t="shared" si="60"/>
        <v>1.8934482758620688</v>
      </c>
      <c r="S293" s="16">
        <f t="shared" si="57"/>
        <v>-1.8934482758620688</v>
      </c>
      <c r="T293" s="20">
        <v>0</v>
      </c>
      <c r="V293">
        <v>1542.7</v>
      </c>
      <c r="W293">
        <f t="shared" si="54"/>
        <v>97.025157232704402</v>
      </c>
      <c r="X293">
        <f t="shared" si="58"/>
        <v>277060.60000000003</v>
      </c>
      <c r="Y293">
        <f t="shared" si="64"/>
        <v>41762.800000000003</v>
      </c>
      <c r="AA293">
        <v>15.868839299195001</v>
      </c>
    </row>
    <row r="294" spans="1:27" x14ac:dyDescent="0.25">
      <c r="A294" s="107"/>
      <c r="B294" s="39"/>
      <c r="C294" s="13">
        <v>41808</v>
      </c>
      <c r="D294">
        <v>17.600000000000001</v>
      </c>
      <c r="E294">
        <v>12.6</v>
      </c>
      <c r="F294">
        <v>22.4</v>
      </c>
      <c r="G294">
        <f t="shared" si="59"/>
        <v>2965.3999999999996</v>
      </c>
      <c r="H294">
        <f t="shared" si="63"/>
        <v>377.90000000000003</v>
      </c>
      <c r="J294">
        <v>0</v>
      </c>
      <c r="K294">
        <f t="shared" si="55"/>
        <v>618.20000000000027</v>
      </c>
      <c r="L294">
        <v>5</v>
      </c>
      <c r="M294">
        <f t="shared" si="56"/>
        <v>493.50000000000017</v>
      </c>
      <c r="N294" s="9">
        <f t="shared" si="53"/>
        <v>-5</v>
      </c>
      <c r="O294" s="19">
        <v>0</v>
      </c>
      <c r="P294" s="14">
        <v>289</v>
      </c>
      <c r="Q294" s="41">
        <f t="shared" si="52"/>
        <v>0.5431034482758621</v>
      </c>
      <c r="R294" s="16">
        <f t="shared" si="60"/>
        <v>2.7155172413793105</v>
      </c>
      <c r="S294" s="16">
        <f t="shared" si="57"/>
        <v>-2.7155172413793105</v>
      </c>
      <c r="T294" s="20">
        <v>0</v>
      </c>
      <c r="V294">
        <v>2436.4</v>
      </c>
      <c r="W294">
        <f t="shared" si="54"/>
        <v>138.43181818181819</v>
      </c>
      <c r="X294">
        <f t="shared" si="58"/>
        <v>279497.00000000006</v>
      </c>
      <c r="Y294">
        <f t="shared" si="64"/>
        <v>44199.200000000004</v>
      </c>
      <c r="AA294">
        <v>15.874882445780299</v>
      </c>
    </row>
    <row r="295" spans="1:27" s="60" customFormat="1" x14ac:dyDescent="0.25">
      <c r="A295" s="107"/>
      <c r="B295" s="58"/>
      <c r="C295" s="59">
        <v>41809</v>
      </c>
      <c r="D295" s="60">
        <v>18.2</v>
      </c>
      <c r="E295" s="60">
        <v>13.2</v>
      </c>
      <c r="F295" s="60">
        <v>23.5</v>
      </c>
      <c r="G295" s="60">
        <f t="shared" si="59"/>
        <v>2983.5999999999995</v>
      </c>
      <c r="H295" s="60">
        <f t="shared" si="63"/>
        <v>396.1</v>
      </c>
      <c r="J295" s="60">
        <v>0</v>
      </c>
      <c r="K295" s="60">
        <f t="shared" si="55"/>
        <v>618.20000000000027</v>
      </c>
      <c r="L295" s="60">
        <v>5.3</v>
      </c>
      <c r="M295" s="60">
        <f t="shared" si="56"/>
        <v>498.80000000000018</v>
      </c>
      <c r="N295" s="62">
        <f t="shared" si="53"/>
        <v>-5.3</v>
      </c>
      <c r="O295" s="63">
        <v>0</v>
      </c>
      <c r="P295" s="14">
        <v>290</v>
      </c>
      <c r="Q295" s="41">
        <f t="shared" si="52"/>
        <v>0.52931034482758621</v>
      </c>
      <c r="R295" s="55">
        <f t="shared" si="60"/>
        <v>2.805344827586207</v>
      </c>
      <c r="S295" s="16">
        <f t="shared" si="57"/>
        <v>-2.805344827586207</v>
      </c>
      <c r="T295" s="20">
        <v>0</v>
      </c>
      <c r="V295" s="60">
        <v>2589.6</v>
      </c>
      <c r="W295" s="60">
        <f t="shared" si="54"/>
        <v>142.28571428571428</v>
      </c>
      <c r="X295" s="60">
        <f t="shared" si="58"/>
        <v>282086.60000000003</v>
      </c>
      <c r="Y295">
        <f t="shared" si="64"/>
        <v>46788.800000000003</v>
      </c>
      <c r="AA295" s="60">
        <v>15.8795881211816</v>
      </c>
    </row>
    <row r="296" spans="1:27" s="81" customFormat="1" ht="15" customHeight="1" thickBot="1" x14ac:dyDescent="0.3">
      <c r="A296" s="107"/>
      <c r="B296" s="92">
        <v>1000</v>
      </c>
      <c r="C296" s="80">
        <v>41810</v>
      </c>
      <c r="D296" s="81">
        <v>18.600000000000001</v>
      </c>
      <c r="E296" s="81">
        <v>12.7</v>
      </c>
      <c r="F296" s="81">
        <v>23.7</v>
      </c>
      <c r="G296" s="81">
        <f t="shared" si="59"/>
        <v>3002.1999999999994</v>
      </c>
      <c r="H296" s="81">
        <f t="shared" si="63"/>
        <v>414.70000000000005</v>
      </c>
      <c r="J296" s="81">
        <v>0</v>
      </c>
      <c r="K296" s="81">
        <f t="shared" si="55"/>
        <v>618.20000000000027</v>
      </c>
      <c r="L296" s="81">
        <v>5.4</v>
      </c>
      <c r="M296" s="81">
        <f t="shared" si="56"/>
        <v>504.20000000000016</v>
      </c>
      <c r="N296" s="83">
        <f t="shared" si="53"/>
        <v>-5.4</v>
      </c>
      <c r="O296" s="84">
        <v>0</v>
      </c>
      <c r="P296" s="93">
        <v>291</v>
      </c>
      <c r="Q296" s="41">
        <f t="shared" si="52"/>
        <v>0.51551724137931032</v>
      </c>
      <c r="R296" s="86">
        <f t="shared" si="60"/>
        <v>2.7837931034482759</v>
      </c>
      <c r="S296" s="95">
        <f t="shared" si="57"/>
        <v>-2.7837931034482759</v>
      </c>
      <c r="T296" s="20">
        <v>0</v>
      </c>
      <c r="V296" s="81">
        <v>2848</v>
      </c>
      <c r="W296" s="81">
        <f t="shared" si="54"/>
        <v>153.11827956989245</v>
      </c>
      <c r="X296" s="81">
        <f t="shared" si="58"/>
        <v>284934.60000000003</v>
      </c>
      <c r="Y296" s="97">
        <f t="shared" si="64"/>
        <v>49636.800000000003</v>
      </c>
      <c r="AA296" s="81">
        <v>15.882952089065901</v>
      </c>
    </row>
    <row r="297" spans="1:27" x14ac:dyDescent="0.25">
      <c r="A297" s="68"/>
      <c r="B297" s="69"/>
      <c r="C297" s="13">
        <v>41811</v>
      </c>
      <c r="D297">
        <v>20.2</v>
      </c>
      <c r="E297">
        <v>13.8</v>
      </c>
      <c r="F297">
        <v>26.3</v>
      </c>
      <c r="G297">
        <f t="shared" si="59"/>
        <v>3022.3999999999992</v>
      </c>
      <c r="H297">
        <v>20.2</v>
      </c>
      <c r="J297">
        <v>0</v>
      </c>
      <c r="K297">
        <f t="shared" si="55"/>
        <v>618.20000000000027</v>
      </c>
      <c r="L297">
        <v>7</v>
      </c>
      <c r="M297">
        <f t="shared" si="56"/>
        <v>511.20000000000016</v>
      </c>
      <c r="N297" s="9">
        <f t="shared" si="53"/>
        <v>-7</v>
      </c>
      <c r="O297" s="19">
        <v>0</v>
      </c>
      <c r="P297" s="14">
        <v>292</v>
      </c>
      <c r="Q297" s="41">
        <f t="shared" si="52"/>
        <v>0.50172413793103443</v>
      </c>
      <c r="R297" s="16">
        <f t="shared" si="60"/>
        <v>3.512068965517241</v>
      </c>
      <c r="S297" s="16">
        <f t="shared" si="57"/>
        <v>-3.512068965517241</v>
      </c>
      <c r="T297" s="20">
        <v>0</v>
      </c>
      <c r="V297">
        <v>2975.8</v>
      </c>
      <c r="W297">
        <f t="shared" si="54"/>
        <v>147.31683168316832</v>
      </c>
      <c r="X297">
        <f t="shared" si="58"/>
        <v>287910.40000000002</v>
      </c>
      <c r="Y297">
        <f t="shared" si="64"/>
        <v>52612.600000000006</v>
      </c>
      <c r="AA297">
        <v>15.884971455438</v>
      </c>
    </row>
    <row r="298" spans="1:27" x14ac:dyDescent="0.25">
      <c r="A298" s="68"/>
      <c r="B298" s="69"/>
      <c r="C298" s="13">
        <v>41812</v>
      </c>
      <c r="D298">
        <v>22.3</v>
      </c>
      <c r="E298">
        <v>15.5</v>
      </c>
      <c r="F298">
        <v>28.6</v>
      </c>
      <c r="G298">
        <f t="shared" si="59"/>
        <v>3044.6999999999994</v>
      </c>
      <c r="H298">
        <f t="shared" si="63"/>
        <v>42.5</v>
      </c>
      <c r="J298">
        <v>0.1</v>
      </c>
      <c r="K298">
        <f t="shared" si="55"/>
        <v>618.3000000000003</v>
      </c>
      <c r="L298">
        <v>5.5</v>
      </c>
      <c r="M298">
        <f t="shared" si="56"/>
        <v>516.70000000000016</v>
      </c>
      <c r="N298" s="9">
        <f t="shared" si="53"/>
        <v>-5.4</v>
      </c>
      <c r="O298" s="19">
        <v>0</v>
      </c>
      <c r="P298" s="14">
        <v>293</v>
      </c>
      <c r="Q298" s="41">
        <f t="shared" si="52"/>
        <v>0.48793103448275854</v>
      </c>
      <c r="R298" s="16">
        <f t="shared" si="60"/>
        <v>2.683620689655172</v>
      </c>
      <c r="S298" s="16">
        <f t="shared" si="57"/>
        <v>-2.5836206896551719</v>
      </c>
      <c r="T298" s="20">
        <v>0</v>
      </c>
      <c r="V298">
        <v>1943.1</v>
      </c>
      <c r="W298">
        <f t="shared" si="54"/>
        <v>87.13452914798205</v>
      </c>
      <c r="X298">
        <f t="shared" si="58"/>
        <v>289853.5</v>
      </c>
      <c r="Y298">
        <f t="shared" si="64"/>
        <v>54555.700000000004</v>
      </c>
      <c r="AA298">
        <v>15.885644679465299</v>
      </c>
    </row>
    <row r="299" spans="1:27" x14ac:dyDescent="0.25">
      <c r="A299" s="68"/>
      <c r="B299" s="69"/>
      <c r="C299" s="13">
        <v>41813</v>
      </c>
      <c r="D299">
        <v>16.100000000000001</v>
      </c>
      <c r="E299">
        <v>15.4</v>
      </c>
      <c r="F299">
        <v>17.3</v>
      </c>
      <c r="G299">
        <f t="shared" si="59"/>
        <v>3060.7999999999993</v>
      </c>
      <c r="H299">
        <f t="shared" si="63"/>
        <v>58.6</v>
      </c>
      <c r="J299">
        <v>8.6999999999999993</v>
      </c>
      <c r="K299">
        <f t="shared" si="55"/>
        <v>627.00000000000034</v>
      </c>
      <c r="L299">
        <v>1.7</v>
      </c>
      <c r="M299">
        <f t="shared" si="56"/>
        <v>518.4000000000002</v>
      </c>
      <c r="N299">
        <f t="shared" si="53"/>
        <v>6.9999999999999991</v>
      </c>
      <c r="O299" s="19">
        <f t="shared" si="62"/>
        <v>6.9999999999999991</v>
      </c>
      <c r="P299" s="14">
        <v>294</v>
      </c>
      <c r="Q299" s="41">
        <f t="shared" si="52"/>
        <v>0.47413793103448276</v>
      </c>
      <c r="R299" s="16">
        <f t="shared" si="60"/>
        <v>0.80603448275862066</v>
      </c>
      <c r="S299" s="16">
        <f t="shared" si="57"/>
        <v>7.8939655172413783</v>
      </c>
      <c r="T299" s="20">
        <f t="shared" si="61"/>
        <v>7.8939655172413783</v>
      </c>
      <c r="V299">
        <v>673.2</v>
      </c>
      <c r="W299">
        <f t="shared" si="54"/>
        <v>41.813664596273291</v>
      </c>
      <c r="X299">
        <f t="shared" si="58"/>
        <v>290526.7</v>
      </c>
      <c r="Y299">
        <f t="shared" si="64"/>
        <v>55228.9</v>
      </c>
      <c r="AA299">
        <v>15.8849715792323</v>
      </c>
    </row>
    <row r="300" spans="1:27" x14ac:dyDescent="0.25">
      <c r="A300" s="68"/>
      <c r="B300" s="69"/>
      <c r="C300" s="13">
        <v>41814</v>
      </c>
      <c r="D300">
        <v>19.5</v>
      </c>
      <c r="E300">
        <v>13.9</v>
      </c>
      <c r="F300">
        <v>25</v>
      </c>
      <c r="G300">
        <f t="shared" si="59"/>
        <v>3080.2999999999993</v>
      </c>
      <c r="H300">
        <f t="shared" si="63"/>
        <v>78.099999999999994</v>
      </c>
      <c r="J300">
        <v>0</v>
      </c>
      <c r="K300">
        <f t="shared" si="55"/>
        <v>627.00000000000034</v>
      </c>
      <c r="L300">
        <v>5.5</v>
      </c>
      <c r="M300">
        <f t="shared" si="56"/>
        <v>523.9000000000002</v>
      </c>
      <c r="N300" s="9">
        <f t="shared" si="53"/>
        <v>-5.5</v>
      </c>
      <c r="O300" s="19">
        <f t="shared" si="62"/>
        <v>1.4999999999999991</v>
      </c>
      <c r="P300" s="14">
        <v>295</v>
      </c>
      <c r="Q300" s="41">
        <f t="shared" si="52"/>
        <v>0.46034482758620687</v>
      </c>
      <c r="R300" s="16">
        <f t="shared" si="60"/>
        <v>2.5318965517241376</v>
      </c>
      <c r="S300" s="16">
        <f t="shared" si="57"/>
        <v>-2.5318965517241376</v>
      </c>
      <c r="T300" s="20">
        <f t="shared" si="61"/>
        <v>5.3620689655172402</v>
      </c>
      <c r="V300">
        <v>2698.8</v>
      </c>
      <c r="W300">
        <f t="shared" si="54"/>
        <v>138.4</v>
      </c>
      <c r="X300">
        <f t="shared" si="58"/>
        <v>293225.5</v>
      </c>
      <c r="Y300">
        <f t="shared" si="64"/>
        <v>57927.700000000004</v>
      </c>
      <c r="AA300">
        <v>15.8829533323817</v>
      </c>
    </row>
    <row r="301" spans="1:27" x14ac:dyDescent="0.25">
      <c r="A301" s="68"/>
      <c r="B301" s="69"/>
      <c r="C301" s="13">
        <v>41815</v>
      </c>
      <c r="D301">
        <v>20</v>
      </c>
      <c r="E301">
        <v>15.7</v>
      </c>
      <c r="F301">
        <v>23.8</v>
      </c>
      <c r="G301">
        <f t="shared" si="59"/>
        <v>3100.2999999999993</v>
      </c>
      <c r="H301">
        <f t="shared" si="63"/>
        <v>98.1</v>
      </c>
      <c r="J301">
        <v>0.1</v>
      </c>
      <c r="K301">
        <f t="shared" si="55"/>
        <v>627.10000000000036</v>
      </c>
      <c r="L301">
        <v>5.9</v>
      </c>
      <c r="M301">
        <f t="shared" si="56"/>
        <v>529.80000000000018</v>
      </c>
      <c r="N301" s="9">
        <f t="shared" si="53"/>
        <v>-5.8000000000000007</v>
      </c>
      <c r="O301" s="19">
        <v>0</v>
      </c>
      <c r="P301" s="14">
        <v>296</v>
      </c>
      <c r="Q301" s="41">
        <f t="shared" si="52"/>
        <v>0.44655172413793098</v>
      </c>
      <c r="R301" s="16">
        <f t="shared" si="60"/>
        <v>2.634655172413793</v>
      </c>
      <c r="S301" s="16">
        <f t="shared" si="57"/>
        <v>-2.5346551724137929</v>
      </c>
      <c r="T301" s="20">
        <f t="shared" si="61"/>
        <v>2.8274137931034473</v>
      </c>
      <c r="V301">
        <v>2658</v>
      </c>
      <c r="W301">
        <f t="shared" si="54"/>
        <v>132.9</v>
      </c>
      <c r="X301">
        <f t="shared" si="58"/>
        <v>295883.5</v>
      </c>
      <c r="Y301">
        <f t="shared" si="64"/>
        <v>60585.700000000004</v>
      </c>
      <c r="AA301">
        <v>15.879592471635201</v>
      </c>
    </row>
    <row r="302" spans="1:27" x14ac:dyDescent="0.25">
      <c r="A302" s="68"/>
      <c r="B302" s="69"/>
      <c r="C302" s="13">
        <v>41816</v>
      </c>
      <c r="D302">
        <v>18.899999999999999</v>
      </c>
      <c r="E302">
        <v>15.9</v>
      </c>
      <c r="F302">
        <v>24.8</v>
      </c>
      <c r="G302">
        <f t="shared" si="59"/>
        <v>3119.1999999999994</v>
      </c>
      <c r="H302">
        <f t="shared" si="63"/>
        <v>117</v>
      </c>
      <c r="J302">
        <v>5.3</v>
      </c>
      <c r="K302">
        <f t="shared" si="55"/>
        <v>632.40000000000032</v>
      </c>
      <c r="L302">
        <v>4.7</v>
      </c>
      <c r="M302">
        <f t="shared" si="56"/>
        <v>534.50000000000023</v>
      </c>
      <c r="N302">
        <f t="shared" si="53"/>
        <v>0.59999999999999964</v>
      </c>
      <c r="O302" s="19">
        <f t="shared" si="62"/>
        <v>0.59999999999999964</v>
      </c>
      <c r="P302" s="14">
        <v>297</v>
      </c>
      <c r="Q302" s="41">
        <f t="shared" si="52"/>
        <v>0.43275862068965509</v>
      </c>
      <c r="R302" s="16">
        <f t="shared" si="60"/>
        <v>2.0339655172413789</v>
      </c>
      <c r="S302" s="16">
        <f t="shared" si="57"/>
        <v>3.266034482758621</v>
      </c>
      <c r="T302" s="20">
        <f t="shared" si="61"/>
        <v>6.0934482758620678</v>
      </c>
      <c r="V302">
        <v>2135.1</v>
      </c>
      <c r="W302">
        <f t="shared" si="54"/>
        <v>112.96825396825398</v>
      </c>
      <c r="X302">
        <f t="shared" si="58"/>
        <v>298018.59999999998</v>
      </c>
      <c r="Y302">
        <f t="shared" si="64"/>
        <v>62720.800000000003</v>
      </c>
      <c r="AA302">
        <v>15.874892875229801</v>
      </c>
    </row>
    <row r="303" spans="1:27" x14ac:dyDescent="0.25">
      <c r="A303" s="68"/>
      <c r="B303" s="69"/>
      <c r="C303" s="13">
        <v>41817</v>
      </c>
      <c r="D303">
        <v>17.3</v>
      </c>
      <c r="E303">
        <v>14.4</v>
      </c>
      <c r="F303">
        <v>22.7</v>
      </c>
      <c r="G303">
        <f t="shared" si="59"/>
        <v>3136.4999999999995</v>
      </c>
      <c r="H303">
        <f t="shared" si="63"/>
        <v>134.30000000000001</v>
      </c>
      <c r="J303">
        <v>10.8</v>
      </c>
      <c r="K303">
        <f t="shared" si="55"/>
        <v>643.20000000000027</v>
      </c>
      <c r="L303">
        <v>3.7</v>
      </c>
      <c r="M303">
        <f t="shared" si="56"/>
        <v>538.20000000000027</v>
      </c>
      <c r="N303">
        <f t="shared" si="53"/>
        <v>7.1000000000000005</v>
      </c>
      <c r="O303" s="19">
        <f t="shared" si="62"/>
        <v>7.7</v>
      </c>
      <c r="P303" s="14">
        <v>298</v>
      </c>
      <c r="Q303" s="41">
        <f t="shared" si="52"/>
        <v>0.4189655172413792</v>
      </c>
      <c r="R303" s="16">
        <f t="shared" si="60"/>
        <v>1.5501724137931032</v>
      </c>
      <c r="S303" s="16">
        <f t="shared" si="57"/>
        <v>9.2498275862068979</v>
      </c>
      <c r="T303" s="20">
        <f t="shared" si="61"/>
        <v>15.343275862068966</v>
      </c>
      <c r="V303">
        <v>1718.8</v>
      </c>
      <c r="W303">
        <f t="shared" si="54"/>
        <v>99.352601156069355</v>
      </c>
      <c r="X303">
        <f t="shared" si="58"/>
        <v>299737.39999999997</v>
      </c>
      <c r="Y303">
        <f t="shared" si="64"/>
        <v>64439.600000000006</v>
      </c>
      <c r="AA303">
        <v>15.8688597523455</v>
      </c>
    </row>
    <row r="304" spans="1:27" x14ac:dyDescent="0.25">
      <c r="A304" s="68"/>
      <c r="B304" s="69"/>
      <c r="C304" s="13">
        <v>41818</v>
      </c>
      <c r="D304">
        <v>15.8</v>
      </c>
      <c r="E304">
        <v>14.1</v>
      </c>
      <c r="F304">
        <v>18.100000000000001</v>
      </c>
      <c r="G304">
        <f t="shared" si="59"/>
        <v>3152.2999999999997</v>
      </c>
      <c r="H304">
        <f t="shared" si="63"/>
        <v>150.10000000000002</v>
      </c>
      <c r="J304">
        <v>21</v>
      </c>
      <c r="K304">
        <f t="shared" si="55"/>
        <v>664.20000000000027</v>
      </c>
      <c r="L304">
        <v>1.6</v>
      </c>
      <c r="M304">
        <f t="shared" si="56"/>
        <v>539.8000000000003</v>
      </c>
      <c r="N304">
        <f t="shared" si="53"/>
        <v>19.399999999999999</v>
      </c>
      <c r="O304" s="19">
        <f t="shared" si="62"/>
        <v>27.099999999999998</v>
      </c>
      <c r="P304" s="14">
        <v>299</v>
      </c>
      <c r="Q304" s="41">
        <f t="shared" si="52"/>
        <v>0.40517241379310343</v>
      </c>
      <c r="R304" s="16">
        <f t="shared" si="60"/>
        <v>0.64827586206896548</v>
      </c>
      <c r="S304" s="16">
        <f t="shared" si="57"/>
        <v>20.351724137931036</v>
      </c>
      <c r="T304" s="20">
        <f t="shared" si="61"/>
        <v>35.695</v>
      </c>
      <c r="V304" s="21">
        <v>725.8</v>
      </c>
      <c r="W304">
        <f t="shared" si="54"/>
        <v>45.936708860759488</v>
      </c>
      <c r="X304">
        <f t="shared" si="58"/>
        <v>300463.19999999995</v>
      </c>
      <c r="Y304">
        <f t="shared" si="64"/>
        <v>65165.400000000009</v>
      </c>
      <c r="AA304">
        <v>15.861499623636201</v>
      </c>
    </row>
    <row r="305" spans="1:27" x14ac:dyDescent="0.25">
      <c r="A305" s="68"/>
      <c r="B305" s="69"/>
      <c r="C305" s="13">
        <v>41819</v>
      </c>
      <c r="D305">
        <v>15.3</v>
      </c>
      <c r="E305">
        <v>13.3</v>
      </c>
      <c r="F305">
        <v>19.100000000000001</v>
      </c>
      <c r="G305">
        <f t="shared" si="59"/>
        <v>3167.6</v>
      </c>
      <c r="H305">
        <f t="shared" si="63"/>
        <v>165.40000000000003</v>
      </c>
      <c r="J305">
        <v>2.7</v>
      </c>
      <c r="K305">
        <f t="shared" si="55"/>
        <v>666.90000000000032</v>
      </c>
      <c r="L305">
        <v>3.3</v>
      </c>
      <c r="M305">
        <f t="shared" si="56"/>
        <v>543.10000000000025</v>
      </c>
      <c r="N305" s="9">
        <f t="shared" si="53"/>
        <v>-0.59999999999999964</v>
      </c>
      <c r="O305" s="19">
        <f t="shared" si="62"/>
        <v>26.5</v>
      </c>
      <c r="P305" s="14">
        <v>300</v>
      </c>
      <c r="Q305" s="41">
        <f t="shared" si="52"/>
        <v>0.39137931034482754</v>
      </c>
      <c r="R305" s="16">
        <f t="shared" si="60"/>
        <v>1.2915517241379308</v>
      </c>
      <c r="S305" s="16">
        <f t="shared" si="57"/>
        <v>1.4084482758620693</v>
      </c>
      <c r="T305" s="20">
        <f t="shared" si="61"/>
        <v>37.103448275862071</v>
      </c>
      <c r="V305">
        <v>1659.1</v>
      </c>
      <c r="W305">
        <f t="shared" si="54"/>
        <v>108.43790849673202</v>
      </c>
      <c r="X305">
        <f t="shared" si="58"/>
        <v>302122.29999999993</v>
      </c>
      <c r="Y305">
        <f t="shared" si="64"/>
        <v>66824.500000000015</v>
      </c>
      <c r="AA305">
        <v>15.8528202970167</v>
      </c>
    </row>
    <row r="306" spans="1:27" x14ac:dyDescent="0.25">
      <c r="A306" s="68"/>
      <c r="B306" s="69"/>
      <c r="C306" s="13">
        <v>41820</v>
      </c>
      <c r="D306">
        <v>16.399999999999999</v>
      </c>
      <c r="E306">
        <v>11.9</v>
      </c>
      <c r="F306">
        <v>20.2</v>
      </c>
      <c r="G306">
        <f t="shared" si="59"/>
        <v>3184</v>
      </c>
      <c r="H306">
        <f t="shared" si="63"/>
        <v>181.80000000000004</v>
      </c>
      <c r="J306">
        <v>0</v>
      </c>
      <c r="K306">
        <f t="shared" si="55"/>
        <v>666.90000000000032</v>
      </c>
      <c r="L306">
        <v>3.6</v>
      </c>
      <c r="M306">
        <f t="shared" si="56"/>
        <v>546.70000000000027</v>
      </c>
      <c r="N306" s="9">
        <f t="shared" si="53"/>
        <v>-3.6</v>
      </c>
      <c r="O306" s="19">
        <f t="shared" si="62"/>
        <v>22.9</v>
      </c>
      <c r="P306" s="14">
        <v>301</v>
      </c>
      <c r="Q306" s="41">
        <f t="shared" si="52"/>
        <v>0.37758620689655165</v>
      </c>
      <c r="R306" s="16">
        <f t="shared" si="60"/>
        <v>1.3593103448275861</v>
      </c>
      <c r="S306" s="16">
        <f t="shared" si="57"/>
        <v>-1.3593103448275861</v>
      </c>
      <c r="T306" s="20">
        <f t="shared" si="61"/>
        <v>35.744137931034487</v>
      </c>
      <c r="V306">
        <v>1879.2</v>
      </c>
      <c r="W306">
        <f t="shared" si="54"/>
        <v>114.58536585365854</v>
      </c>
      <c r="X306">
        <f t="shared" si="58"/>
        <v>304001.49999999994</v>
      </c>
      <c r="Y306">
        <f t="shared" si="64"/>
        <v>68703.700000000012</v>
      </c>
      <c r="AA306">
        <v>15.842830838890601</v>
      </c>
    </row>
    <row r="307" spans="1:27" x14ac:dyDescent="0.25">
      <c r="A307" s="68"/>
      <c r="B307" s="69"/>
      <c r="C307" s="13">
        <v>41821</v>
      </c>
      <c r="D307">
        <v>18.600000000000001</v>
      </c>
      <c r="E307">
        <v>12.1</v>
      </c>
      <c r="F307">
        <v>23.8</v>
      </c>
      <c r="G307">
        <f t="shared" si="59"/>
        <v>3202.6</v>
      </c>
      <c r="H307">
        <f t="shared" si="63"/>
        <v>200.40000000000003</v>
      </c>
      <c r="J307">
        <v>0.1</v>
      </c>
      <c r="K307">
        <f t="shared" si="55"/>
        <v>667.00000000000034</v>
      </c>
      <c r="L307">
        <v>2.9</v>
      </c>
      <c r="M307">
        <f t="shared" si="56"/>
        <v>549.60000000000025</v>
      </c>
      <c r="N307" s="9">
        <f t="shared" si="53"/>
        <v>-2.8</v>
      </c>
      <c r="O307" s="19">
        <f t="shared" si="62"/>
        <v>20.099999999999998</v>
      </c>
      <c r="P307" s="14">
        <v>302</v>
      </c>
      <c r="Q307" s="41">
        <f t="shared" si="52"/>
        <v>0.36379310344827587</v>
      </c>
      <c r="R307" s="16">
        <f t="shared" si="60"/>
        <v>1.0549999999999999</v>
      </c>
      <c r="S307" s="16">
        <f t="shared" si="57"/>
        <v>-0.95499999999999996</v>
      </c>
      <c r="T307" s="20">
        <f t="shared" si="61"/>
        <v>34.789137931034489</v>
      </c>
      <c r="V307">
        <v>1247.7</v>
      </c>
      <c r="W307">
        <f t="shared" si="54"/>
        <v>67.08064516129032</v>
      </c>
      <c r="X307">
        <f t="shared" si="58"/>
        <v>305249.19999999995</v>
      </c>
      <c r="Y307">
        <f t="shared" si="64"/>
        <v>69951.400000000009</v>
      </c>
      <c r="AA307">
        <v>15.8315415410386</v>
      </c>
    </row>
    <row r="308" spans="1:27" x14ac:dyDescent="0.25">
      <c r="A308" s="68"/>
      <c r="B308" s="69"/>
      <c r="C308" s="13">
        <v>41822</v>
      </c>
      <c r="D308">
        <v>20.9</v>
      </c>
      <c r="E308">
        <v>15</v>
      </c>
      <c r="F308">
        <v>26.1</v>
      </c>
      <c r="G308">
        <f t="shared" si="59"/>
        <v>3223.5</v>
      </c>
      <c r="H308">
        <f t="shared" si="63"/>
        <v>221.30000000000004</v>
      </c>
      <c r="J308">
        <v>0</v>
      </c>
      <c r="K308">
        <f>K307+J308</f>
        <v>667.00000000000034</v>
      </c>
      <c r="L308">
        <v>5.6</v>
      </c>
      <c r="M308">
        <f t="shared" si="56"/>
        <v>555.20000000000027</v>
      </c>
      <c r="N308" s="9">
        <f t="shared" si="53"/>
        <v>-5.6</v>
      </c>
      <c r="O308" s="19">
        <f t="shared" si="62"/>
        <v>14.499999999999998</v>
      </c>
      <c r="P308" s="14">
        <v>303</v>
      </c>
      <c r="Q308" s="41">
        <f t="shared" si="52"/>
        <v>0.35</v>
      </c>
      <c r="R308" s="16">
        <f t="shared" si="60"/>
        <v>1.9599999999999997</v>
      </c>
      <c r="S308" s="16">
        <f t="shared" si="57"/>
        <v>-1.9599999999999997</v>
      </c>
      <c r="T308" s="20">
        <f t="shared" si="61"/>
        <v>32.829137931034488</v>
      </c>
      <c r="V308">
        <v>2445.1</v>
      </c>
      <c r="W308">
        <f t="shared" si="54"/>
        <v>116.99043062200957</v>
      </c>
      <c r="X308">
        <f t="shared" si="58"/>
        <v>307694.29999999993</v>
      </c>
      <c r="Y308">
        <f t="shared" si="64"/>
        <v>72396.500000000015</v>
      </c>
      <c r="AA308">
        <v>15.818963883416099</v>
      </c>
    </row>
    <row r="309" spans="1:27" x14ac:dyDescent="0.25">
      <c r="A309" s="108" t="s">
        <v>50</v>
      </c>
      <c r="B309" s="108"/>
      <c r="C309" s="108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</row>
  </sheetData>
  <mergeCells count="14">
    <mergeCell ref="A309:Z309"/>
    <mergeCell ref="A223:A250"/>
    <mergeCell ref="A251:A273"/>
    <mergeCell ref="A274:A296"/>
    <mergeCell ref="A5:Z5"/>
    <mergeCell ref="A6:A79"/>
    <mergeCell ref="A80:A127"/>
    <mergeCell ref="G4:H4"/>
    <mergeCell ref="X4:Y4"/>
    <mergeCell ref="D1:I2"/>
    <mergeCell ref="J1:U2"/>
    <mergeCell ref="V1:Z2"/>
    <mergeCell ref="J3:O3"/>
    <mergeCell ref="P3:T3"/>
  </mergeCells>
  <conditionalFormatting sqref="T1:T4">
    <cfRule type="cellIs" dxfId="4" priority="4" operator="equal">
      <formula>0</formula>
    </cfRule>
    <cfRule type="cellIs" dxfId="3" priority="5" operator="lessThanOrEqual">
      <formula>40.7</formula>
    </cfRule>
  </conditionalFormatting>
  <conditionalFormatting sqref="S6:S308">
    <cfRule type="cellIs" dxfId="2" priority="3" operator="lessThanOrEqual">
      <formula>0</formula>
    </cfRule>
  </conditionalFormatting>
  <conditionalFormatting sqref="U7 T5:T309">
    <cfRule type="cellIs" dxfId="1" priority="1" operator="equal">
      <formula>0</formula>
    </cfRule>
    <cfRule type="cellIs" dxfId="0" priority="2" operator="lessThanOrEqual">
      <formula>40.7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N+</vt:lpstr>
      <vt:lpstr>N-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2019-10-21T14:09:17Z</dcterms:created>
  <dcterms:modified xsi:type="dcterms:W3CDTF">2019-11-26T15:06:17Z</dcterms:modified>
</cp:coreProperties>
</file>