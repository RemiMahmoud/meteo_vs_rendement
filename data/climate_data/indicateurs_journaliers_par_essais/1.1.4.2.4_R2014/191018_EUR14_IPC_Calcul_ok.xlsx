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+" sheetId="1" state="visible" r:id="rId3"/>
    <sheet name="N-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<sst xmlns="http://schemas.openxmlformats.org/spreadsheetml/2006/main" count="322" uniqueCount="63">
  <si>
    <t xml:space="preserve">TEMPERATURE</t>
  </si>
  <si>
    <t xml:space="preserve">ETAT HYDRIQUE</t>
  </si>
  <si>
    <t xml:space="preserve">RAYONNEMENT</t>
  </si>
  <si>
    <t xml:space="preserve">BILAN HYDRIQUE</t>
  </si>
  <si>
    <t xml:space="preserve">Période</t>
  </si>
  <si>
    <t xml:space="preserve">DATE</t>
  </si>
  <si>
    <t xml:space="preserve">T_Q</t>
  </si>
  <si>
    <t xml:space="preserve">TINF_H_Q</t>
  </si>
  <si>
    <t xml:space="preserve">TSUP_H_Q</t>
  </si>
  <si>
    <t xml:space="preserve">GDD base 0°</t>
  </si>
  <si>
    <t xml:space="preserve">VAR</t>
  </si>
  <si>
    <t xml:space="preserve">PRELIQ_Q</t>
  </si>
  <si>
    <t xml:space="preserve">Cumul_P</t>
  </si>
  <si>
    <t xml:space="preserve">ETP_Q</t>
  </si>
  <si>
    <t xml:space="preserve">Cumul_ETP</t>
  </si>
  <si>
    <t xml:space="preserve">P-ETP</t>
  </si>
  <si>
    <t xml:space="preserve">ETAT RU_1</t>
  </si>
  <si>
    <t xml:space="preserve">i</t>
  </si>
  <si>
    <t xml:space="preserve">kc</t>
  </si>
  <si>
    <t xml:space="preserve">ETM</t>
  </si>
  <si>
    <t xml:space="preserve">P-ETM</t>
  </si>
  <si>
    <t xml:space="preserve">WSC</t>
  </si>
  <si>
    <t xml:space="preserve">SSI_Q</t>
  </si>
  <si>
    <t xml:space="preserve">QPT_Q</t>
  </si>
  <si>
    <t xml:space="preserve">Cumul_RG</t>
  </si>
  <si>
    <t xml:space="preserve">Photoperiode</t>
  </si>
  <si>
    <t xml:space="preserve">SEMIS EUR14</t>
  </si>
  <si>
    <t xml:space="preserve">AUTOMNE</t>
  </si>
  <si>
    <t xml:space="preserve">Tmin</t>
  </si>
  <si>
    <t xml:space="preserve">nbj_sec</t>
  </si>
  <si>
    <t xml:space="preserve">crg</t>
  </si>
  <si>
    <t xml:space="preserve">Tmax</t>
  </si>
  <si>
    <t xml:space="preserve">nbj_water_deficit</t>
  </si>
  <si>
    <t xml:space="preserve">qpt_p</t>
  </si>
  <si>
    <t xml:space="preserve">Tmoy</t>
  </si>
  <si>
    <t xml:space="preserve">nbj_stress_hydro</t>
  </si>
  <si>
    <t xml:space="preserve">nbj_radinf_900</t>
  </si>
  <si>
    <t xml:space="preserve">nbj_tgel</t>
  </si>
  <si>
    <t xml:space="preserve">water_soil_content_min</t>
  </si>
  <si>
    <t xml:space="preserve">nbj_tsup25</t>
  </si>
  <si>
    <t xml:space="preserve">water_soil_content_max</t>
  </si>
  <si>
    <t xml:space="preserve">nbj_tinf5</t>
  </si>
  <si>
    <t xml:space="preserve">water_soil_content_moy</t>
  </si>
  <si>
    <t xml:space="preserve">gdd_p</t>
  </si>
  <si>
    <t xml:space="preserve">HIVER</t>
  </si>
  <si>
    <t xml:space="preserve">nbj_vern_opti</t>
  </si>
  <si>
    <t xml:space="preserve">MONTAISON</t>
  </si>
  <si>
    <t xml:space="preserve">WSC_I</t>
  </si>
  <si>
    <t xml:space="preserve">BI</t>
  </si>
  <si>
    <t xml:space="preserve">DRF</t>
  </si>
  <si>
    <t xml:space="preserve">TS</t>
  </si>
  <si>
    <t xml:space="preserve">IRF</t>
  </si>
  <si>
    <t xml:space="preserve">N70</t>
  </si>
  <si>
    <t xml:space="preserve">Montego</t>
  </si>
  <si>
    <t xml:space="preserve">Aviso</t>
  </si>
  <si>
    <t xml:space="preserve">Fin FLO</t>
  </si>
  <si>
    <t xml:space="preserve">RECOLTE</t>
  </si>
  <si>
    <t xml:space="preserve">PRELIQ_Q (mm)</t>
  </si>
  <si>
    <t xml:space="preserve">ETP_Q (mm)</t>
  </si>
  <si>
    <t xml:space="preserve">Etat RU_1</t>
  </si>
  <si>
    <t xml:space="preserve">SSI_Q (J/cm2)</t>
  </si>
  <si>
    <t xml:space="preserve">Photopériode</t>
  </si>
  <si>
    <t xml:space="preserve">N40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</si>
</sst>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i val="true"/>
      <sz val="11"/>
      <color theme="1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i val="true"/>
      <u val="single"/>
      <sz val="11"/>
      <color theme="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FF00"/>
      <name val="Calibri"/>
      <family val="2"/>
      <charset val="1"/>
    </font>
  </fonts>
  <fills count="23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theme="9" tint="0.7999"/>
        <bgColor rgb="FFDAE3F3"/>
      </patternFill>
    </fill>
    <fill>
      <patternFill patternType="solid">
        <fgColor theme="0" tint="-0.15"/>
        <bgColor rgb="FFD0CECE"/>
      </patternFill>
    </fill>
    <fill>
      <patternFill patternType="solid">
        <fgColor rgb="FFFFC000"/>
        <bgColor rgb="FFFF9900"/>
      </patternFill>
    </fill>
    <fill>
      <patternFill patternType="solid">
        <fgColor theme="5" tint="0.7999"/>
        <bgColor rgb="FFE2F0D9"/>
      </patternFill>
    </fill>
    <fill>
      <patternFill patternType="solid">
        <fgColor theme="5" tint="0.5999"/>
        <bgColor rgb="FFFBE5D6"/>
      </patternFill>
    </fill>
    <fill>
      <patternFill patternType="solid">
        <fgColor theme="9" tint="0.5999"/>
        <bgColor rgb="FFD9D9D9"/>
      </patternFill>
    </fill>
    <fill>
      <patternFill patternType="solid">
        <fgColor theme="7" tint="0.3999"/>
        <bgColor rgb="FFF8CBAD"/>
      </patternFill>
    </fill>
    <fill>
      <patternFill patternType="solid">
        <fgColor theme="4"/>
        <bgColor rgb="FF808080"/>
      </patternFill>
    </fill>
    <fill>
      <patternFill patternType="solid">
        <fgColor theme="8" tint="0.7999"/>
        <bgColor rgb="FFCCECFF"/>
      </patternFill>
    </fill>
    <fill>
      <patternFill patternType="solid">
        <fgColor rgb="FFCCECFF"/>
        <bgColor rgb="FFDAE3F3"/>
      </patternFill>
    </fill>
    <fill>
      <patternFill patternType="solid">
        <fgColor rgb="FF0070C0"/>
        <bgColor rgb="FF008080"/>
      </patternFill>
    </fill>
    <fill>
      <patternFill patternType="solid">
        <fgColor rgb="FFC0C0C0"/>
        <bgColor rgb="FFD0CECE"/>
      </patternFill>
    </fill>
    <fill>
      <patternFill patternType="solid">
        <fgColor theme="2" tint="-0.1"/>
        <bgColor rgb="FFD9D9D9"/>
      </patternFill>
    </fill>
    <fill>
      <patternFill patternType="solid">
        <fgColor rgb="FF92D050"/>
        <bgColor rgb="FFA9D18E"/>
      </patternFill>
    </fill>
    <fill>
      <patternFill patternType="solid">
        <fgColor theme="3"/>
        <bgColor rgb="FF333399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C00000"/>
      </patternFill>
    </fill>
    <fill>
      <patternFill patternType="solid">
        <fgColor rgb="FF808000"/>
        <bgColor rgb="FF548235"/>
      </patternFill>
    </fill>
    <fill>
      <patternFill patternType="solid">
        <fgColor theme="9" tint="-0.25"/>
        <bgColor rgb="FF808000"/>
      </patternFill>
    </fill>
    <fill>
      <patternFill patternType="solid">
        <fgColor rgb="FFC00000"/>
        <bgColor rgb="FFFF0000"/>
      </patternFill>
    </fill>
  </fills>
  <borders count="7">
    <border diagonalUp="false" diagonalDown="false">
      <left/>
      <right/>
      <top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5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1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1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13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1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5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false" applyBorder="false" applyAlignment="true" applyProtection="true">
      <alignment horizontal="left" vertical="bottom" textRotation="0" wrapText="false" indent="6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7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17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7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5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1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4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1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2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20" borderId="4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1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1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21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9" borderId="0" xfId="0" applyFont="fals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1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2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1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false" applyAlignment="true" applyProtection="true">
      <alignment horizontal="right" vertical="center" textRotation="255" wrapText="false" indent="0" shrinkToFit="false"/>
      <protection locked="true" hidden="false"/>
    </xf>
    <xf numFmtId="164" fontId="0" fillId="17" borderId="0" xfId="0" applyFont="false" applyBorder="false" applyAlignment="true" applyProtection="true">
      <alignment horizontal="right" vertical="center" textRotation="255" wrapText="false" indent="0" shrinkToFit="false"/>
      <protection locked="true" hidden="false"/>
    </xf>
    <xf numFmtId="164" fontId="7" fillId="16" borderId="4" xfId="0" applyFont="true" applyBorder="true" applyAlignment="true" applyProtection="true">
      <alignment horizontal="right" vertical="center" textRotation="255" wrapText="false" indent="0" shrinkToFit="false"/>
      <protection locked="true" hidden="false"/>
    </xf>
    <xf numFmtId="164" fontId="7" fillId="0" borderId="5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4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2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4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7" fillId="0" borderId="6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9" borderId="4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3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theme="5" tint="0.7999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theme="5" tint="0.7999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</dxfs>
  <colors>
    <indexedColors>
      <rgbColor rgb="FF000000"/>
      <rgbColor rgb="FFD9D9D9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B050"/>
      <rgbColor rgb="FFC0C0C0"/>
      <rgbColor rgb="FF808080"/>
      <rgbColor rgb="FF5B9BD5"/>
      <rgbColor rgb="FF993366"/>
      <rgbColor rgb="FFFBE5D6"/>
      <rgbColor rgb="FFCCECFF"/>
      <rgbColor rgb="FF660066"/>
      <rgbColor rgb="FFFF8080"/>
      <rgbColor rgb="FF0070C0"/>
      <rgbColor rgb="FFD0CE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AE3F3"/>
      <rgbColor rgb="FFE2F0D9"/>
      <rgbColor rgb="FFFFD966"/>
      <rgbColor rgb="FFC5E0B4"/>
      <rgbColor rgb="FFF4B183"/>
      <rgbColor rgb="FFCC99FF"/>
      <rgbColor rgb="FFF8CBAD"/>
      <rgbColor rgb="FF3366FF"/>
      <rgbColor rgb="FF33CCCC"/>
      <rgbColor rgb="FF92D050"/>
      <rgbColor rgb="FFFFC000"/>
      <rgbColor rgb="FFFF9900"/>
      <rgbColor rgb="FFFF6600"/>
      <rgbColor rgb="FF44546A"/>
      <rgbColor rgb="FFA9D18E"/>
      <rgbColor rgb="FF003366"/>
      <rgbColor rgb="FF54823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09"/>
  <sheetViews>
    <sheetView showFormulas="false" showGridLines="true" showRowColHeaders="true" showZeros="true" rightToLeft="false" tabSelected="true" showOutlineSymbols="true" defaultGridColor="true" view="normal" topLeftCell="D1" colorId="64" zoomScale="70" zoomScaleNormal="70" zoomScalePageLayoutView="100" workbookViewId="0">
      <selection pane="topLeft" activeCell="O4" activeCellId="0" sqref="O4"/>
    </sheetView>
  </sheetViews>
  <sheetFormatPr defaultColWidth="10.54296875" defaultRowHeight="15" customHeight="true" zeroHeight="false" outlineLevelRow="0" outlineLevelCol="0"/>
  <cols>
    <col collapsed="false" customWidth="true" hidden="false" outlineLevel="0" max="26" min="26" style="1" width="12.29"/>
  </cols>
  <sheetData>
    <row r="1" customFormat="false" ht="15" hidden="false" customHeight="false" outlineLevel="0" collapsed="false">
      <c r="B1" s="1"/>
      <c r="C1" s="2"/>
      <c r="D1" s="3" t="s">
        <v>0</v>
      </c>
      <c r="E1" s="3"/>
      <c r="F1" s="3"/>
      <c r="G1" s="3"/>
      <c r="H1" s="3"/>
      <c r="I1" s="3"/>
      <c r="J1" s="3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 t="s">
        <v>2</v>
      </c>
      <c r="W1" s="3"/>
      <c r="X1" s="3"/>
      <c r="Y1" s="3"/>
      <c r="Z1" s="3"/>
    </row>
    <row r="2" customFormat="false" ht="15" hidden="false" customHeight="false" outlineLevel="0" collapsed="false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B3" s="1"/>
      <c r="C3" s="2"/>
      <c r="D3" s="4"/>
      <c r="E3" s="4"/>
      <c r="F3" s="4"/>
      <c r="G3" s="4"/>
      <c r="H3" s="4"/>
      <c r="I3" s="4"/>
      <c r="J3" s="5"/>
      <c r="K3" s="5"/>
      <c r="L3" s="5"/>
      <c r="M3" s="5"/>
      <c r="N3" s="5"/>
      <c r="O3" s="5"/>
      <c r="P3" s="6" t="s">
        <v>3</v>
      </c>
      <c r="Q3" s="6"/>
      <c r="R3" s="6"/>
      <c r="S3" s="6"/>
      <c r="T3" s="6"/>
      <c r="U3" s="7"/>
      <c r="V3" s="4"/>
      <c r="W3" s="4"/>
      <c r="X3" s="4"/>
      <c r="Y3" s="4"/>
      <c r="Z3" s="4"/>
    </row>
    <row r="4" customFormat="false" ht="15" hidden="false" customHeight="false" outlineLevel="0" collapsed="false">
      <c r="A4" s="1" t="s">
        <v>4</v>
      </c>
      <c r="B4" s="1" t="n">
        <v>5</v>
      </c>
      <c r="C4" s="8" t="s">
        <v>5</v>
      </c>
      <c r="D4" s="1" t="s">
        <v>6</v>
      </c>
      <c r="E4" s="1" t="s">
        <v>7</v>
      </c>
      <c r="F4" s="1" t="s">
        <v>8</v>
      </c>
      <c r="G4" s="9" t="s">
        <v>9</v>
      </c>
      <c r="H4" s="9"/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0" t="s">
        <v>17</v>
      </c>
      <c r="Q4" s="11" t="s">
        <v>18</v>
      </c>
      <c r="R4" s="11" t="s">
        <v>19</v>
      </c>
      <c r="S4" s="11" t="s">
        <v>20</v>
      </c>
      <c r="T4" s="12" t="s">
        <v>21</v>
      </c>
      <c r="U4" s="1" t="s">
        <v>10</v>
      </c>
      <c r="V4" s="1" t="s">
        <v>22</v>
      </c>
      <c r="W4" s="1" t="s">
        <v>23</v>
      </c>
      <c r="X4" s="13" t="s">
        <v>24</v>
      </c>
      <c r="Y4" s="13"/>
      <c r="Z4" s="1" t="s">
        <v>10</v>
      </c>
      <c r="AA4" s="1" t="s">
        <v>25</v>
      </c>
    </row>
    <row r="5" customFormat="false" ht="15" hidden="false" customHeight="true" outlineLevel="0" collapsed="false">
      <c r="A5" s="14" t="s">
        <v>26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customFormat="false" ht="15" hidden="false" customHeight="true" outlineLevel="0" collapsed="false">
      <c r="A6" s="15" t="s">
        <v>27</v>
      </c>
      <c r="B6" s="4"/>
      <c r="C6" s="16" t="n">
        <v>41520</v>
      </c>
      <c r="D6" s="1" t="n">
        <v>19.5</v>
      </c>
      <c r="E6" s="1" t="n">
        <v>10.8</v>
      </c>
      <c r="F6" s="17" t="n">
        <v>26.4</v>
      </c>
      <c r="G6" s="1" t="n">
        <f aca="false">D6</f>
        <v>19.5</v>
      </c>
      <c r="I6" s="18" t="s">
        <v>28</v>
      </c>
      <c r="J6" s="1" t="n">
        <v>0</v>
      </c>
      <c r="K6" s="1" t="n">
        <f aca="false">J6</f>
        <v>0</v>
      </c>
      <c r="L6" s="1" t="n">
        <v>5.4</v>
      </c>
      <c r="M6" s="1" t="n">
        <f aca="false">L6</f>
        <v>5.4</v>
      </c>
      <c r="N6" s="19" t="n">
        <f aca="false">J6-L6</f>
        <v>-5.4</v>
      </c>
      <c r="O6" s="20" t="n">
        <v>0</v>
      </c>
      <c r="P6" s="21" t="n">
        <v>1</v>
      </c>
      <c r="Q6" s="22" t="n">
        <v>0.35</v>
      </c>
      <c r="R6" s="23" t="n">
        <f aca="false">Q6*L6</f>
        <v>1.89</v>
      </c>
      <c r="S6" s="23" t="n">
        <f aca="false">J6-R6</f>
        <v>-1.89</v>
      </c>
      <c r="T6" s="24" t="n">
        <v>0</v>
      </c>
      <c r="U6" s="18" t="s">
        <v>29</v>
      </c>
      <c r="V6" s="1" t="n">
        <v>2247.1</v>
      </c>
      <c r="W6" s="1" t="n">
        <f aca="false">V6/D6</f>
        <v>115.235897435897</v>
      </c>
      <c r="X6" s="1" t="n">
        <f aca="false">V6</f>
        <v>2247.1</v>
      </c>
      <c r="Z6" s="18" t="s">
        <v>30</v>
      </c>
      <c r="AA6" s="1" t="n">
        <v>13.2983685393283</v>
      </c>
    </row>
    <row r="7" customFormat="false" ht="15" hidden="false" customHeight="false" outlineLevel="0" collapsed="false">
      <c r="A7" s="15"/>
      <c r="B7" s="4"/>
      <c r="C7" s="16" t="n">
        <v>41521</v>
      </c>
      <c r="D7" s="1" t="n">
        <v>22.6</v>
      </c>
      <c r="E7" s="1" t="n">
        <v>12.2</v>
      </c>
      <c r="F7" s="17" t="n">
        <v>31.3</v>
      </c>
      <c r="G7" s="1" t="n">
        <f aca="false">G6+D7</f>
        <v>42.1</v>
      </c>
      <c r="I7" s="1" t="n">
        <f aca="false">MIN(E6:E79)</f>
        <v>-0.2</v>
      </c>
      <c r="J7" s="1" t="n">
        <v>0</v>
      </c>
      <c r="K7" s="1" t="n">
        <f aca="false">K6+J7</f>
        <v>0</v>
      </c>
      <c r="L7" s="1" t="n">
        <v>5.8</v>
      </c>
      <c r="M7" s="1" t="n">
        <f aca="false">M6+L7</f>
        <v>11.2</v>
      </c>
      <c r="N7" s="19" t="n">
        <f aca="false">J7-L7</f>
        <v>-5.8</v>
      </c>
      <c r="O7" s="20" t="n">
        <v>0</v>
      </c>
      <c r="P7" s="21" t="n">
        <v>2</v>
      </c>
      <c r="Q7" s="22" t="n">
        <v>0.35</v>
      </c>
      <c r="R7" s="23" t="n">
        <f aca="false">Q7*L7</f>
        <v>2.03</v>
      </c>
      <c r="S7" s="23" t="n">
        <f aca="false">J7-R7</f>
        <v>-2.03</v>
      </c>
      <c r="T7" s="24" t="n">
        <v>0</v>
      </c>
      <c r="U7" s="22" t="n">
        <v>36</v>
      </c>
      <c r="V7" s="1" t="n">
        <v>2357.5</v>
      </c>
      <c r="W7" s="1" t="n">
        <f aca="false">V7/D7</f>
        <v>104.314159292035</v>
      </c>
      <c r="X7" s="1" t="n">
        <f aca="false">X6+V7</f>
        <v>4604.6</v>
      </c>
      <c r="Z7" s="1" t="n">
        <v>59193.6</v>
      </c>
      <c r="AA7" s="1" t="n">
        <v>13.2443065002529</v>
      </c>
    </row>
    <row r="8" customFormat="false" ht="15" hidden="false" customHeight="false" outlineLevel="0" collapsed="false">
      <c r="A8" s="15"/>
      <c r="B8" s="4"/>
      <c r="C8" s="16" t="n">
        <v>41522</v>
      </c>
      <c r="D8" s="1" t="n">
        <v>23.2</v>
      </c>
      <c r="E8" s="1" t="n">
        <v>13.9</v>
      </c>
      <c r="F8" s="17" t="n">
        <v>30.8</v>
      </c>
      <c r="G8" s="1" t="n">
        <f aca="false">G7+D8</f>
        <v>65.3</v>
      </c>
      <c r="I8" s="18" t="s">
        <v>31</v>
      </c>
      <c r="J8" s="1" t="n">
        <v>0</v>
      </c>
      <c r="K8" s="1" t="n">
        <f aca="false">K7+J8</f>
        <v>0</v>
      </c>
      <c r="L8" s="1" t="n">
        <v>5.8</v>
      </c>
      <c r="M8" s="1" t="n">
        <f aca="false">M7+L8</f>
        <v>17</v>
      </c>
      <c r="N8" s="19" t="n">
        <f aca="false">J8-L8</f>
        <v>-5.8</v>
      </c>
      <c r="O8" s="20" t="n">
        <v>0</v>
      </c>
      <c r="P8" s="21" t="n">
        <v>3</v>
      </c>
      <c r="Q8" s="22" t="n">
        <v>0.35</v>
      </c>
      <c r="R8" s="23" t="n">
        <f aca="false">Q8*L8</f>
        <v>2.03</v>
      </c>
      <c r="S8" s="23" t="n">
        <f aca="false">J8-R8</f>
        <v>-2.03</v>
      </c>
      <c r="T8" s="24" t="n">
        <v>0</v>
      </c>
      <c r="U8" s="18" t="s">
        <v>32</v>
      </c>
      <c r="V8" s="1" t="n">
        <v>2364.8</v>
      </c>
      <c r="W8" s="1" t="n">
        <f aca="false">V8/D8</f>
        <v>101.931034482759</v>
      </c>
      <c r="X8" s="1" t="n">
        <f aca="false">X7+V8</f>
        <v>6969.4</v>
      </c>
      <c r="Z8" s="18" t="s">
        <v>33</v>
      </c>
      <c r="AA8" s="1" t="n">
        <v>13.190107175532</v>
      </c>
    </row>
    <row r="9" customFormat="false" ht="15" hidden="false" customHeight="false" outlineLevel="0" collapsed="false">
      <c r="A9" s="15"/>
      <c r="B9" s="4"/>
      <c r="C9" s="16" t="n">
        <v>41523</v>
      </c>
      <c r="D9" s="1" t="n">
        <v>18</v>
      </c>
      <c r="E9" s="1" t="n">
        <v>16.3</v>
      </c>
      <c r="F9" s="1" t="n">
        <v>20.5</v>
      </c>
      <c r="G9" s="1" t="n">
        <f aca="false">G8+D9</f>
        <v>83.3</v>
      </c>
      <c r="I9" s="1" t="n">
        <f aca="false">MAX(F6:F79)</f>
        <v>31.3</v>
      </c>
      <c r="J9" s="1" t="n">
        <v>5.2</v>
      </c>
      <c r="K9" s="1" t="n">
        <f aca="false">K8+J9</f>
        <v>5.2</v>
      </c>
      <c r="L9" s="1" t="n">
        <v>2.2</v>
      </c>
      <c r="M9" s="1" t="n">
        <f aca="false">M8+L9</f>
        <v>19.2</v>
      </c>
      <c r="N9" s="1" t="n">
        <f aca="false">J9-L9</f>
        <v>3</v>
      </c>
      <c r="O9" s="25" t="n">
        <v>3</v>
      </c>
      <c r="P9" s="21" t="n">
        <v>4</v>
      </c>
      <c r="Q9" s="22" t="n">
        <v>0.35</v>
      </c>
      <c r="R9" s="23" t="n">
        <f aca="false">Q9*L9</f>
        <v>0.77</v>
      </c>
      <c r="S9" s="23" t="n">
        <f aca="false">J9-R9</f>
        <v>4.43</v>
      </c>
      <c r="T9" s="26" t="n">
        <f aca="false">MIN(122.1,(T8+S9))</f>
        <v>4.43</v>
      </c>
      <c r="U9" s="1" t="n">
        <v>3</v>
      </c>
      <c r="V9" s="27" t="n">
        <v>709.2</v>
      </c>
      <c r="W9" s="1" t="n">
        <f aca="false">V9/D9</f>
        <v>39.4</v>
      </c>
      <c r="X9" s="1" t="n">
        <f aca="false">X8+V9</f>
        <v>7678.6</v>
      </c>
      <c r="Z9" s="28" t="n">
        <f aca="false">(Z7/100)/I19</f>
        <v>0.569497787184914</v>
      </c>
      <c r="AA9" s="1" t="n">
        <v>13.1357783717981</v>
      </c>
    </row>
    <row r="10" customFormat="false" ht="15" hidden="false" customHeight="false" outlineLevel="0" collapsed="false">
      <c r="A10" s="15"/>
      <c r="B10" s="4"/>
      <c r="C10" s="16" t="n">
        <v>41524</v>
      </c>
      <c r="D10" s="1" t="n">
        <v>15.1</v>
      </c>
      <c r="E10" s="1" t="n">
        <v>12.2</v>
      </c>
      <c r="F10" s="1" t="n">
        <v>18.6</v>
      </c>
      <c r="G10" s="1" t="n">
        <f aca="false">G9+D10</f>
        <v>98.4</v>
      </c>
      <c r="I10" s="18" t="s">
        <v>34</v>
      </c>
      <c r="J10" s="1" t="n">
        <v>0.7</v>
      </c>
      <c r="K10" s="1" t="n">
        <f aca="false">K9+J10</f>
        <v>5.9</v>
      </c>
      <c r="L10" s="1" t="n">
        <v>1.6</v>
      </c>
      <c r="M10" s="1" t="n">
        <f aca="false">M9+L10</f>
        <v>20.8</v>
      </c>
      <c r="N10" s="19" t="n">
        <f aca="false">J10-L10</f>
        <v>-0.9</v>
      </c>
      <c r="O10" s="25" t="n">
        <f aca="false">O9+N10</f>
        <v>2.1</v>
      </c>
      <c r="P10" s="21" t="n">
        <v>5</v>
      </c>
      <c r="Q10" s="22" t="n">
        <v>0.35</v>
      </c>
      <c r="R10" s="23" t="n">
        <f aca="false">Q10*L10</f>
        <v>0.56</v>
      </c>
      <c r="S10" s="23" t="n">
        <f aca="false">J10-R10</f>
        <v>0.14</v>
      </c>
      <c r="T10" s="26" t="n">
        <f aca="false">MIN(122.1,(T9+S10))</f>
        <v>4.57</v>
      </c>
      <c r="U10" s="18" t="s">
        <v>35</v>
      </c>
      <c r="V10" s="1" t="n">
        <v>941.8</v>
      </c>
      <c r="W10" s="1" t="n">
        <f aca="false">V10/D10</f>
        <v>62.3708609271523</v>
      </c>
      <c r="X10" s="1" t="n">
        <f aca="false">X9+V10</f>
        <v>8620.4</v>
      </c>
      <c r="Z10" s="18" t="s">
        <v>36</v>
      </c>
      <c r="AA10" s="1" t="n">
        <v>13.0813276394292</v>
      </c>
    </row>
    <row r="11" customFormat="false" ht="15" hidden="false" customHeight="false" outlineLevel="0" collapsed="false">
      <c r="A11" s="15"/>
      <c r="B11" s="4"/>
      <c r="C11" s="16" t="n">
        <v>41525</v>
      </c>
      <c r="D11" s="1" t="n">
        <v>14.9</v>
      </c>
      <c r="E11" s="1" t="n">
        <v>11.5</v>
      </c>
      <c r="F11" s="1" t="n">
        <v>18</v>
      </c>
      <c r="G11" s="1" t="n">
        <f aca="false">G10+D11</f>
        <v>113.3</v>
      </c>
      <c r="I11" s="29" t="n">
        <f aca="false">AVERAGE(D6:D79)</f>
        <v>14.0459459459459</v>
      </c>
      <c r="J11" s="1" t="n">
        <v>0</v>
      </c>
      <c r="K11" s="1" t="n">
        <f aca="false">K10+J11</f>
        <v>5.9</v>
      </c>
      <c r="L11" s="1" t="n">
        <v>2.1</v>
      </c>
      <c r="M11" s="1" t="n">
        <f aca="false">M10+L11</f>
        <v>22.9</v>
      </c>
      <c r="N11" s="19" t="n">
        <f aca="false">J11-L11</f>
        <v>-2.1</v>
      </c>
      <c r="O11" s="25" t="n">
        <f aca="false">O10+N11</f>
        <v>0</v>
      </c>
      <c r="P11" s="21" t="n">
        <v>6</v>
      </c>
      <c r="Q11" s="22" t="n">
        <v>0.35</v>
      </c>
      <c r="R11" s="23" t="n">
        <f aca="false">Q11*L11</f>
        <v>0.735</v>
      </c>
      <c r="S11" s="23" t="n">
        <f aca="false">J11-R11</f>
        <v>-0.735</v>
      </c>
      <c r="T11" s="26" t="n">
        <f aca="false">MIN(122.1,(T10+S11))</f>
        <v>3.835</v>
      </c>
      <c r="U11" s="1" t="n">
        <v>28</v>
      </c>
      <c r="V11" s="1" t="n">
        <v>1081.1</v>
      </c>
      <c r="W11" s="1" t="n">
        <f aca="false">V11/D11</f>
        <v>72.5570469798658</v>
      </c>
      <c r="X11" s="1" t="n">
        <f aca="false">X10+V11</f>
        <v>9701.5</v>
      </c>
      <c r="Z11" s="1" t="n">
        <v>48</v>
      </c>
      <c r="AA11" s="1" t="n">
        <v>13.0267622867635</v>
      </c>
    </row>
    <row r="12" customFormat="false" ht="15" hidden="false" customHeight="false" outlineLevel="0" collapsed="false">
      <c r="A12" s="15"/>
      <c r="B12" s="4"/>
      <c r="C12" s="16" t="n">
        <v>41526</v>
      </c>
      <c r="D12" s="1" t="n">
        <v>15</v>
      </c>
      <c r="E12" s="1" t="n">
        <v>11.8</v>
      </c>
      <c r="F12" s="1" t="n">
        <v>18.4</v>
      </c>
      <c r="G12" s="1" t="n">
        <f aca="false">G11+D12</f>
        <v>128.3</v>
      </c>
      <c r="I12" s="18" t="s">
        <v>37</v>
      </c>
      <c r="J12" s="1" t="n">
        <v>0.8</v>
      </c>
      <c r="K12" s="1" t="n">
        <f aca="false">K11+J12</f>
        <v>6.7</v>
      </c>
      <c r="L12" s="1" t="n">
        <v>2</v>
      </c>
      <c r="M12" s="1" t="n">
        <f aca="false">M11+L12</f>
        <v>24.9</v>
      </c>
      <c r="N12" s="19" t="n">
        <f aca="false">J12-L12</f>
        <v>-1.2</v>
      </c>
      <c r="O12" s="25" t="n">
        <v>0</v>
      </c>
      <c r="P12" s="21" t="n">
        <v>7</v>
      </c>
      <c r="Q12" s="22" t="n">
        <v>0.35</v>
      </c>
      <c r="R12" s="23" t="n">
        <f aca="false">Q12*L12</f>
        <v>0.7</v>
      </c>
      <c r="S12" s="23" t="n">
        <f aca="false">J12-R12</f>
        <v>0.1</v>
      </c>
      <c r="T12" s="26" t="n">
        <f aca="false">MIN(122.1,(T11+S12))</f>
        <v>3.935</v>
      </c>
      <c r="U12" s="18" t="s">
        <v>38</v>
      </c>
      <c r="V12" s="27" t="n">
        <v>615</v>
      </c>
      <c r="W12" s="1" t="n">
        <f aca="false">V12/D12</f>
        <v>41</v>
      </c>
      <c r="X12" s="1" t="n">
        <f aca="false">X11+V12</f>
        <v>10316.5</v>
      </c>
      <c r="AA12" s="1" t="n">
        <v>12.9720893944409</v>
      </c>
    </row>
    <row r="13" customFormat="false" ht="15" hidden="false" customHeight="false" outlineLevel="0" collapsed="false">
      <c r="A13" s="15"/>
      <c r="B13" s="4"/>
      <c r="C13" s="16" t="n">
        <v>41527</v>
      </c>
      <c r="D13" s="1" t="n">
        <v>15.3</v>
      </c>
      <c r="E13" s="1" t="n">
        <v>13</v>
      </c>
      <c r="F13" s="1" t="n">
        <v>18.5</v>
      </c>
      <c r="G13" s="1" t="n">
        <f aca="false">G12+D13</f>
        <v>143.6</v>
      </c>
      <c r="I13" s="1" t="n">
        <v>1</v>
      </c>
      <c r="J13" s="1" t="n">
        <v>0</v>
      </c>
      <c r="K13" s="1" t="n">
        <f aca="false">K12+J13</f>
        <v>6.7</v>
      </c>
      <c r="L13" s="1" t="n">
        <v>3</v>
      </c>
      <c r="M13" s="1" t="n">
        <f aca="false">M12+L13</f>
        <v>27.9</v>
      </c>
      <c r="N13" s="19" t="n">
        <f aca="false">J13-L13</f>
        <v>-3</v>
      </c>
      <c r="O13" s="25" t="n">
        <v>0</v>
      </c>
      <c r="P13" s="21" t="n">
        <v>8</v>
      </c>
      <c r="Q13" s="22" t="n">
        <v>0.35</v>
      </c>
      <c r="R13" s="23" t="n">
        <f aca="false">Q13*L13</f>
        <v>1.05</v>
      </c>
      <c r="S13" s="23" t="n">
        <f aca="false">J13-R13</f>
        <v>-1.05</v>
      </c>
      <c r="T13" s="26" t="n">
        <f aca="false">MIN(122.1,(T12+S13))</f>
        <v>2.885</v>
      </c>
      <c r="U13" s="1" t="n">
        <v>0</v>
      </c>
      <c r="V13" s="1" t="n">
        <v>1516.8</v>
      </c>
      <c r="W13" s="1" t="n">
        <f aca="false">V13/D13</f>
        <v>99.1372549019608</v>
      </c>
      <c r="X13" s="1" t="n">
        <f aca="false">X12+V13</f>
        <v>11833.3</v>
      </c>
      <c r="AA13" s="1" t="n">
        <v>12.9173158298578</v>
      </c>
    </row>
    <row r="14" customFormat="false" ht="15" hidden="false" customHeight="false" outlineLevel="0" collapsed="false">
      <c r="A14" s="15"/>
      <c r="B14" s="4"/>
      <c r="C14" s="16" t="n">
        <v>41528</v>
      </c>
      <c r="D14" s="1" t="n">
        <v>13.1</v>
      </c>
      <c r="E14" s="1" t="n">
        <v>9</v>
      </c>
      <c r="F14" s="1" t="n">
        <v>16.6</v>
      </c>
      <c r="G14" s="1" t="n">
        <f aca="false">G13+D14</f>
        <v>156.7</v>
      </c>
      <c r="I14" s="18" t="s">
        <v>39</v>
      </c>
      <c r="J14" s="1" t="n">
        <v>0.3</v>
      </c>
      <c r="K14" s="1" t="n">
        <f aca="false">K13+J14</f>
        <v>7</v>
      </c>
      <c r="L14" s="1" t="n">
        <v>2</v>
      </c>
      <c r="M14" s="1" t="n">
        <f aca="false">M13+L14</f>
        <v>29.9</v>
      </c>
      <c r="N14" s="19" t="n">
        <f aca="false">J14-L14</f>
        <v>-1.7</v>
      </c>
      <c r="O14" s="25" t="n">
        <v>0</v>
      </c>
      <c r="P14" s="21" t="n">
        <v>9</v>
      </c>
      <c r="Q14" s="22" t="n">
        <f aca="false">0.35+((P14-8)/66)*(1-0.35)</f>
        <v>0.359848484848485</v>
      </c>
      <c r="R14" s="23" t="n">
        <f aca="false">Q14*L14</f>
        <v>0.71969696969697</v>
      </c>
      <c r="S14" s="23" t="n">
        <f aca="false">J14-R14</f>
        <v>-0.41969696969697</v>
      </c>
      <c r="T14" s="26" t="n">
        <f aca="false">MIN(122.1,(T13+S14))</f>
        <v>2.46530303030303</v>
      </c>
      <c r="U14" s="18" t="s">
        <v>40</v>
      </c>
      <c r="V14" s="1" t="n">
        <v>1078.6</v>
      </c>
      <c r="W14" s="1" t="n">
        <f aca="false">V14/D14</f>
        <v>82.3358778625954</v>
      </c>
      <c r="X14" s="1" t="n">
        <f aca="false">X13+V14</f>
        <v>12911.9</v>
      </c>
      <c r="AA14" s="1" t="n">
        <v>12.8624482617226</v>
      </c>
    </row>
    <row r="15" customFormat="false" ht="15" hidden="false" customHeight="false" outlineLevel="0" collapsed="false">
      <c r="A15" s="15"/>
      <c r="B15" s="4"/>
      <c r="C15" s="16" t="n">
        <v>41529</v>
      </c>
      <c r="D15" s="1" t="n">
        <v>14</v>
      </c>
      <c r="E15" s="1" t="n">
        <v>11.8</v>
      </c>
      <c r="F15" s="1" t="n">
        <v>16.1</v>
      </c>
      <c r="G15" s="1" t="n">
        <f aca="false">G14+D15</f>
        <v>170.7</v>
      </c>
      <c r="I15" s="1" t="n">
        <v>5</v>
      </c>
      <c r="J15" s="1" t="n">
        <v>0.2</v>
      </c>
      <c r="K15" s="1" t="n">
        <f aca="false">K14+J15</f>
        <v>7.2</v>
      </c>
      <c r="L15" s="1" t="n">
        <v>1.2</v>
      </c>
      <c r="M15" s="1" t="n">
        <f aca="false">M14+L15</f>
        <v>31.1</v>
      </c>
      <c r="N15" s="19" t="n">
        <f aca="false">J15-L15</f>
        <v>-1</v>
      </c>
      <c r="O15" s="25" t="n">
        <v>0</v>
      </c>
      <c r="P15" s="21" t="n">
        <v>10</v>
      </c>
      <c r="Q15" s="22" t="n">
        <f aca="false">0.35+((P15-8)/66)*(1-0.35)</f>
        <v>0.36969696969697</v>
      </c>
      <c r="R15" s="23" t="n">
        <f aca="false">Q15*L15</f>
        <v>0.443636363636364</v>
      </c>
      <c r="S15" s="23" t="n">
        <f aca="false">J15-R15</f>
        <v>-0.243636363636364</v>
      </c>
      <c r="T15" s="26" t="n">
        <f aca="false">MIN(122.1,(T14+S15))</f>
        <v>2.22166666666667</v>
      </c>
      <c r="U15" s="1" t="n">
        <f aca="false">MAX(T6:T79)</f>
        <v>122.1</v>
      </c>
      <c r="V15" s="27" t="n">
        <v>577.9</v>
      </c>
      <c r="W15" s="1" t="n">
        <f aca="false">V15/D15</f>
        <v>41.2785714285714</v>
      </c>
      <c r="X15" s="1" t="n">
        <f aca="false">X14+V15</f>
        <v>13489.8</v>
      </c>
      <c r="AA15" s="1" t="n">
        <v>12.8074931747038</v>
      </c>
    </row>
    <row r="16" customFormat="false" ht="15" hidden="false" customHeight="false" outlineLevel="0" collapsed="false">
      <c r="A16" s="15"/>
      <c r="B16" s="4"/>
      <c r="C16" s="16" t="n">
        <v>41530</v>
      </c>
      <c r="D16" s="1" t="n">
        <v>16.9</v>
      </c>
      <c r="E16" s="1" t="n">
        <v>12.7</v>
      </c>
      <c r="F16" s="1" t="n">
        <v>19.7</v>
      </c>
      <c r="G16" s="1" t="n">
        <f aca="false">G15+D16</f>
        <v>187.6</v>
      </c>
      <c r="I16" s="18" t="s">
        <v>41</v>
      </c>
      <c r="J16" s="1" t="n">
        <v>0</v>
      </c>
      <c r="K16" s="1" t="n">
        <f aca="false">K15+J16</f>
        <v>7.2</v>
      </c>
      <c r="L16" s="1" t="n">
        <v>1.1</v>
      </c>
      <c r="M16" s="1" t="n">
        <f aca="false">M15+L16</f>
        <v>32.2</v>
      </c>
      <c r="N16" s="19" t="n">
        <f aca="false">J16-L16</f>
        <v>-1.1</v>
      </c>
      <c r="O16" s="25" t="n">
        <v>0</v>
      </c>
      <c r="P16" s="21" t="n">
        <v>11</v>
      </c>
      <c r="Q16" s="22" t="n">
        <f aca="false">0.35+((P16-8)/66)*(1-0.35)</f>
        <v>0.379545454545455</v>
      </c>
      <c r="R16" s="23" t="n">
        <f aca="false">Q16*L16</f>
        <v>0.4175</v>
      </c>
      <c r="S16" s="23" t="n">
        <f aca="false">J16-R16</f>
        <v>-0.4175</v>
      </c>
      <c r="T16" s="26" t="n">
        <f aca="false">MIN(122.1,(T15+S16))</f>
        <v>1.80416666666667</v>
      </c>
      <c r="U16" s="18" t="s">
        <v>42</v>
      </c>
      <c r="V16" s="27" t="n">
        <v>644.7</v>
      </c>
      <c r="W16" s="1" t="n">
        <f aca="false">V16/D16</f>
        <v>38.1479289940829</v>
      </c>
      <c r="X16" s="1" t="n">
        <f aca="false">X15+V16</f>
        <v>14134.5</v>
      </c>
      <c r="AA16" s="1" t="n">
        <v>12.7524568841618</v>
      </c>
    </row>
    <row r="17" customFormat="false" ht="15" hidden="false" customHeight="false" outlineLevel="0" collapsed="false">
      <c r="A17" s="15"/>
      <c r="B17" s="4"/>
      <c r="C17" s="16" t="n">
        <v>41531</v>
      </c>
      <c r="D17" s="1" t="n">
        <v>15.6</v>
      </c>
      <c r="E17" s="1" t="n">
        <v>15.2</v>
      </c>
      <c r="F17" s="1" t="n">
        <v>16.9</v>
      </c>
      <c r="G17" s="1" t="n">
        <f aca="false">G16+D17</f>
        <v>203.2</v>
      </c>
      <c r="I17" s="1" t="n">
        <v>5</v>
      </c>
      <c r="J17" s="1" t="n">
        <v>30.5</v>
      </c>
      <c r="K17" s="1" t="n">
        <f aca="false">K16+J17</f>
        <v>37.7</v>
      </c>
      <c r="L17" s="1" t="n">
        <v>1</v>
      </c>
      <c r="M17" s="1" t="n">
        <f aca="false">M16+L17</f>
        <v>33.2</v>
      </c>
      <c r="N17" s="1" t="n">
        <f aca="false">J17-L17</f>
        <v>29.5</v>
      </c>
      <c r="O17" s="25" t="n">
        <f aca="false">O16+N17</f>
        <v>29.5</v>
      </c>
      <c r="P17" s="21" t="n">
        <v>12</v>
      </c>
      <c r="Q17" s="22" t="n">
        <f aca="false">0.35+((P17-8)/66)*(1-0.35)</f>
        <v>0.389393939393939</v>
      </c>
      <c r="R17" s="23" t="n">
        <f aca="false">Q17*L17</f>
        <v>0.389393939393939</v>
      </c>
      <c r="S17" s="23" t="n">
        <f aca="false">J17-R17</f>
        <v>30.1106060606061</v>
      </c>
      <c r="T17" s="26" t="n">
        <f aca="false">MIN(122.1,(T16+S17))</f>
        <v>31.9147727272727</v>
      </c>
      <c r="U17" s="28" t="n">
        <f aca="false">AVERAGE(T6:T79)</f>
        <v>63.9044891482392</v>
      </c>
      <c r="V17" s="27" t="n">
        <v>384.7</v>
      </c>
      <c r="W17" s="1" t="n">
        <f aca="false">V17/D17</f>
        <v>24.6602564102564</v>
      </c>
      <c r="X17" s="1" t="n">
        <f aca="false">X16+V17</f>
        <v>14519.2</v>
      </c>
      <c r="AA17" s="1" t="n">
        <v>12.6973455509591</v>
      </c>
    </row>
    <row r="18" customFormat="false" ht="15" hidden="false" customHeight="false" outlineLevel="0" collapsed="false">
      <c r="A18" s="15"/>
      <c r="B18" s="4"/>
      <c r="C18" s="16" t="n">
        <v>41532</v>
      </c>
      <c r="D18" s="1" t="n">
        <v>14.4</v>
      </c>
      <c r="E18" s="1" t="n">
        <v>11.6</v>
      </c>
      <c r="F18" s="1" t="n">
        <v>17</v>
      </c>
      <c r="G18" s="1" t="n">
        <f aca="false">G17+D18</f>
        <v>217.6</v>
      </c>
      <c r="I18" s="18" t="s">
        <v>43</v>
      </c>
      <c r="J18" s="1" t="n">
        <v>1.5</v>
      </c>
      <c r="K18" s="1" t="n">
        <f aca="false">K17+J18</f>
        <v>39.2</v>
      </c>
      <c r="L18" s="1" t="n">
        <v>2.5</v>
      </c>
      <c r="M18" s="1" t="n">
        <f aca="false">M17+L18</f>
        <v>35.7</v>
      </c>
      <c r="N18" s="19" t="n">
        <f aca="false">J18-L18</f>
        <v>-1</v>
      </c>
      <c r="O18" s="25" t="n">
        <f aca="false">O17+N18</f>
        <v>28.5</v>
      </c>
      <c r="P18" s="21" t="n">
        <v>13</v>
      </c>
      <c r="Q18" s="22" t="n">
        <f aca="false">0.35+((P18-8)/66)*(1-0.35)</f>
        <v>0.399242424242424</v>
      </c>
      <c r="R18" s="23" t="n">
        <f aca="false">Q18*L18</f>
        <v>0.998106060606061</v>
      </c>
      <c r="S18" s="23" t="n">
        <f aca="false">J18-R18</f>
        <v>0.501893939393939</v>
      </c>
      <c r="T18" s="26" t="n">
        <f aca="false">MIN(122.1,(T17+S18))</f>
        <v>32.4166666666667</v>
      </c>
      <c r="U18" s="1" t="n">
        <f aca="false">(U17*100)/122.1</f>
        <v>52.3378289502368</v>
      </c>
      <c r="V18" s="1" t="n">
        <v>1454.1</v>
      </c>
      <c r="W18" s="1" t="n">
        <f aca="false">V18/D18</f>
        <v>100.979166666667</v>
      </c>
      <c r="X18" s="1" t="n">
        <f aca="false">X17+V18</f>
        <v>15973.3</v>
      </c>
      <c r="AA18" s="1" t="n">
        <v>12.6421651963439</v>
      </c>
    </row>
    <row r="19" customFormat="false" ht="15" hidden="false" customHeight="false" outlineLevel="0" collapsed="false">
      <c r="A19" s="15"/>
      <c r="B19" s="4"/>
      <c r="C19" s="16" t="n">
        <v>41533</v>
      </c>
      <c r="D19" s="1" t="n">
        <v>13.3</v>
      </c>
      <c r="E19" s="1" t="n">
        <v>12.4</v>
      </c>
      <c r="F19" s="1" t="n">
        <v>16.6</v>
      </c>
      <c r="G19" s="1" t="n">
        <f aca="false">G18+D19</f>
        <v>230.9</v>
      </c>
      <c r="I19" s="1" t="n">
        <v>1039.4</v>
      </c>
      <c r="J19" s="1" t="n">
        <v>2.1</v>
      </c>
      <c r="K19" s="1" t="n">
        <f aca="false">K18+J19</f>
        <v>41.3</v>
      </c>
      <c r="L19" s="1" t="n">
        <v>2.8</v>
      </c>
      <c r="M19" s="1" t="n">
        <f aca="false">M18+L19</f>
        <v>38.5</v>
      </c>
      <c r="N19" s="19" t="n">
        <f aca="false">J19-L19</f>
        <v>-0.7</v>
      </c>
      <c r="O19" s="25" t="n">
        <f aca="false">O18+N19</f>
        <v>27.8</v>
      </c>
      <c r="P19" s="21" t="n">
        <v>14</v>
      </c>
      <c r="Q19" s="22" t="n">
        <f aca="false">0.35+((P19-8)/66)*(1-0.35)</f>
        <v>0.409090909090909</v>
      </c>
      <c r="R19" s="23" t="n">
        <f aca="false">Q19*L19</f>
        <v>1.14545454545455</v>
      </c>
      <c r="S19" s="23" t="n">
        <f aca="false">J19-R19</f>
        <v>0.954545454545455</v>
      </c>
      <c r="T19" s="26" t="n">
        <f aca="false">MIN(122.1,(T18+S19))</f>
        <v>33.3712121212121</v>
      </c>
      <c r="U19" s="29"/>
      <c r="V19" s="1" t="n">
        <v>1137.9</v>
      </c>
      <c r="W19" s="1" t="n">
        <f aca="false">V19/D19</f>
        <v>85.5563909774436</v>
      </c>
      <c r="X19" s="1" t="n">
        <f aca="false">X18+V19</f>
        <v>17111.2</v>
      </c>
      <c r="AA19" s="1" t="n">
        <v>12.5869217169038</v>
      </c>
    </row>
    <row r="20" customFormat="false" ht="15" hidden="false" customHeight="false" outlineLevel="0" collapsed="false">
      <c r="A20" s="15"/>
      <c r="B20" s="4"/>
      <c r="C20" s="16" t="n">
        <v>41534</v>
      </c>
      <c r="D20" s="1" t="n">
        <v>13</v>
      </c>
      <c r="E20" s="1" t="n">
        <v>9.3</v>
      </c>
      <c r="F20" s="1" t="n">
        <v>16.5</v>
      </c>
      <c r="G20" s="1" t="n">
        <f aca="false">G19+D20</f>
        <v>243.9</v>
      </c>
      <c r="J20" s="1" t="n">
        <v>3.3</v>
      </c>
      <c r="K20" s="1" t="n">
        <f aca="false">K19+J20</f>
        <v>44.6</v>
      </c>
      <c r="L20" s="1" t="n">
        <v>1.6</v>
      </c>
      <c r="M20" s="1" t="n">
        <f aca="false">M19+L20</f>
        <v>40.1</v>
      </c>
      <c r="N20" s="1" t="n">
        <f aca="false">J20-L20</f>
        <v>1.7</v>
      </c>
      <c r="O20" s="25" t="n">
        <f aca="false">O19+N20</f>
        <v>29.5</v>
      </c>
      <c r="P20" s="21" t="n">
        <v>15</v>
      </c>
      <c r="Q20" s="22" t="n">
        <f aca="false">0.35+((P20-8)/66)*(1-0.35)</f>
        <v>0.418939393939394</v>
      </c>
      <c r="R20" s="23" t="n">
        <f aca="false">Q20*L20</f>
        <v>0.67030303030303</v>
      </c>
      <c r="S20" s="23" t="n">
        <f aca="false">J20-R20</f>
        <v>2.62969696969697</v>
      </c>
      <c r="T20" s="26" t="n">
        <f aca="false">MIN(122.1,(T19+S20))</f>
        <v>36.0009090909091</v>
      </c>
      <c r="V20" s="27" t="n">
        <v>708.9</v>
      </c>
      <c r="W20" s="1" t="n">
        <f aca="false">V20/D20</f>
        <v>54.5307692307692</v>
      </c>
      <c r="X20" s="1" t="n">
        <f aca="false">X19+V20</f>
        <v>17820.1</v>
      </c>
      <c r="AA20" s="1" t="n">
        <v>12.5316208995887</v>
      </c>
    </row>
    <row r="21" customFormat="false" ht="15" hidden="false" customHeight="false" outlineLevel="0" collapsed="false">
      <c r="A21" s="15"/>
      <c r="B21" s="4"/>
      <c r="C21" s="16" t="n">
        <v>41535</v>
      </c>
      <c r="D21" s="1" t="n">
        <v>16.1</v>
      </c>
      <c r="E21" s="1" t="n">
        <v>14.3</v>
      </c>
      <c r="F21" s="1" t="n">
        <v>17.6</v>
      </c>
      <c r="G21" s="1" t="n">
        <f aca="false">G20+D21</f>
        <v>260</v>
      </c>
      <c r="J21" s="1" t="n">
        <v>2.8</v>
      </c>
      <c r="K21" s="1" t="n">
        <f aca="false">K20+J21</f>
        <v>47.4</v>
      </c>
      <c r="L21" s="1" t="n">
        <v>2</v>
      </c>
      <c r="M21" s="1" t="n">
        <f aca="false">M20+L21</f>
        <v>42.1</v>
      </c>
      <c r="N21" s="1" t="n">
        <f aca="false">J21-L21</f>
        <v>0.8</v>
      </c>
      <c r="O21" s="25" t="n">
        <f aca="false">O20+N21</f>
        <v>30.3</v>
      </c>
      <c r="P21" s="21" t="n">
        <v>16</v>
      </c>
      <c r="Q21" s="22" t="n">
        <f aca="false">0.35+((P21-8)/66)*(1-0.35)</f>
        <v>0.428787878787879</v>
      </c>
      <c r="R21" s="23" t="n">
        <f aca="false">Q21*L21</f>
        <v>0.857575757575758</v>
      </c>
      <c r="S21" s="23" t="n">
        <f aca="false">J21-R21</f>
        <v>1.94242424242424</v>
      </c>
      <c r="T21" s="26" t="n">
        <f aca="false">MIN(122.1,(T20+S21))</f>
        <v>37.9433333333333</v>
      </c>
      <c r="V21" s="1" t="n">
        <v>1084.4</v>
      </c>
      <c r="W21" s="1" t="n">
        <f aca="false">V21/D21</f>
        <v>67.3540372670807</v>
      </c>
      <c r="X21" s="1" t="n">
        <f aca="false">X20+V21</f>
        <v>18904.5</v>
      </c>
      <c r="AA21" s="1" t="n">
        <v>12.4762684368008</v>
      </c>
    </row>
    <row r="22" customFormat="false" ht="15" hidden="false" customHeight="false" outlineLevel="0" collapsed="false">
      <c r="A22" s="15"/>
      <c r="B22" s="4"/>
      <c r="C22" s="16" t="n">
        <v>41536</v>
      </c>
      <c r="D22" s="1" t="n">
        <v>12.9</v>
      </c>
      <c r="E22" s="1" t="n">
        <v>8.7</v>
      </c>
      <c r="F22" s="1" t="n">
        <v>15.5</v>
      </c>
      <c r="G22" s="1" t="n">
        <f aca="false">G21+D22</f>
        <v>272.9</v>
      </c>
      <c r="J22" s="1" t="n">
        <v>1.5</v>
      </c>
      <c r="K22" s="1" t="n">
        <f aca="false">K21+J22</f>
        <v>48.9</v>
      </c>
      <c r="L22" s="1" t="n">
        <v>1.2</v>
      </c>
      <c r="M22" s="1" t="n">
        <f aca="false">M21+L22</f>
        <v>43.3</v>
      </c>
      <c r="N22" s="1" t="n">
        <f aca="false">J22-L22</f>
        <v>0.3</v>
      </c>
      <c r="O22" s="25" t="n">
        <f aca="false">O21+N22</f>
        <v>30.6</v>
      </c>
      <c r="P22" s="21" t="n">
        <v>17</v>
      </c>
      <c r="Q22" s="22" t="n">
        <f aca="false">0.35+((P22-8)/66)*(1-0.35)</f>
        <v>0.438636363636364</v>
      </c>
      <c r="R22" s="23" t="n">
        <f aca="false">Q22*L22</f>
        <v>0.526363636363636</v>
      </c>
      <c r="S22" s="23" t="n">
        <f aca="false">J22-R22</f>
        <v>0.973636363636364</v>
      </c>
      <c r="T22" s="26" t="n">
        <f aca="false">MIN(122.1,(T21+S22))</f>
        <v>38.9169696969697</v>
      </c>
      <c r="V22" s="27" t="n">
        <v>849.9</v>
      </c>
      <c r="W22" s="1" t="n">
        <f aca="false">V22/D22</f>
        <v>65.8837209302326</v>
      </c>
      <c r="X22" s="1" t="n">
        <f aca="false">X21+V22</f>
        <v>19754.4</v>
      </c>
      <c r="AA22" s="1" t="n">
        <v>12.4208699415524</v>
      </c>
    </row>
    <row r="23" customFormat="false" ht="15" hidden="false" customHeight="false" outlineLevel="0" collapsed="false">
      <c r="A23" s="15"/>
      <c r="B23" s="4"/>
      <c r="C23" s="16" t="n">
        <v>41537</v>
      </c>
      <c r="D23" s="1" t="n">
        <v>15.2</v>
      </c>
      <c r="E23" s="1" t="n">
        <v>13.7</v>
      </c>
      <c r="F23" s="1" t="n">
        <v>18.3</v>
      </c>
      <c r="G23" s="1" t="n">
        <f aca="false">G22+D23</f>
        <v>288.1</v>
      </c>
      <c r="J23" s="1" t="n">
        <v>0.4</v>
      </c>
      <c r="K23" s="1" t="n">
        <f aca="false">K22+J23</f>
        <v>49.3</v>
      </c>
      <c r="L23" s="1" t="n">
        <v>2.6</v>
      </c>
      <c r="M23" s="1" t="n">
        <f aca="false">M22+L23</f>
        <v>45.9</v>
      </c>
      <c r="N23" s="19" t="n">
        <f aca="false">J23-L23</f>
        <v>-2.2</v>
      </c>
      <c r="O23" s="25" t="n">
        <f aca="false">O22+N23</f>
        <v>28.4</v>
      </c>
      <c r="P23" s="21" t="n">
        <v>18</v>
      </c>
      <c r="Q23" s="22" t="n">
        <f aca="false">0.35+((P23-8)/66)*(1-0.35)</f>
        <v>0.448484848484849</v>
      </c>
      <c r="R23" s="23" t="n">
        <f aca="false">Q23*L23</f>
        <v>1.16606060606061</v>
      </c>
      <c r="S23" s="23" t="n">
        <f aca="false">J23-R23</f>
        <v>-0.766060606060606</v>
      </c>
      <c r="T23" s="26" t="n">
        <f aca="false">MIN(122.1,(T22+S23))</f>
        <v>38.1509090909091</v>
      </c>
      <c r="V23" s="1" t="n">
        <v>1391</v>
      </c>
      <c r="W23" s="1" t="n">
        <f aca="false">V23/D23</f>
        <v>91.5131578947369</v>
      </c>
      <c r="X23" s="1" t="n">
        <f aca="false">X22+V23</f>
        <v>21145.4</v>
      </c>
      <c r="AA23" s="1" t="n">
        <v>12.3654309626937</v>
      </c>
    </row>
    <row r="24" customFormat="false" ht="15" hidden="false" customHeight="false" outlineLevel="0" collapsed="false">
      <c r="A24" s="15"/>
      <c r="B24" s="4"/>
      <c r="C24" s="16" t="n">
        <v>41538</v>
      </c>
      <c r="D24" s="1" t="n">
        <v>14.8</v>
      </c>
      <c r="E24" s="1" t="n">
        <v>9.3</v>
      </c>
      <c r="F24" s="1" t="n">
        <v>20</v>
      </c>
      <c r="G24" s="1" t="n">
        <f aca="false">G23+D24</f>
        <v>302.9</v>
      </c>
      <c r="J24" s="1" t="n">
        <v>0</v>
      </c>
      <c r="K24" s="1" t="n">
        <f aca="false">K23+J24</f>
        <v>49.3</v>
      </c>
      <c r="L24" s="1" t="n">
        <v>2</v>
      </c>
      <c r="M24" s="1" t="n">
        <f aca="false">M23+L24</f>
        <v>47.9</v>
      </c>
      <c r="N24" s="19" t="n">
        <f aca="false">J24-L24</f>
        <v>-2</v>
      </c>
      <c r="O24" s="25" t="n">
        <f aca="false">O23+N24</f>
        <v>26.4</v>
      </c>
      <c r="P24" s="21" t="n">
        <v>19</v>
      </c>
      <c r="Q24" s="22" t="n">
        <f aca="false">0.35+((P24-8)/66)*(1-0.35)</f>
        <v>0.458333333333333</v>
      </c>
      <c r="R24" s="23" t="n">
        <f aca="false">Q24*L24</f>
        <v>0.916666666666667</v>
      </c>
      <c r="S24" s="23" t="n">
        <f aca="false">J24-R24</f>
        <v>-0.916666666666667</v>
      </c>
      <c r="T24" s="26" t="n">
        <f aca="false">MIN(122.1,(T23+S24))</f>
        <v>37.2342424242424</v>
      </c>
      <c r="V24" s="1" t="n">
        <v>1355.6</v>
      </c>
      <c r="W24" s="1" t="n">
        <f aca="false">V24/D24</f>
        <v>91.5945945945946</v>
      </c>
      <c r="X24" s="1" t="n">
        <f aca="false">X23+V24</f>
        <v>22501</v>
      </c>
      <c r="AA24" s="1" t="n">
        <v>12.3099570002105</v>
      </c>
    </row>
    <row r="25" customFormat="false" ht="15" hidden="false" customHeight="false" outlineLevel="0" collapsed="false">
      <c r="A25" s="15"/>
      <c r="B25" s="4"/>
      <c r="C25" s="16" t="n">
        <v>41539</v>
      </c>
      <c r="D25" s="1" t="n">
        <v>16.7</v>
      </c>
      <c r="E25" s="1" t="n">
        <v>10.9</v>
      </c>
      <c r="F25" s="1" t="n">
        <v>22.4</v>
      </c>
      <c r="G25" s="1" t="n">
        <f aca="false">G24+D25</f>
        <v>319.6</v>
      </c>
      <c r="J25" s="1" t="n">
        <v>0</v>
      </c>
      <c r="K25" s="1" t="n">
        <f aca="false">K24+J25</f>
        <v>49.3</v>
      </c>
      <c r="L25" s="1" t="n">
        <v>3.1</v>
      </c>
      <c r="M25" s="1" t="n">
        <f aca="false">M24+L25</f>
        <v>51</v>
      </c>
      <c r="N25" s="19" t="n">
        <f aca="false">J25-L25</f>
        <v>-3.1</v>
      </c>
      <c r="O25" s="25" t="n">
        <f aca="false">O24+N25</f>
        <v>23.3</v>
      </c>
      <c r="P25" s="21" t="n">
        <v>20</v>
      </c>
      <c r="Q25" s="22" t="n">
        <f aca="false">0.35+((P25-8)/66)*(1-0.35)</f>
        <v>0.468181818181818</v>
      </c>
      <c r="R25" s="23" t="n">
        <f aca="false">Q25*L25</f>
        <v>1.45136363636364</v>
      </c>
      <c r="S25" s="23" t="n">
        <f aca="false">J25-R25</f>
        <v>-1.45136363636364</v>
      </c>
      <c r="T25" s="26" t="n">
        <f aca="false">MIN(122.1,(T24+S25))</f>
        <v>35.7828787878788</v>
      </c>
      <c r="V25" s="1" t="n">
        <v>1685.6</v>
      </c>
      <c r="W25" s="1" t="n">
        <f aca="false">V25/D25</f>
        <v>100.934131736527</v>
      </c>
      <c r="X25" s="1" t="n">
        <f aca="false">X24+V25</f>
        <v>24186.6</v>
      </c>
      <c r="AA25" s="1" t="n">
        <v>12.2544535205961</v>
      </c>
    </row>
    <row r="26" customFormat="false" ht="15" hidden="false" customHeight="false" outlineLevel="0" collapsed="false">
      <c r="A26" s="15"/>
      <c r="B26" s="4"/>
      <c r="C26" s="16" t="n">
        <v>41540</v>
      </c>
      <c r="D26" s="1" t="n">
        <v>17.3</v>
      </c>
      <c r="E26" s="1" t="n">
        <v>13.6</v>
      </c>
      <c r="F26" s="1" t="n">
        <v>21.6</v>
      </c>
      <c r="G26" s="1" t="n">
        <f aca="false">G25+D26</f>
        <v>336.9</v>
      </c>
      <c r="J26" s="1" t="n">
        <v>0</v>
      </c>
      <c r="K26" s="1" t="n">
        <f aca="false">K25+J26</f>
        <v>49.3</v>
      </c>
      <c r="L26" s="1" t="n">
        <v>3.4</v>
      </c>
      <c r="M26" s="1" t="n">
        <f aca="false">M25+L26</f>
        <v>54.4</v>
      </c>
      <c r="N26" s="19" t="n">
        <f aca="false">J26-L26</f>
        <v>-3.4</v>
      </c>
      <c r="O26" s="25" t="n">
        <f aca="false">O25+N26</f>
        <v>19.9</v>
      </c>
      <c r="P26" s="21" t="n">
        <v>21</v>
      </c>
      <c r="Q26" s="22" t="n">
        <f aca="false">0.35+((P26-8)/66)*(1-0.35)</f>
        <v>0.478030303030303</v>
      </c>
      <c r="R26" s="23" t="n">
        <f aca="false">Q26*L26</f>
        <v>1.62530303030303</v>
      </c>
      <c r="S26" s="23" t="n">
        <f aca="false">J26-R26</f>
        <v>-1.62530303030303</v>
      </c>
      <c r="T26" s="26" t="n">
        <f aca="false">MIN(122.1,(T25+S26))</f>
        <v>34.1575757575758</v>
      </c>
      <c r="V26" s="1" t="n">
        <v>1691.7</v>
      </c>
      <c r="W26" s="1" t="n">
        <f aca="false">V26/D26</f>
        <v>97.7861271676301</v>
      </c>
      <c r="X26" s="1" t="n">
        <f aca="false">X25+V26</f>
        <v>25878.3</v>
      </c>
      <c r="AA26" s="1" t="n">
        <v>12.1989259722989</v>
      </c>
    </row>
    <row r="27" customFormat="false" ht="15" hidden="false" customHeight="false" outlineLevel="0" collapsed="false">
      <c r="A27" s="15"/>
      <c r="B27" s="4"/>
      <c r="C27" s="16" t="n">
        <v>41541</v>
      </c>
      <c r="D27" s="1" t="n">
        <v>17.4</v>
      </c>
      <c r="E27" s="1" t="n">
        <v>10.6</v>
      </c>
      <c r="F27" s="1" t="n">
        <v>24.7</v>
      </c>
      <c r="G27" s="1" t="n">
        <f aca="false">G26+D27</f>
        <v>354.3</v>
      </c>
      <c r="J27" s="1" t="n">
        <v>0</v>
      </c>
      <c r="K27" s="1" t="n">
        <f aca="false">K26+J27</f>
        <v>49.3</v>
      </c>
      <c r="L27" s="1" t="n">
        <v>3.3</v>
      </c>
      <c r="M27" s="1" t="n">
        <f aca="false">M26+L27</f>
        <v>57.7</v>
      </c>
      <c r="N27" s="19" t="n">
        <f aca="false">J27-L27</f>
        <v>-3.3</v>
      </c>
      <c r="O27" s="25" t="n">
        <f aca="false">O26+N27</f>
        <v>16.6</v>
      </c>
      <c r="P27" s="21" t="n">
        <v>22</v>
      </c>
      <c r="Q27" s="22" t="n">
        <f aca="false">0.35+((P27-8)/66)*(1-0.35)</f>
        <v>0.487878787878788</v>
      </c>
      <c r="R27" s="23" t="n">
        <f aca="false">Q27*L27</f>
        <v>1.61</v>
      </c>
      <c r="S27" s="23" t="n">
        <f aca="false">J27-R27</f>
        <v>-1.61</v>
      </c>
      <c r="T27" s="26" t="n">
        <f aca="false">MIN(122.1,(T26+S27))</f>
        <v>32.5475757575758</v>
      </c>
      <c r="V27" s="1" t="n">
        <v>1824.4</v>
      </c>
      <c r="W27" s="1" t="n">
        <f aca="false">V27/D27</f>
        <v>104.850574712644</v>
      </c>
      <c r="X27" s="1" t="n">
        <f aca="false">X26+V27</f>
        <v>27702.7</v>
      </c>
      <c r="AA27" s="1" t="n">
        <v>12.1433798012499</v>
      </c>
    </row>
    <row r="28" customFormat="false" ht="15" hidden="false" customHeight="false" outlineLevel="0" collapsed="false">
      <c r="A28" s="15"/>
      <c r="B28" s="4"/>
      <c r="C28" s="16" t="n">
        <v>41542</v>
      </c>
      <c r="D28" s="1" t="n">
        <v>18.6</v>
      </c>
      <c r="E28" s="1" t="n">
        <v>11.9</v>
      </c>
      <c r="F28" s="17" t="n">
        <v>25.2</v>
      </c>
      <c r="G28" s="1" t="n">
        <f aca="false">G27+D28</f>
        <v>372.9</v>
      </c>
      <c r="J28" s="1" t="n">
        <v>0</v>
      </c>
      <c r="K28" s="1" t="n">
        <f aca="false">K27+J28</f>
        <v>49.3</v>
      </c>
      <c r="L28" s="1" t="n">
        <v>1.6</v>
      </c>
      <c r="M28" s="1" t="n">
        <f aca="false">M27+L28</f>
        <v>59.3</v>
      </c>
      <c r="N28" s="19" t="n">
        <f aca="false">J28-L28</f>
        <v>-1.6</v>
      </c>
      <c r="O28" s="25" t="n">
        <f aca="false">O27+N28</f>
        <v>15</v>
      </c>
      <c r="P28" s="21" t="n">
        <v>23</v>
      </c>
      <c r="Q28" s="22" t="n">
        <f aca="false">0.35+((P28-8)/66)*(1-0.35)</f>
        <v>0.497727272727273</v>
      </c>
      <c r="R28" s="23" t="n">
        <f aca="false">Q28*L28</f>
        <v>0.796363636363636</v>
      </c>
      <c r="S28" s="23" t="n">
        <f aca="false">J28-R28</f>
        <v>-0.796363636363636</v>
      </c>
      <c r="T28" s="26" t="n">
        <f aca="false">MIN(122.1,(T27+S28))</f>
        <v>31.7512121212121</v>
      </c>
      <c r="V28" s="1" t="n">
        <v>972.6</v>
      </c>
      <c r="W28" s="1" t="n">
        <f aca="false">V28/D28</f>
        <v>52.2903225806452</v>
      </c>
      <c r="X28" s="1" t="n">
        <f aca="false">X27+V28</f>
        <v>28675.3</v>
      </c>
      <c r="AA28" s="1" t="n">
        <v>12.0878204664737</v>
      </c>
    </row>
    <row r="29" customFormat="false" ht="15" hidden="false" customHeight="false" outlineLevel="0" collapsed="false">
      <c r="A29" s="15"/>
      <c r="B29" s="4"/>
      <c r="C29" s="16" t="n">
        <v>41543</v>
      </c>
      <c r="D29" s="1" t="n">
        <v>19.8</v>
      </c>
      <c r="E29" s="1" t="n">
        <v>16.1</v>
      </c>
      <c r="F29" s="1" t="n">
        <v>24.6</v>
      </c>
      <c r="G29" s="1" t="n">
        <f aca="false">G28+D29</f>
        <v>392.7</v>
      </c>
      <c r="J29" s="1" t="n">
        <v>0.6</v>
      </c>
      <c r="K29" s="1" t="n">
        <f aca="false">K28+J29</f>
        <v>49.9</v>
      </c>
      <c r="L29" s="1" t="n">
        <v>1.4</v>
      </c>
      <c r="M29" s="1" t="n">
        <f aca="false">M28+L29</f>
        <v>60.7</v>
      </c>
      <c r="N29" s="19" t="n">
        <f aca="false">J29-L29</f>
        <v>-0.8</v>
      </c>
      <c r="O29" s="25" t="n">
        <f aca="false">O28+N29</f>
        <v>14.2</v>
      </c>
      <c r="P29" s="21" t="n">
        <v>24</v>
      </c>
      <c r="Q29" s="22" t="n">
        <f aca="false">0.35+((P29-8)/66)*(1-0.35)</f>
        <v>0.507575757575758</v>
      </c>
      <c r="R29" s="23" t="n">
        <f aca="false">Q29*L29</f>
        <v>0.710606060606061</v>
      </c>
      <c r="S29" s="23" t="n">
        <f aca="false">J29-R29</f>
        <v>-0.110606060606061</v>
      </c>
      <c r="T29" s="26" t="n">
        <f aca="false">MIN(122.1,(T28+S29))</f>
        <v>31.6406060606061</v>
      </c>
      <c r="V29" s="27" t="n">
        <v>781.6</v>
      </c>
      <c r="W29" s="1" t="n">
        <f aca="false">V29/D29</f>
        <v>39.4747474747475</v>
      </c>
      <c r="X29" s="1" t="n">
        <f aca="false">X28+V29</f>
        <v>29456.9</v>
      </c>
      <c r="AA29" s="1" t="n">
        <v>12.0322534557853</v>
      </c>
    </row>
    <row r="30" customFormat="false" ht="15" hidden="false" customHeight="false" outlineLevel="0" collapsed="false">
      <c r="A30" s="15"/>
      <c r="B30" s="4"/>
      <c r="C30" s="16" t="n">
        <v>41544</v>
      </c>
      <c r="D30" s="1" t="n">
        <v>20.7</v>
      </c>
      <c r="E30" s="1" t="n">
        <v>15.2</v>
      </c>
      <c r="F30" s="17" t="n">
        <v>25.3</v>
      </c>
      <c r="G30" s="1" t="n">
        <f aca="false">G29+D30</f>
        <v>413.4</v>
      </c>
      <c r="J30" s="1" t="n">
        <v>0.9</v>
      </c>
      <c r="K30" s="1" t="n">
        <f aca="false">K29+J30</f>
        <v>50.8</v>
      </c>
      <c r="L30" s="1" t="n">
        <v>2.6</v>
      </c>
      <c r="M30" s="1" t="n">
        <f aca="false">M29+L30</f>
        <v>63.3</v>
      </c>
      <c r="N30" s="19" t="n">
        <f aca="false">J30-L30</f>
        <v>-1.7</v>
      </c>
      <c r="O30" s="25" t="n">
        <f aca="false">O29+N30</f>
        <v>12.5</v>
      </c>
      <c r="P30" s="21" t="n">
        <v>25</v>
      </c>
      <c r="Q30" s="22" t="n">
        <f aca="false">0.35+((P30-8)/66)*(1-0.35)</f>
        <v>0.517424242424242</v>
      </c>
      <c r="R30" s="23" t="n">
        <f aca="false">Q30*L30</f>
        <v>1.34530303030303</v>
      </c>
      <c r="S30" s="23" t="n">
        <f aca="false">J30-R30</f>
        <v>-0.44530303030303</v>
      </c>
      <c r="T30" s="26" t="n">
        <f aca="false">MIN(122.1,(T29+S30))</f>
        <v>31.195303030303</v>
      </c>
      <c r="V30" s="1" t="n">
        <v>1346.9</v>
      </c>
      <c r="W30" s="1" t="n">
        <f aca="false">V30/D30</f>
        <v>65.0676328502416</v>
      </c>
      <c r="X30" s="1" t="n">
        <f aca="false">X29+V30</f>
        <v>30803.8</v>
      </c>
      <c r="AA30" s="1" t="n">
        <v>11.9766843015777</v>
      </c>
    </row>
    <row r="31" customFormat="false" ht="15" hidden="false" customHeight="false" outlineLevel="0" collapsed="false">
      <c r="A31" s="15"/>
      <c r="B31" s="4"/>
      <c r="C31" s="16" t="n">
        <v>41545</v>
      </c>
      <c r="D31" s="1" t="n">
        <v>19.3</v>
      </c>
      <c r="E31" s="1" t="n">
        <v>17.7</v>
      </c>
      <c r="F31" s="1" t="n">
        <v>23</v>
      </c>
      <c r="G31" s="1" t="n">
        <f aca="false">G30+D31</f>
        <v>432.7</v>
      </c>
      <c r="J31" s="1" t="n">
        <v>4</v>
      </c>
      <c r="K31" s="1" t="n">
        <f aca="false">K30+J31</f>
        <v>54.8</v>
      </c>
      <c r="L31" s="1" t="n">
        <v>1.2</v>
      </c>
      <c r="M31" s="1" t="n">
        <f aca="false">M30+L31</f>
        <v>64.5</v>
      </c>
      <c r="N31" s="1" t="n">
        <f aca="false">J31-L31</f>
        <v>2.8</v>
      </c>
      <c r="O31" s="25" t="n">
        <f aca="false">O30+N31</f>
        <v>15.3</v>
      </c>
      <c r="P31" s="21" t="n">
        <v>26</v>
      </c>
      <c r="Q31" s="22" t="n">
        <f aca="false">0.35+((P31-8)/66)*(1-0.35)</f>
        <v>0.527272727272727</v>
      </c>
      <c r="R31" s="23" t="n">
        <f aca="false">Q31*L31</f>
        <v>0.632727272727273</v>
      </c>
      <c r="S31" s="23" t="n">
        <f aca="false">J31-R31</f>
        <v>3.36727272727273</v>
      </c>
      <c r="T31" s="26" t="n">
        <f aca="false">MIN(122.1,(T30+S31))</f>
        <v>34.5625757575758</v>
      </c>
      <c r="V31" s="27" t="n">
        <v>387.9</v>
      </c>
      <c r="W31" s="1" t="n">
        <f aca="false">V31/D31</f>
        <v>20.0984455958549</v>
      </c>
      <c r="X31" s="1" t="n">
        <f aca="false">X30+V31</f>
        <v>31191.7</v>
      </c>
      <c r="AA31" s="1" t="n">
        <v>11.9211185967031</v>
      </c>
    </row>
    <row r="32" customFormat="false" ht="15" hidden="false" customHeight="false" outlineLevel="0" collapsed="false">
      <c r="A32" s="15"/>
      <c r="B32" s="4"/>
      <c r="C32" s="16" t="n">
        <v>41546</v>
      </c>
      <c r="D32" s="1" t="n">
        <v>17.2</v>
      </c>
      <c r="E32" s="1" t="n">
        <v>15.4</v>
      </c>
      <c r="F32" s="1" t="n">
        <v>20.5</v>
      </c>
      <c r="G32" s="1" t="n">
        <f aca="false">G31+D32</f>
        <v>449.9</v>
      </c>
      <c r="J32" s="1" t="n">
        <v>3.4</v>
      </c>
      <c r="K32" s="1" t="n">
        <f aca="false">K31+J32</f>
        <v>58.2</v>
      </c>
      <c r="L32" s="1" t="n">
        <v>1.2</v>
      </c>
      <c r="M32" s="1" t="n">
        <f aca="false">M31+L32</f>
        <v>65.7</v>
      </c>
      <c r="N32" s="1" t="n">
        <f aca="false">J32-L32</f>
        <v>2.2</v>
      </c>
      <c r="O32" s="25" t="n">
        <f aca="false">O31+N32</f>
        <v>17.5</v>
      </c>
      <c r="P32" s="21" t="n">
        <v>27</v>
      </c>
      <c r="Q32" s="22" t="n">
        <f aca="false">0.35+((P32-8)/66)*(1-0.35)</f>
        <v>0.537121212121212</v>
      </c>
      <c r="R32" s="23" t="n">
        <f aca="false">Q32*L32</f>
        <v>0.644545454545455</v>
      </c>
      <c r="S32" s="23" t="n">
        <f aca="false">J32-R32</f>
        <v>2.75545454545455</v>
      </c>
      <c r="T32" s="26" t="n">
        <f aca="false">MIN(122.1,(T31+S32))</f>
        <v>37.3180303030303</v>
      </c>
      <c r="V32" s="27" t="n">
        <v>561.7</v>
      </c>
      <c r="W32" s="1" t="n">
        <f aca="false">V32/D32</f>
        <v>32.6569767441861</v>
      </c>
      <c r="X32" s="1" t="n">
        <f aca="false">X31+V32</f>
        <v>31753.4</v>
      </c>
      <c r="AA32" s="1" t="n">
        <v>11.8655620104504</v>
      </c>
    </row>
    <row r="33" customFormat="false" ht="15" hidden="false" customHeight="false" outlineLevel="0" collapsed="false">
      <c r="A33" s="15"/>
      <c r="B33" s="4"/>
      <c r="C33" s="16" t="n">
        <v>41547</v>
      </c>
      <c r="D33" s="1" t="n">
        <v>16.4</v>
      </c>
      <c r="E33" s="1" t="n">
        <v>15.2</v>
      </c>
      <c r="F33" s="1" t="n">
        <v>18.7</v>
      </c>
      <c r="G33" s="1" t="n">
        <f aca="false">G32+D33</f>
        <v>466.3</v>
      </c>
      <c r="J33" s="1" t="n">
        <v>0</v>
      </c>
      <c r="K33" s="1" t="n">
        <f aca="false">K32+J33</f>
        <v>58.2</v>
      </c>
      <c r="L33" s="1" t="n">
        <v>1.5</v>
      </c>
      <c r="M33" s="1" t="n">
        <f aca="false">M32+L33</f>
        <v>67.2</v>
      </c>
      <c r="N33" s="19" t="n">
        <f aca="false">J33-L33</f>
        <v>-1.5</v>
      </c>
      <c r="O33" s="25" t="n">
        <f aca="false">O32+N33</f>
        <v>16</v>
      </c>
      <c r="P33" s="21" t="n">
        <v>28</v>
      </c>
      <c r="Q33" s="22" t="n">
        <f aca="false">0.35+((P33-8)/66)*(1-0.35)</f>
        <v>0.546969696969697</v>
      </c>
      <c r="R33" s="23" t="n">
        <f aca="false">Q33*L33</f>
        <v>0.820454545454546</v>
      </c>
      <c r="S33" s="23" t="n">
        <f aca="false">J33-R33</f>
        <v>-0.820454545454546</v>
      </c>
      <c r="T33" s="26" t="n">
        <f aca="false">MIN(122.1,(T32+S33))</f>
        <v>36.4975757575758</v>
      </c>
      <c r="V33" s="27" t="n">
        <v>751.2</v>
      </c>
      <c r="W33" s="1" t="n">
        <f aca="false">V33/D33</f>
        <v>45.8048780487805</v>
      </c>
      <c r="X33" s="1" t="n">
        <f aca="false">X32+V33</f>
        <v>32504.6</v>
      </c>
      <c r="AA33" s="1" t="n">
        <v>11.8100203046213</v>
      </c>
    </row>
    <row r="34" customFormat="false" ht="15" hidden="false" customHeight="false" outlineLevel="0" collapsed="false">
      <c r="A34" s="15"/>
      <c r="B34" s="4"/>
      <c r="C34" s="16" t="n">
        <v>41548</v>
      </c>
      <c r="D34" s="1" t="n">
        <v>16.8</v>
      </c>
      <c r="E34" s="1" t="n">
        <v>13.7</v>
      </c>
      <c r="F34" s="1" t="n">
        <v>20.1</v>
      </c>
      <c r="G34" s="1" t="n">
        <f aca="false">G33+D34</f>
        <v>483.1</v>
      </c>
      <c r="J34" s="1" t="n">
        <v>0.1</v>
      </c>
      <c r="K34" s="1" t="n">
        <f aca="false">K33+J34</f>
        <v>58.3</v>
      </c>
      <c r="L34" s="1" t="n">
        <v>1.7</v>
      </c>
      <c r="M34" s="1" t="n">
        <f aca="false">M33+L34</f>
        <v>68.9</v>
      </c>
      <c r="N34" s="19" t="n">
        <f aca="false">J34-L34</f>
        <v>-1.6</v>
      </c>
      <c r="O34" s="25" t="n">
        <f aca="false">O33+N34</f>
        <v>14.4</v>
      </c>
      <c r="P34" s="21" t="n">
        <v>29</v>
      </c>
      <c r="Q34" s="22" t="n">
        <f aca="false">0.35+((P34-8)/66)*(1-0.35)</f>
        <v>0.556818181818182</v>
      </c>
      <c r="R34" s="23" t="n">
        <f aca="false">Q34*L34</f>
        <v>0.946590909090909</v>
      </c>
      <c r="S34" s="23" t="n">
        <f aca="false">J34-R34</f>
        <v>-0.846590909090909</v>
      </c>
      <c r="T34" s="26" t="n">
        <f aca="false">MIN(122.1,(T33+S34))</f>
        <v>35.6509848484849</v>
      </c>
      <c r="V34" s="27" t="n">
        <v>891.7</v>
      </c>
      <c r="W34" s="1" t="n">
        <f aca="false">V34/D34</f>
        <v>53.077380952381</v>
      </c>
      <c r="X34" s="1" t="n">
        <f aca="false">X33+V34</f>
        <v>33396.3</v>
      </c>
      <c r="AA34" s="1" t="n">
        <v>11.7544993497082</v>
      </c>
    </row>
    <row r="35" customFormat="false" ht="15" hidden="false" customHeight="false" outlineLevel="0" collapsed="false">
      <c r="A35" s="15"/>
      <c r="B35" s="4"/>
      <c r="C35" s="16" t="n">
        <v>41549</v>
      </c>
      <c r="D35" s="1" t="n">
        <v>18.3</v>
      </c>
      <c r="E35" s="1" t="n">
        <v>13.6</v>
      </c>
      <c r="F35" s="1" t="n">
        <v>22.1</v>
      </c>
      <c r="G35" s="1" t="n">
        <f aca="false">G34+D35</f>
        <v>501.4</v>
      </c>
      <c r="J35" s="1" t="n">
        <v>0.2</v>
      </c>
      <c r="K35" s="1" t="n">
        <f aca="false">K34+J35</f>
        <v>58.5</v>
      </c>
      <c r="L35" s="1" t="n">
        <v>1.1</v>
      </c>
      <c r="M35" s="1" t="n">
        <f aca="false">M34+L35</f>
        <v>70</v>
      </c>
      <c r="N35" s="19" t="n">
        <f aca="false">J35-L35</f>
        <v>-0.9</v>
      </c>
      <c r="O35" s="25" t="n">
        <f aca="false">O34+N35</f>
        <v>13.5</v>
      </c>
      <c r="P35" s="21" t="n">
        <v>30</v>
      </c>
      <c r="Q35" s="22" t="n">
        <f aca="false">0.35+((P35-8)/66)*(1-0.35)</f>
        <v>0.566666666666667</v>
      </c>
      <c r="R35" s="23" t="n">
        <f aca="false">Q35*L35</f>
        <v>0.623333333333333</v>
      </c>
      <c r="S35" s="23" t="n">
        <f aca="false">J35-R35</f>
        <v>-0.423333333333333</v>
      </c>
      <c r="T35" s="26" t="n">
        <f aca="false">MIN(122.1,(T34+S35))</f>
        <v>35.2276515151515</v>
      </c>
      <c r="V35" s="27" t="n">
        <v>770.5</v>
      </c>
      <c r="W35" s="1" t="n">
        <f aca="false">V35/D35</f>
        <v>42.103825136612</v>
      </c>
      <c r="X35" s="1" t="n">
        <f aca="false">X34+V35</f>
        <v>34166.8</v>
      </c>
      <c r="AA35" s="1" t="n">
        <v>11.6990051411729</v>
      </c>
    </row>
    <row r="36" customFormat="false" ht="15" hidden="false" customHeight="false" outlineLevel="0" collapsed="false">
      <c r="A36" s="15"/>
      <c r="B36" s="4"/>
      <c r="C36" s="16" t="n">
        <v>41550</v>
      </c>
      <c r="D36" s="1" t="n">
        <v>20</v>
      </c>
      <c r="E36" s="1" t="n">
        <v>16.3</v>
      </c>
      <c r="F36" s="1" t="n">
        <v>23.5</v>
      </c>
      <c r="G36" s="1" t="n">
        <f aca="false">G35+D36</f>
        <v>521.4</v>
      </c>
      <c r="J36" s="1" t="n">
        <v>0</v>
      </c>
      <c r="K36" s="1" t="n">
        <f aca="false">K35+J36</f>
        <v>58.5</v>
      </c>
      <c r="L36" s="1" t="n">
        <v>1.5</v>
      </c>
      <c r="M36" s="1" t="n">
        <f aca="false">M35+L36</f>
        <v>71.5</v>
      </c>
      <c r="N36" s="19" t="n">
        <f aca="false">J36-L36</f>
        <v>-1.5</v>
      </c>
      <c r="O36" s="25" t="n">
        <f aca="false">O35+N36</f>
        <v>12</v>
      </c>
      <c r="P36" s="21" t="n">
        <v>31</v>
      </c>
      <c r="Q36" s="22" t="n">
        <f aca="false">0.35+((P36-8)/66)*(1-0.35)</f>
        <v>0.576515151515152</v>
      </c>
      <c r="R36" s="23" t="n">
        <f aca="false">Q36*L36</f>
        <v>0.864772727272727</v>
      </c>
      <c r="S36" s="23" t="n">
        <f aca="false">J36-R36</f>
        <v>-0.864772727272727</v>
      </c>
      <c r="T36" s="26" t="n">
        <f aca="false">MIN(122.1,(T35+S36))</f>
        <v>34.3628787878788</v>
      </c>
      <c r="V36" s="27" t="n">
        <v>505.7</v>
      </c>
      <c r="W36" s="1" t="n">
        <f aca="false">V36/D36</f>
        <v>25.285</v>
      </c>
      <c r="X36" s="1" t="n">
        <f aca="false">X35+V36</f>
        <v>34672.5</v>
      </c>
      <c r="AA36" s="1" t="n">
        <v>11.6435438158283</v>
      </c>
    </row>
    <row r="37" customFormat="false" ht="15" hidden="false" customHeight="false" outlineLevel="0" collapsed="false">
      <c r="A37" s="15"/>
      <c r="B37" s="4"/>
      <c r="C37" s="16" t="n">
        <v>41551</v>
      </c>
      <c r="D37" s="1" t="n">
        <v>18.2</v>
      </c>
      <c r="E37" s="1" t="n">
        <v>17.6</v>
      </c>
      <c r="F37" s="1" t="n">
        <v>19.8</v>
      </c>
      <c r="G37" s="1" t="n">
        <f aca="false">G36+D37</f>
        <v>539.6</v>
      </c>
      <c r="J37" s="1" t="n">
        <v>18.5</v>
      </c>
      <c r="K37" s="1" t="n">
        <f aca="false">K36+J37</f>
        <v>77</v>
      </c>
      <c r="L37" s="1" t="n">
        <v>1.3</v>
      </c>
      <c r="M37" s="1" t="n">
        <f aca="false">M36+L37</f>
        <v>72.8</v>
      </c>
      <c r="N37" s="1" t="n">
        <f aca="false">J37-L37</f>
        <v>17.2</v>
      </c>
      <c r="O37" s="25" t="n">
        <f aca="false">O36+N37</f>
        <v>29.2</v>
      </c>
      <c r="P37" s="21" t="n">
        <v>32</v>
      </c>
      <c r="Q37" s="22" t="n">
        <f aca="false">0.35+((P37-8)/66)*(1-0.35)</f>
        <v>0.586363636363636</v>
      </c>
      <c r="R37" s="23" t="n">
        <f aca="false">Q37*L37</f>
        <v>0.762272727272727</v>
      </c>
      <c r="S37" s="23" t="n">
        <f aca="false">J37-R37</f>
        <v>17.7377272727273</v>
      </c>
      <c r="T37" s="26" t="n">
        <f aca="false">MIN(122.1,(T36+S37))</f>
        <v>52.1006060606061</v>
      </c>
      <c r="V37" s="27" t="n">
        <v>535.2</v>
      </c>
      <c r="W37" s="1" t="n">
        <f aca="false">V37/D37</f>
        <v>29.4065934065934</v>
      </c>
      <c r="X37" s="1" t="n">
        <f aca="false">X36+V37</f>
        <v>35207.7</v>
      </c>
      <c r="AA37" s="1" t="n">
        <v>11.5881216683204</v>
      </c>
    </row>
    <row r="38" customFormat="false" ht="15" hidden="false" customHeight="false" outlineLevel="0" collapsed="false">
      <c r="A38" s="15"/>
      <c r="B38" s="4"/>
      <c r="C38" s="16" t="n">
        <v>41552</v>
      </c>
      <c r="D38" s="1" t="n">
        <v>15.3</v>
      </c>
      <c r="E38" s="1" t="n">
        <v>15.2</v>
      </c>
      <c r="F38" s="1" t="n">
        <v>17.2</v>
      </c>
      <c r="G38" s="1" t="n">
        <f aca="false">G37+D38</f>
        <v>554.9</v>
      </c>
      <c r="J38" s="1" t="n">
        <v>0.2</v>
      </c>
      <c r="K38" s="1" t="n">
        <f aca="false">K37+J38</f>
        <v>77.2</v>
      </c>
      <c r="L38" s="1" t="n">
        <v>1.8</v>
      </c>
      <c r="M38" s="1" t="n">
        <f aca="false">M37+L38</f>
        <v>74.6</v>
      </c>
      <c r="N38" s="19" t="n">
        <f aca="false">J38-L38</f>
        <v>-1.6</v>
      </c>
      <c r="O38" s="25" t="n">
        <f aca="false">O37+N38</f>
        <v>27.6</v>
      </c>
      <c r="P38" s="21" t="n">
        <v>33</v>
      </c>
      <c r="Q38" s="22" t="n">
        <f aca="false">0.35+((P38-8)/66)*(1-0.35)</f>
        <v>0.596212121212121</v>
      </c>
      <c r="R38" s="23" t="n">
        <f aca="false">Q38*L38</f>
        <v>1.07318181818182</v>
      </c>
      <c r="S38" s="23" t="n">
        <f aca="false">J38-R38</f>
        <v>-0.873181818181818</v>
      </c>
      <c r="T38" s="26" t="n">
        <f aca="false">MIN(122.1,(T37+S38))</f>
        <v>51.2274242424243</v>
      </c>
      <c r="V38" s="1" t="n">
        <v>1041.4</v>
      </c>
      <c r="W38" s="1" t="n">
        <f aca="false">V38/D38</f>
        <v>68.0653594771242</v>
      </c>
      <c r="X38" s="1" t="n">
        <f aca="false">X37+V38</f>
        <v>36249.1</v>
      </c>
      <c r="AA38" s="1" t="n">
        <v>11.5327451677094</v>
      </c>
    </row>
    <row r="39" customFormat="false" ht="15" hidden="false" customHeight="false" outlineLevel="0" collapsed="false">
      <c r="A39" s="15"/>
      <c r="B39" s="4"/>
      <c r="C39" s="16" t="n">
        <v>41553</v>
      </c>
      <c r="D39" s="1" t="n">
        <v>13.4</v>
      </c>
      <c r="E39" s="1" t="n">
        <v>11.7</v>
      </c>
      <c r="F39" s="1" t="n">
        <v>15.5</v>
      </c>
      <c r="G39" s="1" t="n">
        <f aca="false">G38+D39</f>
        <v>568.3</v>
      </c>
      <c r="J39" s="1" t="n">
        <v>0.2</v>
      </c>
      <c r="K39" s="1" t="n">
        <f aca="false">K38+J39</f>
        <v>77.4</v>
      </c>
      <c r="L39" s="1" t="n">
        <v>0.8</v>
      </c>
      <c r="M39" s="1" t="n">
        <f aca="false">M38+L39</f>
        <v>75.4</v>
      </c>
      <c r="N39" s="19" t="n">
        <f aca="false">J39-L39</f>
        <v>-0.6</v>
      </c>
      <c r="O39" s="25" t="n">
        <f aca="false">O38+N39</f>
        <v>27</v>
      </c>
      <c r="P39" s="21" t="n">
        <v>34</v>
      </c>
      <c r="Q39" s="22" t="n">
        <f aca="false">0.35+((P39-8)/66)*(1-0.35)</f>
        <v>0.606060606060606</v>
      </c>
      <c r="R39" s="23" t="n">
        <f aca="false">Q39*L39</f>
        <v>0.484848484848485</v>
      </c>
      <c r="S39" s="23" t="n">
        <f aca="false">J39-R39</f>
        <v>-0.284848484848485</v>
      </c>
      <c r="T39" s="26" t="n">
        <f aca="false">MIN(122.1,(T38+S39))</f>
        <v>50.9425757575758</v>
      </c>
      <c r="V39" s="27" t="n">
        <v>550.6</v>
      </c>
      <c r="W39" s="1" t="n">
        <f aca="false">V39/D39</f>
        <v>41.089552238806</v>
      </c>
      <c r="X39" s="1" t="n">
        <f aca="false">X38+V39</f>
        <v>36799.7</v>
      </c>
      <c r="AA39" s="1" t="n">
        <v>11.4774209741457</v>
      </c>
    </row>
    <row r="40" customFormat="false" ht="15" hidden="false" customHeight="false" outlineLevel="0" collapsed="false">
      <c r="A40" s="15"/>
      <c r="B40" s="4"/>
      <c r="C40" s="16" t="n">
        <v>41554</v>
      </c>
      <c r="D40" s="1" t="n">
        <v>13.7</v>
      </c>
      <c r="E40" s="1" t="n">
        <v>8.8</v>
      </c>
      <c r="F40" s="1" t="n">
        <v>17.5</v>
      </c>
      <c r="G40" s="1" t="n">
        <f aca="false">G39+D40</f>
        <v>582</v>
      </c>
      <c r="J40" s="1" t="n">
        <v>0</v>
      </c>
      <c r="K40" s="1" t="n">
        <f aca="false">K39+J40</f>
        <v>77.4</v>
      </c>
      <c r="L40" s="1" t="n">
        <v>1.5</v>
      </c>
      <c r="M40" s="1" t="n">
        <f aca="false">M39+L40</f>
        <v>76.9</v>
      </c>
      <c r="N40" s="19" t="n">
        <f aca="false">J40-L40</f>
        <v>-1.5</v>
      </c>
      <c r="O40" s="25" t="n">
        <f aca="false">O39+N40</f>
        <v>25.5</v>
      </c>
      <c r="P40" s="21" t="n">
        <v>35</v>
      </c>
      <c r="Q40" s="22" t="n">
        <f aca="false">0.35+((P40-8)/66)*(1-0.35)</f>
        <v>0.615909090909091</v>
      </c>
      <c r="R40" s="23" t="n">
        <f aca="false">Q40*L40</f>
        <v>0.923863636363636</v>
      </c>
      <c r="S40" s="23" t="n">
        <f aca="false">J40-R40</f>
        <v>-0.923863636363636</v>
      </c>
      <c r="T40" s="26" t="n">
        <f aca="false">MIN(122.1,(T39+S40))</f>
        <v>50.0187121212121</v>
      </c>
      <c r="V40" s="1" t="n">
        <v>1068.2</v>
      </c>
      <c r="W40" s="1" t="n">
        <f aca="false">V40/D40</f>
        <v>77.970802919708</v>
      </c>
      <c r="X40" s="1" t="n">
        <f aca="false">X39+V40</f>
        <v>37867.9</v>
      </c>
      <c r="AA40" s="1" t="n">
        <v>11.4221559556354</v>
      </c>
    </row>
    <row r="41" customFormat="false" ht="15" hidden="false" customHeight="false" outlineLevel="0" collapsed="false">
      <c r="A41" s="15"/>
      <c r="B41" s="4"/>
      <c r="C41" s="16" t="n">
        <v>41555</v>
      </c>
      <c r="D41" s="1" t="n">
        <v>14.6</v>
      </c>
      <c r="E41" s="1" t="n">
        <v>13.4</v>
      </c>
      <c r="F41" s="1" t="n">
        <v>15.7</v>
      </c>
      <c r="G41" s="1" t="n">
        <f aca="false">G40+D41</f>
        <v>596.6</v>
      </c>
      <c r="J41" s="1" t="n">
        <v>0</v>
      </c>
      <c r="K41" s="1" t="n">
        <f aca="false">K40+J41</f>
        <v>77.4</v>
      </c>
      <c r="L41" s="1" t="n">
        <v>0.9</v>
      </c>
      <c r="M41" s="1" t="n">
        <f aca="false">M40+L41</f>
        <v>77.8</v>
      </c>
      <c r="N41" s="19" t="n">
        <f aca="false">J41-L41</f>
        <v>-0.9</v>
      </c>
      <c r="O41" s="25" t="n">
        <f aca="false">O40+N41</f>
        <v>24.6</v>
      </c>
      <c r="P41" s="21" t="n">
        <v>36</v>
      </c>
      <c r="Q41" s="22" t="n">
        <f aca="false">0.35+((P41-8)/66)*(1-0.35)</f>
        <v>0.625757575757576</v>
      </c>
      <c r="R41" s="23" t="n">
        <f aca="false">Q41*L41</f>
        <v>0.563181818181818</v>
      </c>
      <c r="S41" s="23" t="n">
        <f aca="false">J41-R41</f>
        <v>-0.563181818181818</v>
      </c>
      <c r="T41" s="26" t="n">
        <f aca="false">MIN(122.1,(T40+S41))</f>
        <v>49.4555303030303</v>
      </c>
      <c r="V41" s="27" t="n">
        <v>482.1</v>
      </c>
      <c r="W41" s="1" t="n">
        <f aca="false">V41/D41</f>
        <v>33.0205479452055</v>
      </c>
      <c r="X41" s="1" t="n">
        <f aca="false">X40+V41</f>
        <v>38350</v>
      </c>
      <c r="AA41" s="1" t="n">
        <v>11.3669572048881</v>
      </c>
    </row>
    <row r="42" customFormat="false" ht="15" hidden="false" customHeight="false" outlineLevel="0" collapsed="false">
      <c r="A42" s="15"/>
      <c r="B42" s="4"/>
      <c r="C42" s="16" t="n">
        <v>41556</v>
      </c>
      <c r="D42" s="1" t="n">
        <v>15.1</v>
      </c>
      <c r="E42" s="1" t="n">
        <v>12.4</v>
      </c>
      <c r="F42" s="1" t="n">
        <v>18.1</v>
      </c>
      <c r="G42" s="1" t="n">
        <f aca="false">G41+D42</f>
        <v>611.7</v>
      </c>
      <c r="J42" s="1" t="n">
        <v>0.3</v>
      </c>
      <c r="K42" s="1" t="n">
        <f aca="false">K41+J42</f>
        <v>77.7</v>
      </c>
      <c r="L42" s="1" t="n">
        <v>1.8</v>
      </c>
      <c r="M42" s="1" t="n">
        <f aca="false">M41+L42</f>
        <v>79.6</v>
      </c>
      <c r="N42" s="19" t="n">
        <f aca="false">J42-L42</f>
        <v>-1.5</v>
      </c>
      <c r="O42" s="25" t="n">
        <f aca="false">O41+N42</f>
        <v>23.1</v>
      </c>
      <c r="P42" s="21" t="n">
        <v>37</v>
      </c>
      <c r="Q42" s="22" t="n">
        <f aca="false">0.35+((P42-8)/66)*(1-0.35)</f>
        <v>0.635606060606061</v>
      </c>
      <c r="R42" s="23" t="n">
        <f aca="false">Q42*L42</f>
        <v>1.14409090909091</v>
      </c>
      <c r="S42" s="23" t="n">
        <f aca="false">J42-R42</f>
        <v>-0.844090909090909</v>
      </c>
      <c r="T42" s="26" t="n">
        <f aca="false">MIN(122.1,(T41+S42))</f>
        <v>48.6114393939394</v>
      </c>
      <c r="V42" s="1" t="n">
        <v>986.9</v>
      </c>
      <c r="W42" s="1" t="n">
        <f aca="false">V42/D42</f>
        <v>65.3576158940397</v>
      </c>
      <c r="X42" s="1" t="n">
        <f aca="false">X41+V42</f>
        <v>39336.9</v>
      </c>
      <c r="AA42" s="1" t="n">
        <v>11.3118320562383</v>
      </c>
    </row>
    <row r="43" customFormat="false" ht="15" hidden="false" customHeight="false" outlineLevel="0" collapsed="false">
      <c r="A43" s="15"/>
      <c r="B43" s="4"/>
      <c r="C43" s="16" t="n">
        <v>41557</v>
      </c>
      <c r="D43" s="1" t="n">
        <v>10.8</v>
      </c>
      <c r="E43" s="1" t="n">
        <v>10.6</v>
      </c>
      <c r="F43" s="1" t="n">
        <v>12.1</v>
      </c>
      <c r="G43" s="1" t="n">
        <f aca="false">G42+D43</f>
        <v>622.5</v>
      </c>
      <c r="J43" s="1" t="n">
        <v>0.7</v>
      </c>
      <c r="K43" s="1" t="n">
        <f aca="false">K42+J43</f>
        <v>78.4</v>
      </c>
      <c r="L43" s="1" t="n">
        <v>2.1</v>
      </c>
      <c r="M43" s="1" t="n">
        <f aca="false">M42+L43</f>
        <v>81.7</v>
      </c>
      <c r="N43" s="19" t="n">
        <f aca="false">J43-L43</f>
        <v>-1.4</v>
      </c>
      <c r="O43" s="25" t="n">
        <f aca="false">O42+N43</f>
        <v>21.7</v>
      </c>
      <c r="P43" s="21" t="n">
        <v>38</v>
      </c>
      <c r="Q43" s="22" t="n">
        <f aca="false">0.35+((P43-8)/66)*(1-0.35)</f>
        <v>0.645454545454546</v>
      </c>
      <c r="R43" s="23" t="n">
        <f aca="false">Q43*L43</f>
        <v>1.35545454545455</v>
      </c>
      <c r="S43" s="23" t="n">
        <f aca="false">J43-R43</f>
        <v>-0.655454545454546</v>
      </c>
      <c r="T43" s="26" t="n">
        <f aca="false">MIN(122.1,(T42+S43))</f>
        <v>47.9559848484849</v>
      </c>
      <c r="V43" s="1" t="n">
        <v>1107</v>
      </c>
      <c r="W43" s="1" t="n">
        <f aca="false">V43/D43</f>
        <v>102.5</v>
      </c>
      <c r="X43" s="1" t="n">
        <f aca="false">X42+V43</f>
        <v>40443.9</v>
      </c>
      <c r="AA43" s="1" t="n">
        <v>11.2567881026278</v>
      </c>
    </row>
    <row r="44" customFormat="false" ht="15" hidden="false" customHeight="false" outlineLevel="0" collapsed="false">
      <c r="A44" s="15"/>
      <c r="B44" s="4"/>
      <c r="C44" s="16" t="n">
        <v>41558</v>
      </c>
      <c r="D44" s="1" t="n">
        <v>8.5</v>
      </c>
      <c r="E44" s="1" t="n">
        <v>5.8</v>
      </c>
      <c r="F44" s="1" t="n">
        <v>11.2</v>
      </c>
      <c r="G44" s="1" t="n">
        <f aca="false">G43+D44</f>
        <v>631</v>
      </c>
      <c r="J44" s="1" t="n">
        <v>4.9</v>
      </c>
      <c r="K44" s="1" t="n">
        <f aca="false">K43+J44</f>
        <v>83.3</v>
      </c>
      <c r="L44" s="1" t="n">
        <v>1</v>
      </c>
      <c r="M44" s="1" t="n">
        <f aca="false">M43+L44</f>
        <v>82.7</v>
      </c>
      <c r="N44" s="1" t="n">
        <f aca="false">J44-L44</f>
        <v>3.9</v>
      </c>
      <c r="O44" s="25" t="n">
        <f aca="false">O43+N44</f>
        <v>25.6</v>
      </c>
      <c r="P44" s="21" t="n">
        <v>39</v>
      </c>
      <c r="Q44" s="22" t="n">
        <f aca="false">0.35+((P44-8)/66)*(1-0.35)</f>
        <v>0.65530303030303</v>
      </c>
      <c r="R44" s="23" t="n">
        <f aca="false">Q44*L44</f>
        <v>0.65530303030303</v>
      </c>
      <c r="S44" s="23" t="n">
        <f aca="false">J44-R44</f>
        <v>4.24469696969697</v>
      </c>
      <c r="T44" s="26" t="n">
        <f aca="false">MIN(122.1,(T43+S44))</f>
        <v>52.2006818181818</v>
      </c>
      <c r="V44" s="27" t="n">
        <v>660.9</v>
      </c>
      <c r="W44" s="1" t="n">
        <f aca="false">V44/D44</f>
        <v>77.7529411764706</v>
      </c>
      <c r="X44" s="1" t="n">
        <f aca="false">X43+V44</f>
        <v>41104.8</v>
      </c>
      <c r="AA44" s="1" t="n">
        <v>11.2018332126361</v>
      </c>
    </row>
    <row r="45" customFormat="false" ht="15" hidden="false" customHeight="false" outlineLevel="0" collapsed="false">
      <c r="A45" s="15"/>
      <c r="B45" s="4"/>
      <c r="C45" s="16" t="n">
        <v>41559</v>
      </c>
      <c r="D45" s="1" t="n">
        <v>6.6</v>
      </c>
      <c r="E45" s="1" t="n">
        <v>5.7</v>
      </c>
      <c r="F45" s="1" t="n">
        <v>9.1</v>
      </c>
      <c r="G45" s="1" t="n">
        <f aca="false">G44+D45</f>
        <v>637.6</v>
      </c>
      <c r="J45" s="1" t="n">
        <v>1.1</v>
      </c>
      <c r="K45" s="1" t="n">
        <f aca="false">K44+J45</f>
        <v>84.4</v>
      </c>
      <c r="L45" s="1" t="n">
        <v>0.6</v>
      </c>
      <c r="M45" s="1" t="n">
        <f aca="false">M44+L45</f>
        <v>83.3</v>
      </c>
      <c r="N45" s="1" t="n">
        <f aca="false">J45-L45</f>
        <v>0.5</v>
      </c>
      <c r="O45" s="25" t="n">
        <f aca="false">O44+N45</f>
        <v>26.1</v>
      </c>
      <c r="P45" s="21" t="n">
        <v>40</v>
      </c>
      <c r="Q45" s="22" t="n">
        <f aca="false">0.35+((P45-8)/66)*(1-0.35)</f>
        <v>0.665151515151515</v>
      </c>
      <c r="R45" s="23" t="n">
        <f aca="false">Q45*L45</f>
        <v>0.399090909090909</v>
      </c>
      <c r="S45" s="23" t="n">
        <f aca="false">J45-R45</f>
        <v>0.700909090909091</v>
      </c>
      <c r="T45" s="26" t="n">
        <f aca="false">MIN(122.1,(T44+S45))</f>
        <v>52.9015909090909</v>
      </c>
      <c r="V45" s="27" t="n">
        <v>345.5</v>
      </c>
      <c r="W45" s="1" t="n">
        <f aca="false">V45/D45</f>
        <v>52.3484848484849</v>
      </c>
      <c r="X45" s="1" t="n">
        <f aca="false">X44+V45</f>
        <v>41450.3</v>
      </c>
      <c r="AA45" s="1" t="n">
        <v>11.1469755475422</v>
      </c>
    </row>
    <row r="46" customFormat="false" ht="15" hidden="false" customHeight="false" outlineLevel="0" collapsed="false">
      <c r="A46" s="15"/>
      <c r="B46" s="4"/>
      <c r="C46" s="16" t="n">
        <v>41560</v>
      </c>
      <c r="D46" s="1" t="n">
        <v>7.6</v>
      </c>
      <c r="E46" s="30" t="n">
        <v>-0.2</v>
      </c>
      <c r="F46" s="1" t="n">
        <v>12.5</v>
      </c>
      <c r="G46" s="1" t="n">
        <f aca="false">G45+D46</f>
        <v>645.2</v>
      </c>
      <c r="J46" s="1" t="n">
        <v>2</v>
      </c>
      <c r="K46" s="1" t="n">
        <f aca="false">K45+J46</f>
        <v>86.4</v>
      </c>
      <c r="L46" s="1" t="n">
        <v>0.6</v>
      </c>
      <c r="M46" s="1" t="n">
        <f aca="false">M45+L46</f>
        <v>83.9</v>
      </c>
      <c r="N46" s="1" t="n">
        <f aca="false">J46-L46</f>
        <v>1.4</v>
      </c>
      <c r="O46" s="25" t="n">
        <f aca="false">O45+N46</f>
        <v>27.5</v>
      </c>
      <c r="P46" s="21" t="n">
        <v>41</v>
      </c>
      <c r="Q46" s="22" t="n">
        <f aca="false">0.35+((P46-8)/66)*(1-0.35)</f>
        <v>0.675</v>
      </c>
      <c r="R46" s="23" t="n">
        <f aca="false">Q46*L46</f>
        <v>0.405</v>
      </c>
      <c r="S46" s="23" t="n">
        <f aca="false">J46-R46</f>
        <v>1.595</v>
      </c>
      <c r="T46" s="26" t="n">
        <f aca="false">MIN(122.1,(T45+S46))</f>
        <v>54.4965909090909</v>
      </c>
      <c r="V46" s="27" t="n">
        <v>648.2</v>
      </c>
      <c r="W46" s="1" t="n">
        <f aca="false">V46/D46</f>
        <v>85.2894736842105</v>
      </c>
      <c r="X46" s="1" t="n">
        <f aca="false">X45+V46</f>
        <v>42098.5</v>
      </c>
      <c r="AA46" s="1" t="n">
        <v>11.0922235783974</v>
      </c>
    </row>
    <row r="47" customFormat="false" ht="15" hidden="false" customHeight="false" outlineLevel="0" collapsed="false">
      <c r="A47" s="15"/>
      <c r="B47" s="4"/>
      <c r="C47" s="16" t="n">
        <v>41561</v>
      </c>
      <c r="D47" s="1" t="n">
        <v>13.7</v>
      </c>
      <c r="E47" s="1" t="n">
        <v>10.8</v>
      </c>
      <c r="F47" s="1" t="n">
        <v>15.7</v>
      </c>
      <c r="G47" s="1" t="n">
        <f aca="false">G46+D47</f>
        <v>658.9</v>
      </c>
      <c r="J47" s="1" t="n">
        <v>8.2</v>
      </c>
      <c r="K47" s="1" t="n">
        <f aca="false">K46+J47</f>
        <v>94.6</v>
      </c>
      <c r="L47" s="1" t="n">
        <v>1</v>
      </c>
      <c r="M47" s="1" t="n">
        <f aca="false">M46+L47</f>
        <v>84.9</v>
      </c>
      <c r="N47" s="1" t="n">
        <f aca="false">J47-L47</f>
        <v>7.2</v>
      </c>
      <c r="O47" s="25" t="n">
        <f aca="false">O46+N47</f>
        <v>34.7</v>
      </c>
      <c r="P47" s="21" t="n">
        <v>42</v>
      </c>
      <c r="Q47" s="22" t="n">
        <f aca="false">0.35+((P47-8)/66)*(1-0.35)</f>
        <v>0.684848484848485</v>
      </c>
      <c r="R47" s="23" t="n">
        <f aca="false">Q47*L47</f>
        <v>0.684848484848485</v>
      </c>
      <c r="S47" s="23" t="n">
        <f aca="false">J47-R47</f>
        <v>7.51515151515152</v>
      </c>
      <c r="T47" s="26" t="n">
        <f aca="false">MIN(122.1,(T46+S47))</f>
        <v>62.0117424242424</v>
      </c>
      <c r="V47" s="27" t="n">
        <v>483.9</v>
      </c>
      <c r="W47" s="1" t="n">
        <f aca="false">V47/D47</f>
        <v>35.3211678832117</v>
      </c>
      <c r="X47" s="1" t="n">
        <f aca="false">X46+V47</f>
        <v>42582.4</v>
      </c>
      <c r="AA47" s="1" t="n">
        <v>11.0375861030887</v>
      </c>
    </row>
    <row r="48" customFormat="false" ht="15" hidden="false" customHeight="false" outlineLevel="0" collapsed="false">
      <c r="A48" s="15"/>
      <c r="B48" s="4"/>
      <c r="C48" s="16" t="n">
        <v>41562</v>
      </c>
      <c r="D48" s="1" t="n">
        <v>14</v>
      </c>
      <c r="E48" s="1" t="n">
        <v>13.2</v>
      </c>
      <c r="F48" s="1" t="n">
        <v>15</v>
      </c>
      <c r="G48" s="1" t="n">
        <f aca="false">G47+D48</f>
        <v>672.9</v>
      </c>
      <c r="J48" s="1" t="n">
        <v>16.7</v>
      </c>
      <c r="K48" s="1" t="n">
        <f aca="false">K47+J48</f>
        <v>111.3</v>
      </c>
      <c r="L48" s="1" t="n">
        <v>0.6</v>
      </c>
      <c r="M48" s="1" t="n">
        <f aca="false">M47+L48</f>
        <v>85.5</v>
      </c>
      <c r="N48" s="1" t="n">
        <f aca="false">J48-L48</f>
        <v>16.1</v>
      </c>
      <c r="O48" s="25" t="n">
        <f aca="false">O47+N48</f>
        <v>50.8</v>
      </c>
      <c r="P48" s="21" t="n">
        <v>43</v>
      </c>
      <c r="Q48" s="22" t="n">
        <f aca="false">0.35+((P48-8)/66)*(1-0.35)</f>
        <v>0.69469696969697</v>
      </c>
      <c r="R48" s="23" t="n">
        <f aca="false">Q48*L48</f>
        <v>0.416818181818182</v>
      </c>
      <c r="S48" s="23" t="n">
        <f aca="false">J48-R48</f>
        <v>16.2831818181818</v>
      </c>
      <c r="T48" s="26" t="n">
        <f aca="false">MIN(122.1,(T47+S48))</f>
        <v>78.2949242424243</v>
      </c>
      <c r="V48" s="27" t="n">
        <v>224.2</v>
      </c>
      <c r="W48" s="1" t="n">
        <f aca="false">V48/D48</f>
        <v>16.0142857142857</v>
      </c>
      <c r="X48" s="1" t="n">
        <f aca="false">X47+V48</f>
        <v>42806.6</v>
      </c>
      <c r="AA48" s="1" t="n">
        <v>10.9830722633639</v>
      </c>
    </row>
    <row r="49" customFormat="false" ht="15" hidden="false" customHeight="false" outlineLevel="0" collapsed="false">
      <c r="A49" s="15"/>
      <c r="B49" s="4"/>
      <c r="C49" s="16" t="n">
        <v>41563</v>
      </c>
      <c r="D49" s="1" t="n">
        <v>14.8</v>
      </c>
      <c r="E49" s="1" t="n">
        <v>12.9</v>
      </c>
      <c r="F49" s="1" t="n">
        <v>16.4</v>
      </c>
      <c r="G49" s="1" t="n">
        <f aca="false">G48+D49</f>
        <v>687.7</v>
      </c>
      <c r="J49" s="1" t="n">
        <v>2.5</v>
      </c>
      <c r="K49" s="1" t="n">
        <f aca="false">K48+J49</f>
        <v>113.8</v>
      </c>
      <c r="L49" s="1" t="n">
        <v>0.4</v>
      </c>
      <c r="M49" s="1" t="n">
        <f aca="false">M48+L49</f>
        <v>85.9</v>
      </c>
      <c r="N49" s="1" t="n">
        <f aca="false">J49-L49</f>
        <v>2.1</v>
      </c>
      <c r="O49" s="25" t="n">
        <f aca="false">O48+N49</f>
        <v>52.9</v>
      </c>
      <c r="P49" s="21" t="n">
        <v>44</v>
      </c>
      <c r="Q49" s="22" t="n">
        <f aca="false">0.35+((P49-8)/66)*(1-0.35)</f>
        <v>0.704545454545455</v>
      </c>
      <c r="R49" s="23" t="n">
        <f aca="false">Q49*L49</f>
        <v>0.281818181818182</v>
      </c>
      <c r="S49" s="23" t="n">
        <f aca="false">J49-R49</f>
        <v>2.21818181818182</v>
      </c>
      <c r="T49" s="26" t="n">
        <f aca="false">MIN(122.1,(T48+S49))</f>
        <v>80.5131060606061</v>
      </c>
      <c r="V49" s="27" t="n">
        <v>321</v>
      </c>
      <c r="W49" s="1" t="n">
        <f aca="false">V49/D49</f>
        <v>21.6891891891892</v>
      </c>
      <c r="X49" s="1" t="n">
        <f aca="false">X48+V49</f>
        <v>43127.6</v>
      </c>
      <c r="AA49" s="1" t="n">
        <v>10.9286915617919</v>
      </c>
    </row>
    <row r="50" customFormat="false" ht="15" hidden="false" customHeight="false" outlineLevel="0" collapsed="false">
      <c r="A50" s="15"/>
      <c r="B50" s="4"/>
      <c r="C50" s="16" t="n">
        <v>41564</v>
      </c>
      <c r="D50" s="1" t="n">
        <v>13</v>
      </c>
      <c r="E50" s="1" t="n">
        <v>12.2</v>
      </c>
      <c r="F50" s="1" t="n">
        <v>16.3</v>
      </c>
      <c r="G50" s="1" t="n">
        <f aca="false">G49+D50</f>
        <v>700.7</v>
      </c>
      <c r="J50" s="1" t="n">
        <v>0.2</v>
      </c>
      <c r="K50" s="1" t="n">
        <f aca="false">K49+J50</f>
        <v>114</v>
      </c>
      <c r="L50" s="1" t="n">
        <v>1.3</v>
      </c>
      <c r="M50" s="1" t="n">
        <f aca="false">M49+L50</f>
        <v>87.2</v>
      </c>
      <c r="N50" s="19" t="n">
        <f aca="false">J50-L50</f>
        <v>-1.1</v>
      </c>
      <c r="O50" s="25" t="n">
        <f aca="false">O49+N50</f>
        <v>51.8</v>
      </c>
      <c r="P50" s="21" t="n">
        <v>45</v>
      </c>
      <c r="Q50" s="22" t="n">
        <f aca="false">0.35+((P50-8)/66)*(1-0.35)</f>
        <v>0.714393939393939</v>
      </c>
      <c r="R50" s="23" t="n">
        <f aca="false">Q50*L50</f>
        <v>0.928712121212121</v>
      </c>
      <c r="S50" s="23" t="n">
        <f aca="false">J50-R50</f>
        <v>-0.728712121212121</v>
      </c>
      <c r="T50" s="26" t="n">
        <f aca="false">MIN(122.1,(T49+S50))</f>
        <v>79.784393939394</v>
      </c>
      <c r="V50" s="27" t="n">
        <v>810.8</v>
      </c>
      <c r="W50" s="1" t="n">
        <f aca="false">V50/D50</f>
        <v>62.3692307692308</v>
      </c>
      <c r="X50" s="1" t="n">
        <f aca="false">X49+V50</f>
        <v>43938.4</v>
      </c>
      <c r="AA50" s="1" t="n">
        <v>10.8744538786235</v>
      </c>
    </row>
    <row r="51" customFormat="false" ht="15" hidden="false" customHeight="false" outlineLevel="0" collapsed="false">
      <c r="A51" s="15"/>
      <c r="B51" s="4"/>
      <c r="C51" s="16" t="n">
        <v>41565</v>
      </c>
      <c r="D51" s="1" t="n">
        <v>11.3</v>
      </c>
      <c r="E51" s="1" t="n">
        <v>7.5</v>
      </c>
      <c r="F51" s="1" t="n">
        <v>14.5</v>
      </c>
      <c r="G51" s="1" t="n">
        <f aca="false">G50+D51</f>
        <v>712</v>
      </c>
      <c r="J51" s="1" t="n">
        <v>0.2</v>
      </c>
      <c r="K51" s="1" t="n">
        <f aca="false">K50+J51</f>
        <v>114.2</v>
      </c>
      <c r="L51" s="1" t="n">
        <v>1.2</v>
      </c>
      <c r="M51" s="1" t="n">
        <f aca="false">M50+L51</f>
        <v>88.4</v>
      </c>
      <c r="N51" s="19" t="n">
        <f aca="false">J51-L51</f>
        <v>-1</v>
      </c>
      <c r="O51" s="25" t="n">
        <f aca="false">O50+N51</f>
        <v>50.8</v>
      </c>
      <c r="P51" s="21" t="n">
        <v>46</v>
      </c>
      <c r="Q51" s="22" t="n">
        <f aca="false">0.35+((P51-8)/66)*(1-0.35)</f>
        <v>0.724242424242424</v>
      </c>
      <c r="R51" s="23" t="n">
        <f aca="false">Q51*L51</f>
        <v>0.869090909090909</v>
      </c>
      <c r="S51" s="23" t="n">
        <f aca="false">J51-R51</f>
        <v>-0.669090909090909</v>
      </c>
      <c r="T51" s="26" t="n">
        <f aca="false">MIN(122.1,(T50+S51))</f>
        <v>79.115303030303</v>
      </c>
      <c r="V51" s="1" t="n">
        <v>985.5</v>
      </c>
      <c r="W51" s="1" t="n">
        <f aca="false">V51/D51</f>
        <v>87.212389380531</v>
      </c>
      <c r="X51" s="1" t="n">
        <f aca="false">X50+V51</f>
        <v>44923.9</v>
      </c>
      <c r="AA51" s="1" t="n">
        <v>10.820369488516</v>
      </c>
    </row>
    <row r="52" customFormat="false" ht="15" hidden="false" customHeight="false" outlineLevel="0" collapsed="false">
      <c r="A52" s="15"/>
      <c r="B52" s="4"/>
      <c r="C52" s="16" t="n">
        <v>41566</v>
      </c>
      <c r="D52" s="1" t="n">
        <v>14.9</v>
      </c>
      <c r="E52" s="1" t="n">
        <v>9.2</v>
      </c>
      <c r="F52" s="1" t="n">
        <v>19.9</v>
      </c>
      <c r="G52" s="1" t="n">
        <f aca="false">G51+D52</f>
        <v>726.9</v>
      </c>
      <c r="J52" s="1" t="n">
        <v>10.5</v>
      </c>
      <c r="K52" s="1" t="n">
        <f aca="false">K51+J52</f>
        <v>124.7</v>
      </c>
      <c r="L52" s="1" t="n">
        <v>0.7</v>
      </c>
      <c r="M52" s="1" t="n">
        <f aca="false">M51+L52</f>
        <v>89.1</v>
      </c>
      <c r="N52" s="1" t="n">
        <f aca="false">J52-L52</f>
        <v>9.8</v>
      </c>
      <c r="O52" s="25" t="n">
        <f aca="false">O51+N52</f>
        <v>60.6</v>
      </c>
      <c r="P52" s="21" t="n">
        <v>47</v>
      </c>
      <c r="Q52" s="22" t="n">
        <f aca="false">0.35+((P52-8)/66)*(1-0.35)</f>
        <v>0.734090909090909</v>
      </c>
      <c r="R52" s="23" t="n">
        <f aca="false">Q52*L52</f>
        <v>0.513863636363636</v>
      </c>
      <c r="S52" s="23" t="n">
        <f aca="false">J52-R52</f>
        <v>9.98613636363636</v>
      </c>
      <c r="T52" s="26" t="n">
        <f aca="false">MIN(122.1,(T51+S52))</f>
        <v>89.1014393939394</v>
      </c>
      <c r="V52" s="27" t="n">
        <v>461.7</v>
      </c>
      <c r="W52" s="1" t="n">
        <f aca="false">V52/D52</f>
        <v>30.9865771812081</v>
      </c>
      <c r="X52" s="1" t="n">
        <f aca="false">X51+V52</f>
        <v>45385.6</v>
      </c>
      <c r="AA52" s="1" t="n">
        <v>10.7664490770799</v>
      </c>
    </row>
    <row r="53" customFormat="false" ht="15" hidden="false" customHeight="false" outlineLevel="0" collapsed="false">
      <c r="A53" s="15"/>
      <c r="B53" s="4"/>
      <c r="C53" s="16" t="n">
        <v>41567</v>
      </c>
      <c r="D53" s="1" t="n">
        <v>15.3</v>
      </c>
      <c r="E53" s="1" t="n">
        <v>13.5</v>
      </c>
      <c r="F53" s="1" t="n">
        <v>19.3</v>
      </c>
      <c r="G53" s="1" t="n">
        <f aca="false">G52+D53</f>
        <v>742.2</v>
      </c>
      <c r="J53" s="1" t="n">
        <v>1.4</v>
      </c>
      <c r="K53" s="1" t="n">
        <f aca="false">K52+J53</f>
        <v>126.1</v>
      </c>
      <c r="L53" s="1" t="n">
        <v>1.7</v>
      </c>
      <c r="M53" s="1" t="n">
        <f aca="false">M52+L53</f>
        <v>90.8</v>
      </c>
      <c r="N53" s="19" t="n">
        <f aca="false">J53-L53</f>
        <v>-0.3</v>
      </c>
      <c r="O53" s="25" t="n">
        <f aca="false">O52+N53</f>
        <v>60.3</v>
      </c>
      <c r="P53" s="21" t="n">
        <v>48</v>
      </c>
      <c r="Q53" s="22" t="n">
        <f aca="false">0.35+((P53-8)/66)*(1-0.35)</f>
        <v>0.743939393939394</v>
      </c>
      <c r="R53" s="23" t="n">
        <f aca="false">Q53*L53</f>
        <v>1.26469696969697</v>
      </c>
      <c r="S53" s="23" t="n">
        <f aca="false">J53-R53</f>
        <v>0.13530303030303</v>
      </c>
      <c r="T53" s="26" t="n">
        <f aca="false">MIN(122.1,(T52+S53))</f>
        <v>89.2367424242424</v>
      </c>
      <c r="V53" s="27" t="n">
        <v>730.6</v>
      </c>
      <c r="W53" s="1" t="n">
        <f aca="false">V53/D53</f>
        <v>47.7516339869281</v>
      </c>
      <c r="X53" s="1" t="n">
        <f aca="false">X52+V53</f>
        <v>46116.2</v>
      </c>
      <c r="AA53" s="1" t="n">
        <v>10.7127037572019</v>
      </c>
    </row>
    <row r="54" customFormat="false" ht="15" hidden="false" customHeight="false" outlineLevel="0" collapsed="false">
      <c r="A54" s="15"/>
      <c r="B54" s="4"/>
      <c r="C54" s="16" t="n">
        <v>41568</v>
      </c>
      <c r="D54" s="1" t="n">
        <v>16.2</v>
      </c>
      <c r="E54" s="1" t="n">
        <v>11.4</v>
      </c>
      <c r="F54" s="1" t="n">
        <v>21.7</v>
      </c>
      <c r="G54" s="1" t="n">
        <f aca="false">G53+D54</f>
        <v>758.4</v>
      </c>
      <c r="J54" s="1" t="n">
        <v>0.3</v>
      </c>
      <c r="K54" s="1" t="n">
        <f aca="false">K53+J54</f>
        <v>126.4</v>
      </c>
      <c r="L54" s="1" t="n">
        <v>1.2</v>
      </c>
      <c r="M54" s="1" t="n">
        <f aca="false">M53+L54</f>
        <v>92</v>
      </c>
      <c r="N54" s="19" t="n">
        <f aca="false">J54-L54</f>
        <v>-0.9</v>
      </c>
      <c r="O54" s="25" t="n">
        <f aca="false">O53+N54</f>
        <v>59.4</v>
      </c>
      <c r="P54" s="21" t="n">
        <v>49</v>
      </c>
      <c r="Q54" s="22" t="n">
        <f aca="false">0.35+((P54-8)/66)*(1-0.35)</f>
        <v>0.753787878787879</v>
      </c>
      <c r="R54" s="23" t="n">
        <f aca="false">Q54*L54</f>
        <v>0.904545454545455</v>
      </c>
      <c r="S54" s="23" t="n">
        <f aca="false">J54-R54</f>
        <v>-0.604545454545455</v>
      </c>
      <c r="T54" s="26" t="n">
        <f aca="false">MIN(122.1,(T53+S54))</f>
        <v>88.632196969697</v>
      </c>
      <c r="V54" s="27" t="n">
        <v>732.6</v>
      </c>
      <c r="W54" s="1" t="n">
        <f aca="false">V54/D54</f>
        <v>45.2222222222222</v>
      </c>
      <c r="X54" s="1" t="n">
        <f aca="false">X53+V54</f>
        <v>46848.8</v>
      </c>
      <c r="AA54" s="1" t="n">
        <v>10.6591450850944</v>
      </c>
    </row>
    <row r="55" customFormat="false" ht="15" hidden="false" customHeight="false" outlineLevel="0" collapsed="false">
      <c r="A55" s="15"/>
      <c r="B55" s="4"/>
      <c r="C55" s="16" t="n">
        <v>41569</v>
      </c>
      <c r="D55" s="1" t="n">
        <v>17.3</v>
      </c>
      <c r="E55" s="1" t="n">
        <v>14.3</v>
      </c>
      <c r="F55" s="1" t="n">
        <v>21.4</v>
      </c>
      <c r="G55" s="1" t="n">
        <f aca="false">G54+D55</f>
        <v>775.7</v>
      </c>
      <c r="J55" s="1" t="n">
        <v>2.1</v>
      </c>
      <c r="K55" s="1" t="n">
        <f aca="false">K54+J55</f>
        <v>128.5</v>
      </c>
      <c r="L55" s="1" t="n">
        <v>1.5</v>
      </c>
      <c r="M55" s="1" t="n">
        <f aca="false">M54+L55</f>
        <v>93.5</v>
      </c>
      <c r="N55" s="1" t="n">
        <f aca="false">J55-L55</f>
        <v>0.6</v>
      </c>
      <c r="O55" s="25" t="n">
        <f aca="false">O54+N55</f>
        <v>60</v>
      </c>
      <c r="P55" s="21" t="n">
        <v>50</v>
      </c>
      <c r="Q55" s="22" t="n">
        <f aca="false">0.35+((P55-8)/66)*(1-0.35)</f>
        <v>0.763636363636364</v>
      </c>
      <c r="R55" s="23" t="n">
        <f aca="false">Q55*L55</f>
        <v>1.14545454545455</v>
      </c>
      <c r="S55" s="23" t="n">
        <f aca="false">J55-R55</f>
        <v>0.954545454545455</v>
      </c>
      <c r="T55" s="26" t="n">
        <f aca="false">MIN(122.1,(T54+S55))</f>
        <v>89.5867424242424</v>
      </c>
      <c r="V55" s="27" t="n">
        <v>593.6</v>
      </c>
      <c r="W55" s="1" t="n">
        <f aca="false">V55/D55</f>
        <v>34.3121387283237</v>
      </c>
      <c r="X55" s="1" t="n">
        <f aca="false">X54+V55</f>
        <v>47442.4</v>
      </c>
      <c r="AA55" s="1" t="n">
        <v>10.6057850760146</v>
      </c>
    </row>
    <row r="56" customFormat="false" ht="15" hidden="false" customHeight="false" outlineLevel="0" collapsed="false">
      <c r="A56" s="15"/>
      <c r="B56" s="4"/>
      <c r="C56" s="16" t="n">
        <v>41570</v>
      </c>
      <c r="D56" s="1" t="n">
        <v>16.4</v>
      </c>
      <c r="E56" s="1" t="n">
        <v>15.5</v>
      </c>
      <c r="F56" s="1" t="n">
        <v>20.1</v>
      </c>
      <c r="G56" s="1" t="n">
        <f aca="false">G55+D56</f>
        <v>792.1</v>
      </c>
      <c r="J56" s="1" t="n">
        <v>3</v>
      </c>
      <c r="K56" s="1" t="n">
        <f aca="false">K55+J56</f>
        <v>131.5</v>
      </c>
      <c r="L56" s="1" t="n">
        <v>2.7</v>
      </c>
      <c r="M56" s="1" t="n">
        <f aca="false">M55+L56</f>
        <v>96.2</v>
      </c>
      <c r="N56" s="1" t="n">
        <f aca="false">J56-L56</f>
        <v>0.3</v>
      </c>
      <c r="O56" s="25" t="n">
        <f aca="false">O55+N56</f>
        <v>60.3</v>
      </c>
      <c r="P56" s="21" t="n">
        <v>51</v>
      </c>
      <c r="Q56" s="22" t="n">
        <f aca="false">0.35+((P56-8)/66)*(1-0.35)</f>
        <v>0.773484848484848</v>
      </c>
      <c r="R56" s="23" t="n">
        <f aca="false">Q56*L56</f>
        <v>2.08840909090909</v>
      </c>
      <c r="S56" s="23" t="n">
        <f aca="false">J56-R56</f>
        <v>0.911590909090909</v>
      </c>
      <c r="T56" s="26" t="n">
        <f aca="false">MIN(122.1,(T55+S56))</f>
        <v>90.4983333333333</v>
      </c>
      <c r="V56" s="1" t="n">
        <v>924.4</v>
      </c>
      <c r="W56" s="1" t="n">
        <f aca="false">V56/D56</f>
        <v>56.3658536585366</v>
      </c>
      <c r="X56" s="1" t="n">
        <f aca="false">X55+V56</f>
        <v>48366.8</v>
      </c>
      <c r="AA56" s="1" t="n">
        <v>10.5526362195937</v>
      </c>
    </row>
    <row r="57" customFormat="false" ht="15" hidden="false" customHeight="false" outlineLevel="0" collapsed="false">
      <c r="A57" s="15"/>
      <c r="B57" s="4"/>
      <c r="C57" s="16" t="n">
        <v>41571</v>
      </c>
      <c r="D57" s="1" t="n">
        <v>14.1</v>
      </c>
      <c r="E57" s="1" t="n">
        <v>8.2</v>
      </c>
      <c r="F57" s="1" t="n">
        <v>19.6</v>
      </c>
      <c r="G57" s="1" t="n">
        <f aca="false">G56+D57</f>
        <v>806.2</v>
      </c>
      <c r="J57" s="1" t="n">
        <v>0.1</v>
      </c>
      <c r="K57" s="1" t="n">
        <f aca="false">K56+J57</f>
        <v>131.6</v>
      </c>
      <c r="L57" s="1" t="n">
        <v>1.5</v>
      </c>
      <c r="M57" s="1" t="n">
        <f aca="false">M56+L57</f>
        <v>97.7</v>
      </c>
      <c r="N57" s="19" t="n">
        <f aca="false">J57-L57</f>
        <v>-1.4</v>
      </c>
      <c r="O57" s="25" t="n">
        <f aca="false">O56+N57</f>
        <v>58.9</v>
      </c>
      <c r="P57" s="21" t="n">
        <v>52</v>
      </c>
      <c r="Q57" s="22" t="n">
        <f aca="false">0.35+((P57-8)/66)*(1-0.35)</f>
        <v>0.783333333333333</v>
      </c>
      <c r="R57" s="23" t="n">
        <f aca="false">Q57*L57</f>
        <v>1.175</v>
      </c>
      <c r="S57" s="23" t="n">
        <f aca="false">J57-R57</f>
        <v>-1.075</v>
      </c>
      <c r="T57" s="26" t="n">
        <f aca="false">MIN(122.1,(T56+S57))</f>
        <v>89.4233333333333</v>
      </c>
      <c r="V57" s="1" t="n">
        <v>1058.6</v>
      </c>
      <c r="W57" s="1" t="n">
        <f aca="false">V57/D57</f>
        <v>75.0780141843972</v>
      </c>
      <c r="X57" s="1" t="n">
        <f aca="false">X56+V57</f>
        <v>49425.4</v>
      </c>
      <c r="AA57" s="1" t="n">
        <v>10.4997114947105</v>
      </c>
    </row>
    <row r="58" customFormat="false" ht="15" hidden="false" customHeight="false" outlineLevel="0" collapsed="false">
      <c r="A58" s="15"/>
      <c r="B58" s="4"/>
      <c r="C58" s="16" t="n">
        <v>41572</v>
      </c>
      <c r="D58" s="1" t="n">
        <v>17.2</v>
      </c>
      <c r="E58" s="1" t="n">
        <v>14.4</v>
      </c>
      <c r="F58" s="1" t="n">
        <v>19.3</v>
      </c>
      <c r="G58" s="1" t="n">
        <f aca="false">G57+D58</f>
        <v>823.4</v>
      </c>
      <c r="J58" s="1" t="n">
        <v>15.2</v>
      </c>
      <c r="K58" s="1" t="n">
        <f aca="false">K57+J58</f>
        <v>146.8</v>
      </c>
      <c r="L58" s="1" t="n">
        <v>0.5</v>
      </c>
      <c r="M58" s="1" t="n">
        <f aca="false">M57+L58</f>
        <v>98.2</v>
      </c>
      <c r="N58" s="1" t="n">
        <f aca="false">J58-L58</f>
        <v>14.7</v>
      </c>
      <c r="O58" s="25" t="n">
        <f aca="false">O57+N58</f>
        <v>73.6</v>
      </c>
      <c r="P58" s="21" t="n">
        <v>53</v>
      </c>
      <c r="Q58" s="22" t="n">
        <f aca="false">0.35+((P58-8)/66)*(1-0.35)</f>
        <v>0.793181818181818</v>
      </c>
      <c r="R58" s="23" t="n">
        <f aca="false">Q58*L58</f>
        <v>0.396590909090909</v>
      </c>
      <c r="S58" s="23" t="n">
        <f aca="false">J58-R58</f>
        <v>14.8034090909091</v>
      </c>
      <c r="T58" s="26" t="n">
        <f aca="false">MIN(122.1,(T57+S58))</f>
        <v>104.226742424242</v>
      </c>
      <c r="V58" s="27" t="n">
        <v>185.6</v>
      </c>
      <c r="W58" s="1" t="n">
        <f aca="false">V58/D58</f>
        <v>10.7906976744186</v>
      </c>
      <c r="X58" s="1" t="n">
        <f aca="false">X57+V58</f>
        <v>49611</v>
      </c>
      <c r="AA58" s="1" t="n">
        <v>10.4470243838368</v>
      </c>
    </row>
    <row r="59" customFormat="false" ht="15" hidden="false" customHeight="false" outlineLevel="0" collapsed="false">
      <c r="A59" s="15"/>
      <c r="B59" s="4"/>
      <c r="C59" s="16" t="n">
        <v>41573</v>
      </c>
      <c r="D59" s="1" t="n">
        <v>17.1</v>
      </c>
      <c r="E59" s="1" t="n">
        <v>13.5</v>
      </c>
      <c r="F59" s="1" t="n">
        <v>21.8</v>
      </c>
      <c r="G59" s="1" t="n">
        <f aca="false">G58+D59</f>
        <v>840.5</v>
      </c>
      <c r="J59" s="1" t="n">
        <v>1.4</v>
      </c>
      <c r="K59" s="1" t="n">
        <f aca="false">K58+J59</f>
        <v>148.2</v>
      </c>
      <c r="L59" s="1" t="n">
        <v>1.5</v>
      </c>
      <c r="M59" s="1" t="n">
        <f aca="false">M58+L59</f>
        <v>99.7</v>
      </c>
      <c r="N59" s="19" t="n">
        <f aca="false">J59-L59</f>
        <v>-0.1</v>
      </c>
      <c r="O59" s="25" t="n">
        <f aca="false">O58+N59</f>
        <v>73.5</v>
      </c>
      <c r="P59" s="21" t="n">
        <v>54</v>
      </c>
      <c r="Q59" s="22" t="n">
        <f aca="false">0.35+((P59-8)/66)*(1-0.35)</f>
        <v>0.803030303030303</v>
      </c>
      <c r="R59" s="23" t="n">
        <f aca="false">Q59*L59</f>
        <v>1.20454545454545</v>
      </c>
      <c r="S59" s="23" t="n">
        <f aca="false">J59-R59</f>
        <v>0.195454545454545</v>
      </c>
      <c r="T59" s="26" t="n">
        <f aca="false">MIN(122.1,(T58+S59))</f>
        <v>104.422196969697</v>
      </c>
      <c r="V59" s="27" t="n">
        <v>619.8</v>
      </c>
      <c r="W59" s="1" t="n">
        <f aca="false">V59/D59</f>
        <v>36.2456140350877</v>
      </c>
      <c r="X59" s="1" t="n">
        <f aca="false">X58+V59</f>
        <v>50230.8</v>
      </c>
      <c r="AA59" s="1" t="n">
        <v>10.3945888867795</v>
      </c>
    </row>
    <row r="60" customFormat="false" ht="15" hidden="false" customHeight="false" outlineLevel="0" collapsed="false">
      <c r="A60" s="15"/>
      <c r="B60" s="4"/>
      <c r="C60" s="16" t="n">
        <v>41574</v>
      </c>
      <c r="D60" s="1" t="n">
        <v>14.8</v>
      </c>
      <c r="E60" s="1" t="n">
        <v>13.9</v>
      </c>
      <c r="F60" s="1" t="n">
        <v>17.3</v>
      </c>
      <c r="G60" s="1" t="n">
        <f aca="false">G59+D60</f>
        <v>855.3</v>
      </c>
      <c r="J60" s="1" t="n">
        <v>6.1</v>
      </c>
      <c r="K60" s="1" t="n">
        <f aca="false">K59+J60</f>
        <v>154.3</v>
      </c>
      <c r="L60" s="1" t="n">
        <v>1.6</v>
      </c>
      <c r="M60" s="1" t="n">
        <f aca="false">M59+L60</f>
        <v>101.3</v>
      </c>
      <c r="N60" s="1" t="n">
        <f aca="false">J60-L60</f>
        <v>4.5</v>
      </c>
      <c r="O60" s="25" t="n">
        <f aca="false">O59+N60</f>
        <v>78</v>
      </c>
      <c r="P60" s="21" t="n">
        <v>55</v>
      </c>
      <c r="Q60" s="22" t="n">
        <f aca="false">0.35+((P60-8)/66)*(1-0.35)</f>
        <v>0.812878787878788</v>
      </c>
      <c r="R60" s="23" t="n">
        <f aca="false">Q60*L60</f>
        <v>1.30060606060606</v>
      </c>
      <c r="S60" s="23" t="n">
        <f aca="false">J60-R60</f>
        <v>4.79939393939394</v>
      </c>
      <c r="T60" s="26" t="n">
        <f aca="false">MIN(122.1,(T59+S60))</f>
        <v>109.221590909091</v>
      </c>
      <c r="V60" s="27" t="n">
        <v>252.4</v>
      </c>
      <c r="W60" s="1" t="n">
        <f aca="false">V60/D60</f>
        <v>17.0540540540541</v>
      </c>
      <c r="X60" s="1" t="n">
        <f aca="false">X59+V60</f>
        <v>50483.2</v>
      </c>
      <c r="AA60" s="1" t="n">
        <v>10.3424195337355</v>
      </c>
    </row>
    <row r="61" customFormat="false" ht="15" hidden="false" customHeight="false" outlineLevel="0" collapsed="false">
      <c r="A61" s="15"/>
      <c r="B61" s="4"/>
      <c r="C61" s="16" t="n">
        <v>41575</v>
      </c>
      <c r="D61" s="1" t="n">
        <v>14.2</v>
      </c>
      <c r="E61" s="1" t="n">
        <v>13</v>
      </c>
      <c r="F61" s="1" t="n">
        <v>16.9</v>
      </c>
      <c r="G61" s="1" t="n">
        <f aca="false">G60+D61</f>
        <v>869.5</v>
      </c>
      <c r="J61" s="1" t="n">
        <v>2.8</v>
      </c>
      <c r="K61" s="1" t="n">
        <f aca="false">K60+J61</f>
        <v>157.1</v>
      </c>
      <c r="L61" s="1" t="n">
        <v>1.7</v>
      </c>
      <c r="M61" s="1" t="n">
        <f aca="false">M60+L61</f>
        <v>103</v>
      </c>
      <c r="N61" s="1" t="n">
        <f aca="false">J61-L61</f>
        <v>1.1</v>
      </c>
      <c r="O61" s="25" t="n">
        <f aca="false">O60+N61</f>
        <v>79.1</v>
      </c>
      <c r="P61" s="21" t="n">
        <v>56</v>
      </c>
      <c r="Q61" s="22" t="n">
        <f aca="false">0.35+((P61-8)/66)*(1-0.35)</f>
        <v>0.822727272727273</v>
      </c>
      <c r="R61" s="23" t="n">
        <f aca="false">Q61*L61</f>
        <v>1.39863636363636</v>
      </c>
      <c r="S61" s="23" t="n">
        <f aca="false">J61-R61</f>
        <v>1.40136363636364</v>
      </c>
      <c r="T61" s="26" t="n">
        <f aca="false">MIN(122.1,(T60+S61))</f>
        <v>110.622954545455</v>
      </c>
      <c r="V61" s="27" t="n">
        <v>272</v>
      </c>
      <c r="W61" s="1" t="n">
        <f aca="false">V61/D61</f>
        <v>19.1549295774648</v>
      </c>
      <c r="X61" s="1" t="n">
        <f aca="false">X60+V61</f>
        <v>50755.2</v>
      </c>
      <c r="AA61" s="1" t="n">
        <v>10.2905313975712</v>
      </c>
    </row>
    <row r="62" customFormat="false" ht="15" hidden="false" customHeight="false" outlineLevel="0" collapsed="false">
      <c r="A62" s="15"/>
      <c r="B62" s="4"/>
      <c r="C62" s="16" t="n">
        <v>41576</v>
      </c>
      <c r="D62" s="1" t="n">
        <v>9.5</v>
      </c>
      <c r="E62" s="1" t="n">
        <v>8</v>
      </c>
      <c r="F62" s="1" t="n">
        <v>14.3</v>
      </c>
      <c r="G62" s="1" t="n">
        <f aca="false">G61+D62</f>
        <v>879</v>
      </c>
      <c r="J62" s="1" t="n">
        <v>1.1</v>
      </c>
      <c r="K62" s="1" t="n">
        <f aca="false">K61+J62</f>
        <v>158.2</v>
      </c>
      <c r="L62" s="1" t="n">
        <v>1.6</v>
      </c>
      <c r="M62" s="1" t="n">
        <f aca="false">M61+L62</f>
        <v>104.6</v>
      </c>
      <c r="N62" s="19" t="n">
        <f aca="false">J62-L62</f>
        <v>-0.5</v>
      </c>
      <c r="O62" s="25" t="n">
        <f aca="false">O61+N62</f>
        <v>78.6</v>
      </c>
      <c r="P62" s="21" t="n">
        <v>57</v>
      </c>
      <c r="Q62" s="22" t="n">
        <f aca="false">0.35+((P62-8)/66)*(1-0.35)</f>
        <v>0.832575757575758</v>
      </c>
      <c r="R62" s="23" t="n">
        <f aca="false">Q62*L62</f>
        <v>1.33212121212121</v>
      </c>
      <c r="S62" s="23" t="n">
        <f aca="false">J62-R62</f>
        <v>-0.232121212121212</v>
      </c>
      <c r="T62" s="26" t="n">
        <f aca="false">MIN(122.1,(T61+S62))</f>
        <v>110.390833333333</v>
      </c>
      <c r="V62" s="1" t="n">
        <v>944.5</v>
      </c>
      <c r="W62" s="1" t="n">
        <f aca="false">V62/D62</f>
        <v>99.421052631579</v>
      </c>
      <c r="X62" s="1" t="n">
        <f aca="false">X61+V62</f>
        <v>51699.7</v>
      </c>
      <c r="AA62" s="1" t="n">
        <v>10.238940105234</v>
      </c>
    </row>
    <row r="63" customFormat="false" ht="15" hidden="false" customHeight="false" outlineLevel="0" collapsed="false">
      <c r="A63" s="15"/>
      <c r="B63" s="4"/>
      <c r="C63" s="16" t="n">
        <v>41577</v>
      </c>
      <c r="D63" s="1" t="n">
        <v>6.6</v>
      </c>
      <c r="E63" s="31" t="n">
        <v>3.2</v>
      </c>
      <c r="F63" s="1" t="n">
        <v>11.6</v>
      </c>
      <c r="G63" s="1" t="n">
        <f aca="false">G62+D63</f>
        <v>885.6</v>
      </c>
      <c r="J63" s="1" t="n">
        <v>0</v>
      </c>
      <c r="K63" s="1" t="n">
        <f aca="false">K62+J63</f>
        <v>158.2</v>
      </c>
      <c r="L63" s="1" t="n">
        <v>0.7</v>
      </c>
      <c r="M63" s="1" t="n">
        <f aca="false">M62+L63</f>
        <v>105.3</v>
      </c>
      <c r="N63" s="19" t="n">
        <f aca="false">J63-L63</f>
        <v>-0.7</v>
      </c>
      <c r="O63" s="25" t="n">
        <f aca="false">O62+N63</f>
        <v>77.9</v>
      </c>
      <c r="P63" s="21" t="n">
        <v>58</v>
      </c>
      <c r="Q63" s="22" t="n">
        <f aca="false">0.35+((P63-8)/66)*(1-0.35)</f>
        <v>0.842424242424242</v>
      </c>
      <c r="R63" s="23" t="n">
        <f aca="false">Q63*L63</f>
        <v>0.58969696969697</v>
      </c>
      <c r="S63" s="23" t="n">
        <f aca="false">J63-R63</f>
        <v>-0.58969696969697</v>
      </c>
      <c r="T63" s="26" t="n">
        <f aca="false">MIN(122.1,(T62+S63))</f>
        <v>109.801136363636</v>
      </c>
      <c r="V63" s="27" t="n">
        <v>672.7</v>
      </c>
      <c r="W63" s="1" t="n">
        <f aca="false">V63/D63</f>
        <v>101.924242424242</v>
      </c>
      <c r="X63" s="1" t="n">
        <f aca="false">X62+V63</f>
        <v>52372.4</v>
      </c>
      <c r="AA63" s="1" t="n">
        <v>10.1876618481929</v>
      </c>
    </row>
    <row r="64" customFormat="false" ht="15" hidden="false" customHeight="false" outlineLevel="0" collapsed="false">
      <c r="A64" s="15"/>
      <c r="B64" s="4"/>
      <c r="C64" s="16" t="n">
        <v>41578</v>
      </c>
      <c r="D64" s="1" t="n">
        <v>6.8</v>
      </c>
      <c r="E64" s="31" t="n">
        <v>0.7</v>
      </c>
      <c r="F64" s="1" t="n">
        <v>13.1</v>
      </c>
      <c r="G64" s="1" t="n">
        <f aca="false">G63+D64</f>
        <v>892.4</v>
      </c>
      <c r="J64" s="1" t="n">
        <v>0</v>
      </c>
      <c r="K64" s="1" t="n">
        <f aca="false">K63+J64</f>
        <v>158.2</v>
      </c>
      <c r="L64" s="1" t="n">
        <v>1.1</v>
      </c>
      <c r="M64" s="1" t="n">
        <f aca="false">M63+L64</f>
        <v>106.4</v>
      </c>
      <c r="N64" s="19" t="n">
        <f aca="false">J64-L64</f>
        <v>-1.1</v>
      </c>
      <c r="O64" s="25" t="n">
        <f aca="false">O63+N64</f>
        <v>76.8</v>
      </c>
      <c r="P64" s="21" t="n">
        <v>59</v>
      </c>
      <c r="Q64" s="22" t="n">
        <f aca="false">0.35+((P64-8)/66)*(1-0.35)</f>
        <v>0.852272727272727</v>
      </c>
      <c r="R64" s="23" t="n">
        <f aca="false">Q64*L64</f>
        <v>0.9375</v>
      </c>
      <c r="S64" s="23" t="n">
        <f aca="false">J64-R64</f>
        <v>-0.9375</v>
      </c>
      <c r="T64" s="26" t="n">
        <f aca="false">MIN(122.1,(T63+S64))</f>
        <v>108.863636363636</v>
      </c>
      <c r="V64" s="1" t="n">
        <v>1033.6</v>
      </c>
      <c r="W64" s="1" t="n">
        <f aca="false">V64/D64</f>
        <v>152</v>
      </c>
      <c r="X64" s="1" t="n">
        <f aca="false">X63+V64</f>
        <v>53406</v>
      </c>
      <c r="AA64" s="1" t="n">
        <v>10.1367133918062</v>
      </c>
    </row>
    <row r="65" customFormat="false" ht="15" hidden="false" customHeight="false" outlineLevel="0" collapsed="false">
      <c r="A65" s="15"/>
      <c r="B65" s="4"/>
      <c r="C65" s="16" t="n">
        <v>41579</v>
      </c>
      <c r="D65" s="1" t="n">
        <v>9.1</v>
      </c>
      <c r="E65" s="1" t="n">
        <v>5.8</v>
      </c>
      <c r="F65" s="1" t="n">
        <v>14</v>
      </c>
      <c r="G65" s="1" t="n">
        <f aca="false">G64+D65</f>
        <v>901.5</v>
      </c>
      <c r="J65" s="1" t="n">
        <v>9.1</v>
      </c>
      <c r="K65" s="1" t="n">
        <f aca="false">K64+J65</f>
        <v>167.3</v>
      </c>
      <c r="L65" s="1" t="n">
        <v>1.3</v>
      </c>
      <c r="M65" s="1" t="n">
        <f aca="false">M64+L65</f>
        <v>107.7</v>
      </c>
      <c r="N65" s="1" t="n">
        <f aca="false">J65-L65</f>
        <v>7.8</v>
      </c>
      <c r="O65" s="25" t="n">
        <f aca="false">O64+N65</f>
        <v>84.6</v>
      </c>
      <c r="P65" s="21" t="n">
        <v>60</v>
      </c>
      <c r="Q65" s="22" t="n">
        <f aca="false">0.35+((P65-8)/66)*(1-0.35)</f>
        <v>0.862121212121212</v>
      </c>
      <c r="R65" s="23" t="n">
        <f aca="false">Q65*L65</f>
        <v>1.12075757575758</v>
      </c>
      <c r="S65" s="23" t="n">
        <f aca="false">J65-R65</f>
        <v>7.97924242424242</v>
      </c>
      <c r="T65" s="26" t="n">
        <f aca="false">MIN(122.1,(T64+S65))</f>
        <v>116.842878787879</v>
      </c>
      <c r="V65" s="27" t="n">
        <v>460.1</v>
      </c>
      <c r="W65" s="1" t="n">
        <f aca="false">V65/D65</f>
        <v>50.5604395604396</v>
      </c>
      <c r="X65" s="1" t="n">
        <f aca="false">X64+V65</f>
        <v>53866.1</v>
      </c>
      <c r="AA65" s="1" t="n">
        <v>10.0861120835021</v>
      </c>
    </row>
    <row r="66" customFormat="false" ht="15" hidden="false" customHeight="false" outlineLevel="0" collapsed="false">
      <c r="A66" s="15"/>
      <c r="B66" s="4"/>
      <c r="C66" s="16" t="n">
        <v>41580</v>
      </c>
      <c r="D66" s="1" t="n">
        <v>13.9</v>
      </c>
      <c r="E66" s="1" t="n">
        <v>9.7</v>
      </c>
      <c r="F66" s="1" t="n">
        <v>15.7</v>
      </c>
      <c r="G66" s="1" t="n">
        <f aca="false">G65+D66</f>
        <v>915.4</v>
      </c>
      <c r="J66" s="1" t="n">
        <v>3.5</v>
      </c>
      <c r="K66" s="1" t="n">
        <f aca="false">K65+J66</f>
        <v>170.8</v>
      </c>
      <c r="L66" s="1" t="n">
        <v>0.3</v>
      </c>
      <c r="M66" s="1" t="n">
        <f aca="false">M65+L66</f>
        <v>108</v>
      </c>
      <c r="N66" s="1" t="n">
        <f aca="false">J66-L66</f>
        <v>3.2</v>
      </c>
      <c r="O66" s="25" t="n">
        <f aca="false">O65+N66</f>
        <v>87.8</v>
      </c>
      <c r="P66" s="21" t="n">
        <v>61</v>
      </c>
      <c r="Q66" s="22" t="n">
        <f aca="false">0.35+((P66-8)/66)*(1-0.35)</f>
        <v>0.871969696969697</v>
      </c>
      <c r="R66" s="23" t="n">
        <f aca="false">Q66*L66</f>
        <v>0.261590909090909</v>
      </c>
      <c r="S66" s="23" t="n">
        <f aca="false">J66-R66</f>
        <v>3.23840909090909</v>
      </c>
      <c r="T66" s="26" t="n">
        <f aca="false">MIN(122.1,(T65+S66))</f>
        <v>120.081287878788</v>
      </c>
      <c r="V66" s="27" t="n">
        <v>361.3</v>
      </c>
      <c r="W66" s="1" t="n">
        <f aca="false">V66/D66</f>
        <v>25.9928057553957</v>
      </c>
      <c r="X66" s="1" t="n">
        <f aca="false">X65+V66</f>
        <v>54227.4</v>
      </c>
      <c r="AA66" s="1" t="n">
        <v>10.035875859657</v>
      </c>
    </row>
    <row r="67" customFormat="false" ht="15" hidden="false" customHeight="false" outlineLevel="0" collapsed="false">
      <c r="A67" s="15"/>
      <c r="B67" s="4"/>
      <c r="C67" s="16" t="n">
        <v>41581</v>
      </c>
      <c r="D67" s="1" t="n">
        <v>10.6</v>
      </c>
      <c r="E67" s="1" t="n">
        <v>8</v>
      </c>
      <c r="F67" s="1" t="n">
        <v>12.4</v>
      </c>
      <c r="G67" s="1" t="n">
        <f aca="false">G66+D67</f>
        <v>926</v>
      </c>
      <c r="J67" s="1" t="n">
        <v>12.9</v>
      </c>
      <c r="K67" s="1" t="n">
        <f aca="false">K66+J67</f>
        <v>183.7</v>
      </c>
      <c r="L67" s="1" t="n">
        <v>1.2</v>
      </c>
      <c r="M67" s="1" t="n">
        <f aca="false">M66+L67</f>
        <v>109.2</v>
      </c>
      <c r="N67" s="1" t="n">
        <f aca="false">J67-L67</f>
        <v>11.7</v>
      </c>
      <c r="O67" s="25" t="n">
        <f aca="false">O66+N67</f>
        <v>99.5</v>
      </c>
      <c r="P67" s="21" t="n">
        <v>62</v>
      </c>
      <c r="Q67" s="22" t="n">
        <f aca="false">0.35+((P67-8)/66)*(1-0.35)</f>
        <v>0.881818181818182</v>
      </c>
      <c r="R67" s="23" t="n">
        <f aca="false">Q67*L67</f>
        <v>1.05818181818182</v>
      </c>
      <c r="S67" s="23" t="n">
        <f aca="false">J67-R67</f>
        <v>11.8418181818182</v>
      </c>
      <c r="T67" s="26" t="n">
        <f aca="false">MIN(122.1,(T66+S67))</f>
        <v>122.1</v>
      </c>
      <c r="V67" s="27" t="n">
        <v>588.7</v>
      </c>
      <c r="W67" s="1" t="n">
        <f aca="false">V67/D67</f>
        <v>55.5377358490566</v>
      </c>
      <c r="X67" s="1" t="n">
        <f aca="false">X66+V67</f>
        <v>54816.1</v>
      </c>
      <c r="AA67" s="1" t="n">
        <v>9.98602325104997</v>
      </c>
    </row>
    <row r="68" customFormat="false" ht="15" hidden="false" customHeight="false" outlineLevel="0" collapsed="false">
      <c r="A68" s="15"/>
      <c r="B68" s="4"/>
      <c r="C68" s="16" t="n">
        <v>41582</v>
      </c>
      <c r="D68" s="1" t="n">
        <v>10.5</v>
      </c>
      <c r="E68" s="1" t="n">
        <v>9.3</v>
      </c>
      <c r="F68" s="1" t="n">
        <v>12.6</v>
      </c>
      <c r="G68" s="1" t="n">
        <f aca="false">G67+D68</f>
        <v>936.5</v>
      </c>
      <c r="J68" s="1" t="n">
        <v>6.6</v>
      </c>
      <c r="K68" s="1" t="n">
        <f aca="false">K67+J68</f>
        <v>190.3</v>
      </c>
      <c r="L68" s="1" t="n">
        <v>0.7</v>
      </c>
      <c r="M68" s="1" t="n">
        <f aca="false">M67+L68</f>
        <v>109.9</v>
      </c>
      <c r="N68" s="1" t="n">
        <f aca="false">J68-L68</f>
        <v>5.9</v>
      </c>
      <c r="O68" s="25" t="n">
        <f aca="false">O67+N68</f>
        <v>105.4</v>
      </c>
      <c r="P68" s="21" t="n">
        <v>63</v>
      </c>
      <c r="Q68" s="22" t="n">
        <f aca="false">0.35+((P68-8)/66)*(1-0.35)</f>
        <v>0.891666666666667</v>
      </c>
      <c r="R68" s="23" t="n">
        <f aca="false">Q68*L68</f>
        <v>0.624166666666667</v>
      </c>
      <c r="S68" s="23" t="n">
        <f aca="false">J68-R68</f>
        <v>5.97583333333333</v>
      </c>
      <c r="T68" s="26" t="n">
        <f aca="false">MIN(122.1,(T67+S68))</f>
        <v>122.1</v>
      </c>
      <c r="V68" s="27" t="n">
        <v>257.5</v>
      </c>
      <c r="W68" s="1" t="n">
        <f aca="false">V68/D68</f>
        <v>24.5238095238095</v>
      </c>
      <c r="X68" s="1" t="n">
        <f aca="false">X67+V68</f>
        <v>55073.6</v>
      </c>
      <c r="AA68" s="1" t="n">
        <v>9.9365733867664</v>
      </c>
    </row>
    <row r="69" customFormat="false" ht="15" hidden="false" customHeight="false" outlineLevel="0" collapsed="false">
      <c r="A69" s="15"/>
      <c r="B69" s="4"/>
      <c r="C69" s="16" t="n">
        <v>41583</v>
      </c>
      <c r="D69" s="1" t="n">
        <v>10.5</v>
      </c>
      <c r="E69" s="1" t="n">
        <v>5.4</v>
      </c>
      <c r="F69" s="1" t="n">
        <v>14.3</v>
      </c>
      <c r="G69" s="1" t="n">
        <f aca="false">G68+D69</f>
        <v>947</v>
      </c>
      <c r="J69" s="1" t="n">
        <v>6.6</v>
      </c>
      <c r="K69" s="1" t="n">
        <f aca="false">K68+J69</f>
        <v>196.9</v>
      </c>
      <c r="L69" s="1" t="n">
        <v>0.2</v>
      </c>
      <c r="M69" s="1" t="n">
        <f aca="false">M68+L69</f>
        <v>110.1</v>
      </c>
      <c r="N69" s="1" t="n">
        <f aca="false">J69-L69</f>
        <v>6.4</v>
      </c>
      <c r="O69" s="25" t="n">
        <f aca="false">O68+N69</f>
        <v>111.8</v>
      </c>
      <c r="P69" s="21" t="n">
        <v>64</v>
      </c>
      <c r="Q69" s="22" t="n">
        <f aca="false">0.35+((P69-8)/66)*(1-0.35)</f>
        <v>0.901515151515152</v>
      </c>
      <c r="R69" s="23" t="n">
        <f aca="false">Q69*L69</f>
        <v>0.18030303030303</v>
      </c>
      <c r="S69" s="23" t="n">
        <f aca="false">J69-R69</f>
        <v>6.41969696969697</v>
      </c>
      <c r="T69" s="26" t="n">
        <f aca="false">MIN(122.1,(T68+S69))</f>
        <v>122.1</v>
      </c>
      <c r="V69" s="27" t="n">
        <v>140.5</v>
      </c>
      <c r="W69" s="1" t="n">
        <f aca="false">V69/D69</f>
        <v>13.3809523809524</v>
      </c>
      <c r="X69" s="1" t="n">
        <f aca="false">X68+V69</f>
        <v>55214.1</v>
      </c>
      <c r="AA69" s="1" t="n">
        <v>9.88754599642005</v>
      </c>
    </row>
    <row r="70" customFormat="false" ht="15" hidden="false" customHeight="false" outlineLevel="0" collapsed="false">
      <c r="A70" s="15"/>
      <c r="B70" s="4"/>
      <c r="C70" s="16" t="n">
        <v>41584</v>
      </c>
      <c r="D70" s="1" t="n">
        <v>14.5</v>
      </c>
      <c r="E70" s="1" t="n">
        <v>12.5</v>
      </c>
      <c r="F70" s="1" t="n">
        <v>15.4</v>
      </c>
      <c r="G70" s="1" t="n">
        <f aca="false">G69+D70</f>
        <v>961.5</v>
      </c>
      <c r="J70" s="1" t="n">
        <v>1</v>
      </c>
      <c r="K70" s="1" t="n">
        <f aca="false">K69+J70</f>
        <v>197.9</v>
      </c>
      <c r="L70" s="1" t="n">
        <v>0.9</v>
      </c>
      <c r="M70" s="1" t="n">
        <f aca="false">M69+L70</f>
        <v>111</v>
      </c>
      <c r="N70" s="1" t="n">
        <f aca="false">J70-L70</f>
        <v>0.1</v>
      </c>
      <c r="O70" s="25" t="n">
        <f aca="false">O69+N70</f>
        <v>111.9</v>
      </c>
      <c r="P70" s="21" t="n">
        <v>65</v>
      </c>
      <c r="Q70" s="22" t="n">
        <f aca="false">0.35+((P70-8)/66)*(1-0.35)</f>
        <v>0.911363636363636</v>
      </c>
      <c r="R70" s="23" t="n">
        <f aca="false">Q70*L70</f>
        <v>0.820227272727273</v>
      </c>
      <c r="S70" s="23" t="n">
        <f aca="false">J70-R70</f>
        <v>0.179772727272727</v>
      </c>
      <c r="T70" s="26" t="n">
        <f aca="false">MIN(122.1,(T69+S70))</f>
        <v>122.1</v>
      </c>
      <c r="V70" s="27" t="n">
        <v>402.9</v>
      </c>
      <c r="W70" s="1" t="n">
        <f aca="false">V70/D70</f>
        <v>27.7862068965517</v>
      </c>
      <c r="X70" s="1" t="n">
        <f aca="false">X69+V70</f>
        <v>55617</v>
      </c>
      <c r="AA70" s="1" t="n">
        <v>9.83896141055952</v>
      </c>
    </row>
    <row r="71" customFormat="false" ht="15" hidden="false" customHeight="false" outlineLevel="0" collapsed="false">
      <c r="A71" s="15"/>
      <c r="B71" s="4"/>
      <c r="C71" s="16" t="n">
        <v>41585</v>
      </c>
      <c r="D71" s="1" t="n">
        <v>15.2</v>
      </c>
      <c r="E71" s="1" t="n">
        <v>14</v>
      </c>
      <c r="F71" s="1" t="n">
        <v>17.3</v>
      </c>
      <c r="G71" s="1" t="n">
        <f aca="false">G70+D71</f>
        <v>976.7</v>
      </c>
      <c r="J71" s="1" t="n">
        <v>5.3</v>
      </c>
      <c r="K71" s="1" t="n">
        <f aca="false">K70+J71</f>
        <v>203.2</v>
      </c>
      <c r="L71" s="1" t="n">
        <v>1.2</v>
      </c>
      <c r="M71" s="1" t="n">
        <f aca="false">M70+L71</f>
        <v>112.2</v>
      </c>
      <c r="N71" s="1" t="n">
        <f aca="false">J71-L71</f>
        <v>4.1</v>
      </c>
      <c r="O71" s="25" t="n">
        <f aca="false">O70+N71</f>
        <v>116</v>
      </c>
      <c r="P71" s="21" t="n">
        <v>66</v>
      </c>
      <c r="Q71" s="22" t="n">
        <f aca="false">0.35+((P71-8)/66)*(1-0.35)</f>
        <v>0.921212121212121</v>
      </c>
      <c r="R71" s="23" t="n">
        <f aca="false">Q71*L71</f>
        <v>1.10545454545455</v>
      </c>
      <c r="S71" s="23" t="n">
        <f aca="false">J71-R71</f>
        <v>4.19454545454545</v>
      </c>
      <c r="T71" s="26" t="n">
        <f aca="false">MIN(122.1,(T70+S71))</f>
        <v>122.1</v>
      </c>
      <c r="V71" s="27" t="n">
        <v>492.5</v>
      </c>
      <c r="W71" s="1" t="n">
        <f aca="false">V71/D71</f>
        <v>32.4013157894737</v>
      </c>
      <c r="X71" s="1" t="n">
        <f aca="false">X70+V71</f>
        <v>56109.5</v>
      </c>
      <c r="AA71" s="1" t="n">
        <v>9.79084055912119</v>
      </c>
    </row>
    <row r="72" customFormat="false" ht="15" hidden="false" customHeight="false" outlineLevel="0" collapsed="false">
      <c r="A72" s="15"/>
      <c r="B72" s="4"/>
      <c r="C72" s="16" t="n">
        <v>41586</v>
      </c>
      <c r="D72" s="1" t="n">
        <v>12.4</v>
      </c>
      <c r="E72" s="1" t="n">
        <v>11.7</v>
      </c>
      <c r="F72" s="1" t="n">
        <v>15.5</v>
      </c>
      <c r="G72" s="1" t="n">
        <f aca="false">G71+D72</f>
        <v>989.1</v>
      </c>
      <c r="J72" s="1" t="n">
        <v>4</v>
      </c>
      <c r="K72" s="1" t="n">
        <f aca="false">K71+J72</f>
        <v>207.2</v>
      </c>
      <c r="L72" s="1" t="n">
        <v>1.2</v>
      </c>
      <c r="M72" s="1" t="n">
        <f aca="false">M71+L72</f>
        <v>113.4</v>
      </c>
      <c r="N72" s="1" t="n">
        <f aca="false">J72-L72</f>
        <v>2.8</v>
      </c>
      <c r="O72" s="25" t="n">
        <f aca="false">O71+N72</f>
        <v>118.8</v>
      </c>
      <c r="P72" s="21" t="n">
        <v>67</v>
      </c>
      <c r="Q72" s="22" t="n">
        <f aca="false">0.35+((P72-8)/66)*(1-0.35)</f>
        <v>0.931060606060606</v>
      </c>
      <c r="R72" s="23" t="n">
        <f aca="false">Q72*L72</f>
        <v>1.11727272727273</v>
      </c>
      <c r="S72" s="23" t="n">
        <f aca="false">J72-R72</f>
        <v>2.88272727272727</v>
      </c>
      <c r="T72" s="26" t="n">
        <f aca="false">MIN(122.1,(T71+S72))</f>
        <v>122.1</v>
      </c>
      <c r="V72" s="27" t="n">
        <v>373.4</v>
      </c>
      <c r="W72" s="1" t="n">
        <f aca="false">V72/D72</f>
        <v>30.1129032258065</v>
      </c>
      <c r="X72" s="1" t="n">
        <f aca="false">X71+V72</f>
        <v>56482.9</v>
      </c>
      <c r="AA72" s="1" t="n">
        <v>9.74320496778886</v>
      </c>
    </row>
    <row r="73" customFormat="false" ht="15" hidden="false" customHeight="false" outlineLevel="0" collapsed="false">
      <c r="A73" s="15"/>
      <c r="B73" s="4"/>
      <c r="C73" s="16" t="n">
        <v>41587</v>
      </c>
      <c r="D73" s="1" t="n">
        <v>8.6</v>
      </c>
      <c r="E73" s="1" t="n">
        <v>5.8</v>
      </c>
      <c r="F73" s="1" t="n">
        <v>11.8</v>
      </c>
      <c r="G73" s="1" t="n">
        <f aca="false">G72+D73</f>
        <v>997.7</v>
      </c>
      <c r="J73" s="1" t="n">
        <v>21.5</v>
      </c>
      <c r="K73" s="1" t="n">
        <f aca="false">K72+J73</f>
        <v>228.7</v>
      </c>
      <c r="L73" s="1" t="n">
        <v>0.8</v>
      </c>
      <c r="M73" s="1" t="n">
        <f aca="false">M72+L73</f>
        <v>114.2</v>
      </c>
      <c r="N73" s="1" t="n">
        <f aca="false">J73-L73</f>
        <v>20.7</v>
      </c>
      <c r="O73" s="25" t="n">
        <v>122.1</v>
      </c>
      <c r="P73" s="21" t="n">
        <v>68</v>
      </c>
      <c r="Q73" s="22" t="n">
        <f aca="false">0.35+((P73-8)/66)*(1-0.35)</f>
        <v>0.940909090909091</v>
      </c>
      <c r="R73" s="23" t="n">
        <f aca="false">Q73*L73</f>
        <v>0.752727272727273</v>
      </c>
      <c r="S73" s="23" t="n">
        <f aca="false">J73-R73</f>
        <v>20.7472727272727</v>
      </c>
      <c r="T73" s="26" t="n">
        <f aca="false">MIN(122.1,(T72+S73))</f>
        <v>122.1</v>
      </c>
      <c r="V73" s="27" t="n">
        <v>388.4</v>
      </c>
      <c r="W73" s="1" t="n">
        <f aca="false">V73/D73</f>
        <v>45.1627906976744</v>
      </c>
      <c r="X73" s="1" t="n">
        <f aca="false">X72+V73</f>
        <v>56871.3</v>
      </c>
      <c r="AA73" s="1" t="n">
        <v>9.69607675211877</v>
      </c>
    </row>
    <row r="74" customFormat="false" ht="15" hidden="false" customHeight="false" outlineLevel="0" collapsed="false">
      <c r="A74" s="15"/>
      <c r="B74" s="4"/>
      <c r="C74" s="16" t="n">
        <v>41588</v>
      </c>
      <c r="D74" s="1" t="n">
        <v>8.4</v>
      </c>
      <c r="E74" s="1" t="n">
        <v>6.1</v>
      </c>
      <c r="F74" s="1" t="n">
        <v>11.6</v>
      </c>
      <c r="G74" s="1" t="n">
        <f aca="false">G73+D74</f>
        <v>1006.1</v>
      </c>
      <c r="J74" s="1" t="n">
        <v>0.7</v>
      </c>
      <c r="K74" s="1" t="n">
        <f aca="false">K73+J74</f>
        <v>229.4</v>
      </c>
      <c r="L74" s="1" t="n">
        <v>1.2</v>
      </c>
      <c r="M74" s="1" t="n">
        <f aca="false">M73+L74</f>
        <v>115.4</v>
      </c>
      <c r="N74" s="19" t="n">
        <f aca="false">J74-L74</f>
        <v>-0.5</v>
      </c>
      <c r="O74" s="25" t="n">
        <f aca="false">O73+N74</f>
        <v>121.6</v>
      </c>
      <c r="P74" s="21" t="n">
        <v>69</v>
      </c>
      <c r="Q74" s="22" t="n">
        <f aca="false">0.35+((P74-8)/66)*(1-0.35)</f>
        <v>0.950757575757576</v>
      </c>
      <c r="R74" s="23" t="n">
        <f aca="false">Q74*L74</f>
        <v>1.14090909090909</v>
      </c>
      <c r="S74" s="23" t="n">
        <f aca="false">J74-R74</f>
        <v>-0.440909090909091</v>
      </c>
      <c r="T74" s="26" t="n">
        <f aca="false">MIN(122.1,(T73+S74))</f>
        <v>121.659090909091</v>
      </c>
      <c r="V74" s="27" t="n">
        <v>623.1</v>
      </c>
      <c r="W74" s="1" t="n">
        <f aca="false">V74/D74</f>
        <v>74.1785714285714</v>
      </c>
      <c r="X74" s="1" t="n">
        <f aca="false">X73+V74</f>
        <v>57494.4</v>
      </c>
      <c r="AA74" s="1" t="n">
        <v>9.64947860928844</v>
      </c>
    </row>
    <row r="75" customFormat="false" ht="15" hidden="false" customHeight="false" outlineLevel="0" collapsed="false">
      <c r="A75" s="15"/>
      <c r="B75" s="4"/>
      <c r="C75" s="16" t="n">
        <v>41589</v>
      </c>
      <c r="D75" s="1" t="n">
        <v>5.8</v>
      </c>
      <c r="E75" s="31" t="n">
        <v>0.3</v>
      </c>
      <c r="F75" s="1" t="n">
        <v>10</v>
      </c>
      <c r="G75" s="1" t="n">
        <f aca="false">G74+D75</f>
        <v>1011.9</v>
      </c>
      <c r="J75" s="1" t="n">
        <v>0.4</v>
      </c>
      <c r="K75" s="1" t="n">
        <f aca="false">K74+J75</f>
        <v>229.8</v>
      </c>
      <c r="L75" s="1" t="n">
        <v>0.8</v>
      </c>
      <c r="M75" s="1" t="n">
        <f aca="false">M74+L75</f>
        <v>116.2</v>
      </c>
      <c r="N75" s="19" t="n">
        <f aca="false">J75-L75</f>
        <v>-0.4</v>
      </c>
      <c r="O75" s="25" t="n">
        <f aca="false">O74+N75</f>
        <v>121.2</v>
      </c>
      <c r="P75" s="21" t="n">
        <v>70</v>
      </c>
      <c r="Q75" s="22" t="n">
        <f aca="false">0.35+((P75-8)/66)*(1-0.35)</f>
        <v>0.960606060606061</v>
      </c>
      <c r="R75" s="23" t="n">
        <f aca="false">Q75*L75</f>
        <v>0.768484848484849</v>
      </c>
      <c r="S75" s="23" t="n">
        <f aca="false">J75-R75</f>
        <v>-0.368484848484849</v>
      </c>
      <c r="T75" s="26" t="n">
        <f aca="false">MIN(122.1,(T74+S75))</f>
        <v>121.290606060606</v>
      </c>
      <c r="V75" s="27" t="n">
        <v>663</v>
      </c>
      <c r="W75" s="1" t="n">
        <f aca="false">V75/D75</f>
        <v>114.310344827586</v>
      </c>
      <c r="X75" s="1" t="n">
        <f aca="false">X74+V75</f>
        <v>58157.4</v>
      </c>
      <c r="AA75" s="1" t="n">
        <v>9.60343380732822</v>
      </c>
    </row>
    <row r="76" customFormat="false" ht="15" hidden="false" customHeight="false" outlineLevel="0" collapsed="false">
      <c r="A76" s="15"/>
      <c r="B76" s="4"/>
      <c r="C76" s="16" t="n">
        <v>41590</v>
      </c>
      <c r="D76" s="1" t="n">
        <v>9.3</v>
      </c>
      <c r="E76" s="1" t="n">
        <v>6.7</v>
      </c>
      <c r="F76" s="1" t="n">
        <v>11.5</v>
      </c>
      <c r="G76" s="1" t="n">
        <f aca="false">G75+D76</f>
        <v>1021.2</v>
      </c>
      <c r="J76" s="1" t="n">
        <v>1.8</v>
      </c>
      <c r="K76" s="1" t="n">
        <f aca="false">K75+J76</f>
        <v>231.6</v>
      </c>
      <c r="L76" s="1" t="n">
        <v>0.7</v>
      </c>
      <c r="M76" s="1" t="n">
        <f aca="false">M75+L76</f>
        <v>116.9</v>
      </c>
      <c r="N76" s="1" t="n">
        <f aca="false">J76-L76</f>
        <v>1.1</v>
      </c>
      <c r="O76" s="25" t="n">
        <v>122.1</v>
      </c>
      <c r="P76" s="21" t="n">
        <v>71</v>
      </c>
      <c r="Q76" s="22" t="n">
        <f aca="false">0.35+((P76-8)/66)*(1-0.35)</f>
        <v>0.970454545454546</v>
      </c>
      <c r="R76" s="23" t="n">
        <f aca="false">Q76*L76</f>
        <v>0.679318181818182</v>
      </c>
      <c r="S76" s="23" t="n">
        <f aca="false">J76-R76</f>
        <v>1.12068181818182</v>
      </c>
      <c r="T76" s="26" t="n">
        <f aca="false">MIN(122.1,(T75+S76))</f>
        <v>122.1</v>
      </c>
      <c r="V76" s="27" t="n">
        <v>259.5</v>
      </c>
      <c r="W76" s="1" t="n">
        <f aca="false">V76/D76</f>
        <v>27.9032258064516</v>
      </c>
      <c r="X76" s="1" t="n">
        <f aca="false">X75+V76</f>
        <v>58416.9</v>
      </c>
      <c r="AA76" s="1" t="n">
        <v>9.55796617169692</v>
      </c>
    </row>
    <row r="77" customFormat="false" ht="15" hidden="false" customHeight="false" outlineLevel="0" collapsed="false">
      <c r="A77" s="15"/>
      <c r="B77" s="4"/>
      <c r="C77" s="16" t="n">
        <v>41591</v>
      </c>
      <c r="D77" s="1" t="n">
        <v>7.9</v>
      </c>
      <c r="E77" s="1" t="n">
        <v>6.5</v>
      </c>
      <c r="F77" s="1" t="n">
        <v>9.6</v>
      </c>
      <c r="G77" s="1" t="n">
        <f aca="false">G76+D77</f>
        <v>1029.1</v>
      </c>
      <c r="J77" s="1" t="n">
        <v>0</v>
      </c>
      <c r="K77" s="1" t="n">
        <f aca="false">K76+J77</f>
        <v>231.6</v>
      </c>
      <c r="L77" s="1" t="n">
        <v>0.5</v>
      </c>
      <c r="M77" s="1" t="n">
        <f aca="false">M76+L77</f>
        <v>117.4</v>
      </c>
      <c r="N77" s="19" t="n">
        <f aca="false">J77-L77</f>
        <v>-0.5</v>
      </c>
      <c r="O77" s="25" t="n">
        <f aca="false">O76+N77</f>
        <v>121.6</v>
      </c>
      <c r="P77" s="21" t="n">
        <v>72</v>
      </c>
      <c r="Q77" s="22" t="n">
        <f aca="false">0.35+((P77-8)/66)*(1-0.35)</f>
        <v>0.98030303030303</v>
      </c>
      <c r="R77" s="23" t="n">
        <f aca="false">Q77*L77</f>
        <v>0.490151515151515</v>
      </c>
      <c r="S77" s="23" t="n">
        <f aca="false">J77-R77</f>
        <v>-0.490151515151515</v>
      </c>
      <c r="T77" s="26" t="n">
        <f aca="false">MIN(122.1,(T76+S77))</f>
        <v>121.609848484848</v>
      </c>
      <c r="V77" s="27" t="n">
        <v>376.4</v>
      </c>
      <c r="W77" s="1" t="n">
        <f aca="false">V77/D77</f>
        <v>47.6455696202532</v>
      </c>
      <c r="X77" s="1" t="n">
        <f aca="false">X76+V77</f>
        <v>58793.3</v>
      </c>
      <c r="AA77" s="1" t="n">
        <v>9.51310006906603</v>
      </c>
    </row>
    <row r="78" customFormat="false" ht="15" hidden="false" customHeight="false" outlineLevel="0" collapsed="false">
      <c r="A78" s="15"/>
      <c r="B78" s="4"/>
      <c r="C78" s="16" t="n">
        <v>41592</v>
      </c>
      <c r="D78" s="1" t="n">
        <v>5.1</v>
      </c>
      <c r="E78" s="31" t="n">
        <v>2</v>
      </c>
      <c r="F78" s="1" t="n">
        <v>8.5</v>
      </c>
      <c r="G78" s="1" t="n">
        <f aca="false">G77+D78</f>
        <v>1034.2</v>
      </c>
      <c r="J78" s="1" t="n">
        <v>2</v>
      </c>
      <c r="K78" s="1" t="n">
        <f aca="false">K77+J78</f>
        <v>233.6</v>
      </c>
      <c r="L78" s="1" t="n">
        <v>0.3</v>
      </c>
      <c r="M78" s="1" t="n">
        <f aca="false">M77+L78</f>
        <v>117.7</v>
      </c>
      <c r="N78" s="1" t="n">
        <f aca="false">J78-L78</f>
        <v>1.7</v>
      </c>
      <c r="O78" s="25" t="n">
        <v>122.1</v>
      </c>
      <c r="P78" s="21" t="n">
        <v>73</v>
      </c>
      <c r="Q78" s="22" t="n">
        <f aca="false">0.35+((P78-8)/66)*(1-0.35)</f>
        <v>0.990151515151515</v>
      </c>
      <c r="R78" s="23" t="n">
        <f aca="false">Q78*L78</f>
        <v>0.297045454545455</v>
      </c>
      <c r="S78" s="23" t="n">
        <f aca="false">J78-R78</f>
        <v>1.70295454545455</v>
      </c>
      <c r="T78" s="26" t="n">
        <f aca="false">MIN(122.1,(T77+S78))</f>
        <v>122.1</v>
      </c>
      <c r="V78" s="27" t="n">
        <v>221.8</v>
      </c>
      <c r="W78" s="1" t="n">
        <f aca="false">V78/D78</f>
        <v>43.4901960784314</v>
      </c>
      <c r="X78" s="1" t="n">
        <f aca="false">X77+V78</f>
        <v>59015.1</v>
      </c>
      <c r="AA78" s="1" t="n">
        <v>9.46886038818225</v>
      </c>
    </row>
    <row r="79" s="34" customFormat="true" ht="15" hidden="false" customHeight="false" outlineLevel="0" collapsed="false">
      <c r="A79" s="15"/>
      <c r="B79" s="32"/>
      <c r="C79" s="33" t="n">
        <v>41593</v>
      </c>
      <c r="D79" s="34" t="n">
        <v>5.2</v>
      </c>
      <c r="E79" s="34" t="n">
        <v>4.4</v>
      </c>
      <c r="F79" s="34" t="n">
        <v>6.6</v>
      </c>
      <c r="G79" s="35" t="n">
        <f aca="false">G78+D79</f>
        <v>1039.4</v>
      </c>
      <c r="J79" s="34" t="n">
        <v>4.2</v>
      </c>
      <c r="K79" s="34" t="n">
        <f aca="false">K78+J79</f>
        <v>237.8</v>
      </c>
      <c r="L79" s="34" t="n">
        <v>0.6</v>
      </c>
      <c r="M79" s="34" t="n">
        <f aca="false">M78+L79</f>
        <v>118.3</v>
      </c>
      <c r="N79" s="34" t="n">
        <f aca="false">J79-L79</f>
        <v>3.6</v>
      </c>
      <c r="O79" s="36" t="n">
        <v>122.1</v>
      </c>
      <c r="P79" s="37" t="n">
        <v>74</v>
      </c>
      <c r="Q79" s="38" t="n">
        <f aca="false">0.35+((P79-8)/66)*(1-0.35)</f>
        <v>1</v>
      </c>
      <c r="R79" s="39" t="n">
        <f aca="false">Q79*L79</f>
        <v>0.6</v>
      </c>
      <c r="S79" s="40" t="n">
        <f aca="false">J79-R79</f>
        <v>3.6</v>
      </c>
      <c r="T79" s="41" t="n">
        <f aca="false">MIN(122.1,(T78+S79))</f>
        <v>122.1</v>
      </c>
      <c r="V79" s="42" t="n">
        <v>178.5</v>
      </c>
      <c r="W79" s="34" t="n">
        <f aca="false">V79/D79</f>
        <v>34.3269230769231</v>
      </c>
      <c r="X79" s="34" t="n">
        <f aca="false">X78+V79</f>
        <v>59193.6</v>
      </c>
      <c r="AA79" s="35" t="n">
        <v>9.42527251768489</v>
      </c>
    </row>
    <row r="80" customFormat="false" ht="15" hidden="false" customHeight="false" outlineLevel="0" collapsed="false">
      <c r="A80" s="43" t="s">
        <v>44</v>
      </c>
      <c r="B80" s="44"/>
      <c r="C80" s="16" t="n">
        <v>41594</v>
      </c>
      <c r="D80" s="31" t="n">
        <v>3.3</v>
      </c>
      <c r="E80" s="31" t="n">
        <v>0</v>
      </c>
      <c r="F80" s="1" t="n">
        <v>6.2</v>
      </c>
      <c r="G80" s="1" t="n">
        <f aca="false">G79+D80</f>
        <v>1042.7</v>
      </c>
      <c r="H80" s="1" t="n">
        <f aca="false">D80</f>
        <v>3.3</v>
      </c>
      <c r="I80" s="45" t="s">
        <v>28</v>
      </c>
      <c r="J80" s="1" t="n">
        <v>0</v>
      </c>
      <c r="K80" s="1" t="n">
        <f aca="false">K79+J80</f>
        <v>237.8</v>
      </c>
      <c r="L80" s="1" t="n">
        <v>0.7</v>
      </c>
      <c r="M80" s="1" t="n">
        <f aca="false">M79+L80</f>
        <v>119</v>
      </c>
      <c r="N80" s="19" t="n">
        <f aca="false">J80-L80</f>
        <v>-0.7</v>
      </c>
      <c r="O80" s="25" t="n">
        <f aca="false">O79+N80</f>
        <v>121.4</v>
      </c>
      <c r="P80" s="21" t="n">
        <v>75</v>
      </c>
      <c r="Q80" s="22" t="n">
        <v>1</v>
      </c>
      <c r="R80" s="23" t="n">
        <f aca="false">Q80*L80</f>
        <v>0.7</v>
      </c>
      <c r="S80" s="23" t="n">
        <f aca="false">J80-R80</f>
        <v>-0.7</v>
      </c>
      <c r="T80" s="26" t="n">
        <f aca="false">MIN(122.1,(T79+S80))</f>
        <v>121.4</v>
      </c>
      <c r="U80" s="45" t="s">
        <v>29</v>
      </c>
      <c r="V80" s="27" t="n">
        <v>624.5</v>
      </c>
      <c r="W80" s="1" t="n">
        <f aca="false">V80/D80</f>
        <v>189.242424242424</v>
      </c>
      <c r="X80" s="1" t="n">
        <f aca="false">X79+V80</f>
        <v>59818.1</v>
      </c>
      <c r="Y80" s="1" t="n">
        <f aca="false">V80</f>
        <v>624.5</v>
      </c>
      <c r="Z80" s="45" t="s">
        <v>30</v>
      </c>
      <c r="AA80" s="1" t="n">
        <v>9.38236232076304</v>
      </c>
    </row>
    <row r="81" customFormat="false" ht="15" hidden="false" customHeight="false" outlineLevel="0" collapsed="false">
      <c r="A81" s="43"/>
      <c r="B81" s="4"/>
      <c r="C81" s="16" t="n">
        <v>41595</v>
      </c>
      <c r="D81" s="31" t="n">
        <v>4.3</v>
      </c>
      <c r="E81" s="31" t="n">
        <v>3.7</v>
      </c>
      <c r="F81" s="1" t="n">
        <v>5.3</v>
      </c>
      <c r="G81" s="1" t="n">
        <f aca="false">G80+D81</f>
        <v>1047</v>
      </c>
      <c r="H81" s="1" t="n">
        <f aca="false">H80+D81</f>
        <v>7.6</v>
      </c>
      <c r="I81" s="1" t="n">
        <f aca="false">MIN(E80:E127)</f>
        <v>-3.5</v>
      </c>
      <c r="J81" s="1" t="n">
        <v>0</v>
      </c>
      <c r="K81" s="1" t="n">
        <f aca="false">K80+J81</f>
        <v>237.8</v>
      </c>
      <c r="L81" s="1" t="n">
        <v>0.8</v>
      </c>
      <c r="M81" s="1" t="n">
        <f aca="false">M80+L81</f>
        <v>119.8</v>
      </c>
      <c r="N81" s="19" t="n">
        <f aca="false">J81-L81</f>
        <v>-0.8</v>
      </c>
      <c r="O81" s="25" t="n">
        <f aca="false">O80+N81</f>
        <v>120.6</v>
      </c>
      <c r="P81" s="21" t="n">
        <v>76</v>
      </c>
      <c r="Q81" s="22" t="n">
        <v>1</v>
      </c>
      <c r="R81" s="23" t="n">
        <f aca="false">Q81*L81</f>
        <v>0.8</v>
      </c>
      <c r="S81" s="23" t="n">
        <f aca="false">J81-R81</f>
        <v>-0.8</v>
      </c>
      <c r="T81" s="26" t="n">
        <f aca="false">MIN(122.1,(T80+S81))</f>
        <v>120.6</v>
      </c>
      <c r="U81" s="1" t="n">
        <v>32</v>
      </c>
      <c r="V81" s="27" t="n">
        <v>260.9</v>
      </c>
      <c r="W81" s="1" t="n">
        <f aca="false">V81/D81</f>
        <v>60.6744186046512</v>
      </c>
      <c r="X81" s="1" t="n">
        <f aca="false">X80+V81</f>
        <v>60079</v>
      </c>
      <c r="Y81" s="1" t="n">
        <f aca="false">Y80+V81</f>
        <v>885.4</v>
      </c>
      <c r="Z81" s="1" t="n">
        <v>19324.8</v>
      </c>
      <c r="AA81" s="1" t="n">
        <v>9.34015610654816</v>
      </c>
    </row>
    <row r="82" customFormat="false" ht="15" hidden="false" customHeight="false" outlineLevel="0" collapsed="false">
      <c r="A82" s="43"/>
      <c r="B82" s="4"/>
      <c r="C82" s="16" t="n">
        <v>41596</v>
      </c>
      <c r="D82" s="31" t="n">
        <v>3.1</v>
      </c>
      <c r="E82" s="31" t="n">
        <v>2.4</v>
      </c>
      <c r="F82" s="31" t="n">
        <v>3.6</v>
      </c>
      <c r="G82" s="1" t="n">
        <f aca="false">G81+D82</f>
        <v>1050.1</v>
      </c>
      <c r="H82" s="1" t="n">
        <f aca="false">H81+D82</f>
        <v>10.7</v>
      </c>
      <c r="I82" s="45" t="s">
        <v>31</v>
      </c>
      <c r="J82" s="1" t="n">
        <v>0</v>
      </c>
      <c r="K82" s="1" t="n">
        <f aca="false">K81+J82</f>
        <v>237.8</v>
      </c>
      <c r="L82" s="1" t="n">
        <v>0.6</v>
      </c>
      <c r="M82" s="1" t="n">
        <f aca="false">M81+L82</f>
        <v>120.4</v>
      </c>
      <c r="N82" s="19" t="n">
        <f aca="false">J82-L82</f>
        <v>-0.6</v>
      </c>
      <c r="O82" s="25" t="n">
        <f aca="false">O81+N82</f>
        <v>120</v>
      </c>
      <c r="P82" s="21" t="n">
        <v>77</v>
      </c>
      <c r="Q82" s="22" t="n">
        <v>1</v>
      </c>
      <c r="R82" s="23" t="n">
        <f aca="false">Q82*L82</f>
        <v>0.6</v>
      </c>
      <c r="S82" s="23" t="n">
        <f aca="false">J82-R82</f>
        <v>-0.6</v>
      </c>
      <c r="T82" s="26" t="n">
        <f aca="false">MIN(122.1,(T81+S82))</f>
        <v>120</v>
      </c>
      <c r="U82" s="45" t="s">
        <v>32</v>
      </c>
      <c r="V82" s="27" t="n">
        <v>365.1</v>
      </c>
      <c r="W82" s="1" t="n">
        <f aca="false">V82/D82</f>
        <v>117.774193548387</v>
      </c>
      <c r="X82" s="1" t="n">
        <f aca="false">X81+V82</f>
        <v>60444.1</v>
      </c>
      <c r="Y82" s="1" t="n">
        <f aca="false">Y81+V82</f>
        <v>1250.5</v>
      </c>
      <c r="Z82" s="45" t="s">
        <v>33</v>
      </c>
      <c r="AA82" s="1" t="n">
        <v>9.29868059815021</v>
      </c>
    </row>
    <row r="83" customFormat="false" ht="15" hidden="false" customHeight="false" outlineLevel="0" collapsed="false">
      <c r="A83" s="43"/>
      <c r="B83" s="4"/>
      <c r="C83" s="16" t="n">
        <v>41597</v>
      </c>
      <c r="D83" s="31" t="n">
        <v>3.4</v>
      </c>
      <c r="E83" s="31" t="n">
        <v>2.7</v>
      </c>
      <c r="F83" s="31" t="n">
        <v>4.9</v>
      </c>
      <c r="G83" s="1" t="n">
        <f aca="false">G82+D83</f>
        <v>1053.5</v>
      </c>
      <c r="H83" s="1" t="n">
        <f aca="false">H82+D83</f>
        <v>14.1</v>
      </c>
      <c r="I83" s="1" t="n">
        <f aca="false">MAX(F80:F127)</f>
        <v>13.2</v>
      </c>
      <c r="J83" s="1" t="n">
        <v>1.5</v>
      </c>
      <c r="K83" s="1" t="n">
        <f aca="false">K82+J83</f>
        <v>239.3</v>
      </c>
      <c r="L83" s="1" t="n">
        <v>0.2</v>
      </c>
      <c r="M83" s="1" t="n">
        <f aca="false">M82+L83</f>
        <v>120.6</v>
      </c>
      <c r="N83" s="1" t="n">
        <f aca="false">J83-L83</f>
        <v>1.3</v>
      </c>
      <c r="O83" s="25" t="n">
        <f aca="false">O82+N83</f>
        <v>121.3</v>
      </c>
      <c r="P83" s="21" t="n">
        <v>78</v>
      </c>
      <c r="Q83" s="22" t="n">
        <v>1</v>
      </c>
      <c r="R83" s="23" t="n">
        <f aca="false">Q83*L83</f>
        <v>0.2</v>
      </c>
      <c r="S83" s="23" t="n">
        <f aca="false">J83-R83</f>
        <v>1.3</v>
      </c>
      <c r="T83" s="26" t="n">
        <f aca="false">MIN(122.1,(T82+S83))</f>
        <v>121.3</v>
      </c>
      <c r="U83" s="1" t="n">
        <v>0</v>
      </c>
      <c r="V83" s="27" t="n">
        <v>206.6</v>
      </c>
      <c r="W83" s="1" t="n">
        <f aca="false">V83/D83</f>
        <v>60.7647058823529</v>
      </c>
      <c r="X83" s="1" t="n">
        <f aca="false">X82+V83</f>
        <v>60650.7</v>
      </c>
      <c r="Y83" s="1" t="n">
        <f aca="false">Y82+V83</f>
        <v>1457.1</v>
      </c>
      <c r="Z83" s="28" t="n">
        <f aca="false">(Z81/100)/I93</f>
        <v>0.892600461893764</v>
      </c>
      <c r="AA83" s="1" t="n">
        <v>9.2579628972602</v>
      </c>
    </row>
    <row r="84" customFormat="false" ht="15" hidden="false" customHeight="false" outlineLevel="0" collapsed="false">
      <c r="A84" s="43"/>
      <c r="B84" s="4"/>
      <c r="C84" s="16" t="n">
        <v>41598</v>
      </c>
      <c r="D84" s="31" t="n">
        <v>2.5</v>
      </c>
      <c r="E84" s="30" t="n">
        <v>-0.4</v>
      </c>
      <c r="F84" s="1" t="n">
        <v>5.1</v>
      </c>
      <c r="G84" s="1" t="n">
        <f aca="false">G83+D84</f>
        <v>1056</v>
      </c>
      <c r="H84" s="1" t="n">
        <f aca="false">H83+D84</f>
        <v>16.6</v>
      </c>
      <c r="I84" s="45" t="s">
        <v>34</v>
      </c>
      <c r="J84" s="1" t="n">
        <v>9.4</v>
      </c>
      <c r="K84" s="1" t="n">
        <f aca="false">K83+J84</f>
        <v>248.7</v>
      </c>
      <c r="L84" s="1" t="n">
        <v>0.6</v>
      </c>
      <c r="M84" s="1" t="n">
        <f aca="false">M83+L84</f>
        <v>121.2</v>
      </c>
      <c r="N84" s="1" t="n">
        <f aca="false">J84-L84</f>
        <v>8.8</v>
      </c>
      <c r="O84" s="25" t="n">
        <v>122.1</v>
      </c>
      <c r="P84" s="21" t="n">
        <v>79</v>
      </c>
      <c r="Q84" s="22" t="n">
        <v>1</v>
      </c>
      <c r="R84" s="23" t="n">
        <f aca="false">Q84*L84</f>
        <v>0.6</v>
      </c>
      <c r="S84" s="23" t="n">
        <f aca="false">J84-R84</f>
        <v>8.8</v>
      </c>
      <c r="T84" s="26" t="n">
        <f aca="false">MIN(122.1,(T83+S84))</f>
        <v>122.1</v>
      </c>
      <c r="U84" s="45" t="s">
        <v>35</v>
      </c>
      <c r="V84" s="27" t="n">
        <v>665.3</v>
      </c>
      <c r="W84" s="1" t="n">
        <f aca="false">V84/D84</f>
        <v>266.12</v>
      </c>
      <c r="X84" s="1" t="n">
        <f aca="false">X83+V84</f>
        <v>61316</v>
      </c>
      <c r="Y84" s="1" t="n">
        <f aca="false">Y83+V84</f>
        <v>2122.4</v>
      </c>
      <c r="Z84" s="45" t="s">
        <v>36</v>
      </c>
      <c r="AA84" s="1" t="n">
        <v>9.21803044525893</v>
      </c>
    </row>
    <row r="85" customFormat="false" ht="15" hidden="false" customHeight="false" outlineLevel="0" collapsed="false">
      <c r="A85" s="43"/>
      <c r="B85" s="4"/>
      <c r="C85" s="16" t="n">
        <v>41599</v>
      </c>
      <c r="D85" s="31" t="n">
        <v>2.9</v>
      </c>
      <c r="E85" s="31" t="n">
        <v>2.4</v>
      </c>
      <c r="F85" s="31" t="n">
        <v>3.6</v>
      </c>
      <c r="G85" s="1" t="n">
        <f aca="false">G84+D85</f>
        <v>1058.9</v>
      </c>
      <c r="H85" s="1" t="n">
        <f aca="false">H84+D85</f>
        <v>19.5</v>
      </c>
      <c r="I85" s="29" t="n">
        <f aca="false">AVERAGE(D80:D127)</f>
        <v>4.51041666666667</v>
      </c>
      <c r="J85" s="1" t="n">
        <v>2.5</v>
      </c>
      <c r="K85" s="1" t="n">
        <f aca="false">K84+J85</f>
        <v>251.2</v>
      </c>
      <c r="L85" s="1" t="n">
        <v>0.3</v>
      </c>
      <c r="M85" s="1" t="n">
        <f aca="false">M84+L85</f>
        <v>121.5</v>
      </c>
      <c r="N85" s="1" t="n">
        <f aca="false">J85-L85</f>
        <v>2.2</v>
      </c>
      <c r="O85" s="25" t="n">
        <v>122.1</v>
      </c>
      <c r="P85" s="21" t="n">
        <v>80</v>
      </c>
      <c r="Q85" s="22" t="n">
        <v>1</v>
      </c>
      <c r="R85" s="23" t="n">
        <f aca="false">Q85*L85</f>
        <v>0.3</v>
      </c>
      <c r="S85" s="23" t="n">
        <f aca="false">J85-R85</f>
        <v>2.2</v>
      </c>
      <c r="T85" s="26" t="n">
        <f aca="false">MIN(122.1,(T84+S85))</f>
        <v>122.1</v>
      </c>
      <c r="U85" s="1" t="n">
        <v>0</v>
      </c>
      <c r="V85" s="27" t="n">
        <v>163.2</v>
      </c>
      <c r="W85" s="1" t="n">
        <f aca="false">V85/D85</f>
        <v>56.2758620689655</v>
      </c>
      <c r="X85" s="1" t="n">
        <f aca="false">X84+V85</f>
        <v>61479.2</v>
      </c>
      <c r="Y85" s="1" t="n">
        <f aca="false">Y84+V85</f>
        <v>2285.6</v>
      </c>
      <c r="Z85" s="1" t="n">
        <v>48</v>
      </c>
      <c r="AA85" s="1" t="n">
        <v>9.17891098079085</v>
      </c>
    </row>
    <row r="86" customFormat="false" ht="15" hidden="false" customHeight="false" outlineLevel="0" collapsed="false">
      <c r="A86" s="43"/>
      <c r="B86" s="4"/>
      <c r="C86" s="16" t="n">
        <v>41600</v>
      </c>
      <c r="D86" s="31" t="n">
        <v>2.7</v>
      </c>
      <c r="E86" s="31" t="n">
        <v>1.8</v>
      </c>
      <c r="F86" s="31" t="n">
        <v>3.9</v>
      </c>
      <c r="G86" s="1" t="n">
        <f aca="false">G85+D86</f>
        <v>1061.6</v>
      </c>
      <c r="H86" s="1" t="n">
        <f aca="false">H85+D86</f>
        <v>22.2</v>
      </c>
      <c r="I86" s="45" t="s">
        <v>37</v>
      </c>
      <c r="J86" s="1" t="n">
        <v>1.7</v>
      </c>
      <c r="K86" s="1" t="n">
        <f aca="false">K85+J86</f>
        <v>252.9</v>
      </c>
      <c r="L86" s="1" t="n">
        <v>0.4</v>
      </c>
      <c r="M86" s="1" t="n">
        <f aca="false">M85+L86</f>
        <v>121.9</v>
      </c>
      <c r="N86" s="1" t="n">
        <f aca="false">J86-L86</f>
        <v>1.3</v>
      </c>
      <c r="O86" s="25" t="n">
        <v>122.1</v>
      </c>
      <c r="P86" s="21" t="n">
        <v>81</v>
      </c>
      <c r="Q86" s="22" t="n">
        <v>1</v>
      </c>
      <c r="R86" s="23" t="n">
        <f aca="false">Q86*L86</f>
        <v>0.4</v>
      </c>
      <c r="S86" s="23" t="n">
        <f aca="false">J86-R86</f>
        <v>1.3</v>
      </c>
      <c r="T86" s="26" t="n">
        <f aca="false">MIN(122.1,(T85+S86))</f>
        <v>122.1</v>
      </c>
      <c r="U86" s="45" t="s">
        <v>38</v>
      </c>
      <c r="V86" s="27" t="n">
        <v>174.8</v>
      </c>
      <c r="W86" s="1" t="n">
        <f aca="false">V86/D86</f>
        <v>64.7407407407408</v>
      </c>
      <c r="X86" s="1" t="n">
        <f aca="false">X85+V86</f>
        <v>61654</v>
      </c>
      <c r="Y86" s="1" t="n">
        <f aca="false">Y85+V86</f>
        <v>2460.4</v>
      </c>
      <c r="AA86" s="1" t="n">
        <v>9.14063249378358</v>
      </c>
    </row>
    <row r="87" customFormat="false" ht="15" hidden="false" customHeight="false" outlineLevel="0" collapsed="false">
      <c r="A87" s="43"/>
      <c r="B87" s="4"/>
      <c r="C87" s="16" t="n">
        <v>41601</v>
      </c>
      <c r="D87" s="31" t="n">
        <v>4.2</v>
      </c>
      <c r="E87" s="31" t="n">
        <v>2.6</v>
      </c>
      <c r="F87" s="31" t="n">
        <v>4.7</v>
      </c>
      <c r="G87" s="1" t="n">
        <f aca="false">G86+D87</f>
        <v>1065.8</v>
      </c>
      <c r="H87" s="1" t="n">
        <f aca="false">H86+D87</f>
        <v>26.4</v>
      </c>
      <c r="I87" s="31" t="n">
        <v>14</v>
      </c>
      <c r="J87" s="1" t="n">
        <v>0</v>
      </c>
      <c r="K87" s="1" t="n">
        <f aca="false">K86+J87</f>
        <v>252.9</v>
      </c>
      <c r="L87" s="1" t="n">
        <v>0.2</v>
      </c>
      <c r="M87" s="1" t="n">
        <f aca="false">M86+L87</f>
        <v>122.1</v>
      </c>
      <c r="N87" s="19" t="n">
        <f aca="false">J87-L87</f>
        <v>-0.2</v>
      </c>
      <c r="O87" s="25" t="n">
        <f aca="false">O86+N87</f>
        <v>121.9</v>
      </c>
      <c r="P87" s="21" t="n">
        <v>82</v>
      </c>
      <c r="Q87" s="22" t="n">
        <v>1</v>
      </c>
      <c r="R87" s="23" t="n">
        <f aca="false">Q87*L87</f>
        <v>0.2</v>
      </c>
      <c r="S87" s="23" t="n">
        <f aca="false">J87-R87</f>
        <v>-0.2</v>
      </c>
      <c r="T87" s="26" t="n">
        <f aca="false">MIN(122.1,(T86+S87))</f>
        <v>121.9</v>
      </c>
      <c r="U87" s="29" t="n">
        <f aca="false">MIN(T80:T127)</f>
        <v>112.1</v>
      </c>
      <c r="V87" s="27" t="n">
        <v>224.7</v>
      </c>
      <c r="W87" s="1" t="n">
        <f aca="false">V87/D87</f>
        <v>53.5</v>
      </c>
      <c r="X87" s="1" t="n">
        <f aca="false">X86+V87</f>
        <v>61878.7</v>
      </c>
      <c r="Y87" s="1" t="n">
        <f aca="false">Y86+V87</f>
        <v>2685.1</v>
      </c>
      <c r="AA87" s="1" t="n">
        <v>9.10322317591714</v>
      </c>
    </row>
    <row r="88" customFormat="false" ht="15" hidden="false" customHeight="false" outlineLevel="0" collapsed="false">
      <c r="A88" s="43"/>
      <c r="B88" s="4"/>
      <c r="C88" s="16" t="n">
        <v>41602</v>
      </c>
      <c r="D88" s="1" t="n">
        <v>5.3</v>
      </c>
      <c r="E88" s="31" t="n">
        <v>4.1</v>
      </c>
      <c r="F88" s="1" t="n">
        <v>6.2</v>
      </c>
      <c r="G88" s="1" t="n">
        <f aca="false">G87+D88</f>
        <v>1071.1</v>
      </c>
      <c r="H88" s="1" t="n">
        <f aca="false">H87+D88</f>
        <v>31.7</v>
      </c>
      <c r="I88" s="45" t="s">
        <v>39</v>
      </c>
      <c r="J88" s="1" t="n">
        <v>0</v>
      </c>
      <c r="K88" s="1" t="n">
        <f aca="false">K87+J88</f>
        <v>252.9</v>
      </c>
      <c r="L88" s="1" t="n">
        <v>0.7</v>
      </c>
      <c r="M88" s="1" t="n">
        <f aca="false">M87+L88</f>
        <v>122.8</v>
      </c>
      <c r="N88" s="19" t="n">
        <f aca="false">J88-L88</f>
        <v>-0.7</v>
      </c>
      <c r="O88" s="25" t="n">
        <f aca="false">O87+N88</f>
        <v>121.2</v>
      </c>
      <c r="P88" s="21" t="n">
        <v>83</v>
      </c>
      <c r="Q88" s="22" t="n">
        <v>1</v>
      </c>
      <c r="R88" s="23" t="n">
        <f aca="false">Q88*L88</f>
        <v>0.7</v>
      </c>
      <c r="S88" s="23" t="n">
        <f aca="false">J88-R88</f>
        <v>-0.7</v>
      </c>
      <c r="T88" s="26" t="n">
        <f aca="false">MIN(122.1,(T87+S88))</f>
        <v>121.2</v>
      </c>
      <c r="U88" s="45" t="s">
        <v>40</v>
      </c>
      <c r="V88" s="27" t="n">
        <v>618</v>
      </c>
      <c r="W88" s="1" t="n">
        <f aca="false">V88/D88</f>
        <v>116.603773584906</v>
      </c>
      <c r="X88" s="1" t="n">
        <f aca="false">X87+V88</f>
        <v>62496.7</v>
      </c>
      <c r="Y88" s="1" t="n">
        <f aca="false">Y87+V88</f>
        <v>3303.1</v>
      </c>
      <c r="AA88" s="1" t="n">
        <v>9.06671136757297</v>
      </c>
    </row>
    <row r="89" customFormat="false" ht="15" hidden="false" customHeight="false" outlineLevel="0" collapsed="false">
      <c r="A89" s="43"/>
      <c r="B89" s="4"/>
      <c r="C89" s="16" t="n">
        <v>41603</v>
      </c>
      <c r="D89" s="31" t="n">
        <v>4.2</v>
      </c>
      <c r="E89" s="31" t="n">
        <v>3</v>
      </c>
      <c r="F89" s="1" t="n">
        <v>5.8</v>
      </c>
      <c r="G89" s="1" t="n">
        <f aca="false">G88+D89</f>
        <v>1075.3</v>
      </c>
      <c r="H89" s="1" t="n">
        <f aca="false">H88+D89</f>
        <v>35.9</v>
      </c>
      <c r="I89" s="1" t="n">
        <v>0</v>
      </c>
      <c r="J89" s="1" t="n">
        <v>0</v>
      </c>
      <c r="K89" s="1" t="n">
        <f aca="false">K88+J89</f>
        <v>252.9</v>
      </c>
      <c r="L89" s="1" t="n">
        <v>0.7</v>
      </c>
      <c r="M89" s="1" t="n">
        <f aca="false">M88+L89</f>
        <v>123.5</v>
      </c>
      <c r="N89" s="19" t="n">
        <f aca="false">J89-L89</f>
        <v>-0.7</v>
      </c>
      <c r="O89" s="25" t="n">
        <f aca="false">O88+N89</f>
        <v>120.5</v>
      </c>
      <c r="P89" s="21" t="n">
        <v>84</v>
      </c>
      <c r="Q89" s="22" t="n">
        <v>1</v>
      </c>
      <c r="R89" s="23" t="n">
        <f aca="false">Q89*L89</f>
        <v>0.7</v>
      </c>
      <c r="S89" s="23" t="n">
        <f aca="false">J89-R89</f>
        <v>-0.7</v>
      </c>
      <c r="T89" s="26" t="n">
        <f aca="false">MIN(122.1,(T88+S89))</f>
        <v>120.5</v>
      </c>
      <c r="U89" s="1" t="n">
        <v>122.1</v>
      </c>
      <c r="V89" s="27" t="n">
        <v>328.6</v>
      </c>
      <c r="W89" s="1" t="n">
        <f aca="false">V89/D89</f>
        <v>78.2380952380952</v>
      </c>
      <c r="X89" s="1" t="n">
        <f aca="false">X88+V89</f>
        <v>62825.3</v>
      </c>
      <c r="Y89" s="1" t="n">
        <f aca="false">Y88+V89</f>
        <v>3631.7</v>
      </c>
      <c r="AA89" s="1" t="n">
        <v>9.03112550132089</v>
      </c>
    </row>
    <row r="90" customFormat="false" ht="15" hidden="false" customHeight="false" outlineLevel="0" collapsed="false">
      <c r="A90" s="43"/>
      <c r="B90" s="46"/>
      <c r="C90" s="16" t="n">
        <v>41604</v>
      </c>
      <c r="D90" s="31" t="n">
        <v>3.6</v>
      </c>
      <c r="E90" s="31" t="n">
        <v>2.6</v>
      </c>
      <c r="F90" s="1" t="n">
        <v>5.7</v>
      </c>
      <c r="G90" s="1" t="n">
        <f aca="false">G89+D90</f>
        <v>1078.9</v>
      </c>
      <c r="H90" s="1" t="n">
        <f aca="false">H89+D90</f>
        <v>39.5</v>
      </c>
      <c r="I90" s="45" t="s">
        <v>41</v>
      </c>
      <c r="J90" s="1" t="n">
        <v>0</v>
      </c>
      <c r="K90" s="1" t="n">
        <f aca="false">K89+J90</f>
        <v>252.9</v>
      </c>
      <c r="L90" s="1" t="n">
        <v>1.2</v>
      </c>
      <c r="M90" s="1" t="n">
        <f aca="false">M89+L90</f>
        <v>124.7</v>
      </c>
      <c r="N90" s="19" t="n">
        <f aca="false">J90-L90</f>
        <v>-1.2</v>
      </c>
      <c r="O90" s="25" t="n">
        <f aca="false">O89+N90</f>
        <v>119.3</v>
      </c>
      <c r="P90" s="21" t="n">
        <v>85</v>
      </c>
      <c r="Q90" s="22" t="n">
        <v>1</v>
      </c>
      <c r="R90" s="23" t="n">
        <f aca="false">Q90*L90</f>
        <v>1.2</v>
      </c>
      <c r="S90" s="23" t="n">
        <f aca="false">J90-R90</f>
        <v>-1.2</v>
      </c>
      <c r="T90" s="26" t="n">
        <f aca="false">MIN(122.1,(T89+S90))</f>
        <v>119.3</v>
      </c>
      <c r="U90" s="45" t="s">
        <v>42</v>
      </c>
      <c r="V90" s="27" t="n">
        <v>724.8</v>
      </c>
      <c r="W90" s="1" t="n">
        <f aca="false">V90/D90</f>
        <v>201.333333333333</v>
      </c>
      <c r="X90" s="1" t="n">
        <f aca="false">X89+V90</f>
        <v>63550.1</v>
      </c>
      <c r="Y90" s="1" t="n">
        <f aca="false">Y89+V90</f>
        <v>4356.5</v>
      </c>
      <c r="AA90" s="47" t="n">
        <v>8.99649404203207</v>
      </c>
    </row>
    <row r="91" customFormat="false" ht="15" hidden="false" customHeight="false" outlineLevel="0" collapsed="false">
      <c r="A91" s="43"/>
      <c r="B91" s="46"/>
      <c r="C91" s="16" t="n">
        <v>41605</v>
      </c>
      <c r="D91" s="31" t="n">
        <v>2</v>
      </c>
      <c r="E91" s="31" t="n">
        <v>0.1</v>
      </c>
      <c r="F91" s="1" t="n">
        <v>5.4</v>
      </c>
      <c r="G91" s="1" t="n">
        <f aca="false">G90+D91</f>
        <v>1080.9</v>
      </c>
      <c r="H91" s="1" t="n">
        <f aca="false">H90+D91</f>
        <v>41.5</v>
      </c>
      <c r="I91" s="1" t="n">
        <v>28</v>
      </c>
      <c r="J91" s="1" t="n">
        <v>0</v>
      </c>
      <c r="K91" s="1" t="n">
        <f aca="false">K90+J91</f>
        <v>252.9</v>
      </c>
      <c r="L91" s="1" t="n">
        <v>0.6</v>
      </c>
      <c r="M91" s="1" t="n">
        <f aca="false">M90+L91</f>
        <v>125.3</v>
      </c>
      <c r="N91" s="19" t="n">
        <f aca="false">J91-L91</f>
        <v>-0.6</v>
      </c>
      <c r="O91" s="25" t="n">
        <f aca="false">O90+N91</f>
        <v>118.7</v>
      </c>
      <c r="P91" s="21" t="n">
        <v>86</v>
      </c>
      <c r="Q91" s="22" t="n">
        <v>1</v>
      </c>
      <c r="R91" s="23" t="n">
        <f aca="false">Q91*L91</f>
        <v>0.6</v>
      </c>
      <c r="S91" s="23" t="n">
        <f aca="false">J91-R91</f>
        <v>-0.6</v>
      </c>
      <c r="T91" s="26" t="n">
        <f aca="false">MIN(122.1,(T90+S91))</f>
        <v>118.7</v>
      </c>
      <c r="U91" s="28" t="n">
        <f aca="false">AVERAGE(T80:T127)</f>
        <v>118.16875</v>
      </c>
      <c r="V91" s="27" t="n">
        <v>489.9</v>
      </c>
      <c r="W91" s="1" t="n">
        <f aca="false">V91/D91</f>
        <v>244.95</v>
      </c>
      <c r="X91" s="1" t="n">
        <f aca="false">X90+V91</f>
        <v>64040</v>
      </c>
      <c r="Y91" s="1" t="n">
        <f aca="false">Y90+V91</f>
        <v>4846.4</v>
      </c>
      <c r="AA91" s="47" t="n">
        <v>8.96284542373783</v>
      </c>
    </row>
    <row r="92" customFormat="false" ht="15" hidden="false" customHeight="false" outlineLevel="0" collapsed="false">
      <c r="A92" s="43"/>
      <c r="B92" s="46"/>
      <c r="C92" s="16" t="n">
        <v>41606</v>
      </c>
      <c r="D92" s="31" t="n">
        <v>0.8</v>
      </c>
      <c r="E92" s="30" t="n">
        <v>-2.2</v>
      </c>
      <c r="F92" s="31" t="n">
        <v>3.3</v>
      </c>
      <c r="G92" s="1" t="n">
        <f aca="false">G91+D92</f>
        <v>1081.7</v>
      </c>
      <c r="H92" s="1" t="n">
        <f aca="false">H91+D92</f>
        <v>42.3</v>
      </c>
      <c r="I92" s="45" t="s">
        <v>43</v>
      </c>
      <c r="J92" s="1" t="n">
        <v>0</v>
      </c>
      <c r="K92" s="1" t="n">
        <f aca="false">K91+J92</f>
        <v>252.9</v>
      </c>
      <c r="L92" s="1" t="n">
        <v>0.4</v>
      </c>
      <c r="M92" s="1" t="n">
        <f aca="false">M91+L92</f>
        <v>125.7</v>
      </c>
      <c r="N92" s="19" t="n">
        <f aca="false">J92-L92</f>
        <v>-0.4</v>
      </c>
      <c r="O92" s="25" t="n">
        <f aca="false">O91+N92</f>
        <v>118.3</v>
      </c>
      <c r="P92" s="21" t="n">
        <v>87</v>
      </c>
      <c r="Q92" s="22" t="n">
        <v>1</v>
      </c>
      <c r="R92" s="23" t="n">
        <f aca="false">Q92*L92</f>
        <v>0.4</v>
      </c>
      <c r="S92" s="23" t="n">
        <f aca="false">J92-R92</f>
        <v>-0.4</v>
      </c>
      <c r="T92" s="26" t="n">
        <f aca="false">MIN(122.1,(T91+S92))</f>
        <v>118.3</v>
      </c>
      <c r="U92" s="45" t="s">
        <v>45</v>
      </c>
      <c r="V92" s="27" t="n">
        <v>208.3</v>
      </c>
      <c r="W92" s="1" t="n">
        <f aca="false">V92/D92</f>
        <v>260.375</v>
      </c>
      <c r="X92" s="1" t="n">
        <f aca="false">X91+V92</f>
        <v>64248.3</v>
      </c>
      <c r="Y92" s="1" t="n">
        <f aca="false">Y91+V92</f>
        <v>5054.7</v>
      </c>
      <c r="AA92" s="47" t="n">
        <v>8.93020798338758</v>
      </c>
    </row>
    <row r="93" customFormat="false" ht="15" hidden="false" customHeight="false" outlineLevel="0" collapsed="false">
      <c r="A93" s="43"/>
      <c r="B93" s="46"/>
      <c r="C93" s="16" t="n">
        <v>41607</v>
      </c>
      <c r="D93" s="31" t="n">
        <v>4.9</v>
      </c>
      <c r="E93" s="31" t="n">
        <v>2.5</v>
      </c>
      <c r="F93" s="1" t="n">
        <v>6.6</v>
      </c>
      <c r="G93" s="1" t="n">
        <f aca="false">G92+D93</f>
        <v>1086.6</v>
      </c>
      <c r="H93" s="1" t="n">
        <f aca="false">H92+D93</f>
        <v>47.2</v>
      </c>
      <c r="I93" s="1" t="n">
        <v>216.5</v>
      </c>
      <c r="J93" s="1" t="n">
        <v>1.1</v>
      </c>
      <c r="K93" s="1" t="n">
        <f aca="false">K92+J93</f>
        <v>254</v>
      </c>
      <c r="L93" s="1" t="n">
        <v>0.2</v>
      </c>
      <c r="M93" s="1" t="n">
        <f aca="false">M92+L93</f>
        <v>125.9</v>
      </c>
      <c r="N93" s="1" t="n">
        <f aca="false">J93-L93</f>
        <v>0.9</v>
      </c>
      <c r="O93" s="25" t="n">
        <f aca="false">O92+N93</f>
        <v>119.2</v>
      </c>
      <c r="P93" s="21" t="n">
        <v>88</v>
      </c>
      <c r="Q93" s="22" t="n">
        <v>1</v>
      </c>
      <c r="R93" s="23" t="n">
        <f aca="false">Q93*L93</f>
        <v>0.2</v>
      </c>
      <c r="S93" s="23" t="n">
        <f aca="false">J93-R93</f>
        <v>0.9</v>
      </c>
      <c r="T93" s="26" t="n">
        <f aca="false">MIN(122.1,(T92+S93))</f>
        <v>119.2</v>
      </c>
      <c r="U93" s="29" t="n">
        <v>38</v>
      </c>
      <c r="V93" s="27" t="n">
        <v>264.9</v>
      </c>
      <c r="W93" s="1" t="n">
        <f aca="false">V93/D93</f>
        <v>54.0612244897959</v>
      </c>
      <c r="X93" s="1" t="n">
        <f aca="false">X92+V93</f>
        <v>64513.2</v>
      </c>
      <c r="Y93" s="1" t="n">
        <f aca="false">Y92+V93</f>
        <v>5319.6</v>
      </c>
      <c r="AA93" s="47" t="n">
        <v>8.89860989169361</v>
      </c>
    </row>
    <row r="94" customFormat="false" ht="15" hidden="false" customHeight="false" outlineLevel="0" collapsed="false">
      <c r="A94" s="43"/>
      <c r="B94" s="46"/>
      <c r="C94" s="16" t="n">
        <v>41608</v>
      </c>
      <c r="D94" s="31" t="n">
        <v>4.9</v>
      </c>
      <c r="E94" s="31" t="n">
        <v>4.9</v>
      </c>
      <c r="F94" s="1" t="n">
        <v>5.7</v>
      </c>
      <c r="G94" s="1" t="n">
        <f aca="false">G93+D94</f>
        <v>1091.5</v>
      </c>
      <c r="H94" s="1" t="n">
        <f aca="false">H93+D94</f>
        <v>52.1</v>
      </c>
      <c r="J94" s="1" t="n">
        <v>0.3</v>
      </c>
      <c r="K94" s="1" t="n">
        <f aca="false">K93+J94</f>
        <v>254.3</v>
      </c>
      <c r="L94" s="1" t="n">
        <v>0.3</v>
      </c>
      <c r="M94" s="1" t="n">
        <f aca="false">M93+L94</f>
        <v>126.2</v>
      </c>
      <c r="N94" s="1" t="n">
        <f aca="false">J94-L94</f>
        <v>0</v>
      </c>
      <c r="O94" s="25" t="n">
        <f aca="false">O93+N94</f>
        <v>119.2</v>
      </c>
      <c r="P94" s="21" t="n">
        <v>89</v>
      </c>
      <c r="Q94" s="22" t="n">
        <v>1</v>
      </c>
      <c r="R94" s="23" t="n">
        <f aca="false">Q94*L94</f>
        <v>0.3</v>
      </c>
      <c r="S94" s="23" t="n">
        <f aca="false">J94-R94</f>
        <v>0</v>
      </c>
      <c r="T94" s="26" t="n">
        <f aca="false">MIN(122.1,(T93+S94))</f>
        <v>119.2</v>
      </c>
      <c r="V94" s="27" t="n">
        <v>215.9</v>
      </c>
      <c r="W94" s="1" t="n">
        <f aca="false">V94/D94</f>
        <v>44.0612244897959</v>
      </c>
      <c r="X94" s="1" t="n">
        <f aca="false">X93+V94</f>
        <v>64729.1</v>
      </c>
      <c r="Y94" s="1" t="n">
        <f aca="false">Y93+V94</f>
        <v>5535.5</v>
      </c>
      <c r="AA94" s="47" t="n">
        <v>8.86807908128606</v>
      </c>
    </row>
    <row r="95" customFormat="false" ht="15" hidden="false" customHeight="false" outlineLevel="0" collapsed="false">
      <c r="A95" s="43"/>
      <c r="B95" s="46"/>
      <c r="C95" s="16" t="n">
        <v>41609</v>
      </c>
      <c r="D95" s="31" t="n">
        <v>3.7</v>
      </c>
      <c r="E95" s="31" t="n">
        <v>2</v>
      </c>
      <c r="F95" s="1" t="n">
        <v>5.9</v>
      </c>
      <c r="G95" s="1" t="n">
        <f aca="false">G94+D95</f>
        <v>1095.2</v>
      </c>
      <c r="H95" s="1" t="n">
        <f aca="false">H94+D95</f>
        <v>55.8</v>
      </c>
      <c r="J95" s="1" t="n">
        <v>0</v>
      </c>
      <c r="K95" s="1" t="n">
        <f aca="false">K94+J95</f>
        <v>254.3</v>
      </c>
      <c r="L95" s="1" t="n">
        <v>0.6</v>
      </c>
      <c r="M95" s="1" t="n">
        <f aca="false">M94+L95</f>
        <v>126.8</v>
      </c>
      <c r="N95" s="19" t="n">
        <f aca="false">J95-L95</f>
        <v>-0.6</v>
      </c>
      <c r="O95" s="25" t="n">
        <f aca="false">O94+N95</f>
        <v>118.6</v>
      </c>
      <c r="P95" s="21" t="n">
        <v>90</v>
      </c>
      <c r="Q95" s="22" t="n">
        <v>1</v>
      </c>
      <c r="R95" s="23" t="n">
        <f aca="false">Q95*L95</f>
        <v>0.6</v>
      </c>
      <c r="S95" s="23" t="n">
        <f aca="false">J95-R95</f>
        <v>-0.6</v>
      </c>
      <c r="T95" s="26" t="n">
        <f aca="false">MIN(122.1,(T94+S95))</f>
        <v>118.6</v>
      </c>
      <c r="U95" s="1" t="n">
        <f aca="false">(U91*100)/122.1</f>
        <v>96.7803030303031</v>
      </c>
      <c r="V95" s="27" t="n">
        <v>459.5</v>
      </c>
      <c r="W95" s="1" t="n">
        <f aca="false">V95/D95</f>
        <v>124.189189189189</v>
      </c>
      <c r="X95" s="1" t="n">
        <f aca="false">X94+V95</f>
        <v>65188.6</v>
      </c>
      <c r="Y95" s="1" t="n">
        <f aca="false">Y94+V95</f>
        <v>5995</v>
      </c>
      <c r="AA95" s="47" t="n">
        <v>8.83864317243724</v>
      </c>
    </row>
    <row r="96" customFormat="false" ht="15" hidden="false" customHeight="false" outlineLevel="0" collapsed="false">
      <c r="A96" s="43"/>
      <c r="B96" s="46"/>
      <c r="C96" s="16" t="n">
        <v>41610</v>
      </c>
      <c r="D96" s="31" t="n">
        <v>4.1</v>
      </c>
      <c r="E96" s="31" t="n">
        <v>3</v>
      </c>
      <c r="F96" s="1" t="n">
        <v>6.4</v>
      </c>
      <c r="G96" s="1" t="n">
        <f aca="false">G95+D96</f>
        <v>1099.3</v>
      </c>
      <c r="H96" s="1" t="n">
        <f aca="false">H95+D96</f>
        <v>59.9</v>
      </c>
      <c r="J96" s="1" t="n">
        <v>0</v>
      </c>
      <c r="K96" s="1" t="n">
        <f aca="false">K95+J96</f>
        <v>254.3</v>
      </c>
      <c r="L96" s="1" t="n">
        <v>0.8</v>
      </c>
      <c r="M96" s="1" t="n">
        <f aca="false">M95+L96</f>
        <v>127.6</v>
      </c>
      <c r="N96" s="19" t="n">
        <f aca="false">J96-L96</f>
        <v>-0.8</v>
      </c>
      <c r="O96" s="25" t="n">
        <f aca="false">O95+N96</f>
        <v>117.8</v>
      </c>
      <c r="P96" s="21" t="n">
        <v>91</v>
      </c>
      <c r="Q96" s="22" t="n">
        <v>1</v>
      </c>
      <c r="R96" s="23" t="n">
        <f aca="false">Q96*L96</f>
        <v>0.8</v>
      </c>
      <c r="S96" s="23" t="n">
        <f aca="false">J96-R96</f>
        <v>-0.8</v>
      </c>
      <c r="T96" s="26" t="n">
        <f aca="false">MIN(122.1,(T95+S96))</f>
        <v>117.8</v>
      </c>
      <c r="V96" s="27" t="n">
        <v>327.9</v>
      </c>
      <c r="W96" s="1" t="n">
        <f aca="false">V96/D96</f>
        <v>79.9756097560976</v>
      </c>
      <c r="X96" s="1" t="n">
        <f aca="false">X95+V96</f>
        <v>65516.5</v>
      </c>
      <c r="Y96" s="1" t="n">
        <f aca="false">Y95+V96</f>
        <v>6322.9</v>
      </c>
      <c r="AA96" s="47" t="n">
        <v>8.81032939665082</v>
      </c>
    </row>
    <row r="97" customFormat="false" ht="15" hidden="false" customHeight="false" outlineLevel="0" collapsed="false">
      <c r="A97" s="43"/>
      <c r="B97" s="46"/>
      <c r="C97" s="16" t="n">
        <v>41611</v>
      </c>
      <c r="D97" s="31" t="n">
        <v>1.3</v>
      </c>
      <c r="E97" s="30" t="n">
        <v>-2.5</v>
      </c>
      <c r="F97" s="1" t="n">
        <v>5.5</v>
      </c>
      <c r="G97" s="1" t="n">
        <f aca="false">G96+D97</f>
        <v>1100.6</v>
      </c>
      <c r="H97" s="1" t="n">
        <f aca="false">H96+D97</f>
        <v>61.2</v>
      </c>
      <c r="J97" s="1" t="n">
        <v>0</v>
      </c>
      <c r="K97" s="1" t="n">
        <f aca="false">K96+J97</f>
        <v>254.3</v>
      </c>
      <c r="L97" s="1" t="n">
        <v>0.7</v>
      </c>
      <c r="M97" s="1" t="n">
        <f aca="false">M96+L97</f>
        <v>128.3</v>
      </c>
      <c r="N97" s="19" t="n">
        <f aca="false">J97-L97</f>
        <v>-0.7</v>
      </c>
      <c r="O97" s="25" t="n">
        <f aca="false">O96+N97</f>
        <v>117.1</v>
      </c>
      <c r="P97" s="21" t="n">
        <v>92</v>
      </c>
      <c r="Q97" s="22" t="n">
        <v>1</v>
      </c>
      <c r="R97" s="23" t="n">
        <f aca="false">Q97*L97</f>
        <v>0.7</v>
      </c>
      <c r="S97" s="23" t="n">
        <f aca="false">J97-R97</f>
        <v>-0.7</v>
      </c>
      <c r="T97" s="26" t="n">
        <f aca="false">MIN(122.1,(T96+S97))</f>
        <v>117.1</v>
      </c>
      <c r="V97" s="27" t="n">
        <v>679.6</v>
      </c>
      <c r="W97" s="1" t="n">
        <f aca="false">V97/D97</f>
        <v>522.769230769231</v>
      </c>
      <c r="X97" s="1" t="n">
        <f aca="false">X96+V97</f>
        <v>66196.1</v>
      </c>
      <c r="Y97" s="1" t="n">
        <f aca="false">Y96+V97</f>
        <v>7002.5</v>
      </c>
      <c r="AA97" s="47" t="n">
        <v>8.78316451844674</v>
      </c>
    </row>
    <row r="98" customFormat="false" ht="15" hidden="false" customHeight="false" outlineLevel="0" collapsed="false">
      <c r="A98" s="43"/>
      <c r="B98" s="46"/>
      <c r="C98" s="16" t="n">
        <v>41612</v>
      </c>
      <c r="D98" s="31" t="n">
        <v>1.1</v>
      </c>
      <c r="E98" s="30" t="n">
        <v>-2</v>
      </c>
      <c r="F98" s="31" t="n">
        <v>3.2</v>
      </c>
      <c r="G98" s="1" t="n">
        <f aca="false">G97+D98</f>
        <v>1101.7</v>
      </c>
      <c r="H98" s="1" t="n">
        <f aca="false">H97+D98</f>
        <v>62.3</v>
      </c>
      <c r="J98" s="1" t="n">
        <v>0</v>
      </c>
      <c r="K98" s="1" t="n">
        <f aca="false">K97+J98</f>
        <v>254.3</v>
      </c>
      <c r="L98" s="1" t="n">
        <v>0.3</v>
      </c>
      <c r="M98" s="1" t="n">
        <f aca="false">M97+L98</f>
        <v>128.6</v>
      </c>
      <c r="N98" s="19" t="n">
        <f aca="false">J98-L98</f>
        <v>-0.3</v>
      </c>
      <c r="O98" s="25" t="n">
        <f aca="false">O97+N98</f>
        <v>116.8</v>
      </c>
      <c r="P98" s="21" t="n">
        <v>93</v>
      </c>
      <c r="Q98" s="22" t="n">
        <v>1</v>
      </c>
      <c r="R98" s="23" t="n">
        <f aca="false">Q98*L98</f>
        <v>0.3</v>
      </c>
      <c r="S98" s="23" t="n">
        <f aca="false">J98-R98</f>
        <v>-0.3</v>
      </c>
      <c r="T98" s="26" t="n">
        <f aca="false">MIN(122.1,(T97+S98))</f>
        <v>116.8</v>
      </c>
      <c r="V98" s="27" t="n">
        <v>348.4</v>
      </c>
      <c r="W98" s="1" t="n">
        <f aca="false">V98/D98</f>
        <v>316.727272727273</v>
      </c>
      <c r="X98" s="1" t="n">
        <f aca="false">X97+V98</f>
        <v>66544.5</v>
      </c>
      <c r="Y98" s="1" t="n">
        <f aca="false">Y97+V98</f>
        <v>7350.9</v>
      </c>
      <c r="AA98" s="47" t="n">
        <v>8.75717475570766</v>
      </c>
    </row>
    <row r="99" customFormat="false" ht="15" hidden="false" customHeight="false" outlineLevel="0" collapsed="false">
      <c r="A99" s="43"/>
      <c r="B99" s="46"/>
      <c r="C99" s="16" t="n">
        <v>41613</v>
      </c>
      <c r="D99" s="31" t="n">
        <v>4.5</v>
      </c>
      <c r="E99" s="31" t="n">
        <v>3</v>
      </c>
      <c r="F99" s="1" t="n">
        <v>5.9</v>
      </c>
      <c r="G99" s="1" t="n">
        <f aca="false">G98+D99</f>
        <v>1106.2</v>
      </c>
      <c r="H99" s="1" t="n">
        <f aca="false">H98+D99</f>
        <v>66.8</v>
      </c>
      <c r="J99" s="1" t="n">
        <v>0.3</v>
      </c>
      <c r="K99" s="1" t="n">
        <f aca="false">K98+J99</f>
        <v>254.6</v>
      </c>
      <c r="L99" s="1" t="n">
        <v>0.4</v>
      </c>
      <c r="M99" s="1" t="n">
        <f aca="false">M98+L99</f>
        <v>129</v>
      </c>
      <c r="N99" s="19" t="n">
        <f aca="false">J99-L99</f>
        <v>-0.1</v>
      </c>
      <c r="O99" s="25" t="n">
        <f aca="false">O98+N99</f>
        <v>116.7</v>
      </c>
      <c r="P99" s="21" t="n">
        <v>94</v>
      </c>
      <c r="Q99" s="22" t="n">
        <v>1</v>
      </c>
      <c r="R99" s="23" t="n">
        <f aca="false">Q99*L99</f>
        <v>0.4</v>
      </c>
      <c r="S99" s="23" t="n">
        <f aca="false">J99-R99</f>
        <v>-0.1</v>
      </c>
      <c r="T99" s="26" t="n">
        <f aca="false">MIN(122.1,(T98+S99))</f>
        <v>116.7</v>
      </c>
      <c r="V99" s="27" t="n">
        <v>213.8</v>
      </c>
      <c r="W99" s="1" t="n">
        <f aca="false">V99/D99</f>
        <v>47.5111111111111</v>
      </c>
      <c r="X99" s="1" t="n">
        <f aca="false">X98+V99</f>
        <v>66758.3</v>
      </c>
      <c r="Y99" s="1" t="n">
        <f aca="false">Y98+V99</f>
        <v>7564.7</v>
      </c>
      <c r="AA99" s="47" t="n">
        <v>8.73238569898579</v>
      </c>
    </row>
    <row r="100" customFormat="false" ht="15" hidden="false" customHeight="false" outlineLevel="0" collapsed="false">
      <c r="A100" s="43"/>
      <c r="B100" s="46"/>
      <c r="C100" s="16" t="n">
        <v>41614</v>
      </c>
      <c r="D100" s="31" t="n">
        <v>5</v>
      </c>
      <c r="E100" s="31" t="n">
        <v>4.4</v>
      </c>
      <c r="F100" s="1" t="n">
        <v>7.7</v>
      </c>
      <c r="G100" s="1" t="n">
        <f aca="false">G99+D100</f>
        <v>1111.2</v>
      </c>
      <c r="H100" s="1" t="n">
        <f aca="false">H99+D100</f>
        <v>71.8</v>
      </c>
      <c r="J100" s="1" t="n">
        <v>0</v>
      </c>
      <c r="K100" s="1" t="n">
        <f aca="false">K99+J100</f>
        <v>254.6</v>
      </c>
      <c r="L100" s="1" t="n">
        <v>0.7</v>
      </c>
      <c r="M100" s="1" t="n">
        <f aca="false">M99+L100</f>
        <v>129.7</v>
      </c>
      <c r="N100" s="19" t="n">
        <f aca="false">J100-L100</f>
        <v>-0.7</v>
      </c>
      <c r="O100" s="25" t="n">
        <f aca="false">O99+N100</f>
        <v>116</v>
      </c>
      <c r="P100" s="21" t="n">
        <v>95</v>
      </c>
      <c r="Q100" s="22" t="n">
        <v>1</v>
      </c>
      <c r="R100" s="23" t="n">
        <f aca="false">Q100*L100</f>
        <v>0.7</v>
      </c>
      <c r="S100" s="23" t="n">
        <f aca="false">J100-R100</f>
        <v>-0.7</v>
      </c>
      <c r="T100" s="26" t="n">
        <f aca="false">MIN(122.1,(T99+S100))</f>
        <v>116</v>
      </c>
      <c r="V100" s="27" t="n">
        <v>306</v>
      </c>
      <c r="W100" s="1" t="n">
        <f aca="false">V100/D100</f>
        <v>61.2</v>
      </c>
      <c r="X100" s="1" t="n">
        <f aca="false">X99+V100</f>
        <v>67064.3</v>
      </c>
      <c r="Y100" s="1" t="n">
        <f aca="false">Y99+V100</f>
        <v>7870.7</v>
      </c>
      <c r="AA100" s="47" t="n">
        <v>8.70882223020012</v>
      </c>
    </row>
    <row r="101" customFormat="false" ht="15" hidden="false" customHeight="false" outlineLevel="0" collapsed="false">
      <c r="A101" s="43"/>
      <c r="B101" s="46"/>
      <c r="C101" s="16" t="n">
        <v>41615</v>
      </c>
      <c r="D101" s="31" t="n">
        <v>2.4</v>
      </c>
      <c r="E101" s="31" t="n">
        <v>0.2</v>
      </c>
      <c r="F101" s="1" t="n">
        <v>6.7</v>
      </c>
      <c r="G101" s="1" t="n">
        <f aca="false">G100+D101</f>
        <v>1113.6</v>
      </c>
      <c r="H101" s="1" t="n">
        <f aca="false">H100+D101</f>
        <v>74.2</v>
      </c>
      <c r="J101" s="1" t="n">
        <v>0</v>
      </c>
      <c r="K101" s="1" t="n">
        <f aca="false">K100+J101</f>
        <v>254.6</v>
      </c>
      <c r="L101" s="1" t="n">
        <v>0.8</v>
      </c>
      <c r="M101" s="1" t="n">
        <f aca="false">M100+L101</f>
        <v>130.5</v>
      </c>
      <c r="N101" s="19" t="n">
        <f aca="false">J101-L101</f>
        <v>-0.8</v>
      </c>
      <c r="O101" s="25" t="n">
        <f aca="false">O100+N101</f>
        <v>115.2</v>
      </c>
      <c r="P101" s="21" t="n">
        <v>96</v>
      </c>
      <c r="Q101" s="22" t="n">
        <v>1</v>
      </c>
      <c r="R101" s="23" t="n">
        <f aca="false">Q101*L101</f>
        <v>0.8</v>
      </c>
      <c r="S101" s="23" t="n">
        <f aca="false">J101-R101</f>
        <v>-0.8</v>
      </c>
      <c r="T101" s="26" t="n">
        <f aca="false">MIN(122.1,(T100+S101))</f>
        <v>115.2</v>
      </c>
      <c r="V101" s="27" t="n">
        <v>619.7</v>
      </c>
      <c r="W101" s="1" t="n">
        <f aca="false">V101/D101</f>
        <v>258.208333333333</v>
      </c>
      <c r="X101" s="1" t="n">
        <f aca="false">X100+V101</f>
        <v>67684</v>
      </c>
      <c r="Y101" s="1" t="n">
        <f aca="false">Y100+V101</f>
        <v>8490.4</v>
      </c>
      <c r="AA101" s="47" t="n">
        <v>8.68650844118245</v>
      </c>
    </row>
    <row r="102" customFormat="false" ht="15" hidden="false" customHeight="false" outlineLevel="0" collapsed="false">
      <c r="A102" s="43"/>
      <c r="B102" s="46"/>
      <c r="C102" s="16" t="n">
        <v>41616</v>
      </c>
      <c r="D102" s="31" t="n">
        <v>1.2</v>
      </c>
      <c r="E102" s="30" t="n">
        <v>-1.8</v>
      </c>
      <c r="F102" s="1" t="n">
        <v>5.8</v>
      </c>
      <c r="G102" s="1" t="n">
        <f aca="false">G101+D102</f>
        <v>1114.8</v>
      </c>
      <c r="H102" s="1" t="n">
        <f aca="false">H101+D102</f>
        <v>75.4</v>
      </c>
      <c r="J102" s="1" t="n">
        <v>0</v>
      </c>
      <c r="K102" s="1" t="n">
        <f aca="false">K101+J102</f>
        <v>254.6</v>
      </c>
      <c r="L102" s="1" t="n">
        <v>0.7</v>
      </c>
      <c r="M102" s="1" t="n">
        <f aca="false">M101+L102</f>
        <v>131.2</v>
      </c>
      <c r="N102" s="19" t="n">
        <f aca="false">J102-L102</f>
        <v>-0.7</v>
      </c>
      <c r="O102" s="25" t="n">
        <f aca="false">O101+N102</f>
        <v>114.5</v>
      </c>
      <c r="P102" s="21" t="n">
        <v>97</v>
      </c>
      <c r="Q102" s="22" t="n">
        <v>1</v>
      </c>
      <c r="R102" s="23" t="n">
        <f aca="false">Q102*L102</f>
        <v>0.7</v>
      </c>
      <c r="S102" s="23" t="n">
        <f aca="false">J102-R102</f>
        <v>-0.7</v>
      </c>
      <c r="T102" s="26" t="n">
        <f aca="false">MIN(122.1,(T101+S102))</f>
        <v>114.5</v>
      </c>
      <c r="V102" s="27" t="n">
        <v>714</v>
      </c>
      <c r="W102" s="1" t="n">
        <f aca="false">V102/D102</f>
        <v>595</v>
      </c>
      <c r="X102" s="1" t="n">
        <f aca="false">X101+V102</f>
        <v>68398</v>
      </c>
      <c r="Y102" s="1" t="n">
        <f aca="false">Y101+V102</f>
        <v>9204.4</v>
      </c>
      <c r="AA102" s="47" t="n">
        <v>8.66546755255563</v>
      </c>
    </row>
    <row r="103" customFormat="false" ht="15" hidden="false" customHeight="false" outlineLevel="0" collapsed="false">
      <c r="A103" s="43"/>
      <c r="B103" s="46"/>
      <c r="C103" s="16" t="n">
        <v>41617</v>
      </c>
      <c r="D103" s="31" t="n">
        <v>1</v>
      </c>
      <c r="E103" s="30" t="n">
        <v>-3.2</v>
      </c>
      <c r="F103" s="1" t="n">
        <v>6.3</v>
      </c>
      <c r="G103" s="1" t="n">
        <f aca="false">G102+D103</f>
        <v>1115.8</v>
      </c>
      <c r="H103" s="1" t="n">
        <f aca="false">H102+D103</f>
        <v>76.4</v>
      </c>
      <c r="J103" s="1" t="n">
        <v>0</v>
      </c>
      <c r="K103" s="1" t="n">
        <f aca="false">K102+J103</f>
        <v>254.6</v>
      </c>
      <c r="L103" s="1" t="n">
        <v>0.6</v>
      </c>
      <c r="M103" s="1" t="n">
        <f aca="false">M102+L103</f>
        <v>131.8</v>
      </c>
      <c r="N103" s="19" t="n">
        <f aca="false">J103-L103</f>
        <v>-0.6</v>
      </c>
      <c r="O103" s="25" t="n">
        <f aca="false">O102+N103</f>
        <v>113.9</v>
      </c>
      <c r="P103" s="21" t="n">
        <v>98</v>
      </c>
      <c r="Q103" s="22" t="n">
        <v>1</v>
      </c>
      <c r="R103" s="23" t="n">
        <f aca="false">Q103*L103</f>
        <v>0.6</v>
      </c>
      <c r="S103" s="23" t="n">
        <f aca="false">J103-R103</f>
        <v>-0.6</v>
      </c>
      <c r="T103" s="26" t="n">
        <f aca="false">MIN(122.1,(T102+S103))</f>
        <v>113.9</v>
      </c>
      <c r="V103" s="27" t="n">
        <v>631.6</v>
      </c>
      <c r="W103" s="1" t="n">
        <f aca="false">V103/D103</f>
        <v>631.6</v>
      </c>
      <c r="X103" s="1" t="n">
        <f aca="false">X102+V103</f>
        <v>69029.6</v>
      </c>
      <c r="Y103" s="1" t="n">
        <f aca="false">Y102+V103</f>
        <v>9836</v>
      </c>
      <c r="AA103" s="47" t="n">
        <v>8.64572183344864</v>
      </c>
    </row>
    <row r="104" customFormat="false" ht="15" hidden="false" customHeight="false" outlineLevel="0" collapsed="false">
      <c r="A104" s="43"/>
      <c r="B104" s="46"/>
      <c r="C104" s="16" t="n">
        <v>41618</v>
      </c>
      <c r="D104" s="31" t="n">
        <v>1.1</v>
      </c>
      <c r="E104" s="30" t="n">
        <v>-2.5</v>
      </c>
      <c r="F104" s="1" t="n">
        <v>5.7</v>
      </c>
      <c r="G104" s="1" t="n">
        <f aca="false">G103+D104</f>
        <v>1116.9</v>
      </c>
      <c r="H104" s="1" t="n">
        <f aca="false">H103+D104</f>
        <v>77.5</v>
      </c>
      <c r="J104" s="1" t="n">
        <v>0</v>
      </c>
      <c r="K104" s="1" t="n">
        <f aca="false">K103+J104</f>
        <v>254.6</v>
      </c>
      <c r="L104" s="1" t="n">
        <v>0.7</v>
      </c>
      <c r="M104" s="1" t="n">
        <f aca="false">M103+L104</f>
        <v>132.5</v>
      </c>
      <c r="N104" s="19" t="n">
        <f aca="false">J104-L104</f>
        <v>-0.7</v>
      </c>
      <c r="O104" s="25" t="n">
        <f aca="false">O103+N104</f>
        <v>113.2</v>
      </c>
      <c r="P104" s="21" t="n">
        <v>99</v>
      </c>
      <c r="Q104" s="22" t="n">
        <v>1</v>
      </c>
      <c r="R104" s="23" t="n">
        <f aca="false">Q104*L104</f>
        <v>0.7</v>
      </c>
      <c r="S104" s="23" t="n">
        <f aca="false">J104-R104</f>
        <v>-0.7</v>
      </c>
      <c r="T104" s="26" t="n">
        <f aca="false">MIN(122.1,(T103+S104))</f>
        <v>113.2</v>
      </c>
      <c r="V104" s="27" t="n">
        <v>682.8</v>
      </c>
      <c r="W104" s="1" t="n">
        <f aca="false">V104/D104</f>
        <v>620.727272727273</v>
      </c>
      <c r="X104" s="1" t="n">
        <f aca="false">X103+V104</f>
        <v>69712.4</v>
      </c>
      <c r="Y104" s="1" t="n">
        <f aca="false">Y103+V104</f>
        <v>10518.8</v>
      </c>
      <c r="AA104" s="47" t="n">
        <v>8.62729252256988</v>
      </c>
    </row>
    <row r="105" customFormat="false" ht="15" hidden="false" customHeight="false" outlineLevel="0" collapsed="false">
      <c r="A105" s="43"/>
      <c r="B105" s="46"/>
      <c r="C105" s="16" t="n">
        <v>41619</v>
      </c>
      <c r="D105" s="31" t="n">
        <v>0.1</v>
      </c>
      <c r="E105" s="30" t="n">
        <v>-3.3</v>
      </c>
      <c r="F105" s="31" t="n">
        <v>3.9</v>
      </c>
      <c r="G105" s="1" t="n">
        <f aca="false">G104+D105</f>
        <v>1117</v>
      </c>
      <c r="H105" s="1" t="n">
        <f aca="false">H104+D105</f>
        <v>77.6</v>
      </c>
      <c r="J105" s="1" t="n">
        <v>0</v>
      </c>
      <c r="K105" s="1" t="n">
        <f aca="false">K104+J105</f>
        <v>254.6</v>
      </c>
      <c r="L105" s="1" t="n">
        <v>0.6</v>
      </c>
      <c r="M105" s="1" t="n">
        <f aca="false">M104+L105</f>
        <v>133.1</v>
      </c>
      <c r="N105" s="19" t="n">
        <f aca="false">J105-L105</f>
        <v>-0.6</v>
      </c>
      <c r="O105" s="25" t="n">
        <f aca="false">O104+N105</f>
        <v>112.6</v>
      </c>
      <c r="P105" s="21" t="n">
        <v>100</v>
      </c>
      <c r="Q105" s="22" t="n">
        <v>1</v>
      </c>
      <c r="R105" s="23" t="n">
        <f aca="false">Q105*L105</f>
        <v>0.6</v>
      </c>
      <c r="S105" s="23" t="n">
        <f aca="false">J105-R105</f>
        <v>-0.6</v>
      </c>
      <c r="T105" s="26" t="n">
        <f aca="false">MIN(122.1,(T104+S105))</f>
        <v>112.6</v>
      </c>
      <c r="V105" s="27" t="n">
        <v>684</v>
      </c>
      <c r="W105" s="1" t="n">
        <f aca="false">V105/D105</f>
        <v>6840</v>
      </c>
      <c r="X105" s="1" t="n">
        <f aca="false">X104+V105</f>
        <v>70396.4</v>
      </c>
      <c r="Y105" s="1" t="n">
        <f aca="false">Y104+V105</f>
        <v>11202.8</v>
      </c>
      <c r="AA105" s="47" t="n">
        <v>8.61019975117172</v>
      </c>
    </row>
    <row r="106" customFormat="false" ht="15" hidden="false" customHeight="false" outlineLevel="0" collapsed="false">
      <c r="A106" s="43"/>
      <c r="B106" s="46"/>
      <c r="C106" s="16" t="n">
        <v>41620</v>
      </c>
      <c r="D106" s="31" t="n">
        <v>0.1</v>
      </c>
      <c r="E106" s="30" t="n">
        <v>-3.5</v>
      </c>
      <c r="F106" s="31" t="n">
        <v>4.6</v>
      </c>
      <c r="G106" s="1" t="n">
        <f aca="false">G105+D106</f>
        <v>1117.1</v>
      </c>
      <c r="H106" s="1" t="n">
        <f aca="false">H105+D106</f>
        <v>77.7</v>
      </c>
      <c r="J106" s="1" t="n">
        <v>0</v>
      </c>
      <c r="K106" s="1" t="n">
        <f aca="false">K105+J106</f>
        <v>254.6</v>
      </c>
      <c r="L106" s="1" t="n">
        <v>0.5</v>
      </c>
      <c r="M106" s="1" t="n">
        <f aca="false">M105+L106</f>
        <v>133.6</v>
      </c>
      <c r="N106" s="19" t="n">
        <f aca="false">J106-L106</f>
        <v>-0.5</v>
      </c>
      <c r="O106" s="25" t="n">
        <f aca="false">O105+N106</f>
        <v>112.1</v>
      </c>
      <c r="P106" s="21" t="n">
        <v>101</v>
      </c>
      <c r="Q106" s="22" t="n">
        <v>1</v>
      </c>
      <c r="R106" s="23" t="n">
        <f aca="false">Q106*L106</f>
        <v>0.5</v>
      </c>
      <c r="S106" s="23" t="n">
        <f aca="false">J106-R106</f>
        <v>-0.5</v>
      </c>
      <c r="T106" s="26" t="n">
        <f aca="false">MIN(122.1,(T105+S106))</f>
        <v>112.1</v>
      </c>
      <c r="V106" s="27" t="n">
        <v>548.8</v>
      </c>
      <c r="W106" s="1" t="n">
        <f aca="false">V106/D106</f>
        <v>5488</v>
      </c>
      <c r="X106" s="1" t="n">
        <f aca="false">X105+V106</f>
        <v>70945.2</v>
      </c>
      <c r="Y106" s="1" t="n">
        <f aca="false">Y105+V106</f>
        <v>11751.6</v>
      </c>
      <c r="AA106" s="47" t="n">
        <v>8.59446246844554</v>
      </c>
    </row>
    <row r="107" customFormat="false" ht="15" hidden="false" customHeight="false" outlineLevel="0" collapsed="false">
      <c r="A107" s="43"/>
      <c r="B107" s="46"/>
      <c r="C107" s="16" t="n">
        <v>41621</v>
      </c>
      <c r="D107" s="31" t="n">
        <v>2.9</v>
      </c>
      <c r="E107" s="30" t="n">
        <v>-3.4</v>
      </c>
      <c r="F107" s="1" t="n">
        <v>7.4</v>
      </c>
      <c r="G107" s="1" t="n">
        <f aca="false">G106+D107</f>
        <v>1120</v>
      </c>
      <c r="H107" s="1" t="n">
        <f aca="false">H106+D107</f>
        <v>80.6</v>
      </c>
      <c r="J107" s="1" t="n">
        <v>4.2</v>
      </c>
      <c r="K107" s="1" t="n">
        <f aca="false">K106+J107</f>
        <v>258.8</v>
      </c>
      <c r="L107" s="1" t="n">
        <v>0.5</v>
      </c>
      <c r="M107" s="1" t="n">
        <f aca="false">M106+L107</f>
        <v>134.1</v>
      </c>
      <c r="N107" s="1" t="n">
        <f aca="false">J107-L107</f>
        <v>3.7</v>
      </c>
      <c r="O107" s="25" t="n">
        <f aca="false">O106+N107</f>
        <v>115.8</v>
      </c>
      <c r="P107" s="21" t="n">
        <v>102</v>
      </c>
      <c r="Q107" s="22" t="n">
        <v>1</v>
      </c>
      <c r="R107" s="23" t="n">
        <f aca="false">Q107*L107</f>
        <v>0.5</v>
      </c>
      <c r="S107" s="23" t="n">
        <f aca="false">J107-R107</f>
        <v>3.7</v>
      </c>
      <c r="T107" s="26" t="n">
        <f aca="false">MIN(122.1,(T106+S107))</f>
        <v>115.8</v>
      </c>
      <c r="V107" s="27" t="n">
        <v>573.8</v>
      </c>
      <c r="W107" s="1" t="n">
        <f aca="false">V107/D107</f>
        <v>197.862068965517</v>
      </c>
      <c r="X107" s="1" t="n">
        <f aca="false">X106+V107</f>
        <v>71519</v>
      </c>
      <c r="Y107" s="1" t="n">
        <f aca="false">Y106+V107</f>
        <v>12325.4</v>
      </c>
      <c r="AA107" s="47" t="n">
        <v>8.58009836988703</v>
      </c>
    </row>
    <row r="108" customFormat="false" ht="15" hidden="false" customHeight="false" outlineLevel="0" collapsed="false">
      <c r="A108" s="43"/>
      <c r="B108" s="46"/>
      <c r="C108" s="16" t="n">
        <v>41622</v>
      </c>
      <c r="D108" s="31" t="n">
        <v>4.8</v>
      </c>
      <c r="E108" s="31" t="n">
        <v>3.2</v>
      </c>
      <c r="F108" s="1" t="n">
        <v>6.5</v>
      </c>
      <c r="G108" s="1" t="n">
        <f aca="false">G107+D108</f>
        <v>1124.8</v>
      </c>
      <c r="H108" s="1" t="n">
        <f aca="false">H107+D108</f>
        <v>85.4</v>
      </c>
      <c r="J108" s="1" t="n">
        <v>0</v>
      </c>
      <c r="K108" s="1" t="n">
        <f aca="false">K107+J108</f>
        <v>258.8</v>
      </c>
      <c r="L108" s="1" t="n">
        <v>0.2</v>
      </c>
      <c r="M108" s="1" t="n">
        <f aca="false">M107+L108</f>
        <v>134.3</v>
      </c>
      <c r="N108" s="19" t="n">
        <f aca="false">J108-L108</f>
        <v>-0.2</v>
      </c>
      <c r="O108" s="25" t="n">
        <f aca="false">O107+N108</f>
        <v>115.6</v>
      </c>
      <c r="P108" s="21" t="n">
        <v>103</v>
      </c>
      <c r="Q108" s="22" t="n">
        <v>1</v>
      </c>
      <c r="R108" s="23" t="n">
        <f aca="false">Q108*L108</f>
        <v>0.2</v>
      </c>
      <c r="S108" s="23" t="n">
        <f aca="false">J108-R108</f>
        <v>-0.2</v>
      </c>
      <c r="T108" s="26" t="n">
        <f aca="false">MIN(122.1,(T107+S108))</f>
        <v>115.6</v>
      </c>
      <c r="V108" s="27" t="n">
        <v>212.3</v>
      </c>
      <c r="W108" s="1" t="n">
        <f aca="false">V108/D108</f>
        <v>44.2291666666667</v>
      </c>
      <c r="X108" s="1" t="n">
        <f aca="false">X107+V108</f>
        <v>71731.3</v>
      </c>
      <c r="Y108" s="1" t="n">
        <f aca="false">Y107+V108</f>
        <v>12537.7</v>
      </c>
      <c r="AA108" s="47" t="n">
        <v>8.56712382916556</v>
      </c>
    </row>
    <row r="109" customFormat="false" ht="15" hidden="false" customHeight="false" outlineLevel="0" collapsed="false">
      <c r="A109" s="43"/>
      <c r="B109" s="46"/>
      <c r="C109" s="16" t="n">
        <v>41623</v>
      </c>
      <c r="D109" s="31" t="n">
        <v>2.9</v>
      </c>
      <c r="E109" s="30" t="n">
        <v>-0.3</v>
      </c>
      <c r="F109" s="1" t="n">
        <v>8.3</v>
      </c>
      <c r="G109" s="1" t="n">
        <f aca="false">G108+D109</f>
        <v>1127.7</v>
      </c>
      <c r="H109" s="1" t="n">
        <f aca="false">H108+D109</f>
        <v>88.3</v>
      </c>
      <c r="J109" s="1" t="n">
        <v>0.1</v>
      </c>
      <c r="K109" s="1" t="n">
        <f aca="false">K108+J109</f>
        <v>258.9</v>
      </c>
      <c r="L109" s="1" t="n">
        <v>0.7</v>
      </c>
      <c r="M109" s="1" t="n">
        <f aca="false">M108+L109</f>
        <v>135</v>
      </c>
      <c r="N109" s="19" t="n">
        <f aca="false">J109-L109</f>
        <v>-0.6</v>
      </c>
      <c r="O109" s="25" t="n">
        <f aca="false">O108+N109</f>
        <v>115</v>
      </c>
      <c r="P109" s="21" t="n">
        <v>104</v>
      </c>
      <c r="Q109" s="22" t="n">
        <v>1</v>
      </c>
      <c r="R109" s="23" t="n">
        <f aca="false">Q109*L109</f>
        <v>0.7</v>
      </c>
      <c r="S109" s="23" t="n">
        <f aca="false">J109-R109</f>
        <v>-0.6</v>
      </c>
      <c r="T109" s="26" t="n">
        <f aca="false">MIN(122.1,(T108+S109))</f>
        <v>115</v>
      </c>
      <c r="V109" s="27" t="n">
        <v>594</v>
      </c>
      <c r="W109" s="1" t="n">
        <f aca="false">V109/D109</f>
        <v>204.827586206897</v>
      </c>
      <c r="X109" s="1" t="n">
        <f aca="false">X108+V109</f>
        <v>72325.3</v>
      </c>
      <c r="Y109" s="1" t="n">
        <f aca="false">Y108+V109</f>
        <v>13131.7</v>
      </c>
      <c r="AA109" s="47" t="n">
        <v>8.55555383401937</v>
      </c>
    </row>
    <row r="110" customFormat="false" ht="15" hidden="false" customHeight="false" outlineLevel="0" collapsed="false">
      <c r="A110" s="43"/>
      <c r="B110" s="46"/>
      <c r="C110" s="16" t="n">
        <v>41624</v>
      </c>
      <c r="D110" s="31" t="n">
        <v>4.1</v>
      </c>
      <c r="E110" s="30" t="n">
        <v>-0.4</v>
      </c>
      <c r="F110" s="1" t="n">
        <v>12</v>
      </c>
      <c r="G110" s="1" t="n">
        <f aca="false">G109+D110</f>
        <v>1131.8</v>
      </c>
      <c r="H110" s="1" t="n">
        <f aca="false">H109+D110</f>
        <v>92.4</v>
      </c>
      <c r="J110" s="1" t="n">
        <v>0</v>
      </c>
      <c r="K110" s="1" t="n">
        <f aca="false">K109+J110</f>
        <v>258.9</v>
      </c>
      <c r="L110" s="1" t="n">
        <v>0.8</v>
      </c>
      <c r="M110" s="1" t="n">
        <f aca="false">M109+L110</f>
        <v>135.8</v>
      </c>
      <c r="N110" s="19" t="n">
        <f aca="false">J110-L110</f>
        <v>-0.8</v>
      </c>
      <c r="O110" s="25" t="n">
        <f aca="false">O109+N110</f>
        <v>114.2</v>
      </c>
      <c r="P110" s="21" t="n">
        <v>105</v>
      </c>
      <c r="Q110" s="22" t="n">
        <v>1</v>
      </c>
      <c r="R110" s="23" t="n">
        <f aca="false">Q110*L110</f>
        <v>0.8</v>
      </c>
      <c r="S110" s="23" t="n">
        <f aca="false">J110-R110</f>
        <v>-0.8</v>
      </c>
      <c r="T110" s="26" t="n">
        <f aca="false">MIN(122.1,(T109+S110))</f>
        <v>114.2</v>
      </c>
      <c r="V110" s="27" t="n">
        <v>596.2</v>
      </c>
      <c r="W110" s="1" t="n">
        <f aca="false">V110/D110</f>
        <v>145.414634146341</v>
      </c>
      <c r="X110" s="1" t="n">
        <f aca="false">X109+V110</f>
        <v>72921.5</v>
      </c>
      <c r="Y110" s="1" t="n">
        <f aca="false">Y109+V110</f>
        <v>13727.9</v>
      </c>
      <c r="AA110" s="47" t="n">
        <v>8.54540192667945</v>
      </c>
    </row>
    <row r="111" customFormat="false" ht="15" hidden="false" customHeight="false" outlineLevel="0" collapsed="false">
      <c r="A111" s="43"/>
      <c r="B111" s="46"/>
      <c r="C111" s="16" t="n">
        <v>41625</v>
      </c>
      <c r="D111" s="31" t="n">
        <v>6</v>
      </c>
      <c r="E111" s="30" t="n">
        <v>-1</v>
      </c>
      <c r="F111" s="1" t="n">
        <v>13.2</v>
      </c>
      <c r="G111" s="1" t="n">
        <f aca="false">G110+D111</f>
        <v>1137.8</v>
      </c>
      <c r="H111" s="1" t="n">
        <f aca="false">H110+D111</f>
        <v>98.4</v>
      </c>
      <c r="J111" s="1" t="n">
        <v>0.2</v>
      </c>
      <c r="K111" s="1" t="n">
        <f aca="false">K110+J111</f>
        <v>259.1</v>
      </c>
      <c r="L111" s="1" t="n">
        <v>0.7</v>
      </c>
      <c r="M111" s="1" t="n">
        <f aca="false">M110+L111</f>
        <v>136.5</v>
      </c>
      <c r="N111" s="19" t="n">
        <f aca="false">J111-L111</f>
        <v>-0.5</v>
      </c>
      <c r="O111" s="25" t="n">
        <f aca="false">O110+N111</f>
        <v>113.7</v>
      </c>
      <c r="P111" s="21" t="n">
        <v>106</v>
      </c>
      <c r="Q111" s="22" t="n">
        <v>1</v>
      </c>
      <c r="R111" s="23" t="n">
        <f aca="false">Q111*L111</f>
        <v>0.7</v>
      </c>
      <c r="S111" s="23" t="n">
        <f aca="false">J111-R111</f>
        <v>-0.5</v>
      </c>
      <c r="T111" s="26" t="n">
        <f aca="false">MIN(122.1,(T110+S111))</f>
        <v>113.7</v>
      </c>
      <c r="V111" s="27" t="n">
        <v>540.6</v>
      </c>
      <c r="W111" s="1" t="n">
        <f aca="false">V111/D111</f>
        <v>90.1</v>
      </c>
      <c r="X111" s="1" t="n">
        <f aca="false">X110+V111</f>
        <v>73462.1</v>
      </c>
      <c r="Y111" s="1" t="n">
        <f aca="false">Y110+V111</f>
        <v>14268.5</v>
      </c>
      <c r="AA111" s="47" t="n">
        <v>8.53668014930008</v>
      </c>
    </row>
    <row r="112" customFormat="false" ht="15" hidden="false" customHeight="false" outlineLevel="0" collapsed="false">
      <c r="A112" s="43"/>
      <c r="B112" s="4"/>
      <c r="C112" s="16" t="n">
        <v>41626</v>
      </c>
      <c r="D112" s="1" t="n">
        <v>8.8</v>
      </c>
      <c r="E112" s="1" t="n">
        <v>6.3</v>
      </c>
      <c r="F112" s="1" t="n">
        <v>11.5</v>
      </c>
      <c r="G112" s="1" t="n">
        <f aca="false">G111+D112</f>
        <v>1146.6</v>
      </c>
      <c r="H112" s="1" t="n">
        <f aca="false">H111+D112</f>
        <v>107.2</v>
      </c>
      <c r="J112" s="1" t="n">
        <v>1.7</v>
      </c>
      <c r="K112" s="1" t="n">
        <f aca="false">K111+J112</f>
        <v>260.8</v>
      </c>
      <c r="L112" s="1" t="n">
        <v>1</v>
      </c>
      <c r="M112" s="1" t="n">
        <f aca="false">M111+L112</f>
        <v>137.5</v>
      </c>
      <c r="N112" s="1" t="n">
        <f aca="false">J112-L112</f>
        <v>0.7</v>
      </c>
      <c r="O112" s="25" t="n">
        <f aca="false">O111+N112</f>
        <v>114.4</v>
      </c>
      <c r="P112" s="21" t="n">
        <v>107</v>
      </c>
      <c r="Q112" s="22" t="n">
        <v>1</v>
      </c>
      <c r="R112" s="23" t="n">
        <f aca="false">Q112*L112</f>
        <v>1</v>
      </c>
      <c r="S112" s="23" t="n">
        <f aca="false">J112-R112</f>
        <v>0.7</v>
      </c>
      <c r="T112" s="26" t="n">
        <f aca="false">MIN(122.1,(T111+S112))</f>
        <v>114.4</v>
      </c>
      <c r="V112" s="27" t="n">
        <v>354.7</v>
      </c>
      <c r="W112" s="1" t="n">
        <f aca="false">V112/D112</f>
        <v>40.3068181818182</v>
      </c>
      <c r="X112" s="1" t="n">
        <f aca="false">X111+V112</f>
        <v>73816.8</v>
      </c>
      <c r="Y112" s="1" t="n">
        <f aca="false">Y111+V112</f>
        <v>14623.2</v>
      </c>
      <c r="AA112" s="47" t="n">
        <v>8.52939899484204</v>
      </c>
    </row>
    <row r="113" customFormat="false" ht="15" hidden="false" customHeight="false" outlineLevel="0" collapsed="false">
      <c r="A113" s="43"/>
      <c r="B113" s="46"/>
      <c r="C113" s="16" t="n">
        <v>41627</v>
      </c>
      <c r="D113" s="1" t="n">
        <v>7.3</v>
      </c>
      <c r="E113" s="31" t="n">
        <v>3.6</v>
      </c>
      <c r="F113" s="1" t="n">
        <v>9.8</v>
      </c>
      <c r="G113" s="1" t="n">
        <f aca="false">G112+D113</f>
        <v>1153.9</v>
      </c>
      <c r="H113" s="1" t="n">
        <f aca="false">H112+D113</f>
        <v>114.5</v>
      </c>
      <c r="J113" s="1" t="n">
        <v>0.3</v>
      </c>
      <c r="K113" s="1" t="n">
        <f aca="false">K112+J113</f>
        <v>261.1</v>
      </c>
      <c r="L113" s="1" t="n">
        <v>0.5</v>
      </c>
      <c r="M113" s="1" t="n">
        <f aca="false">M112+L113</f>
        <v>138</v>
      </c>
      <c r="N113" s="19" t="n">
        <f aca="false">J113-L113</f>
        <v>-0.2</v>
      </c>
      <c r="O113" s="25" t="n">
        <f aca="false">O112+N113</f>
        <v>114.2</v>
      </c>
      <c r="P113" s="21" t="n">
        <v>108</v>
      </c>
      <c r="Q113" s="22" t="n">
        <v>1</v>
      </c>
      <c r="R113" s="23" t="n">
        <f aca="false">Q113*L113</f>
        <v>0.5</v>
      </c>
      <c r="S113" s="23" t="n">
        <f aca="false">J113-R113</f>
        <v>-0.2</v>
      </c>
      <c r="T113" s="26" t="n">
        <f aca="false">MIN(122.1,(T112+S113))</f>
        <v>114.2</v>
      </c>
      <c r="V113" s="27" t="n">
        <v>424.2</v>
      </c>
      <c r="W113" s="1" t="n">
        <f aca="false">V113/D113</f>
        <v>58.1095890410959</v>
      </c>
      <c r="X113" s="1" t="n">
        <f aca="false">X112+V113</f>
        <v>74241</v>
      </c>
      <c r="Y113" s="1" t="n">
        <f aca="false">Y112+V113</f>
        <v>15047.4</v>
      </c>
      <c r="AA113" s="47" t="n">
        <v>8.52356736381719</v>
      </c>
    </row>
    <row r="114" customFormat="false" ht="15" hidden="false" customHeight="false" outlineLevel="0" collapsed="false">
      <c r="A114" s="43"/>
      <c r="B114" s="46"/>
      <c r="C114" s="16" t="n">
        <v>41628</v>
      </c>
      <c r="D114" s="31" t="n">
        <v>3.5</v>
      </c>
      <c r="E114" s="31" t="n">
        <v>2</v>
      </c>
      <c r="F114" s="1" t="n">
        <v>7</v>
      </c>
      <c r="G114" s="1" t="n">
        <f aca="false">G113+D114</f>
        <v>1157.4</v>
      </c>
      <c r="H114" s="1" t="n">
        <f aca="false">H113+D114</f>
        <v>118</v>
      </c>
      <c r="J114" s="1" t="n">
        <v>0</v>
      </c>
      <c r="K114" s="1" t="n">
        <f aca="false">K113+J114</f>
        <v>261.1</v>
      </c>
      <c r="L114" s="1" t="n">
        <v>0.6</v>
      </c>
      <c r="M114" s="1" t="n">
        <f aca="false">M113+L114</f>
        <v>138.6</v>
      </c>
      <c r="N114" s="19" t="n">
        <f aca="false">J114-L114</f>
        <v>-0.6</v>
      </c>
      <c r="O114" s="25" t="n">
        <f aca="false">O113+N114</f>
        <v>113.6</v>
      </c>
      <c r="P114" s="21" t="n">
        <v>109</v>
      </c>
      <c r="Q114" s="22" t="n">
        <v>1</v>
      </c>
      <c r="R114" s="23" t="n">
        <f aca="false">Q114*L114</f>
        <v>0.6</v>
      </c>
      <c r="S114" s="23" t="n">
        <f aca="false">J114-R114</f>
        <v>-0.6</v>
      </c>
      <c r="T114" s="26" t="n">
        <f aca="false">MIN(122.1,(T113+S114))</f>
        <v>113.6</v>
      </c>
      <c r="V114" s="27" t="n">
        <v>590.4</v>
      </c>
      <c r="W114" s="1" t="n">
        <f aca="false">V114/D114</f>
        <v>168.685714285714</v>
      </c>
      <c r="X114" s="1" t="n">
        <f aca="false">X113+V114</f>
        <v>74831.4</v>
      </c>
      <c r="Y114" s="1" t="n">
        <f aca="false">Y113+V114</f>
        <v>15637.8</v>
      </c>
      <c r="AA114" s="47" t="n">
        <v>8.51919252725953</v>
      </c>
    </row>
    <row r="115" customFormat="false" ht="15" hidden="false" customHeight="false" outlineLevel="0" collapsed="false">
      <c r="A115" s="43"/>
      <c r="B115" s="46"/>
      <c r="C115" s="16" t="n">
        <v>41629</v>
      </c>
      <c r="D115" s="31" t="n">
        <v>3</v>
      </c>
      <c r="E115" s="30" t="n">
        <v>-0.4</v>
      </c>
      <c r="F115" s="1" t="n">
        <v>7.3</v>
      </c>
      <c r="G115" s="1" t="n">
        <f aca="false">G114+D115</f>
        <v>1160.4</v>
      </c>
      <c r="H115" s="1" t="n">
        <f aca="false">H114+D115</f>
        <v>121</v>
      </c>
      <c r="J115" s="1" t="n">
        <v>1.1</v>
      </c>
      <c r="K115" s="1" t="n">
        <f aca="false">K114+J115</f>
        <v>262.2</v>
      </c>
      <c r="L115" s="1" t="n">
        <v>0.6</v>
      </c>
      <c r="M115" s="1" t="n">
        <f aca="false">M114+L115</f>
        <v>139.2</v>
      </c>
      <c r="N115" s="1" t="n">
        <f aca="false">J115-L115</f>
        <v>0.5</v>
      </c>
      <c r="O115" s="25" t="n">
        <f aca="false">O114+N115</f>
        <v>114.1</v>
      </c>
      <c r="P115" s="21" t="n">
        <v>110</v>
      </c>
      <c r="Q115" s="22" t="n">
        <v>1</v>
      </c>
      <c r="R115" s="23" t="n">
        <f aca="false">Q115*L115</f>
        <v>0.6</v>
      </c>
      <c r="S115" s="23" t="n">
        <f aca="false">J115-R115</f>
        <v>0.5</v>
      </c>
      <c r="T115" s="26" t="n">
        <f aca="false">MIN(122.1,(T114+S115))</f>
        <v>114.1</v>
      </c>
      <c r="V115" s="27" t="n">
        <v>312.5</v>
      </c>
      <c r="W115" s="1" t="n">
        <f aca="false">V115/D115</f>
        <v>104.166666666667</v>
      </c>
      <c r="X115" s="1" t="n">
        <f aca="false">X114+V115</f>
        <v>75143.9</v>
      </c>
      <c r="Y115" s="1" t="n">
        <f aca="false">Y114+V115</f>
        <v>15950.3</v>
      </c>
      <c r="AA115" s="47" t="n">
        <v>8.51628009623913</v>
      </c>
    </row>
    <row r="116" customFormat="false" ht="15" hidden="false" customHeight="false" outlineLevel="0" collapsed="false">
      <c r="A116" s="43"/>
      <c r="B116" s="46"/>
      <c r="C116" s="16" t="n">
        <v>41630</v>
      </c>
      <c r="D116" s="1" t="n">
        <v>8.7</v>
      </c>
      <c r="E116" s="31" t="n">
        <v>3.6</v>
      </c>
      <c r="F116" s="1" t="n">
        <v>10.3</v>
      </c>
      <c r="G116" s="1" t="n">
        <f aca="false">G115+D116</f>
        <v>1169.1</v>
      </c>
      <c r="H116" s="1" t="n">
        <f aca="false">H115+D116</f>
        <v>129.7</v>
      </c>
      <c r="J116" s="1" t="n">
        <v>1.1</v>
      </c>
      <c r="K116" s="1" t="n">
        <f aca="false">K115+J116</f>
        <v>263.3</v>
      </c>
      <c r="L116" s="1" t="n">
        <v>0.2</v>
      </c>
      <c r="M116" s="1" t="n">
        <f aca="false">M115+L116</f>
        <v>139.4</v>
      </c>
      <c r="N116" s="1" t="n">
        <f aca="false">J116-L116</f>
        <v>0.9</v>
      </c>
      <c r="O116" s="25" t="n">
        <f aca="false">O115+N116</f>
        <v>115</v>
      </c>
      <c r="P116" s="21" t="n">
        <v>111</v>
      </c>
      <c r="Q116" s="22" t="n">
        <v>1</v>
      </c>
      <c r="R116" s="23" t="n">
        <f aca="false">Q116*L116</f>
        <v>0.2</v>
      </c>
      <c r="S116" s="23" t="n">
        <f aca="false">J116-R116</f>
        <v>0.9</v>
      </c>
      <c r="T116" s="26" t="n">
        <f aca="false">MIN(122.1,(T115+S116))</f>
        <v>115</v>
      </c>
      <c r="V116" s="27" t="n">
        <v>254</v>
      </c>
      <c r="W116" s="1" t="n">
        <f aca="false">V116/D116</f>
        <v>29.1954022988506</v>
      </c>
      <c r="X116" s="1" t="n">
        <f aca="false">X115+V116</f>
        <v>75397.9</v>
      </c>
      <c r="Y116" s="1" t="n">
        <f aca="false">Y115+V116</f>
        <v>16204.3</v>
      </c>
      <c r="AA116" s="47" t="n">
        <v>8.51483399818257</v>
      </c>
    </row>
    <row r="117" customFormat="false" ht="15" hidden="false" customHeight="false" outlineLevel="0" collapsed="false">
      <c r="A117" s="43"/>
      <c r="B117" s="4"/>
      <c r="C117" s="16" t="n">
        <v>41631</v>
      </c>
      <c r="D117" s="1" t="n">
        <v>10.4</v>
      </c>
      <c r="E117" s="1" t="n">
        <v>8.7</v>
      </c>
      <c r="F117" s="1" t="n">
        <v>12.9</v>
      </c>
      <c r="G117" s="1" t="n">
        <f aca="false">G116+D117</f>
        <v>1179.5</v>
      </c>
      <c r="H117" s="1" t="n">
        <f aca="false">H116+D117</f>
        <v>140.1</v>
      </c>
      <c r="J117" s="1" t="n">
        <v>1.2</v>
      </c>
      <c r="K117" s="1" t="n">
        <f aca="false">K116+J117</f>
        <v>264.5</v>
      </c>
      <c r="L117" s="1" t="n">
        <v>1.6</v>
      </c>
      <c r="M117" s="1" t="n">
        <f aca="false">M116+L117</f>
        <v>141</v>
      </c>
      <c r="N117" s="19" t="n">
        <f aca="false">J117-L117</f>
        <v>-0.4</v>
      </c>
      <c r="O117" s="25" t="n">
        <f aca="false">O116+N117</f>
        <v>114.6</v>
      </c>
      <c r="P117" s="21" t="n">
        <v>112</v>
      </c>
      <c r="Q117" s="22" t="n">
        <v>1</v>
      </c>
      <c r="R117" s="23" t="n">
        <f aca="false">Q117*L117</f>
        <v>1.6</v>
      </c>
      <c r="S117" s="23" t="n">
        <f aca="false">J117-R117</f>
        <v>-0.4</v>
      </c>
      <c r="T117" s="26" t="n">
        <f aca="false">MIN(122.1,(T116+S117))</f>
        <v>114.6</v>
      </c>
      <c r="V117" s="27" t="n">
        <v>520.5</v>
      </c>
      <c r="W117" s="1" t="n">
        <f aca="false">V117/D117</f>
        <v>50.0480769230769</v>
      </c>
      <c r="X117" s="1" t="n">
        <f aca="false">X116+V117</f>
        <v>75918.4</v>
      </c>
      <c r="Y117" s="1" t="n">
        <f aca="false">Y116+V117</f>
        <v>16724.8</v>
      </c>
      <c r="AA117" s="47" t="n">
        <v>8.51485646020568</v>
      </c>
    </row>
    <row r="118" customFormat="false" ht="15" hidden="false" customHeight="false" outlineLevel="0" collapsed="false">
      <c r="A118" s="43"/>
      <c r="B118" s="4"/>
      <c r="C118" s="16" t="n">
        <v>41632</v>
      </c>
      <c r="D118" s="1" t="n">
        <v>10.9</v>
      </c>
      <c r="E118" s="1" t="n">
        <v>10.3</v>
      </c>
      <c r="F118" s="1" t="n">
        <v>12.1</v>
      </c>
      <c r="G118" s="1" t="n">
        <f aca="false">G117+D118</f>
        <v>1190.4</v>
      </c>
      <c r="H118" s="1" t="n">
        <f aca="false">H117+D118</f>
        <v>151</v>
      </c>
      <c r="J118" s="1" t="n">
        <v>14.4</v>
      </c>
      <c r="K118" s="1" t="n">
        <f aca="false">K117+J118</f>
        <v>278.9</v>
      </c>
      <c r="L118" s="1" t="n">
        <v>1.5</v>
      </c>
      <c r="M118" s="1" t="n">
        <f aca="false">M117+L118</f>
        <v>142.5</v>
      </c>
      <c r="N118" s="1" t="n">
        <f aca="false">J118-L118</f>
        <v>12.9</v>
      </c>
      <c r="O118" s="25" t="n">
        <v>122.1</v>
      </c>
      <c r="P118" s="21" t="n">
        <v>113</v>
      </c>
      <c r="Q118" s="22" t="n">
        <v>1</v>
      </c>
      <c r="R118" s="23" t="n">
        <f aca="false">Q118*L118</f>
        <v>1.5</v>
      </c>
      <c r="S118" s="23" t="n">
        <f aca="false">J118-R118</f>
        <v>12.9</v>
      </c>
      <c r="T118" s="26" t="n">
        <f aca="false">MIN(122.1,(T117+S118))</f>
        <v>122.1</v>
      </c>
      <c r="V118" s="27" t="n">
        <v>105.6</v>
      </c>
      <c r="W118" s="1" t="n">
        <f aca="false">V118/D118</f>
        <v>9.68807339449541</v>
      </c>
      <c r="X118" s="1" t="n">
        <f aca="false">X117+V118</f>
        <v>76024</v>
      </c>
      <c r="Y118" s="1" t="n">
        <f aca="false">Y117+V118</f>
        <v>16830.4</v>
      </c>
      <c r="AA118" s="47" t="n">
        <v>8.51634799960507</v>
      </c>
    </row>
    <row r="119" customFormat="false" ht="15" hidden="false" customHeight="false" outlineLevel="0" collapsed="false">
      <c r="A119" s="43"/>
      <c r="B119" s="4"/>
      <c r="C119" s="16" t="n">
        <v>41633</v>
      </c>
      <c r="D119" s="1" t="n">
        <v>7.2</v>
      </c>
      <c r="E119" s="1" t="n">
        <v>6</v>
      </c>
      <c r="F119" s="1" t="n">
        <v>9.7</v>
      </c>
      <c r="G119" s="1" t="n">
        <f aca="false">G118+D119</f>
        <v>1197.6</v>
      </c>
      <c r="H119" s="1" t="n">
        <f aca="false">H118+D119</f>
        <v>158.2</v>
      </c>
      <c r="J119" s="1" t="n">
        <v>5</v>
      </c>
      <c r="K119" s="1" t="n">
        <f aca="false">K118+J119</f>
        <v>283.9</v>
      </c>
      <c r="L119" s="1" t="n">
        <v>0.8</v>
      </c>
      <c r="M119" s="1" t="n">
        <f aca="false">M118+L119</f>
        <v>143.3</v>
      </c>
      <c r="N119" s="1" t="n">
        <f aca="false">J119-L119</f>
        <v>4.2</v>
      </c>
      <c r="O119" s="25" t="n">
        <v>122.1</v>
      </c>
      <c r="P119" s="21" t="n">
        <v>114</v>
      </c>
      <c r="Q119" s="22" t="n">
        <v>1</v>
      </c>
      <c r="R119" s="23" t="n">
        <f aca="false">Q119*L119</f>
        <v>0.8</v>
      </c>
      <c r="S119" s="23" t="n">
        <f aca="false">J119-R119</f>
        <v>4.2</v>
      </c>
      <c r="T119" s="26" t="n">
        <f aca="false">MIN(122.1,(T118+S119))</f>
        <v>122.1</v>
      </c>
      <c r="V119" s="27" t="n">
        <v>273</v>
      </c>
      <c r="W119" s="1" t="n">
        <f aca="false">V119/D119</f>
        <v>37.9166666666667</v>
      </c>
      <c r="X119" s="1" t="n">
        <f aca="false">X118+V119</f>
        <v>76297</v>
      </c>
      <c r="Y119" s="1" t="n">
        <f aca="false">Y118+V119</f>
        <v>17103.4</v>
      </c>
      <c r="AA119" s="47" t="n">
        <v>8.51930742159178</v>
      </c>
    </row>
    <row r="120" customFormat="false" ht="15" hidden="false" customHeight="false" outlineLevel="0" collapsed="false">
      <c r="A120" s="43"/>
      <c r="B120" s="46"/>
      <c r="C120" s="16" t="n">
        <v>41634</v>
      </c>
      <c r="D120" s="31" t="n">
        <v>4.8</v>
      </c>
      <c r="E120" s="31" t="n">
        <v>3.1</v>
      </c>
      <c r="F120" s="1" t="n">
        <v>7.7</v>
      </c>
      <c r="G120" s="1" t="n">
        <f aca="false">G119+D120</f>
        <v>1202.4</v>
      </c>
      <c r="H120" s="1" t="n">
        <f aca="false">H119+D120</f>
        <v>163</v>
      </c>
      <c r="J120" s="1" t="n">
        <v>0.4</v>
      </c>
      <c r="K120" s="1" t="n">
        <f aca="false">K119+J120</f>
        <v>284.3</v>
      </c>
      <c r="L120" s="1" t="n">
        <v>0.6</v>
      </c>
      <c r="M120" s="1" t="n">
        <f aca="false">M119+L120</f>
        <v>143.9</v>
      </c>
      <c r="N120" s="19" t="n">
        <f aca="false">J120-L120</f>
        <v>-0.2</v>
      </c>
      <c r="O120" s="25" t="n">
        <f aca="false">O119+N120</f>
        <v>121.9</v>
      </c>
      <c r="P120" s="21" t="n">
        <v>115</v>
      </c>
      <c r="Q120" s="22" t="n">
        <v>1</v>
      </c>
      <c r="R120" s="23" t="n">
        <f aca="false">Q120*L120</f>
        <v>0.6</v>
      </c>
      <c r="S120" s="23" t="n">
        <f aca="false">J120-R120</f>
        <v>-0.2</v>
      </c>
      <c r="T120" s="26" t="n">
        <f aca="false">MIN(122.1,(T119+S120))</f>
        <v>121.9</v>
      </c>
      <c r="V120" s="27" t="n">
        <v>395.8</v>
      </c>
      <c r="W120" s="1" t="n">
        <f aca="false">V120/D120</f>
        <v>82.4583333333333</v>
      </c>
      <c r="X120" s="1" t="n">
        <f aca="false">X119+V120</f>
        <v>76692.8</v>
      </c>
      <c r="Y120" s="1" t="n">
        <f aca="false">Y119+V120</f>
        <v>17499.2</v>
      </c>
      <c r="AA120" s="47" t="n">
        <v>8.52373182428742</v>
      </c>
    </row>
    <row r="121" customFormat="false" ht="15" hidden="false" customHeight="false" outlineLevel="0" collapsed="false">
      <c r="A121" s="43"/>
      <c r="B121" s="46"/>
      <c r="C121" s="16" t="n">
        <v>41635</v>
      </c>
      <c r="D121" s="1" t="n">
        <v>9.8</v>
      </c>
      <c r="E121" s="31" t="n">
        <v>3.2</v>
      </c>
      <c r="F121" s="1" t="n">
        <v>11.7</v>
      </c>
      <c r="G121" s="1" t="n">
        <f aca="false">G120+D121</f>
        <v>1212.2</v>
      </c>
      <c r="H121" s="1" t="n">
        <f aca="false">H120+D121</f>
        <v>172.8</v>
      </c>
      <c r="J121" s="1" t="n">
        <v>4.8</v>
      </c>
      <c r="K121" s="1" t="n">
        <f aca="false">K120+J121</f>
        <v>289.1</v>
      </c>
      <c r="L121" s="1" t="n">
        <v>0.2</v>
      </c>
      <c r="M121" s="1" t="n">
        <f aca="false">M120+L121</f>
        <v>144.1</v>
      </c>
      <c r="N121" s="1" t="n">
        <f aca="false">J121-L121</f>
        <v>4.6</v>
      </c>
      <c r="O121" s="25" t="n">
        <v>122.1</v>
      </c>
      <c r="P121" s="21" t="n">
        <v>116</v>
      </c>
      <c r="Q121" s="22" t="n">
        <v>1</v>
      </c>
      <c r="R121" s="23" t="n">
        <f aca="false">Q121*L121</f>
        <v>0.2</v>
      </c>
      <c r="S121" s="23" t="n">
        <f aca="false">J121-R121</f>
        <v>4.6</v>
      </c>
      <c r="T121" s="26" t="n">
        <f aca="false">MIN(122.1,(T120+S121))</f>
        <v>122.1</v>
      </c>
      <c r="V121" s="27" t="n">
        <v>234.8</v>
      </c>
      <c r="W121" s="1" t="n">
        <f aca="false">V121/D121</f>
        <v>23.9591836734694</v>
      </c>
      <c r="X121" s="1" t="n">
        <f aca="false">X120+V121</f>
        <v>76927.6</v>
      </c>
      <c r="Y121" s="1" t="n">
        <f aca="false">Y120+V121</f>
        <v>17734</v>
      </c>
      <c r="AA121" s="47" t="n">
        <v>8.52961661093876</v>
      </c>
    </row>
    <row r="122" customFormat="false" ht="15" hidden="false" customHeight="false" outlineLevel="0" collapsed="false">
      <c r="A122" s="43"/>
      <c r="B122" s="46"/>
      <c r="C122" s="16" t="n">
        <v>41636</v>
      </c>
      <c r="D122" s="1" t="n">
        <v>8</v>
      </c>
      <c r="E122" s="31" t="n">
        <v>4.7</v>
      </c>
      <c r="F122" s="1" t="n">
        <v>10.2</v>
      </c>
      <c r="G122" s="1" t="n">
        <f aca="false">G121+D122</f>
        <v>1220.2</v>
      </c>
      <c r="H122" s="1" t="n">
        <f aca="false">H121+D122</f>
        <v>180.8</v>
      </c>
      <c r="J122" s="1" t="n">
        <v>0.9</v>
      </c>
      <c r="K122" s="1" t="n">
        <f aca="false">K121+J122</f>
        <v>290</v>
      </c>
      <c r="L122" s="1" t="n">
        <v>0.5</v>
      </c>
      <c r="M122" s="1" t="n">
        <f aca="false">M121+L122</f>
        <v>144.6</v>
      </c>
      <c r="N122" s="1" t="n">
        <f aca="false">J122-L122</f>
        <v>0.4</v>
      </c>
      <c r="O122" s="25" t="n">
        <v>122.1</v>
      </c>
      <c r="P122" s="21" t="n">
        <v>117</v>
      </c>
      <c r="Q122" s="22" t="n">
        <v>1</v>
      </c>
      <c r="R122" s="23" t="n">
        <f aca="false">Q122*L122</f>
        <v>0.5</v>
      </c>
      <c r="S122" s="23" t="n">
        <f aca="false">J122-R122</f>
        <v>0.4</v>
      </c>
      <c r="T122" s="26" t="n">
        <f aca="false">MIN(122.1,(T121+S122))</f>
        <v>122.1</v>
      </c>
      <c r="V122" s="27" t="n">
        <v>193.2</v>
      </c>
      <c r="W122" s="1" t="n">
        <f aca="false">V122/D122</f>
        <v>24.15</v>
      </c>
      <c r="X122" s="1" t="n">
        <f aca="false">X121+V122</f>
        <v>77120.8</v>
      </c>
      <c r="Y122" s="1" t="n">
        <f aca="false">Y121+V122</f>
        <v>17927.2</v>
      </c>
      <c r="AA122" s="47" t="n">
        <v>8.53695550924386</v>
      </c>
    </row>
    <row r="123" customFormat="false" ht="15" hidden="false" customHeight="false" outlineLevel="0" collapsed="false">
      <c r="A123" s="43"/>
      <c r="B123" s="46"/>
      <c r="C123" s="16" t="n">
        <v>41637</v>
      </c>
      <c r="D123" s="31" t="n">
        <v>4.4</v>
      </c>
      <c r="E123" s="31" t="n">
        <v>3.5</v>
      </c>
      <c r="F123" s="1" t="n">
        <v>7.1</v>
      </c>
      <c r="G123" s="1" t="n">
        <f aca="false">G122+D123</f>
        <v>1224.6</v>
      </c>
      <c r="H123" s="1" t="n">
        <f aca="false">H122+D123</f>
        <v>185.2</v>
      </c>
      <c r="J123" s="1" t="n">
        <v>0</v>
      </c>
      <c r="K123" s="1" t="n">
        <f aca="false">K122+J123</f>
        <v>290</v>
      </c>
      <c r="L123" s="1" t="n">
        <v>0.6</v>
      </c>
      <c r="M123" s="1" t="n">
        <f aca="false">M122+L123</f>
        <v>145.2</v>
      </c>
      <c r="N123" s="19" t="n">
        <f aca="false">J123-L123</f>
        <v>-0.6</v>
      </c>
      <c r="O123" s="25" t="n">
        <f aca="false">O122+N123</f>
        <v>121.5</v>
      </c>
      <c r="P123" s="21" t="n">
        <v>118</v>
      </c>
      <c r="Q123" s="22" t="n">
        <v>1</v>
      </c>
      <c r="R123" s="23" t="n">
        <f aca="false">Q123*L123</f>
        <v>0.6</v>
      </c>
      <c r="S123" s="23" t="n">
        <f aca="false">J123-R123</f>
        <v>-0.6</v>
      </c>
      <c r="T123" s="26" t="n">
        <f aca="false">MIN(122.1,(T122+S123))</f>
        <v>121.5</v>
      </c>
      <c r="V123" s="27" t="n">
        <v>214.9</v>
      </c>
      <c r="W123" s="1" t="n">
        <f aca="false">V123/D123</f>
        <v>48.8409090909091</v>
      </c>
      <c r="X123" s="1" t="n">
        <f aca="false">X122+V123</f>
        <v>77335.7</v>
      </c>
      <c r="Y123" s="1" t="n">
        <f aca="false">Y122+V123</f>
        <v>18142.1</v>
      </c>
      <c r="AA123" s="47" t="n">
        <v>8.54574059762076</v>
      </c>
    </row>
    <row r="124" customFormat="false" ht="15" hidden="false" customHeight="false" outlineLevel="0" collapsed="false">
      <c r="A124" s="43"/>
      <c r="B124" s="46"/>
      <c r="C124" s="16" t="n">
        <v>41638</v>
      </c>
      <c r="D124" s="31" t="n">
        <v>4.7</v>
      </c>
      <c r="E124" s="31" t="n">
        <v>1.2</v>
      </c>
      <c r="F124" s="1" t="n">
        <v>7.4</v>
      </c>
      <c r="G124" s="1" t="n">
        <f aca="false">G123+D124</f>
        <v>1229.3</v>
      </c>
      <c r="H124" s="1" t="n">
        <f aca="false">H123+D124</f>
        <v>189.9</v>
      </c>
      <c r="J124" s="1" t="n">
        <v>0.3</v>
      </c>
      <c r="K124" s="1" t="n">
        <f aca="false">K123+J124</f>
        <v>290.3</v>
      </c>
      <c r="L124" s="1" t="n">
        <v>0.4</v>
      </c>
      <c r="M124" s="1" t="n">
        <f aca="false">M123+L124</f>
        <v>145.6</v>
      </c>
      <c r="N124" s="19" t="n">
        <f aca="false">J124-L124</f>
        <v>-0.1</v>
      </c>
      <c r="O124" s="25" t="n">
        <f aca="false">O123+N124</f>
        <v>121.4</v>
      </c>
      <c r="P124" s="21" t="n">
        <v>119</v>
      </c>
      <c r="Q124" s="22" t="n">
        <v>1</v>
      </c>
      <c r="R124" s="23" t="n">
        <f aca="false">Q124*L124</f>
        <v>0.4</v>
      </c>
      <c r="S124" s="23" t="n">
        <f aca="false">J124-R124</f>
        <v>-0.1</v>
      </c>
      <c r="T124" s="26" t="n">
        <f aca="false">MIN(122.1,(T123+S124))</f>
        <v>121.4</v>
      </c>
      <c r="V124" s="27" t="n">
        <v>236.8</v>
      </c>
      <c r="W124" s="1" t="n">
        <f aca="false">V124/D124</f>
        <v>50.3829787234043</v>
      </c>
      <c r="X124" s="1" t="n">
        <f aca="false">X123+V124</f>
        <v>77572.5</v>
      </c>
      <c r="Y124" s="1" t="n">
        <f aca="false">Y123+V124</f>
        <v>18378.9</v>
      </c>
      <c r="AA124" s="47" t="n">
        <v>8.55596233819118</v>
      </c>
    </row>
    <row r="125" customFormat="false" ht="15" hidden="false" customHeight="false" outlineLevel="0" collapsed="false">
      <c r="A125" s="43"/>
      <c r="B125" s="46"/>
      <c r="C125" s="16" t="n">
        <v>41639</v>
      </c>
      <c r="D125" s="1" t="n">
        <v>7.5</v>
      </c>
      <c r="E125" s="31" t="n">
        <v>4.1</v>
      </c>
      <c r="F125" s="1" t="n">
        <v>10.7</v>
      </c>
      <c r="G125" s="1" t="n">
        <f aca="false">G124+D125</f>
        <v>1236.8</v>
      </c>
      <c r="H125" s="1" t="n">
        <f aca="false">H124+D125</f>
        <v>197.4</v>
      </c>
      <c r="J125" s="1" t="n">
        <v>2</v>
      </c>
      <c r="K125" s="1" t="n">
        <f aca="false">K124+J125</f>
        <v>292.3</v>
      </c>
      <c r="L125" s="1" t="n">
        <v>1.3</v>
      </c>
      <c r="M125" s="1" t="n">
        <f aca="false">M124+L125</f>
        <v>146.9</v>
      </c>
      <c r="N125" s="1" t="n">
        <f aca="false">J125-L125</f>
        <v>0.7</v>
      </c>
      <c r="O125" s="25" t="n">
        <f aca="false">O124+N125</f>
        <v>122.1</v>
      </c>
      <c r="P125" s="21" t="n">
        <v>120</v>
      </c>
      <c r="Q125" s="22" t="n">
        <v>1</v>
      </c>
      <c r="R125" s="23" t="n">
        <f aca="false">Q125*L125</f>
        <v>1.3</v>
      </c>
      <c r="S125" s="23" t="n">
        <f aca="false">J125-R125</f>
        <v>0.7</v>
      </c>
      <c r="T125" s="26" t="n">
        <f aca="false">MIN(122.1,(T124+S125))</f>
        <v>122.1</v>
      </c>
      <c r="V125" s="27" t="n">
        <v>316.9</v>
      </c>
      <c r="W125" s="1" t="n">
        <f aca="false">V125/D125</f>
        <v>42.2533333333333</v>
      </c>
      <c r="X125" s="1" t="n">
        <f aca="false">X124+V125</f>
        <v>77889.4</v>
      </c>
      <c r="Y125" s="1" t="n">
        <f aca="false">Y124+V125</f>
        <v>18695.8</v>
      </c>
      <c r="AA125" s="47" t="n">
        <v>8.56760961619537</v>
      </c>
    </row>
    <row r="126" customFormat="false" ht="15" hidden="false" customHeight="false" outlineLevel="0" collapsed="false">
      <c r="A126" s="43"/>
      <c r="B126" s="4"/>
      <c r="C126" s="16" t="n">
        <v>41640</v>
      </c>
      <c r="D126" s="1" t="n">
        <v>9.3</v>
      </c>
      <c r="E126" s="1" t="n">
        <v>6.9</v>
      </c>
      <c r="F126" s="1" t="n">
        <v>11.1</v>
      </c>
      <c r="G126" s="1" t="n">
        <f aca="false">G125+D126</f>
        <v>1246.1</v>
      </c>
      <c r="H126" s="1" t="n">
        <f aca="false">H125+D126</f>
        <v>206.7</v>
      </c>
      <c r="J126" s="1" t="n">
        <v>9.1</v>
      </c>
      <c r="K126" s="1" t="n">
        <f aca="false">K125+J126</f>
        <v>301.4</v>
      </c>
      <c r="L126" s="1" t="n">
        <v>0.9</v>
      </c>
      <c r="M126" s="1" t="n">
        <f aca="false">M125+L126</f>
        <v>147.8</v>
      </c>
      <c r="N126" s="1" t="n">
        <f aca="false">J126-L126</f>
        <v>8.2</v>
      </c>
      <c r="O126" s="25" t="n">
        <v>122.1</v>
      </c>
      <c r="P126" s="21" t="n">
        <v>121</v>
      </c>
      <c r="Q126" s="22" t="n">
        <v>1</v>
      </c>
      <c r="R126" s="23" t="n">
        <f aca="false">Q126*L126</f>
        <v>0.9</v>
      </c>
      <c r="S126" s="23" t="n">
        <f aca="false">J126-R126</f>
        <v>8.2</v>
      </c>
      <c r="T126" s="26" t="n">
        <f aca="false">MIN(122.1,(T125+S126))</f>
        <v>122.1</v>
      </c>
      <c r="V126" s="27" t="n">
        <v>247.6</v>
      </c>
      <c r="W126" s="1" t="n">
        <f aca="false">V126/D126</f>
        <v>26.6236559139785</v>
      </c>
      <c r="X126" s="1" t="n">
        <f aca="false">X125+V126</f>
        <v>78137</v>
      </c>
      <c r="Y126" s="1" t="n">
        <f aca="false">Y125+V126</f>
        <v>18943.4</v>
      </c>
      <c r="AA126" s="47" t="n">
        <v>8.58488214270988</v>
      </c>
    </row>
    <row r="127" s="34" customFormat="true" ht="15" hidden="false" customHeight="false" outlineLevel="0" collapsed="false">
      <c r="A127" s="43"/>
      <c r="B127" s="48"/>
      <c r="C127" s="33" t="n">
        <v>41641</v>
      </c>
      <c r="D127" s="34" t="n">
        <v>9.8</v>
      </c>
      <c r="E127" s="34" t="n">
        <v>9.4</v>
      </c>
      <c r="F127" s="34" t="n">
        <v>11.1</v>
      </c>
      <c r="G127" s="35" t="n">
        <f aca="false">G126+D127</f>
        <v>1255.9</v>
      </c>
      <c r="H127" s="35" t="n">
        <f aca="false">H126+D127</f>
        <v>216.5</v>
      </c>
      <c r="J127" s="34" t="n">
        <v>1.8</v>
      </c>
      <c r="K127" s="34" t="n">
        <f aca="false">K126+J127</f>
        <v>303.2</v>
      </c>
      <c r="L127" s="34" t="n">
        <v>1</v>
      </c>
      <c r="M127" s="34" t="n">
        <f aca="false">M126+L127</f>
        <v>148.8</v>
      </c>
      <c r="N127" s="34" t="n">
        <f aca="false">J127-L127</f>
        <v>0.8</v>
      </c>
      <c r="O127" s="36" t="n">
        <v>122.1</v>
      </c>
      <c r="P127" s="37" t="n">
        <v>122</v>
      </c>
      <c r="Q127" s="38" t="n">
        <v>1</v>
      </c>
      <c r="R127" s="39" t="n">
        <f aca="false">Q127*L127</f>
        <v>1</v>
      </c>
      <c r="S127" s="40" t="n">
        <f aca="false">J127-R127</f>
        <v>0.8</v>
      </c>
      <c r="T127" s="41" t="n">
        <f aca="false">MIN(122.1,(T126+S127))</f>
        <v>122.1</v>
      </c>
      <c r="V127" s="42" t="n">
        <v>381.4</v>
      </c>
      <c r="W127" s="34" t="n">
        <f aca="false">V127/D127</f>
        <v>38.9183673469388</v>
      </c>
      <c r="X127" s="34" t="n">
        <f aca="false">X126+V127</f>
        <v>78518.4</v>
      </c>
      <c r="Y127" s="38" t="n">
        <f aca="false">Y126+V127</f>
        <v>19324.8</v>
      </c>
      <c r="AA127" s="49" t="n">
        <v>8.59975977752967</v>
      </c>
    </row>
    <row r="128" customFormat="false" ht="15" hidden="false" customHeight="true" outlineLevel="0" collapsed="false">
      <c r="A128" s="50" t="s">
        <v>46</v>
      </c>
      <c r="B128" s="51"/>
      <c r="C128" s="16" t="n">
        <v>41642</v>
      </c>
      <c r="D128" s="1" t="n">
        <v>10.3</v>
      </c>
      <c r="E128" s="1" t="n">
        <v>8.6</v>
      </c>
      <c r="F128" s="1" t="n">
        <v>13.1</v>
      </c>
      <c r="G128" s="1" t="n">
        <f aca="false">G127+D128</f>
        <v>1266.2</v>
      </c>
      <c r="H128" s="1" t="n">
        <v>10.3</v>
      </c>
      <c r="I128" s="52" t="s">
        <v>28</v>
      </c>
      <c r="J128" s="1" t="n">
        <v>0.4</v>
      </c>
      <c r="K128" s="1" t="n">
        <f aca="false">K127+J128</f>
        <v>303.6</v>
      </c>
      <c r="L128" s="1" t="n">
        <v>1.2</v>
      </c>
      <c r="M128" s="1" t="n">
        <f aca="false">M127+L128</f>
        <v>150</v>
      </c>
      <c r="N128" s="19" t="n">
        <f aca="false">J128-L128</f>
        <v>-0.8</v>
      </c>
      <c r="O128" s="25" t="n">
        <f aca="false">O127+N128</f>
        <v>121.3</v>
      </c>
      <c r="P128" s="21" t="n">
        <v>123</v>
      </c>
      <c r="Q128" s="53" t="n">
        <f aca="false">1+((P128-122)/75)*(1.15-1)</f>
        <v>1.002</v>
      </c>
      <c r="R128" s="23" t="n">
        <f aca="false">Q128*L128</f>
        <v>1.2024</v>
      </c>
      <c r="S128" s="23" t="n">
        <f aca="false">J128-R128</f>
        <v>-0.8024</v>
      </c>
      <c r="T128" s="26" t="n">
        <f aca="false">MIN(122.1,(T127+S128))</f>
        <v>121.2976</v>
      </c>
      <c r="U128" s="52" t="s">
        <v>29</v>
      </c>
      <c r="V128" s="27" t="n">
        <v>304.2</v>
      </c>
      <c r="W128" s="1" t="n">
        <f aca="false">V128/D128</f>
        <v>29.5339805825243</v>
      </c>
      <c r="X128" s="1" t="n">
        <f aca="false">X127+V128</f>
        <v>78822.6</v>
      </c>
      <c r="Y128" s="1" t="n">
        <v>304.2</v>
      </c>
      <c r="Z128" s="52" t="s">
        <v>30</v>
      </c>
      <c r="AA128" s="47" t="n">
        <v>8.61601566945092</v>
      </c>
    </row>
    <row r="129" customFormat="false" ht="15" hidden="false" customHeight="false" outlineLevel="0" collapsed="false">
      <c r="A129" s="50"/>
      <c r="B129" s="51"/>
      <c r="C129" s="16" t="n">
        <v>41643</v>
      </c>
      <c r="D129" s="1" t="n">
        <v>8.2</v>
      </c>
      <c r="E129" s="1" t="n">
        <v>6.7</v>
      </c>
      <c r="F129" s="1" t="n">
        <v>13.8</v>
      </c>
      <c r="G129" s="1" t="n">
        <f aca="false">G128+D129</f>
        <v>1274.4</v>
      </c>
      <c r="H129" s="1" t="n">
        <f aca="false">H128+D129</f>
        <v>18.5</v>
      </c>
      <c r="I129" s="1" t="n">
        <f aca="false">MIN(E128:E202)</f>
        <v>-1.6</v>
      </c>
      <c r="J129" s="1" t="n">
        <v>6.6</v>
      </c>
      <c r="K129" s="1" t="n">
        <f aca="false">K128+J129</f>
        <v>310.2</v>
      </c>
      <c r="L129" s="1" t="n">
        <v>1.6</v>
      </c>
      <c r="M129" s="1" t="n">
        <f aca="false">M128+L129</f>
        <v>151.6</v>
      </c>
      <c r="N129" s="1" t="n">
        <f aca="false">J129-L129</f>
        <v>5</v>
      </c>
      <c r="O129" s="25" t="n">
        <v>122.1</v>
      </c>
      <c r="P129" s="21" t="n">
        <v>124</v>
      </c>
      <c r="Q129" s="53" t="n">
        <f aca="false">1+((P129-122)/75)*(1.15-1)</f>
        <v>1.004</v>
      </c>
      <c r="R129" s="23" t="n">
        <f aca="false">Q129*L129</f>
        <v>1.6064</v>
      </c>
      <c r="S129" s="23" t="n">
        <f aca="false">J129-R129</f>
        <v>4.9936</v>
      </c>
      <c r="T129" s="26" t="n">
        <f aca="false">MIN(122.1,(T128+S129))</f>
        <v>122.1</v>
      </c>
      <c r="U129" s="1" t="n">
        <v>40</v>
      </c>
      <c r="V129" s="27" t="n">
        <v>445.5</v>
      </c>
      <c r="W129" s="1" t="n">
        <f aca="false">V129/D129</f>
        <v>54.3292682926829</v>
      </c>
      <c r="X129" s="1" t="n">
        <f aca="false">X128+V129</f>
        <v>79268.1</v>
      </c>
      <c r="Y129" s="1" t="n">
        <f aca="false">Y128+V129</f>
        <v>749.7</v>
      </c>
      <c r="Z129" s="1" t="n">
        <v>50433.5</v>
      </c>
      <c r="AA129" s="47" t="n">
        <v>8.63363250830135</v>
      </c>
    </row>
    <row r="130" customFormat="false" ht="15" hidden="false" customHeight="false" outlineLevel="0" collapsed="false">
      <c r="A130" s="50"/>
      <c r="B130" s="54"/>
      <c r="C130" s="16" t="n">
        <v>41644</v>
      </c>
      <c r="D130" s="1" t="n">
        <v>7.2</v>
      </c>
      <c r="E130" s="31" t="n">
        <v>3.7</v>
      </c>
      <c r="F130" s="1" t="n">
        <v>9.3</v>
      </c>
      <c r="G130" s="1" t="n">
        <f aca="false">G129+D130</f>
        <v>1281.6</v>
      </c>
      <c r="H130" s="1" t="n">
        <f aca="false">H129+D130</f>
        <v>25.7</v>
      </c>
      <c r="I130" s="52" t="s">
        <v>31</v>
      </c>
      <c r="J130" s="1" t="n">
        <v>0.5</v>
      </c>
      <c r="K130" s="1" t="n">
        <f aca="false">K129+J130</f>
        <v>310.7</v>
      </c>
      <c r="L130" s="1" t="n">
        <v>0.4</v>
      </c>
      <c r="M130" s="1" t="n">
        <f aca="false">M129+L130</f>
        <v>152</v>
      </c>
      <c r="N130" s="1" t="n">
        <f aca="false">J130-L130</f>
        <v>0.1</v>
      </c>
      <c r="O130" s="25" t="n">
        <v>122.1</v>
      </c>
      <c r="P130" s="21" t="n">
        <v>125</v>
      </c>
      <c r="Q130" s="53" t="n">
        <f aca="false">1+((P130-122)/75)*(1.15-1)</f>
        <v>1.006</v>
      </c>
      <c r="R130" s="23" t="n">
        <f aca="false">Q130*L130</f>
        <v>0.4024</v>
      </c>
      <c r="S130" s="23" t="n">
        <f aca="false">J130-R130</f>
        <v>0.0976</v>
      </c>
      <c r="T130" s="26" t="n">
        <f aca="false">MIN(122.1,(T129+S130))</f>
        <v>122.1</v>
      </c>
      <c r="U130" s="52" t="s">
        <v>32</v>
      </c>
      <c r="V130" s="27" t="n">
        <v>350.9</v>
      </c>
      <c r="W130" s="1" t="n">
        <f aca="false">V130/D130</f>
        <v>48.7361111111111</v>
      </c>
      <c r="X130" s="1" t="n">
        <f aca="false">X129+V130</f>
        <v>79619</v>
      </c>
      <c r="Y130" s="1" t="n">
        <f aca="false">Y129+V130</f>
        <v>1100.6</v>
      </c>
      <c r="Z130" s="52" t="s">
        <v>33</v>
      </c>
      <c r="AA130" s="47" t="n">
        <v>8.65259170790076</v>
      </c>
    </row>
    <row r="131" customFormat="false" ht="15" hidden="false" customHeight="false" outlineLevel="0" collapsed="false">
      <c r="A131" s="50"/>
      <c r="B131" s="51"/>
      <c r="C131" s="16" t="n">
        <v>41645</v>
      </c>
      <c r="D131" s="1" t="n">
        <v>11.1</v>
      </c>
      <c r="E131" s="1" t="n">
        <v>8.5</v>
      </c>
      <c r="F131" s="1" t="n">
        <v>13.2</v>
      </c>
      <c r="G131" s="1" t="n">
        <f aca="false">G130+D131</f>
        <v>1292.7</v>
      </c>
      <c r="H131" s="1" t="n">
        <f aca="false">H130+D131</f>
        <v>36.8</v>
      </c>
      <c r="I131" s="1" t="n">
        <f aca="false">MAX(F128:F202)</f>
        <v>18.8</v>
      </c>
      <c r="J131" s="1" t="n">
        <v>0.8</v>
      </c>
      <c r="K131" s="1" t="n">
        <f aca="false">K130+J131</f>
        <v>311.5</v>
      </c>
      <c r="L131" s="1" t="n">
        <v>0.9</v>
      </c>
      <c r="M131" s="1" t="n">
        <f aca="false">M130+L131</f>
        <v>152.9</v>
      </c>
      <c r="N131" s="19" t="n">
        <f aca="false">J131-L131</f>
        <v>-0.1</v>
      </c>
      <c r="O131" s="25" t="n">
        <f aca="false">O130+N131</f>
        <v>122</v>
      </c>
      <c r="P131" s="21" t="n">
        <v>126</v>
      </c>
      <c r="Q131" s="53" t="n">
        <f aca="false">1+((P131-122)/75)*(1.15-1)</f>
        <v>1.008</v>
      </c>
      <c r="R131" s="23" t="n">
        <f aca="false">Q131*L131</f>
        <v>0.9072</v>
      </c>
      <c r="S131" s="23" t="n">
        <f aca="false">J131-R131</f>
        <v>-0.1072</v>
      </c>
      <c r="T131" s="26" t="n">
        <f aca="false">MIN(122.1,(T130+S131))</f>
        <v>121.9928</v>
      </c>
      <c r="U131" s="1" t="n">
        <v>0</v>
      </c>
      <c r="V131" s="27" t="n">
        <v>167.7</v>
      </c>
      <c r="W131" s="1" t="n">
        <f aca="false">V131/D131</f>
        <v>15.1081081081081</v>
      </c>
      <c r="X131" s="1" t="n">
        <f aca="false">X130+V131</f>
        <v>79786.7</v>
      </c>
      <c r="Y131" s="1" t="n">
        <f aca="false">Y130+V131</f>
        <v>1268.3</v>
      </c>
      <c r="Z131" s="55" t="n">
        <f aca="false">(Z129/100)/I141</f>
        <v>0.968013435700576</v>
      </c>
      <c r="AA131" s="47" t="n">
        <v>8.67287347664025</v>
      </c>
    </row>
    <row r="132" customFormat="false" ht="15" hidden="false" customHeight="false" outlineLevel="0" collapsed="false">
      <c r="A132" s="50"/>
      <c r="B132" s="51"/>
      <c r="C132" s="16" t="n">
        <v>41646</v>
      </c>
      <c r="D132" s="1" t="n">
        <v>11.2</v>
      </c>
      <c r="E132" s="1" t="n">
        <v>9.9</v>
      </c>
      <c r="F132" s="1" t="n">
        <v>12.5</v>
      </c>
      <c r="G132" s="1" t="n">
        <f aca="false">G131+D132</f>
        <v>1303.9</v>
      </c>
      <c r="H132" s="1" t="n">
        <f aca="false">H131+D132</f>
        <v>48</v>
      </c>
      <c r="I132" s="52" t="s">
        <v>34</v>
      </c>
      <c r="J132" s="1" t="n">
        <v>0.5</v>
      </c>
      <c r="K132" s="1" t="n">
        <f aca="false">K131+J132</f>
        <v>312</v>
      </c>
      <c r="L132" s="1" t="n">
        <v>0.8</v>
      </c>
      <c r="M132" s="1" t="n">
        <f aca="false">M131+L132</f>
        <v>153.7</v>
      </c>
      <c r="N132" s="19" t="n">
        <f aca="false">J132-L132</f>
        <v>-0.3</v>
      </c>
      <c r="O132" s="25" t="n">
        <f aca="false">O131+N132</f>
        <v>121.7</v>
      </c>
      <c r="P132" s="21" t="n">
        <v>127</v>
      </c>
      <c r="Q132" s="53" t="n">
        <f aca="false">1+((P132-122)/75)*(1.15-1)</f>
        <v>1.01</v>
      </c>
      <c r="R132" s="23" t="n">
        <f aca="false">Q132*L132</f>
        <v>0.808</v>
      </c>
      <c r="S132" s="23" t="n">
        <f aca="false">J132-R132</f>
        <v>-0.308</v>
      </c>
      <c r="T132" s="26" t="n">
        <f aca="false">MIN(122.1,(T131+S132))</f>
        <v>121.6848</v>
      </c>
      <c r="U132" s="52" t="s">
        <v>35</v>
      </c>
      <c r="V132" s="27" t="n">
        <v>249.3</v>
      </c>
      <c r="W132" s="1" t="n">
        <f aca="false">V132/D132</f>
        <v>22.2589285714286</v>
      </c>
      <c r="X132" s="1" t="n">
        <f aca="false">X131+V132</f>
        <v>80036</v>
      </c>
      <c r="Y132" s="1" t="n">
        <f aca="false">Y131+V132</f>
        <v>1517.6</v>
      </c>
      <c r="Z132" s="52" t="s">
        <v>36</v>
      </c>
      <c r="AA132" s="47" t="n">
        <v>8.69445689120688</v>
      </c>
    </row>
    <row r="133" customFormat="false" ht="15" hidden="false" customHeight="false" outlineLevel="0" collapsed="false">
      <c r="A133" s="50"/>
      <c r="B133" s="51"/>
      <c r="C133" s="16" t="n">
        <v>41647</v>
      </c>
      <c r="D133" s="1" t="n">
        <v>10.5</v>
      </c>
      <c r="E133" s="1" t="n">
        <v>8.3</v>
      </c>
      <c r="F133" s="1" t="n">
        <v>12.9</v>
      </c>
      <c r="G133" s="1" t="n">
        <f aca="false">G132+D133</f>
        <v>1314.4</v>
      </c>
      <c r="H133" s="1" t="n">
        <f aca="false">H132+D133</f>
        <v>58.5</v>
      </c>
      <c r="I133" s="29" t="n">
        <f aca="false">AVERAGE(D128:D202)</f>
        <v>6.94666666666667</v>
      </c>
      <c r="J133" s="1" t="n">
        <v>0</v>
      </c>
      <c r="K133" s="1" t="n">
        <f aca="false">K132+J133</f>
        <v>312</v>
      </c>
      <c r="L133" s="1" t="n">
        <v>0.6</v>
      </c>
      <c r="M133" s="1" t="n">
        <f aca="false">M132+L133</f>
        <v>154.3</v>
      </c>
      <c r="N133" s="19" t="n">
        <f aca="false">J133-L133</f>
        <v>-0.6</v>
      </c>
      <c r="O133" s="25" t="n">
        <f aca="false">O132+N133</f>
        <v>121.1</v>
      </c>
      <c r="P133" s="21" t="n">
        <v>128</v>
      </c>
      <c r="Q133" s="53" t="n">
        <f aca="false">1+((P133-122)/75)*(1.15-1)</f>
        <v>1.012</v>
      </c>
      <c r="R133" s="23" t="n">
        <f aca="false">Q133*L133</f>
        <v>0.6072</v>
      </c>
      <c r="S133" s="23" t="n">
        <f aca="false">J133-R133</f>
        <v>-0.6072</v>
      </c>
      <c r="T133" s="26" t="n">
        <f aca="false">MIN(122.1,(T132+S133))</f>
        <v>121.0776</v>
      </c>
      <c r="U133" s="1" t="n">
        <v>0</v>
      </c>
      <c r="V133" s="27" t="n">
        <v>276.1</v>
      </c>
      <c r="W133" s="1" t="n">
        <f aca="false">V133/D133</f>
        <v>26.2952380952381</v>
      </c>
      <c r="X133" s="1" t="n">
        <f aca="false">X132+V133</f>
        <v>80312.1</v>
      </c>
      <c r="Y133" s="1" t="n">
        <f aca="false">Y132+V133</f>
        <v>1793.7</v>
      </c>
      <c r="Z133" s="1" t="n">
        <v>55</v>
      </c>
      <c r="AA133" s="47" t="n">
        <v>8.71731997291543</v>
      </c>
    </row>
    <row r="134" customFormat="false" ht="15" hidden="false" customHeight="false" outlineLevel="0" collapsed="false">
      <c r="A134" s="50"/>
      <c r="B134" s="51"/>
      <c r="C134" s="16" t="n">
        <v>41648</v>
      </c>
      <c r="D134" s="1" t="n">
        <v>9.1</v>
      </c>
      <c r="E134" s="1" t="n">
        <v>7.9</v>
      </c>
      <c r="F134" s="1" t="n">
        <v>11.3</v>
      </c>
      <c r="G134" s="1" t="n">
        <f aca="false">G133+D134</f>
        <v>1323.5</v>
      </c>
      <c r="H134" s="1" t="n">
        <f aca="false">H133+D134</f>
        <v>67.6</v>
      </c>
      <c r="I134" s="52" t="s">
        <v>37</v>
      </c>
      <c r="J134" s="1" t="n">
        <v>0.3</v>
      </c>
      <c r="K134" s="1" t="n">
        <f aca="false">K133+J134</f>
        <v>312.3</v>
      </c>
      <c r="L134" s="1" t="n">
        <v>1</v>
      </c>
      <c r="M134" s="1" t="n">
        <f aca="false">M133+L134</f>
        <v>155.3</v>
      </c>
      <c r="N134" s="19" t="n">
        <f aca="false">J134-L134</f>
        <v>-0.7</v>
      </c>
      <c r="O134" s="25" t="n">
        <f aca="false">O133+N134</f>
        <v>120.4</v>
      </c>
      <c r="P134" s="21" t="n">
        <v>129</v>
      </c>
      <c r="Q134" s="53" t="n">
        <f aca="false">1+((P134-122)/75)*(1.15-1)</f>
        <v>1.014</v>
      </c>
      <c r="R134" s="23" t="n">
        <f aca="false">Q134*L134</f>
        <v>1.014</v>
      </c>
      <c r="S134" s="23" t="n">
        <f aca="false">J134-R134</f>
        <v>-0.714</v>
      </c>
      <c r="T134" s="26" t="n">
        <f aca="false">MIN(122.1,(T133+S134))</f>
        <v>120.3636</v>
      </c>
      <c r="U134" s="52" t="s">
        <v>38</v>
      </c>
      <c r="V134" s="27" t="n">
        <v>269.9</v>
      </c>
      <c r="W134" s="1" t="n">
        <f aca="false">V134/D134</f>
        <v>29.6593406593407</v>
      </c>
      <c r="X134" s="1" t="n">
        <f aca="false">X133+V134</f>
        <v>80582</v>
      </c>
      <c r="Y134" s="1" t="n">
        <f aca="false">Y133+V134</f>
        <v>2063.6</v>
      </c>
      <c r="AA134" s="47" t="n">
        <v>8.74143976610685</v>
      </c>
    </row>
    <row r="135" customFormat="false" ht="15" hidden="false" customHeight="false" outlineLevel="0" collapsed="false">
      <c r="A135" s="50"/>
      <c r="B135" s="51"/>
      <c r="C135" s="16" t="n">
        <v>41649</v>
      </c>
      <c r="D135" s="1" t="n">
        <v>8</v>
      </c>
      <c r="E135" s="1" t="n">
        <v>6.3</v>
      </c>
      <c r="F135" s="1" t="n">
        <v>11.3</v>
      </c>
      <c r="G135" s="1" t="n">
        <f aca="false">G134+D135</f>
        <v>1331.5</v>
      </c>
      <c r="H135" s="1" t="n">
        <f aca="false">H134+D135</f>
        <v>75.6</v>
      </c>
      <c r="I135" s="1" t="n">
        <v>5</v>
      </c>
      <c r="J135" s="1" t="n">
        <v>0</v>
      </c>
      <c r="K135" s="1" t="n">
        <f aca="false">K134+J135</f>
        <v>312.3</v>
      </c>
      <c r="L135" s="1" t="n">
        <v>0.7</v>
      </c>
      <c r="M135" s="1" t="n">
        <f aca="false">M134+L135</f>
        <v>156</v>
      </c>
      <c r="N135" s="19" t="n">
        <f aca="false">J135-L135</f>
        <v>-0.7</v>
      </c>
      <c r="O135" s="25" t="n">
        <f aca="false">O134+N135</f>
        <v>119.7</v>
      </c>
      <c r="P135" s="21" t="n">
        <v>130</v>
      </c>
      <c r="Q135" s="53" t="n">
        <f aca="false">1+((P135-122)/75)*(1.15-1)</f>
        <v>1.016</v>
      </c>
      <c r="R135" s="23" t="n">
        <f aca="false">Q135*L135</f>
        <v>0.7112</v>
      </c>
      <c r="S135" s="23" t="n">
        <f aca="false">J135-R135</f>
        <v>-0.7112</v>
      </c>
      <c r="T135" s="26" t="n">
        <f aca="false">MIN(122.1,(T134+S135))</f>
        <v>119.6524</v>
      </c>
      <c r="U135" s="29" t="n">
        <f aca="false">MIN(T128:T202)</f>
        <v>86.9772</v>
      </c>
      <c r="V135" s="27" t="n">
        <v>359.9</v>
      </c>
      <c r="W135" s="1" t="n">
        <f aca="false">V135/D135</f>
        <v>44.9875</v>
      </c>
      <c r="X135" s="1" t="n">
        <f aca="false">X134+V135</f>
        <v>80941.9</v>
      </c>
      <c r="Y135" s="1" t="n">
        <f aca="false">Y134+V135</f>
        <v>2423.5</v>
      </c>
      <c r="AA135" s="47" t="n">
        <v>8.76679241807765</v>
      </c>
    </row>
    <row r="136" customFormat="false" ht="15" hidden="false" customHeight="false" outlineLevel="0" collapsed="false">
      <c r="A136" s="50"/>
      <c r="B136" s="51"/>
      <c r="C136" s="16" t="n">
        <v>41650</v>
      </c>
      <c r="D136" s="1" t="n">
        <v>7.6</v>
      </c>
      <c r="E136" s="1" t="n">
        <v>6.4</v>
      </c>
      <c r="F136" s="1" t="n">
        <v>9.4</v>
      </c>
      <c r="G136" s="1" t="n">
        <f aca="false">G135+D136</f>
        <v>1339.1</v>
      </c>
      <c r="H136" s="1" t="n">
        <f aca="false">H135+D136</f>
        <v>83.2</v>
      </c>
      <c r="I136" s="52" t="s">
        <v>39</v>
      </c>
      <c r="J136" s="1" t="n">
        <v>0</v>
      </c>
      <c r="K136" s="1" t="n">
        <f aca="false">K135+J136</f>
        <v>312.3</v>
      </c>
      <c r="L136" s="1" t="n">
        <v>0.4</v>
      </c>
      <c r="M136" s="1" t="n">
        <f aca="false">M135+L136</f>
        <v>156.4</v>
      </c>
      <c r="N136" s="19" t="n">
        <f aca="false">J136-L136</f>
        <v>-0.4</v>
      </c>
      <c r="O136" s="25" t="n">
        <f aca="false">O135+N136</f>
        <v>119.3</v>
      </c>
      <c r="P136" s="21" t="n">
        <v>131</v>
      </c>
      <c r="Q136" s="53" t="n">
        <f aca="false">1+((P136-122)/75)*(1.15-1)</f>
        <v>1.018</v>
      </c>
      <c r="R136" s="23" t="n">
        <f aca="false">Q136*L136</f>
        <v>0.4072</v>
      </c>
      <c r="S136" s="23" t="n">
        <f aca="false">J136-R136</f>
        <v>-0.4072</v>
      </c>
      <c r="T136" s="26" t="n">
        <f aca="false">MIN(122.1,(T135+S136))</f>
        <v>119.2452</v>
      </c>
      <c r="U136" s="52" t="s">
        <v>40</v>
      </c>
      <c r="V136" s="27" t="n">
        <v>109.2</v>
      </c>
      <c r="W136" s="1" t="n">
        <f aca="false">V136/D136</f>
        <v>14.3684210526316</v>
      </c>
      <c r="X136" s="1" t="n">
        <f aca="false">X135+V136</f>
        <v>81051.1</v>
      </c>
      <c r="Y136" s="1" t="n">
        <f aca="false">Y135+V136</f>
        <v>2532.7</v>
      </c>
      <c r="AA136" s="47" t="n">
        <v>8.7933532600143</v>
      </c>
    </row>
    <row r="137" customFormat="false" ht="15" hidden="false" customHeight="false" outlineLevel="0" collapsed="false">
      <c r="A137" s="50"/>
      <c r="B137" s="51"/>
      <c r="C137" s="16" t="n">
        <v>41651</v>
      </c>
      <c r="D137" s="1" t="n">
        <v>6.8</v>
      </c>
      <c r="E137" s="1" t="n">
        <v>6.7</v>
      </c>
      <c r="F137" s="1" t="n">
        <v>7.8</v>
      </c>
      <c r="G137" s="1" t="n">
        <f aca="false">G136+D137</f>
        <v>1345.9</v>
      </c>
      <c r="H137" s="1" t="n">
        <f aca="false">H136+D137</f>
        <v>90</v>
      </c>
      <c r="I137" s="1" t="n">
        <v>0</v>
      </c>
      <c r="J137" s="1" t="n">
        <v>0.9</v>
      </c>
      <c r="K137" s="1" t="n">
        <f aca="false">K136+J137</f>
        <v>313.2</v>
      </c>
      <c r="L137" s="1" t="n">
        <v>0.7</v>
      </c>
      <c r="M137" s="1" t="n">
        <f aca="false">M136+L137</f>
        <v>157.1</v>
      </c>
      <c r="N137" s="1" t="n">
        <f aca="false">J137-L137</f>
        <v>0.2</v>
      </c>
      <c r="O137" s="25" t="n">
        <f aca="false">O136+N137</f>
        <v>119.5</v>
      </c>
      <c r="P137" s="21" t="n">
        <v>132</v>
      </c>
      <c r="Q137" s="53" t="n">
        <f aca="false">1+((P137-122)/75)*(1.15-1)</f>
        <v>1.02</v>
      </c>
      <c r="R137" s="23" t="n">
        <f aca="false">Q137*L137</f>
        <v>0.714</v>
      </c>
      <c r="S137" s="23" t="n">
        <f aca="false">J137-R137</f>
        <v>0.186</v>
      </c>
      <c r="T137" s="26" t="n">
        <f aca="false">MIN(122.1,(T136+S137))</f>
        <v>119.4312</v>
      </c>
      <c r="U137" s="29" t="n">
        <f aca="false">MAX(T128:T202)</f>
        <v>122.1</v>
      </c>
      <c r="V137" s="27" t="n">
        <v>353.8</v>
      </c>
      <c r="W137" s="1" t="n">
        <f aca="false">V137/D137</f>
        <v>52.0294117647059</v>
      </c>
      <c r="X137" s="1" t="n">
        <f aca="false">X136+V137</f>
        <v>81404.9</v>
      </c>
      <c r="Y137" s="1" t="n">
        <f aca="false">Y136+V137</f>
        <v>2886.5</v>
      </c>
      <c r="AA137" s="47" t="n">
        <v>8.82109688842182</v>
      </c>
    </row>
    <row r="138" customFormat="false" ht="15" hidden="false" customHeight="false" outlineLevel="0" collapsed="false">
      <c r="A138" s="50"/>
      <c r="B138" s="54"/>
      <c r="C138" s="16" t="n">
        <v>41652</v>
      </c>
      <c r="D138" s="1" t="n">
        <v>7.3</v>
      </c>
      <c r="E138" s="31" t="n">
        <v>5</v>
      </c>
      <c r="F138" s="1" t="n">
        <v>10.1</v>
      </c>
      <c r="G138" s="1" t="n">
        <f aca="false">G137+D138</f>
        <v>1353.2</v>
      </c>
      <c r="H138" s="1" t="n">
        <f aca="false">H137+D138</f>
        <v>97.3</v>
      </c>
      <c r="I138" s="52" t="s">
        <v>41</v>
      </c>
      <c r="J138" s="1" t="n">
        <v>3</v>
      </c>
      <c r="K138" s="1" t="n">
        <f aca="false">K137+J138</f>
        <v>316.2</v>
      </c>
      <c r="L138" s="1" t="n">
        <v>0.6</v>
      </c>
      <c r="M138" s="1" t="n">
        <f aca="false">M137+L138</f>
        <v>157.7</v>
      </c>
      <c r="N138" s="1" t="n">
        <f aca="false">J138-L138</f>
        <v>2.4</v>
      </c>
      <c r="O138" s="25" t="n">
        <f aca="false">O137+N138</f>
        <v>121.9</v>
      </c>
      <c r="P138" s="21" t="n">
        <v>133</v>
      </c>
      <c r="Q138" s="53" t="n">
        <f aca="false">1+((P138-122)/75)*(1.15-1)</f>
        <v>1.022</v>
      </c>
      <c r="R138" s="23" t="n">
        <f aca="false">Q138*L138</f>
        <v>0.6132</v>
      </c>
      <c r="S138" s="23" t="n">
        <f aca="false">J138-R138</f>
        <v>2.3868</v>
      </c>
      <c r="T138" s="26" t="n">
        <f aca="false">MIN(122.1,(T137+S138))</f>
        <v>121.818</v>
      </c>
      <c r="U138" s="52" t="s">
        <v>42</v>
      </c>
      <c r="V138" s="27" t="n">
        <v>326.4</v>
      </c>
      <c r="W138" s="1" t="n">
        <f aca="false">V138/D138</f>
        <v>44.7123287671233</v>
      </c>
      <c r="X138" s="1" t="n">
        <f aca="false">X137+V138</f>
        <v>81731.3</v>
      </c>
      <c r="Y138" s="1" t="n">
        <f aca="false">Y137+V138</f>
        <v>3212.9</v>
      </c>
      <c r="AA138" s="47" t="n">
        <v>8.84999724655547</v>
      </c>
    </row>
    <row r="139" customFormat="false" ht="15" hidden="false" customHeight="false" outlineLevel="0" collapsed="false">
      <c r="A139" s="50"/>
      <c r="B139" s="54"/>
      <c r="C139" s="16" t="n">
        <v>41653</v>
      </c>
      <c r="D139" s="31" t="n">
        <v>4.7</v>
      </c>
      <c r="E139" s="31" t="n">
        <v>3.5</v>
      </c>
      <c r="F139" s="1" t="n">
        <v>7.3</v>
      </c>
      <c r="G139" s="1" t="n">
        <f aca="false">G138+D139</f>
        <v>1357.9</v>
      </c>
      <c r="H139" s="1" t="n">
        <f aca="false">H138+D139</f>
        <v>102</v>
      </c>
      <c r="I139" s="1" t="n">
        <v>44</v>
      </c>
      <c r="J139" s="1" t="n">
        <v>0.8</v>
      </c>
      <c r="K139" s="1" t="n">
        <f aca="false">K138+J139</f>
        <v>317</v>
      </c>
      <c r="L139" s="1" t="n">
        <v>0.8</v>
      </c>
      <c r="M139" s="1" t="n">
        <f aca="false">M138+L139</f>
        <v>158.5</v>
      </c>
      <c r="N139" s="1" t="n">
        <f aca="false">J139-L139</f>
        <v>0</v>
      </c>
      <c r="O139" s="25" t="n">
        <f aca="false">O138+N139</f>
        <v>121.9</v>
      </c>
      <c r="P139" s="21" t="n">
        <v>134</v>
      </c>
      <c r="Q139" s="53" t="n">
        <f aca="false">1+((P139-122)/75)*(1.15-1)</f>
        <v>1.024</v>
      </c>
      <c r="R139" s="23" t="n">
        <f aca="false">Q139*L139</f>
        <v>0.8192</v>
      </c>
      <c r="S139" s="23" t="n">
        <f aca="false">J139-R139</f>
        <v>-0.0192</v>
      </c>
      <c r="T139" s="26" t="n">
        <f aca="false">MIN(122.1,(T138+S139))</f>
        <v>121.7988</v>
      </c>
      <c r="U139" s="28" t="n">
        <f aca="false">AVERAGE(T128:T202)</f>
        <v>117.800317333333</v>
      </c>
      <c r="V139" s="27" t="n">
        <v>578.7</v>
      </c>
      <c r="W139" s="1" t="n">
        <f aca="false">V139/D139</f>
        <v>123.127659574468</v>
      </c>
      <c r="X139" s="1" t="n">
        <f aca="false">X138+V139</f>
        <v>82310</v>
      </c>
      <c r="Y139" s="1" t="n">
        <f aca="false">Y138+V139</f>
        <v>3791.6</v>
      </c>
      <c r="AA139" s="47" t="n">
        <v>8.8800277053881</v>
      </c>
    </row>
    <row r="140" customFormat="false" ht="15" hidden="false" customHeight="false" outlineLevel="0" collapsed="false">
      <c r="A140" s="50"/>
      <c r="B140" s="54"/>
      <c r="C140" s="16" t="n">
        <v>41654</v>
      </c>
      <c r="D140" s="1" t="n">
        <v>5.9</v>
      </c>
      <c r="E140" s="31" t="n">
        <v>1.4</v>
      </c>
      <c r="F140" s="1" t="n">
        <v>9.5</v>
      </c>
      <c r="G140" s="1" t="n">
        <f aca="false">G139+D140</f>
        <v>1363.8</v>
      </c>
      <c r="H140" s="1" t="n">
        <f aca="false">H139+D140</f>
        <v>107.9</v>
      </c>
      <c r="I140" s="52" t="s">
        <v>43</v>
      </c>
      <c r="J140" s="1" t="n">
        <v>2.4</v>
      </c>
      <c r="K140" s="1" t="n">
        <f aca="false">K139+J140</f>
        <v>319.4</v>
      </c>
      <c r="L140" s="1" t="n">
        <v>0.5</v>
      </c>
      <c r="M140" s="1" t="n">
        <f aca="false">M139+L140</f>
        <v>159</v>
      </c>
      <c r="N140" s="1" t="n">
        <f aca="false">J140-L140</f>
        <v>1.9</v>
      </c>
      <c r="O140" s="25" t="n">
        <v>122.1</v>
      </c>
      <c r="P140" s="21" t="n">
        <v>135</v>
      </c>
      <c r="Q140" s="53" t="n">
        <f aca="false">1+((P140-122)/75)*(1.15-1)</f>
        <v>1.026</v>
      </c>
      <c r="R140" s="23" t="n">
        <f aca="false">Q140*L140</f>
        <v>0.513</v>
      </c>
      <c r="S140" s="23" t="n">
        <f aca="false">J140-R140</f>
        <v>1.887</v>
      </c>
      <c r="T140" s="26" t="n">
        <f aca="false">MIN(122.1,(T139+S140))</f>
        <v>122.1</v>
      </c>
      <c r="V140" s="27" t="n">
        <v>143.4</v>
      </c>
      <c r="W140" s="1" t="n">
        <f aca="false">V140/D140</f>
        <v>24.3050847457627</v>
      </c>
      <c r="X140" s="1" t="n">
        <f aca="false">X139+V140</f>
        <v>82453.4</v>
      </c>
      <c r="Y140" s="1" t="n">
        <f aca="false">Y139+V140</f>
        <v>3935</v>
      </c>
      <c r="AA140" s="47" t="n">
        <v>8.91116114367347</v>
      </c>
    </row>
    <row r="141" customFormat="false" ht="15" hidden="false" customHeight="false" outlineLevel="0" collapsed="false">
      <c r="A141" s="50"/>
      <c r="B141" s="51"/>
      <c r="C141" s="16" t="n">
        <v>41655</v>
      </c>
      <c r="D141" s="1" t="n">
        <v>8.1</v>
      </c>
      <c r="E141" s="1" t="n">
        <v>6.5</v>
      </c>
      <c r="F141" s="1" t="n">
        <v>9.9</v>
      </c>
      <c r="G141" s="1" t="n">
        <f aca="false">G140+D141</f>
        <v>1371.9</v>
      </c>
      <c r="H141" s="1" t="n">
        <f aca="false">H140+D141</f>
        <v>116</v>
      </c>
      <c r="I141" s="1" t="n">
        <v>521</v>
      </c>
      <c r="J141" s="1" t="n">
        <v>2.8</v>
      </c>
      <c r="K141" s="1" t="n">
        <f aca="false">K140+J141</f>
        <v>322.2</v>
      </c>
      <c r="L141" s="1" t="n">
        <v>1</v>
      </c>
      <c r="M141" s="1" t="n">
        <f aca="false">M140+L141</f>
        <v>160</v>
      </c>
      <c r="N141" s="1" t="n">
        <f aca="false">J141-L141</f>
        <v>1.8</v>
      </c>
      <c r="O141" s="25" t="n">
        <v>122.1</v>
      </c>
      <c r="P141" s="21" t="n">
        <v>136</v>
      </c>
      <c r="Q141" s="53" t="n">
        <f aca="false">1+((P141-122)/75)*(1.15-1)</f>
        <v>1.028</v>
      </c>
      <c r="R141" s="23" t="n">
        <f aca="false">Q141*L141</f>
        <v>1.028</v>
      </c>
      <c r="S141" s="23" t="n">
        <f aca="false">J141-R141</f>
        <v>1.772</v>
      </c>
      <c r="T141" s="26" t="n">
        <f aca="false">MIN(122.1,(T140+S141))</f>
        <v>122.1</v>
      </c>
      <c r="U141" s="29" t="n">
        <f aca="false">(U139*100)/122.1</f>
        <v>96.4785563745564</v>
      </c>
      <c r="V141" s="27" t="n">
        <v>497.7</v>
      </c>
      <c r="W141" s="1" t="n">
        <f aca="false">V141/D141</f>
        <v>61.4444444444444</v>
      </c>
      <c r="X141" s="1" t="n">
        <f aca="false">X140+V141</f>
        <v>82951.1</v>
      </c>
      <c r="Y141" s="1" t="n">
        <f aca="false">Y140+V141</f>
        <v>4432.7</v>
      </c>
      <c r="AA141" s="47" t="n">
        <v>8.94337002669544</v>
      </c>
    </row>
    <row r="142" customFormat="false" ht="15" hidden="false" customHeight="false" outlineLevel="0" collapsed="false">
      <c r="A142" s="50"/>
      <c r="B142" s="54"/>
      <c r="C142" s="16" t="n">
        <v>41656</v>
      </c>
      <c r="D142" s="1" t="n">
        <v>6.2</v>
      </c>
      <c r="E142" s="31" t="n">
        <v>4.9</v>
      </c>
      <c r="F142" s="1" t="n">
        <v>10.8</v>
      </c>
      <c r="G142" s="1" t="n">
        <f aca="false">G141+D142</f>
        <v>1378.1</v>
      </c>
      <c r="H142" s="1" t="n">
        <f aca="false">H141+D142</f>
        <v>122.2</v>
      </c>
      <c r="J142" s="1" t="n">
        <v>0</v>
      </c>
      <c r="K142" s="1" t="n">
        <f aca="false">K141+J142</f>
        <v>322.2</v>
      </c>
      <c r="L142" s="1" t="n">
        <v>1.4</v>
      </c>
      <c r="M142" s="1" t="n">
        <f aca="false">M141+L142</f>
        <v>161.4</v>
      </c>
      <c r="N142" s="19" t="n">
        <f aca="false">J142-L142</f>
        <v>-1.4</v>
      </c>
      <c r="O142" s="25" t="n">
        <f aca="false">O141+N142</f>
        <v>120.7</v>
      </c>
      <c r="P142" s="21" t="n">
        <v>137</v>
      </c>
      <c r="Q142" s="53" t="n">
        <f aca="false">1+((P142-122)/75)*(1.15-1)</f>
        <v>1.03</v>
      </c>
      <c r="R142" s="23" t="n">
        <f aca="false">Q142*L142</f>
        <v>1.442</v>
      </c>
      <c r="S142" s="23" t="n">
        <f aca="false">J142-R142</f>
        <v>-1.442</v>
      </c>
      <c r="T142" s="26" t="n">
        <f aca="false">MIN(122.1,(T141+S142))</f>
        <v>120.658</v>
      </c>
      <c r="V142" s="27" t="n">
        <v>767.6</v>
      </c>
      <c r="W142" s="1" t="n">
        <f aca="false">V142/D142</f>
        <v>123.806451612903</v>
      </c>
      <c r="X142" s="1" t="n">
        <f aca="false">X141+V142</f>
        <v>83718.7</v>
      </c>
      <c r="Y142" s="1" t="n">
        <f aca="false">Y141+V142</f>
        <v>5200.3</v>
      </c>
      <c r="AA142" s="47" t="n">
        <v>8.97662648332616</v>
      </c>
    </row>
    <row r="143" customFormat="false" ht="15" hidden="false" customHeight="false" outlineLevel="0" collapsed="false">
      <c r="A143" s="50"/>
      <c r="B143" s="51"/>
      <c r="C143" s="16" t="n">
        <v>41657</v>
      </c>
      <c r="D143" s="1" t="n">
        <v>6.5</v>
      </c>
      <c r="E143" s="31" t="n">
        <v>2.1</v>
      </c>
      <c r="F143" s="1" t="n">
        <v>10.6</v>
      </c>
      <c r="G143" s="1" t="n">
        <f aca="false">G142+D143</f>
        <v>1384.6</v>
      </c>
      <c r="H143" s="1" t="n">
        <f aca="false">H142+D143</f>
        <v>128.7</v>
      </c>
      <c r="J143" s="1" t="n">
        <v>7.7</v>
      </c>
      <c r="K143" s="1" t="n">
        <f aca="false">K142+J143</f>
        <v>329.9</v>
      </c>
      <c r="L143" s="1" t="n">
        <v>0.6</v>
      </c>
      <c r="M143" s="1" t="n">
        <f aca="false">M142+L143</f>
        <v>162</v>
      </c>
      <c r="N143" s="1" t="n">
        <f aca="false">J143-L143</f>
        <v>7.1</v>
      </c>
      <c r="O143" s="25" t="n">
        <v>122.1</v>
      </c>
      <c r="P143" s="21" t="n">
        <v>138</v>
      </c>
      <c r="Q143" s="53" t="n">
        <f aca="false">1+((P143-122)/75)*(1.15-1)</f>
        <v>1.032</v>
      </c>
      <c r="R143" s="23" t="n">
        <f aca="false">Q143*L143</f>
        <v>0.6192</v>
      </c>
      <c r="S143" s="23" t="n">
        <f aca="false">J143-R143</f>
        <v>7.0808</v>
      </c>
      <c r="T143" s="26" t="n">
        <f aca="false">MIN(122.1,(T142+S143))</f>
        <v>122.1</v>
      </c>
      <c r="V143" s="27" t="n">
        <v>398.2</v>
      </c>
      <c r="W143" s="1" t="n">
        <f aca="false">V143/D143</f>
        <v>61.2615384615385</v>
      </c>
      <c r="X143" s="1" t="n">
        <f aca="false">X142+V143</f>
        <v>84116.9</v>
      </c>
      <c r="Y143" s="1" t="n">
        <f aca="false">Y142+V143</f>
        <v>5598.5</v>
      </c>
      <c r="AA143" s="1" t="n">
        <v>9.01090238104984</v>
      </c>
    </row>
    <row r="144" customFormat="false" ht="15" hidden="false" customHeight="false" outlineLevel="0" collapsed="false">
      <c r="A144" s="50"/>
      <c r="B144" s="51"/>
      <c r="C144" s="16" t="n">
        <v>41658</v>
      </c>
      <c r="D144" s="1" t="n">
        <v>6.5</v>
      </c>
      <c r="E144" s="1" t="n">
        <v>5.9</v>
      </c>
      <c r="F144" s="1" t="n">
        <v>8.8</v>
      </c>
      <c r="G144" s="1" t="n">
        <f aca="false">G143+D144</f>
        <v>1391.1</v>
      </c>
      <c r="H144" s="1" t="n">
        <f aca="false">H143+D144</f>
        <v>135.2</v>
      </c>
      <c r="J144" s="1" t="n">
        <v>0</v>
      </c>
      <c r="K144" s="1" t="n">
        <f aca="false">K143+J144</f>
        <v>329.9</v>
      </c>
      <c r="L144" s="1" t="n">
        <v>0.4</v>
      </c>
      <c r="M144" s="1" t="n">
        <f aca="false">M143+L144</f>
        <v>162.4</v>
      </c>
      <c r="N144" s="19" t="n">
        <f aca="false">J144-L144</f>
        <v>-0.4</v>
      </c>
      <c r="O144" s="25" t="n">
        <f aca="false">O143+N144</f>
        <v>121.7</v>
      </c>
      <c r="P144" s="21" t="n">
        <v>139</v>
      </c>
      <c r="Q144" s="53" t="n">
        <f aca="false">1+((P144-122)/75)*(1.15-1)</f>
        <v>1.034</v>
      </c>
      <c r="R144" s="23" t="n">
        <f aca="false">Q144*L144</f>
        <v>0.4136</v>
      </c>
      <c r="S144" s="23" t="n">
        <f aca="false">J144-R144</f>
        <v>-0.4136</v>
      </c>
      <c r="T144" s="26" t="n">
        <f aca="false">MIN(122.1,(T143+S144))</f>
        <v>121.6864</v>
      </c>
      <c r="V144" s="27" t="n">
        <v>193.9</v>
      </c>
      <c r="W144" s="1" t="n">
        <f aca="false">V144/D144</f>
        <v>29.8307692307692</v>
      </c>
      <c r="X144" s="1" t="n">
        <f aca="false">X143+V144</f>
        <v>84310.8</v>
      </c>
      <c r="Y144" s="1" t="n">
        <f aca="false">Y143+V144</f>
        <v>5792.4</v>
      </c>
      <c r="AA144" s="1" t="n">
        <v>9.04616939864492</v>
      </c>
    </row>
    <row r="145" customFormat="false" ht="15" hidden="false" customHeight="false" outlineLevel="0" collapsed="false">
      <c r="A145" s="50"/>
      <c r="B145" s="51"/>
      <c r="C145" s="16" t="n">
        <v>41659</v>
      </c>
      <c r="D145" s="31" t="n">
        <v>3.5</v>
      </c>
      <c r="E145" s="31" t="n">
        <v>3.3</v>
      </c>
      <c r="F145" s="31" t="n">
        <v>3.9</v>
      </c>
      <c r="G145" s="1" t="n">
        <f aca="false">G144+D145</f>
        <v>1394.6</v>
      </c>
      <c r="H145" s="1" t="n">
        <f aca="false">H144+D145</f>
        <v>138.7</v>
      </c>
      <c r="J145" s="1" t="n">
        <v>0</v>
      </c>
      <c r="K145" s="1" t="n">
        <f aca="false">K144+J145</f>
        <v>329.9</v>
      </c>
      <c r="L145" s="1" t="n">
        <v>0.1</v>
      </c>
      <c r="M145" s="1" t="n">
        <f aca="false">M144+L145</f>
        <v>162.5</v>
      </c>
      <c r="N145" s="19" t="n">
        <f aca="false">J145-L145</f>
        <v>-0.1</v>
      </c>
      <c r="O145" s="25" t="n">
        <f aca="false">O144+N145</f>
        <v>121.6</v>
      </c>
      <c r="P145" s="21" t="n">
        <v>140</v>
      </c>
      <c r="Q145" s="53" t="n">
        <f aca="false">1+((P145-122)/75)*(1.15-1)</f>
        <v>1.036</v>
      </c>
      <c r="R145" s="23" t="n">
        <f aca="false">Q145*L145</f>
        <v>0.1036</v>
      </c>
      <c r="S145" s="23" t="n">
        <f aca="false">J145-R145</f>
        <v>-0.1036</v>
      </c>
      <c r="T145" s="26" t="n">
        <f aca="false">MIN(122.1,(T144+S145))</f>
        <v>121.5828</v>
      </c>
      <c r="V145" s="27" t="n">
        <v>59.3</v>
      </c>
      <c r="W145" s="1" t="n">
        <f aca="false">V145/D145</f>
        <v>16.9428571428571</v>
      </c>
      <c r="X145" s="1" t="n">
        <f aca="false">X144+V145</f>
        <v>84370.1</v>
      </c>
      <c r="Y145" s="1" t="n">
        <f aca="false">Y144+V145</f>
        <v>5851.7</v>
      </c>
      <c r="AA145" s="1" t="n">
        <v>9.08239909625252</v>
      </c>
    </row>
    <row r="146" customFormat="false" ht="15" hidden="false" customHeight="false" outlineLevel="0" collapsed="false">
      <c r="A146" s="50"/>
      <c r="B146" s="51"/>
      <c r="C146" s="16" t="n">
        <v>41660</v>
      </c>
      <c r="D146" s="31" t="n">
        <v>2.7</v>
      </c>
      <c r="E146" s="31" t="n">
        <v>2.3</v>
      </c>
      <c r="F146" s="1" t="n">
        <v>5.4</v>
      </c>
      <c r="G146" s="1" t="n">
        <f aca="false">G145+D146</f>
        <v>1397.3</v>
      </c>
      <c r="H146" s="1" t="n">
        <f aca="false">H145+D146</f>
        <v>141.4</v>
      </c>
      <c r="J146" s="1" t="n">
        <v>0</v>
      </c>
      <c r="K146" s="1" t="n">
        <f aca="false">K145+J146</f>
        <v>329.9</v>
      </c>
      <c r="L146" s="1" t="n">
        <v>0.5</v>
      </c>
      <c r="M146" s="1" t="n">
        <f aca="false">M145+L146</f>
        <v>163</v>
      </c>
      <c r="N146" s="19" t="n">
        <f aca="false">J146-L146</f>
        <v>-0.5</v>
      </c>
      <c r="O146" s="25" t="n">
        <f aca="false">O145+N146</f>
        <v>121.1</v>
      </c>
      <c r="P146" s="21" t="n">
        <v>141</v>
      </c>
      <c r="Q146" s="53" t="n">
        <f aca="false">1+((P146-122)/75)*(1.15-1)</f>
        <v>1.038</v>
      </c>
      <c r="R146" s="23" t="n">
        <f aca="false">Q146*L146</f>
        <v>0.519</v>
      </c>
      <c r="S146" s="23" t="n">
        <f aca="false">J146-R146</f>
        <v>-0.519</v>
      </c>
      <c r="T146" s="26" t="n">
        <f aca="false">MIN(122.1,(T145+S146))</f>
        <v>121.0638</v>
      </c>
      <c r="V146" s="27" t="n">
        <v>273.4</v>
      </c>
      <c r="W146" s="1" t="n">
        <f aca="false">V146/D146</f>
        <v>101.259259259259</v>
      </c>
      <c r="X146" s="1" t="n">
        <f aca="false">X145+V146</f>
        <v>84643.5</v>
      </c>
      <c r="Y146" s="1" t="n">
        <f aca="false">Y145+V146</f>
        <v>6125.1</v>
      </c>
      <c r="AA146" s="1" t="n">
        <v>9.11956298259581</v>
      </c>
    </row>
    <row r="147" customFormat="false" ht="15" hidden="false" customHeight="false" outlineLevel="0" collapsed="false">
      <c r="A147" s="50"/>
      <c r="B147" s="51"/>
      <c r="C147" s="16" t="n">
        <v>41661</v>
      </c>
      <c r="D147" s="31" t="n">
        <v>2.3</v>
      </c>
      <c r="E147" s="30" t="n">
        <v>-0.3</v>
      </c>
      <c r="F147" s="1" t="n">
        <v>5.2</v>
      </c>
      <c r="G147" s="1" t="n">
        <f aca="false">G146+D147</f>
        <v>1399.6</v>
      </c>
      <c r="H147" s="1" t="n">
        <f aca="false">H146+D147</f>
        <v>143.7</v>
      </c>
      <c r="J147" s="1" t="n">
        <v>3.4</v>
      </c>
      <c r="K147" s="1" t="n">
        <f aca="false">K146+J147</f>
        <v>333.3</v>
      </c>
      <c r="L147" s="1" t="n">
        <v>0.3</v>
      </c>
      <c r="M147" s="1" t="n">
        <f aca="false">M146+L147</f>
        <v>163.3</v>
      </c>
      <c r="N147" s="1" t="n">
        <f aca="false">J147-L147</f>
        <v>3.1</v>
      </c>
      <c r="O147" s="25" t="n">
        <v>122.1</v>
      </c>
      <c r="P147" s="21" t="n">
        <v>142</v>
      </c>
      <c r="Q147" s="53" t="n">
        <f aca="false">1+((P147-122)/75)*(1.15-1)</f>
        <v>1.04</v>
      </c>
      <c r="R147" s="23" t="n">
        <f aca="false">Q147*L147</f>
        <v>0.312</v>
      </c>
      <c r="S147" s="23" t="n">
        <f aca="false">J147-R147</f>
        <v>3.088</v>
      </c>
      <c r="T147" s="26" t="n">
        <f aca="false">MIN(122.1,(T146+S147))</f>
        <v>122.1</v>
      </c>
      <c r="V147" s="27" t="n">
        <v>129.2</v>
      </c>
      <c r="W147" s="1" t="n">
        <f aca="false">V147/D147</f>
        <v>56.1739130434783</v>
      </c>
      <c r="X147" s="1" t="n">
        <f aca="false">X146+V147</f>
        <v>84772.7</v>
      </c>
      <c r="Y147" s="1" t="n">
        <f aca="false">Y146+V147</f>
        <v>6254.3</v>
      </c>
      <c r="AA147" s="1" t="n">
        <v>9.15763257915024</v>
      </c>
    </row>
    <row r="148" customFormat="false" ht="15" hidden="false" customHeight="false" outlineLevel="0" collapsed="false">
      <c r="A148" s="50"/>
      <c r="B148" s="51"/>
      <c r="C148" s="16" t="n">
        <v>41662</v>
      </c>
      <c r="D148" s="1" t="n">
        <v>5.9</v>
      </c>
      <c r="E148" s="31" t="n">
        <v>3.8</v>
      </c>
      <c r="F148" s="1" t="n">
        <v>6.9</v>
      </c>
      <c r="G148" s="1" t="n">
        <f aca="false">G147+D148</f>
        <v>1405.5</v>
      </c>
      <c r="H148" s="1" t="n">
        <f aca="false">H147+D148</f>
        <v>149.6</v>
      </c>
      <c r="J148" s="1" t="n">
        <v>3.4</v>
      </c>
      <c r="K148" s="1" t="n">
        <f aca="false">K147+J148</f>
        <v>336.7</v>
      </c>
      <c r="L148" s="1" t="n">
        <v>0.1</v>
      </c>
      <c r="M148" s="1" t="n">
        <f aca="false">M147+L148</f>
        <v>163.4</v>
      </c>
      <c r="N148" s="1" t="n">
        <f aca="false">J148-L148</f>
        <v>3.3</v>
      </c>
      <c r="O148" s="25" t="n">
        <v>122.1</v>
      </c>
      <c r="P148" s="21" t="n">
        <v>143</v>
      </c>
      <c r="Q148" s="53" t="n">
        <f aca="false">1+((P148-122)/75)*(1.15-1)</f>
        <v>1.042</v>
      </c>
      <c r="R148" s="23" t="n">
        <f aca="false">Q148*L148</f>
        <v>0.1042</v>
      </c>
      <c r="S148" s="23" t="n">
        <f aca="false">J148-R148</f>
        <v>3.2958</v>
      </c>
      <c r="T148" s="26" t="n">
        <f aca="false">MIN(122.1,(T147+S148))</f>
        <v>122.1</v>
      </c>
      <c r="V148" s="27" t="n">
        <v>161.8</v>
      </c>
      <c r="W148" s="1" t="n">
        <f aca="false">V148/D148</f>
        <v>27.4237288135593</v>
      </c>
      <c r="X148" s="1" t="n">
        <f aca="false">X147+V148</f>
        <v>84934.5</v>
      </c>
      <c r="Y148" s="1" t="n">
        <f aca="false">Y147+V148</f>
        <v>6416.1</v>
      </c>
      <c r="AA148" s="1" t="n">
        <v>9.19657948109955</v>
      </c>
    </row>
    <row r="149" customFormat="false" ht="15" hidden="false" customHeight="false" outlineLevel="0" collapsed="false">
      <c r="A149" s="50"/>
      <c r="B149" s="51"/>
      <c r="C149" s="16" t="n">
        <v>41663</v>
      </c>
      <c r="D149" s="1" t="n">
        <v>5.1</v>
      </c>
      <c r="E149" s="31" t="n">
        <v>4.5</v>
      </c>
      <c r="F149" s="1" t="n">
        <v>5.6</v>
      </c>
      <c r="G149" s="1" t="n">
        <f aca="false">G148+D149</f>
        <v>1410.6</v>
      </c>
      <c r="H149" s="1" t="n">
        <f aca="false">H148+D149</f>
        <v>154.7</v>
      </c>
      <c r="J149" s="1" t="n">
        <v>9.5</v>
      </c>
      <c r="K149" s="1" t="n">
        <f aca="false">K148+J149</f>
        <v>346.2</v>
      </c>
      <c r="L149" s="1" t="n">
        <v>0.2</v>
      </c>
      <c r="M149" s="1" t="n">
        <f aca="false">M148+L149</f>
        <v>163.6</v>
      </c>
      <c r="N149" s="1" t="n">
        <f aca="false">J149-L149</f>
        <v>9.3</v>
      </c>
      <c r="O149" s="25" t="n">
        <v>122.1</v>
      </c>
      <c r="P149" s="21" t="n">
        <v>144</v>
      </c>
      <c r="Q149" s="53" t="n">
        <f aca="false">1+((P149-122)/75)*(1.15-1)</f>
        <v>1.044</v>
      </c>
      <c r="R149" s="23" t="n">
        <f aca="false">Q149*L149</f>
        <v>0.2088</v>
      </c>
      <c r="S149" s="23" t="n">
        <f aca="false">J149-R149</f>
        <v>9.2912</v>
      </c>
      <c r="T149" s="26" t="n">
        <f aca="false">MIN(122.1,(T148+S149))</f>
        <v>122.1</v>
      </c>
      <c r="V149" s="27" t="n">
        <v>66.9</v>
      </c>
      <c r="W149" s="1" t="n">
        <f aca="false">V149/D149</f>
        <v>13.1176470588235</v>
      </c>
      <c r="X149" s="1" t="n">
        <f aca="false">X148+V149</f>
        <v>85001.4</v>
      </c>
      <c r="Y149" s="1" t="n">
        <f aca="false">Y148+V149</f>
        <v>6483</v>
      </c>
      <c r="AA149" s="1" t="n">
        <v>9.23637541494636</v>
      </c>
    </row>
    <row r="150" customFormat="false" ht="15" hidden="false" customHeight="false" outlineLevel="0" collapsed="false">
      <c r="A150" s="50"/>
      <c r="B150" s="51"/>
      <c r="C150" s="16" t="n">
        <v>41664</v>
      </c>
      <c r="D150" s="1" t="n">
        <v>5.4</v>
      </c>
      <c r="E150" s="31" t="n">
        <v>3.2</v>
      </c>
      <c r="F150" s="1" t="n">
        <v>8</v>
      </c>
      <c r="G150" s="1" t="n">
        <f aca="false">G149+D150</f>
        <v>1416</v>
      </c>
      <c r="H150" s="1" t="n">
        <f aca="false">H149+D150</f>
        <v>160.1</v>
      </c>
      <c r="J150" s="1" t="n">
        <v>1.1</v>
      </c>
      <c r="K150" s="1" t="n">
        <f aca="false">K149+J150</f>
        <v>347.3</v>
      </c>
      <c r="L150" s="1" t="n">
        <v>0.3</v>
      </c>
      <c r="M150" s="1" t="n">
        <f aca="false">M149+L150</f>
        <v>163.9</v>
      </c>
      <c r="N150" s="1" t="n">
        <f aca="false">J150-L150</f>
        <v>0.8</v>
      </c>
      <c r="O150" s="25" t="n">
        <v>122.1</v>
      </c>
      <c r="P150" s="21" t="n">
        <v>145</v>
      </c>
      <c r="Q150" s="53" t="n">
        <f aca="false">1+((P150-122)/75)*(1.15-1)</f>
        <v>1.046</v>
      </c>
      <c r="R150" s="23" t="n">
        <f aca="false">Q150*L150</f>
        <v>0.3138</v>
      </c>
      <c r="S150" s="23" t="n">
        <f aca="false">J150-R150</f>
        <v>0.7862</v>
      </c>
      <c r="T150" s="26" t="n">
        <f aca="false">MIN(122.1,(T149+S150))</f>
        <v>122.1</v>
      </c>
      <c r="V150" s="27" t="n">
        <v>138</v>
      </c>
      <c r="W150" s="1" t="n">
        <f aca="false">V150/D150</f>
        <v>25.5555555555556</v>
      </c>
      <c r="X150" s="1" t="n">
        <f aca="false">X149+V150</f>
        <v>85139.4</v>
      </c>
      <c r="Y150" s="1" t="n">
        <f aca="false">Y149+V150</f>
        <v>6621</v>
      </c>
      <c r="AA150" s="1" t="n">
        <v>9.27699229267817</v>
      </c>
    </row>
    <row r="151" customFormat="false" ht="15" hidden="false" customHeight="false" outlineLevel="0" collapsed="false">
      <c r="A151" s="50"/>
      <c r="B151" s="51"/>
      <c r="C151" s="16" t="n">
        <v>41665</v>
      </c>
      <c r="D151" s="1" t="n">
        <v>7.8</v>
      </c>
      <c r="E151" s="1" t="n">
        <v>5.7</v>
      </c>
      <c r="F151" s="1" t="n">
        <v>9.8</v>
      </c>
      <c r="G151" s="1" t="n">
        <f aca="false">G150+D151</f>
        <v>1423.8</v>
      </c>
      <c r="H151" s="1" t="n">
        <f aca="false">H150+D151</f>
        <v>167.9</v>
      </c>
      <c r="J151" s="1" t="n">
        <v>7.5</v>
      </c>
      <c r="K151" s="1" t="n">
        <f aca="false">K150+J151</f>
        <v>354.8</v>
      </c>
      <c r="L151" s="1" t="n">
        <v>0.4</v>
      </c>
      <c r="M151" s="1" t="n">
        <f aca="false">M150+L151</f>
        <v>164.3</v>
      </c>
      <c r="N151" s="1" t="n">
        <f aca="false">J151-L151</f>
        <v>7.1</v>
      </c>
      <c r="O151" s="25" t="n">
        <v>122.1</v>
      </c>
      <c r="P151" s="21" t="n">
        <v>146</v>
      </c>
      <c r="Q151" s="53" t="n">
        <f aca="false">1+((P151-122)/75)*(1.15-1)</f>
        <v>1.048</v>
      </c>
      <c r="R151" s="23" t="n">
        <f aca="false">Q151*L151</f>
        <v>0.4192</v>
      </c>
      <c r="S151" s="23" t="n">
        <f aca="false">J151-R151</f>
        <v>7.0808</v>
      </c>
      <c r="T151" s="26" t="n">
        <f aca="false">MIN(122.1,(T150+S151))</f>
        <v>122.1</v>
      </c>
      <c r="V151" s="27" t="n">
        <v>249.3</v>
      </c>
      <c r="W151" s="1" t="n">
        <f aca="false">V151/D151</f>
        <v>31.9615384615385</v>
      </c>
      <c r="X151" s="1" t="n">
        <f aca="false">X150+V151</f>
        <v>85388.7</v>
      </c>
      <c r="Y151" s="1" t="n">
        <f aca="false">Y150+V151</f>
        <v>6870.3</v>
      </c>
      <c r="AA151" s="1" t="n">
        <v>9.31840226242062</v>
      </c>
    </row>
    <row r="152" customFormat="false" ht="15" hidden="false" customHeight="false" outlineLevel="0" collapsed="false">
      <c r="A152" s="50"/>
      <c r="B152" s="51"/>
      <c r="C152" s="16" t="n">
        <v>41666</v>
      </c>
      <c r="D152" s="31" t="n">
        <v>4.7</v>
      </c>
      <c r="E152" s="31" t="n">
        <v>3.5</v>
      </c>
      <c r="F152" s="1" t="n">
        <v>7.2</v>
      </c>
      <c r="G152" s="1" t="n">
        <f aca="false">G151+D152</f>
        <v>1428.5</v>
      </c>
      <c r="H152" s="1" t="n">
        <f aca="false">H151+D152</f>
        <v>172.6</v>
      </c>
      <c r="J152" s="1" t="n">
        <v>1</v>
      </c>
      <c r="K152" s="1" t="n">
        <f aca="false">K151+J152</f>
        <v>355.8</v>
      </c>
      <c r="L152" s="1" t="n">
        <v>1</v>
      </c>
      <c r="M152" s="1" t="n">
        <f aca="false">M151+L152</f>
        <v>165.3</v>
      </c>
      <c r="N152" s="1" t="n">
        <f aca="false">J152-L152</f>
        <v>0</v>
      </c>
      <c r="O152" s="25" t="n">
        <v>122.1</v>
      </c>
      <c r="P152" s="21" t="n">
        <v>147</v>
      </c>
      <c r="Q152" s="53" t="n">
        <f aca="false">1+((P152-122)/75)*(1.15-1)</f>
        <v>1.05</v>
      </c>
      <c r="R152" s="23" t="n">
        <f aca="false">Q152*L152</f>
        <v>1.05</v>
      </c>
      <c r="S152" s="23" t="n">
        <f aca="false">J152-R152</f>
        <v>-0.05</v>
      </c>
      <c r="T152" s="26" t="n">
        <f aca="false">MIN(122.1,(T151+S152))</f>
        <v>122.05</v>
      </c>
      <c r="V152" s="27" t="n">
        <v>679.6</v>
      </c>
      <c r="W152" s="1" t="n">
        <f aca="false">V152/D152</f>
        <v>144.595744680851</v>
      </c>
      <c r="X152" s="1" t="n">
        <f aca="false">X151+V152</f>
        <v>86068.3</v>
      </c>
      <c r="Y152" s="1" t="n">
        <f aca="false">Y151+V152</f>
        <v>7549.9</v>
      </c>
      <c r="AA152" s="1" t="n">
        <v>9.36057775553823</v>
      </c>
    </row>
    <row r="153" customFormat="false" ht="15" hidden="false" customHeight="false" outlineLevel="0" collapsed="false">
      <c r="A153" s="50"/>
      <c r="B153" s="51"/>
      <c r="C153" s="16" t="n">
        <v>41667</v>
      </c>
      <c r="D153" s="31" t="n">
        <v>4.5</v>
      </c>
      <c r="E153" s="31" t="n">
        <v>2.4</v>
      </c>
      <c r="F153" s="1" t="n">
        <v>5.5</v>
      </c>
      <c r="G153" s="1" t="n">
        <f aca="false">G152+D153</f>
        <v>1433</v>
      </c>
      <c r="H153" s="1" t="n">
        <f aca="false">H152+D153</f>
        <v>177.1</v>
      </c>
      <c r="J153" s="1" t="n">
        <v>4.6</v>
      </c>
      <c r="K153" s="1" t="n">
        <f aca="false">K152+J153</f>
        <v>360.4</v>
      </c>
      <c r="L153" s="1" t="n">
        <v>0.3</v>
      </c>
      <c r="M153" s="1" t="n">
        <f aca="false">M152+L153</f>
        <v>165.6</v>
      </c>
      <c r="N153" s="1" t="n">
        <f aca="false">J153-L153</f>
        <v>4.3</v>
      </c>
      <c r="O153" s="25" t="n">
        <v>122.1</v>
      </c>
      <c r="P153" s="21" t="n">
        <v>148</v>
      </c>
      <c r="Q153" s="53" t="n">
        <f aca="false">1+((P153-122)/75)*(1.15-1)</f>
        <v>1.052</v>
      </c>
      <c r="R153" s="23" t="n">
        <f aca="false">Q153*L153</f>
        <v>0.3156</v>
      </c>
      <c r="S153" s="23" t="n">
        <f aca="false">J153-R153</f>
        <v>4.2844</v>
      </c>
      <c r="T153" s="26" t="n">
        <f aca="false">MIN(122.1,(T152+S153))</f>
        <v>122.1</v>
      </c>
      <c r="V153" s="27" t="n">
        <v>135.7</v>
      </c>
      <c r="W153" s="1" t="n">
        <f aca="false">V153/D153</f>
        <v>30.1555555555556</v>
      </c>
      <c r="X153" s="1" t="n">
        <f aca="false">X152+V153</f>
        <v>86204</v>
      </c>
      <c r="Y153" s="1" t="n">
        <f aca="false">Y152+V153</f>
        <v>7685.6</v>
      </c>
      <c r="AA153" s="1" t="n">
        <v>9.40349153016949</v>
      </c>
    </row>
    <row r="154" customFormat="false" ht="15" hidden="false" customHeight="false" outlineLevel="0" collapsed="false">
      <c r="A154" s="50"/>
      <c r="B154" s="51"/>
      <c r="C154" s="16" t="n">
        <v>41668</v>
      </c>
      <c r="D154" s="1" t="n">
        <v>5.1</v>
      </c>
      <c r="E154" s="31" t="n">
        <v>4.4</v>
      </c>
      <c r="F154" s="1" t="n">
        <v>6.5</v>
      </c>
      <c r="G154" s="1" t="n">
        <f aca="false">G153+D154</f>
        <v>1438.1</v>
      </c>
      <c r="H154" s="1" t="n">
        <f aca="false">H153+D154</f>
        <v>182.2</v>
      </c>
      <c r="J154" s="1" t="n">
        <v>4.9</v>
      </c>
      <c r="K154" s="1" t="n">
        <f aca="false">K153+J154</f>
        <v>365.3</v>
      </c>
      <c r="L154" s="1" t="n">
        <v>0.5</v>
      </c>
      <c r="M154" s="1" t="n">
        <f aca="false">M153+L154</f>
        <v>166.1</v>
      </c>
      <c r="N154" s="1" t="n">
        <f aca="false">J154-L154</f>
        <v>4.4</v>
      </c>
      <c r="O154" s="25" t="n">
        <v>122.1</v>
      </c>
      <c r="P154" s="21" t="n">
        <v>149</v>
      </c>
      <c r="Q154" s="53" t="n">
        <f aca="false">1+((P154-122)/75)*(1.15-1)</f>
        <v>1.054</v>
      </c>
      <c r="R154" s="23" t="n">
        <f aca="false">Q154*L154</f>
        <v>0.527</v>
      </c>
      <c r="S154" s="23" t="n">
        <f aca="false">J154-R154</f>
        <v>4.373</v>
      </c>
      <c r="T154" s="26" t="n">
        <f aca="false">MIN(122.1,(T153+S154))</f>
        <v>122.1</v>
      </c>
      <c r="V154" s="27" t="n">
        <v>209.6</v>
      </c>
      <c r="W154" s="1" t="n">
        <f aca="false">V154/D154</f>
        <v>41.0980392156863</v>
      </c>
      <c r="X154" s="1" t="n">
        <f aca="false">X153+V154</f>
        <v>86413.6</v>
      </c>
      <c r="Y154" s="1" t="n">
        <f aca="false">Y153+V154</f>
        <v>7895.2</v>
      </c>
      <c r="AA154" s="1" t="n">
        <v>9.44711671120801</v>
      </c>
    </row>
    <row r="155" customFormat="false" ht="15" hidden="false" customHeight="false" outlineLevel="0" collapsed="false">
      <c r="A155" s="50"/>
      <c r="B155" s="51"/>
      <c r="C155" s="16" t="n">
        <v>41669</v>
      </c>
      <c r="D155" s="31" t="n">
        <v>4.7</v>
      </c>
      <c r="E155" s="31" t="n">
        <v>3.7</v>
      </c>
      <c r="F155" s="1" t="n">
        <v>8</v>
      </c>
      <c r="G155" s="1" t="n">
        <f aca="false">G154+D155</f>
        <v>1442.8</v>
      </c>
      <c r="H155" s="1" t="n">
        <f aca="false">H154+D155</f>
        <v>186.9</v>
      </c>
      <c r="J155" s="1" t="n">
        <v>0.3</v>
      </c>
      <c r="K155" s="1" t="n">
        <f aca="false">K154+J155</f>
        <v>365.6</v>
      </c>
      <c r="L155" s="1" t="n">
        <v>0.8</v>
      </c>
      <c r="M155" s="1" t="n">
        <f aca="false">M154+L155</f>
        <v>166.9</v>
      </c>
      <c r="N155" s="19" t="n">
        <f aca="false">J155-L155</f>
        <v>-0.5</v>
      </c>
      <c r="O155" s="25" t="n">
        <f aca="false">O154+N155</f>
        <v>121.6</v>
      </c>
      <c r="P155" s="21" t="n">
        <v>150</v>
      </c>
      <c r="Q155" s="53" t="n">
        <f aca="false">1+((P155-122)/75)*(1.15-1)</f>
        <v>1.056</v>
      </c>
      <c r="R155" s="23" t="n">
        <f aca="false">Q155*L155</f>
        <v>0.8448</v>
      </c>
      <c r="S155" s="23" t="n">
        <f aca="false">J155-R155</f>
        <v>-0.5448</v>
      </c>
      <c r="T155" s="26" t="n">
        <f aca="false">MIN(122.1,(T154+S155))</f>
        <v>121.5552</v>
      </c>
      <c r="V155" s="27" t="n">
        <v>633.7</v>
      </c>
      <c r="W155" s="1" t="n">
        <f aca="false">V155/D155</f>
        <v>134.829787234043</v>
      </c>
      <c r="X155" s="1" t="n">
        <f aca="false">X154+V155</f>
        <v>87047.3</v>
      </c>
      <c r="Y155" s="1" t="n">
        <f aca="false">Y154+V155</f>
        <v>8528.9</v>
      </c>
      <c r="AA155" s="1" t="n">
        <v>9.49142682676316</v>
      </c>
    </row>
    <row r="156" customFormat="false" ht="15" hidden="false" customHeight="false" outlineLevel="0" collapsed="false">
      <c r="A156" s="50"/>
      <c r="B156" s="51"/>
      <c r="C156" s="16" t="n">
        <v>41670</v>
      </c>
      <c r="D156" s="31" t="n">
        <v>4.6</v>
      </c>
      <c r="E156" s="30" t="n">
        <v>-1.6</v>
      </c>
      <c r="F156" s="1" t="n">
        <v>8.7</v>
      </c>
      <c r="G156" s="1" t="n">
        <f aca="false">G155+D156</f>
        <v>1447.4</v>
      </c>
      <c r="H156" s="1" t="n">
        <f aca="false">H155+D156</f>
        <v>191.5</v>
      </c>
      <c r="J156" s="1" t="n">
        <v>2.4</v>
      </c>
      <c r="K156" s="1" t="n">
        <f aca="false">K155+J156</f>
        <v>368</v>
      </c>
      <c r="L156" s="1" t="n">
        <v>0.8</v>
      </c>
      <c r="M156" s="1" t="n">
        <f aca="false">M155+L156</f>
        <v>167.7</v>
      </c>
      <c r="N156" s="1" t="n">
        <f aca="false">J156-L156</f>
        <v>1.6</v>
      </c>
      <c r="O156" s="25" t="n">
        <v>122.1</v>
      </c>
      <c r="P156" s="21" t="n">
        <v>151</v>
      </c>
      <c r="Q156" s="53" t="n">
        <f aca="false">1+((P156-122)/75)*(1.15-1)</f>
        <v>1.058</v>
      </c>
      <c r="R156" s="23" t="n">
        <f aca="false">Q156*L156</f>
        <v>0.8464</v>
      </c>
      <c r="S156" s="23" t="n">
        <f aca="false">J156-R156</f>
        <v>1.5536</v>
      </c>
      <c r="T156" s="26" t="n">
        <f aca="false">MIN(122.1,(T155+S156))</f>
        <v>122.1</v>
      </c>
      <c r="V156" s="27" t="n">
        <v>836.8</v>
      </c>
      <c r="W156" s="1" t="n">
        <f aca="false">V156/D156</f>
        <v>181.913043478261</v>
      </c>
      <c r="X156" s="1" t="n">
        <f aca="false">X155+V156</f>
        <v>87884.1</v>
      </c>
      <c r="Y156" s="1" t="n">
        <f aca="false">Y155+V156</f>
        <v>9365.7</v>
      </c>
      <c r="AA156" s="1" t="n">
        <v>9.53639584115395</v>
      </c>
    </row>
    <row r="157" customFormat="false" ht="15" hidden="false" customHeight="false" outlineLevel="0" collapsed="false">
      <c r="A157" s="50"/>
      <c r="B157" s="51"/>
      <c r="C157" s="16" t="n">
        <v>41671</v>
      </c>
      <c r="D157" s="1" t="n">
        <v>6.2</v>
      </c>
      <c r="E157" s="1" t="n">
        <v>5.4</v>
      </c>
      <c r="F157" s="1" t="n">
        <v>8</v>
      </c>
      <c r="G157" s="1" t="n">
        <f aca="false">G156+D157</f>
        <v>1453.6</v>
      </c>
      <c r="H157" s="1" t="n">
        <f aca="false">H156+D157</f>
        <v>197.7</v>
      </c>
      <c r="J157" s="1" t="n">
        <v>2</v>
      </c>
      <c r="K157" s="1" t="n">
        <f aca="false">K156+J157</f>
        <v>370</v>
      </c>
      <c r="L157" s="1" t="n">
        <v>0.7</v>
      </c>
      <c r="M157" s="1" t="n">
        <f aca="false">M156+L157</f>
        <v>168.4</v>
      </c>
      <c r="N157" s="1" t="n">
        <f aca="false">J157-L157</f>
        <v>1.3</v>
      </c>
      <c r="O157" s="25" t="n">
        <v>122.1</v>
      </c>
      <c r="P157" s="21" t="n">
        <v>152</v>
      </c>
      <c r="Q157" s="53" t="n">
        <f aca="false">1+((P157-122)/75)*(1.15-1)</f>
        <v>1.06</v>
      </c>
      <c r="R157" s="23" t="n">
        <f aca="false">Q157*L157</f>
        <v>0.742</v>
      </c>
      <c r="S157" s="23" t="n">
        <f aca="false">J157-R157</f>
        <v>1.258</v>
      </c>
      <c r="T157" s="26" t="n">
        <f aca="false">MIN(122.1,(T156+S157))</f>
        <v>122.1</v>
      </c>
      <c r="V157" s="27" t="n">
        <v>261.9</v>
      </c>
      <c r="W157" s="1" t="n">
        <f aca="false">V157/D157</f>
        <v>42.241935483871</v>
      </c>
      <c r="X157" s="1" t="n">
        <f aca="false">X156+V157</f>
        <v>88146</v>
      </c>
      <c r="Y157" s="1" t="n">
        <f aca="false">Y156+V157</f>
        <v>9627.6</v>
      </c>
      <c r="AA157" s="1" t="n">
        <v>9.58199818450757</v>
      </c>
    </row>
    <row r="158" customFormat="false" ht="15" hidden="false" customHeight="false" outlineLevel="0" collapsed="false">
      <c r="A158" s="50"/>
      <c r="B158" s="51"/>
      <c r="C158" s="16" t="n">
        <v>41672</v>
      </c>
      <c r="D158" s="31" t="n">
        <v>4</v>
      </c>
      <c r="E158" s="31" t="n">
        <v>1.2</v>
      </c>
      <c r="F158" s="1" t="n">
        <v>8</v>
      </c>
      <c r="G158" s="1" t="n">
        <f aca="false">G157+D158</f>
        <v>1457.6</v>
      </c>
      <c r="H158" s="1" t="n">
        <f aca="false">H157+D158</f>
        <v>201.7</v>
      </c>
      <c r="J158" s="1" t="n">
        <v>0.1</v>
      </c>
      <c r="K158" s="1" t="n">
        <f aca="false">K157+J158</f>
        <v>370.1</v>
      </c>
      <c r="L158" s="1" t="n">
        <v>0.9</v>
      </c>
      <c r="M158" s="1" t="n">
        <f aca="false">M157+L158</f>
        <v>169.3</v>
      </c>
      <c r="N158" s="19" t="n">
        <f aca="false">J158-L158</f>
        <v>-0.8</v>
      </c>
      <c r="O158" s="25" t="n">
        <f aca="false">O157+N158</f>
        <v>121.3</v>
      </c>
      <c r="P158" s="21" t="n">
        <v>153</v>
      </c>
      <c r="Q158" s="53" t="n">
        <f aca="false">1+((P158-122)/75)*(1.15-1)</f>
        <v>1.062</v>
      </c>
      <c r="R158" s="23" t="n">
        <f aca="false">Q158*L158</f>
        <v>0.9558</v>
      </c>
      <c r="S158" s="23" t="n">
        <f aca="false">J158-R158</f>
        <v>-0.8558</v>
      </c>
      <c r="T158" s="26" t="n">
        <f aca="false">MIN(122.1,(T157+S158))</f>
        <v>121.2442</v>
      </c>
      <c r="V158" s="27" t="n">
        <v>833.4</v>
      </c>
      <c r="W158" s="1" t="n">
        <f aca="false">V158/D158</f>
        <v>208.35</v>
      </c>
      <c r="X158" s="1" t="n">
        <f aca="false">X157+V158</f>
        <v>88979.4</v>
      </c>
      <c r="Y158" s="1" t="n">
        <f aca="false">Y157+V158</f>
        <v>10461</v>
      </c>
      <c r="AA158" s="1" t="n">
        <v>9.62820877904919</v>
      </c>
    </row>
    <row r="159" customFormat="false" ht="15" hidden="false" customHeight="false" outlineLevel="0" collapsed="false">
      <c r="A159" s="50"/>
      <c r="B159" s="51"/>
      <c r="C159" s="16" t="n">
        <v>41673</v>
      </c>
      <c r="D159" s="31" t="n">
        <v>4.8</v>
      </c>
      <c r="E159" s="30" t="n">
        <v>-0.8</v>
      </c>
      <c r="F159" s="1" t="n">
        <v>7.8</v>
      </c>
      <c r="G159" s="1" t="n">
        <f aca="false">G158+D159</f>
        <v>1462.4</v>
      </c>
      <c r="H159" s="1" t="n">
        <f aca="false">H158+D159</f>
        <v>206.5</v>
      </c>
      <c r="J159" s="1" t="n">
        <v>0.9</v>
      </c>
      <c r="K159" s="1" t="n">
        <f aca="false">K158+J159</f>
        <v>371</v>
      </c>
      <c r="L159" s="1" t="n">
        <v>0.7</v>
      </c>
      <c r="M159" s="1" t="n">
        <f aca="false">M158+L159</f>
        <v>170</v>
      </c>
      <c r="N159" s="1" t="n">
        <f aca="false">J159-L159</f>
        <v>0.2</v>
      </c>
      <c r="O159" s="25" t="n">
        <f aca="false">O158+N159</f>
        <v>121.5</v>
      </c>
      <c r="P159" s="21" t="n">
        <v>154</v>
      </c>
      <c r="Q159" s="53" t="n">
        <f aca="false">1+((P159-122)/75)*(1.15-1)</f>
        <v>1.064</v>
      </c>
      <c r="R159" s="23" t="n">
        <f aca="false">Q159*L159</f>
        <v>0.7448</v>
      </c>
      <c r="S159" s="23" t="n">
        <f aca="false">J159-R159</f>
        <v>0.1552</v>
      </c>
      <c r="T159" s="26" t="n">
        <f aca="false">MIN(122.1,(T158+S159))</f>
        <v>121.3994</v>
      </c>
      <c r="V159" s="27" t="n">
        <v>843.2</v>
      </c>
      <c r="W159" s="1" t="n">
        <f aca="false">V159/D159</f>
        <v>175.666666666667</v>
      </c>
      <c r="X159" s="1" t="n">
        <f aca="false">X158+V159</f>
        <v>89822.6</v>
      </c>
      <c r="Y159" s="1" t="n">
        <f aca="false">Y158+V159</f>
        <v>11304.2</v>
      </c>
      <c r="AA159" s="1" t="n">
        <v>9.67500306218346</v>
      </c>
    </row>
    <row r="160" customFormat="false" ht="15" hidden="false" customHeight="false" outlineLevel="0" collapsed="false">
      <c r="A160" s="50"/>
      <c r="B160" s="51"/>
      <c r="C160" s="16" t="n">
        <v>41674</v>
      </c>
      <c r="D160" s="1" t="n">
        <v>6.6</v>
      </c>
      <c r="E160" s="31" t="n">
        <v>3.8</v>
      </c>
      <c r="F160" s="1" t="n">
        <v>9.2</v>
      </c>
      <c r="G160" s="1" t="n">
        <f aca="false">G159+D160</f>
        <v>1469</v>
      </c>
      <c r="H160" s="1" t="n">
        <f aca="false">H159+D160</f>
        <v>213.1</v>
      </c>
      <c r="J160" s="1" t="n">
        <v>1.8</v>
      </c>
      <c r="K160" s="1" t="n">
        <f aca="false">K159+J160</f>
        <v>372.8</v>
      </c>
      <c r="L160" s="1" t="n">
        <v>1.2</v>
      </c>
      <c r="M160" s="1" t="n">
        <f aca="false">M159+L160</f>
        <v>171.2</v>
      </c>
      <c r="N160" s="1" t="n">
        <f aca="false">J160-L160</f>
        <v>0.6</v>
      </c>
      <c r="O160" s="25" t="n">
        <f aca="false">O159+N160</f>
        <v>122.1</v>
      </c>
      <c r="P160" s="21" t="n">
        <v>155</v>
      </c>
      <c r="Q160" s="53" t="n">
        <f aca="false">1+((P160-122)/75)*(1.15-1)</f>
        <v>1.066</v>
      </c>
      <c r="R160" s="23" t="n">
        <f aca="false">Q160*L160</f>
        <v>1.2792</v>
      </c>
      <c r="S160" s="23" t="n">
        <f aca="false">J160-R160</f>
        <v>0.5208</v>
      </c>
      <c r="T160" s="26" t="n">
        <f aca="false">MIN(122.1,(T159+S160))</f>
        <v>121.9202</v>
      </c>
      <c r="V160" s="27" t="n">
        <v>376.1</v>
      </c>
      <c r="W160" s="1" t="n">
        <f aca="false">V160/D160</f>
        <v>56.9848484848485</v>
      </c>
      <c r="X160" s="1" t="n">
        <f aca="false">X159+V160</f>
        <v>90198.7</v>
      </c>
      <c r="Y160" s="1" t="n">
        <f aca="false">Y159+V160</f>
        <v>11680.3</v>
      </c>
      <c r="AA160" s="1" t="n">
        <v>9.72235700647876</v>
      </c>
    </row>
    <row r="161" customFormat="false" ht="15" hidden="false" customHeight="false" outlineLevel="0" collapsed="false">
      <c r="A161" s="50"/>
      <c r="B161" s="51"/>
      <c r="C161" s="16" t="n">
        <v>41675</v>
      </c>
      <c r="D161" s="1" t="n">
        <v>7</v>
      </c>
      <c r="E161" s="1" t="n">
        <v>6.5</v>
      </c>
      <c r="F161" s="1" t="n">
        <v>8.1</v>
      </c>
      <c r="G161" s="1" t="n">
        <f aca="false">G160+D161</f>
        <v>1476</v>
      </c>
      <c r="H161" s="1" t="n">
        <f aca="false">H160+D161</f>
        <v>220.1</v>
      </c>
      <c r="J161" s="1" t="n">
        <v>1.2</v>
      </c>
      <c r="K161" s="1" t="n">
        <f aca="false">K160+J161</f>
        <v>374</v>
      </c>
      <c r="L161" s="1" t="n">
        <v>1.2</v>
      </c>
      <c r="M161" s="1" t="n">
        <f aca="false">M160+L161</f>
        <v>172.4</v>
      </c>
      <c r="N161" s="1" t="n">
        <f aca="false">J161-L161</f>
        <v>0</v>
      </c>
      <c r="O161" s="25" t="n">
        <f aca="false">O160+N161</f>
        <v>122.1</v>
      </c>
      <c r="P161" s="21" t="n">
        <v>156</v>
      </c>
      <c r="Q161" s="53" t="n">
        <f aca="false">1+((P161-122)/75)*(1.15-1)</f>
        <v>1.068</v>
      </c>
      <c r="R161" s="23" t="n">
        <f aca="false">Q161*L161</f>
        <v>1.2816</v>
      </c>
      <c r="S161" s="23" t="n">
        <f aca="false">J161-R161</f>
        <v>-0.0816000000000001</v>
      </c>
      <c r="T161" s="26" t="n">
        <f aca="false">MIN(122.1,(T160+S161))</f>
        <v>121.8386</v>
      </c>
      <c r="V161" s="27" t="n">
        <v>522.3</v>
      </c>
      <c r="W161" s="1" t="n">
        <f aca="false">V161/D161</f>
        <v>74.6142857142857</v>
      </c>
      <c r="X161" s="1" t="n">
        <f aca="false">X160+V161</f>
        <v>90721</v>
      </c>
      <c r="Y161" s="1" t="n">
        <f aca="false">Y160+V161</f>
        <v>12202.6</v>
      </c>
      <c r="AA161" s="1" t="n">
        <v>9.77024713667516</v>
      </c>
    </row>
    <row r="162" customFormat="false" ht="15" hidden="false" customHeight="false" outlineLevel="0" collapsed="false">
      <c r="A162" s="50"/>
      <c r="B162" s="51"/>
      <c r="C162" s="16" t="n">
        <v>41676</v>
      </c>
      <c r="D162" s="1" t="n">
        <v>9.6</v>
      </c>
      <c r="E162" s="31" t="n">
        <v>4.7</v>
      </c>
      <c r="F162" s="1" t="n">
        <v>13.1</v>
      </c>
      <c r="G162" s="1" t="n">
        <f aca="false">G161+D162</f>
        <v>1485.6</v>
      </c>
      <c r="H162" s="1" t="n">
        <f aca="false">H161+D162</f>
        <v>229.7</v>
      </c>
      <c r="J162" s="1" t="n">
        <v>0.8</v>
      </c>
      <c r="K162" s="1" t="n">
        <f aca="false">K161+J162</f>
        <v>374.8</v>
      </c>
      <c r="L162" s="1" t="n">
        <v>1.7</v>
      </c>
      <c r="M162" s="1" t="n">
        <f aca="false">M161+L162</f>
        <v>174.1</v>
      </c>
      <c r="N162" s="19" t="n">
        <f aca="false">J162-L162</f>
        <v>-0.9</v>
      </c>
      <c r="O162" s="25" t="n">
        <f aca="false">O161+N162</f>
        <v>121.2</v>
      </c>
      <c r="P162" s="21" t="n">
        <v>157</v>
      </c>
      <c r="Q162" s="53" t="n">
        <f aca="false">1+((P162-122)/75)*(1.15-1)</f>
        <v>1.07</v>
      </c>
      <c r="R162" s="23" t="n">
        <f aca="false">Q162*L162</f>
        <v>1.819</v>
      </c>
      <c r="S162" s="23" t="n">
        <f aca="false">J162-R162</f>
        <v>-1.019</v>
      </c>
      <c r="T162" s="26" t="n">
        <f aca="false">MIN(122.1,(T161+S162))</f>
        <v>120.8196</v>
      </c>
      <c r="V162" s="27" t="n">
        <v>338.5</v>
      </c>
      <c r="W162" s="1" t="n">
        <f aca="false">V162/D162</f>
        <v>35.2604166666667</v>
      </c>
      <c r="X162" s="1" t="n">
        <f aca="false">X161+V162</f>
        <v>91059.5</v>
      </c>
      <c r="Y162" s="1" t="n">
        <f aca="false">Y161+V162</f>
        <v>12541.1</v>
      </c>
      <c r="AA162" s="1" t="n">
        <v>9.81865054384372</v>
      </c>
    </row>
    <row r="163" customFormat="false" ht="15" hidden="false" customHeight="false" outlineLevel="0" collapsed="false">
      <c r="A163" s="50"/>
      <c r="B163" s="51"/>
      <c r="C163" s="16" t="n">
        <v>41677</v>
      </c>
      <c r="D163" s="1" t="n">
        <v>9.5</v>
      </c>
      <c r="E163" s="1" t="n">
        <v>8.5</v>
      </c>
      <c r="F163" s="1" t="n">
        <v>10.7</v>
      </c>
      <c r="G163" s="1" t="n">
        <f aca="false">G162+D163</f>
        <v>1495.1</v>
      </c>
      <c r="H163" s="1" t="n">
        <f aca="false">H162+D163</f>
        <v>239.2</v>
      </c>
      <c r="J163" s="56" t="n">
        <v>1.6</v>
      </c>
      <c r="K163" s="1" t="n">
        <f aca="false">K162+J163</f>
        <v>376.4</v>
      </c>
      <c r="L163" s="1" t="n">
        <v>2.4</v>
      </c>
      <c r="M163" s="1" t="n">
        <f aca="false">M162+L163</f>
        <v>176.5</v>
      </c>
      <c r="N163" s="19" t="n">
        <f aca="false">J163-L163</f>
        <v>-0.8</v>
      </c>
      <c r="O163" s="25" t="n">
        <f aca="false">O162+N163</f>
        <v>120.4</v>
      </c>
      <c r="P163" s="21" t="n">
        <v>158</v>
      </c>
      <c r="Q163" s="53" t="n">
        <f aca="false">1+((P163-122)/75)*(1.15-1)</f>
        <v>1.072</v>
      </c>
      <c r="R163" s="23" t="n">
        <f aca="false">Q163*L163</f>
        <v>2.5728</v>
      </c>
      <c r="S163" s="23" t="n">
        <f aca="false">J163-R163</f>
        <v>-0.9728</v>
      </c>
      <c r="T163" s="26" t="n">
        <f aca="false">MIN(122.1,(T162+S163))</f>
        <v>119.8468</v>
      </c>
      <c r="V163" s="27" t="n">
        <v>575.6</v>
      </c>
      <c r="W163" s="1" t="n">
        <f aca="false">V163/D163</f>
        <v>60.5894736842105</v>
      </c>
      <c r="X163" s="1" t="n">
        <f aca="false">X162+V163</f>
        <v>91635.1</v>
      </c>
      <c r="Y163" s="1" t="n">
        <f aca="false">Y162+V163</f>
        <v>13116.7</v>
      </c>
      <c r="AA163" s="1" t="n">
        <v>9.86754489683116</v>
      </c>
      <c r="AB163" s="57" t="s">
        <v>47</v>
      </c>
    </row>
    <row r="164" customFormat="false" ht="15" hidden="false" customHeight="false" outlineLevel="0" collapsed="false">
      <c r="A164" s="50"/>
      <c r="B164" s="51"/>
      <c r="C164" s="16" t="n">
        <v>41678</v>
      </c>
      <c r="D164" s="1" t="n">
        <v>6.8</v>
      </c>
      <c r="E164" s="1" t="n">
        <v>5.6</v>
      </c>
      <c r="F164" s="1" t="n">
        <v>8.5</v>
      </c>
      <c r="G164" s="1" t="n">
        <f aca="false">G163+D164</f>
        <v>1501.9</v>
      </c>
      <c r="H164" s="1" t="n">
        <f aca="false">H163+D164</f>
        <v>246</v>
      </c>
      <c r="J164" s="56" t="n">
        <v>10.8</v>
      </c>
      <c r="K164" s="1" t="n">
        <f aca="false">K163+J164</f>
        <v>387.2</v>
      </c>
      <c r="L164" s="1" t="n">
        <v>1</v>
      </c>
      <c r="M164" s="1" t="n">
        <f aca="false">M163+L164</f>
        <v>177.5</v>
      </c>
      <c r="N164" s="1" t="n">
        <f aca="false">J164-L164</f>
        <v>9.8</v>
      </c>
      <c r="O164" s="25" t="n">
        <v>122.1</v>
      </c>
      <c r="P164" s="21" t="n">
        <v>159</v>
      </c>
      <c r="Q164" s="53" t="n">
        <f aca="false">1+((P164-122)/75)*(1.15-1)</f>
        <v>1.074</v>
      </c>
      <c r="R164" s="23" t="n">
        <f aca="false">Q164*L164</f>
        <v>1.074</v>
      </c>
      <c r="S164" s="23" t="n">
        <f aca="false">J164-R164</f>
        <v>9.726</v>
      </c>
      <c r="T164" s="26" t="n">
        <f aca="false">MIN(122.1,(T163+S164))</f>
        <v>122.1</v>
      </c>
      <c r="V164" s="27" t="n">
        <v>197.8</v>
      </c>
      <c r="W164" s="1" t="n">
        <f aca="false">V164/D164</f>
        <v>29.0882352941177</v>
      </c>
      <c r="X164" s="1" t="n">
        <f aca="false">X163+V164</f>
        <v>91832.9</v>
      </c>
      <c r="Y164" s="1" t="n">
        <f aca="false">Y163+V164</f>
        <v>13314.5</v>
      </c>
      <c r="AA164" s="1" t="n">
        <v>9.91690845112729</v>
      </c>
      <c r="AB164" s="28" t="n">
        <f aca="false">AVERAGE(T170:T183)</f>
        <v>121.128371428571</v>
      </c>
    </row>
    <row r="165" customFormat="false" ht="15" hidden="false" customHeight="false" outlineLevel="0" collapsed="false">
      <c r="A165" s="50"/>
      <c r="B165" s="51"/>
      <c r="C165" s="16" t="n">
        <v>41679</v>
      </c>
      <c r="D165" s="31" t="n">
        <v>4.8</v>
      </c>
      <c r="E165" s="31" t="n">
        <v>2.7</v>
      </c>
      <c r="F165" s="1" t="n">
        <v>6.8</v>
      </c>
      <c r="G165" s="1" t="n">
        <f aca="false">G164+D165</f>
        <v>1506.7</v>
      </c>
      <c r="H165" s="1" t="n">
        <f aca="false">H164+D165</f>
        <v>250.8</v>
      </c>
      <c r="J165" s="56" t="n">
        <v>3.6</v>
      </c>
      <c r="K165" s="1" t="n">
        <f aca="false">K164+J165</f>
        <v>390.8</v>
      </c>
      <c r="L165" s="1" t="n">
        <v>0.8</v>
      </c>
      <c r="M165" s="1" t="n">
        <f aca="false">M164+L165</f>
        <v>178.3</v>
      </c>
      <c r="N165" s="1" t="n">
        <f aca="false">J165-L165</f>
        <v>2.8</v>
      </c>
      <c r="O165" s="25" t="n">
        <v>122.1</v>
      </c>
      <c r="P165" s="21" t="n">
        <v>160</v>
      </c>
      <c r="Q165" s="53" t="n">
        <f aca="false">1+((P165-122)/75)*(1.15-1)</f>
        <v>1.076</v>
      </c>
      <c r="R165" s="23" t="n">
        <f aca="false">Q165*L165</f>
        <v>0.8608</v>
      </c>
      <c r="S165" s="23" t="n">
        <f aca="false">J165-R165</f>
        <v>2.7392</v>
      </c>
      <c r="T165" s="26" t="n">
        <f aca="false">MIN(122.1,(T164+S165))</f>
        <v>122.1</v>
      </c>
      <c r="V165" s="27" t="n">
        <v>497.9</v>
      </c>
      <c r="W165" s="1" t="n">
        <f aca="false">V165/D165</f>
        <v>103.729166666667</v>
      </c>
      <c r="X165" s="1" t="n">
        <f aca="false">X164+V165</f>
        <v>92330.8</v>
      </c>
      <c r="Y165" s="1" t="n">
        <f aca="false">Y164+V165</f>
        <v>13812.4</v>
      </c>
      <c r="AA165" s="1" t="n">
        <v>9.96672005529559</v>
      </c>
      <c r="AB165" s="57" t="s">
        <v>48</v>
      </c>
    </row>
    <row r="166" customFormat="false" ht="15" hidden="false" customHeight="false" outlineLevel="0" collapsed="false">
      <c r="A166" s="50"/>
      <c r="B166" s="51"/>
      <c r="C166" s="16" t="n">
        <v>41680</v>
      </c>
      <c r="D166" s="31" t="n">
        <v>5</v>
      </c>
      <c r="E166" s="31" t="n">
        <v>4.5</v>
      </c>
      <c r="F166" s="1" t="n">
        <v>6.1</v>
      </c>
      <c r="G166" s="1" t="n">
        <f aca="false">G165+D166</f>
        <v>1511.7</v>
      </c>
      <c r="H166" s="1" t="n">
        <f aca="false">H165+D166</f>
        <v>255.8</v>
      </c>
      <c r="J166" s="56" t="n">
        <v>4.7</v>
      </c>
      <c r="K166" s="1" t="n">
        <f aca="false">K165+J166</f>
        <v>395.5</v>
      </c>
      <c r="L166" s="1" t="n">
        <v>0.5</v>
      </c>
      <c r="M166" s="1" t="n">
        <f aca="false">M165+L166</f>
        <v>178.8</v>
      </c>
      <c r="N166" s="1" t="n">
        <f aca="false">J166-L166</f>
        <v>4.2</v>
      </c>
      <c r="O166" s="25" t="n">
        <v>122.1</v>
      </c>
      <c r="P166" s="21" t="n">
        <v>161</v>
      </c>
      <c r="Q166" s="53" t="n">
        <f aca="false">1+((P166-122)/75)*(1.15-1)</f>
        <v>1.078</v>
      </c>
      <c r="R166" s="23" t="n">
        <f aca="false">Q166*L166</f>
        <v>0.539</v>
      </c>
      <c r="S166" s="23" t="n">
        <f aca="false">J166-R166</f>
        <v>4.161</v>
      </c>
      <c r="T166" s="26" t="n">
        <f aca="false">MIN(122.1,(T165+S166))</f>
        <v>122.1</v>
      </c>
      <c r="V166" s="27" t="n">
        <v>252.5</v>
      </c>
      <c r="W166" s="1" t="n">
        <f aca="false">V166/D166</f>
        <v>50.5</v>
      </c>
      <c r="X166" s="1" t="n">
        <f aca="false">X165+V166</f>
        <v>92583.3</v>
      </c>
      <c r="Y166" s="1" t="n">
        <f aca="false">Y165+V166</f>
        <v>14064.9</v>
      </c>
      <c r="AA166" s="1" t="n">
        <v>10.0169591551084</v>
      </c>
      <c r="AB166" s="1" t="n">
        <v>0</v>
      </c>
    </row>
    <row r="167" customFormat="false" ht="15" hidden="false" customHeight="false" outlineLevel="0" collapsed="false">
      <c r="A167" s="50"/>
      <c r="B167" s="51"/>
      <c r="C167" s="16" t="n">
        <v>41681</v>
      </c>
      <c r="D167" s="31" t="n">
        <v>4.1</v>
      </c>
      <c r="E167" s="31" t="n">
        <v>0.9</v>
      </c>
      <c r="F167" s="1" t="n">
        <v>7.3</v>
      </c>
      <c r="G167" s="1" t="n">
        <f aca="false">G166+D167</f>
        <v>1515.8</v>
      </c>
      <c r="H167" s="1" t="n">
        <f aca="false">H166+D167</f>
        <v>259.9</v>
      </c>
      <c r="J167" s="56" t="n">
        <v>4.8</v>
      </c>
      <c r="K167" s="1" t="n">
        <f aca="false">K166+J167</f>
        <v>400.3</v>
      </c>
      <c r="L167" s="1" t="n">
        <v>0.6</v>
      </c>
      <c r="M167" s="1" t="n">
        <f aca="false">M166+L167</f>
        <v>179.4</v>
      </c>
      <c r="N167" s="1" t="n">
        <f aca="false">J167-L167</f>
        <v>4.2</v>
      </c>
      <c r="O167" s="25" t="n">
        <v>122.1</v>
      </c>
      <c r="P167" s="21" t="n">
        <v>162</v>
      </c>
      <c r="Q167" s="53" t="n">
        <f aca="false">1+((P167-122)/75)*(1.15-1)</f>
        <v>1.08</v>
      </c>
      <c r="R167" s="23" t="n">
        <f aca="false">Q167*L167</f>
        <v>0.648</v>
      </c>
      <c r="S167" s="23" t="n">
        <f aca="false">J167-R167</f>
        <v>4.152</v>
      </c>
      <c r="T167" s="26" t="n">
        <f aca="false">MIN(122.1,(T166+S167))</f>
        <v>122.1</v>
      </c>
      <c r="V167" s="27" t="n">
        <v>590.6</v>
      </c>
      <c r="W167" s="1" t="n">
        <f aca="false">V167/D167</f>
        <v>144.048780487805</v>
      </c>
      <c r="X167" s="1" t="n">
        <f aca="false">X166+V167</f>
        <v>93173.9</v>
      </c>
      <c r="Y167" s="1" t="n">
        <f aca="false">Y166+V167</f>
        <v>14655.5</v>
      </c>
      <c r="AA167" s="1" t="n">
        <v>10.0676057955279</v>
      </c>
      <c r="AB167" s="57" t="s">
        <v>49</v>
      </c>
    </row>
    <row r="168" customFormat="false" ht="15" hidden="false" customHeight="false" outlineLevel="0" collapsed="false">
      <c r="A168" s="50"/>
      <c r="B168" s="51"/>
      <c r="C168" s="16" t="n">
        <v>41682</v>
      </c>
      <c r="D168" s="1" t="n">
        <v>5.9</v>
      </c>
      <c r="E168" s="31" t="n">
        <v>0.9</v>
      </c>
      <c r="F168" s="1" t="n">
        <v>8.9</v>
      </c>
      <c r="G168" s="1" t="n">
        <f aca="false">G167+D168</f>
        <v>1521.7</v>
      </c>
      <c r="H168" s="1" t="n">
        <f aca="false">H167+D168</f>
        <v>265.8</v>
      </c>
      <c r="J168" s="56" t="n">
        <v>8.8</v>
      </c>
      <c r="K168" s="1" t="n">
        <f aca="false">K167+J168</f>
        <v>409.1</v>
      </c>
      <c r="L168" s="1" t="n">
        <v>0.8</v>
      </c>
      <c r="M168" s="1" t="n">
        <f aca="false">M167+L168</f>
        <v>180.2</v>
      </c>
      <c r="N168" s="1" t="n">
        <f aca="false">J168-L168</f>
        <v>8</v>
      </c>
      <c r="O168" s="25" t="n">
        <v>122.1</v>
      </c>
      <c r="P168" s="21" t="n">
        <v>163</v>
      </c>
      <c r="Q168" s="53" t="n">
        <f aca="false">1+((P168-122)/75)*(1.15-1)</f>
        <v>1.082</v>
      </c>
      <c r="R168" s="23" t="n">
        <f aca="false">Q168*L168</f>
        <v>0.8656</v>
      </c>
      <c r="S168" s="23" t="n">
        <f aca="false">J168-R168</f>
        <v>7.9344</v>
      </c>
      <c r="T168" s="26" t="n">
        <f aca="false">MIN(122.1,(T167+S168))</f>
        <v>122.1</v>
      </c>
      <c r="V168" s="1" t="n">
        <v>942.4</v>
      </c>
      <c r="W168" s="1" t="n">
        <f aca="false">V168/D168</f>
        <v>159.728813559322</v>
      </c>
      <c r="X168" s="1" t="n">
        <f aca="false">X167+V168</f>
        <v>94116.3</v>
      </c>
      <c r="Y168" s="1" t="n">
        <f aca="false">Y167+V168</f>
        <v>15597.9</v>
      </c>
      <c r="AA168" s="1" t="n">
        <v>10.1186406206742</v>
      </c>
      <c r="AB168" s="1" t="n">
        <v>2</v>
      </c>
    </row>
    <row r="169" customFormat="false" ht="15" hidden="false" customHeight="false" outlineLevel="0" collapsed="false">
      <c r="A169" s="50"/>
      <c r="B169" s="51"/>
      <c r="C169" s="16" t="n">
        <v>41683</v>
      </c>
      <c r="D169" s="1" t="n">
        <v>7.7</v>
      </c>
      <c r="E169" s="1" t="n">
        <v>6.2</v>
      </c>
      <c r="F169" s="1" t="n">
        <v>10.3</v>
      </c>
      <c r="G169" s="1" t="n">
        <f aca="false">G168+D169</f>
        <v>1529.4</v>
      </c>
      <c r="H169" s="1" t="n">
        <f aca="false">H168+D169</f>
        <v>273.5</v>
      </c>
      <c r="J169" s="56" t="n">
        <v>7.1</v>
      </c>
      <c r="K169" s="1" t="n">
        <f aca="false">K168+J169</f>
        <v>416.2</v>
      </c>
      <c r="L169" s="1" t="n">
        <v>1.1</v>
      </c>
      <c r="M169" s="1" t="n">
        <f aca="false">M168+L169</f>
        <v>181.3</v>
      </c>
      <c r="N169" s="1" t="n">
        <f aca="false">J169-L169</f>
        <v>6</v>
      </c>
      <c r="O169" s="25" t="n">
        <v>122.1</v>
      </c>
      <c r="P169" s="21" t="n">
        <v>164</v>
      </c>
      <c r="Q169" s="53" t="n">
        <f aca="false">1+((P169-122)/75)*(1.15-1)</f>
        <v>1.084</v>
      </c>
      <c r="R169" s="23" t="n">
        <f aca="false">Q169*L169</f>
        <v>1.1924</v>
      </c>
      <c r="S169" s="23" t="n">
        <f aca="false">J169-R169</f>
        <v>5.9076</v>
      </c>
      <c r="T169" s="26" t="n">
        <f aca="false">MIN(122.1,(T168+S169))</f>
        <v>122.1</v>
      </c>
      <c r="V169" s="27" t="n">
        <v>198.4</v>
      </c>
      <c r="W169" s="1" t="n">
        <f aca="false">V169/D169</f>
        <v>25.7662337662338</v>
      </c>
      <c r="X169" s="1" t="n">
        <f aca="false">X168+V169</f>
        <v>94314.7</v>
      </c>
      <c r="Y169" s="1" t="n">
        <f aca="false">Y168+V169</f>
        <v>15796.3</v>
      </c>
      <c r="AA169" s="1" t="n">
        <v>10.1700448719174</v>
      </c>
      <c r="AB169" s="57" t="s">
        <v>50</v>
      </c>
    </row>
    <row r="170" customFormat="false" ht="15" hidden="false" customHeight="false" outlineLevel="0" collapsed="false">
      <c r="A170" s="50"/>
      <c r="B170" s="51"/>
      <c r="C170" s="16" t="n">
        <v>41684</v>
      </c>
      <c r="D170" s="1" t="n">
        <v>10.6</v>
      </c>
      <c r="E170" s="31" t="n">
        <v>4.9</v>
      </c>
      <c r="F170" s="1" t="n">
        <v>15.7</v>
      </c>
      <c r="G170" s="1" t="n">
        <f aca="false">G169+D170</f>
        <v>1540</v>
      </c>
      <c r="H170" s="1" t="n">
        <f aca="false">H169+D170</f>
        <v>284.1</v>
      </c>
      <c r="J170" s="56" t="n">
        <v>2.3</v>
      </c>
      <c r="K170" s="1" t="n">
        <f aca="false">K169+J170</f>
        <v>418.5</v>
      </c>
      <c r="L170" s="1" t="n">
        <v>1.4</v>
      </c>
      <c r="M170" s="1" t="n">
        <f aca="false">M169+L170</f>
        <v>182.7</v>
      </c>
      <c r="N170" s="1" t="n">
        <f aca="false">J170-L170</f>
        <v>0.9</v>
      </c>
      <c r="O170" s="25" t="n">
        <v>122.1</v>
      </c>
      <c r="P170" s="21" t="n">
        <v>165</v>
      </c>
      <c r="Q170" s="53" t="n">
        <f aca="false">1+((P170-122)/75)*(1.15-1)</f>
        <v>1.086</v>
      </c>
      <c r="R170" s="23" t="n">
        <f aca="false">Q170*L170</f>
        <v>1.5204</v>
      </c>
      <c r="S170" s="23" t="n">
        <f aca="false">J170-R170</f>
        <v>0.7796</v>
      </c>
      <c r="T170" s="58" t="n">
        <f aca="false">MIN(122.1,(T169+S170))</f>
        <v>122.1</v>
      </c>
      <c r="V170" s="27" t="n">
        <v>429.3</v>
      </c>
      <c r="W170" s="1" t="n">
        <f aca="false">V170/D170</f>
        <v>40.5</v>
      </c>
      <c r="X170" s="1" t="n">
        <f aca="false">X169+V170</f>
        <v>94744</v>
      </c>
      <c r="Y170" s="1" t="n">
        <f aca="false">Y169+V170</f>
        <v>16225.6</v>
      </c>
      <c r="AA170" s="1" t="n">
        <v>10.2218003842305</v>
      </c>
      <c r="AB170" s="8" t="n">
        <v>4</v>
      </c>
    </row>
    <row r="171" customFormat="false" ht="15" hidden="false" customHeight="false" outlineLevel="0" collapsed="false">
      <c r="A171" s="50"/>
      <c r="B171" s="51"/>
      <c r="C171" s="16" t="n">
        <v>41685</v>
      </c>
      <c r="D171" s="1" t="n">
        <v>8</v>
      </c>
      <c r="E171" s="1" t="n">
        <v>7.4</v>
      </c>
      <c r="F171" s="1" t="n">
        <v>8.9</v>
      </c>
      <c r="G171" s="1" t="n">
        <f aca="false">G170+D171</f>
        <v>1548</v>
      </c>
      <c r="H171" s="1" t="n">
        <f aca="false">H170+D171</f>
        <v>292.1</v>
      </c>
      <c r="J171" s="56" t="n">
        <v>7.3</v>
      </c>
      <c r="K171" s="1" t="n">
        <f aca="false">K170+J171</f>
        <v>425.8</v>
      </c>
      <c r="L171" s="1" t="n">
        <v>0.9</v>
      </c>
      <c r="M171" s="1" t="n">
        <f aca="false">M170+L171</f>
        <v>183.6</v>
      </c>
      <c r="N171" s="1" t="n">
        <f aca="false">J171-L171</f>
        <v>6.4</v>
      </c>
      <c r="O171" s="25" t="n">
        <v>122.1</v>
      </c>
      <c r="P171" s="21" t="n">
        <v>166</v>
      </c>
      <c r="Q171" s="53" t="n">
        <f aca="false">1+((P171-122)/75)*(1.15-1)</f>
        <v>1.088</v>
      </c>
      <c r="R171" s="23" t="n">
        <f aca="false">Q171*L171</f>
        <v>0.9792</v>
      </c>
      <c r="S171" s="23" t="n">
        <f aca="false">J171-R171</f>
        <v>6.3208</v>
      </c>
      <c r="T171" s="58" t="n">
        <f aca="false">MIN(122.1,(T170+S171))</f>
        <v>122.1</v>
      </c>
      <c r="V171" s="27" t="n">
        <v>363.4</v>
      </c>
      <c r="W171" s="1" t="n">
        <f aca="false">V171/D171</f>
        <v>45.425</v>
      </c>
      <c r="X171" s="1" t="n">
        <f aca="false">X170+V171</f>
        <v>95107.4</v>
      </c>
      <c r="Y171" s="1" t="n">
        <f aca="false">Y170+V171</f>
        <v>16589</v>
      </c>
      <c r="AA171" s="1" t="n">
        <v>10.2738895809354</v>
      </c>
      <c r="AB171" s="57" t="s">
        <v>51</v>
      </c>
    </row>
    <row r="172" customFormat="false" ht="15" hidden="false" customHeight="false" outlineLevel="0" collapsed="false">
      <c r="A172" s="50"/>
      <c r="B172" s="51"/>
      <c r="C172" s="16" t="n">
        <v>41686</v>
      </c>
      <c r="D172" s="1" t="n">
        <v>6.9</v>
      </c>
      <c r="E172" s="1" t="n">
        <v>5.6</v>
      </c>
      <c r="F172" s="1" t="n">
        <v>9.5</v>
      </c>
      <c r="G172" s="1" t="n">
        <f aca="false">G171+D172</f>
        <v>1554.9</v>
      </c>
      <c r="H172" s="1" t="n">
        <f aca="false">H171+D172</f>
        <v>299</v>
      </c>
      <c r="J172" s="56" t="n">
        <v>0.3</v>
      </c>
      <c r="K172" s="1" t="n">
        <f aca="false">K171+J172</f>
        <v>426.1</v>
      </c>
      <c r="L172" s="1" t="n">
        <v>0.9</v>
      </c>
      <c r="M172" s="1" t="n">
        <f aca="false">M171+L172</f>
        <v>184.5</v>
      </c>
      <c r="N172" s="19" t="n">
        <f aca="false">J172-L172</f>
        <v>-0.6</v>
      </c>
      <c r="O172" s="25" t="n">
        <f aca="false">O171+N172</f>
        <v>121.5</v>
      </c>
      <c r="P172" s="21" t="n">
        <v>167</v>
      </c>
      <c r="Q172" s="53" t="n">
        <f aca="false">1+((P172-122)/75)*(1.15-1)</f>
        <v>1.09</v>
      </c>
      <c r="R172" s="23" t="n">
        <f aca="false">Q172*L172</f>
        <v>0.981</v>
      </c>
      <c r="S172" s="23" t="n">
        <f aca="false">J172-R172</f>
        <v>-0.681</v>
      </c>
      <c r="T172" s="58" t="n">
        <f aca="false">MIN(122.1,(T171+S172))</f>
        <v>121.419</v>
      </c>
      <c r="V172" s="27" t="n">
        <v>437.5</v>
      </c>
      <c r="W172" s="1" t="n">
        <f aca="false">V172/D172</f>
        <v>63.4057971014493</v>
      </c>
      <c r="X172" s="1" t="n">
        <f aca="false">X171+V172</f>
        <v>95544.9</v>
      </c>
      <c r="Y172" s="1" t="n">
        <f aca="false">Y171+V172</f>
        <v>17026.5</v>
      </c>
      <c r="AA172" s="1" t="n">
        <v>10.3262954669682</v>
      </c>
      <c r="AB172" s="1" t="n">
        <f aca="false">SUM(J174:J183)</f>
        <v>26.8</v>
      </c>
    </row>
    <row r="173" s="61" customFormat="true" ht="15" hidden="false" customHeight="false" outlineLevel="0" collapsed="false">
      <c r="A173" s="50"/>
      <c r="B173" s="59" t="s">
        <v>52</v>
      </c>
      <c r="C173" s="60" t="n">
        <v>41687</v>
      </c>
      <c r="D173" s="61" t="n">
        <v>5.8</v>
      </c>
      <c r="E173" s="61" t="n">
        <v>1.6</v>
      </c>
      <c r="F173" s="61" t="n">
        <v>11</v>
      </c>
      <c r="G173" s="61" t="n">
        <f aca="false">G172+D173</f>
        <v>1560.7</v>
      </c>
      <c r="H173" s="61" t="n">
        <f aca="false">H172+D173</f>
        <v>304.8</v>
      </c>
      <c r="J173" s="61" t="n">
        <v>0</v>
      </c>
      <c r="K173" s="61" t="n">
        <f aca="false">K172+J173</f>
        <v>426.1</v>
      </c>
      <c r="L173" s="61" t="n">
        <v>1.3</v>
      </c>
      <c r="M173" s="61" t="n">
        <f aca="false">M172+L173</f>
        <v>185.8</v>
      </c>
      <c r="N173" s="61" t="n">
        <f aca="false">J173-L173</f>
        <v>-1.3</v>
      </c>
      <c r="O173" s="61" t="n">
        <f aca="false">O172+N173</f>
        <v>120.2</v>
      </c>
      <c r="P173" s="62" t="n">
        <v>168</v>
      </c>
      <c r="Q173" s="63" t="n">
        <f aca="false">1+((P173-122)/75)*(1.15-1)</f>
        <v>1.092</v>
      </c>
      <c r="R173" s="64" t="n">
        <f aca="false">Q173*L173</f>
        <v>1.4196</v>
      </c>
      <c r="S173" s="64" t="n">
        <f aca="false">J173-R173</f>
        <v>-1.4196</v>
      </c>
      <c r="T173" s="65" t="n">
        <f aca="false">MIN(122.1,(T172+S173))</f>
        <v>119.9994</v>
      </c>
      <c r="V173" s="61" t="n">
        <v>1172.7</v>
      </c>
      <c r="W173" s="61" t="n">
        <f aca="false">V173/D173</f>
        <v>202.189655172414</v>
      </c>
      <c r="X173" s="61" t="n">
        <f aca="false">X172+V173</f>
        <v>96717.6</v>
      </c>
      <c r="Y173" s="61" t="n">
        <f aca="false">Y172+V173</f>
        <v>18199.2</v>
      </c>
      <c r="AA173" s="61" t="n">
        <v>10.3790016207895</v>
      </c>
    </row>
    <row r="174" customFormat="false" ht="15" hidden="false" customHeight="false" outlineLevel="0" collapsed="false">
      <c r="A174" s="50"/>
      <c r="B174" s="51"/>
      <c r="C174" s="16" t="n">
        <v>41688</v>
      </c>
      <c r="D174" s="1" t="n">
        <v>6.3</v>
      </c>
      <c r="E174" s="31" t="n">
        <v>2.7</v>
      </c>
      <c r="F174" s="1" t="n">
        <v>10.2</v>
      </c>
      <c r="G174" s="1" t="n">
        <f aca="false">G173+D174</f>
        <v>1567</v>
      </c>
      <c r="H174" s="1" t="n">
        <f aca="false">H173+D174</f>
        <v>311.1</v>
      </c>
      <c r="J174" s="56" t="n">
        <v>0.6</v>
      </c>
      <c r="K174" s="1" t="n">
        <f aca="false">K173+J174</f>
        <v>426.7</v>
      </c>
      <c r="L174" s="1" t="n">
        <v>0.6</v>
      </c>
      <c r="M174" s="1" t="n">
        <f aca="false">M173+L174</f>
        <v>186.4</v>
      </c>
      <c r="N174" s="1" t="n">
        <f aca="false">J174-L174</f>
        <v>0</v>
      </c>
      <c r="O174" s="25" t="n">
        <f aca="false">O173+N174</f>
        <v>120.2</v>
      </c>
      <c r="P174" s="21" t="n">
        <v>169</v>
      </c>
      <c r="Q174" s="53" t="n">
        <f aca="false">1+((P174-122)/75)*(1.15-1)</f>
        <v>1.094</v>
      </c>
      <c r="R174" s="23" t="n">
        <f aca="false">Q174*L174</f>
        <v>0.6564</v>
      </c>
      <c r="S174" s="23" t="n">
        <f aca="false">J174-R174</f>
        <v>-0.0563999999999999</v>
      </c>
      <c r="T174" s="58" t="n">
        <f aca="false">MIN(122.1,(T173+S174))</f>
        <v>119.943</v>
      </c>
      <c r="V174" s="27" t="n">
        <v>437.7</v>
      </c>
      <c r="W174" s="1" t="n">
        <f aca="false">V174/D174</f>
        <v>69.4761904761905</v>
      </c>
      <c r="X174" s="1" t="n">
        <f aca="false">X173+V174</f>
        <v>97155.3</v>
      </c>
      <c r="Y174" s="1" t="n">
        <f aca="false">Y173+V174</f>
        <v>18636.9</v>
      </c>
      <c r="AA174" s="1" t="n">
        <v>10.4319921850562</v>
      </c>
    </row>
    <row r="175" customFormat="false" ht="15" hidden="false" customHeight="false" outlineLevel="0" collapsed="false">
      <c r="A175" s="50"/>
      <c r="B175" s="51"/>
      <c r="C175" s="16" t="n">
        <v>41689</v>
      </c>
      <c r="D175" s="1" t="n">
        <v>7.6</v>
      </c>
      <c r="E175" s="31" t="n">
        <v>4.5</v>
      </c>
      <c r="F175" s="1" t="n">
        <v>10</v>
      </c>
      <c r="G175" s="1" t="n">
        <f aca="false">G174+D175</f>
        <v>1574.6</v>
      </c>
      <c r="H175" s="1" t="n">
        <f aca="false">H174+D175</f>
        <v>318.7</v>
      </c>
      <c r="J175" s="56" t="n">
        <v>1.4</v>
      </c>
      <c r="K175" s="1" t="n">
        <f aca="false">K174+J175</f>
        <v>428.1</v>
      </c>
      <c r="L175" s="1" t="n">
        <v>0.5</v>
      </c>
      <c r="M175" s="1" t="n">
        <f aca="false">M174+L175</f>
        <v>186.9</v>
      </c>
      <c r="N175" s="1" t="n">
        <f aca="false">J175-L175</f>
        <v>0.9</v>
      </c>
      <c r="O175" s="25" t="n">
        <f aca="false">O174+N175</f>
        <v>121.1</v>
      </c>
      <c r="P175" s="21" t="n">
        <v>170</v>
      </c>
      <c r="Q175" s="53" t="n">
        <f aca="false">1+((P175-122)/75)*(1.15-1)</f>
        <v>1.096</v>
      </c>
      <c r="R175" s="23" t="n">
        <f aca="false">Q175*L175</f>
        <v>0.548</v>
      </c>
      <c r="S175" s="23" t="n">
        <f aca="false">J175-R175</f>
        <v>0.852</v>
      </c>
      <c r="T175" s="58" t="n">
        <f aca="false">MIN(122.1,(T174+S175))</f>
        <v>120.795</v>
      </c>
      <c r="V175" s="27" t="n">
        <v>437.8</v>
      </c>
      <c r="W175" s="1" t="n">
        <f aca="false">V175/D175</f>
        <v>57.6052631578947</v>
      </c>
      <c r="X175" s="1" t="n">
        <f aca="false">X174+V175</f>
        <v>97593.1</v>
      </c>
      <c r="Y175" s="1" t="n">
        <f aca="false">Y174+V175</f>
        <v>19074.7</v>
      </c>
      <c r="AA175" s="1" t="n">
        <v>10.4852518561687</v>
      </c>
    </row>
    <row r="176" customFormat="false" ht="15" hidden="false" customHeight="false" outlineLevel="0" collapsed="false">
      <c r="A176" s="50"/>
      <c r="B176" s="51"/>
      <c r="C176" s="16" t="n">
        <v>41690</v>
      </c>
      <c r="D176" s="1" t="n">
        <v>9.1</v>
      </c>
      <c r="E176" s="1" t="n">
        <v>7.6</v>
      </c>
      <c r="F176" s="1" t="n">
        <v>10.6</v>
      </c>
      <c r="G176" s="1" t="n">
        <f aca="false">G175+D176</f>
        <v>1583.7</v>
      </c>
      <c r="H176" s="1" t="n">
        <f aca="false">H175+D176</f>
        <v>327.8</v>
      </c>
      <c r="J176" s="56" t="n">
        <v>3</v>
      </c>
      <c r="K176" s="1" t="n">
        <f aca="false">K175+J176</f>
        <v>431.1</v>
      </c>
      <c r="L176" s="1" t="n">
        <v>0.6</v>
      </c>
      <c r="M176" s="1" t="n">
        <f aca="false">M175+L176</f>
        <v>187.5</v>
      </c>
      <c r="N176" s="1" t="n">
        <f aca="false">J176-L176</f>
        <v>2.4</v>
      </c>
      <c r="O176" s="25" t="n">
        <v>122.1</v>
      </c>
      <c r="P176" s="21" t="n">
        <v>171</v>
      </c>
      <c r="Q176" s="53" t="n">
        <f aca="false">1+((P176-122)/75)*(1.15-1)</f>
        <v>1.098</v>
      </c>
      <c r="R176" s="23" t="n">
        <f aca="false">Q176*L176</f>
        <v>0.6588</v>
      </c>
      <c r="S176" s="23" t="n">
        <f aca="false">J176-R176</f>
        <v>2.3412</v>
      </c>
      <c r="T176" s="58" t="n">
        <f aca="false">MIN(122.1,(T175+S176))</f>
        <v>122.1</v>
      </c>
      <c r="V176" s="27" t="n">
        <v>242.1</v>
      </c>
      <c r="W176" s="1" t="n">
        <f aca="false">V176/D176</f>
        <v>26.6043956043956</v>
      </c>
      <c r="X176" s="1" t="n">
        <f aca="false">X175+V176</f>
        <v>97835.2</v>
      </c>
      <c r="Y176" s="1" t="n">
        <f aca="false">Y175+V176</f>
        <v>19316.8</v>
      </c>
      <c r="AA176" s="1" t="n">
        <v>10.5387658728016</v>
      </c>
    </row>
    <row r="177" customFormat="false" ht="15" hidden="false" customHeight="false" outlineLevel="0" collapsed="false">
      <c r="A177" s="50"/>
      <c r="B177" s="51"/>
      <c r="C177" s="16" t="n">
        <v>41691</v>
      </c>
      <c r="D177" s="1" t="n">
        <v>6.3</v>
      </c>
      <c r="E177" s="1" t="n">
        <v>5.4</v>
      </c>
      <c r="F177" s="1" t="n">
        <v>8.6</v>
      </c>
      <c r="G177" s="1" t="n">
        <f aca="false">G176+D177</f>
        <v>1590</v>
      </c>
      <c r="H177" s="1" t="n">
        <f aca="false">H176+D177</f>
        <v>334.1</v>
      </c>
      <c r="J177" s="56" t="n">
        <v>1.5</v>
      </c>
      <c r="K177" s="1" t="n">
        <f aca="false">K176+J177</f>
        <v>432.6</v>
      </c>
      <c r="L177" s="1" t="n">
        <v>1.3</v>
      </c>
      <c r="M177" s="1" t="n">
        <f aca="false">M176+L177</f>
        <v>188.8</v>
      </c>
      <c r="N177" s="1" t="n">
        <f aca="false">J177-L177</f>
        <v>0.2</v>
      </c>
      <c r="O177" s="25" t="n">
        <v>122.1</v>
      </c>
      <c r="P177" s="21" t="n">
        <v>172</v>
      </c>
      <c r="Q177" s="53" t="n">
        <f aca="false">1+((P177-122)/75)*(1.15-1)</f>
        <v>1.1</v>
      </c>
      <c r="R177" s="23" t="n">
        <f aca="false">Q177*L177</f>
        <v>1.43</v>
      </c>
      <c r="S177" s="23" t="n">
        <f aca="false">J177-R177</f>
        <v>0.0700000000000001</v>
      </c>
      <c r="T177" s="58" t="n">
        <f aca="false">MIN(122.1,(T176+S177))</f>
        <v>122.1</v>
      </c>
      <c r="V177" s="27" t="n">
        <v>752.7</v>
      </c>
      <c r="W177" s="1" t="n">
        <f aca="false">V177/D177</f>
        <v>119.47619047619</v>
      </c>
      <c r="X177" s="1" t="n">
        <f aca="false">X176+V177</f>
        <v>98587.9</v>
      </c>
      <c r="Y177" s="1" t="n">
        <f aca="false">Y176+V177</f>
        <v>20069.5</v>
      </c>
      <c r="AA177" s="1" t="n">
        <v>10.5925200035183</v>
      </c>
      <c r="AC177" s="1" t="s">
        <v>47</v>
      </c>
    </row>
    <row r="178" customFormat="false" ht="15" hidden="false" customHeight="false" outlineLevel="0" collapsed="false">
      <c r="A178" s="50"/>
      <c r="B178" s="51"/>
      <c r="C178" s="16" t="n">
        <v>41692</v>
      </c>
      <c r="D178" s="1" t="n">
        <v>7.1</v>
      </c>
      <c r="E178" s="31" t="n">
        <v>4</v>
      </c>
      <c r="F178" s="1" t="n">
        <v>9.2</v>
      </c>
      <c r="G178" s="1" t="n">
        <f aca="false">G177+D178</f>
        <v>1597.1</v>
      </c>
      <c r="H178" s="1" t="n">
        <f aca="false">H177+D178</f>
        <v>341.2</v>
      </c>
      <c r="J178" s="56" t="n">
        <v>1</v>
      </c>
      <c r="K178" s="1" t="n">
        <f aca="false">K177+J178</f>
        <v>433.6</v>
      </c>
      <c r="L178" s="1" t="n">
        <v>0.4</v>
      </c>
      <c r="M178" s="1" t="n">
        <f aca="false">M177+L178</f>
        <v>189.2</v>
      </c>
      <c r="N178" s="1" t="n">
        <f aca="false">J178-L178</f>
        <v>0.6</v>
      </c>
      <c r="O178" s="25" t="n">
        <v>122.1</v>
      </c>
      <c r="P178" s="21" t="n">
        <v>173</v>
      </c>
      <c r="Q178" s="53" t="n">
        <f aca="false">1+((P178-122)/75)*(1.15-1)</f>
        <v>1.102</v>
      </c>
      <c r="R178" s="23" t="n">
        <f aca="false">Q178*L178</f>
        <v>0.4408</v>
      </c>
      <c r="S178" s="23" t="n">
        <f aca="false">J178-R178</f>
        <v>0.5592</v>
      </c>
      <c r="T178" s="58" t="n">
        <f aca="false">MIN(122.1,(T177+S178))</f>
        <v>122.1</v>
      </c>
      <c r="V178" s="27" t="n">
        <v>225.7</v>
      </c>
      <c r="W178" s="1" t="n">
        <f aca="false">V178/D178</f>
        <v>31.7887323943662</v>
      </c>
      <c r="X178" s="1" t="n">
        <f aca="false">X177+V178</f>
        <v>98813.6</v>
      </c>
      <c r="Y178" s="1" t="n">
        <f aca="false">Y177+V178</f>
        <v>20295.2</v>
      </c>
      <c r="AA178" s="1" t="n">
        <v>10.6465005335669</v>
      </c>
      <c r="AC178" s="28" t="n">
        <f aca="false">(AB164*(70/140))+(AB190*(70/140))</f>
        <v>104.700457142857</v>
      </c>
    </row>
    <row r="179" customFormat="false" ht="15" hidden="false" customHeight="false" outlineLevel="0" collapsed="false">
      <c r="A179" s="50"/>
      <c r="B179" s="51"/>
      <c r="C179" s="16" t="n">
        <v>41693</v>
      </c>
      <c r="D179" s="1" t="n">
        <v>7.3</v>
      </c>
      <c r="E179" s="31" t="n">
        <v>3.7</v>
      </c>
      <c r="F179" s="1" t="n">
        <v>11.3</v>
      </c>
      <c r="G179" s="1" t="n">
        <f aca="false">G178+D179</f>
        <v>1604.4</v>
      </c>
      <c r="H179" s="1" t="n">
        <f aca="false">H178+D179</f>
        <v>348.5</v>
      </c>
      <c r="J179" s="56" t="n">
        <v>0</v>
      </c>
      <c r="K179" s="1" t="n">
        <f aca="false">K178+J179</f>
        <v>433.6</v>
      </c>
      <c r="L179" s="1" t="n">
        <v>1.5</v>
      </c>
      <c r="M179" s="1" t="n">
        <f aca="false">M178+L179</f>
        <v>190.7</v>
      </c>
      <c r="N179" s="19" t="n">
        <f aca="false">J179-L179</f>
        <v>-1.5</v>
      </c>
      <c r="O179" s="25" t="n">
        <f aca="false">O178+N179</f>
        <v>120.6</v>
      </c>
      <c r="P179" s="21" t="n">
        <v>174</v>
      </c>
      <c r="Q179" s="53" t="n">
        <f aca="false">1+((P179-122)/75)*(1.15-1)</f>
        <v>1.104</v>
      </c>
      <c r="R179" s="23" t="n">
        <f aca="false">Q179*L179</f>
        <v>1.656</v>
      </c>
      <c r="S179" s="23" t="n">
        <f aca="false">J179-R179</f>
        <v>-1.656</v>
      </c>
      <c r="T179" s="58" t="n">
        <f aca="false">MIN(122.1,(T178+S179))</f>
        <v>120.444</v>
      </c>
      <c r="V179" s="1" t="n">
        <v>1186.1</v>
      </c>
      <c r="W179" s="1" t="n">
        <f aca="false">V179/D179</f>
        <v>162.479452054795</v>
      </c>
      <c r="X179" s="1" t="n">
        <f aca="false">X178+V179</f>
        <v>99999.7</v>
      </c>
      <c r="Y179" s="1" t="n">
        <f aca="false">Y178+V179</f>
        <v>21481.3</v>
      </c>
      <c r="AA179" s="1" t="n">
        <v>10.7006942509475</v>
      </c>
      <c r="AC179" s="1" t="s">
        <v>48</v>
      </c>
    </row>
    <row r="180" customFormat="false" ht="15" hidden="false" customHeight="false" outlineLevel="0" collapsed="false">
      <c r="A180" s="50"/>
      <c r="B180" s="51"/>
      <c r="C180" s="16" t="n">
        <v>41694</v>
      </c>
      <c r="D180" s="1" t="n">
        <v>8.5</v>
      </c>
      <c r="E180" s="31" t="n">
        <v>0.9</v>
      </c>
      <c r="F180" s="1" t="n">
        <v>15.4</v>
      </c>
      <c r="G180" s="1" t="n">
        <f aca="false">G179+D180</f>
        <v>1612.9</v>
      </c>
      <c r="H180" s="1" t="n">
        <f aca="false">H179+D180</f>
        <v>357</v>
      </c>
      <c r="J180" s="56" t="n">
        <v>0</v>
      </c>
      <c r="K180" s="1" t="n">
        <f aca="false">K179+J180</f>
        <v>433.6</v>
      </c>
      <c r="L180" s="1" t="n">
        <v>2</v>
      </c>
      <c r="M180" s="1" t="n">
        <f aca="false">M179+L180</f>
        <v>192.7</v>
      </c>
      <c r="N180" s="19" t="n">
        <f aca="false">J180-L180</f>
        <v>-2</v>
      </c>
      <c r="O180" s="25" t="n">
        <f aca="false">O179+N180</f>
        <v>118.6</v>
      </c>
      <c r="P180" s="21" t="n">
        <v>175</v>
      </c>
      <c r="Q180" s="53" t="n">
        <f aca="false">1+((P180-122)/75)*(1.15-1)</f>
        <v>1.106</v>
      </c>
      <c r="R180" s="23" t="n">
        <f aca="false">Q180*L180</f>
        <v>2.212</v>
      </c>
      <c r="S180" s="23" t="n">
        <f aca="false">J180-R180</f>
        <v>-2.212</v>
      </c>
      <c r="T180" s="58" t="n">
        <f aca="false">MIN(122.1,(T179+S180))</f>
        <v>118.232</v>
      </c>
      <c r="V180" s="1" t="n">
        <v>1164.2</v>
      </c>
      <c r="W180" s="1" t="n">
        <f aca="false">V180/D180</f>
        <v>136.964705882353</v>
      </c>
      <c r="X180" s="1" t="n">
        <f aca="false">X179+V180</f>
        <v>101163.9</v>
      </c>
      <c r="Y180" s="1" t="n">
        <f aca="false">Y179+V180</f>
        <v>22645.5</v>
      </c>
      <c r="AA180" s="1" t="n">
        <v>10.7550884318351</v>
      </c>
      <c r="AC180" s="28" t="n">
        <f aca="false">(AB166*(70/140))+(AB192*(70/140))</f>
        <v>5</v>
      </c>
    </row>
    <row r="181" customFormat="false" ht="15" hidden="false" customHeight="false" outlineLevel="0" collapsed="false">
      <c r="A181" s="50"/>
      <c r="B181" s="51"/>
      <c r="C181" s="16" t="n">
        <v>41695</v>
      </c>
      <c r="D181" s="1" t="n">
        <v>8.6</v>
      </c>
      <c r="E181" s="1" t="n">
        <v>6.4</v>
      </c>
      <c r="F181" s="1" t="n">
        <v>11.6</v>
      </c>
      <c r="G181" s="1" t="n">
        <f aca="false">G180+D181</f>
        <v>1621.5</v>
      </c>
      <c r="H181" s="1" t="n">
        <f aca="false">H180+D181</f>
        <v>365.6</v>
      </c>
      <c r="J181" s="56" t="n">
        <v>5.4</v>
      </c>
      <c r="K181" s="1" t="n">
        <f aca="false">K180+J181</f>
        <v>439</v>
      </c>
      <c r="L181" s="1" t="n">
        <v>1.7</v>
      </c>
      <c r="M181" s="1" t="n">
        <f aca="false">M180+L181</f>
        <v>194.4</v>
      </c>
      <c r="N181" s="1" t="n">
        <f aca="false">J181-L181</f>
        <v>3.7</v>
      </c>
      <c r="O181" s="25" t="n">
        <v>122.1</v>
      </c>
      <c r="P181" s="21" t="n">
        <v>176</v>
      </c>
      <c r="Q181" s="53" t="n">
        <f aca="false">1+((P181-122)/75)*(1.15-1)</f>
        <v>1.108</v>
      </c>
      <c r="R181" s="23" t="n">
        <f aca="false">Q181*L181</f>
        <v>1.8836</v>
      </c>
      <c r="S181" s="23" t="n">
        <f aca="false">J181-R181</f>
        <v>3.5164</v>
      </c>
      <c r="T181" s="58" t="n">
        <f aca="false">MIN(122.1,(T180+S181))</f>
        <v>121.7484</v>
      </c>
      <c r="V181" s="27" t="n">
        <v>618</v>
      </c>
      <c r="W181" s="1" t="n">
        <f aca="false">V181/D181</f>
        <v>71.8604651162791</v>
      </c>
      <c r="X181" s="1" t="n">
        <f aca="false">X180+V181</f>
        <v>101781.9</v>
      </c>
      <c r="Y181" s="1" t="n">
        <f aca="false">Y180+V181</f>
        <v>23263.5</v>
      </c>
      <c r="AA181" s="1" t="n">
        <v>10.8096708254366</v>
      </c>
      <c r="AC181" s="1" t="s">
        <v>49</v>
      </c>
    </row>
    <row r="182" customFormat="false" ht="15" hidden="false" customHeight="false" outlineLevel="0" collapsed="false">
      <c r="A182" s="50"/>
      <c r="B182" s="51"/>
      <c r="C182" s="16" t="n">
        <v>41696</v>
      </c>
      <c r="D182" s="31" t="n">
        <v>5</v>
      </c>
      <c r="E182" s="31" t="n">
        <v>1.9</v>
      </c>
      <c r="F182" s="1" t="n">
        <v>8.3</v>
      </c>
      <c r="G182" s="1" t="n">
        <f aca="false">G181+D182</f>
        <v>1626.5</v>
      </c>
      <c r="H182" s="1" t="n">
        <f aca="false">H181+D182</f>
        <v>370.6</v>
      </c>
      <c r="J182" s="56" t="n">
        <v>0.2</v>
      </c>
      <c r="K182" s="1" t="n">
        <f aca="false">K181+J182</f>
        <v>439.2</v>
      </c>
      <c r="L182" s="1" t="n">
        <v>1.2</v>
      </c>
      <c r="M182" s="1" t="n">
        <f aca="false">M181+L182</f>
        <v>195.6</v>
      </c>
      <c r="N182" s="19" t="n">
        <f aca="false">J182-L182</f>
        <v>-1</v>
      </c>
      <c r="O182" s="25" t="n">
        <f aca="false">O181+N182</f>
        <v>121.1</v>
      </c>
      <c r="P182" s="21" t="n">
        <v>177</v>
      </c>
      <c r="Q182" s="53" t="n">
        <f aca="false">1+((P182-122)/75)*(1.15-1)</f>
        <v>1.11</v>
      </c>
      <c r="R182" s="23" t="n">
        <f aca="false">Q182*L182</f>
        <v>1.332</v>
      </c>
      <c r="S182" s="23" t="n">
        <f aca="false">J182-R182</f>
        <v>-1.132</v>
      </c>
      <c r="T182" s="58" t="n">
        <f aca="false">MIN(122.1,(T181+S182))</f>
        <v>120.6164</v>
      </c>
      <c r="V182" s="1" t="n">
        <v>1007.5</v>
      </c>
      <c r="W182" s="1" t="n">
        <f aca="false">V182/D182</f>
        <v>201.5</v>
      </c>
      <c r="X182" s="1" t="n">
        <f aca="false">X181+V182</f>
        <v>102789.4</v>
      </c>
      <c r="Y182" s="1" t="n">
        <f aca="false">Y181+V182</f>
        <v>24271</v>
      </c>
      <c r="AA182" s="1" t="n">
        <v>10.8644296383567</v>
      </c>
      <c r="AC182" s="28" t="n">
        <f aca="false">(AB168*(70/140))+(AB194*(70/140))</f>
        <v>3</v>
      </c>
    </row>
    <row r="183" customFormat="false" ht="15" hidden="false" customHeight="false" outlineLevel="0" collapsed="false">
      <c r="A183" s="50"/>
      <c r="B183" s="51"/>
      <c r="C183" s="16" t="n">
        <v>41697</v>
      </c>
      <c r="D183" s="1" t="n">
        <v>5.5</v>
      </c>
      <c r="E183" s="31" t="n">
        <v>3.3</v>
      </c>
      <c r="F183" s="1" t="n">
        <v>7.2</v>
      </c>
      <c r="G183" s="1" t="n">
        <f aca="false">G182+D183</f>
        <v>1632</v>
      </c>
      <c r="H183" s="1" t="n">
        <f aca="false">H182+D183</f>
        <v>376.1</v>
      </c>
      <c r="J183" s="56" t="n">
        <v>13.7</v>
      </c>
      <c r="K183" s="1" t="n">
        <f aca="false">K182+J183</f>
        <v>452.9</v>
      </c>
      <c r="L183" s="1" t="n">
        <v>0.4</v>
      </c>
      <c r="M183" s="1" t="n">
        <f aca="false">M182+L183</f>
        <v>196</v>
      </c>
      <c r="N183" s="1" t="n">
        <f aca="false">J183-L183</f>
        <v>13.3</v>
      </c>
      <c r="O183" s="25" t="n">
        <v>122.1</v>
      </c>
      <c r="P183" s="21" t="n">
        <v>178</v>
      </c>
      <c r="Q183" s="53" t="n">
        <f aca="false">1+((P183-122)/75)*(1.15-1)</f>
        <v>1.112</v>
      </c>
      <c r="R183" s="23" t="n">
        <f aca="false">Q183*L183</f>
        <v>0.4448</v>
      </c>
      <c r="S183" s="23" t="n">
        <f aca="false">J183-R183</f>
        <v>13.2552</v>
      </c>
      <c r="T183" s="58" t="n">
        <f aca="false">MIN(122.1,(T182+S183))</f>
        <v>122.1</v>
      </c>
      <c r="V183" s="27" t="n">
        <v>285.4</v>
      </c>
      <c r="W183" s="1" t="n">
        <f aca="false">V183/D183</f>
        <v>51.8909090909091</v>
      </c>
      <c r="X183" s="1" t="n">
        <f aca="false">X182+V183</f>
        <v>103074.8</v>
      </c>
      <c r="Y183" s="1" t="n">
        <f aca="false">Y182+V183</f>
        <v>24556.4</v>
      </c>
      <c r="AA183" s="1" t="n">
        <v>10.9193535185382</v>
      </c>
      <c r="AC183" s="1" t="s">
        <v>50</v>
      </c>
    </row>
    <row r="184" customFormat="false" ht="15" hidden="false" customHeight="false" outlineLevel="0" collapsed="false">
      <c r="A184" s="50"/>
      <c r="B184" s="51"/>
      <c r="C184" s="16" t="n">
        <v>41698</v>
      </c>
      <c r="D184" s="1" t="n">
        <v>6.8</v>
      </c>
      <c r="E184" s="1" t="n">
        <v>5.9</v>
      </c>
      <c r="F184" s="1" t="n">
        <v>8.5</v>
      </c>
      <c r="G184" s="1" t="n">
        <f aca="false">G183+D184</f>
        <v>1638.8</v>
      </c>
      <c r="H184" s="1" t="n">
        <f aca="false">H183+D184</f>
        <v>382.9</v>
      </c>
      <c r="J184" s="1" t="n">
        <v>7.2</v>
      </c>
      <c r="K184" s="1" t="n">
        <f aca="false">K183+J184</f>
        <v>460.1</v>
      </c>
      <c r="L184" s="1" t="n">
        <v>1.5</v>
      </c>
      <c r="M184" s="1" t="n">
        <f aca="false">M183+L184</f>
        <v>197.5</v>
      </c>
      <c r="N184" s="1" t="n">
        <f aca="false">J184-L184</f>
        <v>5.7</v>
      </c>
      <c r="O184" s="25" t="n">
        <v>122.1</v>
      </c>
      <c r="P184" s="21" t="n">
        <v>179</v>
      </c>
      <c r="Q184" s="53" t="n">
        <f aca="false">1+((P184-122)/75)*(1.15-1)</f>
        <v>1.114</v>
      </c>
      <c r="R184" s="23" t="n">
        <f aca="false">Q184*L184</f>
        <v>1.671</v>
      </c>
      <c r="S184" s="23" t="n">
        <f aca="false">J184-R184</f>
        <v>5.529</v>
      </c>
      <c r="T184" s="26" t="n">
        <f aca="false">MIN(122.1,(T183+S184))</f>
        <v>122.1</v>
      </c>
      <c r="V184" s="27" t="n">
        <v>830.7</v>
      </c>
      <c r="W184" s="1" t="n">
        <f aca="false">V184/D184</f>
        <v>122.161764705882</v>
      </c>
      <c r="X184" s="1" t="n">
        <f aca="false">X183+V184</f>
        <v>103905.5</v>
      </c>
      <c r="Y184" s="1" t="n">
        <f aca="false">Y183+V184</f>
        <v>25387.1</v>
      </c>
      <c r="AA184" s="1" t="n">
        <v>10.9744315388407</v>
      </c>
      <c r="AC184" s="28" t="n">
        <f aca="false">(AB170*(70/140))+(AB196*(70/140))</f>
        <v>2</v>
      </c>
    </row>
    <row r="185" customFormat="false" ht="15" hidden="false" customHeight="false" outlineLevel="0" collapsed="false">
      <c r="A185" s="50"/>
      <c r="B185" s="51"/>
      <c r="C185" s="16" t="n">
        <v>41699</v>
      </c>
      <c r="D185" s="31" t="n">
        <v>4.9</v>
      </c>
      <c r="E185" s="31" t="n">
        <v>4.4</v>
      </c>
      <c r="F185" s="1" t="n">
        <v>7.5</v>
      </c>
      <c r="G185" s="1" t="n">
        <f aca="false">G184+D185</f>
        <v>1643.7</v>
      </c>
      <c r="H185" s="1" t="n">
        <f aca="false">H184+D185</f>
        <v>387.8</v>
      </c>
      <c r="J185" s="1" t="n">
        <v>0</v>
      </c>
      <c r="K185" s="1" t="n">
        <f aca="false">K184+J185</f>
        <v>460.1</v>
      </c>
      <c r="L185" s="1" t="n">
        <v>1.6</v>
      </c>
      <c r="M185" s="1" t="n">
        <f aca="false">M184+L185</f>
        <v>199.1</v>
      </c>
      <c r="N185" s="19" t="n">
        <f aca="false">J185-L185</f>
        <v>-1.6</v>
      </c>
      <c r="O185" s="25" t="n">
        <f aca="false">O184+N185</f>
        <v>120.5</v>
      </c>
      <c r="P185" s="21" t="n">
        <v>180</v>
      </c>
      <c r="Q185" s="53" t="n">
        <f aca="false">1+((P185-122)/75)*(1.15-1)</f>
        <v>1.116</v>
      </c>
      <c r="R185" s="23" t="n">
        <f aca="false">Q185*L185</f>
        <v>1.7856</v>
      </c>
      <c r="S185" s="23" t="n">
        <f aca="false">J185-R185</f>
        <v>-1.7856</v>
      </c>
      <c r="T185" s="26" t="n">
        <f aca="false">MIN(122.1,(T184+S185))</f>
        <v>120.3144</v>
      </c>
      <c r="V185" s="1" t="n">
        <v>1081.8</v>
      </c>
      <c r="W185" s="1" t="n">
        <f aca="false">V185/D185</f>
        <v>220.775510204082</v>
      </c>
      <c r="X185" s="1" t="n">
        <f aca="false">X184+V185</f>
        <v>104987.3</v>
      </c>
      <c r="Y185" s="1" t="n">
        <f aca="false">Y184+V185</f>
        <v>26468.9</v>
      </c>
      <c r="AA185" s="1" t="n">
        <v>11.0296531803146</v>
      </c>
      <c r="AC185" s="1" t="s">
        <v>51</v>
      </c>
    </row>
    <row r="186" customFormat="false" ht="15" hidden="false" customHeight="false" outlineLevel="0" collapsed="false">
      <c r="A186" s="50"/>
      <c r="B186" s="51"/>
      <c r="C186" s="16" t="n">
        <v>41700</v>
      </c>
      <c r="D186" s="1" t="n">
        <v>5.1</v>
      </c>
      <c r="E186" s="30" t="n">
        <v>-1.4</v>
      </c>
      <c r="F186" s="1" t="n">
        <v>10</v>
      </c>
      <c r="G186" s="1" t="n">
        <f aca="false">G185+D186</f>
        <v>1648.8</v>
      </c>
      <c r="H186" s="1" t="n">
        <f aca="false">H185+D186</f>
        <v>392.9</v>
      </c>
      <c r="J186" s="1" t="n">
        <v>4.2</v>
      </c>
      <c r="K186" s="1" t="n">
        <f aca="false">K185+J186</f>
        <v>464.3</v>
      </c>
      <c r="L186" s="1" t="n">
        <v>1.4</v>
      </c>
      <c r="M186" s="1" t="n">
        <f aca="false">M185+L186</f>
        <v>200.5</v>
      </c>
      <c r="N186" s="1" t="n">
        <f aca="false">J186-L186</f>
        <v>2.8</v>
      </c>
      <c r="O186" s="25" t="n">
        <v>122.1</v>
      </c>
      <c r="P186" s="21" t="n">
        <v>181</v>
      </c>
      <c r="Q186" s="53" t="n">
        <f aca="false">1+((P186-122)/75)*(1.15-1)</f>
        <v>1.118</v>
      </c>
      <c r="R186" s="23" t="n">
        <f aca="false">Q186*L186</f>
        <v>1.5652</v>
      </c>
      <c r="S186" s="23" t="n">
        <f aca="false">J186-R186</f>
        <v>2.6348</v>
      </c>
      <c r="T186" s="26" t="n">
        <f aca="false">MIN(122.1,(T185+S186))</f>
        <v>122.1</v>
      </c>
      <c r="V186" s="1" t="n">
        <v>1259.3</v>
      </c>
      <c r="W186" s="1" t="n">
        <f aca="false">V186/D186</f>
        <v>246.921568627451</v>
      </c>
      <c r="X186" s="1" t="n">
        <f aca="false">X185+V186</f>
        <v>106246.6</v>
      </c>
      <c r="Y186" s="1" t="n">
        <f aca="false">Y185+V186</f>
        <v>27728.2</v>
      </c>
      <c r="AA186" s="1" t="n">
        <v>11.0850083152216</v>
      </c>
      <c r="AC186" s="29" t="n">
        <f aca="false">(AB172*(70/140))+(AB198*(70/140))</f>
        <v>20.55</v>
      </c>
    </row>
    <row r="187" customFormat="false" ht="15" hidden="false" customHeight="false" outlineLevel="0" collapsed="false">
      <c r="A187" s="50"/>
      <c r="B187" s="51"/>
      <c r="C187" s="16" t="n">
        <v>41701</v>
      </c>
      <c r="D187" s="1" t="n">
        <v>5.7</v>
      </c>
      <c r="E187" s="31" t="n">
        <v>3.8</v>
      </c>
      <c r="F187" s="1" t="n">
        <v>8.4</v>
      </c>
      <c r="G187" s="1" t="n">
        <f aca="false">G186+D187</f>
        <v>1654.5</v>
      </c>
      <c r="H187" s="1" t="n">
        <f aca="false">H186+D187</f>
        <v>398.6</v>
      </c>
      <c r="J187" s="1" t="n">
        <v>2.9</v>
      </c>
      <c r="K187" s="1" t="n">
        <f aca="false">K186+J187</f>
        <v>467.2</v>
      </c>
      <c r="L187" s="1" t="n">
        <v>1.1</v>
      </c>
      <c r="M187" s="1" t="n">
        <f aca="false">M186+L187</f>
        <v>201.6</v>
      </c>
      <c r="N187" s="1" t="n">
        <f aca="false">J187-L187</f>
        <v>1.8</v>
      </c>
      <c r="O187" s="25" t="n">
        <v>122.1</v>
      </c>
      <c r="P187" s="21" t="n">
        <v>182</v>
      </c>
      <c r="Q187" s="53" t="n">
        <f aca="false">1+((P187-122)/75)*(1.15-1)</f>
        <v>1.12</v>
      </c>
      <c r="R187" s="23" t="n">
        <f aca="false">Q187*L187</f>
        <v>1.232</v>
      </c>
      <c r="S187" s="23" t="n">
        <f aca="false">J187-R187</f>
        <v>1.668</v>
      </c>
      <c r="T187" s="26" t="n">
        <f aca="false">MIN(122.1,(T186+S187))</f>
        <v>122.1</v>
      </c>
      <c r="V187" s="27" t="n">
        <v>605.1</v>
      </c>
      <c r="W187" s="1" t="n">
        <f aca="false">V187/D187</f>
        <v>106.157894736842</v>
      </c>
      <c r="X187" s="1" t="n">
        <f aca="false">X186+V187</f>
        <v>106851.7</v>
      </c>
      <c r="Y187" s="1" t="n">
        <f aca="false">Y186+V187</f>
        <v>28333.3</v>
      </c>
      <c r="AA187" s="1" t="n">
        <v>11.140487189851</v>
      </c>
    </row>
    <row r="188" customFormat="false" ht="15" hidden="false" customHeight="false" outlineLevel="0" collapsed="false">
      <c r="A188" s="50"/>
      <c r="B188" s="51"/>
      <c r="C188" s="16" t="n">
        <v>41702</v>
      </c>
      <c r="D188" s="1" t="n">
        <v>5.9</v>
      </c>
      <c r="E188" s="31" t="n">
        <v>4.2</v>
      </c>
      <c r="F188" s="1" t="n">
        <v>8.8</v>
      </c>
      <c r="G188" s="1" t="n">
        <f aca="false">G187+D188</f>
        <v>1660.4</v>
      </c>
      <c r="H188" s="1" t="n">
        <f aca="false">H187+D188</f>
        <v>404.5</v>
      </c>
      <c r="J188" s="1" t="n">
        <v>0</v>
      </c>
      <c r="K188" s="1" t="n">
        <f aca="false">K187+J188</f>
        <v>467.2</v>
      </c>
      <c r="L188" s="1" t="n">
        <v>1.1</v>
      </c>
      <c r="M188" s="1" t="n">
        <f aca="false">M187+L188</f>
        <v>202.7</v>
      </c>
      <c r="N188" s="19" t="n">
        <f aca="false">J188-L188</f>
        <v>-1.1</v>
      </c>
      <c r="O188" s="25" t="n">
        <f aca="false">O187+N188</f>
        <v>121</v>
      </c>
      <c r="P188" s="21" t="n">
        <v>183</v>
      </c>
      <c r="Q188" s="53" t="n">
        <f aca="false">1+((P188-122)/75)*(1.15-1)</f>
        <v>1.122</v>
      </c>
      <c r="R188" s="23" t="n">
        <f aca="false">Q188*L188</f>
        <v>1.2342</v>
      </c>
      <c r="S188" s="23" t="n">
        <f aca="false">J188-R188</f>
        <v>-1.2342</v>
      </c>
      <c r="T188" s="26" t="n">
        <f aca="false">MIN(122.1,(T187+S188))</f>
        <v>120.8658</v>
      </c>
      <c r="V188" s="27" t="n">
        <v>716.3</v>
      </c>
      <c r="W188" s="1" t="n">
        <f aca="false">V188/D188</f>
        <v>121.406779661017</v>
      </c>
      <c r="X188" s="1" t="n">
        <f aca="false">X187+V188</f>
        <v>107568</v>
      </c>
      <c r="Y188" s="1" t="n">
        <f aca="false">Y187+V188</f>
        <v>29049.6</v>
      </c>
      <c r="AA188" s="1" t="n">
        <v>11.1960804071734</v>
      </c>
    </row>
    <row r="189" customFormat="false" ht="15" hidden="false" customHeight="false" outlineLevel="0" collapsed="false">
      <c r="A189" s="50"/>
      <c r="B189" s="51"/>
      <c r="C189" s="16" t="n">
        <v>41703</v>
      </c>
      <c r="D189" s="1" t="n">
        <v>5.5</v>
      </c>
      <c r="E189" s="31" t="n">
        <v>0.2</v>
      </c>
      <c r="F189" s="1" t="n">
        <v>11.4</v>
      </c>
      <c r="G189" s="1" t="n">
        <f aca="false">G188+D189</f>
        <v>1665.9</v>
      </c>
      <c r="H189" s="1" t="n">
        <f aca="false">H188+D189</f>
        <v>410</v>
      </c>
      <c r="J189" s="56" t="n">
        <v>0</v>
      </c>
      <c r="K189" s="1" t="n">
        <f aca="false">K188+J189</f>
        <v>467.2</v>
      </c>
      <c r="L189" s="1" t="n">
        <v>1.6</v>
      </c>
      <c r="M189" s="1" t="n">
        <f aca="false">M188+L189</f>
        <v>204.3</v>
      </c>
      <c r="N189" s="19" t="n">
        <f aca="false">J189-L189</f>
        <v>-1.6</v>
      </c>
      <c r="O189" s="25" t="n">
        <f aca="false">O188+N189</f>
        <v>119.4</v>
      </c>
      <c r="P189" s="21" t="n">
        <v>184</v>
      </c>
      <c r="Q189" s="53" t="n">
        <f aca="false">1+((P189-122)/75)*(1.15-1)</f>
        <v>1.124</v>
      </c>
      <c r="R189" s="23" t="n">
        <f aca="false">Q189*L189</f>
        <v>1.7984</v>
      </c>
      <c r="S189" s="23" t="n">
        <f aca="false">J189-R189</f>
        <v>-1.7984</v>
      </c>
      <c r="T189" s="26" t="n">
        <f aca="false">MIN(122.1,(T188+S189))</f>
        <v>119.0674</v>
      </c>
      <c r="V189" s="1" t="n">
        <v>1467.4</v>
      </c>
      <c r="W189" s="1" t="n">
        <f aca="false">V189/D189</f>
        <v>266.8</v>
      </c>
      <c r="X189" s="1" t="n">
        <f aca="false">X188+V189</f>
        <v>109035.4</v>
      </c>
      <c r="Y189" s="1" t="n">
        <f aca="false">Y188+V189</f>
        <v>30517</v>
      </c>
      <c r="AA189" s="1" t="n">
        <v>11.25177890937</v>
      </c>
      <c r="AB189" s="57" t="s">
        <v>47</v>
      </c>
    </row>
    <row r="190" customFormat="false" ht="15" hidden="false" customHeight="false" outlineLevel="0" collapsed="false">
      <c r="A190" s="50"/>
      <c r="B190" s="51"/>
      <c r="C190" s="16" t="n">
        <v>41704</v>
      </c>
      <c r="D190" s="1" t="n">
        <v>6.2</v>
      </c>
      <c r="E190" s="31" t="n">
        <v>0.8</v>
      </c>
      <c r="F190" s="1" t="n">
        <v>12.4</v>
      </c>
      <c r="G190" s="1" t="n">
        <f aca="false">G189+D190</f>
        <v>1672.1</v>
      </c>
      <c r="H190" s="1" t="n">
        <f aca="false">H189+D190</f>
        <v>416.2</v>
      </c>
      <c r="J190" s="56" t="n">
        <v>0</v>
      </c>
      <c r="K190" s="1" t="n">
        <f aca="false">K189+J190</f>
        <v>467.2</v>
      </c>
      <c r="L190" s="1" t="n">
        <v>2.1</v>
      </c>
      <c r="M190" s="1" t="n">
        <f aca="false">M189+L190</f>
        <v>206.4</v>
      </c>
      <c r="N190" s="19" t="n">
        <f aca="false">J190-L190</f>
        <v>-2.1</v>
      </c>
      <c r="O190" s="25" t="n">
        <f aca="false">O189+N190</f>
        <v>117.3</v>
      </c>
      <c r="P190" s="21" t="n">
        <v>185</v>
      </c>
      <c r="Q190" s="53" t="n">
        <f aca="false">1+((P190-122)/75)*(1.15-1)</f>
        <v>1.126</v>
      </c>
      <c r="R190" s="23" t="n">
        <f aca="false">Q190*L190</f>
        <v>2.3646</v>
      </c>
      <c r="S190" s="23" t="n">
        <f aca="false">J190-R190</f>
        <v>-2.3646</v>
      </c>
      <c r="T190" s="26" t="n">
        <f aca="false">MIN(122.1,(T189+S190))</f>
        <v>116.7028</v>
      </c>
      <c r="V190" s="1" t="n">
        <v>1660.5</v>
      </c>
      <c r="W190" s="1" t="n">
        <f aca="false">V190/D190</f>
        <v>267.822580645161</v>
      </c>
      <c r="X190" s="1" t="n">
        <f aca="false">X189+V190</f>
        <v>110695.9</v>
      </c>
      <c r="Y190" s="1" t="n">
        <f aca="false">Y189+V190</f>
        <v>32177.5</v>
      </c>
      <c r="AA190" s="1" t="n">
        <v>11.3075739602747</v>
      </c>
      <c r="AB190" s="28" t="n">
        <f aca="false">AVERAGE(T196:T209)</f>
        <v>88.2725428571429</v>
      </c>
    </row>
    <row r="191" customFormat="false" ht="15" hidden="false" customHeight="false" outlineLevel="0" collapsed="false">
      <c r="A191" s="50"/>
      <c r="B191" s="51"/>
      <c r="C191" s="16" t="n">
        <v>41705</v>
      </c>
      <c r="D191" s="1" t="n">
        <v>6.8</v>
      </c>
      <c r="E191" s="30" t="n">
        <v>-0.5</v>
      </c>
      <c r="F191" s="1" t="n">
        <v>13.9</v>
      </c>
      <c r="G191" s="1" t="n">
        <f aca="false">G190+D191</f>
        <v>1678.9</v>
      </c>
      <c r="H191" s="1" t="n">
        <f aca="false">H190+D191</f>
        <v>423</v>
      </c>
      <c r="J191" s="56" t="n">
        <v>0</v>
      </c>
      <c r="K191" s="1" t="n">
        <f aca="false">K190+J191</f>
        <v>467.2</v>
      </c>
      <c r="L191" s="1" t="n">
        <v>1.9</v>
      </c>
      <c r="M191" s="1" t="n">
        <f aca="false">M190+L191</f>
        <v>208.3</v>
      </c>
      <c r="N191" s="19" t="n">
        <f aca="false">J191-L191</f>
        <v>-1.9</v>
      </c>
      <c r="O191" s="25" t="n">
        <f aca="false">O190+N191</f>
        <v>115.4</v>
      </c>
      <c r="P191" s="21" t="n">
        <v>186</v>
      </c>
      <c r="Q191" s="53" t="n">
        <f aca="false">1+((P191-122)/75)*(1.15-1)</f>
        <v>1.128</v>
      </c>
      <c r="R191" s="23" t="n">
        <f aca="false">Q191*L191</f>
        <v>2.1432</v>
      </c>
      <c r="S191" s="23" t="n">
        <f aca="false">J191-R191</f>
        <v>-2.1432</v>
      </c>
      <c r="T191" s="26" t="n">
        <f aca="false">MIN(122.1,(T190+S191))</f>
        <v>114.5596</v>
      </c>
      <c r="V191" s="1" t="n">
        <v>1470</v>
      </c>
      <c r="W191" s="1" t="n">
        <f aca="false">V191/D191</f>
        <v>216.176470588235</v>
      </c>
      <c r="X191" s="1" t="n">
        <f aca="false">X190+V191</f>
        <v>112165.9</v>
      </c>
      <c r="Y191" s="1" t="n">
        <f aca="false">Y190+V191</f>
        <v>33647.5</v>
      </c>
      <c r="AA191" s="1" t="n">
        <v>11.3634571277558</v>
      </c>
      <c r="AB191" s="57" t="s">
        <v>48</v>
      </c>
    </row>
    <row r="192" customFormat="false" ht="15" hidden="false" customHeight="false" outlineLevel="0" collapsed="false">
      <c r="A192" s="50"/>
      <c r="B192" s="51"/>
      <c r="C192" s="16" t="n">
        <v>41706</v>
      </c>
      <c r="D192" s="1" t="n">
        <v>8.8</v>
      </c>
      <c r="E192" s="31" t="n">
        <v>2.2</v>
      </c>
      <c r="F192" s="1" t="n">
        <v>15.8</v>
      </c>
      <c r="G192" s="1" t="n">
        <f aca="false">G191+D192</f>
        <v>1687.7</v>
      </c>
      <c r="H192" s="1" t="n">
        <f aca="false">H191+D192</f>
        <v>431.8</v>
      </c>
      <c r="J192" s="56" t="n">
        <v>0</v>
      </c>
      <c r="K192" s="1" t="n">
        <f aca="false">K191+J192</f>
        <v>467.2</v>
      </c>
      <c r="L192" s="1" t="n">
        <v>2.6</v>
      </c>
      <c r="M192" s="1" t="n">
        <f aca="false">M191+L192</f>
        <v>210.9</v>
      </c>
      <c r="N192" s="19" t="n">
        <f aca="false">J192-L192</f>
        <v>-2.6</v>
      </c>
      <c r="O192" s="25" t="n">
        <f aca="false">O191+N192</f>
        <v>112.8</v>
      </c>
      <c r="P192" s="21" t="n">
        <v>187</v>
      </c>
      <c r="Q192" s="53" t="n">
        <f aca="false">1+((P192-122)/75)*(1.15-1)</f>
        <v>1.13</v>
      </c>
      <c r="R192" s="23" t="n">
        <f aca="false">Q192*L192</f>
        <v>2.938</v>
      </c>
      <c r="S192" s="23" t="n">
        <f aca="false">J192-R192</f>
        <v>-2.938</v>
      </c>
      <c r="T192" s="26" t="n">
        <f aca="false">MIN(122.1,(T191+S192))</f>
        <v>111.6216</v>
      </c>
      <c r="V192" s="1" t="n">
        <v>1698.1</v>
      </c>
      <c r="W192" s="1" t="n">
        <f aca="false">V192/D192</f>
        <v>192.965909090909</v>
      </c>
      <c r="X192" s="1" t="n">
        <f aca="false">X191+V192</f>
        <v>113864</v>
      </c>
      <c r="Y192" s="1" t="n">
        <f aca="false">Y191+V192</f>
        <v>35345.6</v>
      </c>
      <c r="AA192" s="1" t="n">
        <v>11.4194202660684</v>
      </c>
      <c r="AB192" s="1" t="n">
        <v>10</v>
      </c>
    </row>
    <row r="193" customFormat="false" ht="15" hidden="false" customHeight="false" outlineLevel="0" collapsed="false">
      <c r="A193" s="50"/>
      <c r="B193" s="51"/>
      <c r="C193" s="16" t="n">
        <v>41707</v>
      </c>
      <c r="D193" s="1" t="n">
        <v>10.4</v>
      </c>
      <c r="E193" s="31" t="n">
        <v>2.5</v>
      </c>
      <c r="F193" s="1" t="n">
        <v>18.8</v>
      </c>
      <c r="G193" s="1" t="n">
        <f aca="false">G192+D193</f>
        <v>1698.1</v>
      </c>
      <c r="H193" s="1" t="n">
        <f aca="false">H192+D193</f>
        <v>442.2</v>
      </c>
      <c r="J193" s="56" t="n">
        <v>0</v>
      </c>
      <c r="K193" s="1" t="n">
        <f aca="false">K192+J193</f>
        <v>467.2</v>
      </c>
      <c r="L193" s="1" t="n">
        <v>3</v>
      </c>
      <c r="M193" s="1" t="n">
        <f aca="false">M192+L193</f>
        <v>213.9</v>
      </c>
      <c r="N193" s="19" t="n">
        <f aca="false">J193-L193</f>
        <v>-3</v>
      </c>
      <c r="O193" s="25" t="n">
        <f aca="false">O192+N193</f>
        <v>109.8</v>
      </c>
      <c r="P193" s="21" t="n">
        <v>188</v>
      </c>
      <c r="Q193" s="53" t="n">
        <f aca="false">1+((P193-122)/75)*(1.15-1)</f>
        <v>1.132</v>
      </c>
      <c r="R193" s="23" t="n">
        <f aca="false">Q193*L193</f>
        <v>3.396</v>
      </c>
      <c r="S193" s="23" t="n">
        <f aca="false">J193-R193</f>
        <v>-3.396</v>
      </c>
      <c r="T193" s="26" t="n">
        <f aca="false">MIN(122.1,(T192+S193))</f>
        <v>108.2256</v>
      </c>
      <c r="V193" s="1" t="n">
        <v>1737.3</v>
      </c>
      <c r="W193" s="1" t="n">
        <f aca="false">V193/D193</f>
        <v>167.048076923077</v>
      </c>
      <c r="X193" s="1" t="n">
        <f aca="false">X192+V193</f>
        <v>115601.3</v>
      </c>
      <c r="Y193" s="1" t="n">
        <f aca="false">Y192+V193</f>
        <v>37082.9</v>
      </c>
      <c r="AA193" s="1" t="n">
        <v>11.4754554981985</v>
      </c>
      <c r="AB193" s="57" t="s">
        <v>49</v>
      </c>
    </row>
    <row r="194" customFormat="false" ht="15" hidden="false" customHeight="false" outlineLevel="0" collapsed="false">
      <c r="A194" s="50"/>
      <c r="B194" s="51"/>
      <c r="C194" s="16" t="n">
        <v>41708</v>
      </c>
      <c r="D194" s="1" t="n">
        <v>9.9</v>
      </c>
      <c r="E194" s="31" t="n">
        <v>3.1</v>
      </c>
      <c r="F194" s="1" t="n">
        <v>17.5</v>
      </c>
      <c r="G194" s="1" t="n">
        <f aca="false">G193+D194</f>
        <v>1708</v>
      </c>
      <c r="H194" s="1" t="n">
        <f aca="false">H193+D194</f>
        <v>452.1</v>
      </c>
      <c r="J194" s="56" t="n">
        <v>0</v>
      </c>
      <c r="K194" s="1" t="n">
        <f aca="false">K193+J194</f>
        <v>467.2</v>
      </c>
      <c r="L194" s="1" t="n">
        <v>2.8</v>
      </c>
      <c r="M194" s="1" t="n">
        <f aca="false">M193+L194</f>
        <v>216.7</v>
      </c>
      <c r="N194" s="19" t="n">
        <f aca="false">J194-L194</f>
        <v>-2.8</v>
      </c>
      <c r="O194" s="25" t="n">
        <f aca="false">O193+N194</f>
        <v>107</v>
      </c>
      <c r="P194" s="21" t="n">
        <v>189</v>
      </c>
      <c r="Q194" s="53" t="n">
        <f aca="false">1+((P194-122)/75)*(1.15-1)</f>
        <v>1.134</v>
      </c>
      <c r="R194" s="23" t="n">
        <f aca="false">Q194*L194</f>
        <v>3.1752</v>
      </c>
      <c r="S194" s="23" t="n">
        <f aca="false">J194-R194</f>
        <v>-3.1752</v>
      </c>
      <c r="T194" s="26" t="n">
        <f aca="false">MIN(122.1,(T193+S194))</f>
        <v>105.0504</v>
      </c>
      <c r="V194" s="1" t="n">
        <v>1748.1</v>
      </c>
      <c r="W194" s="1" t="n">
        <f aca="false">V194/D194</f>
        <v>176.575757575758</v>
      </c>
      <c r="X194" s="1" t="n">
        <f aca="false">X193+V194</f>
        <v>117349.4</v>
      </c>
      <c r="Y194" s="1" t="n">
        <f aca="false">Y193+V194</f>
        <v>38831</v>
      </c>
      <c r="AA194" s="1" t="n">
        <v>11.53155519822</v>
      </c>
      <c r="AB194" s="1" t="n">
        <v>4</v>
      </c>
    </row>
    <row r="195" customFormat="false" ht="15" hidden="false" customHeight="false" outlineLevel="0" collapsed="false">
      <c r="A195" s="50"/>
      <c r="B195" s="51"/>
      <c r="C195" s="16" t="n">
        <v>41709</v>
      </c>
      <c r="D195" s="1" t="n">
        <v>9.9</v>
      </c>
      <c r="E195" s="1" t="n">
        <v>5.6</v>
      </c>
      <c r="F195" s="1" t="n">
        <v>14.5</v>
      </c>
      <c r="G195" s="1" t="n">
        <f aca="false">G194+D195</f>
        <v>1717.9</v>
      </c>
      <c r="H195" s="1" t="n">
        <f aca="false">H194+D195</f>
        <v>462</v>
      </c>
      <c r="J195" s="56" t="n">
        <v>0</v>
      </c>
      <c r="K195" s="1" t="n">
        <f aca="false">K194+J195</f>
        <v>467.2</v>
      </c>
      <c r="L195" s="1" t="n">
        <v>2.6</v>
      </c>
      <c r="M195" s="1" t="n">
        <f aca="false">M194+L195</f>
        <v>219.3</v>
      </c>
      <c r="N195" s="19" t="n">
        <f aca="false">J195-L195</f>
        <v>-2.6</v>
      </c>
      <c r="O195" s="25" t="n">
        <f aca="false">O194+N195</f>
        <v>104.4</v>
      </c>
      <c r="P195" s="21" t="n">
        <v>190</v>
      </c>
      <c r="Q195" s="53" t="n">
        <f aca="false">1+((P195-122)/75)*(1.15-1)</f>
        <v>1.136</v>
      </c>
      <c r="R195" s="23" t="n">
        <f aca="false">Q195*L195</f>
        <v>2.9536</v>
      </c>
      <c r="S195" s="23" t="n">
        <f aca="false">J195-R195</f>
        <v>-2.9536</v>
      </c>
      <c r="T195" s="26" t="n">
        <f aca="false">MIN(122.1,(T194+S195))</f>
        <v>102.0968</v>
      </c>
      <c r="V195" s="1" t="n">
        <v>1696.9</v>
      </c>
      <c r="W195" s="1" t="n">
        <f aca="false">V195/D195</f>
        <v>171.40404040404</v>
      </c>
      <c r="X195" s="1" t="n">
        <f aca="false">X194+V195</f>
        <v>119046.3</v>
      </c>
      <c r="Y195" s="1" t="n">
        <f aca="false">Y194+V195</f>
        <v>40527.9</v>
      </c>
      <c r="AA195" s="1" t="n">
        <v>11.5877119736841</v>
      </c>
      <c r="AB195" s="57" t="s">
        <v>50</v>
      </c>
    </row>
    <row r="196" s="17" customFormat="true" ht="15" hidden="false" customHeight="false" outlineLevel="0" collapsed="false">
      <c r="A196" s="50"/>
      <c r="B196" s="51"/>
      <c r="C196" s="66" t="n">
        <v>41710</v>
      </c>
      <c r="D196" s="8" t="n">
        <v>8.6</v>
      </c>
      <c r="E196" s="8" t="n">
        <v>3.5</v>
      </c>
      <c r="F196" s="8" t="n">
        <v>15</v>
      </c>
      <c r="G196" s="8" t="n">
        <f aca="false">G195+D196</f>
        <v>1726.5</v>
      </c>
      <c r="H196" s="8" t="n">
        <f aca="false">H195+D196</f>
        <v>470.6</v>
      </c>
      <c r="I196" s="8"/>
      <c r="J196" s="56" t="n">
        <v>0</v>
      </c>
      <c r="K196" s="8" t="n">
        <f aca="false">K195+J196</f>
        <v>467.2</v>
      </c>
      <c r="L196" s="8" t="n">
        <v>2.6</v>
      </c>
      <c r="M196" s="8" t="n">
        <f aca="false">M195+L196</f>
        <v>221.9</v>
      </c>
      <c r="N196" s="8" t="n">
        <f aca="false">J196-L196</f>
        <v>-2.6</v>
      </c>
      <c r="O196" s="25" t="n">
        <f aca="false">O195+N196</f>
        <v>101.8</v>
      </c>
      <c r="P196" s="21" t="n">
        <v>191</v>
      </c>
      <c r="Q196" s="53" t="n">
        <f aca="false">1+((P196-122)/75)*(1.15-1)</f>
        <v>1.138</v>
      </c>
      <c r="R196" s="23" t="n">
        <f aca="false">Q196*L196</f>
        <v>2.9588</v>
      </c>
      <c r="S196" s="23" t="n">
        <f aca="false">J196-R196</f>
        <v>-2.9588</v>
      </c>
      <c r="T196" s="58" t="n">
        <f aca="false">MIN(122.1,(T195+S196))</f>
        <v>99.138</v>
      </c>
      <c r="U196" s="8"/>
      <c r="V196" s="8" t="n">
        <v>1793.3</v>
      </c>
      <c r="W196" s="8" t="n">
        <f aca="false">V196/D196</f>
        <v>208.523255813953</v>
      </c>
      <c r="X196" s="8" t="n">
        <f aca="false">X195+V196</f>
        <v>120839.6</v>
      </c>
      <c r="Y196" s="17" t="n">
        <f aca="false">Y195+V196</f>
        <v>42321.2</v>
      </c>
      <c r="Z196" s="8"/>
      <c r="AA196" s="8" t="n">
        <v>11.6439186480532</v>
      </c>
      <c r="AB196" s="8" t="n">
        <v>0</v>
      </c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</row>
    <row r="197" customFormat="false" ht="15" hidden="false" customHeight="false" outlineLevel="0" collapsed="false">
      <c r="A197" s="50"/>
      <c r="B197" s="51"/>
      <c r="C197" s="16" t="n">
        <v>41711</v>
      </c>
      <c r="D197" s="1" t="n">
        <v>9.3</v>
      </c>
      <c r="E197" s="31" t="n">
        <v>1.7</v>
      </c>
      <c r="F197" s="1" t="n">
        <v>16.9</v>
      </c>
      <c r="G197" s="1" t="n">
        <f aca="false">G196+D197</f>
        <v>1735.8</v>
      </c>
      <c r="H197" s="1" t="n">
        <f aca="false">H196+D197</f>
        <v>479.9</v>
      </c>
      <c r="J197" s="56" t="n">
        <v>0</v>
      </c>
      <c r="K197" s="1" t="n">
        <f aca="false">K196+J197</f>
        <v>467.2</v>
      </c>
      <c r="L197" s="1" t="n">
        <v>2.4</v>
      </c>
      <c r="M197" s="1" t="n">
        <f aca="false">M196+L197</f>
        <v>224.3</v>
      </c>
      <c r="N197" s="19" t="n">
        <f aca="false">J197-L197</f>
        <v>-2.4</v>
      </c>
      <c r="O197" s="25" t="n">
        <f aca="false">O196+N197</f>
        <v>99.4</v>
      </c>
      <c r="P197" s="21" t="n">
        <v>192</v>
      </c>
      <c r="Q197" s="53" t="n">
        <f aca="false">1+((P197-122)/75)*(1.15-1)</f>
        <v>1.14</v>
      </c>
      <c r="R197" s="23" t="n">
        <f aca="false">Q197*L197</f>
        <v>2.736</v>
      </c>
      <c r="S197" s="23" t="n">
        <f aca="false">J197-R197</f>
        <v>-2.736</v>
      </c>
      <c r="T197" s="58" t="n">
        <f aca="false">MIN(122.1,(T196+S197))</f>
        <v>96.402</v>
      </c>
      <c r="V197" s="1" t="n">
        <v>1805.6</v>
      </c>
      <c r="W197" s="1" t="n">
        <f aca="false">V197/D197</f>
        <v>194.150537634409</v>
      </c>
      <c r="X197" s="1" t="n">
        <f aca="false">X196+V197</f>
        <v>122645.2</v>
      </c>
      <c r="Y197" s="1" t="n">
        <f aca="false">Y196+V197</f>
        <v>44126.8</v>
      </c>
      <c r="AA197" s="1" t="n">
        <v>11.7001682431945</v>
      </c>
      <c r="AB197" s="57" t="s">
        <v>51</v>
      </c>
    </row>
    <row r="198" customFormat="false" ht="15" hidden="false" customHeight="false" outlineLevel="0" collapsed="false">
      <c r="A198" s="50"/>
      <c r="B198" s="51"/>
      <c r="C198" s="16" t="n">
        <v>41712</v>
      </c>
      <c r="D198" s="1" t="n">
        <v>10</v>
      </c>
      <c r="E198" s="31" t="n">
        <v>3.1</v>
      </c>
      <c r="F198" s="1" t="n">
        <v>16.5</v>
      </c>
      <c r="G198" s="1" t="n">
        <f aca="false">G197+D198</f>
        <v>1745.8</v>
      </c>
      <c r="H198" s="1" t="n">
        <f aca="false">H197+D198</f>
        <v>489.9</v>
      </c>
      <c r="J198" s="56" t="n">
        <v>0</v>
      </c>
      <c r="K198" s="1" t="n">
        <f aca="false">K197+J198</f>
        <v>467.2</v>
      </c>
      <c r="L198" s="1" t="n">
        <v>2.4</v>
      </c>
      <c r="M198" s="1" t="n">
        <f aca="false">M197+L198</f>
        <v>226.7</v>
      </c>
      <c r="N198" s="19" t="n">
        <f aca="false">J198-L198</f>
        <v>-2.4</v>
      </c>
      <c r="O198" s="25" t="n">
        <f aca="false">O197+N198</f>
        <v>97</v>
      </c>
      <c r="P198" s="21" t="n">
        <v>193</v>
      </c>
      <c r="Q198" s="53" t="n">
        <f aca="false">1+((P198-122)/75)*(1.15-1)</f>
        <v>1.142</v>
      </c>
      <c r="R198" s="23" t="n">
        <f aca="false">Q198*L198</f>
        <v>2.7408</v>
      </c>
      <c r="S198" s="23" t="n">
        <f aca="false">J198-R198</f>
        <v>-2.7408</v>
      </c>
      <c r="T198" s="58" t="n">
        <f aca="false">MIN(122.1,(T197+S198))</f>
        <v>93.6612</v>
      </c>
      <c r="V198" s="1" t="n">
        <v>1799.7</v>
      </c>
      <c r="W198" s="1" t="n">
        <f aca="false">V198/D198</f>
        <v>179.97</v>
      </c>
      <c r="X198" s="1" t="n">
        <f aca="false">X197+V198</f>
        <v>124444.9</v>
      </c>
      <c r="Y198" s="1" t="n">
        <f aca="false">Y197+V198</f>
        <v>45926.5</v>
      </c>
      <c r="AA198" s="1" t="n">
        <v>11.7564539619426</v>
      </c>
      <c r="AB198" s="1" t="n">
        <f aca="false">SUM(J200:J209)</f>
        <v>14.3</v>
      </c>
    </row>
    <row r="199" s="61" customFormat="true" ht="15" hidden="false" customHeight="false" outlineLevel="0" collapsed="false">
      <c r="A199" s="50"/>
      <c r="B199" s="59" t="s">
        <v>52</v>
      </c>
      <c r="C199" s="60" t="n">
        <v>41713</v>
      </c>
      <c r="D199" s="61" t="n">
        <v>7.1</v>
      </c>
      <c r="E199" s="61" t="n">
        <v>5.1</v>
      </c>
      <c r="F199" s="61" t="n">
        <v>9.6</v>
      </c>
      <c r="G199" s="61" t="n">
        <f aca="false">G198+D199</f>
        <v>1752.9</v>
      </c>
      <c r="H199" s="61" t="n">
        <f aca="false">H198+D199</f>
        <v>497</v>
      </c>
      <c r="J199" s="61" t="n">
        <v>0</v>
      </c>
      <c r="K199" s="61" t="n">
        <f aca="false">K198+J199</f>
        <v>467.2</v>
      </c>
      <c r="L199" s="61" t="n">
        <v>0.8</v>
      </c>
      <c r="M199" s="61" t="n">
        <f aca="false">M198+L199</f>
        <v>227.5</v>
      </c>
      <c r="N199" s="61" t="n">
        <f aca="false">J199-L199</f>
        <v>-0.8</v>
      </c>
      <c r="O199" s="61" t="n">
        <f aca="false">O198+N199</f>
        <v>96.2</v>
      </c>
      <c r="P199" s="62" t="n">
        <v>194</v>
      </c>
      <c r="Q199" s="63" t="n">
        <f aca="false">1+((P199-122)/75)*(1.15-1)</f>
        <v>1.144</v>
      </c>
      <c r="R199" s="64" t="n">
        <f aca="false">Q199*L199</f>
        <v>0.9152</v>
      </c>
      <c r="S199" s="64" t="n">
        <f aca="false">J199-R199</f>
        <v>-0.9152</v>
      </c>
      <c r="T199" s="65" t="n">
        <f aca="false">MIN(122.1,(T198+S199))</f>
        <v>92.746</v>
      </c>
      <c r="V199" s="61" t="n">
        <v>493.3</v>
      </c>
      <c r="W199" s="61" t="n">
        <f aca="false">V199/D199</f>
        <v>69.4788732394366</v>
      </c>
      <c r="X199" s="61" t="n">
        <f aca="false">X198+V199</f>
        <v>124938.2</v>
      </c>
      <c r="Y199" s="61" t="n">
        <f aca="false">Y198+V199</f>
        <v>46419.8</v>
      </c>
      <c r="AA199" s="61" t="n">
        <v>11.8127691707385</v>
      </c>
    </row>
    <row r="200" customFormat="false" ht="15" hidden="false" customHeight="false" outlineLevel="0" collapsed="false">
      <c r="A200" s="50"/>
      <c r="B200" s="51"/>
      <c r="C200" s="16" t="n">
        <v>41714</v>
      </c>
      <c r="D200" s="1" t="n">
        <v>7.7</v>
      </c>
      <c r="E200" s="31" t="n">
        <v>4.4</v>
      </c>
      <c r="F200" s="1" t="n">
        <v>11.5</v>
      </c>
      <c r="G200" s="1" t="n">
        <f aca="false">G199+D200</f>
        <v>1760.6</v>
      </c>
      <c r="H200" s="1" t="n">
        <f aca="false">H199+D200</f>
        <v>504.7</v>
      </c>
      <c r="J200" s="56" t="n">
        <v>0.2</v>
      </c>
      <c r="K200" s="1" t="n">
        <f aca="false">K199+J200</f>
        <v>467.4</v>
      </c>
      <c r="L200" s="1" t="n">
        <v>1.9</v>
      </c>
      <c r="M200" s="1" t="n">
        <f aca="false">M199+L200</f>
        <v>229.4</v>
      </c>
      <c r="N200" s="19" t="n">
        <f aca="false">J200-L200</f>
        <v>-1.7</v>
      </c>
      <c r="O200" s="25" t="n">
        <f aca="false">O199+N200</f>
        <v>94.5</v>
      </c>
      <c r="P200" s="21" t="n">
        <v>195</v>
      </c>
      <c r="Q200" s="53" t="n">
        <f aca="false">1+((P200-122)/75)*(1.15-1)</f>
        <v>1.146</v>
      </c>
      <c r="R200" s="23" t="n">
        <f aca="false">Q200*L200</f>
        <v>2.1774</v>
      </c>
      <c r="S200" s="23" t="n">
        <f aca="false">J200-R200</f>
        <v>-1.9774</v>
      </c>
      <c r="T200" s="58" t="n">
        <f aca="false">MIN(122.1,(T199+S200))</f>
        <v>90.7686</v>
      </c>
      <c r="V200" s="1" t="n">
        <v>1392.5</v>
      </c>
      <c r="W200" s="1" t="n">
        <f aca="false">V200/D200</f>
        <v>180.844155844156</v>
      </c>
      <c r="X200" s="1" t="n">
        <f aca="false">X199+V200</f>
        <v>126330.7</v>
      </c>
      <c r="Y200" s="1" t="n">
        <f aca="false">Y199+V200</f>
        <v>47812.3</v>
      </c>
      <c r="AA200" s="1" t="n">
        <v>11.8691073823543</v>
      </c>
    </row>
    <row r="201" customFormat="false" ht="15" hidden="false" customHeight="false" outlineLevel="0" collapsed="false">
      <c r="A201" s="50"/>
      <c r="B201" s="51"/>
      <c r="C201" s="16" t="n">
        <v>41715</v>
      </c>
      <c r="D201" s="1" t="n">
        <v>8.2</v>
      </c>
      <c r="E201" s="31" t="n">
        <v>2.6</v>
      </c>
      <c r="F201" s="1" t="n">
        <v>13.9</v>
      </c>
      <c r="G201" s="1" t="n">
        <f aca="false">G200+D201</f>
        <v>1768.8</v>
      </c>
      <c r="H201" s="1" t="n">
        <f aca="false">H200+D201</f>
        <v>512.9</v>
      </c>
      <c r="J201" s="56" t="n">
        <v>0</v>
      </c>
      <c r="K201" s="1" t="n">
        <f aca="false">K200+J201</f>
        <v>467.4</v>
      </c>
      <c r="L201" s="1" t="n">
        <v>1.8</v>
      </c>
      <c r="M201" s="1" t="n">
        <f aca="false">M200+L201</f>
        <v>231.2</v>
      </c>
      <c r="N201" s="19" t="n">
        <f aca="false">J201-L201</f>
        <v>-1.8</v>
      </c>
      <c r="O201" s="25" t="n">
        <f aca="false">O200+N201</f>
        <v>92.7</v>
      </c>
      <c r="P201" s="21" t="n">
        <v>196</v>
      </c>
      <c r="Q201" s="53" t="n">
        <f aca="false">1+((P201-122)/75)*(1.15-1)</f>
        <v>1.148</v>
      </c>
      <c r="R201" s="23" t="n">
        <f aca="false">Q201*L201</f>
        <v>2.0664</v>
      </c>
      <c r="S201" s="23" t="n">
        <f aca="false">J201-R201</f>
        <v>-2.0664</v>
      </c>
      <c r="T201" s="58" t="n">
        <f aca="false">MIN(122.1,(T200+S201))</f>
        <v>88.7022</v>
      </c>
      <c r="V201" s="1" t="n">
        <v>1349.5</v>
      </c>
      <c r="W201" s="1" t="n">
        <f aca="false">V201/D201</f>
        <v>164.573170731707</v>
      </c>
      <c r="X201" s="1" t="n">
        <f aca="false">X200+V201</f>
        <v>127680.2</v>
      </c>
      <c r="Y201" s="1" t="n">
        <f aca="false">Y200+V201</f>
        <v>49161.8</v>
      </c>
      <c r="AA201" s="1" t="n">
        <v>11.9254622387046</v>
      </c>
    </row>
    <row r="202" s="35" customFormat="true" ht="15" hidden="false" customHeight="false" outlineLevel="0" collapsed="false">
      <c r="A202" s="50"/>
      <c r="B202" s="32"/>
      <c r="C202" s="67" t="n">
        <v>41716</v>
      </c>
      <c r="D202" s="35" t="n">
        <v>8.1</v>
      </c>
      <c r="E202" s="68" t="n">
        <v>1.8</v>
      </c>
      <c r="F202" s="35" t="n">
        <v>13.7</v>
      </c>
      <c r="G202" s="35" t="n">
        <f aca="false">G201+D202</f>
        <v>1776.9</v>
      </c>
      <c r="H202" s="35" t="n">
        <f aca="false">H201+D202</f>
        <v>521</v>
      </c>
      <c r="J202" s="69" t="n">
        <v>0</v>
      </c>
      <c r="K202" s="35" t="n">
        <f aca="false">K201+J202</f>
        <v>467.4</v>
      </c>
      <c r="L202" s="35" t="n">
        <v>1.5</v>
      </c>
      <c r="M202" s="35" t="n">
        <f aca="false">M201+L202</f>
        <v>232.7</v>
      </c>
      <c r="N202" s="70" t="n">
        <f aca="false">J202-L202</f>
        <v>-1.5</v>
      </c>
      <c r="O202" s="36" t="n">
        <f aca="false">O201+N202</f>
        <v>91.2</v>
      </c>
      <c r="P202" s="37" t="n">
        <v>197</v>
      </c>
      <c r="Q202" s="71" t="n">
        <f aca="false">1+((P202-122)/75)*(1.15-1)</f>
        <v>1.15</v>
      </c>
      <c r="R202" s="39" t="n">
        <f aca="false">Q202*L202</f>
        <v>1.725</v>
      </c>
      <c r="S202" s="40" t="n">
        <f aca="false">J202-R202</f>
        <v>-1.725</v>
      </c>
      <c r="T202" s="72" t="n">
        <f aca="false">MIN(122.1,(T201+S202))</f>
        <v>86.9772</v>
      </c>
      <c r="V202" s="35" t="n">
        <v>1271.7</v>
      </c>
      <c r="W202" s="35" t="n">
        <f aca="false">V202/D202</f>
        <v>157</v>
      </c>
      <c r="X202" s="35" t="n">
        <f aca="false">X201+V202</f>
        <v>128951.9</v>
      </c>
      <c r="Y202" s="38" t="n">
        <f aca="false">Y201+V202</f>
        <v>50433.5</v>
      </c>
      <c r="AA202" s="35" t="n">
        <v>11.9818274937524</v>
      </c>
    </row>
    <row r="203" customFormat="false" ht="15" hidden="false" customHeight="false" outlineLevel="0" collapsed="false">
      <c r="A203" s="73" t="s">
        <v>53</v>
      </c>
      <c r="B203" s="1"/>
      <c r="C203" s="16" t="n">
        <v>41717</v>
      </c>
      <c r="D203" s="1" t="n">
        <v>9.2</v>
      </c>
      <c r="E203" s="31" t="n">
        <v>3.2</v>
      </c>
      <c r="F203" s="1" t="n">
        <v>13.9</v>
      </c>
      <c r="G203" s="1" t="n">
        <f aca="false">G202+D203</f>
        <v>1786.1</v>
      </c>
      <c r="H203" s="1" t="n">
        <v>9.2</v>
      </c>
      <c r="I203" s="74" t="s">
        <v>28</v>
      </c>
      <c r="J203" s="56" t="n">
        <v>0</v>
      </c>
      <c r="K203" s="1" t="n">
        <f aca="false">K202+J203</f>
        <v>467.4</v>
      </c>
      <c r="L203" s="1" t="n">
        <v>2.2</v>
      </c>
      <c r="M203" s="1" t="n">
        <f aca="false">M202+L203</f>
        <v>234.9</v>
      </c>
      <c r="N203" s="19" t="n">
        <f aca="false">J203-L203</f>
        <v>-2.2</v>
      </c>
      <c r="O203" s="25" t="n">
        <f aca="false">O202+N203</f>
        <v>89</v>
      </c>
      <c r="P203" s="21" t="n">
        <v>198</v>
      </c>
      <c r="Q203" s="22" t="n">
        <v>1.15</v>
      </c>
      <c r="R203" s="23" t="n">
        <f aca="false">Q203*L203</f>
        <v>2.53</v>
      </c>
      <c r="S203" s="23" t="n">
        <f aca="false">J203-R203</f>
        <v>-2.53</v>
      </c>
      <c r="T203" s="58" t="n">
        <f aca="false">MIN(122.1,(T202+S203))</f>
        <v>84.4472</v>
      </c>
      <c r="U203" s="74" t="s">
        <v>29</v>
      </c>
      <c r="V203" s="1" t="n">
        <v>1735.9</v>
      </c>
      <c r="W203" s="75" t="n">
        <f aca="false">(V203/100)/D203</f>
        <v>1.88684782608696</v>
      </c>
      <c r="X203" s="1" t="n">
        <f aca="false">X202+V203</f>
        <v>130687.8</v>
      </c>
      <c r="Y203" s="1" t="n">
        <v>1735.9</v>
      </c>
      <c r="Z203" s="74" t="s">
        <v>30</v>
      </c>
      <c r="AA203" s="1" t="n">
        <v>12.0381969965074</v>
      </c>
    </row>
    <row r="204" customFormat="false" ht="15" hidden="false" customHeight="false" outlineLevel="0" collapsed="false">
      <c r="A204" s="73"/>
      <c r="B204" s="1"/>
      <c r="C204" s="16" t="n">
        <v>41718</v>
      </c>
      <c r="D204" s="1" t="n">
        <v>12.7</v>
      </c>
      <c r="E204" s="31" t="n">
        <v>3.5</v>
      </c>
      <c r="F204" s="1" t="n">
        <v>19.9</v>
      </c>
      <c r="G204" s="1" t="n">
        <f aca="false">G203+D204</f>
        <v>1798.8</v>
      </c>
      <c r="H204" s="1" t="n">
        <f aca="false">H203+D204</f>
        <v>21.9</v>
      </c>
      <c r="I204" s="1" t="n">
        <f aca="false">MIN(E203:E223)</f>
        <v>-1.1</v>
      </c>
      <c r="J204" s="56" t="n">
        <v>0</v>
      </c>
      <c r="K204" s="1" t="n">
        <f aca="false">K203+J204</f>
        <v>467.4</v>
      </c>
      <c r="L204" s="1" t="n">
        <v>3.4</v>
      </c>
      <c r="M204" s="1" t="n">
        <f aca="false">M203+L204</f>
        <v>238.3</v>
      </c>
      <c r="N204" s="19" t="n">
        <f aca="false">J204-L204</f>
        <v>-3.4</v>
      </c>
      <c r="O204" s="25" t="n">
        <f aca="false">O203+N204</f>
        <v>85.6</v>
      </c>
      <c r="P204" s="21" t="n">
        <v>199</v>
      </c>
      <c r="Q204" s="22" t="n">
        <v>1.15</v>
      </c>
      <c r="R204" s="23" t="n">
        <f aca="false">Q204*L204</f>
        <v>3.91</v>
      </c>
      <c r="S204" s="23" t="n">
        <f aca="false">J204-R204</f>
        <v>-3.91</v>
      </c>
      <c r="T204" s="58" t="n">
        <f aca="false">MIN(122.1,(T203+S204))</f>
        <v>80.5372</v>
      </c>
      <c r="U204" s="1" t="n">
        <v>15</v>
      </c>
      <c r="V204" s="1" t="n">
        <v>1978.4</v>
      </c>
      <c r="W204" s="75" t="n">
        <f aca="false">(V204/100)/D204</f>
        <v>1.55779527559055</v>
      </c>
      <c r="X204" s="1" t="n">
        <f aca="false">X203+V204</f>
        <v>132666.2</v>
      </c>
      <c r="Y204" s="1" t="n">
        <f aca="false">Y203+V204</f>
        <v>3714.3</v>
      </c>
      <c r="Z204" s="1" t="n">
        <v>25583.8</v>
      </c>
      <c r="AA204" s="1" t="n">
        <v>12.0945646741219</v>
      </c>
    </row>
    <row r="205" customFormat="false" ht="15" hidden="false" customHeight="false" outlineLevel="0" collapsed="false">
      <c r="A205" s="73"/>
      <c r="B205" s="1"/>
      <c r="C205" s="16" t="n">
        <v>41719</v>
      </c>
      <c r="D205" s="1" t="n">
        <v>10.8</v>
      </c>
      <c r="E205" s="1" t="n">
        <v>10.2</v>
      </c>
      <c r="F205" s="1" t="n">
        <v>12</v>
      </c>
      <c r="G205" s="1" t="n">
        <f aca="false">G204+D205</f>
        <v>1809.6</v>
      </c>
      <c r="H205" s="1" t="n">
        <f aca="false">H204+D205</f>
        <v>32.7</v>
      </c>
      <c r="I205" s="74" t="s">
        <v>31</v>
      </c>
      <c r="J205" s="56" t="n">
        <v>2.7</v>
      </c>
      <c r="K205" s="1" t="n">
        <f aca="false">K204+J205</f>
        <v>470.1</v>
      </c>
      <c r="L205" s="1" t="n">
        <v>1.2</v>
      </c>
      <c r="M205" s="1" t="n">
        <f aca="false">M204+L205</f>
        <v>239.5</v>
      </c>
      <c r="N205" s="1" t="n">
        <f aca="false">J205-L205</f>
        <v>1.5</v>
      </c>
      <c r="O205" s="25" t="n">
        <f aca="false">O204+N205</f>
        <v>87.1</v>
      </c>
      <c r="P205" s="21" t="n">
        <v>200</v>
      </c>
      <c r="Q205" s="22" t="n">
        <v>1.15</v>
      </c>
      <c r="R205" s="23" t="n">
        <f aca="false">Q205*L205</f>
        <v>1.38</v>
      </c>
      <c r="S205" s="23" t="n">
        <f aca="false">J205-R205</f>
        <v>1.32</v>
      </c>
      <c r="T205" s="58" t="n">
        <f aca="false">MIN(122.1,(T204+S205))</f>
        <v>81.8572</v>
      </c>
      <c r="U205" s="74" t="s">
        <v>32</v>
      </c>
      <c r="V205" s="27" t="n">
        <v>563.2</v>
      </c>
      <c r="W205" s="76" t="n">
        <f aca="false">(V205/100)/D205</f>
        <v>0.521481481481482</v>
      </c>
      <c r="X205" s="1" t="n">
        <f aca="false">X204+V205</f>
        <v>133229.4</v>
      </c>
      <c r="Y205" s="1" t="n">
        <f aca="false">Y204+V205</f>
        <v>4277.5</v>
      </c>
      <c r="Z205" s="74" t="s">
        <v>33</v>
      </c>
      <c r="AA205" s="1" t="n">
        <v>12.1509245150813</v>
      </c>
    </row>
    <row r="206" customFormat="false" ht="15" hidden="false" customHeight="false" outlineLevel="0" collapsed="false">
      <c r="A206" s="73"/>
      <c r="B206" s="1"/>
      <c r="C206" s="16" t="n">
        <v>41720</v>
      </c>
      <c r="D206" s="1" t="n">
        <v>7.8</v>
      </c>
      <c r="E206" s="1" t="n">
        <v>7.7</v>
      </c>
      <c r="F206" s="1" t="n">
        <v>9.6</v>
      </c>
      <c r="G206" s="1" t="n">
        <f aca="false">G205+D206</f>
        <v>1817.4</v>
      </c>
      <c r="H206" s="1" t="n">
        <f aca="false">H205+D206</f>
        <v>40.5</v>
      </c>
      <c r="I206" s="1" t="n">
        <f aca="false">MAX(F203:F223)</f>
        <v>23.3</v>
      </c>
      <c r="J206" s="56" t="n">
        <v>3.1</v>
      </c>
      <c r="K206" s="1" t="n">
        <f aca="false">K205+J206</f>
        <v>473.2</v>
      </c>
      <c r="L206" s="1" t="n">
        <v>1.6</v>
      </c>
      <c r="M206" s="1" t="n">
        <f aca="false">M205+L206</f>
        <v>241.1</v>
      </c>
      <c r="N206" s="1" t="n">
        <f aca="false">J206-L206</f>
        <v>1.5</v>
      </c>
      <c r="O206" s="25" t="n">
        <f aca="false">O205+N206</f>
        <v>88.6</v>
      </c>
      <c r="P206" s="21" t="n">
        <v>201</v>
      </c>
      <c r="Q206" s="22" t="n">
        <v>1.15</v>
      </c>
      <c r="R206" s="23" t="n">
        <f aca="false">Q206*L206</f>
        <v>1.84</v>
      </c>
      <c r="S206" s="23" t="n">
        <f aca="false">J206-R206</f>
        <v>1.26</v>
      </c>
      <c r="T206" s="58" t="n">
        <f aca="false">MIN(122.1,(T205+S206))</f>
        <v>83.1172</v>
      </c>
      <c r="U206" s="1" t="n">
        <v>0</v>
      </c>
      <c r="V206" s="27" t="n">
        <v>859.4</v>
      </c>
      <c r="W206" s="76" t="n">
        <f aca="false">(V206/100)/D206</f>
        <v>1.10179487179487</v>
      </c>
      <c r="X206" s="1" t="n">
        <f aca="false">X205+V206</f>
        <v>134088.8</v>
      </c>
      <c r="Y206" s="1" t="n">
        <f aca="false">Y205+V206</f>
        <v>5136.9</v>
      </c>
      <c r="Z206" s="28" t="n">
        <f aca="false">(Z204/100)/I216</f>
        <v>1.191052141527</v>
      </c>
      <c r="AA206" s="1" t="n">
        <v>12.2072705524909</v>
      </c>
    </row>
    <row r="207" customFormat="false" ht="15" hidden="false" customHeight="false" outlineLevel="0" collapsed="false">
      <c r="A207" s="73"/>
      <c r="B207" s="1"/>
      <c r="C207" s="16" t="n">
        <v>41721</v>
      </c>
      <c r="D207" s="31" t="n">
        <v>4.6</v>
      </c>
      <c r="E207" s="31" t="n">
        <v>1.4</v>
      </c>
      <c r="F207" s="1" t="n">
        <v>8.7</v>
      </c>
      <c r="G207" s="1" t="n">
        <f aca="false">G206+D207</f>
        <v>1822</v>
      </c>
      <c r="H207" s="1" t="n">
        <f aca="false">H206+D207</f>
        <v>45.1</v>
      </c>
      <c r="I207" s="74" t="s">
        <v>34</v>
      </c>
      <c r="J207" s="56" t="n">
        <v>2.8</v>
      </c>
      <c r="K207" s="1" t="n">
        <f aca="false">K206+J207</f>
        <v>476</v>
      </c>
      <c r="L207" s="1" t="n">
        <v>1.4</v>
      </c>
      <c r="M207" s="1" t="n">
        <f aca="false">M206+L207</f>
        <v>242.5</v>
      </c>
      <c r="N207" s="1" t="n">
        <f aca="false">J207-L207</f>
        <v>1.4</v>
      </c>
      <c r="O207" s="25" t="n">
        <f aca="false">O206+N207</f>
        <v>90</v>
      </c>
      <c r="P207" s="21" t="n">
        <v>202</v>
      </c>
      <c r="Q207" s="22" t="n">
        <v>1.15</v>
      </c>
      <c r="R207" s="23" t="n">
        <f aca="false">Q207*L207</f>
        <v>1.61</v>
      </c>
      <c r="S207" s="23" t="n">
        <f aca="false">J207-R207</f>
        <v>1.19</v>
      </c>
      <c r="T207" s="58" t="n">
        <f aca="false">MIN(122.1,(T206+S207))</f>
        <v>84.3072</v>
      </c>
      <c r="U207" s="74" t="s">
        <v>35</v>
      </c>
      <c r="V207" s="1" t="n">
        <v>1158.6</v>
      </c>
      <c r="W207" s="75" t="n">
        <f aca="false">(V207/100)/D207</f>
        <v>2.51869565217391</v>
      </c>
      <c r="X207" s="1" t="n">
        <f aca="false">X206+V207</f>
        <v>135247.4</v>
      </c>
      <c r="Y207" s="1" t="n">
        <f aca="false">Y206+V207</f>
        <v>6295.5</v>
      </c>
      <c r="Z207" s="74" t="s">
        <v>36</v>
      </c>
      <c r="AA207" s="1" t="n">
        <v>12.2635968474573</v>
      </c>
    </row>
    <row r="208" customFormat="false" ht="15" hidden="false" customHeight="false" outlineLevel="0" collapsed="false">
      <c r="A208" s="73"/>
      <c r="B208" s="1"/>
      <c r="C208" s="16" t="n">
        <v>41722</v>
      </c>
      <c r="D208" s="1" t="n">
        <v>5.5</v>
      </c>
      <c r="E208" s="30" t="n">
        <v>-0.4</v>
      </c>
      <c r="F208" s="1" t="n">
        <v>10.1</v>
      </c>
      <c r="G208" s="1" t="n">
        <f aca="false">G207+D208</f>
        <v>1827.5</v>
      </c>
      <c r="H208" s="1" t="n">
        <f aca="false">H207+D208</f>
        <v>50.6</v>
      </c>
      <c r="I208" s="29" t="n">
        <f aca="false">AVERAGE(D203:D223)</f>
        <v>10.2285714285714</v>
      </c>
      <c r="J208" s="56" t="n">
        <v>4.1</v>
      </c>
      <c r="K208" s="1" t="n">
        <f aca="false">K207+J208</f>
        <v>480.1</v>
      </c>
      <c r="L208" s="1" t="n">
        <v>1.4</v>
      </c>
      <c r="M208" s="1" t="n">
        <f aca="false">M207+L208</f>
        <v>243.9</v>
      </c>
      <c r="N208" s="1" t="n">
        <f aca="false">J208-L208</f>
        <v>2.7</v>
      </c>
      <c r="O208" s="25" t="n">
        <f aca="false">O207+N208</f>
        <v>92.7</v>
      </c>
      <c r="P208" s="21" t="n">
        <v>203</v>
      </c>
      <c r="Q208" s="22" t="n">
        <v>1.15</v>
      </c>
      <c r="R208" s="23" t="n">
        <f aca="false">Q208*L208</f>
        <v>1.61</v>
      </c>
      <c r="S208" s="23" t="n">
        <f aca="false">J208-R208</f>
        <v>2.49</v>
      </c>
      <c r="T208" s="58" t="n">
        <f aca="false">MIN(122.1,(T207+S208))</f>
        <v>86.7972</v>
      </c>
      <c r="U208" s="1" t="n">
        <v>0</v>
      </c>
      <c r="V208" s="1" t="n">
        <v>1140.9</v>
      </c>
      <c r="W208" s="75" t="n">
        <f aca="false">(V208/100)/D208</f>
        <v>2.07436363636364</v>
      </c>
      <c r="X208" s="1" t="n">
        <f aca="false">X207+V208</f>
        <v>136388.3</v>
      </c>
      <c r="Y208" s="1" t="n">
        <f aca="false">Y207+V208</f>
        <v>7436.4</v>
      </c>
      <c r="Z208" s="1" t="n">
        <v>4</v>
      </c>
      <c r="AA208" s="1" t="n">
        <v>12.3198974725627</v>
      </c>
    </row>
    <row r="209" customFormat="false" ht="15" hidden="false" customHeight="false" outlineLevel="0" collapsed="false">
      <c r="A209" s="73"/>
      <c r="B209" s="1"/>
      <c r="C209" s="16" t="n">
        <v>41723</v>
      </c>
      <c r="D209" s="1" t="n">
        <v>7.4</v>
      </c>
      <c r="E209" s="31" t="n">
        <v>4.9</v>
      </c>
      <c r="F209" s="1" t="n">
        <v>10.3</v>
      </c>
      <c r="G209" s="1" t="n">
        <f aca="false">G208+D209</f>
        <v>1834.9</v>
      </c>
      <c r="H209" s="1" t="n">
        <f aca="false">H208+D209</f>
        <v>58</v>
      </c>
      <c r="I209" s="74" t="s">
        <v>37</v>
      </c>
      <c r="J209" s="56" t="n">
        <v>1.4</v>
      </c>
      <c r="K209" s="1" t="n">
        <f aca="false">K208+J209</f>
        <v>481.5</v>
      </c>
      <c r="L209" s="1" t="n">
        <v>1.6</v>
      </c>
      <c r="M209" s="1" t="n">
        <f aca="false">M208+L209</f>
        <v>245.5</v>
      </c>
      <c r="N209" s="19" t="n">
        <f aca="false">J209-L209</f>
        <v>-0.2</v>
      </c>
      <c r="O209" s="25" t="n">
        <f aca="false">O208+N209</f>
        <v>92.5</v>
      </c>
      <c r="P209" s="21" t="n">
        <v>204</v>
      </c>
      <c r="Q209" s="22" t="n">
        <v>1.15</v>
      </c>
      <c r="R209" s="23" t="n">
        <f aca="false">Q209*L209</f>
        <v>1.84</v>
      </c>
      <c r="S209" s="23" t="n">
        <f aca="false">J209-R209</f>
        <v>-0.44</v>
      </c>
      <c r="T209" s="58" t="n">
        <f aca="false">MIN(122.1,(T208+S209))</f>
        <v>86.3572</v>
      </c>
      <c r="U209" s="74" t="s">
        <v>38</v>
      </c>
      <c r="V209" s="1" t="n">
        <v>1148.9</v>
      </c>
      <c r="W209" s="75" t="n">
        <f aca="false">(V209/100)/D209</f>
        <v>1.55256756756757</v>
      </c>
      <c r="X209" s="1" t="n">
        <f aca="false">X208+V209</f>
        <v>137537.2</v>
      </c>
      <c r="Y209" s="1" t="n">
        <f aca="false">Y208+V209</f>
        <v>8585.3</v>
      </c>
      <c r="AA209" s="1" t="n">
        <v>12.3761664954312</v>
      </c>
    </row>
    <row r="210" customFormat="false" ht="15" hidden="false" customHeight="false" outlineLevel="0" collapsed="false">
      <c r="A210" s="73"/>
      <c r="B210" s="1"/>
      <c r="C210" s="16" t="n">
        <v>41724</v>
      </c>
      <c r="D210" s="1" t="n">
        <v>6.1</v>
      </c>
      <c r="E210" s="31" t="n">
        <v>3.5</v>
      </c>
      <c r="F210" s="1" t="n">
        <v>10.3</v>
      </c>
      <c r="G210" s="1" t="n">
        <f aca="false">G209+D210</f>
        <v>1841</v>
      </c>
      <c r="H210" s="1" t="n">
        <f aca="false">H209+D210</f>
        <v>64.1</v>
      </c>
      <c r="I210" s="1" t="n">
        <v>2</v>
      </c>
      <c r="J210" s="1" t="n">
        <v>0</v>
      </c>
      <c r="K210" s="1" t="n">
        <f aca="false">K209+J210</f>
        <v>481.5</v>
      </c>
      <c r="L210" s="1" t="n">
        <v>1.8</v>
      </c>
      <c r="M210" s="1" t="n">
        <f aca="false">M209+L210</f>
        <v>247.3</v>
      </c>
      <c r="N210" s="19" t="n">
        <f aca="false">J210-L210</f>
        <v>-1.8</v>
      </c>
      <c r="O210" s="25" t="n">
        <f aca="false">O209+N210</f>
        <v>90.7</v>
      </c>
      <c r="P210" s="21" t="n">
        <v>205</v>
      </c>
      <c r="Q210" s="22" t="n">
        <v>1.15</v>
      </c>
      <c r="R210" s="23" t="n">
        <f aca="false">Q210*L210</f>
        <v>2.07</v>
      </c>
      <c r="S210" s="23" t="n">
        <f aca="false">J210-R210</f>
        <v>-2.07</v>
      </c>
      <c r="T210" s="26" t="n">
        <f aca="false">MIN(122.1,(T209+S210))</f>
        <v>84.2872</v>
      </c>
      <c r="U210" s="29" t="n">
        <f aca="false">MIN(T203:T223)</f>
        <v>60.7372</v>
      </c>
      <c r="V210" s="1" t="n">
        <v>1143.4</v>
      </c>
      <c r="W210" s="75" t="n">
        <f aca="false">(V210/100)/D210</f>
        <v>1.8744262295082</v>
      </c>
      <c r="X210" s="1" t="n">
        <f aca="false">X209+V210</f>
        <v>138680.6</v>
      </c>
      <c r="Y210" s="1" t="n">
        <f aca="false">Y209+V210</f>
        <v>9728.7</v>
      </c>
      <c r="AA210" s="1" t="n">
        <v>12.4323979623851</v>
      </c>
    </row>
    <row r="211" customFormat="false" ht="15" hidden="false" customHeight="false" outlineLevel="0" collapsed="false">
      <c r="A211" s="73"/>
      <c r="B211" s="1"/>
      <c r="C211" s="16" t="n">
        <v>41725</v>
      </c>
      <c r="D211" s="1" t="n">
        <v>5.2</v>
      </c>
      <c r="E211" s="30" t="n">
        <v>-1.1</v>
      </c>
      <c r="F211" s="1" t="n">
        <v>10.3</v>
      </c>
      <c r="G211" s="1" t="n">
        <f aca="false">G210+D211</f>
        <v>1846.2</v>
      </c>
      <c r="H211" s="1" t="n">
        <f aca="false">H210+D211</f>
        <v>69.3</v>
      </c>
      <c r="I211" s="74" t="s">
        <v>39</v>
      </c>
      <c r="J211" s="1" t="n">
        <v>0</v>
      </c>
      <c r="K211" s="1" t="n">
        <f aca="false">K210+J211</f>
        <v>481.5</v>
      </c>
      <c r="L211" s="1" t="n">
        <v>1.8</v>
      </c>
      <c r="M211" s="1" t="n">
        <f aca="false">M210+L211</f>
        <v>249.1</v>
      </c>
      <c r="N211" s="19" t="n">
        <f aca="false">J211-L211</f>
        <v>-1.8</v>
      </c>
      <c r="O211" s="25" t="n">
        <f aca="false">O210+N211</f>
        <v>88.9</v>
      </c>
      <c r="P211" s="21" t="n">
        <v>206</v>
      </c>
      <c r="Q211" s="22" t="n">
        <v>1.15</v>
      </c>
      <c r="R211" s="23" t="n">
        <f aca="false">Q211*L211</f>
        <v>2.07</v>
      </c>
      <c r="S211" s="23" t="n">
        <f aca="false">J211-R211</f>
        <v>-2.07</v>
      </c>
      <c r="T211" s="26" t="n">
        <f aca="false">MIN(122.1,(T210+S211))</f>
        <v>82.2172</v>
      </c>
      <c r="U211" s="74" t="s">
        <v>40</v>
      </c>
      <c r="V211" s="1" t="n">
        <v>1596.9</v>
      </c>
      <c r="W211" s="75" t="n">
        <f aca="false">(V211/100)/D211</f>
        <v>3.07096153846154</v>
      </c>
      <c r="X211" s="1" t="n">
        <f aca="false">X210+V211</f>
        <v>140277.5</v>
      </c>
      <c r="Y211" s="1" t="n">
        <f aca="false">Y210+V211</f>
        <v>11325.6</v>
      </c>
      <c r="AA211" s="1" t="n">
        <v>12.4885858821902</v>
      </c>
    </row>
    <row r="212" customFormat="false" ht="15" hidden="false" customHeight="false" outlineLevel="0" collapsed="false">
      <c r="A212" s="73" t="s">
        <v>54</v>
      </c>
      <c r="B212" s="1"/>
      <c r="C212" s="16" t="n">
        <v>41726</v>
      </c>
      <c r="D212" s="1" t="n">
        <v>8.5</v>
      </c>
      <c r="E212" s="31" t="n">
        <v>2.2</v>
      </c>
      <c r="F212" s="1" t="n">
        <v>14.5</v>
      </c>
      <c r="G212" s="1" t="n">
        <f aca="false">G211+D212</f>
        <v>1854.7</v>
      </c>
      <c r="H212" s="1" t="n">
        <f aca="false">H211+D212</f>
        <v>77.8</v>
      </c>
      <c r="I212" s="1" t="n">
        <v>0</v>
      </c>
      <c r="J212" s="1" t="n">
        <v>0</v>
      </c>
      <c r="K212" s="1" t="n">
        <f aca="false">K211+J212</f>
        <v>481.5</v>
      </c>
      <c r="L212" s="1" t="n">
        <v>1.8</v>
      </c>
      <c r="M212" s="1" t="n">
        <f aca="false">M211+L212</f>
        <v>250.9</v>
      </c>
      <c r="N212" s="19" t="n">
        <f aca="false">J212-L212</f>
        <v>-1.8</v>
      </c>
      <c r="O212" s="25" t="n">
        <f aca="false">O211+N212</f>
        <v>87.1</v>
      </c>
      <c r="P212" s="21" t="n">
        <v>207</v>
      </c>
      <c r="Q212" s="22" t="n">
        <v>1.15</v>
      </c>
      <c r="R212" s="23" t="n">
        <f aca="false">Q212*L212</f>
        <v>2.07</v>
      </c>
      <c r="S212" s="23" t="n">
        <f aca="false">J212-R212</f>
        <v>-2.07</v>
      </c>
      <c r="T212" s="26" t="n">
        <f aca="false">MIN(122.1,(T211+S212))</f>
        <v>80.1472</v>
      </c>
      <c r="U212" s="29" t="n">
        <f aca="false">MAX(T203:T223)</f>
        <v>86.7972</v>
      </c>
      <c r="V212" s="1" t="n">
        <v>1018.3</v>
      </c>
      <c r="W212" s="76" t="n">
        <f aca="false">(V212/100)/D212</f>
        <v>1.198</v>
      </c>
      <c r="X212" s="1" t="n">
        <f aca="false">X211+V212</f>
        <v>141295.8</v>
      </c>
      <c r="Y212" s="1" t="n">
        <f aca="false">Y211+V212</f>
        <v>12343.9</v>
      </c>
      <c r="AA212" s="1" t="n">
        <v>12.5447242098874</v>
      </c>
    </row>
    <row r="213" customFormat="false" ht="15" hidden="false" customHeight="false" outlineLevel="0" collapsed="false">
      <c r="A213" s="77"/>
      <c r="B213" s="1"/>
      <c r="C213" s="16" t="n">
        <v>41727</v>
      </c>
      <c r="D213" s="1" t="n">
        <v>11.4</v>
      </c>
      <c r="E213" s="31" t="n">
        <v>3.2</v>
      </c>
      <c r="F213" s="1" t="n">
        <v>19</v>
      </c>
      <c r="G213" s="1" t="n">
        <f aca="false">G212+D213</f>
        <v>1866.1</v>
      </c>
      <c r="H213" s="1" t="n">
        <f aca="false">H212+D213</f>
        <v>89.2</v>
      </c>
      <c r="I213" s="74" t="s">
        <v>41</v>
      </c>
      <c r="J213" s="1" t="n">
        <v>0</v>
      </c>
      <c r="K213" s="1" t="n">
        <f aca="false">K212+J213</f>
        <v>481.5</v>
      </c>
      <c r="L213" s="1" t="n">
        <v>2.6</v>
      </c>
      <c r="M213" s="1" t="n">
        <f aca="false">M212+L213</f>
        <v>253.5</v>
      </c>
      <c r="N213" s="19" t="n">
        <f aca="false">J213-L213</f>
        <v>-2.6</v>
      </c>
      <c r="O213" s="25" t="n">
        <f aca="false">O212+N213</f>
        <v>84.5</v>
      </c>
      <c r="P213" s="21" t="n">
        <v>208</v>
      </c>
      <c r="Q213" s="22" t="n">
        <v>1.15</v>
      </c>
      <c r="R213" s="23" t="n">
        <f aca="false">Q213*L213</f>
        <v>2.99</v>
      </c>
      <c r="S213" s="23" t="n">
        <f aca="false">J213-R213</f>
        <v>-2.99</v>
      </c>
      <c r="T213" s="26" t="n">
        <f aca="false">MIN(122.1,(T212+S213))</f>
        <v>77.1572</v>
      </c>
      <c r="U213" s="74" t="s">
        <v>42</v>
      </c>
      <c r="V213" s="1" t="n">
        <v>1340.4</v>
      </c>
      <c r="W213" s="76" t="n">
        <f aca="false">(V213/100)/D213</f>
        <v>1.17578947368421</v>
      </c>
      <c r="X213" s="1" t="n">
        <f aca="false">X212+V213</f>
        <v>142636.2</v>
      </c>
      <c r="Y213" s="1" t="n">
        <f aca="false">Y212+V213</f>
        <v>13684.3</v>
      </c>
      <c r="AA213" s="1" t="n">
        <v>12.6008068307117</v>
      </c>
    </row>
    <row r="214" customFormat="false" ht="15" hidden="false" customHeight="false" outlineLevel="0" collapsed="false">
      <c r="A214" s="77"/>
      <c r="B214" s="1"/>
      <c r="C214" s="16" t="n">
        <v>41728</v>
      </c>
      <c r="D214" s="1" t="n">
        <v>12.1</v>
      </c>
      <c r="E214" s="1" t="n">
        <v>7.5</v>
      </c>
      <c r="F214" s="1" t="n">
        <v>17.3</v>
      </c>
      <c r="G214" s="1" t="n">
        <f aca="false">G213+D214</f>
        <v>1878.2</v>
      </c>
      <c r="H214" s="1" t="n">
        <f aca="false">H213+D214</f>
        <v>101.3</v>
      </c>
      <c r="I214" s="1" t="n">
        <v>7</v>
      </c>
      <c r="J214" s="1" t="n">
        <v>0.2</v>
      </c>
      <c r="K214" s="1" t="n">
        <f aca="false">K213+J214</f>
        <v>481.7</v>
      </c>
      <c r="L214" s="1" t="n">
        <v>1.5</v>
      </c>
      <c r="M214" s="1" t="n">
        <f aca="false">M213+L214</f>
        <v>255</v>
      </c>
      <c r="N214" s="19" t="n">
        <f aca="false">J214-L214</f>
        <v>-1.3</v>
      </c>
      <c r="O214" s="25" t="n">
        <f aca="false">O213+N214</f>
        <v>83.2</v>
      </c>
      <c r="P214" s="21" t="n">
        <v>209</v>
      </c>
      <c r="Q214" s="22" t="n">
        <v>1.15</v>
      </c>
      <c r="R214" s="23" t="n">
        <f aca="false">Q214*L214</f>
        <v>1.725</v>
      </c>
      <c r="S214" s="23" t="n">
        <f aca="false">J214-R214</f>
        <v>-1.525</v>
      </c>
      <c r="T214" s="26" t="n">
        <f aca="false">MIN(122.1,(T213+S214))</f>
        <v>75.6322</v>
      </c>
      <c r="U214" s="28" t="n">
        <f aca="false">AVERAGE(T203:T223)</f>
        <v>76.4679142857143</v>
      </c>
      <c r="V214" s="1" t="n">
        <v>965.5</v>
      </c>
      <c r="W214" s="76" t="n">
        <f aca="false">(V214/100)/D214</f>
        <v>0.797933884297521</v>
      </c>
      <c r="X214" s="1" t="n">
        <f aca="false">X213+V214</f>
        <v>143601.7</v>
      </c>
      <c r="Y214" s="1" t="n">
        <f aca="false">Y213+V214</f>
        <v>14649.8</v>
      </c>
      <c r="AA214" s="1" t="n">
        <v>12.6568275440966</v>
      </c>
    </row>
    <row r="215" customFormat="false" ht="15" hidden="false" customHeight="false" outlineLevel="0" collapsed="false">
      <c r="A215" s="77"/>
      <c r="B215" s="1"/>
      <c r="C215" s="16" t="n">
        <v>41729</v>
      </c>
      <c r="D215" s="1" t="n">
        <v>11.6</v>
      </c>
      <c r="E215" s="1" t="n">
        <v>6.1</v>
      </c>
      <c r="F215" s="1" t="n">
        <v>15.8</v>
      </c>
      <c r="G215" s="1" t="n">
        <f aca="false">G214+D215</f>
        <v>1889.8</v>
      </c>
      <c r="H215" s="1" t="n">
        <f aca="false">H214+D215</f>
        <v>112.9</v>
      </c>
      <c r="I215" s="74" t="s">
        <v>43</v>
      </c>
      <c r="J215" s="1" t="n">
        <v>0</v>
      </c>
      <c r="K215" s="1" t="n">
        <f aca="false">K214+J215</f>
        <v>481.7</v>
      </c>
      <c r="L215" s="1" t="n">
        <v>1.7</v>
      </c>
      <c r="M215" s="1" t="n">
        <f aca="false">M214+L215</f>
        <v>256.7</v>
      </c>
      <c r="N215" s="19" t="n">
        <f aca="false">J215-L215</f>
        <v>-1.7</v>
      </c>
      <c r="O215" s="25" t="n">
        <f aca="false">O214+N215</f>
        <v>81.5</v>
      </c>
      <c r="P215" s="21" t="n">
        <v>210</v>
      </c>
      <c r="Q215" s="22" t="n">
        <v>1.15</v>
      </c>
      <c r="R215" s="23" t="n">
        <f aca="false">Q215*L215</f>
        <v>1.955</v>
      </c>
      <c r="S215" s="23" t="n">
        <f aca="false">J215-R215</f>
        <v>-1.955</v>
      </c>
      <c r="T215" s="26" t="n">
        <f aca="false">MIN(122.1,(T214+S215))</f>
        <v>73.6772</v>
      </c>
      <c r="U215" s="1" t="n">
        <f aca="false">(U214*100)/122.1</f>
        <v>62.6272844272844</v>
      </c>
      <c r="V215" s="1" t="n">
        <v>1513.5</v>
      </c>
      <c r="W215" s="17" t="n">
        <f aca="false">(V215/100)/D215</f>
        <v>1.30474137931034</v>
      </c>
      <c r="X215" s="1" t="n">
        <f aca="false">X214+V215</f>
        <v>145115.2</v>
      </c>
      <c r="Y215" s="1" t="n">
        <f aca="false">Y214+V215</f>
        <v>16163.3</v>
      </c>
      <c r="AA215" s="1" t="n">
        <v>12.7127800477652</v>
      </c>
    </row>
    <row r="216" customFormat="false" ht="15" hidden="false" customHeight="false" outlineLevel="0" collapsed="false">
      <c r="A216" s="77"/>
      <c r="B216" s="1"/>
      <c r="C216" s="16" t="n">
        <v>41730</v>
      </c>
      <c r="D216" s="1" t="n">
        <v>13</v>
      </c>
      <c r="E216" s="1" t="n">
        <v>6.8</v>
      </c>
      <c r="F216" s="1" t="n">
        <v>18.6</v>
      </c>
      <c r="G216" s="1" t="n">
        <f aca="false">G215+D216</f>
        <v>1902.8</v>
      </c>
      <c r="H216" s="1" t="n">
        <f aca="false">H215+D216</f>
        <v>125.9</v>
      </c>
      <c r="I216" s="1" t="n">
        <v>214.8</v>
      </c>
      <c r="J216" s="1" t="n">
        <v>0</v>
      </c>
      <c r="K216" s="1" t="n">
        <f aca="false">K215+J216</f>
        <v>481.7</v>
      </c>
      <c r="L216" s="1" t="n">
        <v>2.1</v>
      </c>
      <c r="M216" s="1" t="n">
        <f aca="false">M215+L216</f>
        <v>258.8</v>
      </c>
      <c r="N216" s="19" t="n">
        <f aca="false">J216-L216</f>
        <v>-2.1</v>
      </c>
      <c r="O216" s="25" t="n">
        <f aca="false">O215+N216</f>
        <v>79.4</v>
      </c>
      <c r="P216" s="21" t="n">
        <v>211</v>
      </c>
      <c r="Q216" s="22" t="n">
        <v>1.15</v>
      </c>
      <c r="R216" s="23" t="n">
        <f aca="false">Q216*L216</f>
        <v>2.415</v>
      </c>
      <c r="S216" s="23" t="n">
        <f aca="false">J216-R216</f>
        <v>-2.415</v>
      </c>
      <c r="T216" s="26" t="n">
        <f aca="false">MIN(122.1,(T215+S216))</f>
        <v>71.2622</v>
      </c>
      <c r="U216" s="29"/>
      <c r="V216" s="1" t="n">
        <v>1545.5</v>
      </c>
      <c r="W216" s="76" t="n">
        <f aca="false">(V216/100)/D216</f>
        <v>1.18884615384615</v>
      </c>
      <c r="X216" s="1" t="n">
        <f aca="false">X215+V216</f>
        <v>146660.7</v>
      </c>
      <c r="Y216" s="1" t="n">
        <f aca="false">Y215+V216</f>
        <v>17708.8</v>
      </c>
      <c r="AA216" s="1" t="n">
        <v>12.7686579219087</v>
      </c>
    </row>
    <row r="217" customFormat="false" ht="15" hidden="false" customHeight="false" outlineLevel="0" collapsed="false">
      <c r="A217" s="77"/>
      <c r="B217" s="1"/>
      <c r="C217" s="16" t="n">
        <v>41731</v>
      </c>
      <c r="D217" s="1" t="n">
        <v>14.3</v>
      </c>
      <c r="E217" s="1" t="n">
        <v>8.2</v>
      </c>
      <c r="F217" s="1" t="n">
        <v>20.2</v>
      </c>
      <c r="G217" s="1" t="n">
        <f aca="false">G216+D217</f>
        <v>1917.1</v>
      </c>
      <c r="H217" s="1" t="n">
        <f aca="false">H216+D217</f>
        <v>140.2</v>
      </c>
      <c r="J217" s="1" t="n">
        <v>0.6</v>
      </c>
      <c r="K217" s="1" t="n">
        <f aca="false">K216+J217</f>
        <v>482.3</v>
      </c>
      <c r="L217" s="1" t="n">
        <v>1.8</v>
      </c>
      <c r="M217" s="1" t="n">
        <f aca="false">M216+L217</f>
        <v>260.6</v>
      </c>
      <c r="N217" s="19" t="n">
        <f aca="false">J217-L217</f>
        <v>-1.2</v>
      </c>
      <c r="O217" s="25" t="n">
        <f aca="false">O216+N217</f>
        <v>78.2</v>
      </c>
      <c r="P217" s="21" t="n">
        <v>212</v>
      </c>
      <c r="Q217" s="22" t="n">
        <v>1.15</v>
      </c>
      <c r="R217" s="23" t="n">
        <f aca="false">Q217*L217</f>
        <v>2.07</v>
      </c>
      <c r="S217" s="23" t="n">
        <f aca="false">J217-R217</f>
        <v>-1.47</v>
      </c>
      <c r="T217" s="26" t="n">
        <f aca="false">MIN(122.1,(T216+S217))</f>
        <v>69.7922</v>
      </c>
      <c r="V217" s="1" t="n">
        <v>911.1</v>
      </c>
      <c r="W217" s="76" t="n">
        <f aca="false">(V217/100)/D217</f>
        <v>0.637132867132867</v>
      </c>
      <c r="X217" s="1" t="n">
        <f aca="false">X216+V217</f>
        <v>147571.8</v>
      </c>
      <c r="Y217" s="1" t="n">
        <f aca="false">Y216+V217</f>
        <v>18619.9</v>
      </c>
      <c r="AA217" s="1" t="n">
        <v>12.8244546134541</v>
      </c>
    </row>
    <row r="218" customFormat="false" ht="15" hidden="false" customHeight="false" outlineLevel="0" collapsed="false">
      <c r="A218" s="77"/>
      <c r="B218" s="1"/>
      <c r="C218" s="16" t="n">
        <v>41732</v>
      </c>
      <c r="D218" s="1" t="n">
        <v>12.9</v>
      </c>
      <c r="E218" s="1" t="n">
        <v>11</v>
      </c>
      <c r="F218" s="1" t="n">
        <v>15.1</v>
      </c>
      <c r="G218" s="1" t="n">
        <f aca="false">G217+D218</f>
        <v>1930</v>
      </c>
      <c r="H218" s="1" t="n">
        <f aca="false">H217+D218</f>
        <v>153.1</v>
      </c>
      <c r="J218" s="1" t="n">
        <v>2</v>
      </c>
      <c r="K218" s="1" t="n">
        <f aca="false">K217+J218</f>
        <v>484.3</v>
      </c>
      <c r="L218" s="1" t="n">
        <v>0.9</v>
      </c>
      <c r="M218" s="1" t="n">
        <f aca="false">M217+L218</f>
        <v>261.5</v>
      </c>
      <c r="N218" s="1" t="n">
        <f aca="false">J218-L218</f>
        <v>1.1</v>
      </c>
      <c r="O218" s="25" t="n">
        <f aca="false">O217+N218</f>
        <v>79.3</v>
      </c>
      <c r="P218" s="21" t="n">
        <v>213</v>
      </c>
      <c r="Q218" s="22" t="n">
        <v>1.15</v>
      </c>
      <c r="R218" s="23" t="n">
        <f aca="false">Q218*L218</f>
        <v>1.035</v>
      </c>
      <c r="S218" s="23" t="n">
        <f aca="false">J218-R218</f>
        <v>0.965</v>
      </c>
      <c r="T218" s="26" t="n">
        <f aca="false">MIN(122.1,(T217+S218))</f>
        <v>70.7572</v>
      </c>
      <c r="V218" s="27" t="n">
        <v>358</v>
      </c>
      <c r="W218" s="76" t="n">
        <f aca="false">(V218/100)/D218</f>
        <v>0.277519379844961</v>
      </c>
      <c r="X218" s="1" t="n">
        <f aca="false">X217+V218</f>
        <v>147929.8</v>
      </c>
      <c r="Y218" s="1" t="n">
        <f aca="false">Y217+V218</f>
        <v>18977.9</v>
      </c>
      <c r="AA218" s="1" t="n">
        <v>12.8801634204257</v>
      </c>
    </row>
    <row r="219" customFormat="false" ht="15" hidden="false" customHeight="false" outlineLevel="0" collapsed="false">
      <c r="A219" s="77"/>
      <c r="B219" s="1"/>
      <c r="C219" s="16" t="n">
        <v>41733</v>
      </c>
      <c r="D219" s="1" t="n">
        <v>10.8</v>
      </c>
      <c r="E219" s="1" t="n">
        <v>11.1</v>
      </c>
      <c r="F219" s="1" t="n">
        <v>11.6</v>
      </c>
      <c r="G219" s="1" t="n">
        <f aca="false">G218+D219</f>
        <v>1940.8</v>
      </c>
      <c r="H219" s="1" t="n">
        <f aca="false">H218+D219</f>
        <v>163.9</v>
      </c>
      <c r="J219" s="1" t="n">
        <v>2</v>
      </c>
      <c r="K219" s="1" t="n">
        <f aca="false">K218+J219</f>
        <v>486.3</v>
      </c>
      <c r="L219" s="1" t="n">
        <v>0.6</v>
      </c>
      <c r="M219" s="1" t="n">
        <f aca="false">M218+L219</f>
        <v>262.1</v>
      </c>
      <c r="N219" s="1" t="n">
        <f aca="false">J219-L219</f>
        <v>1.4</v>
      </c>
      <c r="O219" s="25" t="n">
        <f aca="false">O218+N219</f>
        <v>80.7</v>
      </c>
      <c r="P219" s="21" t="n">
        <v>214</v>
      </c>
      <c r="Q219" s="22" t="n">
        <v>1.15</v>
      </c>
      <c r="R219" s="23" t="n">
        <f aca="false">Q219*L219</f>
        <v>0.69</v>
      </c>
      <c r="S219" s="23" t="n">
        <f aca="false">J219-R219</f>
        <v>1.31</v>
      </c>
      <c r="T219" s="26" t="n">
        <f aca="false">MIN(122.1,(T218+S219))</f>
        <v>72.0672</v>
      </c>
      <c r="V219" s="27" t="n">
        <v>330.9</v>
      </c>
      <c r="W219" s="76" t="n">
        <f aca="false">(V219/100)/D219</f>
        <v>0.306388888888889</v>
      </c>
      <c r="X219" s="1" t="n">
        <f aca="false">X218+V219</f>
        <v>148260.7</v>
      </c>
      <c r="Y219" s="1" t="n">
        <f aca="false">Y218+V219</f>
        <v>19308.8</v>
      </c>
      <c r="AA219" s="1" t="n">
        <v>12.9357774764031</v>
      </c>
    </row>
    <row r="220" customFormat="false" ht="15" hidden="false" customHeight="false" outlineLevel="0" collapsed="false">
      <c r="A220" s="77"/>
      <c r="B220" s="1"/>
      <c r="C220" s="16" t="n">
        <v>41734</v>
      </c>
      <c r="D220" s="1" t="n">
        <v>11.5</v>
      </c>
      <c r="E220" s="1" t="n">
        <v>5.9</v>
      </c>
      <c r="F220" s="1" t="n">
        <v>15</v>
      </c>
      <c r="G220" s="1" t="n">
        <f aca="false">G219+D220</f>
        <v>1952.3</v>
      </c>
      <c r="H220" s="1" t="n">
        <f aca="false">H219+D220</f>
        <v>175.4</v>
      </c>
      <c r="J220" s="1" t="n">
        <v>0</v>
      </c>
      <c r="K220" s="1" t="n">
        <f aca="false">K219+J220</f>
        <v>486.3</v>
      </c>
      <c r="L220" s="1" t="n">
        <v>2.6</v>
      </c>
      <c r="M220" s="1" t="n">
        <f aca="false">M219+L220</f>
        <v>264.7</v>
      </c>
      <c r="N220" s="19" t="n">
        <f aca="false">J220-L220</f>
        <v>-2.6</v>
      </c>
      <c r="O220" s="25" t="n">
        <f aca="false">O219+N220</f>
        <v>78.1</v>
      </c>
      <c r="P220" s="21" t="n">
        <v>215</v>
      </c>
      <c r="Q220" s="22" t="n">
        <v>1.15</v>
      </c>
      <c r="R220" s="23" t="n">
        <f aca="false">Q220*L220</f>
        <v>2.99</v>
      </c>
      <c r="S220" s="23" t="n">
        <f aca="false">J220-R220</f>
        <v>-2.99</v>
      </c>
      <c r="T220" s="26" t="n">
        <f aca="false">MIN(122.1,(T219+S220))</f>
        <v>69.0772</v>
      </c>
      <c r="V220" s="1" t="n">
        <v>1805.5</v>
      </c>
      <c r="W220" s="75" t="n">
        <f aca="false">(V220/100)/D220</f>
        <v>1.57</v>
      </c>
      <c r="X220" s="1" t="n">
        <f aca="false">X219+V220</f>
        <v>150066.2</v>
      </c>
      <c r="Y220" s="1" t="n">
        <f aca="false">Y219+V220</f>
        <v>21114.3</v>
      </c>
      <c r="AA220" s="1" t="n">
        <v>12.9912897350835</v>
      </c>
    </row>
    <row r="221" s="83" customFormat="true" ht="15" hidden="false" customHeight="false" outlineLevel="0" collapsed="false">
      <c r="A221" s="78"/>
      <c r="B221" s="79"/>
      <c r="C221" s="80" t="n">
        <v>41735</v>
      </c>
      <c r="D221" s="79" t="n">
        <v>13.9</v>
      </c>
      <c r="E221" s="79" t="n">
        <v>12</v>
      </c>
      <c r="F221" s="79" t="n">
        <v>16.9</v>
      </c>
      <c r="G221" s="79" t="n">
        <f aca="false">G220+D221</f>
        <v>1966.2</v>
      </c>
      <c r="H221" s="79" t="n">
        <f aca="false">H220+D221</f>
        <v>189.3</v>
      </c>
      <c r="I221" s="79"/>
      <c r="J221" s="79" t="n">
        <v>0.4</v>
      </c>
      <c r="K221" s="79" t="n">
        <f aca="false">K220+J221</f>
        <v>486.7</v>
      </c>
      <c r="L221" s="79" t="n">
        <v>1.4</v>
      </c>
      <c r="M221" s="79" t="n">
        <f aca="false">M220+L221</f>
        <v>266.1</v>
      </c>
      <c r="N221" s="79" t="n">
        <f aca="false">J221-L221</f>
        <v>-1</v>
      </c>
      <c r="O221" s="79" t="n">
        <f aca="false">O220+N221</f>
        <v>77.1</v>
      </c>
      <c r="P221" s="21" t="n">
        <v>216</v>
      </c>
      <c r="Q221" s="81" t="n">
        <v>1.15</v>
      </c>
      <c r="R221" s="82" t="n">
        <f aca="false">Q221*L221</f>
        <v>1.61</v>
      </c>
      <c r="S221" s="23" t="n">
        <f aca="false">J221-R221</f>
        <v>-1.21</v>
      </c>
      <c r="T221" s="26" t="n">
        <f aca="false">MIN(122.1,(T220+S221))</f>
        <v>67.8672</v>
      </c>
      <c r="U221" s="79"/>
      <c r="V221" s="79" t="n">
        <v>830.2</v>
      </c>
      <c r="W221" s="76" t="n">
        <f aca="false">(V221/100)/D221</f>
        <v>0.59726618705036</v>
      </c>
      <c r="X221" s="79" t="n">
        <f aca="false">X220+V221</f>
        <v>150896.4</v>
      </c>
      <c r="Y221" s="83" t="n">
        <f aca="false">Y220+V221</f>
        <v>21944.5</v>
      </c>
      <c r="Z221" s="79"/>
      <c r="AA221" s="79" t="n">
        <v>13.0466929549536</v>
      </c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</row>
    <row r="222" customFormat="false" ht="15" hidden="false" customHeight="false" outlineLevel="0" collapsed="false">
      <c r="A222" s="77"/>
      <c r="B222" s="1"/>
      <c r="C222" s="16" t="n">
        <v>41736</v>
      </c>
      <c r="D222" s="1" t="n">
        <v>15.3</v>
      </c>
      <c r="E222" s="1" t="n">
        <v>8.6</v>
      </c>
      <c r="F222" s="1" t="n">
        <v>23.3</v>
      </c>
      <c r="G222" s="1" t="n">
        <f aca="false">G221+D222</f>
        <v>1981.5</v>
      </c>
      <c r="H222" s="1" t="n">
        <f aca="false">H221+D222</f>
        <v>204.6</v>
      </c>
      <c r="J222" s="1" t="n">
        <v>0</v>
      </c>
      <c r="K222" s="1" t="n">
        <f aca="false">K221+J222</f>
        <v>486.7</v>
      </c>
      <c r="L222" s="1" t="n">
        <v>3.6</v>
      </c>
      <c r="M222" s="1" t="n">
        <f aca="false">M221+L222</f>
        <v>269.7</v>
      </c>
      <c r="N222" s="19" t="n">
        <f aca="false">J222-L222</f>
        <v>-3.6</v>
      </c>
      <c r="O222" s="25" t="n">
        <f aca="false">O221+N222</f>
        <v>73.5</v>
      </c>
      <c r="P222" s="21" t="n">
        <v>217</v>
      </c>
      <c r="Q222" s="22" t="n">
        <v>1.15</v>
      </c>
      <c r="R222" s="23" t="n">
        <f aca="false">Q222*L222</f>
        <v>4.14</v>
      </c>
      <c r="S222" s="23" t="n">
        <f aca="false">J222-R222</f>
        <v>-4.14</v>
      </c>
      <c r="T222" s="26" t="n">
        <f aca="false">MIN(122.1,(T221+S222))</f>
        <v>63.7272</v>
      </c>
      <c r="V222" s="1" t="n">
        <v>1813.7</v>
      </c>
      <c r="W222" s="76" t="n">
        <f aca="false">(V222/100)/D222</f>
        <v>1.18542483660131</v>
      </c>
      <c r="X222" s="1" t="n">
        <f aca="false">X221+V222</f>
        <v>152710.1</v>
      </c>
      <c r="Y222" s="1" t="n">
        <f aca="false">Y221+V222</f>
        <v>23758.2</v>
      </c>
      <c r="AA222" s="1" t="n">
        <v>13.101979684083</v>
      </c>
    </row>
    <row r="223" s="35" customFormat="true" ht="15" hidden="false" customHeight="false" outlineLevel="0" collapsed="false">
      <c r="A223" s="84" t="s">
        <v>55</v>
      </c>
      <c r="C223" s="67" t="n">
        <v>41737</v>
      </c>
      <c r="D223" s="35" t="n">
        <v>10.2</v>
      </c>
      <c r="E223" s="35" t="n">
        <v>6.4</v>
      </c>
      <c r="F223" s="35" t="n">
        <v>14</v>
      </c>
      <c r="G223" s="35" t="n">
        <f aca="false">G222+D223</f>
        <v>1991.7</v>
      </c>
      <c r="H223" s="35" t="n">
        <f aca="false">H222+D223</f>
        <v>214.8</v>
      </c>
      <c r="J223" s="35" t="n">
        <v>0</v>
      </c>
      <c r="K223" s="35" t="n">
        <f aca="false">K222+J223</f>
        <v>486.7</v>
      </c>
      <c r="L223" s="35" t="n">
        <v>2.6</v>
      </c>
      <c r="M223" s="35" t="n">
        <f aca="false">M222+L223</f>
        <v>272.3</v>
      </c>
      <c r="N223" s="70" t="n">
        <f aca="false">J223-L223</f>
        <v>-2.6</v>
      </c>
      <c r="O223" s="36" t="n">
        <f aca="false">O222+N223</f>
        <v>70.9000000000001</v>
      </c>
      <c r="P223" s="37" t="n">
        <v>218</v>
      </c>
      <c r="Q223" s="35" t="n">
        <v>1.15</v>
      </c>
      <c r="R223" s="39" t="n">
        <f aca="false">Q223*L223</f>
        <v>2.99</v>
      </c>
      <c r="S223" s="40" t="n">
        <f aca="false">J223-R223</f>
        <v>-2.99</v>
      </c>
      <c r="T223" s="41" t="n">
        <f aca="false">MIN(122.1,(T222+S223))</f>
        <v>60.7372</v>
      </c>
      <c r="V223" s="35" t="n">
        <v>1825.6</v>
      </c>
      <c r="W223" s="85" t="n">
        <f aca="false">(V223/100)/D223</f>
        <v>1.78980392156863</v>
      </c>
      <c r="X223" s="35" t="n">
        <f aca="false">X222+V223</f>
        <v>154535.7</v>
      </c>
      <c r="Y223" s="38" t="n">
        <f aca="false">Y222+V223</f>
        <v>25583.8</v>
      </c>
      <c r="AA223" s="35" t="n">
        <v>13.1571422450474</v>
      </c>
    </row>
    <row r="224" customFormat="false" ht="15" hidden="false" customHeight="false" outlineLevel="0" collapsed="false">
      <c r="A224" s="86" t="n">
        <v>300</v>
      </c>
      <c r="B224" s="51"/>
      <c r="C224" s="16" t="n">
        <v>41738</v>
      </c>
      <c r="D224" s="1" t="n">
        <v>9.7</v>
      </c>
      <c r="E224" s="31" t="n">
        <v>3.3</v>
      </c>
      <c r="F224" s="1" t="n">
        <v>14.7</v>
      </c>
      <c r="G224" s="1" t="n">
        <f aca="false">G223+D224</f>
        <v>2001.4</v>
      </c>
      <c r="H224" s="1" t="n">
        <v>9.7</v>
      </c>
      <c r="I224" s="87" t="s">
        <v>28</v>
      </c>
      <c r="J224" s="1" t="n">
        <v>0</v>
      </c>
      <c r="K224" s="1" t="n">
        <f aca="false">K223+J224</f>
        <v>486.7</v>
      </c>
      <c r="L224" s="1" t="n">
        <v>2.7</v>
      </c>
      <c r="M224" s="1" t="n">
        <f aca="false">M223+L224</f>
        <v>275</v>
      </c>
      <c r="N224" s="19" t="n">
        <f aca="false">J224-L224</f>
        <v>-2.7</v>
      </c>
      <c r="O224" s="25" t="n">
        <f aca="false">O223+N224</f>
        <v>68.2000000000001</v>
      </c>
      <c r="P224" s="21" t="n">
        <v>219</v>
      </c>
      <c r="Q224" s="22" t="n">
        <v>1.15</v>
      </c>
      <c r="R224" s="23" t="n">
        <f aca="false">Q224*L224</f>
        <v>3.105</v>
      </c>
      <c r="S224" s="23" t="n">
        <f aca="false">J224-R224</f>
        <v>-3.105</v>
      </c>
      <c r="T224" s="26" t="n">
        <f aca="false">MIN(122.1,(T223+S224))</f>
        <v>57.6322</v>
      </c>
      <c r="U224" s="87" t="s">
        <v>29</v>
      </c>
      <c r="V224" s="1" t="n">
        <v>1990.8</v>
      </c>
      <c r="W224" s="1" t="n">
        <f aca="false">V224/D224</f>
        <v>205.237113402062</v>
      </c>
      <c r="X224" s="1" t="n">
        <f aca="false">X223+V224</f>
        <v>156526.5</v>
      </c>
      <c r="Y224" s="1" t="n">
        <v>1990.8</v>
      </c>
      <c r="Z224" s="87" t="s">
        <v>30</v>
      </c>
      <c r="AA224" s="1" t="n">
        <v>13.2121727199969</v>
      </c>
    </row>
    <row r="225" customFormat="false" ht="15" hidden="false" customHeight="false" outlineLevel="0" collapsed="false">
      <c r="A225" s="86"/>
      <c r="B225" s="51"/>
      <c r="C225" s="16" t="n">
        <v>41739</v>
      </c>
      <c r="D225" s="1" t="n">
        <v>12.4</v>
      </c>
      <c r="E225" s="1" t="n">
        <v>5.1</v>
      </c>
      <c r="F225" s="1" t="n">
        <v>18.8</v>
      </c>
      <c r="G225" s="1" t="n">
        <f aca="false">G224+D225</f>
        <v>2013.8</v>
      </c>
      <c r="H225" s="1" t="n">
        <f aca="false">H224+D225</f>
        <v>22.1</v>
      </c>
      <c r="I225" s="1" t="n">
        <f aca="false">MIN(E224:E251)</f>
        <v>1.8</v>
      </c>
      <c r="J225" s="1" t="n">
        <v>0</v>
      </c>
      <c r="K225" s="1" t="n">
        <f aca="false">K224+J225</f>
        <v>486.7</v>
      </c>
      <c r="L225" s="1" t="n">
        <v>4.1</v>
      </c>
      <c r="M225" s="1" t="n">
        <f aca="false">M224+L225</f>
        <v>279.1</v>
      </c>
      <c r="N225" s="19" t="n">
        <f aca="false">J225-L225</f>
        <v>-4.1</v>
      </c>
      <c r="O225" s="25" t="n">
        <f aca="false">O224+N225</f>
        <v>64.1000000000001</v>
      </c>
      <c r="P225" s="21" t="n">
        <v>220</v>
      </c>
      <c r="Q225" s="22" t="n">
        <v>1.15</v>
      </c>
      <c r="R225" s="23" t="n">
        <f aca="false">Q225*L225</f>
        <v>4.715</v>
      </c>
      <c r="S225" s="23" t="n">
        <f aca="false">J225-R225</f>
        <v>-4.715</v>
      </c>
      <c r="T225" s="26" t="n">
        <f aca="false">MIN(122.1,(T224+S225))</f>
        <v>52.9172</v>
      </c>
      <c r="U225" s="1" t="n">
        <v>19</v>
      </c>
      <c r="V225" s="1" t="n">
        <v>2423.1</v>
      </c>
      <c r="W225" s="1" t="n">
        <f aca="false">V225/D225</f>
        <v>195.411290322581</v>
      </c>
      <c r="X225" s="1" t="n">
        <f aca="false">X224+V225</f>
        <v>158949.6</v>
      </c>
      <c r="Y225" s="1" t="n">
        <f aca="false">Y224+V225</f>
        <v>4413.9</v>
      </c>
      <c r="Z225" s="1" t="n">
        <v>42101.6</v>
      </c>
      <c r="AA225" s="1" t="n">
        <v>13.2670629358827</v>
      </c>
    </row>
    <row r="226" customFormat="false" ht="15" hidden="false" customHeight="false" outlineLevel="0" collapsed="false">
      <c r="A226" s="86"/>
      <c r="B226" s="51"/>
      <c r="C226" s="16" t="n">
        <v>41740</v>
      </c>
      <c r="D226" s="1" t="n">
        <v>12.7</v>
      </c>
      <c r="E226" s="1" t="n">
        <v>6.6</v>
      </c>
      <c r="F226" s="1" t="n">
        <v>18.9</v>
      </c>
      <c r="G226" s="1" t="n">
        <f aca="false">G225+D226</f>
        <v>2026.5</v>
      </c>
      <c r="H226" s="1" t="n">
        <f aca="false">H225+D226</f>
        <v>34.8</v>
      </c>
      <c r="I226" s="87" t="s">
        <v>31</v>
      </c>
      <c r="J226" s="1" t="n">
        <v>1.2</v>
      </c>
      <c r="K226" s="1" t="n">
        <f aca="false">K225+J226</f>
        <v>487.9</v>
      </c>
      <c r="L226" s="1" t="n">
        <v>1.7</v>
      </c>
      <c r="M226" s="1" t="n">
        <f aca="false">M225+L226</f>
        <v>280.8</v>
      </c>
      <c r="N226" s="19" t="n">
        <f aca="false">J226-L226</f>
        <v>-0.5</v>
      </c>
      <c r="O226" s="25" t="n">
        <f aca="false">O225+N226</f>
        <v>63.6000000000001</v>
      </c>
      <c r="P226" s="21" t="n">
        <v>221</v>
      </c>
      <c r="Q226" s="22" t="n">
        <v>1.15</v>
      </c>
      <c r="R226" s="23" t="n">
        <f aca="false">Q226*L226</f>
        <v>1.955</v>
      </c>
      <c r="S226" s="23" t="n">
        <f aca="false">J226-R226</f>
        <v>-0.755</v>
      </c>
      <c r="T226" s="26" t="n">
        <f aca="false">MIN(122.1,(T225+S226))</f>
        <v>52.1622</v>
      </c>
      <c r="U226" s="87" t="s">
        <v>32</v>
      </c>
      <c r="V226" s="1" t="n">
        <v>1003.5</v>
      </c>
      <c r="W226" s="1" t="n">
        <f aca="false">V226/D226</f>
        <v>79.0157480314961</v>
      </c>
      <c r="X226" s="1" t="n">
        <f aca="false">X225+V226</f>
        <v>159953.1</v>
      </c>
      <c r="Y226" s="1" t="n">
        <f aca="false">Y225+V226</f>
        <v>5417.4</v>
      </c>
      <c r="Z226" s="87" t="s">
        <v>33</v>
      </c>
      <c r="AA226" s="1" t="n">
        <v>13.3218044498616</v>
      </c>
    </row>
    <row r="227" customFormat="false" ht="15" hidden="false" customHeight="false" outlineLevel="0" collapsed="false">
      <c r="A227" s="86"/>
      <c r="B227" s="51"/>
      <c r="C227" s="16" t="n">
        <v>41741</v>
      </c>
      <c r="D227" s="1" t="n">
        <v>12</v>
      </c>
      <c r="E227" s="1" t="n">
        <v>6.2</v>
      </c>
      <c r="F227" s="1" t="n">
        <v>17.4</v>
      </c>
      <c r="G227" s="1" t="n">
        <f aca="false">G226+D227</f>
        <v>2038.5</v>
      </c>
      <c r="H227" s="1" t="n">
        <f aca="false">H226+D227</f>
        <v>46.8</v>
      </c>
      <c r="I227" s="1" t="n">
        <f aca="false">MAX(F224:F251)</f>
        <v>20.4</v>
      </c>
      <c r="J227" s="1" t="n">
        <v>0</v>
      </c>
      <c r="K227" s="1" t="n">
        <f aca="false">K226+J227</f>
        <v>487.9</v>
      </c>
      <c r="L227" s="1" t="n">
        <v>3.3</v>
      </c>
      <c r="M227" s="1" t="n">
        <f aca="false">M226+L227</f>
        <v>284.1</v>
      </c>
      <c r="N227" s="19" t="n">
        <f aca="false">J227-L227</f>
        <v>-3.3</v>
      </c>
      <c r="O227" s="25" t="n">
        <f aca="false">O226+N227</f>
        <v>60.3000000000001</v>
      </c>
      <c r="P227" s="21" t="n">
        <v>222</v>
      </c>
      <c r="Q227" s="22" t="n">
        <v>1.15</v>
      </c>
      <c r="R227" s="23" t="n">
        <f aca="false">Q227*L227</f>
        <v>3.795</v>
      </c>
      <c r="S227" s="23" t="n">
        <f aca="false">J227-R227</f>
        <v>-3.795</v>
      </c>
      <c r="T227" s="26" t="n">
        <f aca="false">MIN(122.1,(T226+S227))</f>
        <v>48.3672</v>
      </c>
      <c r="U227" s="1" t="n">
        <v>0</v>
      </c>
      <c r="V227" s="1" t="n">
        <v>2099.8</v>
      </c>
      <c r="W227" s="1" t="n">
        <f aca="false">V227/D227</f>
        <v>174.983333333333</v>
      </c>
      <c r="X227" s="1" t="n">
        <f aca="false">X226+V227</f>
        <v>162052.9</v>
      </c>
      <c r="Y227" s="1" t="n">
        <f aca="false">Y226+V227</f>
        <v>7517.2</v>
      </c>
      <c r="Z227" s="28" t="n">
        <f aca="false">(Z225/100)/I237</f>
        <v>1.3700488122356</v>
      </c>
      <c r="AA227" s="1" t="n">
        <v>13.3763885348956</v>
      </c>
    </row>
    <row r="228" customFormat="false" ht="15" hidden="false" customHeight="false" outlineLevel="0" collapsed="false">
      <c r="A228" s="86"/>
      <c r="B228" s="51"/>
      <c r="C228" s="16" t="n">
        <v>41742</v>
      </c>
      <c r="D228" s="1" t="n">
        <v>11.4</v>
      </c>
      <c r="E228" s="1" t="n">
        <v>7.5</v>
      </c>
      <c r="F228" s="1" t="n">
        <v>15.5</v>
      </c>
      <c r="G228" s="1" t="n">
        <f aca="false">G227+D228</f>
        <v>2049.9</v>
      </c>
      <c r="H228" s="1" t="n">
        <f aca="false">H227+D228</f>
        <v>58.2</v>
      </c>
      <c r="I228" s="87" t="s">
        <v>34</v>
      </c>
      <c r="J228" s="1" t="n">
        <v>0</v>
      </c>
      <c r="K228" s="1" t="n">
        <f aca="false">K227+J228</f>
        <v>487.9</v>
      </c>
      <c r="L228" s="1" t="n">
        <v>2.8</v>
      </c>
      <c r="M228" s="1" t="n">
        <f aca="false">M227+L228</f>
        <v>286.9</v>
      </c>
      <c r="N228" s="19" t="n">
        <f aca="false">J228-L228</f>
        <v>-2.8</v>
      </c>
      <c r="O228" s="25" t="n">
        <f aca="false">O227+N228</f>
        <v>57.5000000000001</v>
      </c>
      <c r="P228" s="21" t="n">
        <v>223</v>
      </c>
      <c r="Q228" s="22" t="n">
        <v>1.15</v>
      </c>
      <c r="R228" s="23" t="n">
        <f aca="false">Q228*L228</f>
        <v>3.22</v>
      </c>
      <c r="S228" s="23" t="n">
        <f aca="false">J228-R228</f>
        <v>-3.22</v>
      </c>
      <c r="T228" s="26" t="n">
        <f aca="false">MIN(122.1,(T227+S228))</f>
        <v>45.1472</v>
      </c>
      <c r="U228" s="87" t="s">
        <v>35</v>
      </c>
      <c r="V228" s="1" t="n">
        <v>1902.3</v>
      </c>
      <c r="W228" s="1" t="n">
        <f aca="false">V228/D228</f>
        <v>166.868421052632</v>
      </c>
      <c r="X228" s="1" t="n">
        <f aca="false">X227+V228</f>
        <v>163955.2</v>
      </c>
      <c r="Y228" s="1" t="n">
        <f aca="false">Y227+V228</f>
        <v>9419.5</v>
      </c>
      <c r="Z228" s="87" t="s">
        <v>36</v>
      </c>
      <c r="AA228" s="1" t="n">
        <v>13.4308061655724</v>
      </c>
    </row>
    <row r="229" customFormat="false" ht="15" hidden="false" customHeight="false" outlineLevel="0" collapsed="false">
      <c r="A229" s="86"/>
      <c r="B229" s="51"/>
      <c r="C229" s="16" t="n">
        <v>41743</v>
      </c>
      <c r="D229" s="1" t="n">
        <v>10.9</v>
      </c>
      <c r="E229" s="31" t="n">
        <v>4.7</v>
      </c>
      <c r="F229" s="1" t="n">
        <v>16.4</v>
      </c>
      <c r="G229" s="1" t="n">
        <f aca="false">G228+D229</f>
        <v>2060.8</v>
      </c>
      <c r="H229" s="1" t="n">
        <f aca="false">H228+D229</f>
        <v>69.1</v>
      </c>
      <c r="I229" s="29" t="n">
        <f aca="false">AVERAGE(D224:D251)</f>
        <v>10.975</v>
      </c>
      <c r="J229" s="1" t="n">
        <v>0</v>
      </c>
      <c r="K229" s="1" t="n">
        <f aca="false">K228+J229</f>
        <v>487.9</v>
      </c>
      <c r="L229" s="1" t="n">
        <v>3.5</v>
      </c>
      <c r="M229" s="1" t="n">
        <f aca="false">M228+L229</f>
        <v>290.4</v>
      </c>
      <c r="N229" s="19" t="n">
        <f aca="false">J229-L229</f>
        <v>-3.5</v>
      </c>
      <c r="O229" s="25" t="n">
        <f aca="false">O228+N229</f>
        <v>54.0000000000001</v>
      </c>
      <c r="P229" s="21" t="n">
        <v>224</v>
      </c>
      <c r="Q229" s="22" t="n">
        <v>1.15</v>
      </c>
      <c r="R229" s="23" t="n">
        <f aca="false">Q229*L229</f>
        <v>4.025</v>
      </c>
      <c r="S229" s="23" t="n">
        <f aca="false">J229-R229</f>
        <v>-4.025</v>
      </c>
      <c r="T229" s="26" t="n">
        <f aca="false">MIN(122.1,(T228+S229))</f>
        <v>41.1222</v>
      </c>
      <c r="U229" s="1" t="n">
        <v>15</v>
      </c>
      <c r="V229" s="1" t="n">
        <v>2439.5</v>
      </c>
      <c r="W229" s="1" t="n">
        <f aca="false">V229/D229</f>
        <v>223.807339449541</v>
      </c>
      <c r="X229" s="1" t="n">
        <f aca="false">X228+V229</f>
        <v>166394.7</v>
      </c>
      <c r="Y229" s="1" t="n">
        <f aca="false">Y228+V229</f>
        <v>11859</v>
      </c>
      <c r="Z229" s="1" t="n">
        <v>6</v>
      </c>
      <c r="AA229" s="1" t="n">
        <v>13.4850480041683</v>
      </c>
    </row>
    <row r="230" customFormat="false" ht="15" hidden="false" customHeight="false" outlineLevel="0" collapsed="false">
      <c r="A230" s="86"/>
      <c r="B230" s="51"/>
      <c r="C230" s="16" t="n">
        <v>41744</v>
      </c>
      <c r="D230" s="1" t="n">
        <v>9.2</v>
      </c>
      <c r="E230" s="31" t="n">
        <v>3.9</v>
      </c>
      <c r="F230" s="1" t="n">
        <v>14</v>
      </c>
      <c r="G230" s="1" t="n">
        <f aca="false">G229+D230</f>
        <v>2070</v>
      </c>
      <c r="H230" s="1" t="n">
        <f aca="false">H229+D230</f>
        <v>78.3</v>
      </c>
      <c r="I230" s="87" t="s">
        <v>37</v>
      </c>
      <c r="J230" s="1" t="n">
        <v>0</v>
      </c>
      <c r="K230" s="1" t="n">
        <f aca="false">K229+J230</f>
        <v>487.9</v>
      </c>
      <c r="L230" s="1" t="n">
        <v>4.1</v>
      </c>
      <c r="M230" s="1" t="n">
        <f aca="false">M229+L230</f>
        <v>294.5</v>
      </c>
      <c r="N230" s="19" t="n">
        <f aca="false">J230-L230</f>
        <v>-4.1</v>
      </c>
      <c r="O230" s="25" t="n">
        <f aca="false">O229+N230</f>
        <v>49.9000000000001</v>
      </c>
      <c r="P230" s="21" t="n">
        <v>225</v>
      </c>
      <c r="Q230" s="22" t="n">
        <v>1.15</v>
      </c>
      <c r="R230" s="23" t="n">
        <f aca="false">Q230*L230</f>
        <v>4.715</v>
      </c>
      <c r="S230" s="23" t="n">
        <f aca="false">J230-R230</f>
        <v>-4.715</v>
      </c>
      <c r="T230" s="26" t="n">
        <f aca="false">MIN(122.1,(T229+S230))</f>
        <v>36.4072</v>
      </c>
      <c r="U230" s="87" t="s">
        <v>38</v>
      </c>
      <c r="V230" s="1" t="n">
        <v>2606.9</v>
      </c>
      <c r="W230" s="1" t="n">
        <f aca="false">V230/D230</f>
        <v>283.358695652174</v>
      </c>
      <c r="X230" s="1" t="n">
        <f aca="false">X229+V230</f>
        <v>169001.6</v>
      </c>
      <c r="Y230" s="1" t="n">
        <f aca="false">Y229+V230</f>
        <v>14465.9</v>
      </c>
      <c r="AA230" s="1" t="n">
        <v>13.5391043869848</v>
      </c>
    </row>
    <row r="231" customFormat="false" ht="15" hidden="false" customHeight="false" outlineLevel="0" collapsed="false">
      <c r="A231" s="86"/>
      <c r="B231" s="51"/>
      <c r="C231" s="16" t="n">
        <v>41745</v>
      </c>
      <c r="D231" s="1" t="n">
        <v>9.4</v>
      </c>
      <c r="E231" s="31" t="n">
        <v>2.7</v>
      </c>
      <c r="F231" s="1" t="n">
        <v>15.3</v>
      </c>
      <c r="G231" s="1" t="n">
        <f aca="false">G230+D231</f>
        <v>2079.4</v>
      </c>
      <c r="H231" s="1" t="n">
        <f aca="false">H230+D231</f>
        <v>87.7</v>
      </c>
      <c r="I231" s="1" t="n">
        <v>0</v>
      </c>
      <c r="J231" s="1" t="n">
        <v>0</v>
      </c>
      <c r="K231" s="1" t="n">
        <f aca="false">K230+J231</f>
        <v>487.9</v>
      </c>
      <c r="L231" s="1" t="n">
        <v>4.1</v>
      </c>
      <c r="M231" s="1" t="n">
        <f aca="false">M230+L231</f>
        <v>298.6</v>
      </c>
      <c r="N231" s="19" t="n">
        <f aca="false">J231-L231</f>
        <v>-4.1</v>
      </c>
      <c r="O231" s="25" t="n">
        <f aca="false">O230+N231</f>
        <v>45.8000000000001</v>
      </c>
      <c r="P231" s="21" t="n">
        <v>226</v>
      </c>
      <c r="Q231" s="22" t="n">
        <v>1.15</v>
      </c>
      <c r="R231" s="23" t="n">
        <f aca="false">Q231*L231</f>
        <v>4.715</v>
      </c>
      <c r="S231" s="23" t="n">
        <f aca="false">J231-R231</f>
        <v>-4.715</v>
      </c>
      <c r="T231" s="26" t="n">
        <f aca="false">MIN(122.1,(T230+S231))</f>
        <v>31.6922</v>
      </c>
      <c r="U231" s="29" t="n">
        <f aca="false">MIN(T224:T251)</f>
        <v>19.3672</v>
      </c>
      <c r="V231" s="1" t="n">
        <v>2425</v>
      </c>
      <c r="W231" s="1" t="n">
        <f aca="false">V231/D231</f>
        <v>257.978723404255</v>
      </c>
      <c r="X231" s="1" t="n">
        <f aca="false">X230+V231</f>
        <v>171426.6</v>
      </c>
      <c r="Y231" s="1" t="n">
        <f aca="false">Y230+V231</f>
        <v>16890.9</v>
      </c>
      <c r="AA231" s="1" t="n">
        <v>13.5929653109868</v>
      </c>
    </row>
    <row r="232" customFormat="false" ht="15" hidden="false" customHeight="false" outlineLevel="0" collapsed="false">
      <c r="A232" s="86"/>
      <c r="B232" s="51"/>
      <c r="C232" s="16" t="n">
        <v>41746</v>
      </c>
      <c r="D232" s="1" t="n">
        <v>11.3</v>
      </c>
      <c r="E232" s="31" t="n">
        <v>4.2</v>
      </c>
      <c r="F232" s="1" t="n">
        <v>18.2</v>
      </c>
      <c r="G232" s="1" t="n">
        <f aca="false">G231+D232</f>
        <v>2090.7</v>
      </c>
      <c r="H232" s="1" t="n">
        <f aca="false">H231+D232</f>
        <v>99</v>
      </c>
      <c r="I232" s="87" t="s">
        <v>39</v>
      </c>
      <c r="J232" s="1" t="n">
        <v>0</v>
      </c>
      <c r="K232" s="1" t="n">
        <f aca="false">K231+J232</f>
        <v>487.9</v>
      </c>
      <c r="L232" s="1" t="n">
        <v>4.1</v>
      </c>
      <c r="M232" s="1" t="n">
        <f aca="false">M231+L232</f>
        <v>302.7</v>
      </c>
      <c r="N232" s="19" t="n">
        <f aca="false">J232-L232</f>
        <v>-4.1</v>
      </c>
      <c r="O232" s="25" t="n">
        <f aca="false">O231+N232</f>
        <v>41.7000000000001</v>
      </c>
      <c r="P232" s="21" t="n">
        <v>227</v>
      </c>
      <c r="Q232" s="22" t="n">
        <v>1.15</v>
      </c>
      <c r="R232" s="23" t="n">
        <f aca="false">Q232*L232</f>
        <v>4.715</v>
      </c>
      <c r="S232" s="23" t="n">
        <f aca="false">J232-R232</f>
        <v>-4.715</v>
      </c>
      <c r="T232" s="26" t="n">
        <f aca="false">MIN(122.1,(T231+S232))</f>
        <v>26.9772</v>
      </c>
      <c r="U232" s="87" t="s">
        <v>40</v>
      </c>
      <c r="V232" s="1" t="n">
        <v>2297.2</v>
      </c>
      <c r="W232" s="1" t="n">
        <f aca="false">V232/D232</f>
        <v>203.29203539823</v>
      </c>
      <c r="X232" s="1" t="n">
        <f aca="false">X231+V232</f>
        <v>173723.8</v>
      </c>
      <c r="Y232" s="1" t="n">
        <f aca="false">Y231+V232</f>
        <v>19188.1</v>
      </c>
      <c r="AA232" s="1" t="n">
        <v>13.646620420779</v>
      </c>
    </row>
    <row r="233" customFormat="false" ht="15" hidden="false" customHeight="false" outlineLevel="0" collapsed="false">
      <c r="A233" s="86"/>
      <c r="B233" s="51"/>
      <c r="C233" s="16" t="n">
        <v>41747</v>
      </c>
      <c r="D233" s="1" t="n">
        <v>10.3</v>
      </c>
      <c r="E233" s="1" t="n">
        <v>6.4</v>
      </c>
      <c r="F233" s="1" t="n">
        <v>13.5</v>
      </c>
      <c r="G233" s="1" t="n">
        <f aca="false">G232+D233</f>
        <v>2101</v>
      </c>
      <c r="H233" s="1" t="n">
        <f aca="false">H232+D233</f>
        <v>109.3</v>
      </c>
      <c r="I233" s="1" t="n">
        <v>0</v>
      </c>
      <c r="J233" s="1" t="n">
        <v>0</v>
      </c>
      <c r="K233" s="1" t="n">
        <f aca="false">K232+J233</f>
        <v>487.9</v>
      </c>
      <c r="L233" s="1" t="n">
        <v>1.9</v>
      </c>
      <c r="M233" s="1" t="n">
        <f aca="false">M232+L233</f>
        <v>304.6</v>
      </c>
      <c r="N233" s="19" t="n">
        <f aca="false">J233-L233</f>
        <v>-1.9</v>
      </c>
      <c r="O233" s="25" t="n">
        <f aca="false">O232+N233</f>
        <v>39.8000000000001</v>
      </c>
      <c r="P233" s="21" t="n">
        <v>228</v>
      </c>
      <c r="Q233" s="22" t="n">
        <v>1.15</v>
      </c>
      <c r="R233" s="23" t="n">
        <f aca="false">Q233*L233</f>
        <v>2.185</v>
      </c>
      <c r="S233" s="23" t="n">
        <f aca="false">J233-R233</f>
        <v>-2.185</v>
      </c>
      <c r="T233" s="26" t="n">
        <f aca="false">MIN(122.1,(T232+S233))</f>
        <v>24.7922</v>
      </c>
      <c r="U233" s="29" t="n">
        <f aca="false">MAX(T224:T251)</f>
        <v>57.6322</v>
      </c>
      <c r="V233" s="1" t="n">
        <v>929.8</v>
      </c>
      <c r="W233" s="1" t="n">
        <f aca="false">V233/D233</f>
        <v>90.2718446601942</v>
      </c>
      <c r="X233" s="1" t="n">
        <f aca="false">X232+V233</f>
        <v>174653.6</v>
      </c>
      <c r="Y233" s="1" t="n">
        <f aca="false">Y232+V233</f>
        <v>20117.9</v>
      </c>
      <c r="AA233" s="1" t="n">
        <v>13.7000589959563</v>
      </c>
    </row>
    <row r="234" customFormat="false" ht="15" hidden="false" customHeight="false" outlineLevel="0" collapsed="false">
      <c r="A234" s="86"/>
      <c r="B234" s="51"/>
      <c r="C234" s="16" t="n">
        <v>41748</v>
      </c>
      <c r="D234" s="1" t="n">
        <v>7.6</v>
      </c>
      <c r="E234" s="31" t="n">
        <v>3</v>
      </c>
      <c r="F234" s="1" t="n">
        <v>12.6</v>
      </c>
      <c r="G234" s="1" t="n">
        <f aca="false">G233+D234</f>
        <v>2108.6</v>
      </c>
      <c r="H234" s="1" t="n">
        <f aca="false">H233+D234</f>
        <v>116.9</v>
      </c>
      <c r="I234" s="87" t="s">
        <v>41</v>
      </c>
      <c r="J234" s="1" t="n">
        <v>0</v>
      </c>
      <c r="K234" s="1" t="n">
        <f aca="false">K233+J234</f>
        <v>487.9</v>
      </c>
      <c r="L234" s="1" t="n">
        <v>2.5</v>
      </c>
      <c r="M234" s="1" t="n">
        <f aca="false">M233+L234</f>
        <v>307.1</v>
      </c>
      <c r="N234" s="19" t="n">
        <f aca="false">J234-L234</f>
        <v>-2.5</v>
      </c>
      <c r="O234" s="25" t="n">
        <f aca="false">O233+N234</f>
        <v>37.3000000000001</v>
      </c>
      <c r="P234" s="21" t="n">
        <v>229</v>
      </c>
      <c r="Q234" s="22" t="n">
        <v>1.15</v>
      </c>
      <c r="R234" s="23" t="n">
        <f aca="false">Q234*L234</f>
        <v>2.875</v>
      </c>
      <c r="S234" s="23" t="n">
        <f aca="false">J234-R234</f>
        <v>-2.875</v>
      </c>
      <c r="T234" s="26" t="n">
        <f aca="false">MIN(122.1,(T233+S234))</f>
        <v>21.9172</v>
      </c>
      <c r="U234" s="87" t="s">
        <v>42</v>
      </c>
      <c r="V234" s="1" t="n">
        <v>1263.1</v>
      </c>
      <c r="W234" s="1" t="n">
        <f aca="false">V234/D234</f>
        <v>166.197368421053</v>
      </c>
      <c r="X234" s="1" t="n">
        <f aca="false">X233+V234</f>
        <v>175916.7</v>
      </c>
      <c r="Y234" s="1" t="n">
        <f aca="false">Y233+V234</f>
        <v>21381</v>
      </c>
      <c r="AA234" s="1" t="n">
        <v>13.7532699388685</v>
      </c>
    </row>
    <row r="235" customFormat="false" ht="15" hidden="false" customHeight="false" outlineLevel="0" collapsed="false">
      <c r="A235" s="86"/>
      <c r="B235" s="51"/>
      <c r="C235" s="16" t="n">
        <v>41749</v>
      </c>
      <c r="D235" s="1" t="n">
        <v>9.2</v>
      </c>
      <c r="E235" s="31" t="n">
        <v>1.8</v>
      </c>
      <c r="F235" s="1" t="n">
        <v>14</v>
      </c>
      <c r="G235" s="1" t="n">
        <f aca="false">G234+D235</f>
        <v>2117.8</v>
      </c>
      <c r="H235" s="1" t="n">
        <f aca="false">H234+D235</f>
        <v>126.1</v>
      </c>
      <c r="I235" s="1" t="n">
        <v>8</v>
      </c>
      <c r="J235" s="1" t="n">
        <v>0.6</v>
      </c>
      <c r="K235" s="1" t="n">
        <f aca="false">K234+J235</f>
        <v>488.5</v>
      </c>
      <c r="L235" s="1" t="n">
        <v>2</v>
      </c>
      <c r="M235" s="1" t="n">
        <f aca="false">M234+L235</f>
        <v>309.1</v>
      </c>
      <c r="N235" s="19" t="n">
        <f aca="false">J235-L235</f>
        <v>-1.4</v>
      </c>
      <c r="O235" s="25" t="n">
        <f aca="false">O234+N235</f>
        <v>35.9000000000001</v>
      </c>
      <c r="P235" s="21" t="n">
        <v>230</v>
      </c>
      <c r="Q235" s="22" t="n">
        <v>1.15</v>
      </c>
      <c r="R235" s="23" t="n">
        <f aca="false">Q235*L235</f>
        <v>2.3</v>
      </c>
      <c r="S235" s="23" t="n">
        <f aca="false">J235-R235</f>
        <v>-1.7</v>
      </c>
      <c r="T235" s="26" t="n">
        <f aca="false">MIN(122.1,(T234+S235))</f>
        <v>20.2172</v>
      </c>
      <c r="U235" s="28" t="n">
        <f aca="false">AVERAGE(T224:T251)</f>
        <v>37.9525571428572</v>
      </c>
      <c r="V235" s="1" t="n">
        <v>1485.5</v>
      </c>
      <c r="W235" s="1" t="n">
        <f aca="false">V235/D235</f>
        <v>161.467391304348</v>
      </c>
      <c r="X235" s="1" t="n">
        <f aca="false">X234+V235</f>
        <v>177402.2</v>
      </c>
      <c r="Y235" s="1" t="n">
        <f aca="false">Y234+V235</f>
        <v>22866.5</v>
      </c>
      <c r="AA235" s="1" t="n">
        <v>13.8062417628445</v>
      </c>
    </row>
    <row r="236" customFormat="false" ht="15" hidden="false" customHeight="false" outlineLevel="0" collapsed="false">
      <c r="A236" s="86"/>
      <c r="B236" s="51"/>
      <c r="C236" s="16" t="n">
        <v>41750</v>
      </c>
      <c r="D236" s="1" t="n">
        <v>10.5</v>
      </c>
      <c r="E236" s="1" t="n">
        <v>9</v>
      </c>
      <c r="F236" s="1" t="n">
        <v>13.1</v>
      </c>
      <c r="G236" s="1" t="n">
        <f aca="false">G235+D236</f>
        <v>2128.3</v>
      </c>
      <c r="H236" s="1" t="n">
        <f aca="false">H235+D236</f>
        <v>136.6</v>
      </c>
      <c r="I236" s="87" t="s">
        <v>43</v>
      </c>
      <c r="J236" s="1" t="n">
        <v>0.3</v>
      </c>
      <c r="K236" s="1" t="n">
        <f aca="false">K235+J236</f>
        <v>488.8</v>
      </c>
      <c r="L236" s="1" t="n">
        <v>1</v>
      </c>
      <c r="M236" s="1" t="n">
        <f aca="false">M235+L236</f>
        <v>310.1</v>
      </c>
      <c r="N236" s="19" t="n">
        <f aca="false">J236-L236</f>
        <v>-0.7</v>
      </c>
      <c r="O236" s="25" t="n">
        <f aca="false">O235+N236</f>
        <v>35.2000000000001</v>
      </c>
      <c r="P236" s="21" t="n">
        <v>231</v>
      </c>
      <c r="Q236" s="22" t="n">
        <v>1.15</v>
      </c>
      <c r="R236" s="23" t="n">
        <f aca="false">Q236*L236</f>
        <v>1.15</v>
      </c>
      <c r="S236" s="23" t="n">
        <f aca="false">J236-R236</f>
        <v>-0.85</v>
      </c>
      <c r="T236" s="26" t="n">
        <f aca="false">MIN(122.1,(T235+S236))</f>
        <v>19.3672</v>
      </c>
      <c r="V236" s="27" t="n">
        <v>605.5</v>
      </c>
      <c r="W236" s="1" t="n">
        <f aca="false">V236/D236</f>
        <v>57.6666666666667</v>
      </c>
      <c r="X236" s="1" t="n">
        <f aca="false">X235+V236</f>
        <v>178007.7</v>
      </c>
      <c r="Y236" s="1" t="n">
        <f aca="false">Y235+V236</f>
        <v>23472</v>
      </c>
      <c r="AA236" s="1" t="n">
        <v>13.8589625809221</v>
      </c>
    </row>
    <row r="237" customFormat="false" ht="15" hidden="false" customHeight="false" outlineLevel="0" collapsed="false">
      <c r="A237" s="86"/>
      <c r="B237" s="51"/>
      <c r="C237" s="16" t="n">
        <v>41751</v>
      </c>
      <c r="D237" s="1" t="n">
        <v>11.4</v>
      </c>
      <c r="E237" s="1" t="n">
        <v>5.6</v>
      </c>
      <c r="F237" s="1" t="n">
        <v>17.1</v>
      </c>
      <c r="G237" s="1" t="n">
        <f aca="false">G236+D237</f>
        <v>2139.7</v>
      </c>
      <c r="H237" s="1" t="n">
        <f aca="false">H236+D237</f>
        <v>148</v>
      </c>
      <c r="I237" s="1" t="n">
        <v>307.3</v>
      </c>
      <c r="J237" s="1" t="n">
        <v>4</v>
      </c>
      <c r="K237" s="1" t="n">
        <f aca="false">K236+J237</f>
        <v>492.8</v>
      </c>
      <c r="L237" s="1" t="n">
        <v>2</v>
      </c>
      <c r="M237" s="1" t="n">
        <f aca="false">M236+L237</f>
        <v>312.1</v>
      </c>
      <c r="N237" s="1" t="n">
        <f aca="false">J237-L237</f>
        <v>2</v>
      </c>
      <c r="O237" s="25" t="n">
        <f aca="false">O236+N237</f>
        <v>37.2000000000001</v>
      </c>
      <c r="P237" s="21" t="n">
        <v>232</v>
      </c>
      <c r="Q237" s="22" t="n">
        <v>1.15</v>
      </c>
      <c r="R237" s="23" t="n">
        <f aca="false">Q237*L237</f>
        <v>2.3</v>
      </c>
      <c r="S237" s="23" t="n">
        <f aca="false">J237-R237</f>
        <v>1.7</v>
      </c>
      <c r="T237" s="26" t="n">
        <f aca="false">MIN(122.1,(T236+S237))</f>
        <v>21.0672</v>
      </c>
      <c r="U237" s="29" t="n">
        <f aca="false">(U235*100)/122.1</f>
        <v>31.0831753831754</v>
      </c>
      <c r="V237" s="1" t="n">
        <v>1311.1</v>
      </c>
      <c r="W237" s="1" t="n">
        <f aca="false">V237/D237</f>
        <v>115.008771929825</v>
      </c>
      <c r="X237" s="1" t="n">
        <f aca="false">X236+V237</f>
        <v>179318.8</v>
      </c>
      <c r="Y237" s="1" t="n">
        <f aca="false">Y236+V237</f>
        <v>24783.1</v>
      </c>
      <c r="AA237" s="1" t="n">
        <v>13.9114200951345</v>
      </c>
    </row>
    <row r="238" customFormat="false" ht="15" hidden="false" customHeight="false" outlineLevel="0" collapsed="false">
      <c r="A238" s="86"/>
      <c r="B238" s="51"/>
      <c r="C238" s="16" t="n">
        <v>41752</v>
      </c>
      <c r="D238" s="1" t="n">
        <v>12.2</v>
      </c>
      <c r="E238" s="1" t="n">
        <v>5.9</v>
      </c>
      <c r="F238" s="1" t="n">
        <v>17.8</v>
      </c>
      <c r="G238" s="1" t="n">
        <f aca="false">G237+D238</f>
        <v>2151.9</v>
      </c>
      <c r="H238" s="1" t="n">
        <f aca="false">H237+D238</f>
        <v>160.2</v>
      </c>
      <c r="J238" s="1" t="n">
        <v>6.4</v>
      </c>
      <c r="K238" s="1" t="n">
        <f aca="false">K237+J238</f>
        <v>499.2</v>
      </c>
      <c r="L238" s="1" t="n">
        <v>3</v>
      </c>
      <c r="M238" s="1" t="n">
        <f aca="false">M237+L238</f>
        <v>315.1</v>
      </c>
      <c r="N238" s="1" t="n">
        <f aca="false">J238-L238</f>
        <v>3.4</v>
      </c>
      <c r="O238" s="25" t="n">
        <f aca="false">O237+N238</f>
        <v>40.6000000000001</v>
      </c>
      <c r="P238" s="21" t="n">
        <v>233</v>
      </c>
      <c r="Q238" s="22" t="n">
        <v>1.15</v>
      </c>
      <c r="R238" s="23" t="n">
        <f aca="false">Q238*L238</f>
        <v>3.45</v>
      </c>
      <c r="S238" s="23" t="n">
        <f aca="false">J238-R238</f>
        <v>2.95</v>
      </c>
      <c r="T238" s="26" t="n">
        <f aca="false">MIN(122.1,(T237+S238))</f>
        <v>24.0172</v>
      </c>
      <c r="V238" s="1" t="n">
        <v>1951</v>
      </c>
      <c r="W238" s="1" t="n">
        <f aca="false">V238/D238</f>
        <v>159.918032786885</v>
      </c>
      <c r="X238" s="1" t="n">
        <f aca="false">X237+V238</f>
        <v>181269.8</v>
      </c>
      <c r="Y238" s="1" t="n">
        <f aca="false">Y237+V238</f>
        <v>26734.1</v>
      </c>
      <c r="AA238" s="1" t="n">
        <v>13.9636015864088</v>
      </c>
    </row>
    <row r="239" customFormat="false" ht="15" hidden="false" customHeight="false" outlineLevel="0" collapsed="false">
      <c r="A239" s="86"/>
      <c r="B239" s="51"/>
      <c r="C239" s="16" t="n">
        <v>41753</v>
      </c>
      <c r="D239" s="1" t="n">
        <v>12.4</v>
      </c>
      <c r="E239" s="1" t="n">
        <v>7.8</v>
      </c>
      <c r="F239" s="1" t="n">
        <v>15.8</v>
      </c>
      <c r="G239" s="1" t="n">
        <f aca="false">G238+D239</f>
        <v>2164.3</v>
      </c>
      <c r="H239" s="1" t="n">
        <f aca="false">H238+D239</f>
        <v>172.6</v>
      </c>
      <c r="J239" s="1" t="n">
        <v>6.1</v>
      </c>
      <c r="K239" s="1" t="n">
        <f aca="false">K238+J239</f>
        <v>505.3</v>
      </c>
      <c r="L239" s="1" t="n">
        <v>2.1</v>
      </c>
      <c r="M239" s="1" t="n">
        <f aca="false">M238+L239</f>
        <v>317.2</v>
      </c>
      <c r="N239" s="1" t="n">
        <f aca="false">J239-L239</f>
        <v>4</v>
      </c>
      <c r="O239" s="25" t="n">
        <f aca="false">O238+N239</f>
        <v>44.6000000000001</v>
      </c>
      <c r="P239" s="21" t="n">
        <v>234</v>
      </c>
      <c r="Q239" s="22" t="n">
        <v>1.15</v>
      </c>
      <c r="R239" s="23" t="n">
        <f aca="false">Q239*L239</f>
        <v>2.415</v>
      </c>
      <c r="S239" s="23" t="n">
        <f aca="false">J239-R239</f>
        <v>3.685</v>
      </c>
      <c r="T239" s="26" t="n">
        <f aca="false">MIN(122.1,(T238+S239))</f>
        <v>27.7022</v>
      </c>
      <c r="V239" s="1" t="n">
        <v>1468.6</v>
      </c>
      <c r="W239" s="1" t="n">
        <f aca="false">V239/D239</f>
        <v>118.435483870968</v>
      </c>
      <c r="X239" s="1" t="n">
        <f aca="false">X238+V239</f>
        <v>182738.4</v>
      </c>
      <c r="Y239" s="1" t="n">
        <f aca="false">Y238+V239</f>
        <v>28202.7</v>
      </c>
      <c r="AA239" s="1" t="n">
        <v>14.0154939051337</v>
      </c>
    </row>
    <row r="240" customFormat="false" ht="15" hidden="false" customHeight="false" outlineLevel="0" collapsed="false">
      <c r="A240" s="86"/>
      <c r="B240" s="51"/>
      <c r="C240" s="16" t="n">
        <v>41754</v>
      </c>
      <c r="D240" s="1" t="n">
        <v>11.5</v>
      </c>
      <c r="E240" s="1" t="n">
        <v>10</v>
      </c>
      <c r="F240" s="1" t="n">
        <v>13.6</v>
      </c>
      <c r="G240" s="1" t="n">
        <f aca="false">G239+D240</f>
        <v>2175.8</v>
      </c>
      <c r="H240" s="1" t="n">
        <f aca="false">H239+D240</f>
        <v>184.1</v>
      </c>
      <c r="J240" s="1" t="n">
        <v>0.4</v>
      </c>
      <c r="K240" s="1" t="n">
        <f aca="false">K239+J240</f>
        <v>505.7</v>
      </c>
      <c r="L240" s="1" t="n">
        <v>1.5</v>
      </c>
      <c r="M240" s="1" t="n">
        <f aca="false">M239+L240</f>
        <v>318.7</v>
      </c>
      <c r="N240" s="19" t="n">
        <f aca="false">J240-L240</f>
        <v>-1.1</v>
      </c>
      <c r="O240" s="25" t="n">
        <f aca="false">O239+N240</f>
        <v>43.5000000000001</v>
      </c>
      <c r="P240" s="21" t="n">
        <v>235</v>
      </c>
      <c r="Q240" s="22" t="n">
        <v>1.15</v>
      </c>
      <c r="R240" s="23" t="n">
        <f aca="false">Q240*L240</f>
        <v>1.725</v>
      </c>
      <c r="S240" s="23" t="n">
        <f aca="false">J240-R240</f>
        <v>-1.325</v>
      </c>
      <c r="T240" s="26" t="n">
        <f aca="false">MIN(122.1,(T239+S240))</f>
        <v>26.3772</v>
      </c>
      <c r="V240" s="1" t="n">
        <v>970.2</v>
      </c>
      <c r="W240" s="1" t="n">
        <f aca="false">V240/D240</f>
        <v>84.3652173913044</v>
      </c>
      <c r="X240" s="1" t="n">
        <f aca="false">X239+V240</f>
        <v>183708.6</v>
      </c>
      <c r="Y240" s="1" t="n">
        <f aca="false">Y239+V240</f>
        <v>29172.9</v>
      </c>
      <c r="AA240" s="1" t="n">
        <v>14.0670834624586</v>
      </c>
    </row>
    <row r="241" customFormat="false" ht="15" hidden="false" customHeight="false" outlineLevel="0" collapsed="false">
      <c r="A241" s="86"/>
      <c r="B241" s="51"/>
      <c r="C241" s="16" t="n">
        <v>41755</v>
      </c>
      <c r="D241" s="1" t="n">
        <v>10.3</v>
      </c>
      <c r="E241" s="1" t="n">
        <v>7</v>
      </c>
      <c r="F241" s="1" t="n">
        <v>13.6</v>
      </c>
      <c r="G241" s="1" t="n">
        <f aca="false">G240+D241</f>
        <v>2186.1</v>
      </c>
      <c r="H241" s="1" t="n">
        <f aca="false">H240+D241</f>
        <v>194.4</v>
      </c>
      <c r="J241" s="1" t="n">
        <v>2.5</v>
      </c>
      <c r="K241" s="1" t="n">
        <f aca="false">K240+J241</f>
        <v>508.2</v>
      </c>
      <c r="L241" s="1" t="n">
        <v>1.3</v>
      </c>
      <c r="M241" s="1" t="n">
        <f aca="false">M240+L241</f>
        <v>320</v>
      </c>
      <c r="N241" s="1" t="n">
        <f aca="false">J241-L241</f>
        <v>1.2</v>
      </c>
      <c r="O241" s="25" t="n">
        <f aca="false">O240+N241</f>
        <v>44.7000000000001</v>
      </c>
      <c r="P241" s="21" t="n">
        <v>236</v>
      </c>
      <c r="Q241" s="22" t="n">
        <v>1.15</v>
      </c>
      <c r="R241" s="23" t="n">
        <f aca="false">Q241*L241</f>
        <v>1.495</v>
      </c>
      <c r="S241" s="23" t="n">
        <f aca="false">J241-R241</f>
        <v>1.005</v>
      </c>
      <c r="T241" s="26" t="n">
        <f aca="false">MIN(122.1,(T240+S241))</f>
        <v>27.3822</v>
      </c>
      <c r="V241" s="27" t="n">
        <v>840</v>
      </c>
      <c r="W241" s="1" t="n">
        <f aca="false">V241/D241</f>
        <v>81.5533980582524</v>
      </c>
      <c r="X241" s="1" t="n">
        <f aca="false">X240+V241</f>
        <v>184548.6</v>
      </c>
      <c r="Y241" s="1" t="n">
        <f aca="false">Y240+V241</f>
        <v>30012.9</v>
      </c>
      <c r="AA241" s="1" t="n">
        <v>14.1183562223884</v>
      </c>
    </row>
    <row r="242" customFormat="false" ht="15" hidden="false" customHeight="false" outlineLevel="0" collapsed="false">
      <c r="A242" s="86"/>
      <c r="B242" s="51"/>
      <c r="C242" s="16" t="n">
        <v>41756</v>
      </c>
      <c r="D242" s="1" t="n">
        <v>10</v>
      </c>
      <c r="E242" s="1" t="n">
        <v>7.4</v>
      </c>
      <c r="F242" s="1" t="n">
        <v>11.3</v>
      </c>
      <c r="G242" s="1" t="n">
        <f aca="false">G241+D242</f>
        <v>2196.1</v>
      </c>
      <c r="H242" s="1" t="n">
        <f aca="false">H241+D242</f>
        <v>204.4</v>
      </c>
      <c r="J242" s="1" t="n">
        <v>6.5</v>
      </c>
      <c r="K242" s="1" t="n">
        <f aca="false">K241+J242</f>
        <v>514.7</v>
      </c>
      <c r="L242" s="1" t="n">
        <v>0.9</v>
      </c>
      <c r="M242" s="1" t="n">
        <f aca="false">M241+L242</f>
        <v>320.9</v>
      </c>
      <c r="N242" s="1" t="n">
        <f aca="false">J242-L242</f>
        <v>5.6</v>
      </c>
      <c r="O242" s="25" t="n">
        <f aca="false">O241+N242</f>
        <v>50.3000000000001</v>
      </c>
      <c r="P242" s="21" t="n">
        <v>237</v>
      </c>
      <c r="Q242" s="22" t="n">
        <v>1.15</v>
      </c>
      <c r="R242" s="23" t="n">
        <f aca="false">Q242*L242</f>
        <v>1.035</v>
      </c>
      <c r="S242" s="23" t="n">
        <f aca="false">J242-R242</f>
        <v>5.465</v>
      </c>
      <c r="T242" s="26" t="n">
        <f aca="false">MIN(122.1,(T241+S242))</f>
        <v>32.8472</v>
      </c>
      <c r="V242" s="27" t="n">
        <v>559.1</v>
      </c>
      <c r="W242" s="1" t="n">
        <f aca="false">V242/D242</f>
        <v>55.91</v>
      </c>
      <c r="X242" s="1" t="n">
        <f aca="false">X241+V242</f>
        <v>185107.7</v>
      </c>
      <c r="Y242" s="1" t="n">
        <f aca="false">Y241+V242</f>
        <v>30572</v>
      </c>
      <c r="AA242" s="1" t="n">
        <v>14.1692976947439</v>
      </c>
    </row>
    <row r="243" customFormat="false" ht="15" hidden="false" customHeight="false" outlineLevel="0" collapsed="false">
      <c r="A243" s="86"/>
      <c r="B243" s="51"/>
      <c r="C243" s="16" t="n">
        <v>41757</v>
      </c>
      <c r="D243" s="1" t="n">
        <v>10.5</v>
      </c>
      <c r="E243" s="1" t="n">
        <v>8.8</v>
      </c>
      <c r="F243" s="1" t="n">
        <v>13.2</v>
      </c>
      <c r="G243" s="1" t="n">
        <f aca="false">G242+D243</f>
        <v>2206.6</v>
      </c>
      <c r="H243" s="1" t="n">
        <f aca="false">H242+D243</f>
        <v>214.9</v>
      </c>
      <c r="J243" s="1" t="n">
        <v>4.8</v>
      </c>
      <c r="K243" s="1" t="n">
        <f aca="false">K242+J243</f>
        <v>519.5</v>
      </c>
      <c r="L243" s="1" t="n">
        <v>1.7</v>
      </c>
      <c r="M243" s="1" t="n">
        <f aca="false">M242+L243</f>
        <v>322.6</v>
      </c>
      <c r="N243" s="1" t="n">
        <f aca="false">J243-L243</f>
        <v>3.1</v>
      </c>
      <c r="O243" s="25" t="n">
        <f aca="false">O242+N243</f>
        <v>53.4000000000001</v>
      </c>
      <c r="P243" s="21" t="n">
        <v>238</v>
      </c>
      <c r="Q243" s="22" t="n">
        <v>1.15</v>
      </c>
      <c r="R243" s="23" t="n">
        <f aca="false">Q243*L243</f>
        <v>1.955</v>
      </c>
      <c r="S243" s="23" t="n">
        <f aca="false">J243-R243</f>
        <v>2.845</v>
      </c>
      <c r="T243" s="26" t="n">
        <f aca="false">MIN(122.1,(T242+S243))</f>
        <v>35.6922</v>
      </c>
      <c r="V243" s="1" t="n">
        <v>1018.2</v>
      </c>
      <c r="W243" s="1" t="n">
        <f aca="false">V243/D243</f>
        <v>96.9714285714286</v>
      </c>
      <c r="X243" s="1" t="n">
        <f aca="false">X242+V243</f>
        <v>186125.9</v>
      </c>
      <c r="Y243" s="1" t="n">
        <f aca="false">Y242+V243</f>
        <v>31590.2</v>
      </c>
      <c r="AA243" s="1" t="n">
        <v>14.2198929290597</v>
      </c>
    </row>
    <row r="244" customFormat="false" ht="15" hidden="false" customHeight="false" outlineLevel="0" collapsed="false">
      <c r="A244" s="86"/>
      <c r="B244" s="51"/>
      <c r="C244" s="16" t="n">
        <v>41758</v>
      </c>
      <c r="D244" s="1" t="n">
        <v>9.9</v>
      </c>
      <c r="E244" s="1" t="n">
        <v>7.5</v>
      </c>
      <c r="F244" s="1" t="n">
        <v>11.5</v>
      </c>
      <c r="G244" s="1" t="n">
        <f aca="false">G243+D244</f>
        <v>2216.5</v>
      </c>
      <c r="H244" s="1" t="n">
        <f aca="false">H243+D244</f>
        <v>224.8</v>
      </c>
      <c r="J244" s="1" t="n">
        <v>14.3</v>
      </c>
      <c r="K244" s="1" t="n">
        <f aca="false">K243+J244</f>
        <v>533.8</v>
      </c>
      <c r="L244" s="1" t="n">
        <v>0.8</v>
      </c>
      <c r="M244" s="1" t="n">
        <f aca="false">M243+L244</f>
        <v>323.4</v>
      </c>
      <c r="N244" s="1" t="n">
        <f aca="false">J244-L244</f>
        <v>13.5</v>
      </c>
      <c r="O244" s="25" t="n">
        <f aca="false">O243+N244</f>
        <v>66.9000000000001</v>
      </c>
      <c r="P244" s="21" t="n">
        <v>239</v>
      </c>
      <c r="Q244" s="22" t="n">
        <v>1.15</v>
      </c>
      <c r="R244" s="23" t="n">
        <f aca="false">Q244*L244</f>
        <v>0.92</v>
      </c>
      <c r="S244" s="23" t="n">
        <f aca="false">J244-R244</f>
        <v>13.38</v>
      </c>
      <c r="T244" s="26" t="n">
        <f aca="false">MIN(122.1,(T243+S244))</f>
        <v>49.0722</v>
      </c>
      <c r="V244" s="27" t="n">
        <v>566.9</v>
      </c>
      <c r="W244" s="1" t="n">
        <f aca="false">V244/D244</f>
        <v>57.2626262626263</v>
      </c>
      <c r="X244" s="1" t="n">
        <f aca="false">X243+V244</f>
        <v>186692.8</v>
      </c>
      <c r="Y244" s="1" t="n">
        <f aca="false">Y243+V244</f>
        <v>32157.1</v>
      </c>
      <c r="AA244" s="1" t="n">
        <v>14.2701265094935</v>
      </c>
    </row>
    <row r="245" customFormat="false" ht="15" hidden="false" customHeight="false" outlineLevel="0" collapsed="false">
      <c r="A245" s="86"/>
      <c r="B245" s="51"/>
      <c r="C245" s="16" t="n">
        <v>41759</v>
      </c>
      <c r="D245" s="1" t="n">
        <v>10.7</v>
      </c>
      <c r="E245" s="1" t="n">
        <v>8.5</v>
      </c>
      <c r="F245" s="1" t="n">
        <v>14.4</v>
      </c>
      <c r="G245" s="1" t="n">
        <f aca="false">G244+D245</f>
        <v>2227.2</v>
      </c>
      <c r="H245" s="1" t="n">
        <f aca="false">H244+D245</f>
        <v>235.5</v>
      </c>
      <c r="J245" s="1" t="n">
        <v>2.3</v>
      </c>
      <c r="K245" s="1" t="n">
        <f aca="false">K244+J245</f>
        <v>536.1</v>
      </c>
      <c r="L245" s="1" t="n">
        <v>1.6</v>
      </c>
      <c r="M245" s="1" t="n">
        <f aca="false">M244+L245</f>
        <v>325</v>
      </c>
      <c r="N245" s="1" t="n">
        <f aca="false">J245-L245</f>
        <v>0.7</v>
      </c>
      <c r="O245" s="25" t="n">
        <f aca="false">O244+N245</f>
        <v>67.6000000000001</v>
      </c>
      <c r="P245" s="21" t="n">
        <v>240</v>
      </c>
      <c r="Q245" s="22" t="n">
        <v>1.15</v>
      </c>
      <c r="R245" s="23" t="n">
        <f aca="false">Q245*L245</f>
        <v>1.84</v>
      </c>
      <c r="S245" s="23" t="n">
        <f aca="false">J245-R245</f>
        <v>0.46</v>
      </c>
      <c r="T245" s="26" t="n">
        <f aca="false">MIN(122.1,(T244+S245))</f>
        <v>49.5322</v>
      </c>
      <c r="V245" s="1" t="n">
        <v>969.5</v>
      </c>
      <c r="W245" s="1" t="n">
        <f aca="false">V245/D245</f>
        <v>90.607476635514</v>
      </c>
      <c r="X245" s="1" t="n">
        <f aca="false">X244+V245</f>
        <v>187662.3</v>
      </c>
      <c r="Y245" s="1" t="n">
        <f aca="false">Y244+V245</f>
        <v>33126.6</v>
      </c>
      <c r="AA245" s="1" t="n">
        <v>14.3199825508274</v>
      </c>
    </row>
    <row r="246" customFormat="false" ht="15" hidden="false" customHeight="false" outlineLevel="0" collapsed="false">
      <c r="A246" s="86"/>
      <c r="B246" s="51"/>
      <c r="C246" s="16" t="n">
        <v>41760</v>
      </c>
      <c r="D246" s="1" t="n">
        <v>10.9</v>
      </c>
      <c r="E246" s="1" t="n">
        <v>8.5</v>
      </c>
      <c r="F246" s="1" t="n">
        <v>14.3</v>
      </c>
      <c r="G246" s="1" t="n">
        <f aca="false">G245+D246</f>
        <v>2238.1</v>
      </c>
      <c r="H246" s="1" t="n">
        <f aca="false">H245+D246</f>
        <v>246.4</v>
      </c>
      <c r="J246" s="1" t="n">
        <v>8</v>
      </c>
      <c r="K246" s="1" t="n">
        <f aca="false">K245+J246</f>
        <v>544.1</v>
      </c>
      <c r="L246" s="1" t="n">
        <v>1.4</v>
      </c>
      <c r="M246" s="1" t="n">
        <f aca="false">M245+L246</f>
        <v>326.4</v>
      </c>
      <c r="N246" s="1" t="n">
        <f aca="false">J246-L246</f>
        <v>6.6</v>
      </c>
      <c r="O246" s="25" t="n">
        <f aca="false">O245+N246</f>
        <v>74.2000000000001</v>
      </c>
      <c r="P246" s="21" t="n">
        <v>241</v>
      </c>
      <c r="Q246" s="22" t="n">
        <v>1.15</v>
      </c>
      <c r="R246" s="23" t="n">
        <f aca="false">Q246*L246</f>
        <v>1.61</v>
      </c>
      <c r="S246" s="23" t="n">
        <f aca="false">J246-R246</f>
        <v>6.39</v>
      </c>
      <c r="T246" s="26" t="n">
        <f aca="false">MIN(122.1,(T245+S246))</f>
        <v>55.9222</v>
      </c>
      <c r="V246" s="27" t="n">
        <v>769.7</v>
      </c>
      <c r="W246" s="1" t="n">
        <f aca="false">V246/D246</f>
        <v>70.6146788990826</v>
      </c>
      <c r="X246" s="1" t="n">
        <f aca="false">X245+V246</f>
        <v>188432</v>
      </c>
      <c r="Y246" s="1" t="n">
        <f aca="false">Y245+V246</f>
        <v>33896.3</v>
      </c>
      <c r="AA246" s="1" t="n">
        <v>14.3694446956405</v>
      </c>
    </row>
    <row r="247" customFormat="false" ht="15" hidden="false" customHeight="false" outlineLevel="0" collapsed="false">
      <c r="A247" s="86"/>
      <c r="B247" s="51"/>
      <c r="C247" s="16" t="n">
        <v>41761</v>
      </c>
      <c r="D247" s="1" t="n">
        <v>11.4</v>
      </c>
      <c r="E247" s="1" t="n">
        <v>9.7</v>
      </c>
      <c r="F247" s="1" t="n">
        <v>13.5</v>
      </c>
      <c r="G247" s="1" t="n">
        <f aca="false">G246+D247</f>
        <v>2249.5</v>
      </c>
      <c r="H247" s="1" t="n">
        <f aca="false">H246+D247</f>
        <v>257.8</v>
      </c>
      <c r="J247" s="1" t="n">
        <v>0.1</v>
      </c>
      <c r="K247" s="1" t="n">
        <f aca="false">K246+J247</f>
        <v>544.2</v>
      </c>
      <c r="L247" s="1" t="n">
        <v>2</v>
      </c>
      <c r="M247" s="1" t="n">
        <f aca="false">M246+L247</f>
        <v>328.4</v>
      </c>
      <c r="N247" s="19" t="n">
        <f aca="false">J247-L247</f>
        <v>-1.9</v>
      </c>
      <c r="O247" s="25" t="n">
        <f aca="false">O246+N247</f>
        <v>72.3000000000001</v>
      </c>
      <c r="P247" s="21" t="n">
        <v>242</v>
      </c>
      <c r="Q247" s="22" t="n">
        <v>1.15</v>
      </c>
      <c r="R247" s="23" t="n">
        <f aca="false">Q247*L247</f>
        <v>2.3</v>
      </c>
      <c r="S247" s="23" t="n">
        <f aca="false">J247-R247</f>
        <v>-2.2</v>
      </c>
      <c r="T247" s="26" t="n">
        <f aca="false">MIN(122.1,(T246+S247))</f>
        <v>53.7222</v>
      </c>
      <c r="V247" s="1" t="n">
        <v>1204.2</v>
      </c>
      <c r="W247" s="1" t="n">
        <f aca="false">V247/D247</f>
        <v>105.631578947368</v>
      </c>
      <c r="X247" s="1" t="n">
        <f aca="false">X246+V247</f>
        <v>189636.2</v>
      </c>
      <c r="Y247" s="1" t="n">
        <f aca="false">Y246+V247</f>
        <v>35100.5</v>
      </c>
      <c r="AA247" s="1" t="n">
        <v>14.4184961127386</v>
      </c>
    </row>
    <row r="248" customFormat="false" ht="15" hidden="false" customHeight="false" outlineLevel="0" collapsed="false">
      <c r="A248" s="86"/>
      <c r="B248" s="51"/>
      <c r="C248" s="16" t="n">
        <v>41762</v>
      </c>
      <c r="D248" s="1" t="n">
        <v>9.7</v>
      </c>
      <c r="E248" s="1" t="n">
        <v>7.8</v>
      </c>
      <c r="F248" s="1" t="n">
        <v>12.3</v>
      </c>
      <c r="G248" s="1" t="n">
        <f aca="false">G247+D248</f>
        <v>2259.2</v>
      </c>
      <c r="H248" s="1" t="n">
        <f aca="false">H247+D248</f>
        <v>267.5</v>
      </c>
      <c r="J248" s="1" t="n">
        <v>0</v>
      </c>
      <c r="K248" s="1" t="n">
        <f aca="false">K247+J248</f>
        <v>544.2</v>
      </c>
      <c r="L248" s="1" t="n">
        <v>2.4</v>
      </c>
      <c r="M248" s="1" t="n">
        <f aca="false">M247+L248</f>
        <v>330.8</v>
      </c>
      <c r="N248" s="19" t="n">
        <f aca="false">J248-L248</f>
        <v>-2.4</v>
      </c>
      <c r="O248" s="25" t="n">
        <f aca="false">O247+N248</f>
        <v>69.9000000000001</v>
      </c>
      <c r="P248" s="21" t="n">
        <v>243</v>
      </c>
      <c r="Q248" s="22" t="n">
        <v>1.15</v>
      </c>
      <c r="R248" s="23" t="n">
        <f aca="false">Q248*L248</f>
        <v>2.76</v>
      </c>
      <c r="S248" s="23" t="n">
        <f aca="false">J248-R248</f>
        <v>-2.76</v>
      </c>
      <c r="T248" s="26" t="n">
        <f aca="false">MIN(122.1,(T247+S248))</f>
        <v>50.9622</v>
      </c>
      <c r="V248" s="1" t="n">
        <v>1378.4</v>
      </c>
      <c r="W248" s="1" t="n">
        <f aca="false">V248/D248</f>
        <v>142.103092783505</v>
      </c>
      <c r="X248" s="1" t="n">
        <f aca="false">X247+V248</f>
        <v>191014.6</v>
      </c>
      <c r="Y248" s="1" t="n">
        <f aca="false">Y247+V248</f>
        <v>36478.9</v>
      </c>
      <c r="AA248" s="1" t="n">
        <v>14.4671194969247</v>
      </c>
    </row>
    <row r="249" s="79" customFormat="true" ht="15" hidden="false" customHeight="false" outlineLevel="0" collapsed="false">
      <c r="A249" s="86"/>
      <c r="B249" s="88"/>
      <c r="C249" s="89" t="n">
        <v>41763</v>
      </c>
      <c r="D249" s="79" t="n">
        <v>10.4</v>
      </c>
      <c r="E249" s="90" t="n">
        <v>4.8</v>
      </c>
      <c r="F249" s="79" t="n">
        <v>16.1</v>
      </c>
      <c r="G249" s="79" t="n">
        <f aca="false">G248+D249</f>
        <v>2269.6</v>
      </c>
      <c r="H249" s="79" t="n">
        <f aca="false">H248+D249</f>
        <v>277.9</v>
      </c>
      <c r="J249" s="79" t="n">
        <v>0</v>
      </c>
      <c r="K249" s="79" t="n">
        <f aca="false">K248+J249</f>
        <v>544.2</v>
      </c>
      <c r="L249" s="79" t="n">
        <v>3.6</v>
      </c>
      <c r="M249" s="79" t="n">
        <f aca="false">M248+L249</f>
        <v>334.4</v>
      </c>
      <c r="N249" s="91" t="n">
        <f aca="false">J249-L249</f>
        <v>-3.6</v>
      </c>
      <c r="O249" s="92" t="n">
        <f aca="false">O248+N249</f>
        <v>66.3000000000001</v>
      </c>
      <c r="P249" s="21" t="n">
        <v>244</v>
      </c>
      <c r="Q249" s="81" t="n">
        <v>1.15</v>
      </c>
      <c r="R249" s="82" t="n">
        <f aca="false">Q249*L249</f>
        <v>4.14</v>
      </c>
      <c r="S249" s="23" t="n">
        <f aca="false">J249-R249</f>
        <v>-4.14</v>
      </c>
      <c r="T249" s="26" t="n">
        <f aca="false">MIN(122.1,(T248+S249))</f>
        <v>46.8222</v>
      </c>
      <c r="V249" s="79" t="n">
        <v>2455.1</v>
      </c>
      <c r="W249" s="79" t="n">
        <f aca="false">V249/D249</f>
        <v>236.067307692308</v>
      </c>
      <c r="X249" s="79" t="n">
        <f aca="false">X248+V249</f>
        <v>193469.7</v>
      </c>
      <c r="Y249" s="79" t="n">
        <f aca="false">Y248+V249</f>
        <v>38934</v>
      </c>
      <c r="AA249" s="79" t="n">
        <v>14.5152970702</v>
      </c>
    </row>
    <row r="250" customFormat="false" ht="15" hidden="false" customHeight="false" outlineLevel="0" collapsed="false">
      <c r="A250" s="86"/>
      <c r="B250" s="51"/>
      <c r="C250" s="16" t="n">
        <v>41764</v>
      </c>
      <c r="D250" s="1" t="n">
        <v>14</v>
      </c>
      <c r="E250" s="1" t="n">
        <v>5.1</v>
      </c>
      <c r="F250" s="1" t="n">
        <v>20.4</v>
      </c>
      <c r="G250" s="1" t="n">
        <f aca="false">G249+D250</f>
        <v>2283.6</v>
      </c>
      <c r="H250" s="1" t="n">
        <f aca="false">H249+D250</f>
        <v>291.9</v>
      </c>
      <c r="J250" s="1" t="n">
        <v>0</v>
      </c>
      <c r="K250" s="1" t="n">
        <f aca="false">K249+J250</f>
        <v>544.2</v>
      </c>
      <c r="L250" s="1" t="n">
        <v>3.7</v>
      </c>
      <c r="M250" s="1" t="n">
        <f aca="false">M249+L250</f>
        <v>338.1</v>
      </c>
      <c r="N250" s="19" t="n">
        <f aca="false">J250-L250</f>
        <v>-3.7</v>
      </c>
      <c r="O250" s="25" t="n">
        <f aca="false">O249+N250</f>
        <v>62.6000000000001</v>
      </c>
      <c r="P250" s="21" t="n">
        <v>245</v>
      </c>
      <c r="Q250" s="81" t="n">
        <v>1.15</v>
      </c>
      <c r="R250" s="23" t="n">
        <f aca="false">Q250*L250</f>
        <v>4.255</v>
      </c>
      <c r="S250" s="23" t="n">
        <f aca="false">J250-R250</f>
        <v>-4.255</v>
      </c>
      <c r="T250" s="26" t="n">
        <f aca="false">MIN(122.1,(T249+S250))</f>
        <v>42.5672</v>
      </c>
      <c r="V250" s="1" t="n">
        <v>2504.7</v>
      </c>
      <c r="W250" s="1" t="n">
        <f aca="false">V250/D250</f>
        <v>178.907142857143</v>
      </c>
      <c r="X250" s="1" t="n">
        <f aca="false">X249+V250</f>
        <v>195974.4</v>
      </c>
      <c r="Y250" s="1" t="n">
        <f aca="false">Y249+V250</f>
        <v>41438.7</v>
      </c>
      <c r="AA250" s="1" t="n">
        <v>14.5630105844849</v>
      </c>
    </row>
    <row r="251" s="35" customFormat="true" ht="15" hidden="false" customHeight="false" outlineLevel="0" collapsed="false">
      <c r="A251" s="86"/>
      <c r="B251" s="32" t="n">
        <v>300</v>
      </c>
      <c r="C251" s="67" t="n">
        <v>41765</v>
      </c>
      <c r="D251" s="35" t="n">
        <v>15.4</v>
      </c>
      <c r="E251" s="35" t="n">
        <v>12.1</v>
      </c>
      <c r="F251" s="35" t="n">
        <v>19</v>
      </c>
      <c r="G251" s="35" t="n">
        <f aca="false">G250+D251</f>
        <v>2299</v>
      </c>
      <c r="H251" s="35" t="n">
        <f aca="false">H250+D251</f>
        <v>307.3</v>
      </c>
      <c r="J251" s="35" t="n">
        <v>0</v>
      </c>
      <c r="K251" s="35" t="n">
        <f aca="false">K250+J251</f>
        <v>544.2</v>
      </c>
      <c r="L251" s="35" t="n">
        <v>2</v>
      </c>
      <c r="M251" s="35" t="n">
        <f aca="false">M250+L251</f>
        <v>340.1</v>
      </c>
      <c r="N251" s="70" t="n">
        <f aca="false">J251-L251</f>
        <v>-2</v>
      </c>
      <c r="O251" s="36" t="n">
        <f aca="false">O250+N251</f>
        <v>60.6000000000001</v>
      </c>
      <c r="P251" s="37" t="n">
        <v>246</v>
      </c>
      <c r="Q251" s="93" t="n">
        <v>1.15</v>
      </c>
      <c r="R251" s="39" t="n">
        <f aca="false">Q251*L251</f>
        <v>2.3</v>
      </c>
      <c r="S251" s="40" t="n">
        <f aca="false">J251-R251</f>
        <v>-2.3</v>
      </c>
      <c r="T251" s="41" t="n">
        <f aca="false">MIN(122.1,(T250+S251))</f>
        <v>40.2672</v>
      </c>
      <c r="V251" s="42" t="n">
        <v>662.9</v>
      </c>
      <c r="W251" s="35" t="n">
        <f aca="false">V251/D251</f>
        <v>43.0454545454545</v>
      </c>
      <c r="X251" s="35" t="n">
        <f aca="false">X250+V251</f>
        <v>196637.3</v>
      </c>
      <c r="Y251" s="38" t="n">
        <f aca="false">Y250+V251</f>
        <v>42101.6</v>
      </c>
      <c r="AA251" s="35" t="n">
        <v>14.6102413259478</v>
      </c>
    </row>
    <row r="252" customFormat="false" ht="15" hidden="false" customHeight="false" outlineLevel="0" collapsed="false">
      <c r="A252" s="94" t="n">
        <v>600</v>
      </c>
      <c r="B252" s="51"/>
      <c r="C252" s="16" t="n">
        <v>41766</v>
      </c>
      <c r="D252" s="1" t="n">
        <v>13.8</v>
      </c>
      <c r="E252" s="1" t="n">
        <v>10.8</v>
      </c>
      <c r="F252" s="1" t="n">
        <v>16.9</v>
      </c>
      <c r="G252" s="1" t="n">
        <f aca="false">G251+D252</f>
        <v>2312.8</v>
      </c>
      <c r="H252" s="1" t="n">
        <v>13.8</v>
      </c>
      <c r="I252" s="95" t="s">
        <v>28</v>
      </c>
      <c r="J252" s="1" t="n">
        <v>0</v>
      </c>
      <c r="K252" s="1" t="n">
        <f aca="false">K251+J252</f>
        <v>544.2</v>
      </c>
      <c r="L252" s="1" t="n">
        <v>2.6</v>
      </c>
      <c r="M252" s="1" t="n">
        <f aca="false">M251+L252</f>
        <v>342.7</v>
      </c>
      <c r="N252" s="19" t="n">
        <f aca="false">J252-L252</f>
        <v>-2.6</v>
      </c>
      <c r="O252" s="25" t="n">
        <f aca="false">O251+N252</f>
        <v>58.0000000000001</v>
      </c>
      <c r="P252" s="21" t="n">
        <v>247</v>
      </c>
      <c r="Q252" s="53" t="n">
        <f aca="false">1.15+((P252-246)/57)*(0.35-1.15)</f>
        <v>1.1359649122807</v>
      </c>
      <c r="R252" s="23" t="n">
        <f aca="false">Q252*L252</f>
        <v>2.95350877192982</v>
      </c>
      <c r="S252" s="23" t="n">
        <f aca="false">J252-R252</f>
        <v>-2.95350877192982</v>
      </c>
      <c r="T252" s="26" t="n">
        <f aca="false">MIN(122.1,(T251+S252))</f>
        <v>37.3136912280702</v>
      </c>
      <c r="U252" s="95" t="s">
        <v>29</v>
      </c>
      <c r="V252" s="1" t="n">
        <v>1466.2</v>
      </c>
      <c r="W252" s="1" t="n">
        <f aca="false">V252/D252</f>
        <v>106.246376811594</v>
      </c>
      <c r="X252" s="1" t="n">
        <f aca="false">X251+V252</f>
        <v>198103.5</v>
      </c>
      <c r="Y252" s="1" t="n">
        <v>1466.2</v>
      </c>
      <c r="Z252" s="95" t="s">
        <v>30</v>
      </c>
      <c r="AA252" s="1" t="n">
        <v>14.6569701210347</v>
      </c>
    </row>
    <row r="253" customFormat="false" ht="15" hidden="false" customHeight="false" outlineLevel="0" collapsed="false">
      <c r="A253" s="94"/>
      <c r="B253" s="51"/>
      <c r="C253" s="16" t="n">
        <v>41767</v>
      </c>
      <c r="D253" s="1" t="n">
        <v>13.6</v>
      </c>
      <c r="E253" s="1" t="n">
        <v>10.3</v>
      </c>
      <c r="F253" s="1" t="n">
        <v>16.1</v>
      </c>
      <c r="G253" s="1" t="n">
        <f aca="false">G252+D253</f>
        <v>2326.4</v>
      </c>
      <c r="H253" s="1" t="n">
        <f aca="false">H252+D253</f>
        <v>27.4</v>
      </c>
      <c r="I253" s="1" t="n">
        <f aca="false">MIN(E252:E274)</f>
        <v>6.3</v>
      </c>
      <c r="J253" s="1" t="n">
        <v>0.2</v>
      </c>
      <c r="K253" s="1" t="n">
        <f aca="false">K252+J253</f>
        <v>544.4</v>
      </c>
      <c r="L253" s="1" t="n">
        <v>2</v>
      </c>
      <c r="M253" s="1" t="n">
        <f aca="false">M252+L253</f>
        <v>344.7</v>
      </c>
      <c r="N253" s="19" t="n">
        <f aca="false">J253-L253</f>
        <v>-1.8</v>
      </c>
      <c r="O253" s="25" t="n">
        <f aca="false">O252+N253</f>
        <v>56.2000000000001</v>
      </c>
      <c r="P253" s="21" t="n">
        <v>248</v>
      </c>
      <c r="Q253" s="53" t="n">
        <f aca="false">1.15+((P253-246)/57)*(0.35-1.15)</f>
        <v>1.1219298245614</v>
      </c>
      <c r="R253" s="23" t="n">
        <f aca="false">Q253*L253</f>
        <v>2.24385964912281</v>
      </c>
      <c r="S253" s="23" t="n">
        <f aca="false">J253-R253</f>
        <v>-2.04385964912281</v>
      </c>
      <c r="T253" s="26" t="n">
        <f aca="false">MIN(122.1,(T252+S253))</f>
        <v>35.2698315789474</v>
      </c>
      <c r="U253" s="1" t="n">
        <v>16</v>
      </c>
      <c r="V253" s="1" t="n">
        <v>960.9</v>
      </c>
      <c r="W253" s="1" t="n">
        <f aca="false">V253/D253</f>
        <v>70.6544117647059</v>
      </c>
      <c r="X253" s="1" t="n">
        <f aca="false">X252+V253</f>
        <v>199064.4</v>
      </c>
      <c r="Y253" s="1" t="n">
        <f aca="false">Y252+V253</f>
        <v>2427.1</v>
      </c>
      <c r="Z253" s="79" t="n">
        <v>41027.9</v>
      </c>
      <c r="AA253" s="1" t="n">
        <v>14.7031773442884</v>
      </c>
    </row>
    <row r="254" customFormat="false" ht="15" hidden="false" customHeight="false" outlineLevel="0" collapsed="false">
      <c r="A254" s="94"/>
      <c r="B254" s="51"/>
      <c r="C254" s="16" t="n">
        <v>41768</v>
      </c>
      <c r="D254" s="1" t="n">
        <v>14.6</v>
      </c>
      <c r="E254" s="1" t="n">
        <v>12.7</v>
      </c>
      <c r="F254" s="1" t="n">
        <v>18</v>
      </c>
      <c r="G254" s="1" t="n">
        <f aca="false">G253+D254</f>
        <v>2341</v>
      </c>
      <c r="H254" s="1" t="n">
        <f aca="false">H253+D254</f>
        <v>42</v>
      </c>
      <c r="I254" s="95" t="s">
        <v>31</v>
      </c>
      <c r="J254" s="1" t="n">
        <v>1.2</v>
      </c>
      <c r="K254" s="1" t="n">
        <f aca="false">K253+J254</f>
        <v>545.6</v>
      </c>
      <c r="L254" s="1" t="n">
        <v>2.9</v>
      </c>
      <c r="M254" s="1" t="n">
        <f aca="false">M253+L254</f>
        <v>347.6</v>
      </c>
      <c r="N254" s="19" t="n">
        <f aca="false">J254-L254</f>
        <v>-1.7</v>
      </c>
      <c r="O254" s="25" t="n">
        <f aca="false">O253+N254</f>
        <v>54.5000000000001</v>
      </c>
      <c r="P254" s="21" t="n">
        <v>249</v>
      </c>
      <c r="Q254" s="53" t="n">
        <f aca="false">1.15+((P254-246)/57)*(0.35-1.15)</f>
        <v>1.10789473684211</v>
      </c>
      <c r="R254" s="23" t="n">
        <f aca="false">Q254*L254</f>
        <v>3.21289473684211</v>
      </c>
      <c r="S254" s="23" t="n">
        <f aca="false">J254-R254</f>
        <v>-2.01289473684211</v>
      </c>
      <c r="T254" s="26" t="n">
        <f aca="false">MIN(122.1,(T253+S254))</f>
        <v>33.2569368421053</v>
      </c>
      <c r="U254" s="95" t="s">
        <v>32</v>
      </c>
      <c r="V254" s="1" t="n">
        <v>1473.6</v>
      </c>
      <c r="W254" s="1" t="n">
        <f aca="false">V254/D254</f>
        <v>100.931506849315</v>
      </c>
      <c r="X254" s="1" t="n">
        <f aca="false">X253+V254</f>
        <v>200538</v>
      </c>
      <c r="Y254" s="1" t="n">
        <f aca="false">Y253+V254</f>
        <v>3900.7</v>
      </c>
      <c r="Z254" s="95" t="s">
        <v>33</v>
      </c>
      <c r="AA254" s="1" t="n">
        <v>14.7488429280453</v>
      </c>
    </row>
    <row r="255" customFormat="false" ht="15" hidden="false" customHeight="false" outlineLevel="0" collapsed="false">
      <c r="A255" s="94"/>
      <c r="B255" s="51"/>
      <c r="C255" s="16" t="n">
        <v>41769</v>
      </c>
      <c r="D255" s="1" t="n">
        <v>13</v>
      </c>
      <c r="E255" s="1" t="n">
        <v>9.4</v>
      </c>
      <c r="F255" s="1" t="n">
        <v>16.3</v>
      </c>
      <c r="G255" s="1" t="n">
        <f aca="false">G254+D255</f>
        <v>2354</v>
      </c>
      <c r="H255" s="1" t="n">
        <f aca="false">H254+D255</f>
        <v>55</v>
      </c>
      <c r="I255" s="1" t="n">
        <f aca="false">MAX(F252:F274)</f>
        <v>24.3</v>
      </c>
      <c r="J255" s="1" t="n">
        <v>1.4</v>
      </c>
      <c r="K255" s="1" t="n">
        <f aca="false">K254+J255</f>
        <v>547</v>
      </c>
      <c r="L255" s="1" t="n">
        <v>1.5</v>
      </c>
      <c r="M255" s="1" t="n">
        <f aca="false">M254+L255</f>
        <v>349.1</v>
      </c>
      <c r="N255" s="19" t="n">
        <f aca="false">J255-L255</f>
        <v>-0.1</v>
      </c>
      <c r="O255" s="25" t="n">
        <f aca="false">O254+N255</f>
        <v>54.4000000000001</v>
      </c>
      <c r="P255" s="21" t="n">
        <v>250</v>
      </c>
      <c r="Q255" s="53" t="n">
        <f aca="false">1.15+((P255-246)/57)*(0.35-1.15)</f>
        <v>1.09385964912281</v>
      </c>
      <c r="R255" s="23" t="n">
        <f aca="false">Q255*L255</f>
        <v>1.64078947368421</v>
      </c>
      <c r="S255" s="23" t="n">
        <f aca="false">J255-R255</f>
        <v>-0.24078947368421</v>
      </c>
      <c r="T255" s="26" t="n">
        <f aca="false">MIN(122.1,(T254+S255))</f>
        <v>33.0161473684211</v>
      </c>
      <c r="U255" s="1" t="n">
        <v>0</v>
      </c>
      <c r="V255" s="1" t="n">
        <v>929</v>
      </c>
      <c r="W255" s="1" t="n">
        <f aca="false">V255/D255</f>
        <v>71.4615384615385</v>
      </c>
      <c r="X255" s="1" t="n">
        <f aca="false">X254+V255</f>
        <v>201467</v>
      </c>
      <c r="Y255" s="1" t="n">
        <f aca="false">Y254+V255</f>
        <v>4829.7</v>
      </c>
      <c r="Z255" s="28" t="n">
        <f aca="false">(Z253/100)/I265</f>
        <v>1.35629421487603</v>
      </c>
      <c r="AA255" s="1" t="n">
        <v>14.7939463740993</v>
      </c>
    </row>
    <row r="256" customFormat="false" ht="15" hidden="false" customHeight="false" outlineLevel="0" collapsed="false">
      <c r="A256" s="94"/>
      <c r="B256" s="51"/>
      <c r="C256" s="16" t="n">
        <v>41770</v>
      </c>
      <c r="D256" s="1" t="n">
        <v>11.2</v>
      </c>
      <c r="E256" s="1" t="n">
        <v>9.5</v>
      </c>
      <c r="F256" s="1" t="n">
        <v>14.1</v>
      </c>
      <c r="G256" s="1" t="n">
        <f aca="false">G255+D256</f>
        <v>2365.2</v>
      </c>
      <c r="H256" s="1" t="n">
        <f aca="false">H255+D256</f>
        <v>66.2</v>
      </c>
      <c r="I256" s="95" t="s">
        <v>34</v>
      </c>
      <c r="J256" s="1" t="n">
        <v>3.8</v>
      </c>
      <c r="K256" s="1" t="n">
        <f aca="false">K255+J256</f>
        <v>550.8</v>
      </c>
      <c r="L256" s="1" t="n">
        <v>2.5</v>
      </c>
      <c r="M256" s="1" t="n">
        <f aca="false">M255+L256</f>
        <v>351.6</v>
      </c>
      <c r="N256" s="1" t="n">
        <f aca="false">J256-L256</f>
        <v>1.3</v>
      </c>
      <c r="O256" s="25" t="n">
        <f aca="false">O255+N256</f>
        <v>55.7</v>
      </c>
      <c r="P256" s="21" t="n">
        <v>251</v>
      </c>
      <c r="Q256" s="53" t="n">
        <f aca="false">1.15+((P256-246)/57)*(0.35-1.15)</f>
        <v>1.07982456140351</v>
      </c>
      <c r="R256" s="23" t="n">
        <f aca="false">Q256*L256</f>
        <v>2.69956140350877</v>
      </c>
      <c r="S256" s="23" t="n">
        <f aca="false">J256-R256</f>
        <v>1.10043859649123</v>
      </c>
      <c r="T256" s="26" t="n">
        <f aca="false">MIN(122.1,(T255+S256))</f>
        <v>34.1165859649123</v>
      </c>
      <c r="U256" s="95" t="s">
        <v>35</v>
      </c>
      <c r="V256" s="1" t="n">
        <v>1523.7</v>
      </c>
      <c r="W256" s="1" t="n">
        <f aca="false">V256/D256</f>
        <v>136.044642857143</v>
      </c>
      <c r="X256" s="1" t="n">
        <f aca="false">X255+V256</f>
        <v>202990.7</v>
      </c>
      <c r="Y256" s="1" t="n">
        <f aca="false">Y255+V256</f>
        <v>6353.4</v>
      </c>
      <c r="Z256" s="95" t="s">
        <v>36</v>
      </c>
      <c r="AA256" s="1" t="n">
        <v>14.8384667674129</v>
      </c>
    </row>
    <row r="257" customFormat="false" ht="15" hidden="false" customHeight="false" outlineLevel="0" collapsed="false">
      <c r="A257" s="94"/>
      <c r="B257" s="51"/>
      <c r="C257" s="16" t="n">
        <v>41771</v>
      </c>
      <c r="D257" s="1" t="n">
        <v>9.5</v>
      </c>
      <c r="E257" s="1" t="n">
        <v>7</v>
      </c>
      <c r="F257" s="1" t="n">
        <v>11.6</v>
      </c>
      <c r="G257" s="1" t="n">
        <f aca="false">G256+D257</f>
        <v>2374.7</v>
      </c>
      <c r="H257" s="1" t="n">
        <f aca="false">H256+D257</f>
        <v>75.7</v>
      </c>
      <c r="I257" s="29" t="n">
        <f aca="false">AVERAGE(D252:D274)</f>
        <v>13.1521739130435</v>
      </c>
      <c r="J257" s="1" t="n">
        <v>4.2</v>
      </c>
      <c r="K257" s="1" t="n">
        <f aca="false">K256+J257</f>
        <v>555</v>
      </c>
      <c r="L257" s="1" t="n">
        <v>1.2</v>
      </c>
      <c r="M257" s="1" t="n">
        <f aca="false">M256+L257</f>
        <v>352.8</v>
      </c>
      <c r="N257" s="1" t="n">
        <f aca="false">J257-L257</f>
        <v>3</v>
      </c>
      <c r="O257" s="25" t="n">
        <f aca="false">O256+N257</f>
        <v>58.7</v>
      </c>
      <c r="P257" s="21" t="n">
        <v>252</v>
      </c>
      <c r="Q257" s="53" t="n">
        <f aca="false">1.15+((P257-246)/57)*(0.35-1.15)</f>
        <v>1.06578947368421</v>
      </c>
      <c r="R257" s="23" t="n">
        <f aca="false">Q257*L257</f>
        <v>1.27894736842105</v>
      </c>
      <c r="S257" s="23" t="n">
        <f aca="false">J257-R257</f>
        <v>2.92105263157895</v>
      </c>
      <c r="T257" s="26" t="n">
        <f aca="false">MIN(122.1,(T256+S257))</f>
        <v>37.0376385964913</v>
      </c>
      <c r="U257" s="1" t="n">
        <v>23</v>
      </c>
      <c r="V257" s="27" t="n">
        <v>762.8</v>
      </c>
      <c r="W257" s="1" t="n">
        <f aca="false">V257/D257</f>
        <v>80.2947368421053</v>
      </c>
      <c r="X257" s="1" t="n">
        <f aca="false">X256+V257</f>
        <v>203753.5</v>
      </c>
      <c r="Y257" s="1" t="n">
        <f aca="false">Y256+V257</f>
        <v>7116.2</v>
      </c>
      <c r="Z257" s="1" t="n">
        <v>2</v>
      </c>
      <c r="AA257" s="1" t="n">
        <v>14.8823827919599</v>
      </c>
    </row>
    <row r="258" customFormat="false" ht="15" hidden="false" customHeight="false" outlineLevel="0" collapsed="false">
      <c r="A258" s="94"/>
      <c r="B258" s="51"/>
      <c r="C258" s="16" t="n">
        <v>41772</v>
      </c>
      <c r="D258" s="1" t="n">
        <v>10.1</v>
      </c>
      <c r="E258" s="1" t="n">
        <v>7.4</v>
      </c>
      <c r="F258" s="1" t="n">
        <v>13.5</v>
      </c>
      <c r="G258" s="1" t="n">
        <f aca="false">G257+D258</f>
        <v>2384.8</v>
      </c>
      <c r="H258" s="1" t="n">
        <f aca="false">H257+D258</f>
        <v>85.8</v>
      </c>
      <c r="I258" s="95" t="s">
        <v>37</v>
      </c>
      <c r="J258" s="1" t="n">
        <v>0.8</v>
      </c>
      <c r="K258" s="1" t="n">
        <f aca="false">K257+J258</f>
        <v>555.8</v>
      </c>
      <c r="L258" s="1" t="n">
        <v>2.7</v>
      </c>
      <c r="M258" s="1" t="n">
        <f aca="false">M257+L258</f>
        <v>355.5</v>
      </c>
      <c r="N258" s="19" t="n">
        <f aca="false">J258-L258</f>
        <v>-1.9</v>
      </c>
      <c r="O258" s="25" t="n">
        <f aca="false">O257+N258</f>
        <v>56.8000000000001</v>
      </c>
      <c r="P258" s="21" t="n">
        <v>253</v>
      </c>
      <c r="Q258" s="53" t="n">
        <f aca="false">1.15+((P258-246)/57)*(0.35-1.15)</f>
        <v>1.05175438596491</v>
      </c>
      <c r="R258" s="23" t="n">
        <f aca="false">Q258*L258</f>
        <v>2.83973684210526</v>
      </c>
      <c r="S258" s="23" t="n">
        <f aca="false">J258-R258</f>
        <v>-2.03973684210526</v>
      </c>
      <c r="T258" s="26" t="n">
        <f aca="false">MIN(122.1,(T257+S258))</f>
        <v>34.997901754386</v>
      </c>
      <c r="U258" s="95" t="s">
        <v>38</v>
      </c>
      <c r="V258" s="1" t="n">
        <v>1803.3</v>
      </c>
      <c r="W258" s="1" t="n">
        <f aca="false">V258/D258</f>
        <v>178.544554455446</v>
      </c>
      <c r="X258" s="1" t="n">
        <f aca="false">X257+V258</f>
        <v>205556.8</v>
      </c>
      <c r="Y258" s="1" t="n">
        <f aca="false">Y257+V258</f>
        <v>8919.5</v>
      </c>
      <c r="AA258" s="1" t="n">
        <v>14.9256727487722</v>
      </c>
    </row>
    <row r="259" customFormat="false" ht="15" hidden="false" customHeight="false" outlineLevel="0" collapsed="false">
      <c r="A259" s="94"/>
      <c r="B259" s="51"/>
      <c r="C259" s="16" t="n">
        <v>41773</v>
      </c>
      <c r="D259" s="1" t="n">
        <v>10.9</v>
      </c>
      <c r="E259" s="1" t="n">
        <v>6.4</v>
      </c>
      <c r="F259" s="1" t="n">
        <v>15.3</v>
      </c>
      <c r="G259" s="1" t="n">
        <f aca="false">G258+D259</f>
        <v>2395.7</v>
      </c>
      <c r="H259" s="1" t="n">
        <f aca="false">H258+D259</f>
        <v>96.7</v>
      </c>
      <c r="I259" s="1" t="n">
        <v>0</v>
      </c>
      <c r="J259" s="1" t="n">
        <v>0.2</v>
      </c>
      <c r="K259" s="1" t="n">
        <f aca="false">K258+J259</f>
        <v>556</v>
      </c>
      <c r="L259" s="1" t="n">
        <v>3</v>
      </c>
      <c r="M259" s="1" t="n">
        <f aca="false">M258+L259</f>
        <v>358.5</v>
      </c>
      <c r="N259" s="19" t="n">
        <f aca="false">J259-L259</f>
        <v>-2.8</v>
      </c>
      <c r="O259" s="25" t="n">
        <f aca="false">O258+N259</f>
        <v>54.0000000000001</v>
      </c>
      <c r="P259" s="21" t="n">
        <v>254</v>
      </c>
      <c r="Q259" s="53" t="n">
        <f aca="false">1.15+((P259-246)/57)*(0.35-1.15)</f>
        <v>1.03771929824561</v>
      </c>
      <c r="R259" s="23" t="n">
        <f aca="false">Q259*L259</f>
        <v>3.11315789473684</v>
      </c>
      <c r="S259" s="23" t="n">
        <f aca="false">J259-R259</f>
        <v>-2.91315789473684</v>
      </c>
      <c r="T259" s="26" t="n">
        <f aca="false">MIN(122.1,(T258+S259))</f>
        <v>32.0847438596492</v>
      </c>
      <c r="U259" s="29" t="n">
        <f aca="false">MIN(T252:T274)</f>
        <v>9.52965614035092</v>
      </c>
      <c r="V259" s="1" t="n">
        <v>2057.7</v>
      </c>
      <c r="W259" s="1" t="n">
        <f aca="false">V259/D259</f>
        <v>188.779816513761</v>
      </c>
      <c r="X259" s="1" t="n">
        <f aca="false">X258+V259</f>
        <v>207614.5</v>
      </c>
      <c r="Y259" s="1" t="n">
        <f aca="false">Y258+V259</f>
        <v>10977.2</v>
      </c>
      <c r="AA259" s="1" t="n">
        <v>14.9683145762608</v>
      </c>
    </row>
    <row r="260" customFormat="false" ht="15" hidden="false" customHeight="false" outlineLevel="0" collapsed="false">
      <c r="A260" s="94"/>
      <c r="B260" s="51"/>
      <c r="C260" s="16" t="n">
        <v>41774</v>
      </c>
      <c r="D260" s="1" t="n">
        <v>11.2</v>
      </c>
      <c r="E260" s="1" t="n">
        <v>7.5</v>
      </c>
      <c r="F260" s="1" t="n">
        <v>15.2</v>
      </c>
      <c r="G260" s="1" t="n">
        <f aca="false">G259+D260</f>
        <v>2406.9</v>
      </c>
      <c r="H260" s="1" t="n">
        <f aca="false">H259+D260</f>
        <v>107.9</v>
      </c>
      <c r="I260" s="95" t="s">
        <v>39</v>
      </c>
      <c r="J260" s="1" t="n">
        <v>0</v>
      </c>
      <c r="K260" s="1" t="n">
        <f aca="false">K259+J260</f>
        <v>556</v>
      </c>
      <c r="L260" s="1" t="n">
        <v>4.2</v>
      </c>
      <c r="M260" s="1" t="n">
        <f aca="false">M259+L260</f>
        <v>362.7</v>
      </c>
      <c r="N260" s="19" t="n">
        <f aca="false">J260-L260</f>
        <v>-4.2</v>
      </c>
      <c r="O260" s="25" t="n">
        <f aca="false">O259+N260</f>
        <v>49.8000000000001</v>
      </c>
      <c r="P260" s="21" t="n">
        <v>255</v>
      </c>
      <c r="Q260" s="53" t="n">
        <f aca="false">1.15+((P260-246)/57)*(0.35-1.15)</f>
        <v>1.02368421052632</v>
      </c>
      <c r="R260" s="23" t="n">
        <f aca="false">Q260*L260</f>
        <v>4.29947368421053</v>
      </c>
      <c r="S260" s="23" t="n">
        <f aca="false">J260-R260</f>
        <v>-4.29947368421053</v>
      </c>
      <c r="T260" s="26" t="n">
        <f aca="false">MIN(122.1,(T259+S260))</f>
        <v>27.7852701754386</v>
      </c>
      <c r="U260" s="95" t="s">
        <v>40</v>
      </c>
      <c r="V260" s="1" t="n">
        <v>2700.2</v>
      </c>
      <c r="W260" s="1" t="n">
        <f aca="false">V260/D260</f>
        <v>241.089285714286</v>
      </c>
      <c r="X260" s="1" t="n">
        <f aca="false">X259+V260</f>
        <v>210314.7</v>
      </c>
      <c r="Y260" s="1" t="n">
        <f aca="false">Y259+V260</f>
        <v>13677.4</v>
      </c>
      <c r="AA260" s="1" t="n">
        <v>15.0102858728743</v>
      </c>
    </row>
    <row r="261" customFormat="false" ht="15" hidden="false" customHeight="false" outlineLevel="0" collapsed="false">
      <c r="A261" s="94"/>
      <c r="B261" s="51"/>
      <c r="C261" s="16" t="n">
        <v>41775</v>
      </c>
      <c r="D261" s="1" t="n">
        <v>12.6</v>
      </c>
      <c r="E261" s="1" t="n">
        <v>6.3</v>
      </c>
      <c r="F261" s="1" t="n">
        <v>17.5</v>
      </c>
      <c r="G261" s="1" t="n">
        <f aca="false">G260+D261</f>
        <v>2419.5</v>
      </c>
      <c r="H261" s="1" t="n">
        <f aca="false">H260+D261</f>
        <v>120.5</v>
      </c>
      <c r="I261" s="1" t="n">
        <v>0</v>
      </c>
      <c r="J261" s="1" t="n">
        <v>0</v>
      </c>
      <c r="K261" s="1" t="n">
        <f aca="false">K260+J261</f>
        <v>556</v>
      </c>
      <c r="L261" s="1" t="n">
        <v>4.3</v>
      </c>
      <c r="M261" s="1" t="n">
        <f aca="false">M260+L261</f>
        <v>367</v>
      </c>
      <c r="N261" s="19" t="n">
        <f aca="false">J261-L261</f>
        <v>-4.3</v>
      </c>
      <c r="O261" s="25" t="n">
        <f aca="false">O260+N261</f>
        <v>45.5000000000001</v>
      </c>
      <c r="P261" s="21" t="n">
        <v>256</v>
      </c>
      <c r="Q261" s="53" t="n">
        <f aca="false">1.15+((P261-246)/57)*(0.35-1.15)</f>
        <v>1.00964912280702</v>
      </c>
      <c r="R261" s="23" t="n">
        <f aca="false">Q261*L261</f>
        <v>4.34149122807018</v>
      </c>
      <c r="S261" s="23" t="n">
        <f aca="false">J261-R261</f>
        <v>-4.34149122807018</v>
      </c>
      <c r="T261" s="26" t="n">
        <f aca="false">MIN(122.1,(T260+S261))</f>
        <v>23.4437789473685</v>
      </c>
      <c r="U261" s="29" t="n">
        <f aca="false">MAX(T252:T274)</f>
        <v>37.3136912280702</v>
      </c>
      <c r="V261" s="1" t="n">
        <v>2634.8</v>
      </c>
      <c r="W261" s="1" t="n">
        <f aca="false">V261/D261</f>
        <v>209.111111111111</v>
      </c>
      <c r="X261" s="1" t="n">
        <f aca="false">X260+V261</f>
        <v>212949.5</v>
      </c>
      <c r="Y261" s="1" t="n">
        <f aca="false">Y260+V261</f>
        <v>16312.2</v>
      </c>
      <c r="AA261" s="1" t="n">
        <v>15.051563922148</v>
      </c>
    </row>
    <row r="262" customFormat="false" ht="15" hidden="false" customHeight="false" outlineLevel="0" collapsed="false">
      <c r="A262" s="94"/>
      <c r="B262" s="51"/>
      <c r="C262" s="16" t="n">
        <v>41776</v>
      </c>
      <c r="D262" s="1" t="n">
        <v>15.3</v>
      </c>
      <c r="E262" s="1" t="n">
        <v>9.7</v>
      </c>
      <c r="F262" s="1" t="n">
        <v>20.3</v>
      </c>
      <c r="G262" s="1" t="n">
        <f aca="false">G261+D262</f>
        <v>2434.8</v>
      </c>
      <c r="H262" s="1" t="n">
        <f aca="false">H261+D262</f>
        <v>135.8</v>
      </c>
      <c r="I262" s="95" t="s">
        <v>41</v>
      </c>
      <c r="J262" s="1" t="n">
        <v>0</v>
      </c>
      <c r="K262" s="1" t="n">
        <f aca="false">K261+J262</f>
        <v>556</v>
      </c>
      <c r="L262" s="1" t="n">
        <v>5.4</v>
      </c>
      <c r="M262" s="1" t="n">
        <f aca="false">M261+L262</f>
        <v>372.4</v>
      </c>
      <c r="N262" s="19" t="n">
        <f aca="false">J262-L262</f>
        <v>-5.4</v>
      </c>
      <c r="O262" s="25" t="n">
        <f aca="false">O261+N262</f>
        <v>40.1000000000001</v>
      </c>
      <c r="P262" s="21" t="n">
        <v>257</v>
      </c>
      <c r="Q262" s="53" t="n">
        <f aca="false">1.15+((P262-246)/57)*(0.35-1.15)</f>
        <v>0.995614035087719</v>
      </c>
      <c r="R262" s="23" t="n">
        <f aca="false">Q262*L262</f>
        <v>5.37631578947368</v>
      </c>
      <c r="S262" s="23" t="n">
        <f aca="false">J262-R262</f>
        <v>-5.37631578947368</v>
      </c>
      <c r="T262" s="26" t="n">
        <f aca="false">MIN(122.1,(T261+S262))</f>
        <v>18.0674631578948</v>
      </c>
      <c r="U262" s="95" t="s">
        <v>42</v>
      </c>
      <c r="V262" s="1" t="n">
        <v>3107.6</v>
      </c>
      <c r="W262" s="1" t="n">
        <f aca="false">V262/D262</f>
        <v>203.111111111111</v>
      </c>
      <c r="X262" s="1" t="n">
        <f aca="false">X261+V262</f>
        <v>216057.1</v>
      </c>
      <c r="Y262" s="1" t="n">
        <f aca="false">Y261+V262</f>
        <v>19419.8</v>
      </c>
      <c r="AA262" s="1" t="n">
        <v>15.0921257201879</v>
      </c>
    </row>
    <row r="263" customFormat="false" ht="15" hidden="false" customHeight="false" outlineLevel="0" collapsed="false">
      <c r="A263" s="94"/>
      <c r="B263" s="51"/>
      <c r="C263" s="16" t="n">
        <v>41777</v>
      </c>
      <c r="D263" s="1" t="n">
        <v>16.7</v>
      </c>
      <c r="E263" s="1" t="n">
        <v>11.1</v>
      </c>
      <c r="F263" s="1" t="n">
        <v>22.3</v>
      </c>
      <c r="G263" s="1" t="n">
        <f aca="false">G262+D263</f>
        <v>2451.5</v>
      </c>
      <c r="H263" s="1" t="n">
        <f aca="false">H262+D263</f>
        <v>152.5</v>
      </c>
      <c r="I263" s="1" t="n">
        <v>0</v>
      </c>
      <c r="J263" s="1" t="n">
        <v>0</v>
      </c>
      <c r="K263" s="1" t="n">
        <f aca="false">K262+J263</f>
        <v>556</v>
      </c>
      <c r="L263" s="1" t="n">
        <v>5.6</v>
      </c>
      <c r="M263" s="1" t="n">
        <f aca="false">M262+L263</f>
        <v>378</v>
      </c>
      <c r="N263" s="19" t="n">
        <f aca="false">J263-L263</f>
        <v>-5.6</v>
      </c>
      <c r="O263" s="25" t="n">
        <f aca="false">O262+N263</f>
        <v>34.5000000000001</v>
      </c>
      <c r="P263" s="21" t="n">
        <v>258</v>
      </c>
      <c r="Q263" s="53" t="n">
        <f aca="false">1.15+((P263-246)/57)*(0.35-1.15)</f>
        <v>0.981578947368421</v>
      </c>
      <c r="R263" s="23" t="n">
        <f aca="false">Q263*L263</f>
        <v>5.49684210526316</v>
      </c>
      <c r="S263" s="23" t="n">
        <f aca="false">J263-R263</f>
        <v>-5.49684210526316</v>
      </c>
      <c r="T263" s="26" t="n">
        <f aca="false">MIN(122.1,(T262+S263))</f>
        <v>12.5706210526316</v>
      </c>
      <c r="U263" s="28" t="n">
        <f aca="false">AVERAGE(T252:T274)</f>
        <v>29.8122419527079</v>
      </c>
      <c r="V263" s="1" t="n">
        <v>3084.5</v>
      </c>
      <c r="W263" s="1" t="n">
        <f aca="false">V263/D263</f>
        <v>184.700598802395</v>
      </c>
      <c r="X263" s="1" t="n">
        <f aca="false">X262+V263</f>
        <v>219141.6</v>
      </c>
      <c r="Y263" s="1" t="n">
        <f aca="false">Y262+V263</f>
        <v>22504.3</v>
      </c>
      <c r="AA263" s="1" t="n">
        <v>15.1319480056244</v>
      </c>
    </row>
    <row r="264" customFormat="false" ht="15" hidden="false" customHeight="false" outlineLevel="0" collapsed="false">
      <c r="A264" s="94"/>
      <c r="B264" s="51"/>
      <c r="C264" s="16" t="n">
        <v>41778</v>
      </c>
      <c r="D264" s="1" t="n">
        <v>18</v>
      </c>
      <c r="E264" s="1" t="n">
        <v>11.3</v>
      </c>
      <c r="F264" s="1" t="n">
        <v>24.3</v>
      </c>
      <c r="G264" s="1" t="n">
        <f aca="false">G263+D264</f>
        <v>2469.5</v>
      </c>
      <c r="H264" s="1" t="n">
        <f aca="false">H263+D264</f>
        <v>170.5</v>
      </c>
      <c r="I264" s="95" t="s">
        <v>43</v>
      </c>
      <c r="J264" s="1" t="n">
        <v>1.7</v>
      </c>
      <c r="K264" s="1" t="n">
        <f aca="false">K263+J264</f>
        <v>557.7</v>
      </c>
      <c r="L264" s="1" t="n">
        <v>4.9</v>
      </c>
      <c r="M264" s="1" t="n">
        <f aca="false">M263+L264</f>
        <v>382.9</v>
      </c>
      <c r="N264" s="19" t="n">
        <f aca="false">J264-L264</f>
        <v>-3.2</v>
      </c>
      <c r="O264" s="25" t="n">
        <f aca="false">O263+N264</f>
        <v>31.3000000000001</v>
      </c>
      <c r="P264" s="21" t="n">
        <v>259</v>
      </c>
      <c r="Q264" s="53" t="n">
        <f aca="false">1.15+((P264-246)/57)*(0.35-1.15)</f>
        <v>0.967543859649123</v>
      </c>
      <c r="R264" s="23" t="n">
        <f aca="false">Q264*L264</f>
        <v>4.7409649122807</v>
      </c>
      <c r="S264" s="23" t="n">
        <f aca="false">J264-R264</f>
        <v>-3.0409649122807</v>
      </c>
      <c r="T264" s="26" t="n">
        <f aca="false">MIN(122.1,(T263+S264))</f>
        <v>9.52965614035092</v>
      </c>
      <c r="V264" s="1" t="n">
        <v>2549</v>
      </c>
      <c r="W264" s="1" t="n">
        <f aca="false">V264/D264</f>
        <v>141.611111111111</v>
      </c>
      <c r="X264" s="1" t="n">
        <f aca="false">X263+V264</f>
        <v>221690.6</v>
      </c>
      <c r="Y264" s="1" t="n">
        <f aca="false">Y263+V264</f>
        <v>25053.3</v>
      </c>
      <c r="AA264" s="1" t="n">
        <v>15.1710072920553</v>
      </c>
    </row>
    <row r="265" customFormat="false" ht="15" hidden="false" customHeight="false" outlineLevel="0" collapsed="false">
      <c r="A265" s="94"/>
      <c r="B265" s="51"/>
      <c r="C265" s="16" t="n">
        <v>41779</v>
      </c>
      <c r="D265" s="1" t="n">
        <v>15</v>
      </c>
      <c r="E265" s="1" t="n">
        <v>13.5</v>
      </c>
      <c r="F265" s="1" t="n">
        <v>19.3</v>
      </c>
      <c r="G265" s="1" t="n">
        <f aca="false">G264+D265</f>
        <v>2484.5</v>
      </c>
      <c r="H265" s="1" t="n">
        <f aca="false">H264+D265</f>
        <v>185.5</v>
      </c>
      <c r="I265" s="1" t="n">
        <v>302.5</v>
      </c>
      <c r="J265" s="1" t="n">
        <v>17.8</v>
      </c>
      <c r="K265" s="1" t="n">
        <f aca="false">K264+J265</f>
        <v>575.5</v>
      </c>
      <c r="L265" s="1" t="n">
        <v>2</v>
      </c>
      <c r="M265" s="1" t="n">
        <f aca="false">M264+L265</f>
        <v>384.9</v>
      </c>
      <c r="N265" s="1" t="n">
        <f aca="false">J265-L265</f>
        <v>15.8</v>
      </c>
      <c r="O265" s="25" t="n">
        <f aca="false">O264+N265</f>
        <v>47.1000000000001</v>
      </c>
      <c r="P265" s="21" t="n">
        <v>260</v>
      </c>
      <c r="Q265" s="53" t="n">
        <f aca="false">1.15+((P265-246)/57)*(0.35-1.15)</f>
        <v>0.953508771929825</v>
      </c>
      <c r="R265" s="23" t="n">
        <f aca="false">Q265*L265</f>
        <v>1.90701754385965</v>
      </c>
      <c r="S265" s="23" t="n">
        <f aca="false">J265-R265</f>
        <v>15.8929824561404</v>
      </c>
      <c r="T265" s="26" t="n">
        <f aca="false">MIN(122.1,(T264+S265))</f>
        <v>25.4226385964913</v>
      </c>
      <c r="U265" s="29" t="n">
        <f aca="false">(U263*100)/122.1</f>
        <v>24.4162505755184</v>
      </c>
      <c r="V265" s="1" t="n">
        <v>943.4</v>
      </c>
      <c r="W265" s="1" t="n">
        <f aca="false">V265/D265</f>
        <v>62.8933333333333</v>
      </c>
      <c r="X265" s="1" t="n">
        <f aca="false">X264+V265</f>
        <v>222634</v>
      </c>
      <c r="Y265" s="1" t="n">
        <f aca="false">Y264+V265</f>
        <v>25996.7</v>
      </c>
      <c r="AA265" s="1" t="n">
        <v>15.2092799029874</v>
      </c>
    </row>
    <row r="266" customFormat="false" ht="15" hidden="false" customHeight="false" outlineLevel="0" collapsed="false">
      <c r="A266" s="94"/>
      <c r="B266" s="51"/>
      <c r="C266" s="16" t="n">
        <v>41780</v>
      </c>
      <c r="D266" s="1" t="n">
        <v>13.9</v>
      </c>
      <c r="E266" s="1" t="n">
        <v>12</v>
      </c>
      <c r="F266" s="1" t="n">
        <v>20.5</v>
      </c>
      <c r="G266" s="1" t="n">
        <f aca="false">G265+D266</f>
        <v>2498.4</v>
      </c>
      <c r="H266" s="1" t="n">
        <f aca="false">H265+D266</f>
        <v>199.4</v>
      </c>
      <c r="J266" s="1" t="n">
        <v>10.6</v>
      </c>
      <c r="K266" s="1" t="n">
        <f aca="false">K265+J266</f>
        <v>586.1</v>
      </c>
      <c r="L266" s="1" t="n">
        <v>3.6</v>
      </c>
      <c r="M266" s="1" t="n">
        <f aca="false">M265+L266</f>
        <v>388.5</v>
      </c>
      <c r="N266" s="1" t="n">
        <f aca="false">J266-L266</f>
        <v>7</v>
      </c>
      <c r="O266" s="25" t="n">
        <f aca="false">O265+N266</f>
        <v>54.1000000000001</v>
      </c>
      <c r="P266" s="21" t="n">
        <v>261</v>
      </c>
      <c r="Q266" s="53" t="n">
        <f aca="false">1.15+((P266-246)/57)*(0.35-1.15)</f>
        <v>0.939473684210526</v>
      </c>
      <c r="R266" s="23" t="n">
        <f aca="false">Q266*L266</f>
        <v>3.38210526315789</v>
      </c>
      <c r="S266" s="23" t="n">
        <f aca="false">J266-R266</f>
        <v>7.21789473684211</v>
      </c>
      <c r="T266" s="26" t="n">
        <f aca="false">MIN(122.1,(T265+S266))</f>
        <v>32.6405333333334</v>
      </c>
      <c r="V266" s="1" t="n">
        <v>1874.6</v>
      </c>
      <c r="W266" s="1" t="n">
        <f aca="false">V266/D266</f>
        <v>134.863309352518</v>
      </c>
      <c r="X266" s="1" t="n">
        <f aca="false">X265+V266</f>
        <v>224508.6</v>
      </c>
      <c r="Y266" s="1" t="n">
        <f aca="false">Y265+V266</f>
        <v>27871.3</v>
      </c>
      <c r="AA266" s="1" t="n">
        <v>15.2467420092686</v>
      </c>
    </row>
    <row r="267" customFormat="false" ht="15" hidden="false" customHeight="false" outlineLevel="0" collapsed="false">
      <c r="A267" s="94"/>
      <c r="B267" s="51"/>
      <c r="C267" s="16" t="n">
        <v>41781</v>
      </c>
      <c r="D267" s="1" t="n">
        <v>13.8</v>
      </c>
      <c r="E267" s="1" t="n">
        <v>8.8</v>
      </c>
      <c r="F267" s="1" t="n">
        <v>19.4</v>
      </c>
      <c r="G267" s="1" t="n">
        <f aca="false">G266+D267</f>
        <v>2512.2</v>
      </c>
      <c r="H267" s="1" t="n">
        <f aca="false">H266+D267</f>
        <v>213.2</v>
      </c>
      <c r="J267" s="1" t="n">
        <v>0.8</v>
      </c>
      <c r="K267" s="1" t="n">
        <f aca="false">K266+J267</f>
        <v>586.9</v>
      </c>
      <c r="L267" s="1" t="n">
        <v>4.1</v>
      </c>
      <c r="M267" s="1" t="n">
        <f aca="false">M266+L267</f>
        <v>392.6</v>
      </c>
      <c r="N267" s="19" t="n">
        <f aca="false">J267-L267</f>
        <v>-3.3</v>
      </c>
      <c r="O267" s="25" t="n">
        <f aca="false">O266+N267</f>
        <v>50.8000000000001</v>
      </c>
      <c r="P267" s="21" t="n">
        <v>262</v>
      </c>
      <c r="Q267" s="53" t="n">
        <f aca="false">1.15+((P267-246)/57)*(0.35-1.15)</f>
        <v>0.925438596491228</v>
      </c>
      <c r="R267" s="23" t="n">
        <f aca="false">Q267*L267</f>
        <v>3.79429824561403</v>
      </c>
      <c r="S267" s="23" t="n">
        <f aca="false">J267-R267</f>
        <v>-2.99429824561403</v>
      </c>
      <c r="T267" s="26" t="n">
        <f aca="false">MIN(122.1,(T266+S267))</f>
        <v>29.6462350877193</v>
      </c>
      <c r="V267" s="1" t="n">
        <v>2240.4</v>
      </c>
      <c r="W267" s="1" t="n">
        <f aca="false">V267/D267</f>
        <v>162.347826086957</v>
      </c>
      <c r="X267" s="1" t="n">
        <f aca="false">X266+V267</f>
        <v>226749</v>
      </c>
      <c r="Y267" s="1" t="n">
        <f aca="false">Y266+V267</f>
        <v>30111.7</v>
      </c>
      <c r="AA267" s="1" t="n">
        <v>15.2833696689886</v>
      </c>
    </row>
    <row r="268" customFormat="false" ht="15" hidden="false" customHeight="false" outlineLevel="0" collapsed="false">
      <c r="A268" s="94"/>
      <c r="B268" s="51"/>
      <c r="C268" s="16" t="n">
        <v>41782</v>
      </c>
      <c r="D268" s="1" t="n">
        <v>11.6</v>
      </c>
      <c r="E268" s="1" t="n">
        <v>9.8</v>
      </c>
      <c r="F268" s="1" t="n">
        <v>17</v>
      </c>
      <c r="G268" s="1" t="n">
        <f aca="false">G267+D268</f>
        <v>2523.8</v>
      </c>
      <c r="H268" s="1" t="n">
        <f aca="false">H267+D268</f>
        <v>224.8</v>
      </c>
      <c r="J268" s="1" t="n">
        <v>4.1</v>
      </c>
      <c r="K268" s="1" t="n">
        <f aca="false">K267+J268</f>
        <v>591</v>
      </c>
      <c r="L268" s="1" t="n">
        <v>2.8</v>
      </c>
      <c r="M268" s="1" t="n">
        <f aca="false">M267+L268</f>
        <v>395.4</v>
      </c>
      <c r="N268" s="1" t="n">
        <f aca="false">J268-L268</f>
        <v>1.3</v>
      </c>
      <c r="O268" s="25" t="n">
        <f aca="false">O267+N268</f>
        <v>52.1000000000001</v>
      </c>
      <c r="P268" s="21" t="n">
        <v>263</v>
      </c>
      <c r="Q268" s="53" t="n">
        <f aca="false">1.15+((P268-246)/57)*(0.35-1.15)</f>
        <v>0.91140350877193</v>
      </c>
      <c r="R268" s="23" t="n">
        <f aca="false">Q268*L268</f>
        <v>2.5519298245614</v>
      </c>
      <c r="S268" s="23" t="n">
        <f aca="false">J268-R268</f>
        <v>1.5480701754386</v>
      </c>
      <c r="T268" s="26" t="n">
        <f aca="false">MIN(122.1,(T267+S268))</f>
        <v>31.1943052631579</v>
      </c>
      <c r="V268" s="1" t="n">
        <v>1431</v>
      </c>
      <c r="W268" s="1" t="n">
        <f aca="false">V268/D268</f>
        <v>123.362068965517</v>
      </c>
      <c r="X268" s="1" t="n">
        <f aca="false">X267+V268</f>
        <v>228180</v>
      </c>
      <c r="Y268" s="1" t="n">
        <f aca="false">Y267+V268</f>
        <v>31542.7</v>
      </c>
      <c r="AA268" s="1" t="n">
        <v>15.3191388698056</v>
      </c>
    </row>
    <row r="269" customFormat="false" ht="15" hidden="false" customHeight="false" outlineLevel="0" collapsed="false">
      <c r="A269" s="94"/>
      <c r="B269" s="51"/>
      <c r="C269" s="16" t="n">
        <v>41783</v>
      </c>
      <c r="D269" s="1" t="n">
        <v>11.8</v>
      </c>
      <c r="E269" s="1" t="n">
        <v>6.9</v>
      </c>
      <c r="F269" s="1" t="n">
        <v>14.8</v>
      </c>
      <c r="G269" s="1" t="n">
        <f aca="false">G268+D269</f>
        <v>2535.6</v>
      </c>
      <c r="H269" s="1" t="n">
        <f aca="false">H268+D269</f>
        <v>236.6</v>
      </c>
      <c r="J269" s="1" t="n">
        <v>3.1</v>
      </c>
      <c r="K269" s="1" t="n">
        <f aca="false">K268+J269</f>
        <v>594.1</v>
      </c>
      <c r="L269" s="1" t="n">
        <v>2.1</v>
      </c>
      <c r="M269" s="1" t="n">
        <f aca="false">M268+L269</f>
        <v>397.5</v>
      </c>
      <c r="N269" s="1" t="n">
        <f aca="false">J269-L269</f>
        <v>1</v>
      </c>
      <c r="O269" s="25" t="n">
        <f aca="false">O268+N269</f>
        <v>53.1000000000001</v>
      </c>
      <c r="P269" s="21" t="n">
        <v>264</v>
      </c>
      <c r="Q269" s="53" t="n">
        <f aca="false">1.15+((P269-246)/57)*(0.35-1.15)</f>
        <v>0.897368421052632</v>
      </c>
      <c r="R269" s="23" t="n">
        <f aca="false">Q269*L269</f>
        <v>1.88447368421053</v>
      </c>
      <c r="S269" s="23" t="n">
        <f aca="false">J269-R269</f>
        <v>1.21552631578947</v>
      </c>
      <c r="T269" s="26" t="n">
        <f aca="false">MIN(122.1,(T268+S269))</f>
        <v>32.4098315789474</v>
      </c>
      <c r="V269" s="1" t="n">
        <v>1675.6</v>
      </c>
      <c r="W269" s="1" t="n">
        <f aca="false">V269/D269</f>
        <v>142</v>
      </c>
      <c r="X269" s="1" t="n">
        <f aca="false">X268+V269</f>
        <v>229855.6</v>
      </c>
      <c r="Y269" s="1" t="n">
        <f aca="false">Y268+V269</f>
        <v>33218.3</v>
      </c>
      <c r="AA269" s="1" t="n">
        <v>15.3540255736423</v>
      </c>
    </row>
    <row r="270" customFormat="false" ht="15" hidden="false" customHeight="false" outlineLevel="0" collapsed="false">
      <c r="A270" s="94"/>
      <c r="B270" s="51"/>
      <c r="C270" s="16" t="n">
        <v>41784</v>
      </c>
      <c r="D270" s="1" t="n">
        <v>12.9</v>
      </c>
      <c r="E270" s="1" t="n">
        <v>8</v>
      </c>
      <c r="F270" s="1" t="n">
        <v>18.1</v>
      </c>
      <c r="G270" s="1" t="n">
        <f aca="false">G269+D270</f>
        <v>2548.5</v>
      </c>
      <c r="H270" s="1" t="n">
        <f aca="false">H269+D270</f>
        <v>249.5</v>
      </c>
      <c r="J270" s="1" t="n">
        <v>5.7</v>
      </c>
      <c r="K270" s="1" t="n">
        <f aca="false">K269+J270</f>
        <v>599.8</v>
      </c>
      <c r="L270" s="1" t="n">
        <v>2</v>
      </c>
      <c r="M270" s="1" t="n">
        <f aca="false">M269+L270</f>
        <v>399.5</v>
      </c>
      <c r="N270" s="1" t="n">
        <f aca="false">J270-L270</f>
        <v>3.7</v>
      </c>
      <c r="O270" s="25" t="n">
        <f aca="false">O269+N270</f>
        <v>56.8000000000001</v>
      </c>
      <c r="P270" s="21" t="n">
        <v>265</v>
      </c>
      <c r="Q270" s="53" t="n">
        <f aca="false">1.15+((P270-246)/57)*(0.35-1.15)</f>
        <v>0.883333333333333</v>
      </c>
      <c r="R270" s="23" t="n">
        <f aca="false">Q270*L270</f>
        <v>1.76666666666667</v>
      </c>
      <c r="S270" s="23" t="n">
        <f aca="false">J270-R270</f>
        <v>3.93333333333333</v>
      </c>
      <c r="T270" s="26" t="n">
        <f aca="false">MIN(122.1,(T269+S270))</f>
        <v>36.3431649122808</v>
      </c>
      <c r="V270" s="1" t="n">
        <v>1318.4</v>
      </c>
      <c r="W270" s="1" t="n">
        <f aca="false">V270/D270</f>
        <v>102.201550387597</v>
      </c>
      <c r="X270" s="1" t="n">
        <f aca="false">X269+V270</f>
        <v>231174</v>
      </c>
      <c r="Y270" s="1" t="n">
        <f aca="false">Y269+V270</f>
        <v>34536.7</v>
      </c>
      <c r="AA270" s="1" t="n">
        <v>15.3880057636701</v>
      </c>
    </row>
    <row r="271" customFormat="false" ht="15" hidden="false" customHeight="false" outlineLevel="0" collapsed="false">
      <c r="A271" s="94"/>
      <c r="B271" s="51"/>
      <c r="C271" s="16" t="n">
        <v>41785</v>
      </c>
      <c r="D271" s="1" t="n">
        <v>12.4</v>
      </c>
      <c r="E271" s="1" t="n">
        <v>10.3</v>
      </c>
      <c r="F271" s="1" t="n">
        <v>14.5</v>
      </c>
      <c r="G271" s="1" t="n">
        <f aca="false">G270+D271</f>
        <v>2560.9</v>
      </c>
      <c r="H271" s="1" t="n">
        <f aca="false">H270+D271</f>
        <v>261.9</v>
      </c>
      <c r="J271" s="1" t="n">
        <v>0</v>
      </c>
      <c r="K271" s="1" t="n">
        <f aca="false">K270+J271</f>
        <v>599.8</v>
      </c>
      <c r="L271" s="1" t="n">
        <v>0.7</v>
      </c>
      <c r="M271" s="1" t="n">
        <f aca="false">M270+L271</f>
        <v>400.2</v>
      </c>
      <c r="N271" s="19" t="n">
        <f aca="false">J271-L271</f>
        <v>-0.7</v>
      </c>
      <c r="O271" s="25" t="n">
        <f aca="false">O270+N271</f>
        <v>56.1000000000001</v>
      </c>
      <c r="P271" s="21" t="n">
        <v>266</v>
      </c>
      <c r="Q271" s="53" t="n">
        <f aca="false">1.15+((P271-246)/57)*(0.35-1.15)</f>
        <v>0.869298245614035</v>
      </c>
      <c r="R271" s="23" t="n">
        <f aca="false">Q271*L271</f>
        <v>0.608508771929824</v>
      </c>
      <c r="S271" s="23" t="n">
        <f aca="false">J271-R271</f>
        <v>-0.608508771929824</v>
      </c>
      <c r="T271" s="26" t="n">
        <f aca="false">MIN(122.1,(T270+S271))</f>
        <v>35.7346561403509</v>
      </c>
      <c r="V271" s="27" t="n">
        <v>522.1</v>
      </c>
      <c r="W271" s="1" t="n">
        <f aca="false">V271/D271</f>
        <v>42.1048387096774</v>
      </c>
      <c r="X271" s="1" t="n">
        <f aca="false">X270+V271</f>
        <v>231696.1</v>
      </c>
      <c r="Y271" s="1" t="n">
        <f aca="false">Y270+V271</f>
        <v>35058.8</v>
      </c>
      <c r="AA271" s="1" t="n">
        <v>15.421055493484</v>
      </c>
    </row>
    <row r="272" s="79" customFormat="true" ht="15" hidden="false" customHeight="false" outlineLevel="0" collapsed="false">
      <c r="A272" s="94"/>
      <c r="B272" s="88"/>
      <c r="C272" s="89" t="n">
        <v>41786</v>
      </c>
      <c r="D272" s="79" t="n">
        <v>13.6</v>
      </c>
      <c r="E272" s="79" t="n">
        <v>10.8</v>
      </c>
      <c r="F272" s="79" t="n">
        <v>16.8</v>
      </c>
      <c r="G272" s="79" t="n">
        <f aca="false">G271+D272</f>
        <v>2574.5</v>
      </c>
      <c r="H272" s="79" t="n">
        <f aca="false">H271+D272</f>
        <v>275.5</v>
      </c>
      <c r="J272" s="79" t="n">
        <v>0.6</v>
      </c>
      <c r="K272" s="79" t="n">
        <f aca="false">K271+J272</f>
        <v>600.4</v>
      </c>
      <c r="L272" s="79" t="n">
        <v>3.3</v>
      </c>
      <c r="M272" s="79" t="n">
        <f aca="false">M271+L272</f>
        <v>403.5</v>
      </c>
      <c r="N272" s="91" t="n">
        <f aca="false">J272-L272</f>
        <v>-2.7</v>
      </c>
      <c r="O272" s="92" t="n">
        <f aca="false">O271+N272</f>
        <v>53.4000000000001</v>
      </c>
      <c r="P272" s="21" t="n">
        <v>267</v>
      </c>
      <c r="Q272" s="53" t="n">
        <f aca="false">1.15+((P272-246)/57)*(0.35-1.15)</f>
        <v>0.855263157894737</v>
      </c>
      <c r="R272" s="82" t="n">
        <f aca="false">Q272*L272</f>
        <v>2.82236842105263</v>
      </c>
      <c r="S272" s="23" t="n">
        <f aca="false">J272-R272</f>
        <v>-2.22236842105263</v>
      </c>
      <c r="T272" s="26" t="n">
        <f aca="false">MIN(122.1,(T271+S272))</f>
        <v>33.5122877192983</v>
      </c>
      <c r="V272" s="79" t="n">
        <v>1854.7</v>
      </c>
      <c r="W272" s="79" t="n">
        <f aca="false">V272/D272</f>
        <v>136.375</v>
      </c>
      <c r="X272" s="79" t="n">
        <f aca="false">X271+V272</f>
        <v>233550.8</v>
      </c>
      <c r="Y272" s="79" t="n">
        <f aca="false">Y271+V272</f>
        <v>36913.5</v>
      </c>
      <c r="AA272" s="79" t="n">
        <v>15.4531509383469</v>
      </c>
    </row>
    <row r="273" customFormat="false" ht="15" hidden="false" customHeight="false" outlineLevel="0" collapsed="false">
      <c r="A273" s="94"/>
      <c r="B273" s="51"/>
      <c r="C273" s="16" t="n">
        <v>41787</v>
      </c>
      <c r="D273" s="1" t="n">
        <v>13</v>
      </c>
      <c r="E273" s="1" t="n">
        <v>9.9</v>
      </c>
      <c r="F273" s="1" t="n">
        <v>16.7</v>
      </c>
      <c r="G273" s="1" t="n">
        <f aca="false">G272+D273</f>
        <v>2587.5</v>
      </c>
      <c r="H273" s="1" t="n">
        <f aca="false">H272+D273</f>
        <v>288.5</v>
      </c>
      <c r="J273" s="1" t="n">
        <v>0.6</v>
      </c>
      <c r="K273" s="1" t="n">
        <f aca="false">K272+J273</f>
        <v>601</v>
      </c>
      <c r="L273" s="1" t="n">
        <v>2.8</v>
      </c>
      <c r="M273" s="1" t="n">
        <f aca="false">M272+L273</f>
        <v>406.3</v>
      </c>
      <c r="N273" s="19" t="n">
        <f aca="false">J273-L273</f>
        <v>-2.2</v>
      </c>
      <c r="O273" s="25" t="n">
        <f aca="false">O272+N273</f>
        <v>51.2</v>
      </c>
      <c r="P273" s="21" t="n">
        <v>268</v>
      </c>
      <c r="Q273" s="53" t="n">
        <f aca="false">1.15+((P273-246)/57)*(0.35-1.15)</f>
        <v>0.841228070175439</v>
      </c>
      <c r="R273" s="23" t="n">
        <f aca="false">Q273*L273</f>
        <v>2.35543859649123</v>
      </c>
      <c r="S273" s="23" t="n">
        <f aca="false">J273-R273</f>
        <v>-1.75543859649123</v>
      </c>
      <c r="T273" s="26" t="n">
        <f aca="false">MIN(122.1,(T272+S273))</f>
        <v>31.7568491228071</v>
      </c>
      <c r="V273" s="1" t="n">
        <v>1747</v>
      </c>
      <c r="W273" s="1" t="n">
        <f aca="false">V273/D273</f>
        <v>134.384615384615</v>
      </c>
      <c r="X273" s="1" t="n">
        <f aca="false">X272+V273</f>
        <v>235297.8</v>
      </c>
      <c r="Y273" s="1" t="n">
        <f aca="false">Y272+V273</f>
        <v>38660.5</v>
      </c>
      <c r="AA273" s="1" t="n">
        <v>15.4842684483602</v>
      </c>
    </row>
    <row r="274" s="98" customFormat="true" ht="15" hidden="false" customHeight="false" outlineLevel="0" collapsed="false">
      <c r="A274" s="94"/>
      <c r="B274" s="96" t="n">
        <v>600</v>
      </c>
      <c r="C274" s="97" t="n">
        <v>41788</v>
      </c>
      <c r="D274" s="98" t="n">
        <v>14</v>
      </c>
      <c r="E274" s="98" t="n">
        <v>9.6</v>
      </c>
      <c r="F274" s="98" t="n">
        <v>18.8</v>
      </c>
      <c r="G274" s="98" t="n">
        <f aca="false">G273+D274</f>
        <v>2601.5</v>
      </c>
      <c r="H274" s="98" t="n">
        <f aca="false">H273+D274</f>
        <v>302.5</v>
      </c>
      <c r="J274" s="98" t="n">
        <v>0</v>
      </c>
      <c r="K274" s="98" t="n">
        <f aca="false">K273+J274</f>
        <v>601</v>
      </c>
      <c r="L274" s="98" t="n">
        <v>3.9</v>
      </c>
      <c r="M274" s="98" t="n">
        <f aca="false">M273+L274</f>
        <v>410.2</v>
      </c>
      <c r="N274" s="99" t="n">
        <f aca="false">J274-L274</f>
        <v>-3.9</v>
      </c>
      <c r="O274" s="100" t="n">
        <f aca="false">O273+N274</f>
        <v>47.3000000000001</v>
      </c>
      <c r="P274" s="21" t="n">
        <v>269</v>
      </c>
      <c r="Q274" s="53" t="n">
        <f aca="false">1.15+((P274-246)/57)*(0.35-1.15)</f>
        <v>0.82719298245614</v>
      </c>
      <c r="R274" s="101" t="n">
        <f aca="false">Q274*L274</f>
        <v>3.22605263157895</v>
      </c>
      <c r="S274" s="23" t="n">
        <f aca="false">J274-R274</f>
        <v>-3.22605263157895</v>
      </c>
      <c r="T274" s="26" t="n">
        <f aca="false">MIN(122.1,(T273+S274))</f>
        <v>28.5307964912281</v>
      </c>
      <c r="V274" s="98" t="n">
        <v>2367.4</v>
      </c>
      <c r="W274" s="98" t="n">
        <f aca="false">V274/D274</f>
        <v>169.1</v>
      </c>
      <c r="X274" s="98" t="n">
        <f aca="false">X273+V274</f>
        <v>237665.2</v>
      </c>
      <c r="Y274" s="98" t="n">
        <f aca="false">Y273+V274</f>
        <v>41027.9</v>
      </c>
      <c r="AA274" s="98" t="n">
        <v>15.5143846033968</v>
      </c>
    </row>
    <row r="275" customFormat="false" ht="15" hidden="false" customHeight="false" outlineLevel="0" collapsed="false">
      <c r="A275" s="102" t="n">
        <v>1000</v>
      </c>
      <c r="B275" s="51"/>
      <c r="C275" s="16" t="n">
        <v>41789</v>
      </c>
      <c r="D275" s="1" t="n">
        <v>15.6</v>
      </c>
      <c r="E275" s="1" t="n">
        <v>10.3</v>
      </c>
      <c r="F275" s="1" t="n">
        <v>19.6</v>
      </c>
      <c r="G275" s="1" t="n">
        <f aca="false">G274+D275</f>
        <v>2617.1</v>
      </c>
      <c r="H275" s="1" t="n">
        <v>15.6</v>
      </c>
      <c r="I275" s="103" t="s">
        <v>28</v>
      </c>
      <c r="J275" s="1" t="n">
        <v>1.1</v>
      </c>
      <c r="K275" s="1" t="n">
        <f aca="false">K274+J275</f>
        <v>602.1</v>
      </c>
      <c r="L275" s="1" t="n">
        <v>1.8</v>
      </c>
      <c r="M275" s="1" t="n">
        <f aca="false">M274+L275</f>
        <v>412</v>
      </c>
      <c r="N275" s="19" t="n">
        <f aca="false">J275-L275</f>
        <v>-0.7</v>
      </c>
      <c r="O275" s="25" t="n">
        <f aca="false">O274+N275</f>
        <v>46.6</v>
      </c>
      <c r="P275" s="21" t="n">
        <v>270</v>
      </c>
      <c r="Q275" s="53" t="n">
        <f aca="false">1.15+((P275-246)/57)*(0.35-1.15)</f>
        <v>0.813157894736842</v>
      </c>
      <c r="R275" s="23" t="n">
        <f aca="false">Q275*L275</f>
        <v>1.46368421052632</v>
      </c>
      <c r="S275" s="23" t="n">
        <f aca="false">J275-R275</f>
        <v>-0.363684210526316</v>
      </c>
      <c r="T275" s="26" t="n">
        <f aca="false">MIN(122.1,(T274+S275))</f>
        <v>28.1671122807018</v>
      </c>
      <c r="U275" s="103" t="s">
        <v>29</v>
      </c>
      <c r="V275" s="1" t="n">
        <v>938.9</v>
      </c>
      <c r="W275" s="1" t="n">
        <f aca="false">V275/D275</f>
        <v>60.1858974358974</v>
      </c>
      <c r="X275" s="1" t="n">
        <f aca="false">X274+V275</f>
        <v>238604.1</v>
      </c>
      <c r="Y275" s="1" t="n">
        <v>938.9</v>
      </c>
      <c r="Z275" s="103" t="s">
        <v>30</v>
      </c>
      <c r="AA275" s="1" t="n">
        <v>15.5434762696083</v>
      </c>
    </row>
    <row r="276" customFormat="false" ht="15" hidden="false" customHeight="false" outlineLevel="0" collapsed="false">
      <c r="A276" s="102"/>
      <c r="B276" s="51"/>
      <c r="C276" s="16" t="n">
        <v>41790</v>
      </c>
      <c r="D276" s="1" t="n">
        <v>16</v>
      </c>
      <c r="E276" s="1" t="n">
        <v>11.8</v>
      </c>
      <c r="F276" s="1" t="n">
        <v>20.2</v>
      </c>
      <c r="G276" s="1" t="n">
        <f aca="false">G275+D276</f>
        <v>2633.1</v>
      </c>
      <c r="H276" s="1" t="n">
        <f aca="false">H275+D276</f>
        <v>31.6</v>
      </c>
      <c r="I276" s="1" t="n">
        <f aca="false">MIN(E275:E296)</f>
        <v>7.9</v>
      </c>
      <c r="J276" s="1" t="n">
        <v>0</v>
      </c>
      <c r="K276" s="1" t="n">
        <f aca="false">K275+J276</f>
        <v>602.1</v>
      </c>
      <c r="L276" s="1" t="n">
        <v>4.5</v>
      </c>
      <c r="M276" s="1" t="n">
        <f aca="false">M275+L276</f>
        <v>416.5</v>
      </c>
      <c r="N276" s="19" t="n">
        <f aca="false">J276-L276</f>
        <v>-4.5</v>
      </c>
      <c r="O276" s="25" t="n">
        <f aca="false">O275+N276</f>
        <v>42.1</v>
      </c>
      <c r="P276" s="21" t="n">
        <v>271</v>
      </c>
      <c r="Q276" s="53" t="n">
        <f aca="false">1.15+((P276-246)/57)*(0.35-1.15)</f>
        <v>0.799122807017544</v>
      </c>
      <c r="R276" s="23" t="n">
        <f aca="false">Q276*L276</f>
        <v>3.59605263157895</v>
      </c>
      <c r="S276" s="23" t="n">
        <f aca="false">J276-R276</f>
        <v>-3.59605263157895</v>
      </c>
      <c r="T276" s="26" t="n">
        <f aca="false">MIN(122.1,(T275+S276))</f>
        <v>24.5710596491229</v>
      </c>
      <c r="U276" s="1" t="n">
        <v>19</v>
      </c>
      <c r="V276" s="1" t="n">
        <v>2551.9</v>
      </c>
      <c r="W276" s="1" t="n">
        <f aca="false">V276/D276</f>
        <v>159.49375</v>
      </c>
      <c r="X276" s="1" t="n">
        <f aca="false">X275+V276</f>
        <v>241156</v>
      </c>
      <c r="Y276" s="1" t="n">
        <f aca="false">Y275+V276</f>
        <v>3490.8</v>
      </c>
      <c r="Z276" s="1" t="n">
        <v>47269.4</v>
      </c>
      <c r="AA276" s="1" t="n">
        <v>15.5715206572978</v>
      </c>
    </row>
    <row r="277" customFormat="false" ht="15" hidden="false" customHeight="false" outlineLevel="0" collapsed="false">
      <c r="A277" s="102"/>
      <c r="B277" s="51"/>
      <c r="C277" s="16" t="n">
        <v>41791</v>
      </c>
      <c r="D277" s="1" t="n">
        <v>14.8</v>
      </c>
      <c r="E277" s="1" t="n">
        <v>10.6</v>
      </c>
      <c r="F277" s="1" t="n">
        <v>18.9</v>
      </c>
      <c r="G277" s="1" t="n">
        <f aca="false">G276+D277</f>
        <v>2647.9</v>
      </c>
      <c r="H277" s="1" t="n">
        <f aca="false">H276+D277</f>
        <v>46.4</v>
      </c>
      <c r="I277" s="103" t="s">
        <v>31</v>
      </c>
      <c r="J277" s="1" t="n">
        <v>0</v>
      </c>
      <c r="K277" s="1" t="n">
        <f aca="false">K276+J277</f>
        <v>602.1</v>
      </c>
      <c r="L277" s="1" t="n">
        <v>2.6</v>
      </c>
      <c r="M277" s="1" t="n">
        <f aca="false">M276+L277</f>
        <v>419.1</v>
      </c>
      <c r="N277" s="19" t="n">
        <f aca="false">J277-L277</f>
        <v>-2.6</v>
      </c>
      <c r="O277" s="25" t="n">
        <f aca="false">O276+N277</f>
        <v>39.5</v>
      </c>
      <c r="P277" s="21" t="n">
        <v>272</v>
      </c>
      <c r="Q277" s="53" t="n">
        <f aca="false">1.15+((P277-246)/57)*(0.35-1.15)</f>
        <v>0.785087719298246</v>
      </c>
      <c r="R277" s="23" t="n">
        <f aca="false">Q277*L277</f>
        <v>2.04122807017544</v>
      </c>
      <c r="S277" s="23" t="n">
        <f aca="false">J277-R277</f>
        <v>-2.04122807017544</v>
      </c>
      <c r="T277" s="26" t="n">
        <f aca="false">MIN(122.1,(T276+S277))</f>
        <v>22.5298315789474</v>
      </c>
      <c r="U277" s="103" t="s">
        <v>32</v>
      </c>
      <c r="V277" s="1" t="n">
        <v>1287.2</v>
      </c>
      <c r="W277" s="1" t="n">
        <f aca="false">V277/D277</f>
        <v>86.972972972973</v>
      </c>
      <c r="X277" s="1" t="n">
        <f aca="false">X276+V277</f>
        <v>242443.2</v>
      </c>
      <c r="Y277" s="1" t="n">
        <f aca="false">Y276+V277</f>
        <v>4778</v>
      </c>
      <c r="Z277" s="103" t="s">
        <v>33</v>
      </c>
      <c r="AA277" s="1" t="n">
        <v>15.5984953799247</v>
      </c>
    </row>
    <row r="278" customFormat="false" ht="15" hidden="false" customHeight="false" outlineLevel="0" collapsed="false">
      <c r="A278" s="102"/>
      <c r="B278" s="51"/>
      <c r="C278" s="16" t="n">
        <v>41792</v>
      </c>
      <c r="D278" s="1" t="n">
        <v>16.7</v>
      </c>
      <c r="E278" s="1" t="n">
        <v>12.7</v>
      </c>
      <c r="F278" s="1" t="n">
        <v>20.1</v>
      </c>
      <c r="G278" s="1" t="n">
        <f aca="false">G277+D278</f>
        <v>2664.6</v>
      </c>
      <c r="H278" s="1" t="n">
        <f aca="false">H277+D278</f>
        <v>63.1</v>
      </c>
      <c r="I278" s="1" t="n">
        <f aca="false">MAX(F275:F296)</f>
        <v>28.7</v>
      </c>
      <c r="J278" s="1" t="n">
        <v>0</v>
      </c>
      <c r="K278" s="1" t="n">
        <f aca="false">K277+J278</f>
        <v>602.1</v>
      </c>
      <c r="L278" s="1" t="n">
        <v>2.6</v>
      </c>
      <c r="M278" s="1" t="n">
        <f aca="false">M277+L278</f>
        <v>421.7</v>
      </c>
      <c r="N278" s="19" t="n">
        <f aca="false">J278-L278</f>
        <v>-2.6</v>
      </c>
      <c r="O278" s="25" t="n">
        <f aca="false">O277+N278</f>
        <v>36.9</v>
      </c>
      <c r="P278" s="21" t="n">
        <v>273</v>
      </c>
      <c r="Q278" s="53" t="n">
        <f aca="false">1.15+((P278-246)/57)*(0.35-1.15)</f>
        <v>0.771052631578947</v>
      </c>
      <c r="R278" s="23" t="n">
        <f aca="false">Q278*L278</f>
        <v>2.00473684210526</v>
      </c>
      <c r="S278" s="23" t="n">
        <f aca="false">J278-R278</f>
        <v>-2.00473684210526</v>
      </c>
      <c r="T278" s="26" t="n">
        <f aca="false">MIN(122.1,(T277+S278))</f>
        <v>20.5250947368422</v>
      </c>
      <c r="U278" s="1" t="n">
        <v>6</v>
      </c>
      <c r="V278" s="1" t="n">
        <v>1316.7</v>
      </c>
      <c r="W278" s="1" t="n">
        <f aca="false">V278/D278</f>
        <v>78.8443113772455</v>
      </c>
      <c r="X278" s="1" t="n">
        <f aca="false">X277+V278</f>
        <v>243759.9</v>
      </c>
      <c r="Y278" s="1" t="n">
        <f aca="false">Y277+V278</f>
        <v>6094.7</v>
      </c>
      <c r="Z278" s="28" t="n">
        <f aca="false">(Z276/100)/I288</f>
        <v>1.17967057649114</v>
      </c>
      <c r="AA278" s="1" t="n">
        <v>15.624378513991</v>
      </c>
    </row>
    <row r="279" customFormat="false" ht="15" hidden="false" customHeight="false" outlineLevel="0" collapsed="false">
      <c r="A279" s="102"/>
      <c r="B279" s="51"/>
      <c r="C279" s="16" t="n">
        <v>41793</v>
      </c>
      <c r="D279" s="1" t="n">
        <v>15</v>
      </c>
      <c r="E279" s="1" t="n">
        <v>12.1</v>
      </c>
      <c r="F279" s="1" t="n">
        <v>18.6</v>
      </c>
      <c r="G279" s="1" t="n">
        <f aca="false">G278+D279</f>
        <v>2679.6</v>
      </c>
      <c r="H279" s="1" t="n">
        <f aca="false">H278+D279</f>
        <v>78.1</v>
      </c>
      <c r="I279" s="103" t="s">
        <v>34</v>
      </c>
      <c r="J279" s="1" t="n">
        <v>5.2</v>
      </c>
      <c r="K279" s="1" t="n">
        <f aca="false">K278+J279</f>
        <v>607.3</v>
      </c>
      <c r="L279" s="1" t="n">
        <v>3.6</v>
      </c>
      <c r="M279" s="1" t="n">
        <f aca="false">M278+L279</f>
        <v>425.3</v>
      </c>
      <c r="N279" s="1" t="n">
        <f aca="false">J279-L279</f>
        <v>1.6</v>
      </c>
      <c r="O279" s="25" t="n">
        <f aca="false">O278+N279</f>
        <v>38.5</v>
      </c>
      <c r="P279" s="21" t="n">
        <v>274</v>
      </c>
      <c r="Q279" s="53" t="n">
        <f aca="false">1.15+((P279-246)/57)*(0.35-1.15)</f>
        <v>0.757017543859649</v>
      </c>
      <c r="R279" s="23" t="n">
        <f aca="false">Q279*L279</f>
        <v>2.72526315789474</v>
      </c>
      <c r="S279" s="23" t="n">
        <f aca="false">J279-R279</f>
        <v>2.47473684210526</v>
      </c>
      <c r="T279" s="26" t="n">
        <f aca="false">MIN(122.1,(T278+S279))</f>
        <v>22.9998315789474</v>
      </c>
      <c r="U279" s="103" t="s">
        <v>35</v>
      </c>
      <c r="V279" s="1" t="n">
        <v>2119.3</v>
      </c>
      <c r="W279" s="1" t="n">
        <f aca="false">V279/D279</f>
        <v>141.286666666667</v>
      </c>
      <c r="X279" s="1" t="n">
        <f aca="false">X278+V279</f>
        <v>245879.2</v>
      </c>
      <c r="Y279" s="1" t="n">
        <f aca="false">Y278+V279</f>
        <v>8214</v>
      </c>
      <c r="Z279" s="103" t="s">
        <v>36</v>
      </c>
      <c r="AA279" s="1" t="n">
        <v>15.6491486595334</v>
      </c>
    </row>
    <row r="280" customFormat="false" ht="15" hidden="false" customHeight="false" outlineLevel="0" collapsed="false">
      <c r="A280" s="102"/>
      <c r="B280" s="51"/>
      <c r="C280" s="16" t="n">
        <v>41794</v>
      </c>
      <c r="D280" s="1" t="n">
        <v>13.4</v>
      </c>
      <c r="E280" s="1" t="n">
        <v>12.7</v>
      </c>
      <c r="F280" s="1" t="n">
        <v>15.4</v>
      </c>
      <c r="G280" s="1" t="n">
        <f aca="false">G279+D280</f>
        <v>2693</v>
      </c>
      <c r="H280" s="1" t="n">
        <f aca="false">H279+D280</f>
        <v>91.5</v>
      </c>
      <c r="I280" s="29" t="n">
        <f aca="false">AVERAGE(D275:D296)</f>
        <v>18.2136363636364</v>
      </c>
      <c r="J280" s="1" t="n">
        <v>1.7</v>
      </c>
      <c r="K280" s="1" t="n">
        <f aca="false">K279+J280</f>
        <v>609</v>
      </c>
      <c r="L280" s="1" t="n">
        <v>2.5</v>
      </c>
      <c r="M280" s="1" t="n">
        <f aca="false">M279+L280</f>
        <v>427.8</v>
      </c>
      <c r="N280" s="19" t="n">
        <f aca="false">J280-L280</f>
        <v>-0.8</v>
      </c>
      <c r="O280" s="25" t="n">
        <f aca="false">O279+N280</f>
        <v>37.7</v>
      </c>
      <c r="P280" s="21" t="n">
        <v>275</v>
      </c>
      <c r="Q280" s="53" t="n">
        <f aca="false">1.15+((P280-246)/57)*(0.35-1.15)</f>
        <v>0.742982456140351</v>
      </c>
      <c r="R280" s="23" t="n">
        <f aca="false">Q280*L280</f>
        <v>1.85745614035088</v>
      </c>
      <c r="S280" s="23" t="n">
        <f aca="false">J280-R280</f>
        <v>-0.157456140350877</v>
      </c>
      <c r="T280" s="26" t="n">
        <f aca="false">MIN(122.1,(T279+S280))</f>
        <v>22.8423754385965</v>
      </c>
      <c r="U280" s="1" t="n">
        <v>16</v>
      </c>
      <c r="V280" s="1" t="n">
        <v>1439.6</v>
      </c>
      <c r="W280" s="1" t="n">
        <f aca="false">V280/D280</f>
        <v>107.432835820896</v>
      </c>
      <c r="X280" s="1" t="n">
        <f aca="false">X279+V280</f>
        <v>247318.8</v>
      </c>
      <c r="Y280" s="1" t="n">
        <f aca="false">Y279+V280</f>
        <v>9653.6</v>
      </c>
      <c r="Z280" s="1" t="n">
        <v>0</v>
      </c>
      <c r="AA280" s="1" t="n">
        <v>15.6727850009313</v>
      </c>
    </row>
    <row r="281" customFormat="false" ht="15" hidden="false" customHeight="false" outlineLevel="0" collapsed="false">
      <c r="A281" s="102"/>
      <c r="B281" s="51"/>
      <c r="C281" s="16" t="n">
        <v>41795</v>
      </c>
      <c r="D281" s="1" t="n">
        <v>14.1</v>
      </c>
      <c r="E281" s="1" t="n">
        <v>7.9</v>
      </c>
      <c r="F281" s="1" t="n">
        <v>19.3</v>
      </c>
      <c r="G281" s="1" t="n">
        <f aca="false">G280+D281</f>
        <v>2707.1</v>
      </c>
      <c r="H281" s="1" t="n">
        <f aca="false">H280+D281</f>
        <v>105.6</v>
      </c>
      <c r="I281" s="103" t="s">
        <v>37</v>
      </c>
      <c r="J281" s="1" t="n">
        <v>0</v>
      </c>
      <c r="K281" s="1" t="n">
        <f aca="false">K280+J281</f>
        <v>609</v>
      </c>
      <c r="L281" s="1" t="n">
        <v>3.7</v>
      </c>
      <c r="M281" s="1" t="n">
        <f aca="false">M280+L281</f>
        <v>431.5</v>
      </c>
      <c r="N281" s="19" t="n">
        <f aca="false">J281-L281</f>
        <v>-3.7</v>
      </c>
      <c r="O281" s="25" t="n">
        <f aca="false">O280+N281</f>
        <v>34</v>
      </c>
      <c r="P281" s="21" t="n">
        <v>276</v>
      </c>
      <c r="Q281" s="53" t="n">
        <f aca="false">1.15+((P281-246)/57)*(0.35-1.15)</f>
        <v>0.728947368421053</v>
      </c>
      <c r="R281" s="23" t="n">
        <f aca="false">Q281*L281</f>
        <v>2.69710526315789</v>
      </c>
      <c r="S281" s="23" t="n">
        <f aca="false">J281-R281</f>
        <v>-2.69710526315789</v>
      </c>
      <c r="T281" s="26" t="n">
        <f aca="false">MIN(122.1,(T280+S281))</f>
        <v>20.1452701754387</v>
      </c>
      <c r="U281" s="103" t="s">
        <v>38</v>
      </c>
      <c r="V281" s="1" t="n">
        <v>2435</v>
      </c>
      <c r="W281" s="1" t="n">
        <f aca="false">V281/D281</f>
        <v>172.695035460993</v>
      </c>
      <c r="X281" s="1" t="n">
        <f aca="false">X280+V281</f>
        <v>249753.8</v>
      </c>
      <c r="Y281" s="1" t="n">
        <f aca="false">Y280+V281</f>
        <v>12088.6</v>
      </c>
      <c r="AA281" s="1" t="n">
        <v>15.69526736772</v>
      </c>
    </row>
    <row r="282" customFormat="false" ht="15" hidden="false" customHeight="false" outlineLevel="0" collapsed="false">
      <c r="A282" s="102"/>
      <c r="B282" s="51"/>
      <c r="C282" s="16" t="n">
        <v>41796</v>
      </c>
      <c r="D282" s="1" t="n">
        <v>20.9</v>
      </c>
      <c r="E282" s="1" t="n">
        <v>10.9</v>
      </c>
      <c r="F282" s="17" t="n">
        <v>27.5</v>
      </c>
      <c r="G282" s="1" t="n">
        <f aca="false">G281+D282</f>
        <v>2728</v>
      </c>
      <c r="H282" s="1" t="n">
        <f aca="false">H281+D282</f>
        <v>126.5</v>
      </c>
      <c r="I282" s="1" t="n">
        <v>0</v>
      </c>
      <c r="J282" s="1" t="n">
        <v>0</v>
      </c>
      <c r="K282" s="1" t="n">
        <f aca="false">K281+J282</f>
        <v>609</v>
      </c>
      <c r="L282" s="1" t="n">
        <v>5.2</v>
      </c>
      <c r="M282" s="1" t="n">
        <f aca="false">M281+L282</f>
        <v>436.7</v>
      </c>
      <c r="N282" s="19" t="n">
        <f aca="false">J282-L282</f>
        <v>-5.2</v>
      </c>
      <c r="O282" s="25" t="n">
        <f aca="false">O281+N282</f>
        <v>28.8</v>
      </c>
      <c r="P282" s="21" t="n">
        <v>277</v>
      </c>
      <c r="Q282" s="53" t="n">
        <f aca="false">1.15+((P282-246)/57)*(0.35-1.15)</f>
        <v>0.714912280701754</v>
      </c>
      <c r="R282" s="23" t="n">
        <f aca="false">Q282*L282</f>
        <v>3.71754385964912</v>
      </c>
      <c r="S282" s="23" t="n">
        <f aca="false">J282-R282</f>
        <v>-3.71754385964912</v>
      </c>
      <c r="T282" s="26" t="n">
        <f aca="false">MIN(122.1,(T281+S282))</f>
        <v>16.4277263157895</v>
      </c>
      <c r="U282" s="29" t="n">
        <v>0</v>
      </c>
      <c r="V282" s="1" t="n">
        <v>2802</v>
      </c>
      <c r="W282" s="1" t="n">
        <f aca="false">V282/D282</f>
        <v>134.066985645933</v>
      </c>
      <c r="X282" s="1" t="n">
        <f aca="false">X281+V282</f>
        <v>252555.8</v>
      </c>
      <c r="Y282" s="1" t="n">
        <f aca="false">Y281+V282</f>
        <v>14890.6</v>
      </c>
      <c r="AA282" s="1" t="n">
        <v>15.716576295085</v>
      </c>
    </row>
    <row r="283" customFormat="false" ht="15" hidden="false" customHeight="false" outlineLevel="0" collapsed="false">
      <c r="A283" s="102"/>
      <c r="B283" s="51"/>
      <c r="C283" s="16" t="n">
        <v>41797</v>
      </c>
      <c r="D283" s="1" t="n">
        <v>22.6</v>
      </c>
      <c r="E283" s="1" t="n">
        <v>18.7</v>
      </c>
      <c r="F283" s="17" t="n">
        <v>26.7</v>
      </c>
      <c r="G283" s="1" t="n">
        <f aca="false">G282+D283</f>
        <v>2750.6</v>
      </c>
      <c r="H283" s="1" t="n">
        <f aca="false">H282+D283</f>
        <v>149.1</v>
      </c>
      <c r="I283" s="103" t="s">
        <v>39</v>
      </c>
      <c r="J283" s="1" t="n">
        <v>6.4</v>
      </c>
      <c r="K283" s="1" t="n">
        <f aca="false">K282+J283</f>
        <v>615.4</v>
      </c>
      <c r="L283" s="1" t="n">
        <v>3.4</v>
      </c>
      <c r="M283" s="1" t="n">
        <f aca="false">M282+L283</f>
        <v>440.1</v>
      </c>
      <c r="N283" s="1" t="n">
        <f aca="false">J283-L283</f>
        <v>3</v>
      </c>
      <c r="O283" s="25" t="n">
        <f aca="false">O282+N283</f>
        <v>31.8</v>
      </c>
      <c r="P283" s="21" t="n">
        <v>278</v>
      </c>
      <c r="Q283" s="53" t="n">
        <f aca="false">1.15+((P283-246)/57)*(0.35-1.15)</f>
        <v>0.700877192982456</v>
      </c>
      <c r="R283" s="23" t="n">
        <f aca="false">Q283*L283</f>
        <v>2.38298245614035</v>
      </c>
      <c r="S283" s="23" t="n">
        <f aca="false">J283-R283</f>
        <v>4.01701754385965</v>
      </c>
      <c r="T283" s="26" t="n">
        <f aca="false">MIN(122.1,(T282+S283))</f>
        <v>20.4447438596492</v>
      </c>
      <c r="U283" s="103" t="s">
        <v>40</v>
      </c>
      <c r="V283" s="1" t="n">
        <v>1476.2</v>
      </c>
      <c r="W283" s="1" t="n">
        <f aca="false">V283/D283</f>
        <v>65.3185840707965</v>
      </c>
      <c r="X283" s="1" t="n">
        <f aca="false">X282+V283</f>
        <v>254032</v>
      </c>
      <c r="Y283" s="1" t="n">
        <f aca="false">Y282+V283</f>
        <v>16366.8</v>
      </c>
      <c r="AA283" s="1" t="n">
        <v>15.7366930837008</v>
      </c>
    </row>
    <row r="284" customFormat="false" ht="15" hidden="false" customHeight="false" outlineLevel="0" collapsed="false">
      <c r="A284" s="102"/>
      <c r="B284" s="51"/>
      <c r="C284" s="16" t="n">
        <v>41798</v>
      </c>
      <c r="D284" s="1" t="n">
        <v>23.4</v>
      </c>
      <c r="E284" s="1" t="n">
        <v>18.2</v>
      </c>
      <c r="F284" s="17" t="n">
        <v>28.7</v>
      </c>
      <c r="G284" s="1" t="n">
        <f aca="false">G283+D284</f>
        <v>2774</v>
      </c>
      <c r="H284" s="1" t="n">
        <f aca="false">H283+D284</f>
        <v>172.5</v>
      </c>
      <c r="I284" s="1" t="n">
        <v>7</v>
      </c>
      <c r="J284" s="1" t="n">
        <v>0</v>
      </c>
      <c r="K284" s="1" t="n">
        <f aca="false">K283+J284</f>
        <v>615.4</v>
      </c>
      <c r="L284" s="1" t="n">
        <v>4</v>
      </c>
      <c r="M284" s="1" t="n">
        <f aca="false">M283+L284</f>
        <v>444.1</v>
      </c>
      <c r="N284" s="19" t="n">
        <f aca="false">J284-L284</f>
        <v>-4</v>
      </c>
      <c r="O284" s="25" t="n">
        <f aca="false">O283+N284</f>
        <v>27.8</v>
      </c>
      <c r="P284" s="21" t="n">
        <v>279</v>
      </c>
      <c r="Q284" s="53" t="n">
        <f aca="false">1.15+((P284-246)/57)*(0.35-1.15)</f>
        <v>0.686842105263158</v>
      </c>
      <c r="R284" s="23" t="n">
        <f aca="false">Q284*L284</f>
        <v>2.74736842105263</v>
      </c>
      <c r="S284" s="23" t="n">
        <f aca="false">J284-R284</f>
        <v>-2.74736842105263</v>
      </c>
      <c r="T284" s="26" t="n">
        <f aca="false">MIN(122.1,(T283+S284))</f>
        <v>17.6973754385966</v>
      </c>
      <c r="U284" s="29" t="n">
        <f aca="false">MAX(T275:T296)</f>
        <v>28.1671122807018</v>
      </c>
      <c r="V284" s="1" t="n">
        <v>1746.8</v>
      </c>
      <c r="W284" s="1" t="n">
        <f aca="false">V284/D284</f>
        <v>74.6495726495727</v>
      </c>
      <c r="X284" s="1" t="n">
        <f aca="false">X283+V284</f>
        <v>255778.8</v>
      </c>
      <c r="Y284" s="1" t="n">
        <f aca="false">Y283+V284</f>
        <v>18113.6</v>
      </c>
      <c r="AA284" s="1" t="n">
        <v>15.7555998585662</v>
      </c>
    </row>
    <row r="285" customFormat="false" ht="15" hidden="false" customHeight="false" outlineLevel="0" collapsed="false">
      <c r="A285" s="102"/>
      <c r="B285" s="51"/>
      <c r="C285" s="16" t="n">
        <v>41799</v>
      </c>
      <c r="D285" s="1" t="n">
        <v>23.6</v>
      </c>
      <c r="E285" s="1" t="n">
        <v>19.8</v>
      </c>
      <c r="F285" s="17" t="n">
        <v>27.5</v>
      </c>
      <c r="G285" s="1" t="n">
        <f aca="false">G284+D285</f>
        <v>2797.6</v>
      </c>
      <c r="H285" s="1" t="n">
        <f aca="false">H284+D285</f>
        <v>196.1</v>
      </c>
      <c r="I285" s="103" t="s">
        <v>41</v>
      </c>
      <c r="J285" s="1" t="n">
        <v>2.6</v>
      </c>
      <c r="K285" s="1" t="n">
        <f aca="false">K284+J285</f>
        <v>618</v>
      </c>
      <c r="L285" s="1" t="n">
        <v>3.3</v>
      </c>
      <c r="M285" s="1" t="n">
        <f aca="false">M284+L285</f>
        <v>447.4</v>
      </c>
      <c r="N285" s="19" t="n">
        <f aca="false">J285-L285</f>
        <v>-0.7</v>
      </c>
      <c r="O285" s="25" t="n">
        <f aca="false">O284+N285</f>
        <v>27.1</v>
      </c>
      <c r="P285" s="21" t="n">
        <v>280</v>
      </c>
      <c r="Q285" s="53" t="n">
        <f aca="false">1.15+((P285-246)/57)*(0.35-1.15)</f>
        <v>0.67280701754386</v>
      </c>
      <c r="R285" s="23" t="n">
        <f aca="false">Q285*L285</f>
        <v>2.22026315789474</v>
      </c>
      <c r="S285" s="23" t="n">
        <f aca="false">J285-R285</f>
        <v>0.379736842105264</v>
      </c>
      <c r="T285" s="26" t="n">
        <f aca="false">MIN(122.1,(T284+S285))</f>
        <v>18.0771122807018</v>
      </c>
      <c r="U285" s="103" t="s">
        <v>42</v>
      </c>
      <c r="V285" s="1" t="n">
        <v>1714.2</v>
      </c>
      <c r="W285" s="1" t="n">
        <f aca="false">V285/D285</f>
        <v>72.635593220339</v>
      </c>
      <c r="X285" s="1" t="n">
        <f aca="false">X284+V285</f>
        <v>257493</v>
      </c>
      <c r="Y285" s="1" t="n">
        <f aca="false">Y284+V285</f>
        <v>19827.8</v>
      </c>
      <c r="AA285" s="1" t="n">
        <v>15.7732796264812</v>
      </c>
    </row>
    <row r="286" customFormat="false" ht="15" hidden="false" customHeight="false" outlineLevel="0" collapsed="false">
      <c r="A286" s="102"/>
      <c r="B286" s="51"/>
      <c r="C286" s="16" t="n">
        <v>41800</v>
      </c>
      <c r="D286" s="1" t="n">
        <v>18.8</v>
      </c>
      <c r="E286" s="1" t="n">
        <v>17.7</v>
      </c>
      <c r="F286" s="1" t="n">
        <v>21.5</v>
      </c>
      <c r="G286" s="1" t="n">
        <f aca="false">G285+D286</f>
        <v>2816.4</v>
      </c>
      <c r="H286" s="1" t="n">
        <f aca="false">H285+D286</f>
        <v>214.9</v>
      </c>
      <c r="I286" s="1" t="n">
        <v>0</v>
      </c>
      <c r="J286" s="1" t="n">
        <v>0.2</v>
      </c>
      <c r="K286" s="1" t="n">
        <f aca="false">K285+J286</f>
        <v>618.2</v>
      </c>
      <c r="L286" s="1" t="n">
        <v>4.1</v>
      </c>
      <c r="M286" s="1" t="n">
        <f aca="false">M285+L286</f>
        <v>451.5</v>
      </c>
      <c r="N286" s="19" t="n">
        <f aca="false">J286-L286</f>
        <v>-3.9</v>
      </c>
      <c r="O286" s="25" t="n">
        <f aca="false">O285+N286</f>
        <v>23.2</v>
      </c>
      <c r="P286" s="21" t="n">
        <v>281</v>
      </c>
      <c r="Q286" s="53" t="n">
        <f aca="false">1.15+((P286-246)/57)*(0.35-1.15)</f>
        <v>0.658771929824561</v>
      </c>
      <c r="R286" s="23" t="n">
        <f aca="false">Q286*L286</f>
        <v>2.7009649122807</v>
      </c>
      <c r="S286" s="23" t="n">
        <f aca="false">J286-R286</f>
        <v>-2.5009649122807</v>
      </c>
      <c r="T286" s="26" t="n">
        <f aca="false">MIN(122.1,(T285+S286))</f>
        <v>15.5761473684211</v>
      </c>
      <c r="U286" s="28" t="n">
        <f aca="false">AVERAGE(T275:T296)</f>
        <v>12.6992275917066</v>
      </c>
      <c r="V286" s="1" t="n">
        <v>2009.8</v>
      </c>
      <c r="W286" s="1" t="n">
        <f aca="false">V286/D286</f>
        <v>106.904255319149</v>
      </c>
      <c r="X286" s="1" t="n">
        <f aca="false">X285+V286</f>
        <v>259502.8</v>
      </c>
      <c r="Y286" s="1" t="n">
        <f aca="false">Y285+V286</f>
        <v>21837.6</v>
      </c>
      <c r="AA286" s="1" t="n">
        <v>15.7897163318096</v>
      </c>
    </row>
    <row r="287" customFormat="false" ht="15" hidden="false" customHeight="false" outlineLevel="0" collapsed="false">
      <c r="A287" s="102"/>
      <c r="B287" s="51"/>
      <c r="C287" s="16" t="n">
        <v>41801</v>
      </c>
      <c r="D287" s="1" t="n">
        <v>20.9</v>
      </c>
      <c r="E287" s="1" t="n">
        <v>14.9</v>
      </c>
      <c r="F287" s="17" t="n">
        <v>25</v>
      </c>
      <c r="G287" s="1" t="n">
        <f aca="false">G286+D287</f>
        <v>2837.3</v>
      </c>
      <c r="H287" s="1" t="n">
        <f aca="false">H286+D287</f>
        <v>235.8</v>
      </c>
      <c r="I287" s="103" t="s">
        <v>43</v>
      </c>
      <c r="J287" s="1" t="n">
        <v>0</v>
      </c>
      <c r="K287" s="1" t="n">
        <f aca="false">K286+J287</f>
        <v>618.2</v>
      </c>
      <c r="L287" s="1" t="n">
        <v>4</v>
      </c>
      <c r="M287" s="1" t="n">
        <f aca="false">M286+L287</f>
        <v>455.5</v>
      </c>
      <c r="N287" s="19" t="n">
        <f aca="false">J287-L287</f>
        <v>-4</v>
      </c>
      <c r="O287" s="25" t="n">
        <f aca="false">O286+N287</f>
        <v>19.2</v>
      </c>
      <c r="P287" s="21" t="n">
        <v>282</v>
      </c>
      <c r="Q287" s="53" t="n">
        <f aca="false">1.15+((P287-246)/57)*(0.35-1.15)</f>
        <v>0.644736842105263</v>
      </c>
      <c r="R287" s="23" t="n">
        <f aca="false">Q287*L287</f>
        <v>2.57894736842105</v>
      </c>
      <c r="S287" s="23" t="n">
        <f aca="false">J287-R287</f>
        <v>-2.57894736842105</v>
      </c>
      <c r="T287" s="26" t="n">
        <f aca="false">MIN(122.1,(T286+S287))</f>
        <v>12.9972000000001</v>
      </c>
      <c r="V287" s="1" t="n">
        <v>1955.2</v>
      </c>
      <c r="W287" s="1" t="n">
        <f aca="false">V287/D287</f>
        <v>93.5502392344498</v>
      </c>
      <c r="X287" s="1" t="n">
        <f aca="false">X286+V287</f>
        <v>261458</v>
      </c>
      <c r="Y287" s="1" t="n">
        <f aca="false">Y286+V287</f>
        <v>23792.8</v>
      </c>
      <c r="AA287" s="1" t="n">
        <v>15.804894910165</v>
      </c>
    </row>
    <row r="288" customFormat="false" ht="15" hidden="false" customHeight="false" outlineLevel="0" collapsed="false">
      <c r="A288" s="102"/>
      <c r="B288" s="51"/>
      <c r="C288" s="16" t="n">
        <v>41802</v>
      </c>
      <c r="D288" s="1" t="n">
        <v>21.6</v>
      </c>
      <c r="E288" s="1" t="n">
        <v>16.9</v>
      </c>
      <c r="F288" s="17" t="n">
        <v>26.3</v>
      </c>
      <c r="G288" s="1" t="n">
        <f aca="false">G287+D288</f>
        <v>2858.9</v>
      </c>
      <c r="H288" s="1" t="n">
        <f aca="false">H287+D288</f>
        <v>257.4</v>
      </c>
      <c r="I288" s="1" t="n">
        <v>400.7</v>
      </c>
      <c r="J288" s="1" t="n">
        <v>0</v>
      </c>
      <c r="K288" s="1" t="n">
        <f aca="false">K287+J288</f>
        <v>618.2</v>
      </c>
      <c r="L288" s="1" t="n">
        <v>5.7</v>
      </c>
      <c r="M288" s="1" t="n">
        <f aca="false">M287+L288</f>
        <v>461.2</v>
      </c>
      <c r="N288" s="19" t="n">
        <f aca="false">J288-L288</f>
        <v>-5.7</v>
      </c>
      <c r="O288" s="25" t="n">
        <f aca="false">O287+N288</f>
        <v>13.5</v>
      </c>
      <c r="P288" s="21" t="n">
        <v>283</v>
      </c>
      <c r="Q288" s="53" t="n">
        <f aca="false">1.15+((P288-246)/57)*(0.35-1.15)</f>
        <v>0.630701754385965</v>
      </c>
      <c r="R288" s="23" t="n">
        <f aca="false">Q288*L288</f>
        <v>3.595</v>
      </c>
      <c r="S288" s="23" t="n">
        <f aca="false">J288-R288</f>
        <v>-3.595</v>
      </c>
      <c r="T288" s="26" t="n">
        <f aca="false">MIN(122.1,(T287+S288))</f>
        <v>9.40220000000006</v>
      </c>
      <c r="U288" s="104" t="n">
        <f aca="false">(U286*100)/122.1</f>
        <v>10.4006777982855</v>
      </c>
      <c r="V288" s="1" t="n">
        <v>2701.8</v>
      </c>
      <c r="W288" s="1" t="n">
        <f aca="false">V288/D288</f>
        <v>125.083333333333</v>
      </c>
      <c r="X288" s="1" t="n">
        <f aca="false">X287+V288</f>
        <v>264159.8</v>
      </c>
      <c r="Y288" s="1" t="n">
        <f aca="false">Y287+V288</f>
        <v>26494.6</v>
      </c>
      <c r="AA288" s="1" t="n">
        <v>15.8188013396678</v>
      </c>
    </row>
    <row r="289" customFormat="false" ht="15" hidden="false" customHeight="false" outlineLevel="0" collapsed="false">
      <c r="A289" s="102"/>
      <c r="B289" s="51"/>
      <c r="C289" s="16" t="n">
        <v>41803</v>
      </c>
      <c r="D289" s="1" t="n">
        <v>20.8</v>
      </c>
      <c r="E289" s="1" t="n">
        <v>16.4</v>
      </c>
      <c r="F289" s="17" t="n">
        <v>25.8</v>
      </c>
      <c r="G289" s="1" t="n">
        <f aca="false">G288+D289</f>
        <v>2879.7</v>
      </c>
      <c r="H289" s="1" t="n">
        <f aca="false">H288+D289</f>
        <v>278.2</v>
      </c>
      <c r="J289" s="1" t="n">
        <v>0</v>
      </c>
      <c r="K289" s="1" t="n">
        <f aca="false">K288+J289</f>
        <v>618.2</v>
      </c>
      <c r="L289" s="1" t="n">
        <v>6.9</v>
      </c>
      <c r="M289" s="1" t="n">
        <f aca="false">M288+L289</f>
        <v>468.1</v>
      </c>
      <c r="N289" s="19" t="n">
        <f aca="false">J289-L289</f>
        <v>-6.9</v>
      </c>
      <c r="O289" s="25" t="n">
        <f aca="false">O288+N289</f>
        <v>6.60000000000005</v>
      </c>
      <c r="P289" s="21" t="n">
        <v>284</v>
      </c>
      <c r="Q289" s="53" t="n">
        <f aca="false">1.15+((P289-246)/57)*(0.35-1.15)</f>
        <v>0.616666666666667</v>
      </c>
      <c r="R289" s="23" t="n">
        <f aca="false">Q289*L289</f>
        <v>4.255</v>
      </c>
      <c r="S289" s="23" t="n">
        <f aca="false">J289-R289</f>
        <v>-4.255</v>
      </c>
      <c r="T289" s="26" t="n">
        <f aca="false">MIN(122.1,(T288+S289))</f>
        <v>5.14720000000006</v>
      </c>
      <c r="V289" s="1" t="n">
        <v>3312.9</v>
      </c>
      <c r="W289" s="1" t="n">
        <f aca="false">V289/D289</f>
        <v>159.274038461538</v>
      </c>
      <c r="X289" s="1" t="n">
        <f aca="false">X288+V289</f>
        <v>267472.7</v>
      </c>
      <c r="Y289" s="1" t="n">
        <f aca="false">Y288+V289</f>
        <v>29807.5</v>
      </c>
      <c r="AA289" s="1" t="n">
        <v>15.8314226894239</v>
      </c>
    </row>
    <row r="290" customFormat="false" ht="15" hidden="false" customHeight="false" outlineLevel="0" collapsed="false">
      <c r="A290" s="102"/>
      <c r="B290" s="51"/>
      <c r="C290" s="16" t="n">
        <v>41804</v>
      </c>
      <c r="D290" s="1" t="n">
        <v>18.4</v>
      </c>
      <c r="E290" s="1" t="n">
        <v>15</v>
      </c>
      <c r="F290" s="1" t="n">
        <v>23.3</v>
      </c>
      <c r="G290" s="1" t="n">
        <f aca="false">G289+D290</f>
        <v>2898.1</v>
      </c>
      <c r="H290" s="1" t="n">
        <f aca="false">H289+D290</f>
        <v>296.6</v>
      </c>
      <c r="J290" s="1" t="n">
        <v>0</v>
      </c>
      <c r="K290" s="1" t="n">
        <f aca="false">K289+J290</f>
        <v>618.2</v>
      </c>
      <c r="L290" s="1" t="n">
        <v>5.5</v>
      </c>
      <c r="M290" s="1" t="n">
        <f aca="false">M289+L290</f>
        <v>473.6</v>
      </c>
      <c r="N290" s="19" t="n">
        <f aca="false">J290-L290</f>
        <v>-5.5</v>
      </c>
      <c r="O290" s="25" t="n">
        <f aca="false">O289+N290</f>
        <v>1.10000000000005</v>
      </c>
      <c r="P290" s="21" t="n">
        <v>285</v>
      </c>
      <c r="Q290" s="53" t="n">
        <f aca="false">1.15+((P290-246)/57)*(0.35-1.15)</f>
        <v>0.602631578947368</v>
      </c>
      <c r="R290" s="23" t="n">
        <f aca="false">Q290*L290</f>
        <v>3.31447368421053</v>
      </c>
      <c r="S290" s="23" t="n">
        <f aca="false">J290-R290</f>
        <v>-3.31447368421053</v>
      </c>
      <c r="T290" s="26" t="n">
        <f aca="false">MIN(122.1,(T289+S290))</f>
        <v>1.83272631578953</v>
      </c>
      <c r="V290" s="1" t="n">
        <v>2518.6</v>
      </c>
      <c r="W290" s="1" t="n">
        <f aca="false">V290/D290</f>
        <v>136.880434782609</v>
      </c>
      <c r="X290" s="1" t="n">
        <f aca="false">X289+V290</f>
        <v>269991.3</v>
      </c>
      <c r="Y290" s="1" t="n">
        <f aca="false">Y289+V290</f>
        <v>32326.1</v>
      </c>
      <c r="AA290" s="1" t="n">
        <v>15.8427471648869</v>
      </c>
    </row>
    <row r="291" customFormat="false" ht="15" hidden="false" customHeight="false" outlineLevel="0" collapsed="false">
      <c r="A291" s="102"/>
      <c r="B291" s="51"/>
      <c r="C291" s="16" t="n">
        <v>41805</v>
      </c>
      <c r="D291" s="1" t="n">
        <v>16.7</v>
      </c>
      <c r="E291" s="1" t="n">
        <v>13.1</v>
      </c>
      <c r="F291" s="1" t="n">
        <v>20.6</v>
      </c>
      <c r="G291" s="1" t="n">
        <f aca="false">G290+D291</f>
        <v>2914.8</v>
      </c>
      <c r="H291" s="1" t="n">
        <f aca="false">H290+D291</f>
        <v>313.3</v>
      </c>
      <c r="J291" s="1" t="n">
        <v>0</v>
      </c>
      <c r="K291" s="1" t="n">
        <f aca="false">K290+J291</f>
        <v>618.2</v>
      </c>
      <c r="L291" s="1" t="n">
        <v>5.5</v>
      </c>
      <c r="M291" s="1" t="n">
        <f aca="false">M290+L291</f>
        <v>479.1</v>
      </c>
      <c r="N291" s="19" t="n">
        <f aca="false">J291-L291</f>
        <v>-5.5</v>
      </c>
      <c r="O291" s="25" t="n">
        <v>0</v>
      </c>
      <c r="P291" s="21" t="n">
        <v>286</v>
      </c>
      <c r="Q291" s="53" t="n">
        <f aca="false">1.15+((P291-246)/57)*(0.35-1.15)</f>
        <v>0.58859649122807</v>
      </c>
      <c r="R291" s="23" t="n">
        <f aca="false">Q291*L291</f>
        <v>3.23728070175439</v>
      </c>
      <c r="S291" s="23" t="n">
        <f aca="false">J291-R291</f>
        <v>-3.23728070175439</v>
      </c>
      <c r="T291" s="26" t="n">
        <v>0</v>
      </c>
      <c r="V291" s="1" t="n">
        <v>2759.8</v>
      </c>
      <c r="W291" s="1" t="n">
        <f aca="false">V291/D291</f>
        <v>165.25748502994</v>
      </c>
      <c r="X291" s="1" t="n">
        <f aca="false">X290+V291</f>
        <v>272751.1</v>
      </c>
      <c r="Y291" s="1" t="n">
        <f aca="false">Y290+V291</f>
        <v>35085.9</v>
      </c>
      <c r="AA291" s="1" t="n">
        <v>15.8527641497821</v>
      </c>
    </row>
    <row r="292" customFormat="false" ht="15" hidden="false" customHeight="false" outlineLevel="0" collapsed="false">
      <c r="A292" s="102"/>
      <c r="B292" s="51"/>
      <c r="C292" s="16" t="n">
        <v>41806</v>
      </c>
      <c r="D292" s="1" t="n">
        <v>17.1</v>
      </c>
      <c r="E292" s="1" t="n">
        <v>12.9</v>
      </c>
      <c r="F292" s="1" t="n">
        <v>22.5</v>
      </c>
      <c r="G292" s="1" t="n">
        <f aca="false">G291+D292</f>
        <v>2931.9</v>
      </c>
      <c r="H292" s="1" t="n">
        <f aca="false">H291+D292</f>
        <v>330.4</v>
      </c>
      <c r="J292" s="1" t="n">
        <v>0</v>
      </c>
      <c r="K292" s="1" t="n">
        <f aca="false">K291+J292</f>
        <v>618.2</v>
      </c>
      <c r="L292" s="1" t="n">
        <v>6</v>
      </c>
      <c r="M292" s="1" t="n">
        <f aca="false">M291+L292</f>
        <v>485.1</v>
      </c>
      <c r="N292" s="19" t="n">
        <f aca="false">J292-L292</f>
        <v>-6</v>
      </c>
      <c r="O292" s="25" t="n">
        <v>0</v>
      </c>
      <c r="P292" s="21" t="n">
        <v>287</v>
      </c>
      <c r="Q292" s="53" t="n">
        <f aca="false">1.15+((P292-246)/57)*(0.35-1.15)</f>
        <v>0.574561403508772</v>
      </c>
      <c r="R292" s="23" t="n">
        <f aca="false">Q292*L292</f>
        <v>3.44736842105263</v>
      </c>
      <c r="S292" s="23" t="n">
        <f aca="false">J292-R292</f>
        <v>-3.44736842105263</v>
      </c>
      <c r="T292" s="26" t="n">
        <v>0</v>
      </c>
      <c r="V292" s="1" t="n">
        <v>2766.8</v>
      </c>
      <c r="W292" s="1" t="n">
        <f aca="false">V292/D292</f>
        <v>161.801169590643</v>
      </c>
      <c r="X292" s="1" t="n">
        <f aca="false">X291+V292</f>
        <v>275517.9</v>
      </c>
      <c r="Y292" s="1" t="n">
        <f aca="false">Y291+V292</f>
        <v>37852.7</v>
      </c>
      <c r="AA292" s="1" t="n">
        <v>15.8614642442883</v>
      </c>
    </row>
    <row r="293" customFormat="false" ht="15" hidden="false" customHeight="false" outlineLevel="0" collapsed="false">
      <c r="A293" s="102"/>
      <c r="B293" s="51"/>
      <c r="C293" s="16" t="n">
        <v>41807</v>
      </c>
      <c r="D293" s="1" t="n">
        <v>15.9</v>
      </c>
      <c r="E293" s="1" t="n">
        <v>12.2</v>
      </c>
      <c r="F293" s="1" t="n">
        <v>19</v>
      </c>
      <c r="G293" s="1" t="n">
        <f aca="false">G292+D293</f>
        <v>2947.8</v>
      </c>
      <c r="H293" s="1" t="n">
        <f aca="false">H292+D293</f>
        <v>346.3</v>
      </c>
      <c r="J293" s="1" t="n">
        <v>0</v>
      </c>
      <c r="K293" s="1" t="n">
        <f aca="false">K292+J293</f>
        <v>618.2</v>
      </c>
      <c r="L293" s="1" t="n">
        <v>3.4</v>
      </c>
      <c r="M293" s="1" t="n">
        <f aca="false">M292+L293</f>
        <v>488.5</v>
      </c>
      <c r="N293" s="19" t="n">
        <f aca="false">J293-L293</f>
        <v>-3.4</v>
      </c>
      <c r="O293" s="25" t="n">
        <v>0</v>
      </c>
      <c r="P293" s="21" t="n">
        <v>288</v>
      </c>
      <c r="Q293" s="53" t="n">
        <f aca="false">1.15+((P293-246)/57)*(0.35-1.15)</f>
        <v>0.560526315789474</v>
      </c>
      <c r="R293" s="23" t="n">
        <f aca="false">Q293*L293</f>
        <v>1.90578947368421</v>
      </c>
      <c r="S293" s="23" t="n">
        <f aca="false">J293-R293</f>
        <v>-1.90578947368421</v>
      </c>
      <c r="T293" s="26" t="n">
        <v>0</v>
      </c>
      <c r="V293" s="1" t="n">
        <v>1542.7</v>
      </c>
      <c r="W293" s="1" t="n">
        <f aca="false">V293/D293</f>
        <v>97.0251572327044</v>
      </c>
      <c r="X293" s="1" t="n">
        <f aca="false">X292+V293</f>
        <v>277060.6</v>
      </c>
      <c r="Y293" s="1" t="n">
        <f aca="false">Y292+V293</f>
        <v>39395.4</v>
      </c>
      <c r="AA293" s="1" t="n">
        <v>15.868839299195</v>
      </c>
    </row>
    <row r="294" customFormat="false" ht="15" hidden="false" customHeight="false" outlineLevel="0" collapsed="false">
      <c r="A294" s="102"/>
      <c r="B294" s="51"/>
      <c r="C294" s="16" t="n">
        <v>41808</v>
      </c>
      <c r="D294" s="1" t="n">
        <v>17.6</v>
      </c>
      <c r="E294" s="1" t="n">
        <v>12.6</v>
      </c>
      <c r="F294" s="1" t="n">
        <v>22.4</v>
      </c>
      <c r="G294" s="1" t="n">
        <f aca="false">G293+D294</f>
        <v>2965.4</v>
      </c>
      <c r="H294" s="1" t="n">
        <f aca="false">H293+D294</f>
        <v>363.9</v>
      </c>
      <c r="J294" s="1" t="n">
        <v>0</v>
      </c>
      <c r="K294" s="1" t="n">
        <f aca="false">K293+J294</f>
        <v>618.2</v>
      </c>
      <c r="L294" s="1" t="n">
        <v>5</v>
      </c>
      <c r="M294" s="1" t="n">
        <f aca="false">M293+L294</f>
        <v>493.5</v>
      </c>
      <c r="N294" s="19" t="n">
        <f aca="false">J294-L294</f>
        <v>-5</v>
      </c>
      <c r="O294" s="25" t="n">
        <v>0</v>
      </c>
      <c r="P294" s="21" t="n">
        <v>289</v>
      </c>
      <c r="Q294" s="53" t="n">
        <f aca="false">1.15+((P294-246)/57)*(0.35-1.15)</f>
        <v>0.546491228070175</v>
      </c>
      <c r="R294" s="23" t="n">
        <f aca="false">Q294*L294</f>
        <v>2.73245614035088</v>
      </c>
      <c r="S294" s="23" t="n">
        <f aca="false">J294-R294</f>
        <v>-2.73245614035088</v>
      </c>
      <c r="T294" s="26" t="n">
        <v>0</v>
      </c>
      <c r="V294" s="1" t="n">
        <v>2436.4</v>
      </c>
      <c r="W294" s="1" t="n">
        <f aca="false">V294/D294</f>
        <v>138.431818181818</v>
      </c>
      <c r="X294" s="1" t="n">
        <f aca="false">X293+V294</f>
        <v>279497</v>
      </c>
      <c r="Y294" s="1" t="n">
        <f aca="false">Y293+V294</f>
        <v>41831.8</v>
      </c>
      <c r="AA294" s="1" t="n">
        <v>15.8748824457803</v>
      </c>
    </row>
    <row r="295" s="79" customFormat="true" ht="15" hidden="false" customHeight="false" outlineLevel="0" collapsed="false">
      <c r="A295" s="102"/>
      <c r="B295" s="88"/>
      <c r="C295" s="89" t="n">
        <v>41809</v>
      </c>
      <c r="D295" s="79" t="n">
        <v>18.2</v>
      </c>
      <c r="E295" s="79" t="n">
        <v>13.2</v>
      </c>
      <c r="F295" s="79" t="n">
        <v>23.5</v>
      </c>
      <c r="G295" s="79" t="n">
        <f aca="false">G294+D295</f>
        <v>2983.6</v>
      </c>
      <c r="H295" s="79" t="n">
        <f aca="false">H294+D295</f>
        <v>382.1</v>
      </c>
      <c r="J295" s="79" t="n">
        <v>0</v>
      </c>
      <c r="K295" s="79" t="n">
        <f aca="false">K294+J295</f>
        <v>618.2</v>
      </c>
      <c r="L295" s="79" t="n">
        <v>5.3</v>
      </c>
      <c r="M295" s="79" t="n">
        <f aca="false">M294+L295</f>
        <v>498.8</v>
      </c>
      <c r="N295" s="91" t="n">
        <f aca="false">J295-L295</f>
        <v>-5.3</v>
      </c>
      <c r="O295" s="92" t="n">
        <v>0</v>
      </c>
      <c r="P295" s="21" t="n">
        <v>290</v>
      </c>
      <c r="Q295" s="53" t="n">
        <f aca="false">1.15+((P295-246)/57)*(0.35-1.15)</f>
        <v>0.532456140350877</v>
      </c>
      <c r="R295" s="82" t="n">
        <f aca="false">Q295*L295</f>
        <v>2.82201754385965</v>
      </c>
      <c r="S295" s="23" t="n">
        <f aca="false">J295-R295</f>
        <v>-2.82201754385965</v>
      </c>
      <c r="T295" s="26" t="n">
        <v>0</v>
      </c>
      <c r="V295" s="79" t="n">
        <v>2589.6</v>
      </c>
      <c r="W295" s="79" t="n">
        <f aca="false">V295/D295</f>
        <v>142.285714285714</v>
      </c>
      <c r="X295" s="79" t="n">
        <f aca="false">X294+V295</f>
        <v>282086.6</v>
      </c>
      <c r="Y295" s="79" t="n">
        <f aca="false">Y294+V295</f>
        <v>44421.4</v>
      </c>
      <c r="AA295" s="79" t="n">
        <v>15.8795881211816</v>
      </c>
    </row>
    <row r="296" s="98" customFormat="true" ht="15" hidden="false" customHeight="true" outlineLevel="0" collapsed="false">
      <c r="A296" s="102"/>
      <c r="B296" s="105" t="n">
        <v>1000</v>
      </c>
      <c r="C296" s="97" t="n">
        <v>41810</v>
      </c>
      <c r="D296" s="98" t="n">
        <v>18.6</v>
      </c>
      <c r="E296" s="98" t="n">
        <v>12.7</v>
      </c>
      <c r="F296" s="98" t="n">
        <v>23.7</v>
      </c>
      <c r="G296" s="98" t="n">
        <f aca="false">G295+D296</f>
        <v>3002.2</v>
      </c>
      <c r="H296" s="98" t="n">
        <f aca="false">H295+D296</f>
        <v>400.7</v>
      </c>
      <c r="J296" s="98" t="n">
        <v>0</v>
      </c>
      <c r="K296" s="98" t="n">
        <f aca="false">K295+J296</f>
        <v>618.2</v>
      </c>
      <c r="L296" s="98" t="n">
        <v>5.4</v>
      </c>
      <c r="M296" s="98" t="n">
        <f aca="false">M295+L296</f>
        <v>504.2</v>
      </c>
      <c r="N296" s="99" t="n">
        <f aca="false">J296-L296</f>
        <v>-5.4</v>
      </c>
      <c r="O296" s="100" t="n">
        <v>0</v>
      </c>
      <c r="P296" s="21" t="n">
        <v>291</v>
      </c>
      <c r="Q296" s="53" t="n">
        <f aca="false">1.15+((P296-246)/57)*(0.35-1.15)</f>
        <v>0.518421052631579</v>
      </c>
      <c r="R296" s="101" t="n">
        <f aca="false">Q296*L296</f>
        <v>2.79947368421053</v>
      </c>
      <c r="S296" s="23" t="n">
        <f aca="false">J296-R296</f>
        <v>-2.79947368421053</v>
      </c>
      <c r="T296" s="26" t="n">
        <v>0</v>
      </c>
      <c r="V296" s="98" t="n">
        <v>2848</v>
      </c>
      <c r="W296" s="98" t="n">
        <f aca="false">V296/D296</f>
        <v>153.118279569892</v>
      </c>
      <c r="X296" s="98" t="n">
        <f aca="false">X295+V296</f>
        <v>284934.6</v>
      </c>
      <c r="Y296" s="98" t="n">
        <f aca="false">Y295+V296</f>
        <v>47269.4</v>
      </c>
      <c r="AA296" s="98" t="n">
        <v>15.8829520890659</v>
      </c>
    </row>
    <row r="297" customFormat="false" ht="15" hidden="false" customHeight="false" outlineLevel="0" collapsed="false">
      <c r="A297" s="106"/>
      <c r="B297" s="107"/>
      <c r="C297" s="16" t="n">
        <v>41811</v>
      </c>
      <c r="D297" s="1" t="n">
        <v>20.2</v>
      </c>
      <c r="E297" s="1" t="n">
        <v>13.8</v>
      </c>
      <c r="F297" s="1" t="n">
        <v>26.3</v>
      </c>
      <c r="G297" s="1" t="n">
        <f aca="false">G296+D297</f>
        <v>3022.4</v>
      </c>
      <c r="H297" s="1" t="n">
        <v>20.2</v>
      </c>
      <c r="J297" s="1" t="n">
        <v>0</v>
      </c>
      <c r="K297" s="1" t="n">
        <f aca="false">K296+J297</f>
        <v>618.2</v>
      </c>
      <c r="L297" s="1" t="n">
        <v>7</v>
      </c>
      <c r="M297" s="1" t="n">
        <f aca="false">M296+L297</f>
        <v>511.2</v>
      </c>
      <c r="N297" s="19" t="n">
        <f aca="false">J297-L297</f>
        <v>-7</v>
      </c>
      <c r="O297" s="25" t="n">
        <v>0</v>
      </c>
      <c r="P297" s="21" t="n">
        <v>292</v>
      </c>
      <c r="Q297" s="53" t="n">
        <f aca="false">1.15+((P297-246)/57)*(0.35-1.15)</f>
        <v>0.504385964912281</v>
      </c>
      <c r="R297" s="23" t="n">
        <f aca="false">Q297*L297</f>
        <v>3.53070175438597</v>
      </c>
      <c r="S297" s="23" t="n">
        <f aca="false">J297-R297</f>
        <v>-3.53070175438597</v>
      </c>
      <c r="T297" s="26" t="n">
        <v>0</v>
      </c>
      <c r="V297" s="1" t="n">
        <v>2975.8</v>
      </c>
      <c r="W297" s="1" t="n">
        <f aca="false">V297/D297</f>
        <v>147.316831683168</v>
      </c>
      <c r="X297" s="1" t="n">
        <f aca="false">X296+V297</f>
        <v>287910.4</v>
      </c>
      <c r="Y297" s="1" t="n">
        <f aca="false">Y296+V297</f>
        <v>50245.2</v>
      </c>
      <c r="AA297" s="1" t="n">
        <v>15.884971455438</v>
      </c>
    </row>
    <row r="298" customFormat="false" ht="15" hidden="false" customHeight="false" outlineLevel="0" collapsed="false">
      <c r="A298" s="106"/>
      <c r="B298" s="107"/>
      <c r="C298" s="16" t="n">
        <v>41812</v>
      </c>
      <c r="D298" s="1" t="n">
        <v>22.3</v>
      </c>
      <c r="E298" s="1" t="n">
        <v>15.5</v>
      </c>
      <c r="F298" s="1" t="n">
        <v>28.6</v>
      </c>
      <c r="G298" s="1" t="n">
        <f aca="false">G297+D298</f>
        <v>3044.7</v>
      </c>
      <c r="H298" s="1" t="n">
        <f aca="false">H297+D298</f>
        <v>42.5</v>
      </c>
      <c r="J298" s="1" t="n">
        <v>0.1</v>
      </c>
      <c r="K298" s="1" t="n">
        <f aca="false">K297+J298</f>
        <v>618.3</v>
      </c>
      <c r="L298" s="1" t="n">
        <v>5.5</v>
      </c>
      <c r="M298" s="1" t="n">
        <f aca="false">M297+L298</f>
        <v>516.7</v>
      </c>
      <c r="N298" s="19" t="n">
        <f aca="false">J298-L298</f>
        <v>-5.4</v>
      </c>
      <c r="O298" s="25" t="n">
        <v>0</v>
      </c>
      <c r="P298" s="21" t="n">
        <v>293</v>
      </c>
      <c r="Q298" s="53" t="n">
        <f aca="false">1.15+((P298-246)/57)*(0.35-1.15)</f>
        <v>0.490350877192982</v>
      </c>
      <c r="R298" s="23" t="n">
        <f aca="false">Q298*L298</f>
        <v>2.6969298245614</v>
      </c>
      <c r="S298" s="23" t="n">
        <f aca="false">J298-R298</f>
        <v>-2.5969298245614</v>
      </c>
      <c r="T298" s="26" t="n">
        <v>0</v>
      </c>
      <c r="V298" s="1" t="n">
        <v>1943.1</v>
      </c>
      <c r="W298" s="1" t="n">
        <f aca="false">V298/D298</f>
        <v>87.1345291479821</v>
      </c>
      <c r="X298" s="1" t="n">
        <f aca="false">X297+V298</f>
        <v>289853.5</v>
      </c>
      <c r="Y298" s="1" t="n">
        <f aca="false">Y297+V298</f>
        <v>52188.3</v>
      </c>
      <c r="AA298" s="1" t="n">
        <v>15.8856446794653</v>
      </c>
    </row>
    <row r="299" customFormat="false" ht="15" hidden="false" customHeight="false" outlineLevel="0" collapsed="false">
      <c r="A299" s="106"/>
      <c r="B299" s="107"/>
      <c r="C299" s="16" t="n">
        <v>41813</v>
      </c>
      <c r="D299" s="1" t="n">
        <v>16.1</v>
      </c>
      <c r="E299" s="1" t="n">
        <v>15.4</v>
      </c>
      <c r="F299" s="1" t="n">
        <v>17.3</v>
      </c>
      <c r="G299" s="1" t="n">
        <f aca="false">G298+D299</f>
        <v>3060.8</v>
      </c>
      <c r="H299" s="1" t="n">
        <f aca="false">H298+D299</f>
        <v>58.6</v>
      </c>
      <c r="J299" s="1" t="n">
        <v>8.7</v>
      </c>
      <c r="K299" s="1" t="n">
        <f aca="false">K298+J299</f>
        <v>627</v>
      </c>
      <c r="L299" s="1" t="n">
        <v>1.7</v>
      </c>
      <c r="M299" s="1" t="n">
        <f aca="false">M298+L299</f>
        <v>518.4</v>
      </c>
      <c r="N299" s="1" t="n">
        <f aca="false">J299-L299</f>
        <v>7</v>
      </c>
      <c r="O299" s="25" t="n">
        <f aca="false">O298+N299</f>
        <v>7</v>
      </c>
      <c r="P299" s="21" t="n">
        <v>294</v>
      </c>
      <c r="Q299" s="53" t="n">
        <f aca="false">1.15+((P299-246)/57)*(0.35-1.15)</f>
        <v>0.476315789473684</v>
      </c>
      <c r="R299" s="23" t="n">
        <f aca="false">Q299*L299</f>
        <v>0.809736842105263</v>
      </c>
      <c r="S299" s="23" t="n">
        <f aca="false">J299-R299</f>
        <v>7.89026315789474</v>
      </c>
      <c r="T299" s="26" t="n">
        <f aca="false">MIN(122.1,(T298+S299))</f>
        <v>7.89026315789474</v>
      </c>
      <c r="V299" s="1" t="n">
        <v>673.2</v>
      </c>
      <c r="W299" s="1" t="n">
        <f aca="false">V299/D299</f>
        <v>41.8136645962733</v>
      </c>
      <c r="X299" s="1" t="n">
        <f aca="false">X298+V299</f>
        <v>290526.7</v>
      </c>
      <c r="Y299" s="1" t="n">
        <f aca="false">Y298+V299</f>
        <v>52861.5</v>
      </c>
      <c r="AA299" s="1" t="n">
        <v>15.8849715792323</v>
      </c>
    </row>
    <row r="300" customFormat="false" ht="15" hidden="false" customHeight="false" outlineLevel="0" collapsed="false">
      <c r="A300" s="106"/>
      <c r="B300" s="107"/>
      <c r="C300" s="16" t="n">
        <v>41814</v>
      </c>
      <c r="D300" s="1" t="n">
        <v>19.5</v>
      </c>
      <c r="E300" s="1" t="n">
        <v>13.9</v>
      </c>
      <c r="F300" s="1" t="n">
        <v>25</v>
      </c>
      <c r="G300" s="1" t="n">
        <f aca="false">G299+D300</f>
        <v>3080.3</v>
      </c>
      <c r="H300" s="1" t="n">
        <f aca="false">H299+D300</f>
        <v>78.1</v>
      </c>
      <c r="J300" s="1" t="n">
        <v>0</v>
      </c>
      <c r="K300" s="1" t="n">
        <f aca="false">K299+J300</f>
        <v>627</v>
      </c>
      <c r="L300" s="1" t="n">
        <v>5.5</v>
      </c>
      <c r="M300" s="1" t="n">
        <f aca="false">M299+L300</f>
        <v>523.9</v>
      </c>
      <c r="N300" s="19" t="n">
        <f aca="false">J300-L300</f>
        <v>-5.5</v>
      </c>
      <c r="O300" s="25" t="n">
        <f aca="false">O299+N300</f>
        <v>1.5</v>
      </c>
      <c r="P300" s="21" t="n">
        <v>295</v>
      </c>
      <c r="Q300" s="53" t="n">
        <f aca="false">1.15+((P300-246)/57)*(0.35-1.15)</f>
        <v>0.462280701754386</v>
      </c>
      <c r="R300" s="23" t="n">
        <f aca="false">Q300*L300</f>
        <v>2.54254385964912</v>
      </c>
      <c r="S300" s="23" t="n">
        <f aca="false">J300-R300</f>
        <v>-2.54254385964912</v>
      </c>
      <c r="T300" s="26" t="n">
        <f aca="false">MIN(122.1,(T299+S300))</f>
        <v>5.34771929824561</v>
      </c>
      <c r="V300" s="1" t="n">
        <v>2698.8</v>
      </c>
      <c r="W300" s="1" t="n">
        <f aca="false">V300/D300</f>
        <v>138.4</v>
      </c>
      <c r="X300" s="1" t="n">
        <f aca="false">X299+V300</f>
        <v>293225.5</v>
      </c>
      <c r="Y300" s="1" t="n">
        <f aca="false">Y299+V300</f>
        <v>55560.3</v>
      </c>
      <c r="AA300" s="1" t="n">
        <v>15.8829533323817</v>
      </c>
    </row>
    <row r="301" customFormat="false" ht="15" hidden="false" customHeight="false" outlineLevel="0" collapsed="false">
      <c r="A301" s="106"/>
      <c r="B301" s="107"/>
      <c r="C301" s="16" t="n">
        <v>41815</v>
      </c>
      <c r="D301" s="1" t="n">
        <v>20</v>
      </c>
      <c r="E301" s="1" t="n">
        <v>15.7</v>
      </c>
      <c r="F301" s="1" t="n">
        <v>23.8</v>
      </c>
      <c r="G301" s="1" t="n">
        <f aca="false">G300+D301</f>
        <v>3100.3</v>
      </c>
      <c r="H301" s="1" t="n">
        <f aca="false">H300+D301</f>
        <v>98.1</v>
      </c>
      <c r="J301" s="1" t="n">
        <v>0.1</v>
      </c>
      <c r="K301" s="1" t="n">
        <f aca="false">K300+J301</f>
        <v>627.1</v>
      </c>
      <c r="L301" s="1" t="n">
        <v>5.9</v>
      </c>
      <c r="M301" s="1" t="n">
        <f aca="false">M300+L301</f>
        <v>529.8</v>
      </c>
      <c r="N301" s="19" t="n">
        <f aca="false">J301-L301</f>
        <v>-5.8</v>
      </c>
      <c r="O301" s="25" t="n">
        <v>0</v>
      </c>
      <c r="P301" s="21" t="n">
        <v>296</v>
      </c>
      <c r="Q301" s="53" t="n">
        <f aca="false">1.15+((P301-246)/57)*(0.35-1.15)</f>
        <v>0.448245614035088</v>
      </c>
      <c r="R301" s="23" t="n">
        <f aca="false">Q301*L301</f>
        <v>2.64464912280702</v>
      </c>
      <c r="S301" s="23" t="n">
        <f aca="false">J301-R301</f>
        <v>-2.54464912280702</v>
      </c>
      <c r="T301" s="26" t="n">
        <f aca="false">MIN(122.1,(T300+S301))</f>
        <v>2.8030701754386</v>
      </c>
      <c r="V301" s="1" t="n">
        <v>2658</v>
      </c>
      <c r="W301" s="1" t="n">
        <f aca="false">V301/D301</f>
        <v>132.9</v>
      </c>
      <c r="X301" s="1" t="n">
        <f aca="false">X300+V301</f>
        <v>295883.5</v>
      </c>
      <c r="Y301" s="1" t="n">
        <f aca="false">Y300+V301</f>
        <v>58218.3</v>
      </c>
      <c r="AA301" s="1" t="n">
        <v>15.8795924716352</v>
      </c>
    </row>
    <row r="302" customFormat="false" ht="15" hidden="false" customHeight="false" outlineLevel="0" collapsed="false">
      <c r="A302" s="106"/>
      <c r="B302" s="107"/>
      <c r="C302" s="16" t="n">
        <v>41816</v>
      </c>
      <c r="D302" s="1" t="n">
        <v>18.9</v>
      </c>
      <c r="E302" s="1" t="n">
        <v>15.9</v>
      </c>
      <c r="F302" s="1" t="n">
        <v>24.8</v>
      </c>
      <c r="G302" s="1" t="n">
        <f aca="false">G301+D302</f>
        <v>3119.2</v>
      </c>
      <c r="H302" s="1" t="n">
        <f aca="false">H301+D302</f>
        <v>117</v>
      </c>
      <c r="J302" s="1" t="n">
        <v>5.3</v>
      </c>
      <c r="K302" s="1" t="n">
        <f aca="false">K301+J302</f>
        <v>632.4</v>
      </c>
      <c r="L302" s="1" t="n">
        <v>4.7</v>
      </c>
      <c r="M302" s="1" t="n">
        <f aca="false">M301+L302</f>
        <v>534.5</v>
      </c>
      <c r="N302" s="1" t="n">
        <f aca="false">J302-L302</f>
        <v>0.6</v>
      </c>
      <c r="O302" s="25" t="n">
        <f aca="false">O301+N302</f>
        <v>0.6</v>
      </c>
      <c r="P302" s="21" t="n">
        <v>297</v>
      </c>
      <c r="Q302" s="53" t="n">
        <f aca="false">1.15+((P302-246)/57)*(0.35-1.15)</f>
        <v>0.43421052631579</v>
      </c>
      <c r="R302" s="23" t="n">
        <f aca="false">Q302*L302</f>
        <v>2.04078947368421</v>
      </c>
      <c r="S302" s="23" t="n">
        <f aca="false">J302-R302</f>
        <v>3.25921052631579</v>
      </c>
      <c r="T302" s="26" t="n">
        <f aca="false">MIN(122.1,(T301+S302))</f>
        <v>6.06228070175439</v>
      </c>
      <c r="V302" s="1" t="n">
        <v>2135.1</v>
      </c>
      <c r="W302" s="1" t="n">
        <f aca="false">V302/D302</f>
        <v>112.968253968254</v>
      </c>
      <c r="X302" s="1" t="n">
        <f aca="false">X301+V302</f>
        <v>298018.6</v>
      </c>
      <c r="Y302" s="1" t="n">
        <f aca="false">Y301+V302</f>
        <v>60353.4</v>
      </c>
      <c r="AA302" s="1" t="n">
        <v>15.8748928752298</v>
      </c>
    </row>
    <row r="303" customFormat="false" ht="15" hidden="false" customHeight="false" outlineLevel="0" collapsed="false">
      <c r="A303" s="106"/>
      <c r="B303" s="107"/>
      <c r="C303" s="16" t="n">
        <v>41817</v>
      </c>
      <c r="D303" s="1" t="n">
        <v>17.3</v>
      </c>
      <c r="E303" s="1" t="n">
        <v>14.4</v>
      </c>
      <c r="F303" s="1" t="n">
        <v>22.7</v>
      </c>
      <c r="G303" s="1" t="n">
        <f aca="false">G302+D303</f>
        <v>3136.5</v>
      </c>
      <c r="H303" s="1" t="n">
        <f aca="false">H302+D303</f>
        <v>134.3</v>
      </c>
      <c r="J303" s="1" t="n">
        <v>10.8</v>
      </c>
      <c r="K303" s="1" t="n">
        <f aca="false">K302+J303</f>
        <v>643.2</v>
      </c>
      <c r="L303" s="1" t="n">
        <v>3.7</v>
      </c>
      <c r="M303" s="1" t="n">
        <f aca="false">M302+L303</f>
        <v>538.2</v>
      </c>
      <c r="N303" s="1" t="n">
        <f aca="false">J303-L303</f>
        <v>7.1</v>
      </c>
      <c r="O303" s="25" t="n">
        <f aca="false">O302+N303</f>
        <v>7.7</v>
      </c>
      <c r="P303" s="21" t="n">
        <v>298</v>
      </c>
      <c r="Q303" s="53" t="n">
        <f aca="false">1.15+((P303-246)/57)*(0.35-1.15)</f>
        <v>0.420175438596491</v>
      </c>
      <c r="R303" s="23" t="n">
        <f aca="false">Q303*L303</f>
        <v>1.55464912280702</v>
      </c>
      <c r="S303" s="23" t="n">
        <f aca="false">J303-R303</f>
        <v>9.24535087719298</v>
      </c>
      <c r="T303" s="26" t="n">
        <f aca="false">MIN(122.1,(T302+S303))</f>
        <v>15.3076315789474</v>
      </c>
      <c r="V303" s="1" t="n">
        <v>1718.8</v>
      </c>
      <c r="W303" s="1" t="n">
        <f aca="false">V303/D303</f>
        <v>99.3526011560694</v>
      </c>
      <c r="X303" s="1" t="n">
        <f aca="false">X302+V303</f>
        <v>299737.4</v>
      </c>
      <c r="Y303" s="1" t="n">
        <f aca="false">Y302+V303</f>
        <v>62072.2</v>
      </c>
      <c r="AA303" s="1" t="n">
        <v>15.8688597523455</v>
      </c>
    </row>
    <row r="304" customFormat="false" ht="15" hidden="false" customHeight="false" outlineLevel="0" collapsed="false">
      <c r="A304" s="106"/>
      <c r="B304" s="107"/>
      <c r="C304" s="16" t="n">
        <v>41818</v>
      </c>
      <c r="D304" s="1" t="n">
        <v>15.8</v>
      </c>
      <c r="E304" s="1" t="n">
        <v>14.1</v>
      </c>
      <c r="F304" s="1" t="n">
        <v>18.1</v>
      </c>
      <c r="G304" s="1" t="n">
        <f aca="false">G303+D304</f>
        <v>3152.3</v>
      </c>
      <c r="H304" s="1" t="n">
        <f aca="false">H303+D304</f>
        <v>150.1</v>
      </c>
      <c r="J304" s="1" t="n">
        <v>21</v>
      </c>
      <c r="K304" s="1" t="n">
        <f aca="false">K303+J304</f>
        <v>664.2</v>
      </c>
      <c r="L304" s="1" t="n">
        <v>1.6</v>
      </c>
      <c r="M304" s="1" t="n">
        <f aca="false">M303+L304</f>
        <v>539.8</v>
      </c>
      <c r="N304" s="1" t="n">
        <f aca="false">J304-L304</f>
        <v>19.4</v>
      </c>
      <c r="O304" s="25" t="n">
        <f aca="false">O303+N304</f>
        <v>27.1</v>
      </c>
      <c r="P304" s="21" t="n">
        <v>299</v>
      </c>
      <c r="Q304" s="53" t="n">
        <f aca="false">1.15+((P304-246)/57)*(0.35-1.15)</f>
        <v>0.406140350877193</v>
      </c>
      <c r="R304" s="23" t="n">
        <f aca="false">Q304*L304</f>
        <v>0.649824561403509</v>
      </c>
      <c r="S304" s="23" t="n">
        <f aca="false">J304-R304</f>
        <v>20.3501754385965</v>
      </c>
      <c r="T304" s="26" t="n">
        <f aca="false">MIN(122.1,(T303+S304))</f>
        <v>35.6578070175439</v>
      </c>
      <c r="V304" s="27" t="n">
        <v>725.8</v>
      </c>
      <c r="W304" s="1" t="n">
        <f aca="false">V304/D304</f>
        <v>45.9367088607595</v>
      </c>
      <c r="X304" s="1" t="n">
        <f aca="false">X303+V304</f>
        <v>300463.2</v>
      </c>
      <c r="Y304" s="1" t="n">
        <f aca="false">Y303+V304</f>
        <v>62798</v>
      </c>
      <c r="AA304" s="1" t="n">
        <v>15.8614996236362</v>
      </c>
    </row>
    <row r="305" customFormat="false" ht="15" hidden="false" customHeight="false" outlineLevel="0" collapsed="false">
      <c r="A305" s="106"/>
      <c r="B305" s="107"/>
      <c r="C305" s="16" t="n">
        <v>41819</v>
      </c>
      <c r="D305" s="1" t="n">
        <v>15.3</v>
      </c>
      <c r="E305" s="1" t="n">
        <v>13.3</v>
      </c>
      <c r="F305" s="1" t="n">
        <v>19.1</v>
      </c>
      <c r="G305" s="1" t="n">
        <f aca="false">G304+D305</f>
        <v>3167.6</v>
      </c>
      <c r="H305" s="1" t="n">
        <f aca="false">H304+D305</f>
        <v>165.4</v>
      </c>
      <c r="J305" s="1" t="n">
        <v>2.7</v>
      </c>
      <c r="K305" s="1" t="n">
        <f aca="false">K304+J305</f>
        <v>666.9</v>
      </c>
      <c r="L305" s="1" t="n">
        <v>3.3</v>
      </c>
      <c r="M305" s="1" t="n">
        <f aca="false">M304+L305</f>
        <v>543.1</v>
      </c>
      <c r="N305" s="19" t="n">
        <f aca="false">J305-L305</f>
        <v>-0.6</v>
      </c>
      <c r="O305" s="25" t="n">
        <f aca="false">O304+N305</f>
        <v>26.5</v>
      </c>
      <c r="P305" s="21" t="n">
        <v>300</v>
      </c>
      <c r="Q305" s="53" t="n">
        <f aca="false">1.15+((P305-246)/57)*(0.35-1.15)</f>
        <v>0.392105263157895</v>
      </c>
      <c r="R305" s="23" t="n">
        <f aca="false">Q305*L305</f>
        <v>1.29394736842105</v>
      </c>
      <c r="S305" s="23" t="n">
        <f aca="false">J305-R305</f>
        <v>1.40605263157895</v>
      </c>
      <c r="T305" s="26" t="n">
        <f aca="false">MIN(122.1,(T304+S305))</f>
        <v>37.0638596491228</v>
      </c>
      <c r="V305" s="1" t="n">
        <v>1659.1</v>
      </c>
      <c r="W305" s="1" t="n">
        <f aca="false">V305/D305</f>
        <v>108.437908496732</v>
      </c>
      <c r="X305" s="1" t="n">
        <f aca="false">X304+V305</f>
        <v>302122.3</v>
      </c>
      <c r="Y305" s="1" t="n">
        <f aca="false">Y304+V305</f>
        <v>64457.1</v>
      </c>
      <c r="AA305" s="1" t="n">
        <v>15.8528202970167</v>
      </c>
    </row>
    <row r="306" customFormat="false" ht="15" hidden="false" customHeight="false" outlineLevel="0" collapsed="false">
      <c r="A306" s="106"/>
      <c r="B306" s="107"/>
      <c r="C306" s="16" t="n">
        <v>41820</v>
      </c>
      <c r="D306" s="1" t="n">
        <v>16.4</v>
      </c>
      <c r="E306" s="1" t="n">
        <v>11.9</v>
      </c>
      <c r="F306" s="1" t="n">
        <v>20.2</v>
      </c>
      <c r="G306" s="1" t="n">
        <f aca="false">G305+D306</f>
        <v>3184</v>
      </c>
      <c r="H306" s="1" t="n">
        <f aca="false">H305+D306</f>
        <v>181.8</v>
      </c>
      <c r="J306" s="1" t="n">
        <v>0</v>
      </c>
      <c r="K306" s="1" t="n">
        <f aca="false">K305+J306</f>
        <v>666.9</v>
      </c>
      <c r="L306" s="1" t="n">
        <v>3.6</v>
      </c>
      <c r="M306" s="1" t="n">
        <f aca="false">M305+L306</f>
        <v>546.7</v>
      </c>
      <c r="N306" s="19" t="n">
        <f aca="false">J306-L306</f>
        <v>-3.6</v>
      </c>
      <c r="O306" s="25" t="n">
        <f aca="false">O305+N306</f>
        <v>22.9</v>
      </c>
      <c r="P306" s="21" t="n">
        <v>301</v>
      </c>
      <c r="Q306" s="53" t="n">
        <f aca="false">1.15+((P306-246)/57)*(0.35-1.15)</f>
        <v>0.378070175438596</v>
      </c>
      <c r="R306" s="23" t="n">
        <f aca="false">Q306*L306</f>
        <v>1.36105263157895</v>
      </c>
      <c r="S306" s="23" t="n">
        <f aca="false">J306-R306</f>
        <v>-1.36105263157895</v>
      </c>
      <c r="T306" s="26" t="n">
        <f aca="false">MIN(122.1,(T305+S306))</f>
        <v>35.7028070175439</v>
      </c>
      <c r="V306" s="1" t="n">
        <v>1879.2</v>
      </c>
      <c r="W306" s="1" t="n">
        <f aca="false">V306/D306</f>
        <v>114.585365853659</v>
      </c>
      <c r="X306" s="1" t="n">
        <f aca="false">X305+V306</f>
        <v>304001.5</v>
      </c>
      <c r="Y306" s="1" t="n">
        <f aca="false">Y305+V306</f>
        <v>66336.3</v>
      </c>
      <c r="AA306" s="1" t="n">
        <v>15.8428308388906</v>
      </c>
    </row>
    <row r="307" customFormat="false" ht="15" hidden="false" customHeight="false" outlineLevel="0" collapsed="false">
      <c r="A307" s="106"/>
      <c r="B307" s="107"/>
      <c r="C307" s="16" t="n">
        <v>41821</v>
      </c>
      <c r="D307" s="1" t="n">
        <v>18.6</v>
      </c>
      <c r="E307" s="1" t="n">
        <v>12.1</v>
      </c>
      <c r="F307" s="1" t="n">
        <v>23.8</v>
      </c>
      <c r="G307" s="1" t="n">
        <f aca="false">G306+D307</f>
        <v>3202.6</v>
      </c>
      <c r="H307" s="1" t="n">
        <f aca="false">H306+D307</f>
        <v>200.4</v>
      </c>
      <c r="J307" s="1" t="n">
        <v>0.1</v>
      </c>
      <c r="K307" s="1" t="n">
        <f aca="false">K306+J307</f>
        <v>667</v>
      </c>
      <c r="L307" s="1" t="n">
        <v>2.9</v>
      </c>
      <c r="M307" s="1" t="n">
        <f aca="false">M306+L307</f>
        <v>549.6</v>
      </c>
      <c r="N307" s="19" t="n">
        <f aca="false">J307-L307</f>
        <v>-2.8</v>
      </c>
      <c r="O307" s="25" t="n">
        <f aca="false">O306+N307</f>
        <v>20.1</v>
      </c>
      <c r="P307" s="21" t="n">
        <v>302</v>
      </c>
      <c r="Q307" s="53" t="n">
        <f aca="false">1.15+((P307-246)/57)*(0.35-1.15)</f>
        <v>0.364035087719298</v>
      </c>
      <c r="R307" s="23" t="n">
        <f aca="false">Q307*L307</f>
        <v>1.05570175438597</v>
      </c>
      <c r="S307" s="23" t="n">
        <f aca="false">J307-R307</f>
        <v>-0.955701754385965</v>
      </c>
      <c r="T307" s="26" t="n">
        <f aca="false">MIN(122.1,(T306+S307))</f>
        <v>34.7471052631579</v>
      </c>
      <c r="V307" s="1" t="n">
        <v>1247.7</v>
      </c>
      <c r="W307" s="1" t="n">
        <f aca="false">V307/D307</f>
        <v>67.0806451612903</v>
      </c>
      <c r="X307" s="1" t="n">
        <f aca="false">X306+V307</f>
        <v>305249.2</v>
      </c>
      <c r="Y307" s="1" t="n">
        <f aca="false">Y306+V307</f>
        <v>67584</v>
      </c>
      <c r="AA307" s="1" t="n">
        <v>15.8315415410386</v>
      </c>
    </row>
    <row r="308" customFormat="false" ht="15" hidden="false" customHeight="false" outlineLevel="0" collapsed="false">
      <c r="A308" s="106"/>
      <c r="B308" s="107"/>
      <c r="C308" s="16" t="n">
        <v>41822</v>
      </c>
      <c r="D308" s="1" t="n">
        <v>20.9</v>
      </c>
      <c r="E308" s="1" t="n">
        <v>15</v>
      </c>
      <c r="F308" s="1" t="n">
        <v>26.1</v>
      </c>
      <c r="G308" s="1" t="n">
        <f aca="false">G307+D308</f>
        <v>3223.5</v>
      </c>
      <c r="H308" s="1" t="n">
        <f aca="false">H307+D308</f>
        <v>221.3</v>
      </c>
      <c r="J308" s="1" t="n">
        <v>0</v>
      </c>
      <c r="K308" s="1" t="n">
        <f aca="false">K307+J308</f>
        <v>667</v>
      </c>
      <c r="L308" s="1" t="n">
        <v>5.6</v>
      </c>
      <c r="M308" s="1" t="n">
        <f aca="false">M307+L308</f>
        <v>555.2</v>
      </c>
      <c r="N308" s="19" t="n">
        <f aca="false">J308-L308</f>
        <v>-5.6</v>
      </c>
      <c r="O308" s="25" t="n">
        <f aca="false">O307+N308</f>
        <v>14.5</v>
      </c>
      <c r="P308" s="21" t="n">
        <v>303</v>
      </c>
      <c r="Q308" s="53" t="n">
        <f aca="false">1.15+((P308-246)/57)*(0.35-1.15)</f>
        <v>0.35</v>
      </c>
      <c r="R308" s="23" t="n">
        <f aca="false">Q308*L308</f>
        <v>1.96</v>
      </c>
      <c r="S308" s="23" t="n">
        <f aca="false">J308-R308</f>
        <v>-1.96</v>
      </c>
      <c r="T308" s="26" t="n">
        <f aca="false">MIN(122.1,(T307+S308))</f>
        <v>32.7871052631579</v>
      </c>
      <c r="V308" s="1" t="n">
        <v>2445.1</v>
      </c>
      <c r="W308" s="1" t="n">
        <f aca="false">V308/D308</f>
        <v>116.99043062201</v>
      </c>
      <c r="X308" s="1" t="n">
        <f aca="false">X307+V308</f>
        <v>307694.3</v>
      </c>
      <c r="Y308" s="1" t="n">
        <f aca="false">Y307+V308</f>
        <v>70029.1</v>
      </c>
      <c r="AA308" s="1" t="n">
        <v>15.8189638834161</v>
      </c>
    </row>
    <row r="309" customFormat="false" ht="15" hidden="false" customHeight="false" outlineLevel="0" collapsed="false">
      <c r="A309" s="108" t="s">
        <v>56</v>
      </c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</sheetData>
  <mergeCells count="15">
    <mergeCell ref="D1:I2"/>
    <mergeCell ref="J1:U2"/>
    <mergeCell ref="V1:Z2"/>
    <mergeCell ref="J3:O3"/>
    <mergeCell ref="P3:T3"/>
    <mergeCell ref="G4:H4"/>
    <mergeCell ref="X4:Y4"/>
    <mergeCell ref="A5:Z5"/>
    <mergeCell ref="A6:A79"/>
    <mergeCell ref="A80:A127"/>
    <mergeCell ref="A128:A202"/>
    <mergeCell ref="A224:A251"/>
    <mergeCell ref="A252:A274"/>
    <mergeCell ref="A275:A296"/>
    <mergeCell ref="A309:Z309"/>
  </mergeCells>
  <conditionalFormatting sqref="U7 T5:T309">
    <cfRule type="cellIs" priority="2" operator="equal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40.7</formula>
    </cfRule>
  </conditionalFormatting>
  <conditionalFormatting sqref="S6:S308">
    <cfRule type="cellIs" priority="4" operator="lessThanOrEqual" aboveAverage="0" equalAverage="0" bottom="0" percent="0" rank="0" text="" dxfId="2">
      <formula>0</formula>
    </cfRule>
  </conditionalFormatting>
  <conditionalFormatting sqref="T1:T4">
    <cfRule type="cellIs" priority="5" operator="equal" aboveAverage="0" equalAverage="0" bottom="0" percent="0" rank="0" text="" dxfId="3">
      <formula>0</formula>
    </cfRule>
    <cfRule type="cellIs" priority="6" operator="lessThanOrEqual" aboveAverage="0" equalAverage="0" bottom="0" percent="0" rank="0" text="" dxfId="4">
      <formula>40.7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C309"/>
  <sheetViews>
    <sheetView showFormulas="false" showGridLines="true" showRowColHeaders="true" showZeros="true" rightToLeft="false" tabSelected="false" showOutlineSymbols="true" defaultGridColor="true" view="normal" topLeftCell="A175" colorId="64" zoomScale="70" zoomScaleNormal="70" zoomScalePageLayoutView="100" workbookViewId="0">
      <selection pane="topLeft" activeCell="AB189" activeCellId="0" sqref="AB189"/>
    </sheetView>
  </sheetViews>
  <sheetFormatPr defaultColWidth="10.54296875" defaultRowHeight="15" customHeight="true" zeroHeight="false" outlineLevelRow="0" outlineLevelCol="0"/>
  <cols>
    <col collapsed="false" customWidth="true" hidden="false" outlineLevel="0" max="26" min="26" style="1" width="12.29"/>
  </cols>
  <sheetData>
    <row r="1" customFormat="false" ht="15" hidden="false" customHeight="false" outlineLevel="0" collapsed="false">
      <c r="B1" s="1"/>
      <c r="C1" s="2"/>
      <c r="D1" s="3" t="s">
        <v>0</v>
      </c>
      <c r="E1" s="3"/>
      <c r="F1" s="3"/>
      <c r="G1" s="3"/>
      <c r="H1" s="3"/>
      <c r="I1" s="3"/>
      <c r="J1" s="3" t="s">
        <v>1</v>
      </c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 t="s">
        <v>2</v>
      </c>
      <c r="W1" s="3"/>
      <c r="X1" s="3"/>
      <c r="Y1" s="3"/>
      <c r="Z1" s="3"/>
    </row>
    <row r="2" customFormat="false" ht="15" hidden="false" customHeight="false" outlineLevel="0" collapsed="false">
      <c r="B2" s="1"/>
      <c r="C2" s="2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customFormat="false" ht="15" hidden="false" customHeight="false" outlineLevel="0" collapsed="false">
      <c r="B3" s="1"/>
      <c r="C3" s="2"/>
      <c r="D3" s="4"/>
      <c r="E3" s="4"/>
      <c r="F3" s="4"/>
      <c r="G3" s="4"/>
      <c r="H3" s="4"/>
      <c r="I3" s="4"/>
      <c r="J3" s="5"/>
      <c r="K3" s="5"/>
      <c r="L3" s="5"/>
      <c r="M3" s="5"/>
      <c r="N3" s="5"/>
      <c r="O3" s="5"/>
      <c r="P3" s="6" t="s">
        <v>3</v>
      </c>
      <c r="Q3" s="6"/>
      <c r="R3" s="6"/>
      <c r="S3" s="6"/>
      <c r="T3" s="6"/>
      <c r="U3" s="7"/>
      <c r="V3" s="4"/>
      <c r="W3" s="4"/>
      <c r="X3" s="4"/>
      <c r="Y3" s="4"/>
      <c r="Z3" s="4"/>
    </row>
    <row r="4" customFormat="false" ht="15" hidden="false" customHeight="false" outlineLevel="0" collapsed="false">
      <c r="A4" s="1" t="s">
        <v>4</v>
      </c>
      <c r="B4" s="1" t="n">
        <v>5</v>
      </c>
      <c r="C4" s="8" t="s">
        <v>5</v>
      </c>
      <c r="D4" s="1" t="s">
        <v>6</v>
      </c>
      <c r="E4" s="1" t="s">
        <v>7</v>
      </c>
      <c r="F4" s="1" t="s">
        <v>8</v>
      </c>
      <c r="G4" s="9" t="s">
        <v>9</v>
      </c>
      <c r="H4" s="9"/>
      <c r="I4" s="1" t="s">
        <v>10</v>
      </c>
      <c r="J4" s="1" t="s">
        <v>57</v>
      </c>
      <c r="K4" s="1" t="s">
        <v>12</v>
      </c>
      <c r="L4" s="1" t="s">
        <v>58</v>
      </c>
      <c r="M4" s="1" t="s">
        <v>14</v>
      </c>
      <c r="N4" s="1" t="s">
        <v>15</v>
      </c>
      <c r="O4" s="1" t="s">
        <v>59</v>
      </c>
      <c r="P4" s="10" t="s">
        <v>17</v>
      </c>
      <c r="Q4" s="11" t="s">
        <v>18</v>
      </c>
      <c r="R4" s="11" t="s">
        <v>19</v>
      </c>
      <c r="S4" s="11" t="s">
        <v>20</v>
      </c>
      <c r="T4" s="12" t="s">
        <v>21</v>
      </c>
      <c r="U4" s="1" t="s">
        <v>10</v>
      </c>
      <c r="V4" s="1" t="s">
        <v>60</v>
      </c>
      <c r="W4" s="1" t="s">
        <v>23</v>
      </c>
      <c r="X4" s="13" t="s">
        <v>24</v>
      </c>
      <c r="Y4" s="13"/>
      <c r="Z4" s="1" t="s">
        <v>10</v>
      </c>
      <c r="AA4" s="1" t="s">
        <v>61</v>
      </c>
    </row>
    <row r="5" customFormat="false" ht="15" hidden="false" customHeight="true" outlineLevel="0" collapsed="false">
      <c r="A5" s="14" t="s">
        <v>26</v>
      </c>
      <c r="B5" s="14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customFormat="false" ht="15" hidden="false" customHeight="true" outlineLevel="0" collapsed="false">
      <c r="A6" s="15" t="s">
        <v>27</v>
      </c>
      <c r="B6" s="4"/>
      <c r="C6" s="16" t="n">
        <v>41520</v>
      </c>
      <c r="D6" s="1" t="n">
        <v>19.5</v>
      </c>
      <c r="E6" s="1" t="n">
        <v>10.8</v>
      </c>
      <c r="F6" s="17" t="n">
        <v>26.4</v>
      </c>
      <c r="G6" s="1" t="n">
        <f aca="false">D6</f>
        <v>19.5</v>
      </c>
      <c r="I6" s="18" t="s">
        <v>28</v>
      </c>
      <c r="J6" s="1" t="n">
        <v>0</v>
      </c>
      <c r="K6" s="1" t="n">
        <f aca="false">J6</f>
        <v>0</v>
      </c>
      <c r="L6" s="1" t="n">
        <v>5.4</v>
      </c>
      <c r="M6" s="1" t="n">
        <f aca="false">L6</f>
        <v>5.4</v>
      </c>
      <c r="N6" s="19" t="n">
        <f aca="false">J6-L6</f>
        <v>-5.4</v>
      </c>
      <c r="O6" s="20" t="n">
        <v>0</v>
      </c>
      <c r="P6" s="21" t="n">
        <v>1</v>
      </c>
      <c r="Q6" s="22" t="n">
        <v>0.35</v>
      </c>
      <c r="R6" s="23" t="n">
        <f aca="false">Q6*L6</f>
        <v>1.89</v>
      </c>
      <c r="S6" s="23" t="n">
        <f aca="false">J6-R6</f>
        <v>-1.89</v>
      </c>
      <c r="T6" s="24" t="n">
        <v>0</v>
      </c>
      <c r="U6" s="18" t="s">
        <v>29</v>
      </c>
      <c r="V6" s="1" t="n">
        <v>2247.1</v>
      </c>
      <c r="W6" s="1" t="n">
        <f aca="false">V6/D6</f>
        <v>115.235897435897</v>
      </c>
      <c r="X6" s="1" t="n">
        <f aca="false">V6</f>
        <v>2247.1</v>
      </c>
      <c r="Z6" s="18" t="s">
        <v>30</v>
      </c>
      <c r="AA6" s="1" t="n">
        <v>13.2983685393283</v>
      </c>
    </row>
    <row r="7" customFormat="false" ht="15" hidden="false" customHeight="false" outlineLevel="0" collapsed="false">
      <c r="A7" s="15"/>
      <c r="B7" s="4"/>
      <c r="C7" s="16" t="n">
        <v>41521</v>
      </c>
      <c r="D7" s="1" t="n">
        <v>22.6</v>
      </c>
      <c r="E7" s="1" t="n">
        <v>12.2</v>
      </c>
      <c r="F7" s="17" t="n">
        <v>31.3</v>
      </c>
      <c r="G7" s="1" t="n">
        <f aca="false">G6+D7</f>
        <v>42.1</v>
      </c>
      <c r="I7" s="1" t="n">
        <f aca="false">MIN(E6:E79)</f>
        <v>-0.2</v>
      </c>
      <c r="J7" s="1" t="n">
        <v>0</v>
      </c>
      <c r="K7" s="1" t="n">
        <f aca="false">K6+J7</f>
        <v>0</v>
      </c>
      <c r="L7" s="1" t="n">
        <v>5.8</v>
      </c>
      <c r="M7" s="1" t="n">
        <f aca="false">M6+L7</f>
        <v>11.2</v>
      </c>
      <c r="N7" s="19" t="n">
        <f aca="false">J7-L7</f>
        <v>-5.8</v>
      </c>
      <c r="O7" s="20" t="n">
        <v>0</v>
      </c>
      <c r="P7" s="21" t="n">
        <v>2</v>
      </c>
      <c r="Q7" s="22" t="n">
        <v>0.35</v>
      </c>
      <c r="R7" s="23" t="n">
        <f aca="false">Q7*L7</f>
        <v>2.03</v>
      </c>
      <c r="S7" s="23" t="n">
        <f aca="false">J7-R7</f>
        <v>-2.03</v>
      </c>
      <c r="T7" s="24" t="n">
        <v>0</v>
      </c>
      <c r="U7" s="22" t="n">
        <v>36</v>
      </c>
      <c r="V7" s="1" t="n">
        <v>2357.5</v>
      </c>
      <c r="W7" s="1" t="n">
        <f aca="false">V7/D7</f>
        <v>104.314159292035</v>
      </c>
      <c r="X7" s="1" t="n">
        <f aca="false">X6+V7</f>
        <v>4604.6</v>
      </c>
      <c r="Z7" s="1" t="n">
        <v>59193.6</v>
      </c>
      <c r="AA7" s="1" t="n">
        <v>13.2443065002529</v>
      </c>
    </row>
    <row r="8" customFormat="false" ht="15" hidden="false" customHeight="false" outlineLevel="0" collapsed="false">
      <c r="A8" s="15"/>
      <c r="B8" s="4"/>
      <c r="C8" s="16" t="n">
        <v>41522</v>
      </c>
      <c r="D8" s="1" t="n">
        <v>23.2</v>
      </c>
      <c r="E8" s="1" t="n">
        <v>13.9</v>
      </c>
      <c r="F8" s="17" t="n">
        <v>30.8</v>
      </c>
      <c r="G8" s="1" t="n">
        <f aca="false">G7+D8</f>
        <v>65.3</v>
      </c>
      <c r="I8" s="18" t="s">
        <v>31</v>
      </c>
      <c r="J8" s="1" t="n">
        <v>0</v>
      </c>
      <c r="K8" s="1" t="n">
        <f aca="false">K7+J8</f>
        <v>0</v>
      </c>
      <c r="L8" s="1" t="n">
        <v>5.8</v>
      </c>
      <c r="M8" s="1" t="n">
        <f aca="false">M7+L8</f>
        <v>17</v>
      </c>
      <c r="N8" s="19" t="n">
        <f aca="false">J8-L8</f>
        <v>-5.8</v>
      </c>
      <c r="O8" s="20" t="n">
        <v>0</v>
      </c>
      <c r="P8" s="21" t="n">
        <v>3</v>
      </c>
      <c r="Q8" s="22" t="n">
        <v>0.35</v>
      </c>
      <c r="R8" s="23" t="n">
        <f aca="false">Q8*L8</f>
        <v>2.03</v>
      </c>
      <c r="S8" s="23" t="n">
        <f aca="false">J8-R8</f>
        <v>-2.03</v>
      </c>
      <c r="T8" s="24" t="n">
        <v>0</v>
      </c>
      <c r="U8" s="18" t="s">
        <v>32</v>
      </c>
      <c r="V8" s="1" t="n">
        <v>2364.8</v>
      </c>
      <c r="W8" s="1" t="n">
        <f aca="false">V8/D8</f>
        <v>101.931034482759</v>
      </c>
      <c r="X8" s="1" t="n">
        <f aca="false">X7+V8</f>
        <v>6969.4</v>
      </c>
      <c r="Z8" s="18" t="s">
        <v>33</v>
      </c>
      <c r="AA8" s="1" t="n">
        <v>13.190107175532</v>
      </c>
    </row>
    <row r="9" customFormat="false" ht="15" hidden="false" customHeight="false" outlineLevel="0" collapsed="false">
      <c r="A9" s="15"/>
      <c r="B9" s="4"/>
      <c r="C9" s="16" t="n">
        <v>41523</v>
      </c>
      <c r="D9" s="1" t="n">
        <v>18</v>
      </c>
      <c r="E9" s="1" t="n">
        <v>16.3</v>
      </c>
      <c r="F9" s="1" t="n">
        <v>20.5</v>
      </c>
      <c r="G9" s="1" t="n">
        <f aca="false">G8+D9</f>
        <v>83.3</v>
      </c>
      <c r="I9" s="1" t="n">
        <f aca="false">MAX(F6:F79)</f>
        <v>31.3</v>
      </c>
      <c r="J9" s="1" t="n">
        <v>5.2</v>
      </c>
      <c r="K9" s="1" t="n">
        <f aca="false">K8+J9</f>
        <v>5.2</v>
      </c>
      <c r="L9" s="1" t="n">
        <v>2.2</v>
      </c>
      <c r="M9" s="1" t="n">
        <f aca="false">M8+L9</f>
        <v>19.2</v>
      </c>
      <c r="N9" s="1" t="n">
        <f aca="false">J9-L9</f>
        <v>3</v>
      </c>
      <c r="O9" s="25" t="n">
        <v>3</v>
      </c>
      <c r="P9" s="21" t="n">
        <v>4</v>
      </c>
      <c r="Q9" s="22" t="n">
        <v>0.35</v>
      </c>
      <c r="R9" s="23" t="n">
        <f aca="false">Q9*L9</f>
        <v>0.77</v>
      </c>
      <c r="S9" s="23" t="n">
        <f aca="false">J9-R9</f>
        <v>4.43</v>
      </c>
      <c r="T9" s="26" t="n">
        <f aca="false">MIN(122.1,(T8+S9))</f>
        <v>4.43</v>
      </c>
      <c r="U9" s="1" t="n">
        <v>3</v>
      </c>
      <c r="V9" s="27" t="n">
        <v>709.2</v>
      </c>
      <c r="W9" s="1" t="n">
        <f aca="false">V9/D9</f>
        <v>39.4</v>
      </c>
      <c r="X9" s="1" t="n">
        <f aca="false">X8+V9</f>
        <v>7678.6</v>
      </c>
      <c r="Z9" s="28" t="n">
        <f aca="false">(Z7/100)/I19</f>
        <v>0.569497787184914</v>
      </c>
      <c r="AA9" s="1" t="n">
        <v>13.1357783717981</v>
      </c>
    </row>
    <row r="10" customFormat="false" ht="15" hidden="false" customHeight="false" outlineLevel="0" collapsed="false">
      <c r="A10" s="15"/>
      <c r="B10" s="4"/>
      <c r="C10" s="16" t="n">
        <v>41524</v>
      </c>
      <c r="D10" s="1" t="n">
        <v>15.1</v>
      </c>
      <c r="E10" s="1" t="n">
        <v>12.2</v>
      </c>
      <c r="F10" s="1" t="n">
        <v>18.6</v>
      </c>
      <c r="G10" s="1" t="n">
        <f aca="false">G9+D10</f>
        <v>98.4</v>
      </c>
      <c r="I10" s="18" t="s">
        <v>34</v>
      </c>
      <c r="J10" s="1" t="n">
        <v>0.7</v>
      </c>
      <c r="K10" s="1" t="n">
        <f aca="false">K9+J10</f>
        <v>5.9</v>
      </c>
      <c r="L10" s="1" t="n">
        <v>1.6</v>
      </c>
      <c r="M10" s="1" t="n">
        <f aca="false">M9+L10</f>
        <v>20.8</v>
      </c>
      <c r="N10" s="19" t="n">
        <f aca="false">J10-L10</f>
        <v>-0.9</v>
      </c>
      <c r="O10" s="25" t="n">
        <f aca="false">O9+N10</f>
        <v>2.1</v>
      </c>
      <c r="P10" s="21" t="n">
        <v>5</v>
      </c>
      <c r="Q10" s="22" t="n">
        <v>0.35</v>
      </c>
      <c r="R10" s="23" t="n">
        <f aca="false">Q10*L10</f>
        <v>0.56</v>
      </c>
      <c r="S10" s="23" t="n">
        <f aca="false">J10-R10</f>
        <v>0.14</v>
      </c>
      <c r="T10" s="26" t="n">
        <f aca="false">MIN(122.1,(T9+S10))</f>
        <v>4.57</v>
      </c>
      <c r="U10" s="18" t="s">
        <v>35</v>
      </c>
      <c r="V10" s="1" t="n">
        <v>941.8</v>
      </c>
      <c r="W10" s="1" t="n">
        <f aca="false">V10/D10</f>
        <v>62.3708609271523</v>
      </c>
      <c r="X10" s="1" t="n">
        <f aca="false">X9+V10</f>
        <v>8620.4</v>
      </c>
      <c r="Z10" s="18" t="s">
        <v>36</v>
      </c>
      <c r="AA10" s="1" t="n">
        <v>13.0813276394292</v>
      </c>
    </row>
    <row r="11" customFormat="false" ht="15" hidden="false" customHeight="false" outlineLevel="0" collapsed="false">
      <c r="A11" s="15"/>
      <c r="B11" s="4"/>
      <c r="C11" s="16" t="n">
        <v>41525</v>
      </c>
      <c r="D11" s="1" t="n">
        <v>14.9</v>
      </c>
      <c r="E11" s="1" t="n">
        <v>11.5</v>
      </c>
      <c r="F11" s="1" t="n">
        <v>18</v>
      </c>
      <c r="G11" s="1" t="n">
        <f aca="false">G10+D11</f>
        <v>113.3</v>
      </c>
      <c r="I11" s="29" t="n">
        <f aca="false">AVERAGE(D6:D79)</f>
        <v>14.0459459459459</v>
      </c>
      <c r="J11" s="1" t="n">
        <v>0</v>
      </c>
      <c r="K11" s="1" t="n">
        <f aca="false">K10+J11</f>
        <v>5.9</v>
      </c>
      <c r="L11" s="1" t="n">
        <v>2.1</v>
      </c>
      <c r="M11" s="1" t="n">
        <f aca="false">M10+L11</f>
        <v>22.9</v>
      </c>
      <c r="N11" s="19" t="n">
        <f aca="false">J11-L11</f>
        <v>-2.1</v>
      </c>
      <c r="O11" s="25" t="n">
        <f aca="false">O10+N11</f>
        <v>0</v>
      </c>
      <c r="P11" s="21" t="n">
        <v>6</v>
      </c>
      <c r="Q11" s="22" t="n">
        <v>0.35</v>
      </c>
      <c r="R11" s="23" t="n">
        <f aca="false">Q11*L11</f>
        <v>0.735</v>
      </c>
      <c r="S11" s="23" t="n">
        <f aca="false">J11-R11</f>
        <v>-0.735</v>
      </c>
      <c r="T11" s="26" t="n">
        <f aca="false">MIN(122.1,(T10+S11))</f>
        <v>3.835</v>
      </c>
      <c r="U11" s="1" t="n">
        <v>28</v>
      </c>
      <c r="V11" s="1" t="n">
        <v>1081.1</v>
      </c>
      <c r="W11" s="1" t="n">
        <f aca="false">V11/D11</f>
        <v>72.5570469798658</v>
      </c>
      <c r="X11" s="1" t="n">
        <f aca="false">X10+V11</f>
        <v>9701.5</v>
      </c>
      <c r="Z11" s="1" t="n">
        <v>48</v>
      </c>
      <c r="AA11" s="1" t="n">
        <v>13.0267622867635</v>
      </c>
    </row>
    <row r="12" customFormat="false" ht="15" hidden="false" customHeight="false" outlineLevel="0" collapsed="false">
      <c r="A12" s="15"/>
      <c r="B12" s="4"/>
      <c r="C12" s="16" t="n">
        <v>41526</v>
      </c>
      <c r="D12" s="1" t="n">
        <v>15</v>
      </c>
      <c r="E12" s="1" t="n">
        <v>11.8</v>
      </c>
      <c r="F12" s="1" t="n">
        <v>18.4</v>
      </c>
      <c r="G12" s="1" t="n">
        <f aca="false">G11+D12</f>
        <v>128.3</v>
      </c>
      <c r="I12" s="18" t="s">
        <v>37</v>
      </c>
      <c r="J12" s="1" t="n">
        <v>0.8</v>
      </c>
      <c r="K12" s="1" t="n">
        <f aca="false">K11+J12</f>
        <v>6.7</v>
      </c>
      <c r="L12" s="1" t="n">
        <v>2</v>
      </c>
      <c r="M12" s="1" t="n">
        <f aca="false">M11+L12</f>
        <v>24.9</v>
      </c>
      <c r="N12" s="19" t="n">
        <f aca="false">J12-L12</f>
        <v>-1.2</v>
      </c>
      <c r="O12" s="25" t="n">
        <v>0</v>
      </c>
      <c r="P12" s="21" t="n">
        <v>7</v>
      </c>
      <c r="Q12" s="22" t="n">
        <v>0.35</v>
      </c>
      <c r="R12" s="23" t="n">
        <f aca="false">Q12*L12</f>
        <v>0.7</v>
      </c>
      <c r="S12" s="23" t="n">
        <f aca="false">J12-R12</f>
        <v>0.1</v>
      </c>
      <c r="T12" s="26" t="n">
        <f aca="false">MIN(122.1,(T11+S12))</f>
        <v>3.935</v>
      </c>
      <c r="U12" s="18" t="s">
        <v>38</v>
      </c>
      <c r="V12" s="27" t="n">
        <v>615</v>
      </c>
      <c r="W12" s="1" t="n">
        <f aca="false">V12/D12</f>
        <v>41</v>
      </c>
      <c r="X12" s="1" t="n">
        <f aca="false">X11+V12</f>
        <v>10316.5</v>
      </c>
      <c r="AA12" s="1" t="n">
        <v>12.9720893944409</v>
      </c>
    </row>
    <row r="13" customFormat="false" ht="15" hidden="false" customHeight="false" outlineLevel="0" collapsed="false">
      <c r="A13" s="15"/>
      <c r="B13" s="4"/>
      <c r="C13" s="16" t="n">
        <v>41527</v>
      </c>
      <c r="D13" s="1" t="n">
        <v>15.3</v>
      </c>
      <c r="E13" s="1" t="n">
        <v>13</v>
      </c>
      <c r="F13" s="1" t="n">
        <v>18.5</v>
      </c>
      <c r="G13" s="1" t="n">
        <f aca="false">G12+D13</f>
        <v>143.6</v>
      </c>
      <c r="I13" s="1" t="n">
        <v>1</v>
      </c>
      <c r="J13" s="1" t="n">
        <v>0</v>
      </c>
      <c r="K13" s="1" t="n">
        <f aca="false">K12+J13</f>
        <v>6.7</v>
      </c>
      <c r="L13" s="1" t="n">
        <v>3</v>
      </c>
      <c r="M13" s="1" t="n">
        <f aca="false">M12+L13</f>
        <v>27.9</v>
      </c>
      <c r="N13" s="19" t="n">
        <f aca="false">J13-L13</f>
        <v>-3</v>
      </c>
      <c r="O13" s="25" t="n">
        <v>0</v>
      </c>
      <c r="P13" s="21" t="n">
        <v>8</v>
      </c>
      <c r="Q13" s="22" t="n">
        <v>0.35</v>
      </c>
      <c r="R13" s="23" t="n">
        <f aca="false">Q13*L13</f>
        <v>1.05</v>
      </c>
      <c r="S13" s="23" t="n">
        <f aca="false">J13-R13</f>
        <v>-1.05</v>
      </c>
      <c r="T13" s="26" t="n">
        <f aca="false">MIN(122.1,(T12+S13))</f>
        <v>2.885</v>
      </c>
      <c r="U13" s="1" t="n">
        <v>0</v>
      </c>
      <c r="V13" s="1" t="n">
        <v>1516.8</v>
      </c>
      <c r="W13" s="1" t="n">
        <f aca="false">V13/D13</f>
        <v>99.1372549019608</v>
      </c>
      <c r="X13" s="1" t="n">
        <f aca="false">X12+V13</f>
        <v>11833.3</v>
      </c>
      <c r="AA13" s="1" t="n">
        <v>12.9173158298578</v>
      </c>
    </row>
    <row r="14" customFormat="false" ht="15" hidden="false" customHeight="false" outlineLevel="0" collapsed="false">
      <c r="A14" s="15"/>
      <c r="B14" s="4"/>
      <c r="C14" s="16" t="n">
        <v>41528</v>
      </c>
      <c r="D14" s="1" t="n">
        <v>13.1</v>
      </c>
      <c r="E14" s="1" t="n">
        <v>9</v>
      </c>
      <c r="F14" s="1" t="n">
        <v>16.6</v>
      </c>
      <c r="G14" s="1" t="n">
        <f aca="false">G13+D14</f>
        <v>156.7</v>
      </c>
      <c r="I14" s="18" t="s">
        <v>39</v>
      </c>
      <c r="J14" s="1" t="n">
        <v>0.3</v>
      </c>
      <c r="K14" s="1" t="n">
        <f aca="false">K13+J14</f>
        <v>7</v>
      </c>
      <c r="L14" s="1" t="n">
        <v>2</v>
      </c>
      <c r="M14" s="1" t="n">
        <f aca="false">M13+L14</f>
        <v>29.9</v>
      </c>
      <c r="N14" s="19" t="n">
        <f aca="false">J14-L14</f>
        <v>-1.7</v>
      </c>
      <c r="O14" s="25" t="n">
        <v>0</v>
      </c>
      <c r="P14" s="21" t="n">
        <v>9</v>
      </c>
      <c r="Q14" s="22" t="n">
        <f aca="false">0.35+((P14-8)/66)*(1-0.35)</f>
        <v>0.359848484848485</v>
      </c>
      <c r="R14" s="23" t="n">
        <f aca="false">Q14*L14</f>
        <v>0.71969696969697</v>
      </c>
      <c r="S14" s="23" t="n">
        <f aca="false">J14-R14</f>
        <v>-0.41969696969697</v>
      </c>
      <c r="T14" s="26" t="n">
        <f aca="false">MIN(122.1,(T13+S14))</f>
        <v>2.46530303030303</v>
      </c>
      <c r="U14" s="18" t="s">
        <v>40</v>
      </c>
      <c r="V14" s="1" t="n">
        <v>1078.6</v>
      </c>
      <c r="W14" s="1" t="n">
        <f aca="false">V14/D14</f>
        <v>82.3358778625954</v>
      </c>
      <c r="X14" s="1" t="n">
        <f aca="false">X13+V14</f>
        <v>12911.9</v>
      </c>
      <c r="AA14" s="1" t="n">
        <v>12.8624482617226</v>
      </c>
    </row>
    <row r="15" customFormat="false" ht="15" hidden="false" customHeight="false" outlineLevel="0" collapsed="false">
      <c r="A15" s="15"/>
      <c r="B15" s="4"/>
      <c r="C15" s="16" t="n">
        <v>41529</v>
      </c>
      <c r="D15" s="1" t="n">
        <v>14</v>
      </c>
      <c r="E15" s="1" t="n">
        <v>11.8</v>
      </c>
      <c r="F15" s="1" t="n">
        <v>16.1</v>
      </c>
      <c r="G15" s="1" t="n">
        <f aca="false">G14+D15</f>
        <v>170.7</v>
      </c>
      <c r="I15" s="1" t="n">
        <v>5</v>
      </c>
      <c r="J15" s="1" t="n">
        <v>0.2</v>
      </c>
      <c r="K15" s="1" t="n">
        <f aca="false">K14+J15</f>
        <v>7.2</v>
      </c>
      <c r="L15" s="1" t="n">
        <v>1.2</v>
      </c>
      <c r="M15" s="1" t="n">
        <f aca="false">M14+L15</f>
        <v>31.1</v>
      </c>
      <c r="N15" s="19" t="n">
        <f aca="false">J15-L15</f>
        <v>-1</v>
      </c>
      <c r="O15" s="25" t="n">
        <v>0</v>
      </c>
      <c r="P15" s="21" t="n">
        <v>10</v>
      </c>
      <c r="Q15" s="22" t="n">
        <f aca="false">0.35+((P15-8)/66)*(1-0.35)</f>
        <v>0.36969696969697</v>
      </c>
      <c r="R15" s="23" t="n">
        <f aca="false">Q15*L15</f>
        <v>0.443636363636364</v>
      </c>
      <c r="S15" s="23" t="n">
        <f aca="false">J15-R15</f>
        <v>-0.243636363636364</v>
      </c>
      <c r="T15" s="26" t="n">
        <f aca="false">MIN(122.1,(T14+S15))</f>
        <v>2.22166666666667</v>
      </c>
      <c r="U15" s="1" t="n">
        <f aca="false">MAX(T6:T79)</f>
        <v>122.1</v>
      </c>
      <c r="V15" s="27" t="n">
        <v>577.9</v>
      </c>
      <c r="W15" s="1" t="n">
        <f aca="false">V15/D15</f>
        <v>41.2785714285714</v>
      </c>
      <c r="X15" s="1" t="n">
        <f aca="false">X14+V15</f>
        <v>13489.8</v>
      </c>
      <c r="AA15" s="1" t="n">
        <v>12.8074931747038</v>
      </c>
    </row>
    <row r="16" customFormat="false" ht="15" hidden="false" customHeight="false" outlineLevel="0" collapsed="false">
      <c r="A16" s="15"/>
      <c r="B16" s="4"/>
      <c r="C16" s="16" t="n">
        <v>41530</v>
      </c>
      <c r="D16" s="1" t="n">
        <v>16.9</v>
      </c>
      <c r="E16" s="1" t="n">
        <v>12.7</v>
      </c>
      <c r="F16" s="1" t="n">
        <v>19.7</v>
      </c>
      <c r="G16" s="1" t="n">
        <f aca="false">G15+D16</f>
        <v>187.6</v>
      </c>
      <c r="I16" s="18" t="s">
        <v>41</v>
      </c>
      <c r="J16" s="1" t="n">
        <v>0</v>
      </c>
      <c r="K16" s="1" t="n">
        <f aca="false">K15+J16</f>
        <v>7.2</v>
      </c>
      <c r="L16" s="1" t="n">
        <v>1.1</v>
      </c>
      <c r="M16" s="1" t="n">
        <f aca="false">M15+L16</f>
        <v>32.2</v>
      </c>
      <c r="N16" s="19" t="n">
        <f aca="false">J16-L16</f>
        <v>-1.1</v>
      </c>
      <c r="O16" s="25" t="n">
        <v>0</v>
      </c>
      <c r="P16" s="21" t="n">
        <v>11</v>
      </c>
      <c r="Q16" s="22" t="n">
        <f aca="false">0.35+((P16-8)/66)*(1-0.35)</f>
        <v>0.379545454545455</v>
      </c>
      <c r="R16" s="23" t="n">
        <f aca="false">Q16*L16</f>
        <v>0.4175</v>
      </c>
      <c r="S16" s="23" t="n">
        <f aca="false">J16-R16</f>
        <v>-0.4175</v>
      </c>
      <c r="T16" s="26" t="n">
        <f aca="false">MIN(122.1,(T15+S16))</f>
        <v>1.80416666666667</v>
      </c>
      <c r="U16" s="18" t="s">
        <v>42</v>
      </c>
      <c r="V16" s="27" t="n">
        <v>644.7</v>
      </c>
      <c r="W16" s="1" t="n">
        <f aca="false">V16/D16</f>
        <v>38.1479289940829</v>
      </c>
      <c r="X16" s="1" t="n">
        <f aca="false">X15+V16</f>
        <v>14134.5</v>
      </c>
      <c r="AA16" s="1" t="n">
        <v>12.7524568841618</v>
      </c>
    </row>
    <row r="17" customFormat="false" ht="15" hidden="false" customHeight="false" outlineLevel="0" collapsed="false">
      <c r="A17" s="15"/>
      <c r="B17" s="4"/>
      <c r="C17" s="16" t="n">
        <v>41531</v>
      </c>
      <c r="D17" s="1" t="n">
        <v>15.6</v>
      </c>
      <c r="E17" s="1" t="n">
        <v>15.2</v>
      </c>
      <c r="F17" s="1" t="n">
        <v>16.9</v>
      </c>
      <c r="G17" s="1" t="n">
        <f aca="false">G16+D17</f>
        <v>203.2</v>
      </c>
      <c r="I17" s="1" t="n">
        <v>5</v>
      </c>
      <c r="J17" s="1" t="n">
        <v>30.5</v>
      </c>
      <c r="K17" s="1" t="n">
        <f aca="false">K16+J17</f>
        <v>37.7</v>
      </c>
      <c r="L17" s="1" t="n">
        <v>1</v>
      </c>
      <c r="M17" s="1" t="n">
        <f aca="false">M16+L17</f>
        <v>33.2</v>
      </c>
      <c r="N17" s="1" t="n">
        <f aca="false">J17-L17</f>
        <v>29.5</v>
      </c>
      <c r="O17" s="25" t="n">
        <f aca="false">O16+N17</f>
        <v>29.5</v>
      </c>
      <c r="P17" s="21" t="n">
        <v>12</v>
      </c>
      <c r="Q17" s="22" t="n">
        <f aca="false">0.35+((P17-8)/66)*(1-0.35)</f>
        <v>0.389393939393939</v>
      </c>
      <c r="R17" s="23" t="n">
        <f aca="false">Q17*L17</f>
        <v>0.389393939393939</v>
      </c>
      <c r="S17" s="23" t="n">
        <f aca="false">J17-R17</f>
        <v>30.1106060606061</v>
      </c>
      <c r="T17" s="26" t="n">
        <f aca="false">MIN(122.1,(T16+S17))</f>
        <v>31.9147727272727</v>
      </c>
      <c r="U17" s="29" t="n">
        <f aca="false">AVERAGE(T6:T79)</f>
        <v>63.9044891482392</v>
      </c>
      <c r="V17" s="27" t="n">
        <v>384.7</v>
      </c>
      <c r="W17" s="1" t="n">
        <f aca="false">V17/D17</f>
        <v>24.6602564102564</v>
      </c>
      <c r="X17" s="1" t="n">
        <f aca="false">X16+V17</f>
        <v>14519.2</v>
      </c>
      <c r="AA17" s="1" t="n">
        <v>12.6973455509591</v>
      </c>
    </row>
    <row r="18" customFormat="false" ht="15" hidden="false" customHeight="false" outlineLevel="0" collapsed="false">
      <c r="A18" s="15"/>
      <c r="B18" s="4"/>
      <c r="C18" s="16" t="n">
        <v>41532</v>
      </c>
      <c r="D18" s="1" t="n">
        <v>14.4</v>
      </c>
      <c r="E18" s="1" t="n">
        <v>11.6</v>
      </c>
      <c r="F18" s="1" t="n">
        <v>17</v>
      </c>
      <c r="G18" s="1" t="n">
        <f aca="false">G17+D18</f>
        <v>217.6</v>
      </c>
      <c r="I18" s="18" t="s">
        <v>43</v>
      </c>
      <c r="J18" s="1" t="n">
        <v>1.5</v>
      </c>
      <c r="K18" s="1" t="n">
        <f aca="false">K17+J18</f>
        <v>39.2</v>
      </c>
      <c r="L18" s="1" t="n">
        <v>2.5</v>
      </c>
      <c r="M18" s="1" t="n">
        <f aca="false">M17+L18</f>
        <v>35.7</v>
      </c>
      <c r="N18" s="19" t="n">
        <f aca="false">J18-L18</f>
        <v>-1</v>
      </c>
      <c r="O18" s="25" t="n">
        <f aca="false">O17+N18</f>
        <v>28.5</v>
      </c>
      <c r="P18" s="21" t="n">
        <v>13</v>
      </c>
      <c r="Q18" s="22" t="n">
        <f aca="false">0.35+((P18-8)/66)*(1-0.35)</f>
        <v>0.399242424242424</v>
      </c>
      <c r="R18" s="23" t="n">
        <f aca="false">Q18*L18</f>
        <v>0.998106060606061</v>
      </c>
      <c r="S18" s="23" t="n">
        <f aca="false">J18-R18</f>
        <v>0.501893939393939</v>
      </c>
      <c r="T18" s="26" t="n">
        <f aca="false">MIN(122.1,(T17+S18))</f>
        <v>32.4166666666667</v>
      </c>
      <c r="V18" s="1" t="n">
        <v>1454.1</v>
      </c>
      <c r="W18" s="1" t="n">
        <f aca="false">V18/D18</f>
        <v>100.979166666667</v>
      </c>
      <c r="X18" s="1" t="n">
        <f aca="false">X17+V18</f>
        <v>15973.3</v>
      </c>
      <c r="AA18" s="1" t="n">
        <v>12.6421651963439</v>
      </c>
    </row>
    <row r="19" customFormat="false" ht="15" hidden="false" customHeight="false" outlineLevel="0" collapsed="false">
      <c r="A19" s="15"/>
      <c r="B19" s="4"/>
      <c r="C19" s="16" t="n">
        <v>41533</v>
      </c>
      <c r="D19" s="1" t="n">
        <v>13.3</v>
      </c>
      <c r="E19" s="1" t="n">
        <v>12.4</v>
      </c>
      <c r="F19" s="1" t="n">
        <v>16.6</v>
      </c>
      <c r="G19" s="1" t="n">
        <f aca="false">G18+D19</f>
        <v>230.9</v>
      </c>
      <c r="I19" s="1" t="n">
        <v>1039.4</v>
      </c>
      <c r="J19" s="1" t="n">
        <v>2.1</v>
      </c>
      <c r="K19" s="1" t="n">
        <f aca="false">K18+J19</f>
        <v>41.3</v>
      </c>
      <c r="L19" s="1" t="n">
        <v>2.8</v>
      </c>
      <c r="M19" s="1" t="n">
        <f aca="false">M18+L19</f>
        <v>38.5</v>
      </c>
      <c r="N19" s="19" t="n">
        <f aca="false">J19-L19</f>
        <v>-0.7</v>
      </c>
      <c r="O19" s="25" t="n">
        <f aca="false">O18+N19</f>
        <v>27.8</v>
      </c>
      <c r="P19" s="21" t="n">
        <v>14</v>
      </c>
      <c r="Q19" s="22" t="n">
        <f aca="false">0.35+((P19-8)/66)*(1-0.35)</f>
        <v>0.409090909090909</v>
      </c>
      <c r="R19" s="23" t="n">
        <f aca="false">Q19*L19</f>
        <v>1.14545454545455</v>
      </c>
      <c r="S19" s="23" t="n">
        <f aca="false">J19-R19</f>
        <v>0.954545454545455</v>
      </c>
      <c r="T19" s="26" t="n">
        <f aca="false">MIN(122.1,(T18+S19))</f>
        <v>33.3712121212121</v>
      </c>
      <c r="U19" s="29"/>
      <c r="V19" s="1" t="n">
        <v>1137.9</v>
      </c>
      <c r="W19" s="1" t="n">
        <f aca="false">V19/D19</f>
        <v>85.5563909774436</v>
      </c>
      <c r="X19" s="1" t="n">
        <f aca="false">X18+V19</f>
        <v>17111.2</v>
      </c>
      <c r="AA19" s="1" t="n">
        <v>12.5869217169038</v>
      </c>
    </row>
    <row r="20" customFormat="false" ht="15" hidden="false" customHeight="false" outlineLevel="0" collapsed="false">
      <c r="A20" s="15"/>
      <c r="B20" s="4"/>
      <c r="C20" s="16" t="n">
        <v>41534</v>
      </c>
      <c r="D20" s="1" t="n">
        <v>13</v>
      </c>
      <c r="E20" s="1" t="n">
        <v>9.3</v>
      </c>
      <c r="F20" s="1" t="n">
        <v>16.5</v>
      </c>
      <c r="G20" s="1" t="n">
        <f aca="false">G19+D20</f>
        <v>243.9</v>
      </c>
      <c r="J20" s="1" t="n">
        <v>3.3</v>
      </c>
      <c r="K20" s="1" t="n">
        <f aca="false">K19+J20</f>
        <v>44.6</v>
      </c>
      <c r="L20" s="1" t="n">
        <v>1.6</v>
      </c>
      <c r="M20" s="1" t="n">
        <f aca="false">M19+L20</f>
        <v>40.1</v>
      </c>
      <c r="N20" s="1" t="n">
        <f aca="false">J20-L20</f>
        <v>1.7</v>
      </c>
      <c r="O20" s="25" t="n">
        <f aca="false">O19+N20</f>
        <v>29.5</v>
      </c>
      <c r="P20" s="21" t="n">
        <v>15</v>
      </c>
      <c r="Q20" s="22" t="n">
        <f aca="false">0.35+((P20-8)/66)*(1-0.35)</f>
        <v>0.418939393939394</v>
      </c>
      <c r="R20" s="23" t="n">
        <f aca="false">Q20*L20</f>
        <v>0.67030303030303</v>
      </c>
      <c r="S20" s="23" t="n">
        <f aca="false">J20-R20</f>
        <v>2.62969696969697</v>
      </c>
      <c r="T20" s="26" t="n">
        <f aca="false">MIN(122.1,(T19+S20))</f>
        <v>36.0009090909091</v>
      </c>
      <c r="V20" s="27" t="n">
        <v>708.9</v>
      </c>
      <c r="W20" s="1" t="n">
        <f aca="false">V20/D20</f>
        <v>54.5307692307692</v>
      </c>
      <c r="X20" s="1" t="n">
        <f aca="false">X19+V20</f>
        <v>17820.1</v>
      </c>
      <c r="AA20" s="1" t="n">
        <v>12.5316208995887</v>
      </c>
    </row>
    <row r="21" customFormat="false" ht="15" hidden="false" customHeight="false" outlineLevel="0" collapsed="false">
      <c r="A21" s="15"/>
      <c r="B21" s="4"/>
      <c r="C21" s="16" t="n">
        <v>41535</v>
      </c>
      <c r="D21" s="1" t="n">
        <v>16.1</v>
      </c>
      <c r="E21" s="1" t="n">
        <v>14.3</v>
      </c>
      <c r="F21" s="1" t="n">
        <v>17.6</v>
      </c>
      <c r="G21" s="1" t="n">
        <f aca="false">G20+D21</f>
        <v>260</v>
      </c>
      <c r="J21" s="1" t="n">
        <v>2.8</v>
      </c>
      <c r="K21" s="1" t="n">
        <f aca="false">K20+J21</f>
        <v>47.4</v>
      </c>
      <c r="L21" s="1" t="n">
        <v>2</v>
      </c>
      <c r="M21" s="1" t="n">
        <f aca="false">M20+L21</f>
        <v>42.1</v>
      </c>
      <c r="N21" s="1" t="n">
        <f aca="false">J21-L21</f>
        <v>0.8</v>
      </c>
      <c r="O21" s="25" t="n">
        <f aca="false">O20+N21</f>
        <v>30.3</v>
      </c>
      <c r="P21" s="21" t="n">
        <v>16</v>
      </c>
      <c r="Q21" s="22" t="n">
        <f aca="false">0.35+((P21-8)/66)*(1-0.35)</f>
        <v>0.428787878787879</v>
      </c>
      <c r="R21" s="23" t="n">
        <f aca="false">Q21*L21</f>
        <v>0.857575757575758</v>
      </c>
      <c r="S21" s="23" t="n">
        <f aca="false">J21-R21</f>
        <v>1.94242424242424</v>
      </c>
      <c r="T21" s="26" t="n">
        <f aca="false">MIN(122.1,(T20+S21))</f>
        <v>37.9433333333333</v>
      </c>
      <c r="V21" s="1" t="n">
        <v>1084.4</v>
      </c>
      <c r="W21" s="1" t="n">
        <f aca="false">V21/D21</f>
        <v>67.3540372670807</v>
      </c>
      <c r="X21" s="1" t="n">
        <f aca="false">X20+V21</f>
        <v>18904.5</v>
      </c>
      <c r="AA21" s="1" t="n">
        <v>12.4762684368008</v>
      </c>
    </row>
    <row r="22" customFormat="false" ht="15" hidden="false" customHeight="false" outlineLevel="0" collapsed="false">
      <c r="A22" s="15"/>
      <c r="B22" s="4"/>
      <c r="C22" s="16" t="n">
        <v>41536</v>
      </c>
      <c r="D22" s="1" t="n">
        <v>12.9</v>
      </c>
      <c r="E22" s="1" t="n">
        <v>8.7</v>
      </c>
      <c r="F22" s="1" t="n">
        <v>15.5</v>
      </c>
      <c r="G22" s="1" t="n">
        <f aca="false">G21+D22</f>
        <v>272.9</v>
      </c>
      <c r="J22" s="1" t="n">
        <v>1.5</v>
      </c>
      <c r="K22" s="1" t="n">
        <f aca="false">K21+J22</f>
        <v>48.9</v>
      </c>
      <c r="L22" s="1" t="n">
        <v>1.2</v>
      </c>
      <c r="M22" s="1" t="n">
        <f aca="false">M21+L22</f>
        <v>43.3</v>
      </c>
      <c r="N22" s="1" t="n">
        <f aca="false">J22-L22</f>
        <v>0.3</v>
      </c>
      <c r="O22" s="25" t="n">
        <f aca="false">O21+N22</f>
        <v>30.6</v>
      </c>
      <c r="P22" s="21" t="n">
        <v>17</v>
      </c>
      <c r="Q22" s="22" t="n">
        <f aca="false">0.35+((P22-8)/66)*(1-0.35)</f>
        <v>0.438636363636364</v>
      </c>
      <c r="R22" s="23" t="n">
        <f aca="false">Q22*L22</f>
        <v>0.526363636363636</v>
      </c>
      <c r="S22" s="23" t="n">
        <f aca="false">J22-R22</f>
        <v>0.973636363636364</v>
      </c>
      <c r="T22" s="26" t="n">
        <f aca="false">MIN(122.1,(T21+S22))</f>
        <v>38.9169696969697</v>
      </c>
      <c r="V22" s="27" t="n">
        <v>849.9</v>
      </c>
      <c r="W22" s="1" t="n">
        <f aca="false">V22/D22</f>
        <v>65.8837209302326</v>
      </c>
      <c r="X22" s="1" t="n">
        <f aca="false">X21+V22</f>
        <v>19754.4</v>
      </c>
      <c r="AA22" s="1" t="n">
        <v>12.4208699415524</v>
      </c>
    </row>
    <row r="23" customFormat="false" ht="15" hidden="false" customHeight="false" outlineLevel="0" collapsed="false">
      <c r="A23" s="15"/>
      <c r="B23" s="4"/>
      <c r="C23" s="16" t="n">
        <v>41537</v>
      </c>
      <c r="D23" s="1" t="n">
        <v>15.2</v>
      </c>
      <c r="E23" s="1" t="n">
        <v>13.7</v>
      </c>
      <c r="F23" s="1" t="n">
        <v>18.3</v>
      </c>
      <c r="G23" s="1" t="n">
        <f aca="false">G22+D23</f>
        <v>288.1</v>
      </c>
      <c r="J23" s="1" t="n">
        <v>0.4</v>
      </c>
      <c r="K23" s="1" t="n">
        <f aca="false">K22+J23</f>
        <v>49.3</v>
      </c>
      <c r="L23" s="1" t="n">
        <v>2.6</v>
      </c>
      <c r="M23" s="1" t="n">
        <f aca="false">M22+L23</f>
        <v>45.9</v>
      </c>
      <c r="N23" s="19" t="n">
        <f aca="false">J23-L23</f>
        <v>-2.2</v>
      </c>
      <c r="O23" s="25" t="n">
        <f aca="false">O22+N23</f>
        <v>28.4</v>
      </c>
      <c r="P23" s="21" t="n">
        <v>18</v>
      </c>
      <c r="Q23" s="22" t="n">
        <f aca="false">0.35+((P23-8)/66)*(1-0.35)</f>
        <v>0.448484848484849</v>
      </c>
      <c r="R23" s="23" t="n">
        <f aca="false">Q23*L23</f>
        <v>1.16606060606061</v>
      </c>
      <c r="S23" s="23" t="n">
        <f aca="false">J23-R23</f>
        <v>-0.766060606060606</v>
      </c>
      <c r="T23" s="26" t="n">
        <f aca="false">MIN(122.1,(T22+S23))</f>
        <v>38.1509090909091</v>
      </c>
      <c r="V23" s="1" t="n">
        <v>1391</v>
      </c>
      <c r="W23" s="1" t="n">
        <f aca="false">V23/D23</f>
        <v>91.5131578947369</v>
      </c>
      <c r="X23" s="1" t="n">
        <f aca="false">X22+V23</f>
        <v>21145.4</v>
      </c>
      <c r="AA23" s="1" t="n">
        <v>12.3654309626937</v>
      </c>
    </row>
    <row r="24" customFormat="false" ht="15" hidden="false" customHeight="false" outlineLevel="0" collapsed="false">
      <c r="A24" s="15"/>
      <c r="B24" s="4"/>
      <c r="C24" s="16" t="n">
        <v>41538</v>
      </c>
      <c r="D24" s="1" t="n">
        <v>14.8</v>
      </c>
      <c r="E24" s="1" t="n">
        <v>9.3</v>
      </c>
      <c r="F24" s="1" t="n">
        <v>20</v>
      </c>
      <c r="G24" s="1" t="n">
        <f aca="false">G23+D24</f>
        <v>302.9</v>
      </c>
      <c r="J24" s="1" t="n">
        <v>0</v>
      </c>
      <c r="K24" s="1" t="n">
        <f aca="false">K23+J24</f>
        <v>49.3</v>
      </c>
      <c r="L24" s="1" t="n">
        <v>2</v>
      </c>
      <c r="M24" s="1" t="n">
        <f aca="false">M23+L24</f>
        <v>47.9</v>
      </c>
      <c r="N24" s="19" t="n">
        <f aca="false">J24-L24</f>
        <v>-2</v>
      </c>
      <c r="O24" s="25" t="n">
        <f aca="false">O23+N24</f>
        <v>26.4</v>
      </c>
      <c r="P24" s="21" t="n">
        <v>19</v>
      </c>
      <c r="Q24" s="22" t="n">
        <f aca="false">0.35+((P24-8)/66)*(1-0.35)</f>
        <v>0.458333333333333</v>
      </c>
      <c r="R24" s="23" t="n">
        <f aca="false">Q24*L24</f>
        <v>0.916666666666667</v>
      </c>
      <c r="S24" s="23" t="n">
        <f aca="false">J24-R24</f>
        <v>-0.916666666666667</v>
      </c>
      <c r="T24" s="26" t="n">
        <f aca="false">MIN(122.1,(T23+S24))</f>
        <v>37.2342424242424</v>
      </c>
      <c r="V24" s="1" t="n">
        <v>1355.6</v>
      </c>
      <c r="W24" s="1" t="n">
        <f aca="false">V24/D24</f>
        <v>91.5945945945946</v>
      </c>
      <c r="X24" s="1" t="n">
        <f aca="false">X23+V24</f>
        <v>22501</v>
      </c>
      <c r="AA24" s="1" t="n">
        <v>12.3099570002105</v>
      </c>
    </row>
    <row r="25" customFormat="false" ht="15" hidden="false" customHeight="false" outlineLevel="0" collapsed="false">
      <c r="A25" s="15"/>
      <c r="B25" s="4"/>
      <c r="C25" s="16" t="n">
        <v>41539</v>
      </c>
      <c r="D25" s="1" t="n">
        <v>16.7</v>
      </c>
      <c r="E25" s="1" t="n">
        <v>10.9</v>
      </c>
      <c r="F25" s="1" t="n">
        <v>22.4</v>
      </c>
      <c r="G25" s="1" t="n">
        <f aca="false">G24+D25</f>
        <v>319.6</v>
      </c>
      <c r="J25" s="1" t="n">
        <v>0</v>
      </c>
      <c r="K25" s="1" t="n">
        <f aca="false">K24+J25</f>
        <v>49.3</v>
      </c>
      <c r="L25" s="1" t="n">
        <v>3.1</v>
      </c>
      <c r="M25" s="1" t="n">
        <f aca="false">M24+L25</f>
        <v>51</v>
      </c>
      <c r="N25" s="19" t="n">
        <f aca="false">J25-L25</f>
        <v>-3.1</v>
      </c>
      <c r="O25" s="25" t="n">
        <f aca="false">O24+N25</f>
        <v>23.3</v>
      </c>
      <c r="P25" s="21" t="n">
        <v>20</v>
      </c>
      <c r="Q25" s="22" t="n">
        <f aca="false">0.35+((P25-8)/66)*(1-0.35)</f>
        <v>0.468181818181818</v>
      </c>
      <c r="R25" s="23" t="n">
        <f aca="false">Q25*L25</f>
        <v>1.45136363636364</v>
      </c>
      <c r="S25" s="23" t="n">
        <f aca="false">J25-R25</f>
        <v>-1.45136363636364</v>
      </c>
      <c r="T25" s="26" t="n">
        <f aca="false">MIN(122.1,(T24+S25))</f>
        <v>35.7828787878788</v>
      </c>
      <c r="V25" s="1" t="n">
        <v>1685.6</v>
      </c>
      <c r="W25" s="1" t="n">
        <f aca="false">V25/D25</f>
        <v>100.934131736527</v>
      </c>
      <c r="X25" s="1" t="n">
        <f aca="false">X24+V25</f>
        <v>24186.6</v>
      </c>
      <c r="AA25" s="1" t="n">
        <v>12.2544535205961</v>
      </c>
    </row>
    <row r="26" customFormat="false" ht="15" hidden="false" customHeight="false" outlineLevel="0" collapsed="false">
      <c r="A26" s="15"/>
      <c r="B26" s="4"/>
      <c r="C26" s="16" t="n">
        <v>41540</v>
      </c>
      <c r="D26" s="1" t="n">
        <v>17.3</v>
      </c>
      <c r="E26" s="1" t="n">
        <v>13.6</v>
      </c>
      <c r="F26" s="1" t="n">
        <v>21.6</v>
      </c>
      <c r="G26" s="1" t="n">
        <f aca="false">G25+D26</f>
        <v>336.9</v>
      </c>
      <c r="J26" s="1" t="n">
        <v>0</v>
      </c>
      <c r="K26" s="1" t="n">
        <f aca="false">K25+J26</f>
        <v>49.3</v>
      </c>
      <c r="L26" s="1" t="n">
        <v>3.4</v>
      </c>
      <c r="M26" s="1" t="n">
        <f aca="false">M25+L26</f>
        <v>54.4</v>
      </c>
      <c r="N26" s="19" t="n">
        <f aca="false">J26-L26</f>
        <v>-3.4</v>
      </c>
      <c r="O26" s="25" t="n">
        <f aca="false">O25+N26</f>
        <v>19.9</v>
      </c>
      <c r="P26" s="21" t="n">
        <v>21</v>
      </c>
      <c r="Q26" s="22" t="n">
        <f aca="false">0.35+((P26-8)/66)*(1-0.35)</f>
        <v>0.478030303030303</v>
      </c>
      <c r="R26" s="23" t="n">
        <f aca="false">Q26*L26</f>
        <v>1.62530303030303</v>
      </c>
      <c r="S26" s="23" t="n">
        <f aca="false">J26-R26</f>
        <v>-1.62530303030303</v>
      </c>
      <c r="T26" s="26" t="n">
        <f aca="false">MIN(122.1,(T25+S26))</f>
        <v>34.1575757575758</v>
      </c>
      <c r="V26" s="1" t="n">
        <v>1691.7</v>
      </c>
      <c r="W26" s="1" t="n">
        <f aca="false">V26/D26</f>
        <v>97.7861271676301</v>
      </c>
      <c r="X26" s="1" t="n">
        <f aca="false">X25+V26</f>
        <v>25878.3</v>
      </c>
      <c r="AA26" s="1" t="n">
        <v>12.1989259722989</v>
      </c>
    </row>
    <row r="27" customFormat="false" ht="15" hidden="false" customHeight="false" outlineLevel="0" collapsed="false">
      <c r="A27" s="15"/>
      <c r="B27" s="4"/>
      <c r="C27" s="16" t="n">
        <v>41541</v>
      </c>
      <c r="D27" s="1" t="n">
        <v>17.4</v>
      </c>
      <c r="E27" s="1" t="n">
        <v>10.6</v>
      </c>
      <c r="F27" s="1" t="n">
        <v>24.7</v>
      </c>
      <c r="G27" s="1" t="n">
        <f aca="false">G26+D27</f>
        <v>354.3</v>
      </c>
      <c r="J27" s="1" t="n">
        <v>0</v>
      </c>
      <c r="K27" s="1" t="n">
        <f aca="false">K26+J27</f>
        <v>49.3</v>
      </c>
      <c r="L27" s="1" t="n">
        <v>3.3</v>
      </c>
      <c r="M27" s="1" t="n">
        <f aca="false">M26+L27</f>
        <v>57.7</v>
      </c>
      <c r="N27" s="19" t="n">
        <f aca="false">J27-L27</f>
        <v>-3.3</v>
      </c>
      <c r="O27" s="25" t="n">
        <f aca="false">O26+N27</f>
        <v>16.6</v>
      </c>
      <c r="P27" s="21" t="n">
        <v>22</v>
      </c>
      <c r="Q27" s="22" t="n">
        <f aca="false">0.35+((P27-8)/66)*(1-0.35)</f>
        <v>0.487878787878788</v>
      </c>
      <c r="R27" s="23" t="n">
        <f aca="false">Q27*L27</f>
        <v>1.61</v>
      </c>
      <c r="S27" s="23" t="n">
        <f aca="false">J27-R27</f>
        <v>-1.61</v>
      </c>
      <c r="T27" s="26" t="n">
        <f aca="false">MIN(122.1,(T26+S27))</f>
        <v>32.5475757575758</v>
      </c>
      <c r="V27" s="1" t="n">
        <v>1824.4</v>
      </c>
      <c r="W27" s="1" t="n">
        <f aca="false">V27/D27</f>
        <v>104.850574712644</v>
      </c>
      <c r="X27" s="1" t="n">
        <f aca="false">X26+V27</f>
        <v>27702.7</v>
      </c>
      <c r="AA27" s="1" t="n">
        <v>12.1433798012499</v>
      </c>
    </row>
    <row r="28" customFormat="false" ht="15" hidden="false" customHeight="false" outlineLevel="0" collapsed="false">
      <c r="A28" s="15"/>
      <c r="B28" s="4"/>
      <c r="C28" s="16" t="n">
        <v>41542</v>
      </c>
      <c r="D28" s="1" t="n">
        <v>18.6</v>
      </c>
      <c r="E28" s="1" t="n">
        <v>11.9</v>
      </c>
      <c r="F28" s="17" t="n">
        <v>25.2</v>
      </c>
      <c r="G28" s="1" t="n">
        <f aca="false">G27+D28</f>
        <v>372.9</v>
      </c>
      <c r="J28" s="1" t="n">
        <v>0</v>
      </c>
      <c r="K28" s="1" t="n">
        <f aca="false">K27+J28</f>
        <v>49.3</v>
      </c>
      <c r="L28" s="1" t="n">
        <v>1.6</v>
      </c>
      <c r="M28" s="1" t="n">
        <f aca="false">M27+L28</f>
        <v>59.3</v>
      </c>
      <c r="N28" s="19" t="n">
        <f aca="false">J28-L28</f>
        <v>-1.6</v>
      </c>
      <c r="O28" s="25" t="n">
        <f aca="false">O27+N28</f>
        <v>15</v>
      </c>
      <c r="P28" s="21" t="n">
        <v>23</v>
      </c>
      <c r="Q28" s="22" t="n">
        <f aca="false">0.35+((P28-8)/66)*(1-0.35)</f>
        <v>0.497727272727273</v>
      </c>
      <c r="R28" s="23" t="n">
        <f aca="false">Q28*L28</f>
        <v>0.796363636363636</v>
      </c>
      <c r="S28" s="23" t="n">
        <f aca="false">J28-R28</f>
        <v>-0.796363636363636</v>
      </c>
      <c r="T28" s="26" t="n">
        <f aca="false">MIN(122.1,(T27+S28))</f>
        <v>31.7512121212121</v>
      </c>
      <c r="V28" s="1" t="n">
        <v>972.6</v>
      </c>
      <c r="W28" s="1" t="n">
        <f aca="false">V28/D28</f>
        <v>52.2903225806452</v>
      </c>
      <c r="X28" s="1" t="n">
        <f aca="false">X27+V28</f>
        <v>28675.3</v>
      </c>
      <c r="AA28" s="1" t="n">
        <v>12.0878204664737</v>
      </c>
    </row>
    <row r="29" customFormat="false" ht="15" hidden="false" customHeight="false" outlineLevel="0" collapsed="false">
      <c r="A29" s="15"/>
      <c r="B29" s="4"/>
      <c r="C29" s="16" t="n">
        <v>41543</v>
      </c>
      <c r="D29" s="1" t="n">
        <v>19.8</v>
      </c>
      <c r="E29" s="1" t="n">
        <v>16.1</v>
      </c>
      <c r="F29" s="1" t="n">
        <v>24.6</v>
      </c>
      <c r="G29" s="1" t="n">
        <f aca="false">G28+D29</f>
        <v>392.7</v>
      </c>
      <c r="J29" s="1" t="n">
        <v>0.6</v>
      </c>
      <c r="K29" s="1" t="n">
        <f aca="false">K28+J29</f>
        <v>49.9</v>
      </c>
      <c r="L29" s="1" t="n">
        <v>1.4</v>
      </c>
      <c r="M29" s="1" t="n">
        <f aca="false">M28+L29</f>
        <v>60.7</v>
      </c>
      <c r="N29" s="19" t="n">
        <f aca="false">J29-L29</f>
        <v>-0.8</v>
      </c>
      <c r="O29" s="25" t="n">
        <f aca="false">O28+N29</f>
        <v>14.2</v>
      </c>
      <c r="P29" s="21" t="n">
        <v>24</v>
      </c>
      <c r="Q29" s="22" t="n">
        <f aca="false">0.35+((P29-8)/66)*(1-0.35)</f>
        <v>0.507575757575758</v>
      </c>
      <c r="R29" s="23" t="n">
        <f aca="false">Q29*L29</f>
        <v>0.710606060606061</v>
      </c>
      <c r="S29" s="23" t="n">
        <f aca="false">J29-R29</f>
        <v>-0.110606060606061</v>
      </c>
      <c r="T29" s="26" t="n">
        <f aca="false">MIN(122.1,(T28+S29))</f>
        <v>31.6406060606061</v>
      </c>
      <c r="V29" s="27" t="n">
        <v>781.6</v>
      </c>
      <c r="W29" s="1" t="n">
        <f aca="false">V29/D29</f>
        <v>39.4747474747475</v>
      </c>
      <c r="X29" s="1" t="n">
        <f aca="false">X28+V29</f>
        <v>29456.9</v>
      </c>
      <c r="AA29" s="1" t="n">
        <v>12.0322534557853</v>
      </c>
    </row>
    <row r="30" customFormat="false" ht="15" hidden="false" customHeight="false" outlineLevel="0" collapsed="false">
      <c r="A30" s="15"/>
      <c r="B30" s="4"/>
      <c r="C30" s="16" t="n">
        <v>41544</v>
      </c>
      <c r="D30" s="1" t="n">
        <v>20.7</v>
      </c>
      <c r="E30" s="1" t="n">
        <v>15.2</v>
      </c>
      <c r="F30" s="17" t="n">
        <v>25.3</v>
      </c>
      <c r="G30" s="1" t="n">
        <f aca="false">G29+D30</f>
        <v>413.4</v>
      </c>
      <c r="J30" s="1" t="n">
        <v>0.9</v>
      </c>
      <c r="K30" s="1" t="n">
        <f aca="false">K29+J30</f>
        <v>50.8</v>
      </c>
      <c r="L30" s="1" t="n">
        <v>2.6</v>
      </c>
      <c r="M30" s="1" t="n">
        <f aca="false">M29+L30</f>
        <v>63.3</v>
      </c>
      <c r="N30" s="19" t="n">
        <f aca="false">J30-L30</f>
        <v>-1.7</v>
      </c>
      <c r="O30" s="25" t="n">
        <f aca="false">O29+N30</f>
        <v>12.5</v>
      </c>
      <c r="P30" s="21" t="n">
        <v>25</v>
      </c>
      <c r="Q30" s="22" t="n">
        <f aca="false">0.35+((P30-8)/66)*(1-0.35)</f>
        <v>0.517424242424242</v>
      </c>
      <c r="R30" s="23" t="n">
        <f aca="false">Q30*L30</f>
        <v>1.34530303030303</v>
      </c>
      <c r="S30" s="23" t="n">
        <f aca="false">J30-R30</f>
        <v>-0.44530303030303</v>
      </c>
      <c r="T30" s="26" t="n">
        <f aca="false">MIN(122.1,(T29+S30))</f>
        <v>31.195303030303</v>
      </c>
      <c r="V30" s="1" t="n">
        <v>1346.9</v>
      </c>
      <c r="W30" s="1" t="n">
        <f aca="false">V30/D30</f>
        <v>65.0676328502416</v>
      </c>
      <c r="X30" s="1" t="n">
        <f aca="false">X29+V30</f>
        <v>30803.8</v>
      </c>
      <c r="AA30" s="1" t="n">
        <v>11.9766843015777</v>
      </c>
    </row>
    <row r="31" customFormat="false" ht="15" hidden="false" customHeight="false" outlineLevel="0" collapsed="false">
      <c r="A31" s="15"/>
      <c r="B31" s="4"/>
      <c r="C31" s="16" t="n">
        <v>41545</v>
      </c>
      <c r="D31" s="1" t="n">
        <v>19.3</v>
      </c>
      <c r="E31" s="1" t="n">
        <v>17.7</v>
      </c>
      <c r="F31" s="1" t="n">
        <v>23</v>
      </c>
      <c r="G31" s="1" t="n">
        <f aca="false">G30+D31</f>
        <v>432.7</v>
      </c>
      <c r="J31" s="1" t="n">
        <v>4</v>
      </c>
      <c r="K31" s="1" t="n">
        <f aca="false">K30+J31</f>
        <v>54.8</v>
      </c>
      <c r="L31" s="1" t="n">
        <v>1.2</v>
      </c>
      <c r="M31" s="1" t="n">
        <f aca="false">M30+L31</f>
        <v>64.5</v>
      </c>
      <c r="N31" s="1" t="n">
        <f aca="false">J31-L31</f>
        <v>2.8</v>
      </c>
      <c r="O31" s="25" t="n">
        <f aca="false">O30+N31</f>
        <v>15.3</v>
      </c>
      <c r="P31" s="21" t="n">
        <v>26</v>
      </c>
      <c r="Q31" s="22" t="n">
        <f aca="false">0.35+((P31-8)/66)*(1-0.35)</f>
        <v>0.527272727272727</v>
      </c>
      <c r="R31" s="23" t="n">
        <f aca="false">Q31*L31</f>
        <v>0.632727272727273</v>
      </c>
      <c r="S31" s="23" t="n">
        <f aca="false">J31-R31</f>
        <v>3.36727272727273</v>
      </c>
      <c r="T31" s="26" t="n">
        <f aca="false">MIN(122.1,(T30+S31))</f>
        <v>34.5625757575758</v>
      </c>
      <c r="V31" s="27" t="n">
        <v>387.9</v>
      </c>
      <c r="W31" s="1" t="n">
        <f aca="false">V31/D31</f>
        <v>20.0984455958549</v>
      </c>
      <c r="X31" s="1" t="n">
        <f aca="false">X30+V31</f>
        <v>31191.7</v>
      </c>
      <c r="AA31" s="1" t="n">
        <v>11.9211185967031</v>
      </c>
    </row>
    <row r="32" customFormat="false" ht="15" hidden="false" customHeight="false" outlineLevel="0" collapsed="false">
      <c r="A32" s="15"/>
      <c r="B32" s="4"/>
      <c r="C32" s="16" t="n">
        <v>41546</v>
      </c>
      <c r="D32" s="1" t="n">
        <v>17.2</v>
      </c>
      <c r="E32" s="1" t="n">
        <v>15.4</v>
      </c>
      <c r="F32" s="1" t="n">
        <v>20.5</v>
      </c>
      <c r="G32" s="1" t="n">
        <f aca="false">G31+D32</f>
        <v>449.9</v>
      </c>
      <c r="J32" s="1" t="n">
        <v>3.4</v>
      </c>
      <c r="K32" s="1" t="n">
        <f aca="false">K31+J32</f>
        <v>58.2</v>
      </c>
      <c r="L32" s="1" t="n">
        <v>1.2</v>
      </c>
      <c r="M32" s="1" t="n">
        <f aca="false">M31+L32</f>
        <v>65.7</v>
      </c>
      <c r="N32" s="1" t="n">
        <f aca="false">J32-L32</f>
        <v>2.2</v>
      </c>
      <c r="O32" s="25" t="n">
        <f aca="false">O31+N32</f>
        <v>17.5</v>
      </c>
      <c r="P32" s="21" t="n">
        <v>27</v>
      </c>
      <c r="Q32" s="22" t="n">
        <f aca="false">0.35+((P32-8)/66)*(1-0.35)</f>
        <v>0.537121212121212</v>
      </c>
      <c r="R32" s="23" t="n">
        <f aca="false">Q32*L32</f>
        <v>0.644545454545455</v>
      </c>
      <c r="S32" s="23" t="n">
        <f aca="false">J32-R32</f>
        <v>2.75545454545455</v>
      </c>
      <c r="T32" s="26" t="n">
        <f aca="false">MIN(122.1,(T31+S32))</f>
        <v>37.3180303030303</v>
      </c>
      <c r="V32" s="27" t="n">
        <v>561.7</v>
      </c>
      <c r="W32" s="1" t="n">
        <f aca="false">V32/D32</f>
        <v>32.6569767441861</v>
      </c>
      <c r="X32" s="1" t="n">
        <f aca="false">X31+V32</f>
        <v>31753.4</v>
      </c>
      <c r="AA32" s="1" t="n">
        <v>11.8655620104504</v>
      </c>
    </row>
    <row r="33" customFormat="false" ht="15" hidden="false" customHeight="false" outlineLevel="0" collapsed="false">
      <c r="A33" s="15"/>
      <c r="B33" s="4"/>
      <c r="C33" s="16" t="n">
        <v>41547</v>
      </c>
      <c r="D33" s="1" t="n">
        <v>16.4</v>
      </c>
      <c r="E33" s="1" t="n">
        <v>15.2</v>
      </c>
      <c r="F33" s="1" t="n">
        <v>18.7</v>
      </c>
      <c r="G33" s="1" t="n">
        <f aca="false">G32+D33</f>
        <v>466.3</v>
      </c>
      <c r="J33" s="1" t="n">
        <v>0</v>
      </c>
      <c r="K33" s="1" t="n">
        <f aca="false">K32+J33</f>
        <v>58.2</v>
      </c>
      <c r="L33" s="1" t="n">
        <v>1.5</v>
      </c>
      <c r="M33" s="1" t="n">
        <f aca="false">M32+L33</f>
        <v>67.2</v>
      </c>
      <c r="N33" s="19" t="n">
        <f aca="false">J33-L33</f>
        <v>-1.5</v>
      </c>
      <c r="O33" s="25" t="n">
        <f aca="false">O32+N33</f>
        <v>16</v>
      </c>
      <c r="P33" s="21" t="n">
        <v>28</v>
      </c>
      <c r="Q33" s="22" t="n">
        <f aca="false">0.35+((P33-8)/66)*(1-0.35)</f>
        <v>0.546969696969697</v>
      </c>
      <c r="R33" s="23" t="n">
        <f aca="false">Q33*L33</f>
        <v>0.820454545454546</v>
      </c>
      <c r="S33" s="23" t="n">
        <f aca="false">J33-R33</f>
        <v>-0.820454545454546</v>
      </c>
      <c r="T33" s="26" t="n">
        <f aca="false">MIN(122.1,(T32+S33))</f>
        <v>36.4975757575758</v>
      </c>
      <c r="V33" s="27" t="n">
        <v>751.2</v>
      </c>
      <c r="W33" s="1" t="n">
        <f aca="false">V33/D33</f>
        <v>45.8048780487805</v>
      </c>
      <c r="X33" s="1" t="n">
        <f aca="false">X32+V33</f>
        <v>32504.6</v>
      </c>
      <c r="AA33" s="1" t="n">
        <v>11.8100203046213</v>
      </c>
    </row>
    <row r="34" customFormat="false" ht="15" hidden="false" customHeight="false" outlineLevel="0" collapsed="false">
      <c r="A34" s="15"/>
      <c r="B34" s="4"/>
      <c r="C34" s="16" t="n">
        <v>41548</v>
      </c>
      <c r="D34" s="1" t="n">
        <v>16.8</v>
      </c>
      <c r="E34" s="1" t="n">
        <v>13.7</v>
      </c>
      <c r="F34" s="1" t="n">
        <v>20.1</v>
      </c>
      <c r="G34" s="1" t="n">
        <f aca="false">G33+D34</f>
        <v>483.1</v>
      </c>
      <c r="J34" s="1" t="n">
        <v>0.1</v>
      </c>
      <c r="K34" s="1" t="n">
        <f aca="false">K33+J34</f>
        <v>58.3</v>
      </c>
      <c r="L34" s="1" t="n">
        <v>1.7</v>
      </c>
      <c r="M34" s="1" t="n">
        <f aca="false">M33+L34</f>
        <v>68.9</v>
      </c>
      <c r="N34" s="19" t="n">
        <f aca="false">J34-L34</f>
        <v>-1.6</v>
      </c>
      <c r="O34" s="25" t="n">
        <f aca="false">O33+N34</f>
        <v>14.4</v>
      </c>
      <c r="P34" s="21" t="n">
        <v>29</v>
      </c>
      <c r="Q34" s="22" t="n">
        <f aca="false">0.35+((P34-8)/66)*(1-0.35)</f>
        <v>0.556818181818182</v>
      </c>
      <c r="R34" s="23" t="n">
        <f aca="false">Q34*L34</f>
        <v>0.946590909090909</v>
      </c>
      <c r="S34" s="23" t="n">
        <f aca="false">J34-R34</f>
        <v>-0.846590909090909</v>
      </c>
      <c r="T34" s="26" t="n">
        <f aca="false">MIN(122.1,(T33+S34))</f>
        <v>35.6509848484849</v>
      </c>
      <c r="V34" s="27" t="n">
        <v>891.7</v>
      </c>
      <c r="W34" s="1" t="n">
        <f aca="false">V34/D34</f>
        <v>53.077380952381</v>
      </c>
      <c r="X34" s="1" t="n">
        <f aca="false">X33+V34</f>
        <v>33396.3</v>
      </c>
      <c r="AA34" s="1" t="n">
        <v>11.7544993497082</v>
      </c>
    </row>
    <row r="35" customFormat="false" ht="15" hidden="false" customHeight="false" outlineLevel="0" collapsed="false">
      <c r="A35" s="15"/>
      <c r="B35" s="4"/>
      <c r="C35" s="16" t="n">
        <v>41549</v>
      </c>
      <c r="D35" s="1" t="n">
        <v>18.3</v>
      </c>
      <c r="E35" s="1" t="n">
        <v>13.6</v>
      </c>
      <c r="F35" s="1" t="n">
        <v>22.1</v>
      </c>
      <c r="G35" s="1" t="n">
        <f aca="false">G34+D35</f>
        <v>501.4</v>
      </c>
      <c r="J35" s="1" t="n">
        <v>0.2</v>
      </c>
      <c r="K35" s="1" t="n">
        <f aca="false">K34+J35</f>
        <v>58.5</v>
      </c>
      <c r="L35" s="1" t="n">
        <v>1.1</v>
      </c>
      <c r="M35" s="1" t="n">
        <f aca="false">M34+L35</f>
        <v>70</v>
      </c>
      <c r="N35" s="19" t="n">
        <f aca="false">J35-L35</f>
        <v>-0.9</v>
      </c>
      <c r="O35" s="25" t="n">
        <f aca="false">O34+N35</f>
        <v>13.5</v>
      </c>
      <c r="P35" s="21" t="n">
        <v>30</v>
      </c>
      <c r="Q35" s="22" t="n">
        <f aca="false">0.35+((P35-8)/66)*(1-0.35)</f>
        <v>0.566666666666667</v>
      </c>
      <c r="R35" s="23" t="n">
        <f aca="false">Q35*L35</f>
        <v>0.623333333333333</v>
      </c>
      <c r="S35" s="23" t="n">
        <f aca="false">J35-R35</f>
        <v>-0.423333333333333</v>
      </c>
      <c r="T35" s="26" t="n">
        <f aca="false">MIN(122.1,(T34+S35))</f>
        <v>35.2276515151515</v>
      </c>
      <c r="V35" s="27" t="n">
        <v>770.5</v>
      </c>
      <c r="W35" s="1" t="n">
        <f aca="false">V35/D35</f>
        <v>42.103825136612</v>
      </c>
      <c r="X35" s="1" t="n">
        <f aca="false">X34+V35</f>
        <v>34166.8</v>
      </c>
      <c r="AA35" s="1" t="n">
        <v>11.6990051411729</v>
      </c>
    </row>
    <row r="36" customFormat="false" ht="15" hidden="false" customHeight="false" outlineLevel="0" collapsed="false">
      <c r="A36" s="15"/>
      <c r="B36" s="4"/>
      <c r="C36" s="16" t="n">
        <v>41550</v>
      </c>
      <c r="D36" s="1" t="n">
        <v>20</v>
      </c>
      <c r="E36" s="1" t="n">
        <v>16.3</v>
      </c>
      <c r="F36" s="1" t="n">
        <v>23.5</v>
      </c>
      <c r="G36" s="1" t="n">
        <f aca="false">G35+D36</f>
        <v>521.4</v>
      </c>
      <c r="J36" s="1" t="n">
        <v>0</v>
      </c>
      <c r="K36" s="1" t="n">
        <f aca="false">K35+J36</f>
        <v>58.5</v>
      </c>
      <c r="L36" s="1" t="n">
        <v>1.5</v>
      </c>
      <c r="M36" s="1" t="n">
        <f aca="false">M35+L36</f>
        <v>71.5</v>
      </c>
      <c r="N36" s="19" t="n">
        <f aca="false">J36-L36</f>
        <v>-1.5</v>
      </c>
      <c r="O36" s="25" t="n">
        <f aca="false">O35+N36</f>
        <v>12</v>
      </c>
      <c r="P36" s="21" t="n">
        <v>31</v>
      </c>
      <c r="Q36" s="22" t="n">
        <f aca="false">0.35+((P36-8)/66)*(1-0.35)</f>
        <v>0.576515151515152</v>
      </c>
      <c r="R36" s="23" t="n">
        <f aca="false">Q36*L36</f>
        <v>0.864772727272727</v>
      </c>
      <c r="S36" s="23" t="n">
        <f aca="false">J36-R36</f>
        <v>-0.864772727272727</v>
      </c>
      <c r="T36" s="26" t="n">
        <f aca="false">MIN(122.1,(T35+S36))</f>
        <v>34.3628787878788</v>
      </c>
      <c r="V36" s="27" t="n">
        <v>505.7</v>
      </c>
      <c r="W36" s="1" t="n">
        <f aca="false">V36/D36</f>
        <v>25.285</v>
      </c>
      <c r="X36" s="1" t="n">
        <f aca="false">X35+V36</f>
        <v>34672.5</v>
      </c>
      <c r="AA36" s="1" t="n">
        <v>11.6435438158283</v>
      </c>
    </row>
    <row r="37" customFormat="false" ht="15" hidden="false" customHeight="false" outlineLevel="0" collapsed="false">
      <c r="A37" s="15"/>
      <c r="B37" s="4"/>
      <c r="C37" s="16" t="n">
        <v>41551</v>
      </c>
      <c r="D37" s="1" t="n">
        <v>18.2</v>
      </c>
      <c r="E37" s="1" t="n">
        <v>17.6</v>
      </c>
      <c r="F37" s="1" t="n">
        <v>19.8</v>
      </c>
      <c r="G37" s="1" t="n">
        <f aca="false">G36+D37</f>
        <v>539.6</v>
      </c>
      <c r="J37" s="1" t="n">
        <v>18.5</v>
      </c>
      <c r="K37" s="1" t="n">
        <f aca="false">K36+J37</f>
        <v>77</v>
      </c>
      <c r="L37" s="1" t="n">
        <v>1.3</v>
      </c>
      <c r="M37" s="1" t="n">
        <f aca="false">M36+L37</f>
        <v>72.8</v>
      </c>
      <c r="N37" s="1" t="n">
        <f aca="false">J37-L37</f>
        <v>17.2</v>
      </c>
      <c r="O37" s="25" t="n">
        <f aca="false">O36+N37</f>
        <v>29.2</v>
      </c>
      <c r="P37" s="21" t="n">
        <v>32</v>
      </c>
      <c r="Q37" s="22" t="n">
        <f aca="false">0.35+((P37-8)/66)*(1-0.35)</f>
        <v>0.586363636363636</v>
      </c>
      <c r="R37" s="23" t="n">
        <f aca="false">Q37*L37</f>
        <v>0.762272727272727</v>
      </c>
      <c r="S37" s="23" t="n">
        <f aca="false">J37-R37</f>
        <v>17.7377272727273</v>
      </c>
      <c r="T37" s="26" t="n">
        <f aca="false">MIN(122.1,(T36+S37))</f>
        <v>52.1006060606061</v>
      </c>
      <c r="V37" s="27" t="n">
        <v>535.2</v>
      </c>
      <c r="W37" s="1" t="n">
        <f aca="false">V37/D37</f>
        <v>29.4065934065934</v>
      </c>
      <c r="X37" s="1" t="n">
        <f aca="false">X36+V37</f>
        <v>35207.7</v>
      </c>
      <c r="AA37" s="1" t="n">
        <v>11.5881216683204</v>
      </c>
    </row>
    <row r="38" customFormat="false" ht="15" hidden="false" customHeight="false" outlineLevel="0" collapsed="false">
      <c r="A38" s="15"/>
      <c r="B38" s="4"/>
      <c r="C38" s="16" t="n">
        <v>41552</v>
      </c>
      <c r="D38" s="1" t="n">
        <v>15.3</v>
      </c>
      <c r="E38" s="1" t="n">
        <v>15.2</v>
      </c>
      <c r="F38" s="1" t="n">
        <v>17.2</v>
      </c>
      <c r="G38" s="1" t="n">
        <f aca="false">G37+D38</f>
        <v>554.9</v>
      </c>
      <c r="J38" s="1" t="n">
        <v>0.2</v>
      </c>
      <c r="K38" s="1" t="n">
        <f aca="false">K37+J38</f>
        <v>77.2</v>
      </c>
      <c r="L38" s="1" t="n">
        <v>1.8</v>
      </c>
      <c r="M38" s="1" t="n">
        <f aca="false">M37+L38</f>
        <v>74.6</v>
      </c>
      <c r="N38" s="19" t="n">
        <f aca="false">J38-L38</f>
        <v>-1.6</v>
      </c>
      <c r="O38" s="25" t="n">
        <f aca="false">O37+N38</f>
        <v>27.6</v>
      </c>
      <c r="P38" s="21" t="n">
        <v>33</v>
      </c>
      <c r="Q38" s="22" t="n">
        <f aca="false">0.35+((P38-8)/66)*(1-0.35)</f>
        <v>0.596212121212121</v>
      </c>
      <c r="R38" s="23" t="n">
        <f aca="false">Q38*L38</f>
        <v>1.07318181818182</v>
      </c>
      <c r="S38" s="23" t="n">
        <f aca="false">J38-R38</f>
        <v>-0.873181818181818</v>
      </c>
      <c r="T38" s="26" t="n">
        <f aca="false">MIN(122.1,(T37+S38))</f>
        <v>51.2274242424243</v>
      </c>
      <c r="V38" s="1" t="n">
        <v>1041.4</v>
      </c>
      <c r="W38" s="1" t="n">
        <f aca="false">V38/D38</f>
        <v>68.0653594771242</v>
      </c>
      <c r="X38" s="1" t="n">
        <f aca="false">X37+V38</f>
        <v>36249.1</v>
      </c>
      <c r="AA38" s="1" t="n">
        <v>11.5327451677094</v>
      </c>
    </row>
    <row r="39" customFormat="false" ht="15" hidden="false" customHeight="false" outlineLevel="0" collapsed="false">
      <c r="A39" s="15"/>
      <c r="B39" s="4"/>
      <c r="C39" s="16" t="n">
        <v>41553</v>
      </c>
      <c r="D39" s="1" t="n">
        <v>13.4</v>
      </c>
      <c r="E39" s="1" t="n">
        <v>11.7</v>
      </c>
      <c r="F39" s="1" t="n">
        <v>15.5</v>
      </c>
      <c r="G39" s="1" t="n">
        <f aca="false">G38+D39</f>
        <v>568.3</v>
      </c>
      <c r="J39" s="1" t="n">
        <v>0.2</v>
      </c>
      <c r="K39" s="1" t="n">
        <f aca="false">K38+J39</f>
        <v>77.4</v>
      </c>
      <c r="L39" s="1" t="n">
        <v>0.8</v>
      </c>
      <c r="M39" s="1" t="n">
        <f aca="false">M38+L39</f>
        <v>75.4</v>
      </c>
      <c r="N39" s="19" t="n">
        <f aca="false">J39-L39</f>
        <v>-0.6</v>
      </c>
      <c r="O39" s="25" t="n">
        <f aca="false">O38+N39</f>
        <v>27</v>
      </c>
      <c r="P39" s="21" t="n">
        <v>34</v>
      </c>
      <c r="Q39" s="22" t="n">
        <f aca="false">0.35+((P39-8)/66)*(1-0.35)</f>
        <v>0.606060606060606</v>
      </c>
      <c r="R39" s="23" t="n">
        <f aca="false">Q39*L39</f>
        <v>0.484848484848485</v>
      </c>
      <c r="S39" s="23" t="n">
        <f aca="false">J39-R39</f>
        <v>-0.284848484848485</v>
      </c>
      <c r="T39" s="26" t="n">
        <f aca="false">MIN(122.1,(T38+S39))</f>
        <v>50.9425757575758</v>
      </c>
      <c r="V39" s="27" t="n">
        <v>550.6</v>
      </c>
      <c r="W39" s="1" t="n">
        <f aca="false">V39/D39</f>
        <v>41.089552238806</v>
      </c>
      <c r="X39" s="1" t="n">
        <f aca="false">X38+V39</f>
        <v>36799.7</v>
      </c>
      <c r="AA39" s="1" t="n">
        <v>11.4774209741457</v>
      </c>
    </row>
    <row r="40" customFormat="false" ht="15" hidden="false" customHeight="false" outlineLevel="0" collapsed="false">
      <c r="A40" s="15"/>
      <c r="B40" s="4"/>
      <c r="C40" s="16" t="n">
        <v>41554</v>
      </c>
      <c r="D40" s="1" t="n">
        <v>13.7</v>
      </c>
      <c r="E40" s="1" t="n">
        <v>8.8</v>
      </c>
      <c r="F40" s="1" t="n">
        <v>17.5</v>
      </c>
      <c r="G40" s="1" t="n">
        <f aca="false">G39+D40</f>
        <v>582</v>
      </c>
      <c r="J40" s="1" t="n">
        <v>0</v>
      </c>
      <c r="K40" s="1" t="n">
        <f aca="false">K39+J40</f>
        <v>77.4</v>
      </c>
      <c r="L40" s="1" t="n">
        <v>1.5</v>
      </c>
      <c r="M40" s="1" t="n">
        <f aca="false">M39+L40</f>
        <v>76.9</v>
      </c>
      <c r="N40" s="19" t="n">
        <f aca="false">J40-L40</f>
        <v>-1.5</v>
      </c>
      <c r="O40" s="25" t="n">
        <f aca="false">O39+N40</f>
        <v>25.5</v>
      </c>
      <c r="P40" s="21" t="n">
        <v>35</v>
      </c>
      <c r="Q40" s="22" t="n">
        <f aca="false">0.35+((P40-8)/66)*(1-0.35)</f>
        <v>0.615909090909091</v>
      </c>
      <c r="R40" s="23" t="n">
        <f aca="false">Q40*L40</f>
        <v>0.923863636363636</v>
      </c>
      <c r="S40" s="23" t="n">
        <f aca="false">J40-R40</f>
        <v>-0.923863636363636</v>
      </c>
      <c r="T40" s="26" t="n">
        <f aca="false">MIN(122.1,(T39+S40))</f>
        <v>50.0187121212121</v>
      </c>
      <c r="V40" s="1" t="n">
        <v>1068.2</v>
      </c>
      <c r="W40" s="1" t="n">
        <f aca="false">V40/D40</f>
        <v>77.970802919708</v>
      </c>
      <c r="X40" s="1" t="n">
        <f aca="false">X39+V40</f>
        <v>37867.9</v>
      </c>
      <c r="AA40" s="1" t="n">
        <v>11.4221559556354</v>
      </c>
    </row>
    <row r="41" customFormat="false" ht="15" hidden="false" customHeight="false" outlineLevel="0" collapsed="false">
      <c r="A41" s="15"/>
      <c r="B41" s="4"/>
      <c r="C41" s="16" t="n">
        <v>41555</v>
      </c>
      <c r="D41" s="1" t="n">
        <v>14.6</v>
      </c>
      <c r="E41" s="1" t="n">
        <v>13.4</v>
      </c>
      <c r="F41" s="1" t="n">
        <v>15.7</v>
      </c>
      <c r="G41" s="1" t="n">
        <f aca="false">G40+D41</f>
        <v>596.6</v>
      </c>
      <c r="J41" s="1" t="n">
        <v>0</v>
      </c>
      <c r="K41" s="1" t="n">
        <f aca="false">K40+J41</f>
        <v>77.4</v>
      </c>
      <c r="L41" s="1" t="n">
        <v>0.9</v>
      </c>
      <c r="M41" s="1" t="n">
        <f aca="false">M40+L41</f>
        <v>77.8</v>
      </c>
      <c r="N41" s="19" t="n">
        <f aca="false">J41-L41</f>
        <v>-0.9</v>
      </c>
      <c r="O41" s="25" t="n">
        <f aca="false">O40+N41</f>
        <v>24.6</v>
      </c>
      <c r="P41" s="21" t="n">
        <v>36</v>
      </c>
      <c r="Q41" s="22" t="n">
        <f aca="false">0.35+((P41-8)/66)*(1-0.35)</f>
        <v>0.625757575757576</v>
      </c>
      <c r="R41" s="23" t="n">
        <f aca="false">Q41*L41</f>
        <v>0.563181818181818</v>
      </c>
      <c r="S41" s="23" t="n">
        <f aca="false">J41-R41</f>
        <v>-0.563181818181818</v>
      </c>
      <c r="T41" s="26" t="n">
        <f aca="false">MIN(122.1,(T40+S41))</f>
        <v>49.4555303030303</v>
      </c>
      <c r="V41" s="27" t="n">
        <v>482.1</v>
      </c>
      <c r="W41" s="1" t="n">
        <f aca="false">V41/D41</f>
        <v>33.0205479452055</v>
      </c>
      <c r="X41" s="1" t="n">
        <f aca="false">X40+V41</f>
        <v>38350</v>
      </c>
      <c r="AA41" s="1" t="n">
        <v>11.3669572048881</v>
      </c>
    </row>
    <row r="42" customFormat="false" ht="15" hidden="false" customHeight="false" outlineLevel="0" collapsed="false">
      <c r="A42" s="15"/>
      <c r="B42" s="4"/>
      <c r="C42" s="16" t="n">
        <v>41556</v>
      </c>
      <c r="D42" s="1" t="n">
        <v>15.1</v>
      </c>
      <c r="E42" s="1" t="n">
        <v>12.4</v>
      </c>
      <c r="F42" s="1" t="n">
        <v>18.1</v>
      </c>
      <c r="G42" s="1" t="n">
        <f aca="false">G41+D42</f>
        <v>611.7</v>
      </c>
      <c r="J42" s="1" t="n">
        <v>0.3</v>
      </c>
      <c r="K42" s="1" t="n">
        <f aca="false">K41+J42</f>
        <v>77.7</v>
      </c>
      <c r="L42" s="1" t="n">
        <v>1.8</v>
      </c>
      <c r="M42" s="1" t="n">
        <f aca="false">M41+L42</f>
        <v>79.6</v>
      </c>
      <c r="N42" s="19" t="n">
        <f aca="false">J42-L42</f>
        <v>-1.5</v>
      </c>
      <c r="O42" s="25" t="n">
        <f aca="false">O41+N42</f>
        <v>23.1</v>
      </c>
      <c r="P42" s="21" t="n">
        <v>37</v>
      </c>
      <c r="Q42" s="22" t="n">
        <f aca="false">0.35+((P42-8)/66)*(1-0.35)</f>
        <v>0.635606060606061</v>
      </c>
      <c r="R42" s="23" t="n">
        <f aca="false">Q42*L42</f>
        <v>1.14409090909091</v>
      </c>
      <c r="S42" s="23" t="n">
        <f aca="false">J42-R42</f>
        <v>-0.844090909090909</v>
      </c>
      <c r="T42" s="26" t="n">
        <f aca="false">MIN(122.1,(T41+S42))</f>
        <v>48.6114393939394</v>
      </c>
      <c r="V42" s="1" t="n">
        <v>986.9</v>
      </c>
      <c r="W42" s="1" t="n">
        <f aca="false">V42/D42</f>
        <v>65.3576158940397</v>
      </c>
      <c r="X42" s="1" t="n">
        <f aca="false">X41+V42</f>
        <v>39336.9</v>
      </c>
      <c r="AA42" s="1" t="n">
        <v>11.3118320562383</v>
      </c>
    </row>
    <row r="43" customFormat="false" ht="15" hidden="false" customHeight="false" outlineLevel="0" collapsed="false">
      <c r="A43" s="15"/>
      <c r="B43" s="4"/>
      <c r="C43" s="16" t="n">
        <v>41557</v>
      </c>
      <c r="D43" s="1" t="n">
        <v>10.8</v>
      </c>
      <c r="E43" s="1" t="n">
        <v>10.6</v>
      </c>
      <c r="F43" s="1" t="n">
        <v>12.1</v>
      </c>
      <c r="G43" s="1" t="n">
        <f aca="false">G42+D43</f>
        <v>622.5</v>
      </c>
      <c r="J43" s="1" t="n">
        <v>0.7</v>
      </c>
      <c r="K43" s="1" t="n">
        <f aca="false">K42+J43</f>
        <v>78.4</v>
      </c>
      <c r="L43" s="1" t="n">
        <v>2.1</v>
      </c>
      <c r="M43" s="1" t="n">
        <f aca="false">M42+L43</f>
        <v>81.7</v>
      </c>
      <c r="N43" s="19" t="n">
        <f aca="false">J43-L43</f>
        <v>-1.4</v>
      </c>
      <c r="O43" s="25" t="n">
        <f aca="false">O42+N43</f>
        <v>21.7</v>
      </c>
      <c r="P43" s="21" t="n">
        <v>38</v>
      </c>
      <c r="Q43" s="22" t="n">
        <f aca="false">0.35+((P43-8)/66)*(1-0.35)</f>
        <v>0.645454545454546</v>
      </c>
      <c r="R43" s="23" t="n">
        <f aca="false">Q43*L43</f>
        <v>1.35545454545455</v>
      </c>
      <c r="S43" s="23" t="n">
        <f aca="false">J43-R43</f>
        <v>-0.655454545454546</v>
      </c>
      <c r="T43" s="26" t="n">
        <f aca="false">MIN(122.1,(T42+S43))</f>
        <v>47.9559848484849</v>
      </c>
      <c r="V43" s="1" t="n">
        <v>1107</v>
      </c>
      <c r="W43" s="1" t="n">
        <f aca="false">V43/D43</f>
        <v>102.5</v>
      </c>
      <c r="X43" s="1" t="n">
        <f aca="false">X42+V43</f>
        <v>40443.9</v>
      </c>
      <c r="AA43" s="1" t="n">
        <v>11.2567881026278</v>
      </c>
    </row>
    <row r="44" customFormat="false" ht="15" hidden="false" customHeight="false" outlineLevel="0" collapsed="false">
      <c r="A44" s="15"/>
      <c r="B44" s="4"/>
      <c r="C44" s="16" t="n">
        <v>41558</v>
      </c>
      <c r="D44" s="1" t="n">
        <v>8.5</v>
      </c>
      <c r="E44" s="1" t="n">
        <v>5.8</v>
      </c>
      <c r="F44" s="1" t="n">
        <v>11.2</v>
      </c>
      <c r="G44" s="1" t="n">
        <f aca="false">G43+D44</f>
        <v>631</v>
      </c>
      <c r="J44" s="1" t="n">
        <v>4.9</v>
      </c>
      <c r="K44" s="1" t="n">
        <f aca="false">K43+J44</f>
        <v>83.3</v>
      </c>
      <c r="L44" s="1" t="n">
        <v>1</v>
      </c>
      <c r="M44" s="1" t="n">
        <f aca="false">M43+L44</f>
        <v>82.7</v>
      </c>
      <c r="N44" s="1" t="n">
        <f aca="false">J44-L44</f>
        <v>3.9</v>
      </c>
      <c r="O44" s="25" t="n">
        <f aca="false">O43+N44</f>
        <v>25.6</v>
      </c>
      <c r="P44" s="21" t="n">
        <v>39</v>
      </c>
      <c r="Q44" s="22" t="n">
        <f aca="false">0.35+((P44-8)/66)*(1-0.35)</f>
        <v>0.65530303030303</v>
      </c>
      <c r="R44" s="23" t="n">
        <f aca="false">Q44*L44</f>
        <v>0.65530303030303</v>
      </c>
      <c r="S44" s="23" t="n">
        <f aca="false">J44-R44</f>
        <v>4.24469696969697</v>
      </c>
      <c r="T44" s="26" t="n">
        <f aca="false">MIN(122.1,(T43+S44))</f>
        <v>52.2006818181818</v>
      </c>
      <c r="V44" s="27" t="n">
        <v>660.9</v>
      </c>
      <c r="W44" s="1" t="n">
        <f aca="false">V44/D44</f>
        <v>77.7529411764706</v>
      </c>
      <c r="X44" s="1" t="n">
        <f aca="false">X43+V44</f>
        <v>41104.8</v>
      </c>
      <c r="AA44" s="1" t="n">
        <v>11.2018332126361</v>
      </c>
    </row>
    <row r="45" customFormat="false" ht="15" hidden="false" customHeight="false" outlineLevel="0" collapsed="false">
      <c r="A45" s="15"/>
      <c r="B45" s="4"/>
      <c r="C45" s="16" t="n">
        <v>41559</v>
      </c>
      <c r="D45" s="1" t="n">
        <v>6.6</v>
      </c>
      <c r="E45" s="1" t="n">
        <v>5.7</v>
      </c>
      <c r="F45" s="1" t="n">
        <v>9.1</v>
      </c>
      <c r="G45" s="1" t="n">
        <f aca="false">G44+D45</f>
        <v>637.6</v>
      </c>
      <c r="J45" s="1" t="n">
        <v>1.1</v>
      </c>
      <c r="K45" s="1" t="n">
        <f aca="false">K44+J45</f>
        <v>84.4</v>
      </c>
      <c r="L45" s="1" t="n">
        <v>0.6</v>
      </c>
      <c r="M45" s="1" t="n">
        <f aca="false">M44+L45</f>
        <v>83.3</v>
      </c>
      <c r="N45" s="1" t="n">
        <f aca="false">J45-L45</f>
        <v>0.5</v>
      </c>
      <c r="O45" s="25" t="n">
        <f aca="false">O44+N45</f>
        <v>26.1</v>
      </c>
      <c r="P45" s="21" t="n">
        <v>40</v>
      </c>
      <c r="Q45" s="22" t="n">
        <f aca="false">0.35+((P45-8)/66)*(1-0.35)</f>
        <v>0.665151515151515</v>
      </c>
      <c r="R45" s="23" t="n">
        <f aca="false">Q45*L45</f>
        <v>0.399090909090909</v>
      </c>
      <c r="S45" s="23" t="n">
        <f aca="false">J45-R45</f>
        <v>0.700909090909091</v>
      </c>
      <c r="T45" s="26" t="n">
        <f aca="false">MIN(122.1,(T44+S45))</f>
        <v>52.9015909090909</v>
      </c>
      <c r="V45" s="27" t="n">
        <v>345.5</v>
      </c>
      <c r="W45" s="1" t="n">
        <f aca="false">V45/D45</f>
        <v>52.3484848484849</v>
      </c>
      <c r="X45" s="1" t="n">
        <f aca="false">X44+V45</f>
        <v>41450.3</v>
      </c>
      <c r="AA45" s="1" t="n">
        <v>11.1469755475422</v>
      </c>
    </row>
    <row r="46" customFormat="false" ht="15" hidden="false" customHeight="false" outlineLevel="0" collapsed="false">
      <c r="A46" s="15"/>
      <c r="B46" s="4"/>
      <c r="C46" s="16" t="n">
        <v>41560</v>
      </c>
      <c r="D46" s="1" t="n">
        <v>7.6</v>
      </c>
      <c r="E46" s="30" t="n">
        <v>-0.2</v>
      </c>
      <c r="F46" s="1" t="n">
        <v>12.5</v>
      </c>
      <c r="G46" s="1" t="n">
        <f aca="false">G45+D46</f>
        <v>645.2</v>
      </c>
      <c r="J46" s="1" t="n">
        <v>2</v>
      </c>
      <c r="K46" s="1" t="n">
        <f aca="false">K45+J46</f>
        <v>86.4</v>
      </c>
      <c r="L46" s="1" t="n">
        <v>0.6</v>
      </c>
      <c r="M46" s="1" t="n">
        <f aca="false">M45+L46</f>
        <v>83.9</v>
      </c>
      <c r="N46" s="1" t="n">
        <f aca="false">J46-L46</f>
        <v>1.4</v>
      </c>
      <c r="O46" s="25" t="n">
        <f aca="false">O45+N46</f>
        <v>27.5</v>
      </c>
      <c r="P46" s="21" t="n">
        <v>41</v>
      </c>
      <c r="Q46" s="22" t="n">
        <f aca="false">0.35+((P46-8)/66)*(1-0.35)</f>
        <v>0.675</v>
      </c>
      <c r="R46" s="23" t="n">
        <f aca="false">Q46*L46</f>
        <v>0.405</v>
      </c>
      <c r="S46" s="23" t="n">
        <f aca="false">J46-R46</f>
        <v>1.595</v>
      </c>
      <c r="T46" s="26" t="n">
        <f aca="false">MIN(122.1,(T45+S46))</f>
        <v>54.4965909090909</v>
      </c>
      <c r="V46" s="27" t="n">
        <v>648.2</v>
      </c>
      <c r="W46" s="1" t="n">
        <f aca="false">V46/D46</f>
        <v>85.2894736842105</v>
      </c>
      <c r="X46" s="1" t="n">
        <f aca="false">X45+V46</f>
        <v>42098.5</v>
      </c>
      <c r="AA46" s="1" t="n">
        <v>11.0922235783974</v>
      </c>
    </row>
    <row r="47" customFormat="false" ht="15" hidden="false" customHeight="false" outlineLevel="0" collapsed="false">
      <c r="A47" s="15"/>
      <c r="B47" s="4"/>
      <c r="C47" s="16" t="n">
        <v>41561</v>
      </c>
      <c r="D47" s="1" t="n">
        <v>13.7</v>
      </c>
      <c r="E47" s="1" t="n">
        <v>10.8</v>
      </c>
      <c r="F47" s="1" t="n">
        <v>15.7</v>
      </c>
      <c r="G47" s="1" t="n">
        <f aca="false">G46+D47</f>
        <v>658.9</v>
      </c>
      <c r="J47" s="1" t="n">
        <v>8.2</v>
      </c>
      <c r="K47" s="1" t="n">
        <f aca="false">K46+J47</f>
        <v>94.6</v>
      </c>
      <c r="L47" s="1" t="n">
        <v>1</v>
      </c>
      <c r="M47" s="1" t="n">
        <f aca="false">M46+L47</f>
        <v>84.9</v>
      </c>
      <c r="N47" s="1" t="n">
        <f aca="false">J47-L47</f>
        <v>7.2</v>
      </c>
      <c r="O47" s="25" t="n">
        <f aca="false">O46+N47</f>
        <v>34.7</v>
      </c>
      <c r="P47" s="21" t="n">
        <v>42</v>
      </c>
      <c r="Q47" s="22" t="n">
        <f aca="false">0.35+((P47-8)/66)*(1-0.35)</f>
        <v>0.684848484848485</v>
      </c>
      <c r="R47" s="23" t="n">
        <f aca="false">Q47*L47</f>
        <v>0.684848484848485</v>
      </c>
      <c r="S47" s="23" t="n">
        <f aca="false">J47-R47</f>
        <v>7.51515151515152</v>
      </c>
      <c r="T47" s="26" t="n">
        <f aca="false">MIN(122.1,(T46+S47))</f>
        <v>62.0117424242424</v>
      </c>
      <c r="V47" s="27" t="n">
        <v>483.9</v>
      </c>
      <c r="W47" s="1" t="n">
        <f aca="false">V47/D47</f>
        <v>35.3211678832117</v>
      </c>
      <c r="X47" s="1" t="n">
        <f aca="false">X46+V47</f>
        <v>42582.4</v>
      </c>
      <c r="AA47" s="1" t="n">
        <v>11.0375861030887</v>
      </c>
    </row>
    <row r="48" customFormat="false" ht="15" hidden="false" customHeight="false" outlineLevel="0" collapsed="false">
      <c r="A48" s="15"/>
      <c r="B48" s="4"/>
      <c r="C48" s="16" t="n">
        <v>41562</v>
      </c>
      <c r="D48" s="1" t="n">
        <v>14</v>
      </c>
      <c r="E48" s="1" t="n">
        <v>13.2</v>
      </c>
      <c r="F48" s="1" t="n">
        <v>15</v>
      </c>
      <c r="G48" s="1" t="n">
        <f aca="false">G47+D48</f>
        <v>672.9</v>
      </c>
      <c r="J48" s="1" t="n">
        <v>16.7</v>
      </c>
      <c r="K48" s="1" t="n">
        <f aca="false">K47+J48</f>
        <v>111.3</v>
      </c>
      <c r="L48" s="1" t="n">
        <v>0.6</v>
      </c>
      <c r="M48" s="1" t="n">
        <f aca="false">M47+L48</f>
        <v>85.5</v>
      </c>
      <c r="N48" s="1" t="n">
        <f aca="false">J48-L48</f>
        <v>16.1</v>
      </c>
      <c r="O48" s="25" t="n">
        <f aca="false">O47+N48</f>
        <v>50.8</v>
      </c>
      <c r="P48" s="21" t="n">
        <v>43</v>
      </c>
      <c r="Q48" s="22" t="n">
        <f aca="false">0.35+((P48-8)/66)*(1-0.35)</f>
        <v>0.69469696969697</v>
      </c>
      <c r="R48" s="23" t="n">
        <f aca="false">Q48*L48</f>
        <v>0.416818181818182</v>
      </c>
      <c r="S48" s="23" t="n">
        <f aca="false">J48-R48</f>
        <v>16.2831818181818</v>
      </c>
      <c r="T48" s="26" t="n">
        <f aca="false">MIN(122.1,(T47+S48))</f>
        <v>78.2949242424243</v>
      </c>
      <c r="V48" s="27" t="n">
        <v>224.2</v>
      </c>
      <c r="W48" s="1" t="n">
        <f aca="false">V48/D48</f>
        <v>16.0142857142857</v>
      </c>
      <c r="X48" s="1" t="n">
        <f aca="false">X47+V48</f>
        <v>42806.6</v>
      </c>
      <c r="AA48" s="1" t="n">
        <v>10.9830722633639</v>
      </c>
    </row>
    <row r="49" customFormat="false" ht="15" hidden="false" customHeight="false" outlineLevel="0" collapsed="false">
      <c r="A49" s="15"/>
      <c r="B49" s="4"/>
      <c r="C49" s="16" t="n">
        <v>41563</v>
      </c>
      <c r="D49" s="1" t="n">
        <v>14.8</v>
      </c>
      <c r="E49" s="1" t="n">
        <v>12.9</v>
      </c>
      <c r="F49" s="1" t="n">
        <v>16.4</v>
      </c>
      <c r="G49" s="1" t="n">
        <f aca="false">G48+D49</f>
        <v>687.7</v>
      </c>
      <c r="J49" s="1" t="n">
        <v>2.5</v>
      </c>
      <c r="K49" s="1" t="n">
        <f aca="false">K48+J49</f>
        <v>113.8</v>
      </c>
      <c r="L49" s="1" t="n">
        <v>0.4</v>
      </c>
      <c r="M49" s="1" t="n">
        <f aca="false">M48+L49</f>
        <v>85.9</v>
      </c>
      <c r="N49" s="1" t="n">
        <f aca="false">J49-L49</f>
        <v>2.1</v>
      </c>
      <c r="O49" s="25" t="n">
        <f aca="false">O48+N49</f>
        <v>52.9</v>
      </c>
      <c r="P49" s="21" t="n">
        <v>44</v>
      </c>
      <c r="Q49" s="22" t="n">
        <f aca="false">0.35+((P49-8)/66)*(1-0.35)</f>
        <v>0.704545454545455</v>
      </c>
      <c r="R49" s="23" t="n">
        <f aca="false">Q49*L49</f>
        <v>0.281818181818182</v>
      </c>
      <c r="S49" s="23" t="n">
        <f aca="false">J49-R49</f>
        <v>2.21818181818182</v>
      </c>
      <c r="T49" s="26" t="n">
        <f aca="false">MIN(122.1,(T48+S49))</f>
        <v>80.5131060606061</v>
      </c>
      <c r="V49" s="27" t="n">
        <v>321</v>
      </c>
      <c r="W49" s="1" t="n">
        <f aca="false">V49/D49</f>
        <v>21.6891891891892</v>
      </c>
      <c r="X49" s="1" t="n">
        <f aca="false">X48+V49</f>
        <v>43127.6</v>
      </c>
      <c r="AA49" s="1" t="n">
        <v>10.9286915617919</v>
      </c>
    </row>
    <row r="50" customFormat="false" ht="15" hidden="false" customHeight="false" outlineLevel="0" collapsed="false">
      <c r="A50" s="15"/>
      <c r="B50" s="4"/>
      <c r="C50" s="16" t="n">
        <v>41564</v>
      </c>
      <c r="D50" s="1" t="n">
        <v>13</v>
      </c>
      <c r="E50" s="1" t="n">
        <v>12.2</v>
      </c>
      <c r="F50" s="1" t="n">
        <v>16.3</v>
      </c>
      <c r="G50" s="1" t="n">
        <f aca="false">G49+D50</f>
        <v>700.7</v>
      </c>
      <c r="J50" s="1" t="n">
        <v>0.2</v>
      </c>
      <c r="K50" s="1" t="n">
        <f aca="false">K49+J50</f>
        <v>114</v>
      </c>
      <c r="L50" s="1" t="n">
        <v>1.3</v>
      </c>
      <c r="M50" s="1" t="n">
        <f aca="false">M49+L50</f>
        <v>87.2</v>
      </c>
      <c r="N50" s="19" t="n">
        <f aca="false">J50-L50</f>
        <v>-1.1</v>
      </c>
      <c r="O50" s="25" t="n">
        <f aca="false">O49+N50</f>
        <v>51.8</v>
      </c>
      <c r="P50" s="21" t="n">
        <v>45</v>
      </c>
      <c r="Q50" s="22" t="n">
        <f aca="false">0.35+((P50-8)/66)*(1-0.35)</f>
        <v>0.714393939393939</v>
      </c>
      <c r="R50" s="23" t="n">
        <f aca="false">Q50*L50</f>
        <v>0.928712121212121</v>
      </c>
      <c r="S50" s="23" t="n">
        <f aca="false">J50-R50</f>
        <v>-0.728712121212121</v>
      </c>
      <c r="T50" s="26" t="n">
        <f aca="false">MIN(122.1,(T49+S50))</f>
        <v>79.784393939394</v>
      </c>
      <c r="V50" s="27" t="n">
        <v>810.8</v>
      </c>
      <c r="W50" s="1" t="n">
        <f aca="false">V50/D50</f>
        <v>62.3692307692308</v>
      </c>
      <c r="X50" s="1" t="n">
        <f aca="false">X49+V50</f>
        <v>43938.4</v>
      </c>
      <c r="AA50" s="1" t="n">
        <v>10.8744538786235</v>
      </c>
    </row>
    <row r="51" customFormat="false" ht="15" hidden="false" customHeight="false" outlineLevel="0" collapsed="false">
      <c r="A51" s="15"/>
      <c r="B51" s="4"/>
      <c r="C51" s="16" t="n">
        <v>41565</v>
      </c>
      <c r="D51" s="1" t="n">
        <v>11.3</v>
      </c>
      <c r="E51" s="1" t="n">
        <v>7.5</v>
      </c>
      <c r="F51" s="1" t="n">
        <v>14.5</v>
      </c>
      <c r="G51" s="1" t="n">
        <f aca="false">G50+D51</f>
        <v>712</v>
      </c>
      <c r="J51" s="1" t="n">
        <v>0.2</v>
      </c>
      <c r="K51" s="1" t="n">
        <f aca="false">K50+J51</f>
        <v>114.2</v>
      </c>
      <c r="L51" s="1" t="n">
        <v>1.2</v>
      </c>
      <c r="M51" s="1" t="n">
        <f aca="false">M50+L51</f>
        <v>88.4</v>
      </c>
      <c r="N51" s="19" t="n">
        <f aca="false">J51-L51</f>
        <v>-1</v>
      </c>
      <c r="O51" s="25" t="n">
        <f aca="false">O50+N51</f>
        <v>50.8</v>
      </c>
      <c r="P51" s="21" t="n">
        <v>46</v>
      </c>
      <c r="Q51" s="22" t="n">
        <f aca="false">0.35+((P51-8)/66)*(1-0.35)</f>
        <v>0.724242424242424</v>
      </c>
      <c r="R51" s="23" t="n">
        <f aca="false">Q51*L51</f>
        <v>0.869090909090909</v>
      </c>
      <c r="S51" s="23" t="n">
        <f aca="false">J51-R51</f>
        <v>-0.669090909090909</v>
      </c>
      <c r="T51" s="26" t="n">
        <f aca="false">MIN(122.1,(T50+S51))</f>
        <v>79.115303030303</v>
      </c>
      <c r="V51" s="1" t="n">
        <v>985.5</v>
      </c>
      <c r="W51" s="1" t="n">
        <f aca="false">V51/D51</f>
        <v>87.212389380531</v>
      </c>
      <c r="X51" s="1" t="n">
        <f aca="false">X50+V51</f>
        <v>44923.9</v>
      </c>
      <c r="AA51" s="1" t="n">
        <v>10.820369488516</v>
      </c>
    </row>
    <row r="52" customFormat="false" ht="15" hidden="false" customHeight="false" outlineLevel="0" collapsed="false">
      <c r="A52" s="15"/>
      <c r="B52" s="4"/>
      <c r="C52" s="16" t="n">
        <v>41566</v>
      </c>
      <c r="D52" s="1" t="n">
        <v>14.9</v>
      </c>
      <c r="E52" s="1" t="n">
        <v>9.2</v>
      </c>
      <c r="F52" s="1" t="n">
        <v>19.9</v>
      </c>
      <c r="G52" s="1" t="n">
        <f aca="false">G51+D52</f>
        <v>726.9</v>
      </c>
      <c r="J52" s="1" t="n">
        <v>10.5</v>
      </c>
      <c r="K52" s="1" t="n">
        <f aca="false">K51+J52</f>
        <v>124.7</v>
      </c>
      <c r="L52" s="1" t="n">
        <v>0.7</v>
      </c>
      <c r="M52" s="1" t="n">
        <f aca="false">M51+L52</f>
        <v>89.1</v>
      </c>
      <c r="N52" s="1" t="n">
        <f aca="false">J52-L52</f>
        <v>9.8</v>
      </c>
      <c r="O52" s="25" t="n">
        <f aca="false">O51+N52</f>
        <v>60.6</v>
      </c>
      <c r="P52" s="21" t="n">
        <v>47</v>
      </c>
      <c r="Q52" s="22" t="n">
        <f aca="false">0.35+((P52-8)/66)*(1-0.35)</f>
        <v>0.734090909090909</v>
      </c>
      <c r="R52" s="23" t="n">
        <f aca="false">Q52*L52</f>
        <v>0.513863636363636</v>
      </c>
      <c r="S52" s="23" t="n">
        <f aca="false">J52-R52</f>
        <v>9.98613636363636</v>
      </c>
      <c r="T52" s="26" t="n">
        <f aca="false">MIN(122.1,(T51+S52))</f>
        <v>89.1014393939394</v>
      </c>
      <c r="V52" s="27" t="n">
        <v>461.7</v>
      </c>
      <c r="W52" s="1" t="n">
        <f aca="false">V52/D52</f>
        <v>30.9865771812081</v>
      </c>
      <c r="X52" s="1" t="n">
        <f aca="false">X51+V52</f>
        <v>45385.6</v>
      </c>
      <c r="AA52" s="1" t="n">
        <v>10.7664490770799</v>
      </c>
    </row>
    <row r="53" customFormat="false" ht="15" hidden="false" customHeight="false" outlineLevel="0" collapsed="false">
      <c r="A53" s="15"/>
      <c r="B53" s="4"/>
      <c r="C53" s="16" t="n">
        <v>41567</v>
      </c>
      <c r="D53" s="1" t="n">
        <v>15.3</v>
      </c>
      <c r="E53" s="1" t="n">
        <v>13.5</v>
      </c>
      <c r="F53" s="1" t="n">
        <v>19.3</v>
      </c>
      <c r="G53" s="1" t="n">
        <f aca="false">G52+D53</f>
        <v>742.2</v>
      </c>
      <c r="J53" s="1" t="n">
        <v>1.4</v>
      </c>
      <c r="K53" s="1" t="n">
        <f aca="false">K52+J53</f>
        <v>126.1</v>
      </c>
      <c r="L53" s="1" t="n">
        <v>1.7</v>
      </c>
      <c r="M53" s="1" t="n">
        <f aca="false">M52+L53</f>
        <v>90.8</v>
      </c>
      <c r="N53" s="19" t="n">
        <f aca="false">J53-L53</f>
        <v>-0.3</v>
      </c>
      <c r="O53" s="25" t="n">
        <f aca="false">O52+N53</f>
        <v>60.3</v>
      </c>
      <c r="P53" s="21" t="n">
        <v>48</v>
      </c>
      <c r="Q53" s="22" t="n">
        <f aca="false">0.35+((P53-8)/66)*(1-0.35)</f>
        <v>0.743939393939394</v>
      </c>
      <c r="R53" s="23" t="n">
        <f aca="false">Q53*L53</f>
        <v>1.26469696969697</v>
      </c>
      <c r="S53" s="23" t="n">
        <f aca="false">J53-R53</f>
        <v>0.13530303030303</v>
      </c>
      <c r="T53" s="26" t="n">
        <f aca="false">MIN(122.1,(T52+S53))</f>
        <v>89.2367424242424</v>
      </c>
      <c r="V53" s="27" t="n">
        <v>730.6</v>
      </c>
      <c r="W53" s="1" t="n">
        <f aca="false">V53/D53</f>
        <v>47.7516339869281</v>
      </c>
      <c r="X53" s="1" t="n">
        <f aca="false">X52+V53</f>
        <v>46116.2</v>
      </c>
      <c r="AA53" s="1" t="n">
        <v>10.7127037572019</v>
      </c>
    </row>
    <row r="54" customFormat="false" ht="15" hidden="false" customHeight="false" outlineLevel="0" collapsed="false">
      <c r="A54" s="15"/>
      <c r="B54" s="4"/>
      <c r="C54" s="16" t="n">
        <v>41568</v>
      </c>
      <c r="D54" s="1" t="n">
        <v>16.2</v>
      </c>
      <c r="E54" s="1" t="n">
        <v>11.4</v>
      </c>
      <c r="F54" s="1" t="n">
        <v>21.7</v>
      </c>
      <c r="G54" s="1" t="n">
        <f aca="false">G53+D54</f>
        <v>758.4</v>
      </c>
      <c r="J54" s="1" t="n">
        <v>0.3</v>
      </c>
      <c r="K54" s="1" t="n">
        <f aca="false">K53+J54</f>
        <v>126.4</v>
      </c>
      <c r="L54" s="1" t="n">
        <v>1.2</v>
      </c>
      <c r="M54" s="1" t="n">
        <f aca="false">M53+L54</f>
        <v>92</v>
      </c>
      <c r="N54" s="19" t="n">
        <f aca="false">J54-L54</f>
        <v>-0.9</v>
      </c>
      <c r="O54" s="25" t="n">
        <f aca="false">O53+N54</f>
        <v>59.4</v>
      </c>
      <c r="P54" s="21" t="n">
        <v>49</v>
      </c>
      <c r="Q54" s="22" t="n">
        <f aca="false">0.35+((P54-8)/66)*(1-0.35)</f>
        <v>0.753787878787879</v>
      </c>
      <c r="R54" s="23" t="n">
        <f aca="false">Q54*L54</f>
        <v>0.904545454545455</v>
      </c>
      <c r="S54" s="23" t="n">
        <f aca="false">J54-R54</f>
        <v>-0.604545454545455</v>
      </c>
      <c r="T54" s="26" t="n">
        <f aca="false">MIN(122.1,(T53+S54))</f>
        <v>88.632196969697</v>
      </c>
      <c r="V54" s="27" t="n">
        <v>732.6</v>
      </c>
      <c r="W54" s="1" t="n">
        <f aca="false">V54/D54</f>
        <v>45.2222222222222</v>
      </c>
      <c r="X54" s="1" t="n">
        <f aca="false">X53+V54</f>
        <v>46848.8</v>
      </c>
      <c r="AA54" s="1" t="n">
        <v>10.6591450850944</v>
      </c>
    </row>
    <row r="55" customFormat="false" ht="15" hidden="false" customHeight="false" outlineLevel="0" collapsed="false">
      <c r="A55" s="15"/>
      <c r="B55" s="4"/>
      <c r="C55" s="16" t="n">
        <v>41569</v>
      </c>
      <c r="D55" s="1" t="n">
        <v>17.3</v>
      </c>
      <c r="E55" s="1" t="n">
        <v>14.3</v>
      </c>
      <c r="F55" s="1" t="n">
        <v>21.4</v>
      </c>
      <c r="G55" s="1" t="n">
        <f aca="false">G54+D55</f>
        <v>775.7</v>
      </c>
      <c r="J55" s="1" t="n">
        <v>2.1</v>
      </c>
      <c r="K55" s="1" t="n">
        <f aca="false">K54+J55</f>
        <v>128.5</v>
      </c>
      <c r="L55" s="1" t="n">
        <v>1.5</v>
      </c>
      <c r="M55" s="1" t="n">
        <f aca="false">M54+L55</f>
        <v>93.5</v>
      </c>
      <c r="N55" s="1" t="n">
        <f aca="false">J55-L55</f>
        <v>0.6</v>
      </c>
      <c r="O55" s="25" t="n">
        <f aca="false">O54+N55</f>
        <v>60</v>
      </c>
      <c r="P55" s="21" t="n">
        <v>50</v>
      </c>
      <c r="Q55" s="22" t="n">
        <f aca="false">0.35+((P55-8)/66)*(1-0.35)</f>
        <v>0.763636363636364</v>
      </c>
      <c r="R55" s="23" t="n">
        <f aca="false">Q55*L55</f>
        <v>1.14545454545455</v>
      </c>
      <c r="S55" s="23" t="n">
        <f aca="false">J55-R55</f>
        <v>0.954545454545455</v>
      </c>
      <c r="T55" s="26" t="n">
        <f aca="false">MIN(122.1,(T54+S55))</f>
        <v>89.5867424242424</v>
      </c>
      <c r="V55" s="27" t="n">
        <v>593.6</v>
      </c>
      <c r="W55" s="1" t="n">
        <f aca="false">V55/D55</f>
        <v>34.3121387283237</v>
      </c>
      <c r="X55" s="1" t="n">
        <f aca="false">X54+V55</f>
        <v>47442.4</v>
      </c>
      <c r="AA55" s="1" t="n">
        <v>10.6057850760146</v>
      </c>
    </row>
    <row r="56" customFormat="false" ht="15" hidden="false" customHeight="false" outlineLevel="0" collapsed="false">
      <c r="A56" s="15"/>
      <c r="B56" s="4"/>
      <c r="C56" s="16" t="n">
        <v>41570</v>
      </c>
      <c r="D56" s="1" t="n">
        <v>16.4</v>
      </c>
      <c r="E56" s="1" t="n">
        <v>15.5</v>
      </c>
      <c r="F56" s="1" t="n">
        <v>20.1</v>
      </c>
      <c r="G56" s="1" t="n">
        <f aca="false">G55+D56</f>
        <v>792.1</v>
      </c>
      <c r="J56" s="1" t="n">
        <v>3</v>
      </c>
      <c r="K56" s="1" t="n">
        <f aca="false">K55+J56</f>
        <v>131.5</v>
      </c>
      <c r="L56" s="1" t="n">
        <v>2.7</v>
      </c>
      <c r="M56" s="1" t="n">
        <f aca="false">M55+L56</f>
        <v>96.2</v>
      </c>
      <c r="N56" s="1" t="n">
        <f aca="false">J56-L56</f>
        <v>0.3</v>
      </c>
      <c r="O56" s="25" t="n">
        <f aca="false">O55+N56</f>
        <v>60.3</v>
      </c>
      <c r="P56" s="21" t="n">
        <v>51</v>
      </c>
      <c r="Q56" s="22" t="n">
        <f aca="false">0.35+((P56-8)/66)*(1-0.35)</f>
        <v>0.773484848484848</v>
      </c>
      <c r="R56" s="23" t="n">
        <f aca="false">Q56*L56</f>
        <v>2.08840909090909</v>
      </c>
      <c r="S56" s="23" t="n">
        <f aca="false">J56-R56</f>
        <v>0.911590909090909</v>
      </c>
      <c r="T56" s="26" t="n">
        <f aca="false">MIN(122.1,(T55+S56))</f>
        <v>90.4983333333333</v>
      </c>
      <c r="V56" s="1" t="n">
        <v>924.4</v>
      </c>
      <c r="W56" s="1" t="n">
        <f aca="false">V56/D56</f>
        <v>56.3658536585366</v>
      </c>
      <c r="X56" s="1" t="n">
        <f aca="false">X55+V56</f>
        <v>48366.8</v>
      </c>
      <c r="AA56" s="1" t="n">
        <v>10.5526362195937</v>
      </c>
    </row>
    <row r="57" customFormat="false" ht="15" hidden="false" customHeight="false" outlineLevel="0" collapsed="false">
      <c r="A57" s="15"/>
      <c r="B57" s="4"/>
      <c r="C57" s="16" t="n">
        <v>41571</v>
      </c>
      <c r="D57" s="1" t="n">
        <v>14.1</v>
      </c>
      <c r="E57" s="1" t="n">
        <v>8.2</v>
      </c>
      <c r="F57" s="1" t="n">
        <v>19.6</v>
      </c>
      <c r="G57" s="1" t="n">
        <f aca="false">G56+D57</f>
        <v>806.2</v>
      </c>
      <c r="J57" s="1" t="n">
        <v>0.1</v>
      </c>
      <c r="K57" s="1" t="n">
        <f aca="false">K56+J57</f>
        <v>131.6</v>
      </c>
      <c r="L57" s="1" t="n">
        <v>1.5</v>
      </c>
      <c r="M57" s="1" t="n">
        <f aca="false">M56+L57</f>
        <v>97.7</v>
      </c>
      <c r="N57" s="19" t="n">
        <f aca="false">J57-L57</f>
        <v>-1.4</v>
      </c>
      <c r="O57" s="25" t="n">
        <f aca="false">O56+N57</f>
        <v>58.9</v>
      </c>
      <c r="P57" s="21" t="n">
        <v>52</v>
      </c>
      <c r="Q57" s="22" t="n">
        <f aca="false">0.35+((P57-8)/66)*(1-0.35)</f>
        <v>0.783333333333333</v>
      </c>
      <c r="R57" s="23" t="n">
        <f aca="false">Q57*L57</f>
        <v>1.175</v>
      </c>
      <c r="S57" s="23" t="n">
        <f aca="false">J57-R57</f>
        <v>-1.075</v>
      </c>
      <c r="T57" s="26" t="n">
        <f aca="false">MIN(122.1,(T56+S57))</f>
        <v>89.4233333333333</v>
      </c>
      <c r="V57" s="1" t="n">
        <v>1058.6</v>
      </c>
      <c r="W57" s="1" t="n">
        <f aca="false">V57/D57</f>
        <v>75.0780141843972</v>
      </c>
      <c r="X57" s="1" t="n">
        <f aca="false">X56+V57</f>
        <v>49425.4</v>
      </c>
      <c r="AA57" s="1" t="n">
        <v>10.4997114947105</v>
      </c>
    </row>
    <row r="58" customFormat="false" ht="15" hidden="false" customHeight="false" outlineLevel="0" collapsed="false">
      <c r="A58" s="15"/>
      <c r="B58" s="4"/>
      <c r="C58" s="16" t="n">
        <v>41572</v>
      </c>
      <c r="D58" s="1" t="n">
        <v>17.2</v>
      </c>
      <c r="E58" s="1" t="n">
        <v>14.4</v>
      </c>
      <c r="F58" s="1" t="n">
        <v>19.3</v>
      </c>
      <c r="G58" s="1" t="n">
        <f aca="false">G57+D58</f>
        <v>823.4</v>
      </c>
      <c r="J58" s="1" t="n">
        <v>15.2</v>
      </c>
      <c r="K58" s="1" t="n">
        <f aca="false">K57+J58</f>
        <v>146.8</v>
      </c>
      <c r="L58" s="1" t="n">
        <v>0.5</v>
      </c>
      <c r="M58" s="1" t="n">
        <f aca="false">M57+L58</f>
        <v>98.2</v>
      </c>
      <c r="N58" s="1" t="n">
        <f aca="false">J58-L58</f>
        <v>14.7</v>
      </c>
      <c r="O58" s="25" t="n">
        <f aca="false">O57+N58</f>
        <v>73.6</v>
      </c>
      <c r="P58" s="21" t="n">
        <v>53</v>
      </c>
      <c r="Q58" s="22" t="n">
        <f aca="false">0.35+((P58-8)/66)*(1-0.35)</f>
        <v>0.793181818181818</v>
      </c>
      <c r="R58" s="23" t="n">
        <f aca="false">Q58*L58</f>
        <v>0.396590909090909</v>
      </c>
      <c r="S58" s="23" t="n">
        <f aca="false">J58-R58</f>
        <v>14.8034090909091</v>
      </c>
      <c r="T58" s="26" t="n">
        <f aca="false">MIN(122.1,(T57+S58))</f>
        <v>104.226742424242</v>
      </c>
      <c r="V58" s="27" t="n">
        <v>185.6</v>
      </c>
      <c r="W58" s="1" t="n">
        <f aca="false">V58/D58</f>
        <v>10.7906976744186</v>
      </c>
      <c r="X58" s="1" t="n">
        <f aca="false">X57+V58</f>
        <v>49611</v>
      </c>
      <c r="AA58" s="1" t="n">
        <v>10.4470243838368</v>
      </c>
    </row>
    <row r="59" customFormat="false" ht="15" hidden="false" customHeight="false" outlineLevel="0" collapsed="false">
      <c r="A59" s="15"/>
      <c r="B59" s="4"/>
      <c r="C59" s="16" t="n">
        <v>41573</v>
      </c>
      <c r="D59" s="1" t="n">
        <v>17.1</v>
      </c>
      <c r="E59" s="1" t="n">
        <v>13.5</v>
      </c>
      <c r="F59" s="1" t="n">
        <v>21.8</v>
      </c>
      <c r="G59" s="1" t="n">
        <f aca="false">G58+D59</f>
        <v>840.5</v>
      </c>
      <c r="J59" s="1" t="n">
        <v>1.4</v>
      </c>
      <c r="K59" s="1" t="n">
        <f aca="false">K58+J59</f>
        <v>148.2</v>
      </c>
      <c r="L59" s="1" t="n">
        <v>1.5</v>
      </c>
      <c r="M59" s="1" t="n">
        <f aca="false">M58+L59</f>
        <v>99.7</v>
      </c>
      <c r="N59" s="19" t="n">
        <f aca="false">J59-L59</f>
        <v>-0.1</v>
      </c>
      <c r="O59" s="25" t="n">
        <f aca="false">O58+N59</f>
        <v>73.5</v>
      </c>
      <c r="P59" s="21" t="n">
        <v>54</v>
      </c>
      <c r="Q59" s="22" t="n">
        <f aca="false">0.35+((P59-8)/66)*(1-0.35)</f>
        <v>0.803030303030303</v>
      </c>
      <c r="R59" s="23" t="n">
        <f aca="false">Q59*L59</f>
        <v>1.20454545454545</v>
      </c>
      <c r="S59" s="23" t="n">
        <f aca="false">J59-R59</f>
        <v>0.195454545454545</v>
      </c>
      <c r="T59" s="26" t="n">
        <f aca="false">MIN(122.1,(T58+S59))</f>
        <v>104.422196969697</v>
      </c>
      <c r="V59" s="27" t="n">
        <v>619.8</v>
      </c>
      <c r="W59" s="1" t="n">
        <f aca="false">V59/D59</f>
        <v>36.2456140350877</v>
      </c>
      <c r="X59" s="1" t="n">
        <f aca="false">X58+V59</f>
        <v>50230.8</v>
      </c>
      <c r="AA59" s="1" t="n">
        <v>10.3945888867795</v>
      </c>
    </row>
    <row r="60" customFormat="false" ht="15" hidden="false" customHeight="false" outlineLevel="0" collapsed="false">
      <c r="A60" s="15"/>
      <c r="B60" s="4"/>
      <c r="C60" s="16" t="n">
        <v>41574</v>
      </c>
      <c r="D60" s="1" t="n">
        <v>14.8</v>
      </c>
      <c r="E60" s="1" t="n">
        <v>13.9</v>
      </c>
      <c r="F60" s="1" t="n">
        <v>17.3</v>
      </c>
      <c r="G60" s="1" t="n">
        <f aca="false">G59+D60</f>
        <v>855.3</v>
      </c>
      <c r="J60" s="1" t="n">
        <v>6.1</v>
      </c>
      <c r="K60" s="1" t="n">
        <f aca="false">K59+J60</f>
        <v>154.3</v>
      </c>
      <c r="L60" s="1" t="n">
        <v>1.6</v>
      </c>
      <c r="M60" s="1" t="n">
        <f aca="false">M59+L60</f>
        <v>101.3</v>
      </c>
      <c r="N60" s="1" t="n">
        <f aca="false">J60-L60</f>
        <v>4.5</v>
      </c>
      <c r="O60" s="25" t="n">
        <f aca="false">O59+N60</f>
        <v>78</v>
      </c>
      <c r="P60" s="21" t="n">
        <v>55</v>
      </c>
      <c r="Q60" s="22" t="n">
        <f aca="false">0.35+((P60-8)/66)*(1-0.35)</f>
        <v>0.812878787878788</v>
      </c>
      <c r="R60" s="23" t="n">
        <f aca="false">Q60*L60</f>
        <v>1.30060606060606</v>
      </c>
      <c r="S60" s="23" t="n">
        <f aca="false">J60-R60</f>
        <v>4.79939393939394</v>
      </c>
      <c r="T60" s="26" t="n">
        <f aca="false">MIN(122.1,(T59+S60))</f>
        <v>109.221590909091</v>
      </c>
      <c r="V60" s="27" t="n">
        <v>252.4</v>
      </c>
      <c r="W60" s="1" t="n">
        <f aca="false">V60/D60</f>
        <v>17.0540540540541</v>
      </c>
      <c r="X60" s="1" t="n">
        <f aca="false">X59+V60</f>
        <v>50483.2</v>
      </c>
      <c r="AA60" s="1" t="n">
        <v>10.3424195337355</v>
      </c>
    </row>
    <row r="61" customFormat="false" ht="15" hidden="false" customHeight="false" outlineLevel="0" collapsed="false">
      <c r="A61" s="15"/>
      <c r="B61" s="4"/>
      <c r="C61" s="16" t="n">
        <v>41575</v>
      </c>
      <c r="D61" s="1" t="n">
        <v>14.2</v>
      </c>
      <c r="E61" s="1" t="n">
        <v>13</v>
      </c>
      <c r="F61" s="1" t="n">
        <v>16.9</v>
      </c>
      <c r="G61" s="1" t="n">
        <f aca="false">G60+D61</f>
        <v>869.5</v>
      </c>
      <c r="J61" s="1" t="n">
        <v>2.8</v>
      </c>
      <c r="K61" s="1" t="n">
        <f aca="false">K60+J61</f>
        <v>157.1</v>
      </c>
      <c r="L61" s="1" t="n">
        <v>1.7</v>
      </c>
      <c r="M61" s="1" t="n">
        <f aca="false">M60+L61</f>
        <v>103</v>
      </c>
      <c r="N61" s="1" t="n">
        <f aca="false">J61-L61</f>
        <v>1.1</v>
      </c>
      <c r="O61" s="25" t="n">
        <f aca="false">O60+N61</f>
        <v>79.1</v>
      </c>
      <c r="P61" s="21" t="n">
        <v>56</v>
      </c>
      <c r="Q61" s="22" t="n">
        <f aca="false">0.35+((P61-8)/66)*(1-0.35)</f>
        <v>0.822727272727273</v>
      </c>
      <c r="R61" s="23" t="n">
        <f aca="false">Q61*L61</f>
        <v>1.39863636363636</v>
      </c>
      <c r="S61" s="23" t="n">
        <f aca="false">J61-R61</f>
        <v>1.40136363636364</v>
      </c>
      <c r="T61" s="26" t="n">
        <f aca="false">MIN(122.1,(T60+S61))</f>
        <v>110.622954545455</v>
      </c>
      <c r="V61" s="27" t="n">
        <v>272</v>
      </c>
      <c r="W61" s="1" t="n">
        <f aca="false">V61/D61</f>
        <v>19.1549295774648</v>
      </c>
      <c r="X61" s="1" t="n">
        <f aca="false">X60+V61</f>
        <v>50755.2</v>
      </c>
      <c r="AA61" s="1" t="n">
        <v>10.2905313975712</v>
      </c>
    </row>
    <row r="62" customFormat="false" ht="15" hidden="false" customHeight="false" outlineLevel="0" collapsed="false">
      <c r="A62" s="15"/>
      <c r="B62" s="4"/>
      <c r="C62" s="16" t="n">
        <v>41576</v>
      </c>
      <c r="D62" s="1" t="n">
        <v>9.5</v>
      </c>
      <c r="E62" s="1" t="n">
        <v>8</v>
      </c>
      <c r="F62" s="1" t="n">
        <v>14.3</v>
      </c>
      <c r="G62" s="1" t="n">
        <f aca="false">G61+D62</f>
        <v>879</v>
      </c>
      <c r="J62" s="1" t="n">
        <v>1.1</v>
      </c>
      <c r="K62" s="1" t="n">
        <f aca="false">K61+J62</f>
        <v>158.2</v>
      </c>
      <c r="L62" s="1" t="n">
        <v>1.6</v>
      </c>
      <c r="M62" s="1" t="n">
        <f aca="false">M61+L62</f>
        <v>104.6</v>
      </c>
      <c r="N62" s="19" t="n">
        <f aca="false">J62-L62</f>
        <v>-0.5</v>
      </c>
      <c r="O62" s="25" t="n">
        <f aca="false">O61+N62</f>
        <v>78.6</v>
      </c>
      <c r="P62" s="21" t="n">
        <v>57</v>
      </c>
      <c r="Q62" s="22" t="n">
        <f aca="false">0.35+((P62-8)/66)*(1-0.35)</f>
        <v>0.832575757575758</v>
      </c>
      <c r="R62" s="23" t="n">
        <f aca="false">Q62*L62</f>
        <v>1.33212121212121</v>
      </c>
      <c r="S62" s="23" t="n">
        <f aca="false">J62-R62</f>
        <v>-0.232121212121212</v>
      </c>
      <c r="T62" s="26" t="n">
        <f aca="false">MIN(122.1,(T61+S62))</f>
        <v>110.390833333333</v>
      </c>
      <c r="V62" s="1" t="n">
        <v>944.5</v>
      </c>
      <c r="W62" s="1" t="n">
        <f aca="false">V62/D62</f>
        <v>99.421052631579</v>
      </c>
      <c r="X62" s="1" t="n">
        <f aca="false">X61+V62</f>
        <v>51699.7</v>
      </c>
      <c r="AA62" s="1" t="n">
        <v>10.238940105234</v>
      </c>
    </row>
    <row r="63" customFormat="false" ht="15" hidden="false" customHeight="false" outlineLevel="0" collapsed="false">
      <c r="A63" s="15"/>
      <c r="B63" s="4"/>
      <c r="C63" s="16" t="n">
        <v>41577</v>
      </c>
      <c r="D63" s="1" t="n">
        <v>6.6</v>
      </c>
      <c r="E63" s="31" t="n">
        <v>3.2</v>
      </c>
      <c r="F63" s="1" t="n">
        <v>11.6</v>
      </c>
      <c r="G63" s="1" t="n">
        <f aca="false">G62+D63</f>
        <v>885.6</v>
      </c>
      <c r="J63" s="1" t="n">
        <v>0</v>
      </c>
      <c r="K63" s="1" t="n">
        <f aca="false">K62+J63</f>
        <v>158.2</v>
      </c>
      <c r="L63" s="1" t="n">
        <v>0.7</v>
      </c>
      <c r="M63" s="1" t="n">
        <f aca="false">M62+L63</f>
        <v>105.3</v>
      </c>
      <c r="N63" s="19" t="n">
        <f aca="false">J63-L63</f>
        <v>-0.7</v>
      </c>
      <c r="O63" s="25" t="n">
        <f aca="false">O62+N63</f>
        <v>77.9</v>
      </c>
      <c r="P63" s="21" t="n">
        <v>58</v>
      </c>
      <c r="Q63" s="22" t="n">
        <f aca="false">0.35+((P63-8)/66)*(1-0.35)</f>
        <v>0.842424242424242</v>
      </c>
      <c r="R63" s="23" t="n">
        <f aca="false">Q63*L63</f>
        <v>0.58969696969697</v>
      </c>
      <c r="S63" s="23" t="n">
        <f aca="false">J63-R63</f>
        <v>-0.58969696969697</v>
      </c>
      <c r="T63" s="26" t="n">
        <f aca="false">MIN(122.1,(T62+S63))</f>
        <v>109.801136363636</v>
      </c>
      <c r="V63" s="27" t="n">
        <v>672.7</v>
      </c>
      <c r="W63" s="1" t="n">
        <f aca="false">V63/D63</f>
        <v>101.924242424242</v>
      </c>
      <c r="X63" s="1" t="n">
        <f aca="false">X62+V63</f>
        <v>52372.4</v>
      </c>
      <c r="AA63" s="1" t="n">
        <v>10.1876618481929</v>
      </c>
    </row>
    <row r="64" customFormat="false" ht="15" hidden="false" customHeight="false" outlineLevel="0" collapsed="false">
      <c r="A64" s="15"/>
      <c r="B64" s="4"/>
      <c r="C64" s="16" t="n">
        <v>41578</v>
      </c>
      <c r="D64" s="1" t="n">
        <v>6.8</v>
      </c>
      <c r="E64" s="31" t="n">
        <v>0.7</v>
      </c>
      <c r="F64" s="1" t="n">
        <v>13.1</v>
      </c>
      <c r="G64" s="1" t="n">
        <f aca="false">G63+D64</f>
        <v>892.4</v>
      </c>
      <c r="J64" s="1" t="n">
        <v>0</v>
      </c>
      <c r="K64" s="1" t="n">
        <f aca="false">K63+J64</f>
        <v>158.2</v>
      </c>
      <c r="L64" s="1" t="n">
        <v>1.1</v>
      </c>
      <c r="M64" s="1" t="n">
        <f aca="false">M63+L64</f>
        <v>106.4</v>
      </c>
      <c r="N64" s="19" t="n">
        <f aca="false">J64-L64</f>
        <v>-1.1</v>
      </c>
      <c r="O64" s="25" t="n">
        <f aca="false">O63+N64</f>
        <v>76.8</v>
      </c>
      <c r="P64" s="21" t="n">
        <v>59</v>
      </c>
      <c r="Q64" s="22" t="n">
        <f aca="false">0.35+((P64-8)/66)*(1-0.35)</f>
        <v>0.852272727272727</v>
      </c>
      <c r="R64" s="23" t="n">
        <f aca="false">Q64*L64</f>
        <v>0.9375</v>
      </c>
      <c r="S64" s="23" t="n">
        <f aca="false">J64-R64</f>
        <v>-0.9375</v>
      </c>
      <c r="T64" s="26" t="n">
        <f aca="false">MIN(122.1,(T63+S64))</f>
        <v>108.863636363636</v>
      </c>
      <c r="V64" s="1" t="n">
        <v>1033.6</v>
      </c>
      <c r="W64" s="1" t="n">
        <f aca="false">V64/D64</f>
        <v>152</v>
      </c>
      <c r="X64" s="1" t="n">
        <f aca="false">X63+V64</f>
        <v>53406</v>
      </c>
      <c r="AA64" s="1" t="n">
        <v>10.1367133918062</v>
      </c>
    </row>
    <row r="65" customFormat="false" ht="15" hidden="false" customHeight="false" outlineLevel="0" collapsed="false">
      <c r="A65" s="15"/>
      <c r="B65" s="4"/>
      <c r="C65" s="16" t="n">
        <v>41579</v>
      </c>
      <c r="D65" s="1" t="n">
        <v>9.1</v>
      </c>
      <c r="E65" s="1" t="n">
        <v>5.8</v>
      </c>
      <c r="F65" s="1" t="n">
        <v>14</v>
      </c>
      <c r="G65" s="1" t="n">
        <f aca="false">G64+D65</f>
        <v>901.5</v>
      </c>
      <c r="J65" s="1" t="n">
        <v>9.1</v>
      </c>
      <c r="K65" s="1" t="n">
        <f aca="false">K64+J65</f>
        <v>167.3</v>
      </c>
      <c r="L65" s="1" t="n">
        <v>1.3</v>
      </c>
      <c r="M65" s="1" t="n">
        <f aca="false">M64+L65</f>
        <v>107.7</v>
      </c>
      <c r="N65" s="1" t="n">
        <f aca="false">J65-L65</f>
        <v>7.8</v>
      </c>
      <c r="O65" s="25" t="n">
        <f aca="false">O64+N65</f>
        <v>84.6</v>
      </c>
      <c r="P65" s="21" t="n">
        <v>60</v>
      </c>
      <c r="Q65" s="22" t="n">
        <f aca="false">0.35+((P65-8)/66)*(1-0.35)</f>
        <v>0.862121212121212</v>
      </c>
      <c r="R65" s="23" t="n">
        <f aca="false">Q65*L65</f>
        <v>1.12075757575758</v>
      </c>
      <c r="S65" s="23" t="n">
        <f aca="false">J65-R65</f>
        <v>7.97924242424242</v>
      </c>
      <c r="T65" s="26" t="n">
        <f aca="false">MIN(122.1,(T64+S65))</f>
        <v>116.842878787879</v>
      </c>
      <c r="V65" s="27" t="n">
        <v>460.1</v>
      </c>
      <c r="W65" s="1" t="n">
        <f aca="false">V65/D65</f>
        <v>50.5604395604396</v>
      </c>
      <c r="X65" s="1" t="n">
        <f aca="false">X64+V65</f>
        <v>53866.1</v>
      </c>
      <c r="AA65" s="1" t="n">
        <v>10.0861120835021</v>
      </c>
    </row>
    <row r="66" customFormat="false" ht="15" hidden="false" customHeight="false" outlineLevel="0" collapsed="false">
      <c r="A66" s="15"/>
      <c r="B66" s="4"/>
      <c r="C66" s="16" t="n">
        <v>41580</v>
      </c>
      <c r="D66" s="1" t="n">
        <v>13.9</v>
      </c>
      <c r="E66" s="1" t="n">
        <v>9.7</v>
      </c>
      <c r="F66" s="1" t="n">
        <v>15.7</v>
      </c>
      <c r="G66" s="1" t="n">
        <f aca="false">G65+D66</f>
        <v>915.4</v>
      </c>
      <c r="J66" s="1" t="n">
        <v>3.5</v>
      </c>
      <c r="K66" s="1" t="n">
        <f aca="false">K65+J66</f>
        <v>170.8</v>
      </c>
      <c r="L66" s="1" t="n">
        <v>0.3</v>
      </c>
      <c r="M66" s="1" t="n">
        <f aca="false">M65+L66</f>
        <v>108</v>
      </c>
      <c r="N66" s="1" t="n">
        <f aca="false">J66-L66</f>
        <v>3.2</v>
      </c>
      <c r="O66" s="25" t="n">
        <f aca="false">O65+N66</f>
        <v>87.8</v>
      </c>
      <c r="P66" s="21" t="n">
        <v>61</v>
      </c>
      <c r="Q66" s="22" t="n">
        <f aca="false">0.35+((P66-8)/66)*(1-0.35)</f>
        <v>0.871969696969697</v>
      </c>
      <c r="R66" s="23" t="n">
        <f aca="false">Q66*L66</f>
        <v>0.261590909090909</v>
      </c>
      <c r="S66" s="23" t="n">
        <f aca="false">J66-R66</f>
        <v>3.23840909090909</v>
      </c>
      <c r="T66" s="26" t="n">
        <f aca="false">MIN(122.1,(T65+S66))</f>
        <v>120.081287878788</v>
      </c>
      <c r="V66" s="27" t="n">
        <v>361.3</v>
      </c>
      <c r="W66" s="1" t="n">
        <f aca="false">V66/D66</f>
        <v>25.9928057553957</v>
      </c>
      <c r="X66" s="1" t="n">
        <f aca="false">X65+V66</f>
        <v>54227.4</v>
      </c>
      <c r="AA66" s="1" t="n">
        <v>10.035875859657</v>
      </c>
    </row>
    <row r="67" customFormat="false" ht="15" hidden="false" customHeight="false" outlineLevel="0" collapsed="false">
      <c r="A67" s="15"/>
      <c r="B67" s="4"/>
      <c r="C67" s="16" t="n">
        <v>41581</v>
      </c>
      <c r="D67" s="1" t="n">
        <v>10.6</v>
      </c>
      <c r="E67" s="1" t="n">
        <v>8</v>
      </c>
      <c r="F67" s="1" t="n">
        <v>12.4</v>
      </c>
      <c r="G67" s="1" t="n">
        <f aca="false">G66+D67</f>
        <v>926</v>
      </c>
      <c r="J67" s="1" t="n">
        <v>12.9</v>
      </c>
      <c r="K67" s="1" t="n">
        <f aca="false">K66+J67</f>
        <v>183.7</v>
      </c>
      <c r="L67" s="1" t="n">
        <v>1.2</v>
      </c>
      <c r="M67" s="1" t="n">
        <f aca="false">M66+L67</f>
        <v>109.2</v>
      </c>
      <c r="N67" s="1" t="n">
        <f aca="false">J67-L67</f>
        <v>11.7</v>
      </c>
      <c r="O67" s="25" t="n">
        <f aca="false">O66+N67</f>
        <v>99.5</v>
      </c>
      <c r="P67" s="21" t="n">
        <v>62</v>
      </c>
      <c r="Q67" s="22" t="n">
        <f aca="false">0.35+((P67-8)/66)*(1-0.35)</f>
        <v>0.881818181818182</v>
      </c>
      <c r="R67" s="23" t="n">
        <f aca="false">Q67*L67</f>
        <v>1.05818181818182</v>
      </c>
      <c r="S67" s="23" t="n">
        <f aca="false">J67-R67</f>
        <v>11.8418181818182</v>
      </c>
      <c r="T67" s="26" t="n">
        <f aca="false">MIN(122.1,(T66+S67))</f>
        <v>122.1</v>
      </c>
      <c r="V67" s="27" t="n">
        <v>588.7</v>
      </c>
      <c r="W67" s="1" t="n">
        <f aca="false">V67/D67</f>
        <v>55.5377358490566</v>
      </c>
      <c r="X67" s="1" t="n">
        <f aca="false">X66+V67</f>
        <v>54816.1</v>
      </c>
      <c r="AA67" s="1" t="n">
        <v>9.98602325104997</v>
      </c>
    </row>
    <row r="68" customFormat="false" ht="15" hidden="false" customHeight="false" outlineLevel="0" collapsed="false">
      <c r="A68" s="15"/>
      <c r="B68" s="4"/>
      <c r="C68" s="16" t="n">
        <v>41582</v>
      </c>
      <c r="D68" s="1" t="n">
        <v>10.5</v>
      </c>
      <c r="E68" s="1" t="n">
        <v>9.3</v>
      </c>
      <c r="F68" s="1" t="n">
        <v>12.6</v>
      </c>
      <c r="G68" s="1" t="n">
        <f aca="false">G67+D68</f>
        <v>936.5</v>
      </c>
      <c r="J68" s="1" t="n">
        <v>6.6</v>
      </c>
      <c r="K68" s="1" t="n">
        <f aca="false">K67+J68</f>
        <v>190.3</v>
      </c>
      <c r="L68" s="1" t="n">
        <v>0.7</v>
      </c>
      <c r="M68" s="1" t="n">
        <f aca="false">M67+L68</f>
        <v>109.9</v>
      </c>
      <c r="N68" s="1" t="n">
        <f aca="false">J68-L68</f>
        <v>5.9</v>
      </c>
      <c r="O68" s="25" t="n">
        <f aca="false">O67+N68</f>
        <v>105.4</v>
      </c>
      <c r="P68" s="21" t="n">
        <v>63</v>
      </c>
      <c r="Q68" s="22" t="n">
        <f aca="false">0.35+((P68-8)/66)*(1-0.35)</f>
        <v>0.891666666666667</v>
      </c>
      <c r="R68" s="23" t="n">
        <f aca="false">Q68*L68</f>
        <v>0.624166666666667</v>
      </c>
      <c r="S68" s="23" t="n">
        <f aca="false">J68-R68</f>
        <v>5.97583333333333</v>
      </c>
      <c r="T68" s="26" t="n">
        <f aca="false">MIN(122.1,(T67+S68))</f>
        <v>122.1</v>
      </c>
      <c r="V68" s="27" t="n">
        <v>257.5</v>
      </c>
      <c r="W68" s="1" t="n">
        <f aca="false">V68/D68</f>
        <v>24.5238095238095</v>
      </c>
      <c r="X68" s="1" t="n">
        <f aca="false">X67+V68</f>
        <v>55073.6</v>
      </c>
      <c r="AA68" s="1" t="n">
        <v>9.9365733867664</v>
      </c>
    </row>
    <row r="69" customFormat="false" ht="15" hidden="false" customHeight="false" outlineLevel="0" collapsed="false">
      <c r="A69" s="15"/>
      <c r="B69" s="4"/>
      <c r="C69" s="16" t="n">
        <v>41583</v>
      </c>
      <c r="D69" s="1" t="n">
        <v>10.5</v>
      </c>
      <c r="E69" s="1" t="n">
        <v>5.4</v>
      </c>
      <c r="F69" s="1" t="n">
        <v>14.3</v>
      </c>
      <c r="G69" s="1" t="n">
        <f aca="false">G68+D69</f>
        <v>947</v>
      </c>
      <c r="J69" s="1" t="n">
        <v>6.6</v>
      </c>
      <c r="K69" s="1" t="n">
        <f aca="false">K68+J69</f>
        <v>196.9</v>
      </c>
      <c r="L69" s="1" t="n">
        <v>0.2</v>
      </c>
      <c r="M69" s="1" t="n">
        <f aca="false">M68+L69</f>
        <v>110.1</v>
      </c>
      <c r="N69" s="1" t="n">
        <f aca="false">J69-L69</f>
        <v>6.4</v>
      </c>
      <c r="O69" s="25" t="n">
        <f aca="false">O68+N69</f>
        <v>111.8</v>
      </c>
      <c r="P69" s="21" t="n">
        <v>64</v>
      </c>
      <c r="Q69" s="22" t="n">
        <f aca="false">0.35+((P69-8)/66)*(1-0.35)</f>
        <v>0.901515151515152</v>
      </c>
      <c r="R69" s="23" t="n">
        <f aca="false">Q69*L69</f>
        <v>0.18030303030303</v>
      </c>
      <c r="S69" s="23" t="n">
        <f aca="false">J69-R69</f>
        <v>6.41969696969697</v>
      </c>
      <c r="T69" s="26" t="n">
        <f aca="false">MIN(122.1,(T68+S69))</f>
        <v>122.1</v>
      </c>
      <c r="V69" s="27" t="n">
        <v>140.5</v>
      </c>
      <c r="W69" s="1" t="n">
        <f aca="false">V69/D69</f>
        <v>13.3809523809524</v>
      </c>
      <c r="X69" s="1" t="n">
        <f aca="false">X68+V69</f>
        <v>55214.1</v>
      </c>
      <c r="AA69" s="1" t="n">
        <v>9.88754599642005</v>
      </c>
    </row>
    <row r="70" customFormat="false" ht="15" hidden="false" customHeight="false" outlineLevel="0" collapsed="false">
      <c r="A70" s="15"/>
      <c r="B70" s="4"/>
      <c r="C70" s="16" t="n">
        <v>41584</v>
      </c>
      <c r="D70" s="1" t="n">
        <v>14.5</v>
      </c>
      <c r="E70" s="1" t="n">
        <v>12.5</v>
      </c>
      <c r="F70" s="1" t="n">
        <v>15.4</v>
      </c>
      <c r="G70" s="1" t="n">
        <f aca="false">G69+D70</f>
        <v>961.5</v>
      </c>
      <c r="J70" s="1" t="n">
        <v>1</v>
      </c>
      <c r="K70" s="1" t="n">
        <f aca="false">K69+J70</f>
        <v>197.9</v>
      </c>
      <c r="L70" s="1" t="n">
        <v>0.9</v>
      </c>
      <c r="M70" s="1" t="n">
        <f aca="false">M69+L70</f>
        <v>111</v>
      </c>
      <c r="N70" s="1" t="n">
        <f aca="false">J70-L70</f>
        <v>0.1</v>
      </c>
      <c r="O70" s="25" t="n">
        <f aca="false">O69+N70</f>
        <v>111.9</v>
      </c>
      <c r="P70" s="21" t="n">
        <v>65</v>
      </c>
      <c r="Q70" s="22" t="n">
        <f aca="false">0.35+((P70-8)/66)*(1-0.35)</f>
        <v>0.911363636363636</v>
      </c>
      <c r="R70" s="23" t="n">
        <f aca="false">Q70*L70</f>
        <v>0.820227272727273</v>
      </c>
      <c r="S70" s="23" t="n">
        <f aca="false">J70-R70</f>
        <v>0.179772727272727</v>
      </c>
      <c r="T70" s="26" t="n">
        <f aca="false">MIN(122.1,(T69+S70))</f>
        <v>122.1</v>
      </c>
      <c r="V70" s="27" t="n">
        <v>402.9</v>
      </c>
      <c r="W70" s="1" t="n">
        <f aca="false">V70/D70</f>
        <v>27.7862068965517</v>
      </c>
      <c r="X70" s="1" t="n">
        <f aca="false">X69+V70</f>
        <v>55617</v>
      </c>
      <c r="AA70" s="1" t="n">
        <v>9.83896141055952</v>
      </c>
    </row>
    <row r="71" customFormat="false" ht="15" hidden="false" customHeight="false" outlineLevel="0" collapsed="false">
      <c r="A71" s="15"/>
      <c r="B71" s="4"/>
      <c r="C71" s="16" t="n">
        <v>41585</v>
      </c>
      <c r="D71" s="1" t="n">
        <v>15.2</v>
      </c>
      <c r="E71" s="1" t="n">
        <v>14</v>
      </c>
      <c r="F71" s="1" t="n">
        <v>17.3</v>
      </c>
      <c r="G71" s="1" t="n">
        <f aca="false">G70+D71</f>
        <v>976.7</v>
      </c>
      <c r="J71" s="1" t="n">
        <v>5.3</v>
      </c>
      <c r="K71" s="1" t="n">
        <f aca="false">K70+J71</f>
        <v>203.2</v>
      </c>
      <c r="L71" s="1" t="n">
        <v>1.2</v>
      </c>
      <c r="M71" s="1" t="n">
        <f aca="false">M70+L71</f>
        <v>112.2</v>
      </c>
      <c r="N71" s="1" t="n">
        <f aca="false">J71-L71</f>
        <v>4.1</v>
      </c>
      <c r="O71" s="25" t="n">
        <f aca="false">O70+N71</f>
        <v>116</v>
      </c>
      <c r="P71" s="21" t="n">
        <v>66</v>
      </c>
      <c r="Q71" s="22" t="n">
        <f aca="false">0.35+((P71-8)/66)*(1-0.35)</f>
        <v>0.921212121212121</v>
      </c>
      <c r="R71" s="23" t="n">
        <f aca="false">Q71*L71</f>
        <v>1.10545454545455</v>
      </c>
      <c r="S71" s="23" t="n">
        <f aca="false">J71-R71</f>
        <v>4.19454545454545</v>
      </c>
      <c r="T71" s="26" t="n">
        <f aca="false">MIN(122.1,(T70+S71))</f>
        <v>122.1</v>
      </c>
      <c r="V71" s="27" t="n">
        <v>492.5</v>
      </c>
      <c r="W71" s="1" t="n">
        <f aca="false">V71/D71</f>
        <v>32.4013157894737</v>
      </c>
      <c r="X71" s="1" t="n">
        <f aca="false">X70+V71</f>
        <v>56109.5</v>
      </c>
      <c r="AA71" s="1" t="n">
        <v>9.79084055912119</v>
      </c>
    </row>
    <row r="72" customFormat="false" ht="15" hidden="false" customHeight="false" outlineLevel="0" collapsed="false">
      <c r="A72" s="15"/>
      <c r="B72" s="4"/>
      <c r="C72" s="16" t="n">
        <v>41586</v>
      </c>
      <c r="D72" s="1" t="n">
        <v>12.4</v>
      </c>
      <c r="E72" s="1" t="n">
        <v>11.7</v>
      </c>
      <c r="F72" s="1" t="n">
        <v>15.5</v>
      </c>
      <c r="G72" s="1" t="n">
        <f aca="false">G71+D72</f>
        <v>989.1</v>
      </c>
      <c r="J72" s="1" t="n">
        <v>4</v>
      </c>
      <c r="K72" s="1" t="n">
        <f aca="false">K71+J72</f>
        <v>207.2</v>
      </c>
      <c r="L72" s="1" t="n">
        <v>1.2</v>
      </c>
      <c r="M72" s="1" t="n">
        <f aca="false">M71+L72</f>
        <v>113.4</v>
      </c>
      <c r="N72" s="1" t="n">
        <f aca="false">J72-L72</f>
        <v>2.8</v>
      </c>
      <c r="O72" s="25" t="n">
        <f aca="false">O71+N72</f>
        <v>118.8</v>
      </c>
      <c r="P72" s="21" t="n">
        <v>67</v>
      </c>
      <c r="Q72" s="22" t="n">
        <f aca="false">0.35+((P72-8)/66)*(1-0.35)</f>
        <v>0.931060606060606</v>
      </c>
      <c r="R72" s="23" t="n">
        <f aca="false">Q72*L72</f>
        <v>1.11727272727273</v>
      </c>
      <c r="S72" s="23" t="n">
        <f aca="false">J72-R72</f>
        <v>2.88272727272727</v>
      </c>
      <c r="T72" s="26" t="n">
        <f aca="false">MIN(122.1,(T71+S72))</f>
        <v>122.1</v>
      </c>
      <c r="V72" s="27" t="n">
        <v>373.4</v>
      </c>
      <c r="W72" s="1" t="n">
        <f aca="false">V72/D72</f>
        <v>30.1129032258065</v>
      </c>
      <c r="X72" s="1" t="n">
        <f aca="false">X71+V72</f>
        <v>56482.9</v>
      </c>
      <c r="AA72" s="1" t="n">
        <v>9.74320496778886</v>
      </c>
    </row>
    <row r="73" customFormat="false" ht="15" hidden="false" customHeight="false" outlineLevel="0" collapsed="false">
      <c r="A73" s="15"/>
      <c r="B73" s="4"/>
      <c r="C73" s="16" t="n">
        <v>41587</v>
      </c>
      <c r="D73" s="1" t="n">
        <v>8.6</v>
      </c>
      <c r="E73" s="1" t="n">
        <v>5.8</v>
      </c>
      <c r="F73" s="1" t="n">
        <v>11.8</v>
      </c>
      <c r="G73" s="1" t="n">
        <f aca="false">G72+D73</f>
        <v>997.7</v>
      </c>
      <c r="J73" s="1" t="n">
        <v>21.5</v>
      </c>
      <c r="K73" s="1" t="n">
        <f aca="false">K72+J73</f>
        <v>228.7</v>
      </c>
      <c r="L73" s="1" t="n">
        <v>0.8</v>
      </c>
      <c r="M73" s="1" t="n">
        <f aca="false">M72+L73</f>
        <v>114.2</v>
      </c>
      <c r="N73" s="1" t="n">
        <f aca="false">J73-L73</f>
        <v>20.7</v>
      </c>
      <c r="O73" s="25" t="n">
        <v>122.1</v>
      </c>
      <c r="P73" s="21" t="n">
        <v>68</v>
      </c>
      <c r="Q73" s="22" t="n">
        <f aca="false">0.35+((P73-8)/66)*(1-0.35)</f>
        <v>0.940909090909091</v>
      </c>
      <c r="R73" s="23" t="n">
        <f aca="false">Q73*L73</f>
        <v>0.752727272727273</v>
      </c>
      <c r="S73" s="23" t="n">
        <f aca="false">J73-R73</f>
        <v>20.7472727272727</v>
      </c>
      <c r="T73" s="26" t="n">
        <f aca="false">MIN(122.1,(T72+S73))</f>
        <v>122.1</v>
      </c>
      <c r="V73" s="27" t="n">
        <v>388.4</v>
      </c>
      <c r="W73" s="1" t="n">
        <f aca="false">V73/D73</f>
        <v>45.1627906976744</v>
      </c>
      <c r="X73" s="1" t="n">
        <f aca="false">X72+V73</f>
        <v>56871.3</v>
      </c>
      <c r="AA73" s="1" t="n">
        <v>9.69607675211877</v>
      </c>
    </row>
    <row r="74" customFormat="false" ht="15" hidden="false" customHeight="false" outlineLevel="0" collapsed="false">
      <c r="A74" s="15"/>
      <c r="B74" s="4"/>
      <c r="C74" s="16" t="n">
        <v>41588</v>
      </c>
      <c r="D74" s="1" t="n">
        <v>8.4</v>
      </c>
      <c r="E74" s="1" t="n">
        <v>6.1</v>
      </c>
      <c r="F74" s="1" t="n">
        <v>11.6</v>
      </c>
      <c r="G74" s="1" t="n">
        <f aca="false">G73+D74</f>
        <v>1006.1</v>
      </c>
      <c r="J74" s="1" t="n">
        <v>0.7</v>
      </c>
      <c r="K74" s="1" t="n">
        <f aca="false">K73+J74</f>
        <v>229.4</v>
      </c>
      <c r="L74" s="1" t="n">
        <v>1.2</v>
      </c>
      <c r="M74" s="1" t="n">
        <f aca="false">M73+L74</f>
        <v>115.4</v>
      </c>
      <c r="N74" s="19" t="n">
        <f aca="false">J74-L74</f>
        <v>-0.5</v>
      </c>
      <c r="O74" s="25" t="n">
        <f aca="false">O73+N74</f>
        <v>121.6</v>
      </c>
      <c r="P74" s="21" t="n">
        <v>69</v>
      </c>
      <c r="Q74" s="22" t="n">
        <f aca="false">0.35+((P74-8)/66)*(1-0.35)</f>
        <v>0.950757575757576</v>
      </c>
      <c r="R74" s="23" t="n">
        <f aca="false">Q74*L74</f>
        <v>1.14090909090909</v>
      </c>
      <c r="S74" s="23" t="n">
        <f aca="false">J74-R74</f>
        <v>-0.440909090909091</v>
      </c>
      <c r="T74" s="26" t="n">
        <f aca="false">MIN(122.1,(T73+S74))</f>
        <v>121.659090909091</v>
      </c>
      <c r="V74" s="27" t="n">
        <v>623.1</v>
      </c>
      <c r="W74" s="1" t="n">
        <f aca="false">V74/D74</f>
        <v>74.1785714285714</v>
      </c>
      <c r="X74" s="1" t="n">
        <f aca="false">X73+V74</f>
        <v>57494.4</v>
      </c>
      <c r="AA74" s="1" t="n">
        <v>9.64947860928844</v>
      </c>
    </row>
    <row r="75" customFormat="false" ht="15" hidden="false" customHeight="false" outlineLevel="0" collapsed="false">
      <c r="A75" s="15"/>
      <c r="B75" s="4"/>
      <c r="C75" s="16" t="n">
        <v>41589</v>
      </c>
      <c r="D75" s="1" t="n">
        <v>5.8</v>
      </c>
      <c r="E75" s="31" t="n">
        <v>0.3</v>
      </c>
      <c r="F75" s="1" t="n">
        <v>10</v>
      </c>
      <c r="G75" s="1" t="n">
        <f aca="false">G74+D75</f>
        <v>1011.9</v>
      </c>
      <c r="J75" s="1" t="n">
        <v>0.4</v>
      </c>
      <c r="K75" s="1" t="n">
        <f aca="false">K74+J75</f>
        <v>229.8</v>
      </c>
      <c r="L75" s="1" t="n">
        <v>0.8</v>
      </c>
      <c r="M75" s="1" t="n">
        <f aca="false">M74+L75</f>
        <v>116.2</v>
      </c>
      <c r="N75" s="19" t="n">
        <f aca="false">J75-L75</f>
        <v>-0.4</v>
      </c>
      <c r="O75" s="25" t="n">
        <f aca="false">O74+N75</f>
        <v>121.2</v>
      </c>
      <c r="P75" s="21" t="n">
        <v>70</v>
      </c>
      <c r="Q75" s="22" t="n">
        <f aca="false">0.35+((P75-8)/66)*(1-0.35)</f>
        <v>0.960606060606061</v>
      </c>
      <c r="R75" s="23" t="n">
        <f aca="false">Q75*L75</f>
        <v>0.768484848484849</v>
      </c>
      <c r="S75" s="23" t="n">
        <f aca="false">J75-R75</f>
        <v>-0.368484848484849</v>
      </c>
      <c r="T75" s="26" t="n">
        <f aca="false">MIN(122.1,(T74+S75))</f>
        <v>121.290606060606</v>
      </c>
      <c r="V75" s="27" t="n">
        <v>663</v>
      </c>
      <c r="W75" s="1" t="n">
        <f aca="false">V75/D75</f>
        <v>114.310344827586</v>
      </c>
      <c r="X75" s="1" t="n">
        <f aca="false">X74+V75</f>
        <v>58157.4</v>
      </c>
      <c r="AA75" s="1" t="n">
        <v>9.60343380732822</v>
      </c>
    </row>
    <row r="76" customFormat="false" ht="15" hidden="false" customHeight="false" outlineLevel="0" collapsed="false">
      <c r="A76" s="15"/>
      <c r="B76" s="4"/>
      <c r="C76" s="16" t="n">
        <v>41590</v>
      </c>
      <c r="D76" s="1" t="n">
        <v>9.3</v>
      </c>
      <c r="E76" s="1" t="n">
        <v>6.7</v>
      </c>
      <c r="F76" s="1" t="n">
        <v>11.5</v>
      </c>
      <c r="G76" s="1" t="n">
        <f aca="false">G75+D76</f>
        <v>1021.2</v>
      </c>
      <c r="J76" s="1" t="n">
        <v>1.8</v>
      </c>
      <c r="K76" s="1" t="n">
        <f aca="false">K75+J76</f>
        <v>231.6</v>
      </c>
      <c r="L76" s="1" t="n">
        <v>0.7</v>
      </c>
      <c r="M76" s="1" t="n">
        <f aca="false">M75+L76</f>
        <v>116.9</v>
      </c>
      <c r="N76" s="1" t="n">
        <f aca="false">J76-L76</f>
        <v>1.1</v>
      </c>
      <c r="O76" s="25" t="n">
        <v>122.1</v>
      </c>
      <c r="P76" s="21" t="n">
        <v>71</v>
      </c>
      <c r="Q76" s="22" t="n">
        <f aca="false">0.35+((P76-8)/66)*(1-0.35)</f>
        <v>0.970454545454546</v>
      </c>
      <c r="R76" s="23" t="n">
        <f aca="false">Q76*L76</f>
        <v>0.679318181818182</v>
      </c>
      <c r="S76" s="23" t="n">
        <f aca="false">J76-R76</f>
        <v>1.12068181818182</v>
      </c>
      <c r="T76" s="26" t="n">
        <f aca="false">MIN(122.1,(T75+S76))</f>
        <v>122.1</v>
      </c>
      <c r="V76" s="27" t="n">
        <v>259.5</v>
      </c>
      <c r="W76" s="1" t="n">
        <f aca="false">V76/D76</f>
        <v>27.9032258064516</v>
      </c>
      <c r="X76" s="1" t="n">
        <f aca="false">X75+V76</f>
        <v>58416.9</v>
      </c>
      <c r="AA76" s="1" t="n">
        <v>9.55796617169692</v>
      </c>
    </row>
    <row r="77" customFormat="false" ht="15" hidden="false" customHeight="false" outlineLevel="0" collapsed="false">
      <c r="A77" s="15"/>
      <c r="B77" s="4"/>
      <c r="C77" s="16" t="n">
        <v>41591</v>
      </c>
      <c r="D77" s="1" t="n">
        <v>7.9</v>
      </c>
      <c r="E77" s="1" t="n">
        <v>6.5</v>
      </c>
      <c r="F77" s="1" t="n">
        <v>9.6</v>
      </c>
      <c r="G77" s="1" t="n">
        <f aca="false">G76+D77</f>
        <v>1029.1</v>
      </c>
      <c r="J77" s="1" t="n">
        <v>0</v>
      </c>
      <c r="K77" s="1" t="n">
        <f aca="false">K76+J77</f>
        <v>231.6</v>
      </c>
      <c r="L77" s="1" t="n">
        <v>0.5</v>
      </c>
      <c r="M77" s="1" t="n">
        <f aca="false">M76+L77</f>
        <v>117.4</v>
      </c>
      <c r="N77" s="19" t="n">
        <f aca="false">J77-L77</f>
        <v>-0.5</v>
      </c>
      <c r="O77" s="25" t="n">
        <f aca="false">O76+N77</f>
        <v>121.6</v>
      </c>
      <c r="P77" s="21" t="n">
        <v>72</v>
      </c>
      <c r="Q77" s="22" t="n">
        <f aca="false">0.35+((P77-8)/66)*(1-0.35)</f>
        <v>0.98030303030303</v>
      </c>
      <c r="R77" s="23" t="n">
        <f aca="false">Q77*L77</f>
        <v>0.490151515151515</v>
      </c>
      <c r="S77" s="23" t="n">
        <f aca="false">J77-R77</f>
        <v>-0.490151515151515</v>
      </c>
      <c r="T77" s="26" t="n">
        <f aca="false">MIN(122.1,(T76+S77))</f>
        <v>121.609848484848</v>
      </c>
      <c r="V77" s="27" t="n">
        <v>376.4</v>
      </c>
      <c r="W77" s="1" t="n">
        <f aca="false">V77/D77</f>
        <v>47.6455696202532</v>
      </c>
      <c r="X77" s="1" t="n">
        <f aca="false">X76+V77</f>
        <v>58793.3</v>
      </c>
      <c r="AA77" s="1" t="n">
        <v>9.51310006906603</v>
      </c>
    </row>
    <row r="78" customFormat="false" ht="15" hidden="false" customHeight="false" outlineLevel="0" collapsed="false">
      <c r="A78" s="15"/>
      <c r="B78" s="4"/>
      <c r="C78" s="16" t="n">
        <v>41592</v>
      </c>
      <c r="D78" s="1" t="n">
        <v>5.1</v>
      </c>
      <c r="E78" s="31" t="n">
        <v>2</v>
      </c>
      <c r="F78" s="1" t="n">
        <v>8.5</v>
      </c>
      <c r="G78" s="1" t="n">
        <f aca="false">G77+D78</f>
        <v>1034.2</v>
      </c>
      <c r="J78" s="1" t="n">
        <v>2</v>
      </c>
      <c r="K78" s="1" t="n">
        <f aca="false">K77+J78</f>
        <v>233.6</v>
      </c>
      <c r="L78" s="1" t="n">
        <v>0.3</v>
      </c>
      <c r="M78" s="1" t="n">
        <f aca="false">M77+L78</f>
        <v>117.7</v>
      </c>
      <c r="N78" s="1" t="n">
        <f aca="false">J78-L78</f>
        <v>1.7</v>
      </c>
      <c r="O78" s="25" t="n">
        <v>122.1</v>
      </c>
      <c r="P78" s="21" t="n">
        <v>73</v>
      </c>
      <c r="Q78" s="22" t="n">
        <f aca="false">0.35+((P78-8)/66)*(1-0.35)</f>
        <v>0.990151515151515</v>
      </c>
      <c r="R78" s="23" t="n">
        <f aca="false">Q78*L78</f>
        <v>0.297045454545455</v>
      </c>
      <c r="S78" s="23" t="n">
        <f aca="false">J78-R78</f>
        <v>1.70295454545455</v>
      </c>
      <c r="T78" s="26" t="n">
        <f aca="false">MIN(122.1,(T77+S78))</f>
        <v>122.1</v>
      </c>
      <c r="V78" s="27" t="n">
        <v>221.8</v>
      </c>
      <c r="W78" s="1" t="n">
        <f aca="false">V78/D78</f>
        <v>43.4901960784314</v>
      </c>
      <c r="X78" s="1" t="n">
        <f aca="false">X77+V78</f>
        <v>59015.1</v>
      </c>
      <c r="AA78" s="1" t="n">
        <v>9.46886038818225</v>
      </c>
    </row>
    <row r="79" s="110" customFormat="true" ht="15" hidden="false" customHeight="false" outlineLevel="0" collapsed="false">
      <c r="A79" s="15"/>
      <c r="B79" s="96"/>
      <c r="C79" s="109" t="n">
        <v>41593</v>
      </c>
      <c r="D79" s="110" t="n">
        <v>5.2</v>
      </c>
      <c r="E79" s="110" t="n">
        <v>4.4</v>
      </c>
      <c r="F79" s="110" t="n">
        <v>6.6</v>
      </c>
      <c r="G79" s="98" t="n">
        <f aca="false">G78+D79</f>
        <v>1039.4</v>
      </c>
      <c r="J79" s="110" t="n">
        <v>4.2</v>
      </c>
      <c r="K79" s="110" t="n">
        <f aca="false">K78+J79</f>
        <v>237.8</v>
      </c>
      <c r="L79" s="110" t="n">
        <v>0.6</v>
      </c>
      <c r="M79" s="110" t="n">
        <f aca="false">M78+L79</f>
        <v>118.3</v>
      </c>
      <c r="N79" s="110" t="n">
        <f aca="false">J79-L79</f>
        <v>3.6</v>
      </c>
      <c r="O79" s="100" t="n">
        <v>122.1</v>
      </c>
      <c r="P79" s="21" t="n">
        <v>74</v>
      </c>
      <c r="Q79" s="22" t="n">
        <f aca="false">0.35+((P79-8)/66)*(1-0.35)</f>
        <v>1</v>
      </c>
      <c r="R79" s="101" t="n">
        <f aca="false">Q79*L79</f>
        <v>0.6</v>
      </c>
      <c r="S79" s="23" t="n">
        <f aca="false">J79-R79</f>
        <v>3.6</v>
      </c>
      <c r="T79" s="26" t="n">
        <f aca="false">MIN(122.1,(T78+S79))</f>
        <v>122.1</v>
      </c>
      <c r="V79" s="111" t="n">
        <v>178.5</v>
      </c>
      <c r="W79" s="110" t="n">
        <f aca="false">V79/D79</f>
        <v>34.3269230769231</v>
      </c>
      <c r="X79" s="110" t="n">
        <f aca="false">X78+V79</f>
        <v>59193.6</v>
      </c>
      <c r="AA79" s="98" t="n">
        <v>9.42527251768489</v>
      </c>
    </row>
    <row r="80" customFormat="false" ht="15" hidden="false" customHeight="false" outlineLevel="0" collapsed="false">
      <c r="A80" s="43" t="s">
        <v>44</v>
      </c>
      <c r="B80" s="44"/>
      <c r="C80" s="16" t="n">
        <v>41594</v>
      </c>
      <c r="D80" s="31" t="n">
        <v>3.3</v>
      </c>
      <c r="E80" s="31" t="n">
        <v>0</v>
      </c>
      <c r="F80" s="1" t="n">
        <v>6.2</v>
      </c>
      <c r="G80" s="1" t="n">
        <f aca="false">G79+D80</f>
        <v>1042.7</v>
      </c>
      <c r="H80" s="1" t="n">
        <f aca="false">D80</f>
        <v>3.3</v>
      </c>
      <c r="I80" s="45" t="s">
        <v>28</v>
      </c>
      <c r="J80" s="1" t="n">
        <v>0</v>
      </c>
      <c r="K80" s="1" t="n">
        <f aca="false">K79+J80</f>
        <v>237.8</v>
      </c>
      <c r="L80" s="1" t="n">
        <v>0.7</v>
      </c>
      <c r="M80" s="1" t="n">
        <f aca="false">M79+L80</f>
        <v>119</v>
      </c>
      <c r="N80" s="19" t="n">
        <f aca="false">J80-L80</f>
        <v>-0.7</v>
      </c>
      <c r="O80" s="25" t="n">
        <f aca="false">O79+N80</f>
        <v>121.4</v>
      </c>
      <c r="P80" s="21" t="n">
        <v>75</v>
      </c>
      <c r="Q80" s="22" t="n">
        <v>1</v>
      </c>
      <c r="R80" s="23" t="n">
        <f aca="false">Q80*L80</f>
        <v>0.7</v>
      </c>
      <c r="S80" s="23" t="n">
        <f aca="false">J80-R80</f>
        <v>-0.7</v>
      </c>
      <c r="T80" s="26" t="n">
        <f aca="false">MIN(122.1,(T79+S80))</f>
        <v>121.4</v>
      </c>
      <c r="U80" s="45" t="s">
        <v>29</v>
      </c>
      <c r="V80" s="27" t="n">
        <v>624.5</v>
      </c>
      <c r="W80" s="1" t="n">
        <f aca="false">V80/D80</f>
        <v>189.242424242424</v>
      </c>
      <c r="X80" s="1" t="n">
        <f aca="false">X79+V80</f>
        <v>59818.1</v>
      </c>
      <c r="Y80" s="1" t="n">
        <f aca="false">V80</f>
        <v>624.5</v>
      </c>
      <c r="Z80" s="45" t="s">
        <v>30</v>
      </c>
      <c r="AA80" s="1" t="n">
        <v>9.38236232076304</v>
      </c>
    </row>
    <row r="81" customFormat="false" ht="15" hidden="false" customHeight="false" outlineLevel="0" collapsed="false">
      <c r="A81" s="43"/>
      <c r="B81" s="4"/>
      <c r="C81" s="16" t="n">
        <v>41595</v>
      </c>
      <c r="D81" s="31" t="n">
        <v>4.3</v>
      </c>
      <c r="E81" s="31" t="n">
        <v>3.7</v>
      </c>
      <c r="F81" s="1" t="n">
        <v>5.3</v>
      </c>
      <c r="G81" s="1" t="n">
        <f aca="false">G80+D81</f>
        <v>1047</v>
      </c>
      <c r="H81" s="1" t="n">
        <f aca="false">H80+D81</f>
        <v>7.6</v>
      </c>
      <c r="I81" s="1" t="n">
        <f aca="false">MIN(E80:E127)</f>
        <v>-3.5</v>
      </c>
      <c r="J81" s="1" t="n">
        <v>0</v>
      </c>
      <c r="K81" s="1" t="n">
        <f aca="false">K80+J81</f>
        <v>237.8</v>
      </c>
      <c r="L81" s="1" t="n">
        <v>0.8</v>
      </c>
      <c r="M81" s="1" t="n">
        <f aca="false">M80+L81</f>
        <v>119.8</v>
      </c>
      <c r="N81" s="19" t="n">
        <f aca="false">J81-L81</f>
        <v>-0.8</v>
      </c>
      <c r="O81" s="25" t="n">
        <f aca="false">O80+N81</f>
        <v>120.6</v>
      </c>
      <c r="P81" s="21" t="n">
        <v>76</v>
      </c>
      <c r="Q81" s="22" t="n">
        <v>1</v>
      </c>
      <c r="R81" s="23" t="n">
        <f aca="false">Q81*L81</f>
        <v>0.8</v>
      </c>
      <c r="S81" s="23" t="n">
        <f aca="false">J81-R81</f>
        <v>-0.8</v>
      </c>
      <c r="T81" s="26" t="n">
        <f aca="false">MIN(122.1,(T80+S81))</f>
        <v>120.6</v>
      </c>
      <c r="U81" s="1" t="n">
        <v>32</v>
      </c>
      <c r="V81" s="27" t="n">
        <v>260.9</v>
      </c>
      <c r="W81" s="1" t="n">
        <f aca="false">V81/D81</f>
        <v>60.6744186046512</v>
      </c>
      <c r="X81" s="1" t="n">
        <f aca="false">X80+V81</f>
        <v>60079</v>
      </c>
      <c r="Y81" s="1" t="n">
        <f aca="false">Y80+V81</f>
        <v>885.4</v>
      </c>
      <c r="Z81" s="1" t="n">
        <v>19324.8</v>
      </c>
      <c r="AA81" s="1" t="n">
        <v>9.34015610654816</v>
      </c>
    </row>
    <row r="82" customFormat="false" ht="15" hidden="false" customHeight="false" outlineLevel="0" collapsed="false">
      <c r="A82" s="43"/>
      <c r="B82" s="4"/>
      <c r="C82" s="16" t="n">
        <v>41596</v>
      </c>
      <c r="D82" s="31" t="n">
        <v>3.1</v>
      </c>
      <c r="E82" s="31" t="n">
        <v>2.4</v>
      </c>
      <c r="F82" s="31" t="n">
        <v>3.6</v>
      </c>
      <c r="G82" s="1" t="n">
        <f aca="false">G81+D82</f>
        <v>1050.1</v>
      </c>
      <c r="H82" s="1" t="n">
        <f aca="false">H81+D82</f>
        <v>10.7</v>
      </c>
      <c r="I82" s="45" t="s">
        <v>31</v>
      </c>
      <c r="J82" s="1" t="n">
        <v>0</v>
      </c>
      <c r="K82" s="1" t="n">
        <f aca="false">K81+J82</f>
        <v>237.8</v>
      </c>
      <c r="L82" s="1" t="n">
        <v>0.6</v>
      </c>
      <c r="M82" s="1" t="n">
        <f aca="false">M81+L82</f>
        <v>120.4</v>
      </c>
      <c r="N82" s="19" t="n">
        <f aca="false">J82-L82</f>
        <v>-0.6</v>
      </c>
      <c r="O82" s="25" t="n">
        <f aca="false">O81+N82</f>
        <v>120</v>
      </c>
      <c r="P82" s="21" t="n">
        <v>77</v>
      </c>
      <c r="Q82" s="22" t="n">
        <v>1</v>
      </c>
      <c r="R82" s="23" t="n">
        <f aca="false">Q82*L82</f>
        <v>0.6</v>
      </c>
      <c r="S82" s="23" t="n">
        <f aca="false">J82-R82</f>
        <v>-0.6</v>
      </c>
      <c r="T82" s="26" t="n">
        <f aca="false">MIN(122.1,(T81+S82))</f>
        <v>120</v>
      </c>
      <c r="U82" s="45" t="s">
        <v>32</v>
      </c>
      <c r="V82" s="27" t="n">
        <v>365.1</v>
      </c>
      <c r="W82" s="1" t="n">
        <f aca="false">V82/D82</f>
        <v>117.774193548387</v>
      </c>
      <c r="X82" s="1" t="n">
        <f aca="false">X81+V82</f>
        <v>60444.1</v>
      </c>
      <c r="Y82" s="1" t="n">
        <f aca="false">Y81+V82</f>
        <v>1250.5</v>
      </c>
      <c r="Z82" s="45" t="s">
        <v>33</v>
      </c>
      <c r="AA82" s="1" t="n">
        <v>9.29868059815021</v>
      </c>
    </row>
    <row r="83" customFormat="false" ht="15" hidden="false" customHeight="false" outlineLevel="0" collapsed="false">
      <c r="A83" s="43"/>
      <c r="B83" s="4"/>
      <c r="C83" s="16" t="n">
        <v>41597</v>
      </c>
      <c r="D83" s="31" t="n">
        <v>3.4</v>
      </c>
      <c r="E83" s="31" t="n">
        <v>2.7</v>
      </c>
      <c r="F83" s="31" t="n">
        <v>4.9</v>
      </c>
      <c r="G83" s="1" t="n">
        <f aca="false">G82+D83</f>
        <v>1053.5</v>
      </c>
      <c r="H83" s="1" t="n">
        <f aca="false">H82+D83</f>
        <v>14.1</v>
      </c>
      <c r="I83" s="1" t="n">
        <f aca="false">MAX(F80:F127)</f>
        <v>13.2</v>
      </c>
      <c r="J83" s="1" t="n">
        <v>1.5</v>
      </c>
      <c r="K83" s="1" t="n">
        <f aca="false">K82+J83</f>
        <v>239.3</v>
      </c>
      <c r="L83" s="1" t="n">
        <v>0.2</v>
      </c>
      <c r="M83" s="1" t="n">
        <f aca="false">M82+L83</f>
        <v>120.6</v>
      </c>
      <c r="N83" s="1" t="n">
        <f aca="false">J83-L83</f>
        <v>1.3</v>
      </c>
      <c r="O83" s="25" t="n">
        <f aca="false">O82+N83</f>
        <v>121.3</v>
      </c>
      <c r="P83" s="21" t="n">
        <v>78</v>
      </c>
      <c r="Q83" s="22" t="n">
        <v>1</v>
      </c>
      <c r="R83" s="23" t="n">
        <f aca="false">Q83*L83</f>
        <v>0.2</v>
      </c>
      <c r="S83" s="23" t="n">
        <f aca="false">J83-R83</f>
        <v>1.3</v>
      </c>
      <c r="T83" s="26" t="n">
        <f aca="false">MIN(122.1,(T82+S83))</f>
        <v>121.3</v>
      </c>
      <c r="U83" s="1" t="n">
        <v>0</v>
      </c>
      <c r="V83" s="27" t="n">
        <v>206.6</v>
      </c>
      <c r="W83" s="1" t="n">
        <f aca="false">V83/D83</f>
        <v>60.7647058823529</v>
      </c>
      <c r="X83" s="1" t="n">
        <f aca="false">X82+V83</f>
        <v>60650.7</v>
      </c>
      <c r="Y83" s="1" t="n">
        <f aca="false">Y82+V83</f>
        <v>1457.1</v>
      </c>
      <c r="Z83" s="28" t="n">
        <f aca="false">(Z81/100)/I93</f>
        <v>0.892600461893764</v>
      </c>
      <c r="AA83" s="1" t="n">
        <v>9.2579628972602</v>
      </c>
    </row>
    <row r="84" customFormat="false" ht="15" hidden="false" customHeight="false" outlineLevel="0" collapsed="false">
      <c r="A84" s="43"/>
      <c r="B84" s="4"/>
      <c r="C84" s="16" t="n">
        <v>41598</v>
      </c>
      <c r="D84" s="31" t="n">
        <v>2.5</v>
      </c>
      <c r="E84" s="30" t="n">
        <v>-0.4</v>
      </c>
      <c r="F84" s="1" t="n">
        <v>5.1</v>
      </c>
      <c r="G84" s="1" t="n">
        <f aca="false">G83+D84</f>
        <v>1056</v>
      </c>
      <c r="H84" s="1" t="n">
        <f aca="false">H83+D84</f>
        <v>16.6</v>
      </c>
      <c r="I84" s="45" t="s">
        <v>34</v>
      </c>
      <c r="J84" s="1" t="n">
        <v>9.4</v>
      </c>
      <c r="K84" s="1" t="n">
        <f aca="false">K83+J84</f>
        <v>248.7</v>
      </c>
      <c r="L84" s="1" t="n">
        <v>0.6</v>
      </c>
      <c r="M84" s="1" t="n">
        <f aca="false">M83+L84</f>
        <v>121.2</v>
      </c>
      <c r="N84" s="1" t="n">
        <f aca="false">J84-L84</f>
        <v>8.8</v>
      </c>
      <c r="O84" s="25" t="n">
        <v>122.1</v>
      </c>
      <c r="P84" s="21" t="n">
        <v>79</v>
      </c>
      <c r="Q84" s="22" t="n">
        <v>1</v>
      </c>
      <c r="R84" s="23" t="n">
        <f aca="false">Q84*L84</f>
        <v>0.6</v>
      </c>
      <c r="S84" s="23" t="n">
        <f aca="false">J84-R84</f>
        <v>8.8</v>
      </c>
      <c r="T84" s="26" t="n">
        <f aca="false">MIN(122.1,(T83+S84))</f>
        <v>122.1</v>
      </c>
      <c r="U84" s="45" t="s">
        <v>35</v>
      </c>
      <c r="V84" s="27" t="n">
        <v>665.3</v>
      </c>
      <c r="W84" s="1" t="n">
        <f aca="false">V84/D84</f>
        <v>266.12</v>
      </c>
      <c r="X84" s="1" t="n">
        <f aca="false">X83+V84</f>
        <v>61316</v>
      </c>
      <c r="Y84" s="1" t="n">
        <f aca="false">Y83+V84</f>
        <v>2122.4</v>
      </c>
      <c r="Z84" s="45" t="s">
        <v>36</v>
      </c>
      <c r="AA84" s="1" t="n">
        <v>9.21803044525893</v>
      </c>
    </row>
    <row r="85" customFormat="false" ht="15" hidden="false" customHeight="false" outlineLevel="0" collapsed="false">
      <c r="A85" s="43"/>
      <c r="B85" s="4"/>
      <c r="C85" s="16" t="n">
        <v>41599</v>
      </c>
      <c r="D85" s="31" t="n">
        <v>2.9</v>
      </c>
      <c r="E85" s="31" t="n">
        <v>2.4</v>
      </c>
      <c r="F85" s="31" t="n">
        <v>3.6</v>
      </c>
      <c r="G85" s="1" t="n">
        <f aca="false">G84+D85</f>
        <v>1058.9</v>
      </c>
      <c r="H85" s="1" t="n">
        <f aca="false">H84+D85</f>
        <v>19.5</v>
      </c>
      <c r="I85" s="29" t="n">
        <f aca="false">AVERAGE(D80:D127)</f>
        <v>4.51041666666667</v>
      </c>
      <c r="J85" s="1" t="n">
        <v>2.5</v>
      </c>
      <c r="K85" s="1" t="n">
        <f aca="false">K84+J85</f>
        <v>251.2</v>
      </c>
      <c r="L85" s="1" t="n">
        <v>0.3</v>
      </c>
      <c r="M85" s="1" t="n">
        <f aca="false">M84+L85</f>
        <v>121.5</v>
      </c>
      <c r="N85" s="1" t="n">
        <f aca="false">J85-L85</f>
        <v>2.2</v>
      </c>
      <c r="O85" s="25" t="n">
        <v>122.1</v>
      </c>
      <c r="P85" s="21" t="n">
        <v>80</v>
      </c>
      <c r="Q85" s="22" t="n">
        <v>1</v>
      </c>
      <c r="R85" s="23" t="n">
        <f aca="false">Q85*L85</f>
        <v>0.3</v>
      </c>
      <c r="S85" s="23" t="n">
        <f aca="false">J85-R85</f>
        <v>2.2</v>
      </c>
      <c r="T85" s="26" t="n">
        <f aca="false">MIN(122.1,(T84+S85))</f>
        <v>122.1</v>
      </c>
      <c r="U85" s="1" t="n">
        <v>0</v>
      </c>
      <c r="V85" s="27" t="n">
        <v>163.2</v>
      </c>
      <c r="W85" s="1" t="n">
        <f aca="false">V85/D85</f>
        <v>56.2758620689655</v>
      </c>
      <c r="X85" s="1" t="n">
        <f aca="false">X84+V85</f>
        <v>61479.2</v>
      </c>
      <c r="Y85" s="1" t="n">
        <f aca="false">Y84+V85</f>
        <v>2285.6</v>
      </c>
      <c r="Z85" s="1" t="n">
        <v>48</v>
      </c>
      <c r="AA85" s="1" t="n">
        <v>9.17891098079085</v>
      </c>
    </row>
    <row r="86" customFormat="false" ht="15" hidden="false" customHeight="false" outlineLevel="0" collapsed="false">
      <c r="A86" s="43"/>
      <c r="B86" s="4"/>
      <c r="C86" s="16" t="n">
        <v>41600</v>
      </c>
      <c r="D86" s="31" t="n">
        <v>2.7</v>
      </c>
      <c r="E86" s="31" t="n">
        <v>1.8</v>
      </c>
      <c r="F86" s="31" t="n">
        <v>3.9</v>
      </c>
      <c r="G86" s="1" t="n">
        <f aca="false">G85+D86</f>
        <v>1061.6</v>
      </c>
      <c r="H86" s="1" t="n">
        <f aca="false">H85+D86</f>
        <v>22.2</v>
      </c>
      <c r="I86" s="45" t="s">
        <v>37</v>
      </c>
      <c r="J86" s="1" t="n">
        <v>1.7</v>
      </c>
      <c r="K86" s="1" t="n">
        <f aca="false">K85+J86</f>
        <v>252.9</v>
      </c>
      <c r="L86" s="1" t="n">
        <v>0.4</v>
      </c>
      <c r="M86" s="1" t="n">
        <f aca="false">M85+L86</f>
        <v>121.9</v>
      </c>
      <c r="N86" s="1" t="n">
        <f aca="false">J86-L86</f>
        <v>1.3</v>
      </c>
      <c r="O86" s="25" t="n">
        <v>122.1</v>
      </c>
      <c r="P86" s="21" t="n">
        <v>81</v>
      </c>
      <c r="Q86" s="22" t="n">
        <v>1</v>
      </c>
      <c r="R86" s="23" t="n">
        <f aca="false">Q86*L86</f>
        <v>0.4</v>
      </c>
      <c r="S86" s="23" t="n">
        <f aca="false">J86-R86</f>
        <v>1.3</v>
      </c>
      <c r="T86" s="26" t="n">
        <f aca="false">MIN(122.1,(T85+S86))</f>
        <v>122.1</v>
      </c>
      <c r="U86" s="45" t="s">
        <v>38</v>
      </c>
      <c r="V86" s="27" t="n">
        <v>174.8</v>
      </c>
      <c r="W86" s="1" t="n">
        <f aca="false">V86/D86</f>
        <v>64.7407407407408</v>
      </c>
      <c r="X86" s="1" t="n">
        <f aca="false">X85+V86</f>
        <v>61654</v>
      </c>
      <c r="Y86" s="1" t="n">
        <f aca="false">Y85+V86</f>
        <v>2460.4</v>
      </c>
      <c r="AA86" s="1" t="n">
        <v>9.14063249378358</v>
      </c>
    </row>
    <row r="87" customFormat="false" ht="15" hidden="false" customHeight="false" outlineLevel="0" collapsed="false">
      <c r="A87" s="43"/>
      <c r="B87" s="4"/>
      <c r="C87" s="16" t="n">
        <v>41601</v>
      </c>
      <c r="D87" s="31" t="n">
        <v>4.2</v>
      </c>
      <c r="E87" s="31" t="n">
        <v>2.6</v>
      </c>
      <c r="F87" s="31" t="n">
        <v>4.7</v>
      </c>
      <c r="G87" s="1" t="n">
        <f aca="false">G86+D87</f>
        <v>1065.8</v>
      </c>
      <c r="H87" s="1" t="n">
        <f aca="false">H86+D87</f>
        <v>26.4</v>
      </c>
      <c r="I87" s="31" t="n">
        <v>14</v>
      </c>
      <c r="J87" s="1" t="n">
        <v>0</v>
      </c>
      <c r="K87" s="1" t="n">
        <f aca="false">K86+J87</f>
        <v>252.9</v>
      </c>
      <c r="L87" s="1" t="n">
        <v>0.2</v>
      </c>
      <c r="M87" s="1" t="n">
        <f aca="false">M86+L87</f>
        <v>122.1</v>
      </c>
      <c r="N87" s="19" t="n">
        <f aca="false">J87-L87</f>
        <v>-0.2</v>
      </c>
      <c r="O87" s="25" t="n">
        <f aca="false">O86+N87</f>
        <v>121.9</v>
      </c>
      <c r="P87" s="21" t="n">
        <v>82</v>
      </c>
      <c r="Q87" s="22" t="n">
        <v>1</v>
      </c>
      <c r="R87" s="23" t="n">
        <f aca="false">Q87*L87</f>
        <v>0.2</v>
      </c>
      <c r="S87" s="23" t="n">
        <f aca="false">J87-R87</f>
        <v>-0.2</v>
      </c>
      <c r="T87" s="26" t="n">
        <f aca="false">MIN(122.1,(T86+S87))</f>
        <v>121.9</v>
      </c>
      <c r="U87" s="29" t="n">
        <f aca="false">MIN(T80:T127)</f>
        <v>112.1</v>
      </c>
      <c r="V87" s="27" t="n">
        <v>224.7</v>
      </c>
      <c r="W87" s="1" t="n">
        <f aca="false">V87/D87</f>
        <v>53.5</v>
      </c>
      <c r="X87" s="1" t="n">
        <f aca="false">X86+V87</f>
        <v>61878.7</v>
      </c>
      <c r="Y87" s="1" t="n">
        <f aca="false">Y86+V87</f>
        <v>2685.1</v>
      </c>
      <c r="AA87" s="1" t="n">
        <v>9.10322317591714</v>
      </c>
    </row>
    <row r="88" customFormat="false" ht="15" hidden="false" customHeight="false" outlineLevel="0" collapsed="false">
      <c r="A88" s="43"/>
      <c r="B88" s="4"/>
      <c r="C88" s="16" t="n">
        <v>41602</v>
      </c>
      <c r="D88" s="1" t="n">
        <v>5.3</v>
      </c>
      <c r="E88" s="31" t="n">
        <v>4.1</v>
      </c>
      <c r="F88" s="1" t="n">
        <v>6.2</v>
      </c>
      <c r="G88" s="1" t="n">
        <f aca="false">G87+D88</f>
        <v>1071.1</v>
      </c>
      <c r="H88" s="1" t="n">
        <f aca="false">H87+D88</f>
        <v>31.7</v>
      </c>
      <c r="I88" s="45" t="s">
        <v>39</v>
      </c>
      <c r="J88" s="1" t="n">
        <v>0</v>
      </c>
      <c r="K88" s="1" t="n">
        <f aca="false">K87+J88</f>
        <v>252.9</v>
      </c>
      <c r="L88" s="1" t="n">
        <v>0.7</v>
      </c>
      <c r="M88" s="1" t="n">
        <f aca="false">M87+L88</f>
        <v>122.8</v>
      </c>
      <c r="N88" s="19" t="n">
        <f aca="false">J88-L88</f>
        <v>-0.7</v>
      </c>
      <c r="O88" s="25" t="n">
        <f aca="false">O87+N88</f>
        <v>121.2</v>
      </c>
      <c r="P88" s="21" t="n">
        <v>83</v>
      </c>
      <c r="Q88" s="22" t="n">
        <v>1</v>
      </c>
      <c r="R88" s="23" t="n">
        <f aca="false">Q88*L88</f>
        <v>0.7</v>
      </c>
      <c r="S88" s="23" t="n">
        <f aca="false">J88-R88</f>
        <v>-0.7</v>
      </c>
      <c r="T88" s="26" t="n">
        <f aca="false">MIN(122.1,(T87+S88))</f>
        <v>121.2</v>
      </c>
      <c r="U88" s="45" t="s">
        <v>40</v>
      </c>
      <c r="V88" s="27" t="n">
        <v>618</v>
      </c>
      <c r="W88" s="1" t="n">
        <f aca="false">V88/D88</f>
        <v>116.603773584906</v>
      </c>
      <c r="X88" s="1" t="n">
        <f aca="false">X87+V88</f>
        <v>62496.7</v>
      </c>
      <c r="Y88" s="1" t="n">
        <f aca="false">Y87+V88</f>
        <v>3303.1</v>
      </c>
      <c r="AA88" s="1" t="n">
        <v>9.06671136757297</v>
      </c>
    </row>
    <row r="89" customFormat="false" ht="15" hidden="false" customHeight="false" outlineLevel="0" collapsed="false">
      <c r="A89" s="43"/>
      <c r="B89" s="4"/>
      <c r="C89" s="16" t="n">
        <v>41603</v>
      </c>
      <c r="D89" s="31" t="n">
        <v>4.2</v>
      </c>
      <c r="E89" s="31" t="n">
        <v>3</v>
      </c>
      <c r="F89" s="1" t="n">
        <v>5.8</v>
      </c>
      <c r="G89" s="1" t="n">
        <f aca="false">G88+D89</f>
        <v>1075.3</v>
      </c>
      <c r="H89" s="1" t="n">
        <f aca="false">H88+D89</f>
        <v>35.9</v>
      </c>
      <c r="I89" s="1" t="n">
        <v>0</v>
      </c>
      <c r="J89" s="1" t="n">
        <v>0</v>
      </c>
      <c r="K89" s="1" t="n">
        <f aca="false">K88+J89</f>
        <v>252.9</v>
      </c>
      <c r="L89" s="1" t="n">
        <v>0.7</v>
      </c>
      <c r="M89" s="1" t="n">
        <f aca="false">M88+L89</f>
        <v>123.5</v>
      </c>
      <c r="N89" s="19" t="n">
        <f aca="false">J89-L89</f>
        <v>-0.7</v>
      </c>
      <c r="O89" s="25" t="n">
        <f aca="false">O88+N89</f>
        <v>120.5</v>
      </c>
      <c r="P89" s="21" t="n">
        <v>84</v>
      </c>
      <c r="Q89" s="22" t="n">
        <v>1</v>
      </c>
      <c r="R89" s="23" t="n">
        <f aca="false">Q89*L89</f>
        <v>0.7</v>
      </c>
      <c r="S89" s="23" t="n">
        <f aca="false">J89-R89</f>
        <v>-0.7</v>
      </c>
      <c r="T89" s="26" t="n">
        <f aca="false">MIN(122.1,(T88+S89))</f>
        <v>120.5</v>
      </c>
      <c r="U89" s="1" t="n">
        <v>122.1</v>
      </c>
      <c r="V89" s="27" t="n">
        <v>328.6</v>
      </c>
      <c r="W89" s="1" t="n">
        <f aca="false">V89/D89</f>
        <v>78.2380952380952</v>
      </c>
      <c r="X89" s="1" t="n">
        <f aca="false">X88+V89</f>
        <v>62825.3</v>
      </c>
      <c r="Y89" s="1" t="n">
        <f aca="false">Y88+V89</f>
        <v>3631.7</v>
      </c>
      <c r="AA89" s="1" t="n">
        <v>9.03112550132089</v>
      </c>
    </row>
    <row r="90" customFormat="false" ht="15" hidden="false" customHeight="false" outlineLevel="0" collapsed="false">
      <c r="A90" s="43"/>
      <c r="B90" s="46"/>
      <c r="C90" s="16" t="n">
        <v>41604</v>
      </c>
      <c r="D90" s="31" t="n">
        <v>3.6</v>
      </c>
      <c r="E90" s="31" t="n">
        <v>2.6</v>
      </c>
      <c r="F90" s="1" t="n">
        <v>5.7</v>
      </c>
      <c r="G90" s="1" t="n">
        <f aca="false">G89+D90</f>
        <v>1078.9</v>
      </c>
      <c r="H90" s="1" t="n">
        <f aca="false">H89+D90</f>
        <v>39.5</v>
      </c>
      <c r="I90" s="45" t="s">
        <v>41</v>
      </c>
      <c r="J90" s="1" t="n">
        <v>0</v>
      </c>
      <c r="K90" s="1" t="n">
        <f aca="false">K89+J90</f>
        <v>252.9</v>
      </c>
      <c r="L90" s="1" t="n">
        <v>1.2</v>
      </c>
      <c r="M90" s="1" t="n">
        <f aca="false">M89+L90</f>
        <v>124.7</v>
      </c>
      <c r="N90" s="19" t="n">
        <f aca="false">J90-L90</f>
        <v>-1.2</v>
      </c>
      <c r="O90" s="25" t="n">
        <f aca="false">O89+N90</f>
        <v>119.3</v>
      </c>
      <c r="P90" s="21" t="n">
        <v>85</v>
      </c>
      <c r="Q90" s="22" t="n">
        <v>1</v>
      </c>
      <c r="R90" s="23" t="n">
        <f aca="false">Q90*L90</f>
        <v>1.2</v>
      </c>
      <c r="S90" s="23" t="n">
        <f aca="false">J90-R90</f>
        <v>-1.2</v>
      </c>
      <c r="T90" s="26" t="n">
        <f aca="false">MIN(122.1,(T89+S90))</f>
        <v>119.3</v>
      </c>
      <c r="U90" s="45" t="s">
        <v>42</v>
      </c>
      <c r="V90" s="27" t="n">
        <v>724.8</v>
      </c>
      <c r="W90" s="1" t="n">
        <f aca="false">V90/D90</f>
        <v>201.333333333333</v>
      </c>
      <c r="X90" s="1" t="n">
        <f aca="false">X89+V90</f>
        <v>63550.1</v>
      </c>
      <c r="Y90" s="1" t="n">
        <f aca="false">Y89+V90</f>
        <v>4356.5</v>
      </c>
      <c r="AA90" s="47" t="n">
        <v>8.99649404203207</v>
      </c>
    </row>
    <row r="91" customFormat="false" ht="15" hidden="false" customHeight="false" outlineLevel="0" collapsed="false">
      <c r="A91" s="43"/>
      <c r="B91" s="46"/>
      <c r="C91" s="16" t="n">
        <v>41605</v>
      </c>
      <c r="D91" s="31" t="n">
        <v>2</v>
      </c>
      <c r="E91" s="31" t="n">
        <v>0.1</v>
      </c>
      <c r="F91" s="1" t="n">
        <v>5.4</v>
      </c>
      <c r="G91" s="1" t="n">
        <f aca="false">G90+D91</f>
        <v>1080.9</v>
      </c>
      <c r="H91" s="1" t="n">
        <f aca="false">H90+D91</f>
        <v>41.5</v>
      </c>
      <c r="I91" s="1" t="n">
        <v>28</v>
      </c>
      <c r="J91" s="1" t="n">
        <v>0</v>
      </c>
      <c r="K91" s="1" t="n">
        <f aca="false">K90+J91</f>
        <v>252.9</v>
      </c>
      <c r="L91" s="1" t="n">
        <v>0.6</v>
      </c>
      <c r="M91" s="1" t="n">
        <f aca="false">M90+L91</f>
        <v>125.3</v>
      </c>
      <c r="N91" s="19" t="n">
        <f aca="false">J91-L91</f>
        <v>-0.6</v>
      </c>
      <c r="O91" s="25" t="n">
        <f aca="false">O90+N91</f>
        <v>118.7</v>
      </c>
      <c r="P91" s="21" t="n">
        <v>86</v>
      </c>
      <c r="Q91" s="22" t="n">
        <v>1</v>
      </c>
      <c r="R91" s="23" t="n">
        <f aca="false">Q91*L91</f>
        <v>0.6</v>
      </c>
      <c r="S91" s="23" t="n">
        <f aca="false">J91-R91</f>
        <v>-0.6</v>
      </c>
      <c r="T91" s="26" t="n">
        <f aca="false">MIN(122.1,(T90+S91))</f>
        <v>118.7</v>
      </c>
      <c r="U91" s="28" t="n">
        <f aca="false">AVERAGE(T80:T127)</f>
        <v>118.16875</v>
      </c>
      <c r="V91" s="27" t="n">
        <v>489.9</v>
      </c>
      <c r="W91" s="1" t="n">
        <f aca="false">V91/D91</f>
        <v>244.95</v>
      </c>
      <c r="X91" s="1" t="n">
        <f aca="false">X90+V91</f>
        <v>64040</v>
      </c>
      <c r="Y91" s="1" t="n">
        <f aca="false">Y90+V91</f>
        <v>4846.4</v>
      </c>
      <c r="AA91" s="47" t="n">
        <v>8.96284542373783</v>
      </c>
    </row>
    <row r="92" customFormat="false" ht="15" hidden="false" customHeight="false" outlineLevel="0" collapsed="false">
      <c r="A92" s="43"/>
      <c r="B92" s="46"/>
      <c r="C92" s="16" t="n">
        <v>41606</v>
      </c>
      <c r="D92" s="31" t="n">
        <v>0.8</v>
      </c>
      <c r="E92" s="30" t="n">
        <v>-2.2</v>
      </c>
      <c r="F92" s="31" t="n">
        <v>3.3</v>
      </c>
      <c r="G92" s="1" t="n">
        <f aca="false">G91+D92</f>
        <v>1081.7</v>
      </c>
      <c r="H92" s="1" t="n">
        <f aca="false">H91+D92</f>
        <v>42.3</v>
      </c>
      <c r="I92" s="45" t="s">
        <v>43</v>
      </c>
      <c r="J92" s="1" t="n">
        <v>0</v>
      </c>
      <c r="K92" s="1" t="n">
        <f aca="false">K91+J92</f>
        <v>252.9</v>
      </c>
      <c r="L92" s="1" t="n">
        <v>0.4</v>
      </c>
      <c r="M92" s="1" t="n">
        <f aca="false">M91+L92</f>
        <v>125.7</v>
      </c>
      <c r="N92" s="19" t="n">
        <f aca="false">J92-L92</f>
        <v>-0.4</v>
      </c>
      <c r="O92" s="25" t="n">
        <f aca="false">O91+N92</f>
        <v>118.3</v>
      </c>
      <c r="P92" s="21" t="n">
        <v>87</v>
      </c>
      <c r="Q92" s="22" t="n">
        <v>1</v>
      </c>
      <c r="R92" s="23" t="n">
        <f aca="false">Q92*L92</f>
        <v>0.4</v>
      </c>
      <c r="S92" s="23" t="n">
        <f aca="false">J92-R92</f>
        <v>-0.4</v>
      </c>
      <c r="T92" s="26" t="n">
        <f aca="false">MIN(122.1,(T91+S92))</f>
        <v>118.3</v>
      </c>
      <c r="U92" s="45" t="s">
        <v>45</v>
      </c>
      <c r="V92" s="27" t="n">
        <v>208.3</v>
      </c>
      <c r="W92" s="1" t="n">
        <f aca="false">V92/D92</f>
        <v>260.375</v>
      </c>
      <c r="X92" s="1" t="n">
        <f aca="false">X91+V92</f>
        <v>64248.3</v>
      </c>
      <c r="Y92" s="1" t="n">
        <f aca="false">Y91+V92</f>
        <v>5054.7</v>
      </c>
      <c r="AA92" s="47" t="n">
        <v>8.93020798338758</v>
      </c>
    </row>
    <row r="93" customFormat="false" ht="15" hidden="false" customHeight="false" outlineLevel="0" collapsed="false">
      <c r="A93" s="43"/>
      <c r="B93" s="46"/>
      <c r="C93" s="16" t="n">
        <v>41607</v>
      </c>
      <c r="D93" s="31" t="n">
        <v>4.9</v>
      </c>
      <c r="E93" s="31" t="n">
        <v>2.5</v>
      </c>
      <c r="F93" s="1" t="n">
        <v>6.6</v>
      </c>
      <c r="G93" s="1" t="n">
        <f aca="false">G92+D93</f>
        <v>1086.6</v>
      </c>
      <c r="H93" s="1" t="n">
        <f aca="false">H92+D93</f>
        <v>47.2</v>
      </c>
      <c r="I93" s="1" t="n">
        <v>216.5</v>
      </c>
      <c r="J93" s="1" t="n">
        <v>1.1</v>
      </c>
      <c r="K93" s="1" t="n">
        <f aca="false">K92+J93</f>
        <v>254</v>
      </c>
      <c r="L93" s="1" t="n">
        <v>0.2</v>
      </c>
      <c r="M93" s="1" t="n">
        <f aca="false">M92+L93</f>
        <v>125.9</v>
      </c>
      <c r="N93" s="1" t="n">
        <f aca="false">J93-L93</f>
        <v>0.9</v>
      </c>
      <c r="O93" s="25" t="n">
        <f aca="false">O92+N93</f>
        <v>119.2</v>
      </c>
      <c r="P93" s="21" t="n">
        <v>88</v>
      </c>
      <c r="Q93" s="22" t="n">
        <v>1</v>
      </c>
      <c r="R93" s="23" t="n">
        <f aca="false">Q93*L93</f>
        <v>0.2</v>
      </c>
      <c r="S93" s="23" t="n">
        <f aca="false">J93-R93</f>
        <v>0.9</v>
      </c>
      <c r="T93" s="26" t="n">
        <f aca="false">MIN(122.1,(T92+S93))</f>
        <v>119.2</v>
      </c>
      <c r="U93" s="29" t="n">
        <v>38</v>
      </c>
      <c r="V93" s="27" t="n">
        <v>264.9</v>
      </c>
      <c r="W93" s="1" t="n">
        <f aca="false">V93/D93</f>
        <v>54.0612244897959</v>
      </c>
      <c r="X93" s="1" t="n">
        <f aca="false">X92+V93</f>
        <v>64513.2</v>
      </c>
      <c r="Y93" s="1" t="n">
        <f aca="false">Y92+V93</f>
        <v>5319.6</v>
      </c>
      <c r="AA93" s="47" t="n">
        <v>8.89860989169361</v>
      </c>
    </row>
    <row r="94" customFormat="false" ht="15" hidden="false" customHeight="false" outlineLevel="0" collapsed="false">
      <c r="A94" s="43"/>
      <c r="B94" s="46"/>
      <c r="C94" s="16" t="n">
        <v>41608</v>
      </c>
      <c r="D94" s="31" t="n">
        <v>4.9</v>
      </c>
      <c r="E94" s="31" t="n">
        <v>4.9</v>
      </c>
      <c r="F94" s="1" t="n">
        <v>5.7</v>
      </c>
      <c r="G94" s="1" t="n">
        <f aca="false">G93+D94</f>
        <v>1091.5</v>
      </c>
      <c r="H94" s="1" t="n">
        <f aca="false">H93+D94</f>
        <v>52.1</v>
      </c>
      <c r="J94" s="1" t="n">
        <v>0.3</v>
      </c>
      <c r="K94" s="1" t="n">
        <f aca="false">K93+J94</f>
        <v>254.3</v>
      </c>
      <c r="L94" s="1" t="n">
        <v>0.3</v>
      </c>
      <c r="M94" s="1" t="n">
        <f aca="false">M93+L94</f>
        <v>126.2</v>
      </c>
      <c r="N94" s="1" t="n">
        <f aca="false">J94-L94</f>
        <v>0</v>
      </c>
      <c r="O94" s="25" t="n">
        <f aca="false">O93+N94</f>
        <v>119.2</v>
      </c>
      <c r="P94" s="21" t="n">
        <v>89</v>
      </c>
      <c r="Q94" s="22" t="n">
        <v>1</v>
      </c>
      <c r="R94" s="23" t="n">
        <f aca="false">Q94*L94</f>
        <v>0.3</v>
      </c>
      <c r="S94" s="23" t="n">
        <f aca="false">J94-R94</f>
        <v>0</v>
      </c>
      <c r="T94" s="26" t="n">
        <f aca="false">MIN(122.1,(T93+S94))</f>
        <v>119.2</v>
      </c>
      <c r="V94" s="27" t="n">
        <v>215.9</v>
      </c>
      <c r="W94" s="1" t="n">
        <f aca="false">V94/D94</f>
        <v>44.0612244897959</v>
      </c>
      <c r="X94" s="1" t="n">
        <f aca="false">X93+V94</f>
        <v>64729.1</v>
      </c>
      <c r="Y94" s="1" t="n">
        <f aca="false">Y93+V94</f>
        <v>5535.5</v>
      </c>
      <c r="AA94" s="47" t="n">
        <v>8.86807908128606</v>
      </c>
    </row>
    <row r="95" customFormat="false" ht="15" hidden="false" customHeight="false" outlineLevel="0" collapsed="false">
      <c r="A95" s="43"/>
      <c r="B95" s="46"/>
      <c r="C95" s="16" t="n">
        <v>41609</v>
      </c>
      <c r="D95" s="31" t="n">
        <v>3.7</v>
      </c>
      <c r="E95" s="31" t="n">
        <v>2</v>
      </c>
      <c r="F95" s="1" t="n">
        <v>5.9</v>
      </c>
      <c r="G95" s="1" t="n">
        <f aca="false">G94+D95</f>
        <v>1095.2</v>
      </c>
      <c r="H95" s="1" t="n">
        <f aca="false">H94+D95</f>
        <v>55.8</v>
      </c>
      <c r="J95" s="1" t="n">
        <v>0</v>
      </c>
      <c r="K95" s="1" t="n">
        <f aca="false">K94+J95</f>
        <v>254.3</v>
      </c>
      <c r="L95" s="1" t="n">
        <v>0.6</v>
      </c>
      <c r="M95" s="1" t="n">
        <f aca="false">M94+L95</f>
        <v>126.8</v>
      </c>
      <c r="N95" s="19" t="n">
        <f aca="false">J95-L95</f>
        <v>-0.6</v>
      </c>
      <c r="O95" s="25" t="n">
        <f aca="false">O94+N95</f>
        <v>118.6</v>
      </c>
      <c r="P95" s="21" t="n">
        <v>90</v>
      </c>
      <c r="Q95" s="22" t="n">
        <v>1</v>
      </c>
      <c r="R95" s="23" t="n">
        <f aca="false">Q95*L95</f>
        <v>0.6</v>
      </c>
      <c r="S95" s="23" t="n">
        <f aca="false">J95-R95</f>
        <v>-0.6</v>
      </c>
      <c r="T95" s="26" t="n">
        <f aca="false">MIN(122.1,(T94+S95))</f>
        <v>118.6</v>
      </c>
      <c r="V95" s="27" t="n">
        <v>459.5</v>
      </c>
      <c r="W95" s="1" t="n">
        <f aca="false">V95/D95</f>
        <v>124.189189189189</v>
      </c>
      <c r="X95" s="1" t="n">
        <f aca="false">X94+V95</f>
        <v>65188.6</v>
      </c>
      <c r="Y95" s="1" t="n">
        <f aca="false">Y94+V95</f>
        <v>5995</v>
      </c>
      <c r="AA95" s="47" t="n">
        <v>8.83864317243724</v>
      </c>
    </row>
    <row r="96" customFormat="false" ht="15" hidden="false" customHeight="false" outlineLevel="0" collapsed="false">
      <c r="A96" s="43"/>
      <c r="B96" s="46"/>
      <c r="C96" s="16" t="n">
        <v>41610</v>
      </c>
      <c r="D96" s="31" t="n">
        <v>4.1</v>
      </c>
      <c r="E96" s="31" t="n">
        <v>3</v>
      </c>
      <c r="F96" s="1" t="n">
        <v>6.4</v>
      </c>
      <c r="G96" s="1" t="n">
        <f aca="false">G95+D96</f>
        <v>1099.3</v>
      </c>
      <c r="H96" s="1" t="n">
        <f aca="false">H95+D96</f>
        <v>59.9</v>
      </c>
      <c r="J96" s="1" t="n">
        <v>0</v>
      </c>
      <c r="K96" s="1" t="n">
        <f aca="false">K95+J96</f>
        <v>254.3</v>
      </c>
      <c r="L96" s="1" t="n">
        <v>0.8</v>
      </c>
      <c r="M96" s="1" t="n">
        <f aca="false">M95+L96</f>
        <v>127.6</v>
      </c>
      <c r="N96" s="19" t="n">
        <f aca="false">J96-L96</f>
        <v>-0.8</v>
      </c>
      <c r="O96" s="25" t="n">
        <f aca="false">O95+N96</f>
        <v>117.8</v>
      </c>
      <c r="P96" s="21" t="n">
        <v>91</v>
      </c>
      <c r="Q96" s="22" t="n">
        <v>1</v>
      </c>
      <c r="R96" s="23" t="n">
        <f aca="false">Q96*L96</f>
        <v>0.8</v>
      </c>
      <c r="S96" s="23" t="n">
        <f aca="false">J96-R96</f>
        <v>-0.8</v>
      </c>
      <c r="T96" s="26" t="n">
        <f aca="false">MIN(122.1,(T95+S96))</f>
        <v>117.8</v>
      </c>
      <c r="V96" s="27" t="n">
        <v>327.9</v>
      </c>
      <c r="W96" s="1" t="n">
        <f aca="false">V96/D96</f>
        <v>79.9756097560976</v>
      </c>
      <c r="X96" s="1" t="n">
        <f aca="false">X95+V96</f>
        <v>65516.5</v>
      </c>
      <c r="Y96" s="1" t="n">
        <f aca="false">Y95+V96</f>
        <v>6322.9</v>
      </c>
      <c r="AA96" s="47" t="n">
        <v>8.81032939665082</v>
      </c>
    </row>
    <row r="97" customFormat="false" ht="15" hidden="false" customHeight="false" outlineLevel="0" collapsed="false">
      <c r="A97" s="43"/>
      <c r="B97" s="46"/>
      <c r="C97" s="16" t="n">
        <v>41611</v>
      </c>
      <c r="D97" s="31" t="n">
        <v>1.3</v>
      </c>
      <c r="E97" s="30" t="n">
        <v>-2.5</v>
      </c>
      <c r="F97" s="1" t="n">
        <v>5.5</v>
      </c>
      <c r="G97" s="1" t="n">
        <f aca="false">G96+D97</f>
        <v>1100.6</v>
      </c>
      <c r="H97" s="1" t="n">
        <f aca="false">H96+D97</f>
        <v>61.2</v>
      </c>
      <c r="J97" s="1" t="n">
        <v>0</v>
      </c>
      <c r="K97" s="1" t="n">
        <f aca="false">K96+J97</f>
        <v>254.3</v>
      </c>
      <c r="L97" s="1" t="n">
        <v>0.7</v>
      </c>
      <c r="M97" s="1" t="n">
        <f aca="false">M96+L97</f>
        <v>128.3</v>
      </c>
      <c r="N97" s="19" t="n">
        <f aca="false">J97-L97</f>
        <v>-0.7</v>
      </c>
      <c r="O97" s="25" t="n">
        <f aca="false">O96+N97</f>
        <v>117.1</v>
      </c>
      <c r="P97" s="21" t="n">
        <v>92</v>
      </c>
      <c r="Q97" s="22" t="n">
        <v>1</v>
      </c>
      <c r="R97" s="23" t="n">
        <f aca="false">Q97*L97</f>
        <v>0.7</v>
      </c>
      <c r="S97" s="23" t="n">
        <f aca="false">J97-R97</f>
        <v>-0.7</v>
      </c>
      <c r="T97" s="26" t="n">
        <f aca="false">MIN(122.1,(T96+S97))</f>
        <v>117.1</v>
      </c>
      <c r="V97" s="27" t="n">
        <v>679.6</v>
      </c>
      <c r="W97" s="1" t="n">
        <f aca="false">V97/D97</f>
        <v>522.769230769231</v>
      </c>
      <c r="X97" s="1" t="n">
        <f aca="false">X96+V97</f>
        <v>66196.1</v>
      </c>
      <c r="Y97" s="1" t="n">
        <f aca="false">Y96+V97</f>
        <v>7002.5</v>
      </c>
      <c r="AA97" s="47" t="n">
        <v>8.78316451844674</v>
      </c>
    </row>
    <row r="98" customFormat="false" ht="15" hidden="false" customHeight="false" outlineLevel="0" collapsed="false">
      <c r="A98" s="43"/>
      <c r="B98" s="46"/>
      <c r="C98" s="16" t="n">
        <v>41612</v>
      </c>
      <c r="D98" s="31" t="n">
        <v>1.1</v>
      </c>
      <c r="E98" s="30" t="n">
        <v>-2</v>
      </c>
      <c r="F98" s="31" t="n">
        <v>3.2</v>
      </c>
      <c r="G98" s="1" t="n">
        <f aca="false">G97+D98</f>
        <v>1101.7</v>
      </c>
      <c r="H98" s="1" t="n">
        <f aca="false">H97+D98</f>
        <v>62.3</v>
      </c>
      <c r="J98" s="1" t="n">
        <v>0</v>
      </c>
      <c r="K98" s="1" t="n">
        <f aca="false">K97+J98</f>
        <v>254.3</v>
      </c>
      <c r="L98" s="1" t="n">
        <v>0.3</v>
      </c>
      <c r="M98" s="1" t="n">
        <f aca="false">M97+L98</f>
        <v>128.6</v>
      </c>
      <c r="N98" s="19" t="n">
        <f aca="false">J98-L98</f>
        <v>-0.3</v>
      </c>
      <c r="O98" s="25" t="n">
        <f aca="false">O97+N98</f>
        <v>116.8</v>
      </c>
      <c r="P98" s="21" t="n">
        <v>93</v>
      </c>
      <c r="Q98" s="22" t="n">
        <v>1</v>
      </c>
      <c r="R98" s="23" t="n">
        <f aca="false">Q98*L98</f>
        <v>0.3</v>
      </c>
      <c r="S98" s="23" t="n">
        <f aca="false">J98-R98</f>
        <v>-0.3</v>
      </c>
      <c r="T98" s="26" t="n">
        <f aca="false">MIN(122.1,(T97+S98))</f>
        <v>116.8</v>
      </c>
      <c r="V98" s="27" t="n">
        <v>348.4</v>
      </c>
      <c r="W98" s="1" t="n">
        <f aca="false">V98/D98</f>
        <v>316.727272727273</v>
      </c>
      <c r="X98" s="1" t="n">
        <f aca="false">X97+V98</f>
        <v>66544.5</v>
      </c>
      <c r="Y98" s="1" t="n">
        <f aca="false">Y97+V98</f>
        <v>7350.9</v>
      </c>
      <c r="AA98" s="47" t="n">
        <v>8.75717475570766</v>
      </c>
    </row>
    <row r="99" customFormat="false" ht="15" hidden="false" customHeight="false" outlineLevel="0" collapsed="false">
      <c r="A99" s="43"/>
      <c r="B99" s="46"/>
      <c r="C99" s="16" t="n">
        <v>41613</v>
      </c>
      <c r="D99" s="31" t="n">
        <v>4.5</v>
      </c>
      <c r="E99" s="31" t="n">
        <v>3</v>
      </c>
      <c r="F99" s="1" t="n">
        <v>5.9</v>
      </c>
      <c r="G99" s="1" t="n">
        <f aca="false">G98+D99</f>
        <v>1106.2</v>
      </c>
      <c r="H99" s="1" t="n">
        <f aca="false">H98+D99</f>
        <v>66.8</v>
      </c>
      <c r="J99" s="1" t="n">
        <v>0.3</v>
      </c>
      <c r="K99" s="1" t="n">
        <f aca="false">K98+J99</f>
        <v>254.6</v>
      </c>
      <c r="L99" s="1" t="n">
        <v>0.4</v>
      </c>
      <c r="M99" s="1" t="n">
        <f aca="false">M98+L99</f>
        <v>129</v>
      </c>
      <c r="N99" s="19" t="n">
        <f aca="false">J99-L99</f>
        <v>-0.1</v>
      </c>
      <c r="O99" s="25" t="n">
        <f aca="false">O98+N99</f>
        <v>116.7</v>
      </c>
      <c r="P99" s="21" t="n">
        <v>94</v>
      </c>
      <c r="Q99" s="22" t="n">
        <v>1</v>
      </c>
      <c r="R99" s="23" t="n">
        <f aca="false">Q99*L99</f>
        <v>0.4</v>
      </c>
      <c r="S99" s="23" t="n">
        <f aca="false">J99-R99</f>
        <v>-0.1</v>
      </c>
      <c r="T99" s="26" t="n">
        <f aca="false">MIN(122.1,(T98+S99))</f>
        <v>116.7</v>
      </c>
      <c r="V99" s="27" t="n">
        <v>213.8</v>
      </c>
      <c r="W99" s="1" t="n">
        <f aca="false">V99/D99</f>
        <v>47.5111111111111</v>
      </c>
      <c r="X99" s="1" t="n">
        <f aca="false">X98+V99</f>
        <v>66758.3</v>
      </c>
      <c r="Y99" s="1" t="n">
        <f aca="false">Y98+V99</f>
        <v>7564.7</v>
      </c>
      <c r="AA99" s="47" t="n">
        <v>8.73238569898579</v>
      </c>
    </row>
    <row r="100" customFormat="false" ht="15" hidden="false" customHeight="false" outlineLevel="0" collapsed="false">
      <c r="A100" s="43"/>
      <c r="B100" s="46"/>
      <c r="C100" s="16" t="n">
        <v>41614</v>
      </c>
      <c r="D100" s="31" t="n">
        <v>5</v>
      </c>
      <c r="E100" s="31" t="n">
        <v>4.4</v>
      </c>
      <c r="F100" s="1" t="n">
        <v>7.7</v>
      </c>
      <c r="G100" s="1" t="n">
        <f aca="false">G99+D100</f>
        <v>1111.2</v>
      </c>
      <c r="H100" s="1" t="n">
        <f aca="false">H99+D100</f>
        <v>71.8</v>
      </c>
      <c r="J100" s="1" t="n">
        <v>0</v>
      </c>
      <c r="K100" s="1" t="n">
        <f aca="false">K99+J100</f>
        <v>254.6</v>
      </c>
      <c r="L100" s="1" t="n">
        <v>0.7</v>
      </c>
      <c r="M100" s="1" t="n">
        <f aca="false">M99+L100</f>
        <v>129.7</v>
      </c>
      <c r="N100" s="19" t="n">
        <f aca="false">J100-L100</f>
        <v>-0.7</v>
      </c>
      <c r="O100" s="25" t="n">
        <f aca="false">O99+N100</f>
        <v>116</v>
      </c>
      <c r="P100" s="21" t="n">
        <v>95</v>
      </c>
      <c r="Q100" s="22" t="n">
        <v>1</v>
      </c>
      <c r="R100" s="23" t="n">
        <f aca="false">Q100*L100</f>
        <v>0.7</v>
      </c>
      <c r="S100" s="23" t="n">
        <f aca="false">J100-R100</f>
        <v>-0.7</v>
      </c>
      <c r="T100" s="26" t="n">
        <f aca="false">MIN(122.1,(T99+S100))</f>
        <v>116</v>
      </c>
      <c r="V100" s="27" t="n">
        <v>306</v>
      </c>
      <c r="W100" s="1" t="n">
        <f aca="false">V100/D100</f>
        <v>61.2</v>
      </c>
      <c r="X100" s="1" t="n">
        <f aca="false">X99+V100</f>
        <v>67064.3</v>
      </c>
      <c r="Y100" s="1" t="n">
        <f aca="false">Y99+V100</f>
        <v>7870.7</v>
      </c>
      <c r="AA100" s="47" t="n">
        <v>8.70882223020012</v>
      </c>
    </row>
    <row r="101" customFormat="false" ht="15" hidden="false" customHeight="false" outlineLevel="0" collapsed="false">
      <c r="A101" s="43"/>
      <c r="B101" s="46"/>
      <c r="C101" s="16" t="n">
        <v>41615</v>
      </c>
      <c r="D101" s="31" t="n">
        <v>2.4</v>
      </c>
      <c r="E101" s="31" t="n">
        <v>0.2</v>
      </c>
      <c r="F101" s="1" t="n">
        <v>6.7</v>
      </c>
      <c r="G101" s="1" t="n">
        <f aca="false">G100+D101</f>
        <v>1113.6</v>
      </c>
      <c r="H101" s="1" t="n">
        <f aca="false">H100+D101</f>
        <v>74.2</v>
      </c>
      <c r="J101" s="1" t="n">
        <v>0</v>
      </c>
      <c r="K101" s="1" t="n">
        <f aca="false">K100+J101</f>
        <v>254.6</v>
      </c>
      <c r="L101" s="1" t="n">
        <v>0.8</v>
      </c>
      <c r="M101" s="1" t="n">
        <f aca="false">M100+L101</f>
        <v>130.5</v>
      </c>
      <c r="N101" s="19" t="n">
        <f aca="false">J101-L101</f>
        <v>-0.8</v>
      </c>
      <c r="O101" s="25" t="n">
        <f aca="false">O100+N101</f>
        <v>115.2</v>
      </c>
      <c r="P101" s="21" t="n">
        <v>96</v>
      </c>
      <c r="Q101" s="22" t="n">
        <v>1</v>
      </c>
      <c r="R101" s="23" t="n">
        <f aca="false">Q101*L101</f>
        <v>0.8</v>
      </c>
      <c r="S101" s="23" t="n">
        <f aca="false">J101-R101</f>
        <v>-0.8</v>
      </c>
      <c r="T101" s="26" t="n">
        <f aca="false">MIN(122.1,(T100+S101))</f>
        <v>115.2</v>
      </c>
      <c r="V101" s="27" t="n">
        <v>619.7</v>
      </c>
      <c r="W101" s="1" t="n">
        <f aca="false">V101/D101</f>
        <v>258.208333333333</v>
      </c>
      <c r="X101" s="1" t="n">
        <f aca="false">X100+V101</f>
        <v>67684</v>
      </c>
      <c r="Y101" s="1" t="n">
        <f aca="false">Y100+V101</f>
        <v>8490.4</v>
      </c>
      <c r="AA101" s="47" t="n">
        <v>8.68650844118245</v>
      </c>
    </row>
    <row r="102" customFormat="false" ht="15" hidden="false" customHeight="false" outlineLevel="0" collapsed="false">
      <c r="A102" s="43"/>
      <c r="B102" s="46"/>
      <c r="C102" s="16" t="n">
        <v>41616</v>
      </c>
      <c r="D102" s="31" t="n">
        <v>1.2</v>
      </c>
      <c r="E102" s="30" t="n">
        <v>-1.8</v>
      </c>
      <c r="F102" s="1" t="n">
        <v>5.8</v>
      </c>
      <c r="G102" s="1" t="n">
        <f aca="false">G101+D102</f>
        <v>1114.8</v>
      </c>
      <c r="H102" s="1" t="n">
        <f aca="false">H101+D102</f>
        <v>75.4</v>
      </c>
      <c r="J102" s="1" t="n">
        <v>0</v>
      </c>
      <c r="K102" s="1" t="n">
        <f aca="false">K101+J102</f>
        <v>254.6</v>
      </c>
      <c r="L102" s="1" t="n">
        <v>0.7</v>
      </c>
      <c r="M102" s="1" t="n">
        <f aca="false">M101+L102</f>
        <v>131.2</v>
      </c>
      <c r="N102" s="19" t="n">
        <f aca="false">J102-L102</f>
        <v>-0.7</v>
      </c>
      <c r="O102" s="25" t="n">
        <f aca="false">O101+N102</f>
        <v>114.5</v>
      </c>
      <c r="P102" s="21" t="n">
        <v>97</v>
      </c>
      <c r="Q102" s="22" t="n">
        <v>1</v>
      </c>
      <c r="R102" s="23" t="n">
        <f aca="false">Q102*L102</f>
        <v>0.7</v>
      </c>
      <c r="S102" s="23" t="n">
        <f aca="false">J102-R102</f>
        <v>-0.7</v>
      </c>
      <c r="T102" s="26" t="n">
        <f aca="false">MIN(122.1,(T101+S102))</f>
        <v>114.5</v>
      </c>
      <c r="V102" s="27" t="n">
        <v>714</v>
      </c>
      <c r="W102" s="1" t="n">
        <f aca="false">V102/D102</f>
        <v>595</v>
      </c>
      <c r="X102" s="1" t="n">
        <f aca="false">X101+V102</f>
        <v>68398</v>
      </c>
      <c r="Y102" s="1" t="n">
        <f aca="false">Y101+V102</f>
        <v>9204.4</v>
      </c>
      <c r="AA102" s="47" t="n">
        <v>8.66546755255563</v>
      </c>
    </row>
    <row r="103" customFormat="false" ht="15" hidden="false" customHeight="false" outlineLevel="0" collapsed="false">
      <c r="A103" s="43"/>
      <c r="B103" s="46"/>
      <c r="C103" s="16" t="n">
        <v>41617</v>
      </c>
      <c r="D103" s="31" t="n">
        <v>1</v>
      </c>
      <c r="E103" s="30" t="n">
        <v>-3.2</v>
      </c>
      <c r="F103" s="1" t="n">
        <v>6.3</v>
      </c>
      <c r="G103" s="1" t="n">
        <f aca="false">G102+D103</f>
        <v>1115.8</v>
      </c>
      <c r="H103" s="1" t="n">
        <f aca="false">H102+D103</f>
        <v>76.4</v>
      </c>
      <c r="J103" s="1" t="n">
        <v>0</v>
      </c>
      <c r="K103" s="1" t="n">
        <f aca="false">K102+J103</f>
        <v>254.6</v>
      </c>
      <c r="L103" s="1" t="n">
        <v>0.6</v>
      </c>
      <c r="M103" s="1" t="n">
        <f aca="false">M102+L103</f>
        <v>131.8</v>
      </c>
      <c r="N103" s="19" t="n">
        <f aca="false">J103-L103</f>
        <v>-0.6</v>
      </c>
      <c r="O103" s="25" t="n">
        <f aca="false">O102+N103</f>
        <v>113.9</v>
      </c>
      <c r="P103" s="21" t="n">
        <v>98</v>
      </c>
      <c r="Q103" s="22" t="n">
        <v>1</v>
      </c>
      <c r="R103" s="23" t="n">
        <f aca="false">Q103*L103</f>
        <v>0.6</v>
      </c>
      <c r="S103" s="23" t="n">
        <f aca="false">J103-R103</f>
        <v>-0.6</v>
      </c>
      <c r="T103" s="26" t="n">
        <f aca="false">MIN(122.1,(T102+S103))</f>
        <v>113.9</v>
      </c>
      <c r="V103" s="27" t="n">
        <v>631.6</v>
      </c>
      <c r="W103" s="1" t="n">
        <f aca="false">V103/D103</f>
        <v>631.6</v>
      </c>
      <c r="X103" s="1" t="n">
        <f aca="false">X102+V103</f>
        <v>69029.6</v>
      </c>
      <c r="Y103" s="1" t="n">
        <f aca="false">Y102+V103</f>
        <v>9836</v>
      </c>
      <c r="AA103" s="47" t="n">
        <v>8.64572183344864</v>
      </c>
    </row>
    <row r="104" customFormat="false" ht="15" hidden="false" customHeight="false" outlineLevel="0" collapsed="false">
      <c r="A104" s="43"/>
      <c r="B104" s="46"/>
      <c r="C104" s="16" t="n">
        <v>41618</v>
      </c>
      <c r="D104" s="31" t="n">
        <v>1.1</v>
      </c>
      <c r="E104" s="30" t="n">
        <v>-2.5</v>
      </c>
      <c r="F104" s="1" t="n">
        <v>5.7</v>
      </c>
      <c r="G104" s="1" t="n">
        <f aca="false">G103+D104</f>
        <v>1116.9</v>
      </c>
      <c r="H104" s="1" t="n">
        <f aca="false">H103+D104</f>
        <v>77.5</v>
      </c>
      <c r="J104" s="1" t="n">
        <v>0</v>
      </c>
      <c r="K104" s="1" t="n">
        <f aca="false">K103+J104</f>
        <v>254.6</v>
      </c>
      <c r="L104" s="1" t="n">
        <v>0.7</v>
      </c>
      <c r="M104" s="1" t="n">
        <f aca="false">M103+L104</f>
        <v>132.5</v>
      </c>
      <c r="N104" s="19" t="n">
        <f aca="false">J104-L104</f>
        <v>-0.7</v>
      </c>
      <c r="O104" s="25" t="n">
        <f aca="false">O103+N104</f>
        <v>113.2</v>
      </c>
      <c r="P104" s="21" t="n">
        <v>99</v>
      </c>
      <c r="Q104" s="22" t="n">
        <v>1</v>
      </c>
      <c r="R104" s="23" t="n">
        <f aca="false">Q104*L104</f>
        <v>0.7</v>
      </c>
      <c r="S104" s="23" t="n">
        <f aca="false">J104-R104</f>
        <v>-0.7</v>
      </c>
      <c r="T104" s="26" t="n">
        <f aca="false">MIN(122.1,(T103+S104))</f>
        <v>113.2</v>
      </c>
      <c r="V104" s="27" t="n">
        <v>682.8</v>
      </c>
      <c r="W104" s="1" t="n">
        <f aca="false">V104/D104</f>
        <v>620.727272727273</v>
      </c>
      <c r="X104" s="1" t="n">
        <f aca="false">X103+V104</f>
        <v>69712.4</v>
      </c>
      <c r="Y104" s="1" t="n">
        <f aca="false">Y103+V104</f>
        <v>10518.8</v>
      </c>
      <c r="AA104" s="47" t="n">
        <v>8.62729252256988</v>
      </c>
    </row>
    <row r="105" customFormat="false" ht="15" hidden="false" customHeight="false" outlineLevel="0" collapsed="false">
      <c r="A105" s="43"/>
      <c r="B105" s="46"/>
      <c r="C105" s="16" t="n">
        <v>41619</v>
      </c>
      <c r="D105" s="31" t="n">
        <v>0.1</v>
      </c>
      <c r="E105" s="30" t="n">
        <v>-3.3</v>
      </c>
      <c r="F105" s="31" t="n">
        <v>3.9</v>
      </c>
      <c r="G105" s="1" t="n">
        <f aca="false">G104+D105</f>
        <v>1117</v>
      </c>
      <c r="H105" s="1" t="n">
        <f aca="false">H104+D105</f>
        <v>77.6</v>
      </c>
      <c r="J105" s="1" t="n">
        <v>0</v>
      </c>
      <c r="K105" s="1" t="n">
        <f aca="false">K104+J105</f>
        <v>254.6</v>
      </c>
      <c r="L105" s="1" t="n">
        <v>0.6</v>
      </c>
      <c r="M105" s="1" t="n">
        <f aca="false">M104+L105</f>
        <v>133.1</v>
      </c>
      <c r="N105" s="19" t="n">
        <f aca="false">J105-L105</f>
        <v>-0.6</v>
      </c>
      <c r="O105" s="25" t="n">
        <f aca="false">O104+N105</f>
        <v>112.6</v>
      </c>
      <c r="P105" s="21" t="n">
        <v>100</v>
      </c>
      <c r="Q105" s="22" t="n">
        <v>1</v>
      </c>
      <c r="R105" s="23" t="n">
        <f aca="false">Q105*L105</f>
        <v>0.6</v>
      </c>
      <c r="S105" s="23" t="n">
        <f aca="false">J105-R105</f>
        <v>-0.6</v>
      </c>
      <c r="T105" s="26" t="n">
        <f aca="false">MIN(122.1,(T104+S105))</f>
        <v>112.6</v>
      </c>
      <c r="V105" s="27" t="n">
        <v>684</v>
      </c>
      <c r="W105" s="1" t="n">
        <f aca="false">V105/D105</f>
        <v>6840</v>
      </c>
      <c r="X105" s="1" t="n">
        <f aca="false">X104+V105</f>
        <v>70396.4</v>
      </c>
      <c r="Y105" s="1" t="n">
        <f aca="false">Y104+V105</f>
        <v>11202.8</v>
      </c>
      <c r="AA105" s="47" t="n">
        <v>8.61019975117172</v>
      </c>
    </row>
    <row r="106" customFormat="false" ht="15" hidden="false" customHeight="false" outlineLevel="0" collapsed="false">
      <c r="A106" s="43"/>
      <c r="B106" s="46"/>
      <c r="C106" s="16" t="n">
        <v>41620</v>
      </c>
      <c r="D106" s="31" t="n">
        <v>0.1</v>
      </c>
      <c r="E106" s="30" t="n">
        <v>-3.5</v>
      </c>
      <c r="F106" s="31" t="n">
        <v>4.6</v>
      </c>
      <c r="G106" s="1" t="n">
        <f aca="false">G105+D106</f>
        <v>1117.1</v>
      </c>
      <c r="H106" s="1" t="n">
        <f aca="false">H105+D106</f>
        <v>77.7</v>
      </c>
      <c r="J106" s="1" t="n">
        <v>0</v>
      </c>
      <c r="K106" s="1" t="n">
        <f aca="false">K105+J106</f>
        <v>254.6</v>
      </c>
      <c r="L106" s="1" t="n">
        <v>0.5</v>
      </c>
      <c r="M106" s="1" t="n">
        <f aca="false">M105+L106</f>
        <v>133.6</v>
      </c>
      <c r="N106" s="19" t="n">
        <f aca="false">J106-L106</f>
        <v>-0.5</v>
      </c>
      <c r="O106" s="25" t="n">
        <f aca="false">O105+N106</f>
        <v>112.1</v>
      </c>
      <c r="P106" s="21" t="n">
        <v>101</v>
      </c>
      <c r="Q106" s="22" t="n">
        <v>1</v>
      </c>
      <c r="R106" s="23" t="n">
        <f aca="false">Q106*L106</f>
        <v>0.5</v>
      </c>
      <c r="S106" s="23" t="n">
        <f aca="false">J106-R106</f>
        <v>-0.5</v>
      </c>
      <c r="T106" s="26" t="n">
        <f aca="false">MIN(122.1,(T105+S106))</f>
        <v>112.1</v>
      </c>
      <c r="V106" s="27" t="n">
        <v>548.8</v>
      </c>
      <c r="W106" s="1" t="n">
        <f aca="false">V106/D106</f>
        <v>5488</v>
      </c>
      <c r="X106" s="1" t="n">
        <f aca="false">X105+V106</f>
        <v>70945.2</v>
      </c>
      <c r="Y106" s="1" t="n">
        <f aca="false">Y105+V106</f>
        <v>11751.6</v>
      </c>
      <c r="AA106" s="47" t="n">
        <v>8.59446246844554</v>
      </c>
    </row>
    <row r="107" customFormat="false" ht="15" hidden="false" customHeight="false" outlineLevel="0" collapsed="false">
      <c r="A107" s="43"/>
      <c r="B107" s="46"/>
      <c r="C107" s="16" t="n">
        <v>41621</v>
      </c>
      <c r="D107" s="31" t="n">
        <v>2.9</v>
      </c>
      <c r="E107" s="30" t="n">
        <v>-3.4</v>
      </c>
      <c r="F107" s="1" t="n">
        <v>7.4</v>
      </c>
      <c r="G107" s="1" t="n">
        <f aca="false">G106+D107</f>
        <v>1120</v>
      </c>
      <c r="H107" s="1" t="n">
        <f aca="false">H106+D107</f>
        <v>80.6</v>
      </c>
      <c r="J107" s="1" t="n">
        <v>4.2</v>
      </c>
      <c r="K107" s="1" t="n">
        <f aca="false">K106+J107</f>
        <v>258.8</v>
      </c>
      <c r="L107" s="1" t="n">
        <v>0.5</v>
      </c>
      <c r="M107" s="1" t="n">
        <f aca="false">M106+L107</f>
        <v>134.1</v>
      </c>
      <c r="N107" s="1" t="n">
        <f aca="false">J107-L107</f>
        <v>3.7</v>
      </c>
      <c r="O107" s="25" t="n">
        <f aca="false">O106+N107</f>
        <v>115.8</v>
      </c>
      <c r="P107" s="21" t="n">
        <v>102</v>
      </c>
      <c r="Q107" s="22" t="n">
        <v>1</v>
      </c>
      <c r="R107" s="23" t="n">
        <f aca="false">Q107*L107</f>
        <v>0.5</v>
      </c>
      <c r="S107" s="23" t="n">
        <f aca="false">J107-R107</f>
        <v>3.7</v>
      </c>
      <c r="T107" s="26" t="n">
        <f aca="false">MIN(122.1,(T106+S107))</f>
        <v>115.8</v>
      </c>
      <c r="V107" s="27" t="n">
        <v>573.8</v>
      </c>
      <c r="W107" s="1" t="n">
        <f aca="false">V107/D107</f>
        <v>197.862068965517</v>
      </c>
      <c r="X107" s="1" t="n">
        <f aca="false">X106+V107</f>
        <v>71519</v>
      </c>
      <c r="Y107" s="1" t="n">
        <f aca="false">Y106+V107</f>
        <v>12325.4</v>
      </c>
      <c r="AA107" s="47" t="n">
        <v>8.58009836988703</v>
      </c>
    </row>
    <row r="108" customFormat="false" ht="15" hidden="false" customHeight="false" outlineLevel="0" collapsed="false">
      <c r="A108" s="43"/>
      <c r="B108" s="46"/>
      <c r="C108" s="16" t="n">
        <v>41622</v>
      </c>
      <c r="D108" s="31" t="n">
        <v>4.8</v>
      </c>
      <c r="E108" s="31" t="n">
        <v>3.2</v>
      </c>
      <c r="F108" s="1" t="n">
        <v>6.5</v>
      </c>
      <c r="G108" s="1" t="n">
        <f aca="false">G107+D108</f>
        <v>1124.8</v>
      </c>
      <c r="H108" s="1" t="n">
        <f aca="false">H107+D108</f>
        <v>85.4</v>
      </c>
      <c r="J108" s="1" t="n">
        <v>0</v>
      </c>
      <c r="K108" s="1" t="n">
        <f aca="false">K107+J108</f>
        <v>258.8</v>
      </c>
      <c r="L108" s="1" t="n">
        <v>0.2</v>
      </c>
      <c r="M108" s="1" t="n">
        <f aca="false">M107+L108</f>
        <v>134.3</v>
      </c>
      <c r="N108" s="19" t="n">
        <f aca="false">J108-L108</f>
        <v>-0.2</v>
      </c>
      <c r="O108" s="25" t="n">
        <f aca="false">O107+N108</f>
        <v>115.6</v>
      </c>
      <c r="P108" s="21" t="n">
        <v>103</v>
      </c>
      <c r="Q108" s="22" t="n">
        <v>1</v>
      </c>
      <c r="R108" s="23" t="n">
        <f aca="false">Q108*L108</f>
        <v>0.2</v>
      </c>
      <c r="S108" s="23" t="n">
        <f aca="false">J108-R108</f>
        <v>-0.2</v>
      </c>
      <c r="T108" s="26" t="n">
        <f aca="false">MIN(122.1,(T107+S108))</f>
        <v>115.6</v>
      </c>
      <c r="V108" s="27" t="n">
        <v>212.3</v>
      </c>
      <c r="W108" s="1" t="n">
        <f aca="false">V108/D108</f>
        <v>44.2291666666667</v>
      </c>
      <c r="X108" s="1" t="n">
        <f aca="false">X107+V108</f>
        <v>71731.3</v>
      </c>
      <c r="Y108" s="1" t="n">
        <f aca="false">Y107+V108</f>
        <v>12537.7</v>
      </c>
      <c r="AA108" s="47" t="n">
        <v>8.56712382916556</v>
      </c>
    </row>
    <row r="109" customFormat="false" ht="15" hidden="false" customHeight="false" outlineLevel="0" collapsed="false">
      <c r="A109" s="43"/>
      <c r="B109" s="46"/>
      <c r="C109" s="16" t="n">
        <v>41623</v>
      </c>
      <c r="D109" s="31" t="n">
        <v>2.9</v>
      </c>
      <c r="E109" s="30" t="n">
        <v>-0.3</v>
      </c>
      <c r="F109" s="1" t="n">
        <v>8.3</v>
      </c>
      <c r="G109" s="1" t="n">
        <f aca="false">G108+D109</f>
        <v>1127.7</v>
      </c>
      <c r="H109" s="1" t="n">
        <f aca="false">H108+D109</f>
        <v>88.3</v>
      </c>
      <c r="J109" s="1" t="n">
        <v>0.1</v>
      </c>
      <c r="K109" s="1" t="n">
        <f aca="false">K108+J109</f>
        <v>258.9</v>
      </c>
      <c r="L109" s="1" t="n">
        <v>0.7</v>
      </c>
      <c r="M109" s="1" t="n">
        <f aca="false">M108+L109</f>
        <v>135</v>
      </c>
      <c r="N109" s="19" t="n">
        <f aca="false">J109-L109</f>
        <v>-0.6</v>
      </c>
      <c r="O109" s="25" t="n">
        <f aca="false">O108+N109</f>
        <v>115</v>
      </c>
      <c r="P109" s="21" t="n">
        <v>104</v>
      </c>
      <c r="Q109" s="22" t="n">
        <v>1</v>
      </c>
      <c r="R109" s="23" t="n">
        <f aca="false">Q109*L109</f>
        <v>0.7</v>
      </c>
      <c r="S109" s="23" t="n">
        <f aca="false">J109-R109</f>
        <v>-0.6</v>
      </c>
      <c r="T109" s="26" t="n">
        <f aca="false">MIN(122.1,(T108+S109))</f>
        <v>115</v>
      </c>
      <c r="V109" s="27" t="n">
        <v>594</v>
      </c>
      <c r="W109" s="1" t="n">
        <f aca="false">V109/D109</f>
        <v>204.827586206897</v>
      </c>
      <c r="X109" s="1" t="n">
        <f aca="false">X108+V109</f>
        <v>72325.3</v>
      </c>
      <c r="Y109" s="1" t="n">
        <f aca="false">Y108+V109</f>
        <v>13131.7</v>
      </c>
      <c r="AA109" s="47" t="n">
        <v>8.55555383401937</v>
      </c>
    </row>
    <row r="110" customFormat="false" ht="15" hidden="false" customHeight="false" outlineLevel="0" collapsed="false">
      <c r="A110" s="43"/>
      <c r="B110" s="46"/>
      <c r="C110" s="16" t="n">
        <v>41624</v>
      </c>
      <c r="D110" s="31" t="n">
        <v>4.1</v>
      </c>
      <c r="E110" s="30" t="n">
        <v>-0.4</v>
      </c>
      <c r="F110" s="1" t="n">
        <v>12</v>
      </c>
      <c r="G110" s="1" t="n">
        <f aca="false">G109+D110</f>
        <v>1131.8</v>
      </c>
      <c r="H110" s="1" t="n">
        <f aca="false">H109+D110</f>
        <v>92.4</v>
      </c>
      <c r="J110" s="1" t="n">
        <v>0</v>
      </c>
      <c r="K110" s="1" t="n">
        <f aca="false">K109+J110</f>
        <v>258.9</v>
      </c>
      <c r="L110" s="1" t="n">
        <v>0.8</v>
      </c>
      <c r="M110" s="1" t="n">
        <f aca="false">M109+L110</f>
        <v>135.8</v>
      </c>
      <c r="N110" s="19" t="n">
        <f aca="false">J110-L110</f>
        <v>-0.8</v>
      </c>
      <c r="O110" s="25" t="n">
        <f aca="false">O109+N110</f>
        <v>114.2</v>
      </c>
      <c r="P110" s="21" t="n">
        <v>105</v>
      </c>
      <c r="Q110" s="22" t="n">
        <v>1</v>
      </c>
      <c r="R110" s="23" t="n">
        <f aca="false">Q110*L110</f>
        <v>0.8</v>
      </c>
      <c r="S110" s="23" t="n">
        <f aca="false">J110-R110</f>
        <v>-0.8</v>
      </c>
      <c r="T110" s="26" t="n">
        <f aca="false">MIN(122.1,(T109+S110))</f>
        <v>114.2</v>
      </c>
      <c r="V110" s="27" t="n">
        <v>596.2</v>
      </c>
      <c r="W110" s="1" t="n">
        <f aca="false">V110/D110</f>
        <v>145.414634146341</v>
      </c>
      <c r="X110" s="1" t="n">
        <f aca="false">X109+V110</f>
        <v>72921.5</v>
      </c>
      <c r="Y110" s="1" t="n">
        <f aca="false">Y109+V110</f>
        <v>13727.9</v>
      </c>
      <c r="AA110" s="47" t="n">
        <v>8.54540192667945</v>
      </c>
    </row>
    <row r="111" customFormat="false" ht="15" hidden="false" customHeight="false" outlineLevel="0" collapsed="false">
      <c r="A111" s="43"/>
      <c r="B111" s="46"/>
      <c r="C111" s="16" t="n">
        <v>41625</v>
      </c>
      <c r="D111" s="31" t="n">
        <v>6</v>
      </c>
      <c r="E111" s="30" t="n">
        <v>-1</v>
      </c>
      <c r="F111" s="1" t="n">
        <v>13.2</v>
      </c>
      <c r="G111" s="1" t="n">
        <f aca="false">G110+D111</f>
        <v>1137.8</v>
      </c>
      <c r="H111" s="1" t="n">
        <f aca="false">H110+D111</f>
        <v>98.4</v>
      </c>
      <c r="J111" s="1" t="n">
        <v>0.2</v>
      </c>
      <c r="K111" s="1" t="n">
        <f aca="false">K110+J111</f>
        <v>259.1</v>
      </c>
      <c r="L111" s="1" t="n">
        <v>0.7</v>
      </c>
      <c r="M111" s="1" t="n">
        <f aca="false">M110+L111</f>
        <v>136.5</v>
      </c>
      <c r="N111" s="19" t="n">
        <f aca="false">J111-L111</f>
        <v>-0.5</v>
      </c>
      <c r="O111" s="25" t="n">
        <f aca="false">O110+N111</f>
        <v>113.7</v>
      </c>
      <c r="P111" s="21" t="n">
        <v>106</v>
      </c>
      <c r="Q111" s="22" t="n">
        <v>1</v>
      </c>
      <c r="R111" s="23" t="n">
        <f aca="false">Q111*L111</f>
        <v>0.7</v>
      </c>
      <c r="S111" s="23" t="n">
        <f aca="false">J111-R111</f>
        <v>-0.5</v>
      </c>
      <c r="T111" s="26" t="n">
        <f aca="false">MIN(122.1,(T110+S111))</f>
        <v>113.7</v>
      </c>
      <c r="V111" s="27" t="n">
        <v>540.6</v>
      </c>
      <c r="W111" s="1" t="n">
        <f aca="false">V111/D111</f>
        <v>90.1</v>
      </c>
      <c r="X111" s="1" t="n">
        <f aca="false">X110+V111</f>
        <v>73462.1</v>
      </c>
      <c r="Y111" s="1" t="n">
        <f aca="false">Y110+V111</f>
        <v>14268.5</v>
      </c>
      <c r="AA111" s="47" t="n">
        <v>8.53668014930008</v>
      </c>
    </row>
    <row r="112" customFormat="false" ht="15" hidden="false" customHeight="false" outlineLevel="0" collapsed="false">
      <c r="A112" s="43"/>
      <c r="B112" s="4"/>
      <c r="C112" s="16" t="n">
        <v>41626</v>
      </c>
      <c r="D112" s="1" t="n">
        <v>8.8</v>
      </c>
      <c r="E112" s="1" t="n">
        <v>6.3</v>
      </c>
      <c r="F112" s="1" t="n">
        <v>11.5</v>
      </c>
      <c r="G112" s="1" t="n">
        <f aca="false">G111+D112</f>
        <v>1146.6</v>
      </c>
      <c r="H112" s="1" t="n">
        <f aca="false">H111+D112</f>
        <v>107.2</v>
      </c>
      <c r="J112" s="1" t="n">
        <v>1.7</v>
      </c>
      <c r="K112" s="1" t="n">
        <f aca="false">K111+J112</f>
        <v>260.8</v>
      </c>
      <c r="L112" s="1" t="n">
        <v>1</v>
      </c>
      <c r="M112" s="1" t="n">
        <f aca="false">M111+L112</f>
        <v>137.5</v>
      </c>
      <c r="N112" s="1" t="n">
        <f aca="false">J112-L112</f>
        <v>0.7</v>
      </c>
      <c r="O112" s="25" t="n">
        <f aca="false">O111+N112</f>
        <v>114.4</v>
      </c>
      <c r="P112" s="21" t="n">
        <v>107</v>
      </c>
      <c r="Q112" s="22" t="n">
        <v>1</v>
      </c>
      <c r="R112" s="23" t="n">
        <f aca="false">Q112*L112</f>
        <v>1</v>
      </c>
      <c r="S112" s="23" t="n">
        <f aca="false">J112-R112</f>
        <v>0.7</v>
      </c>
      <c r="T112" s="26" t="n">
        <f aca="false">MIN(122.1,(T111+S112))</f>
        <v>114.4</v>
      </c>
      <c r="V112" s="27" t="n">
        <v>354.7</v>
      </c>
      <c r="W112" s="1" t="n">
        <f aca="false">V112/D112</f>
        <v>40.3068181818182</v>
      </c>
      <c r="X112" s="1" t="n">
        <f aca="false">X111+V112</f>
        <v>73816.8</v>
      </c>
      <c r="Y112" s="1" t="n">
        <f aca="false">Y111+V112</f>
        <v>14623.2</v>
      </c>
      <c r="AA112" s="47" t="n">
        <v>8.52939899484204</v>
      </c>
    </row>
    <row r="113" customFormat="false" ht="15" hidden="false" customHeight="false" outlineLevel="0" collapsed="false">
      <c r="A113" s="43"/>
      <c r="B113" s="46"/>
      <c r="C113" s="16" t="n">
        <v>41627</v>
      </c>
      <c r="D113" s="1" t="n">
        <v>7.3</v>
      </c>
      <c r="E113" s="31" t="n">
        <v>3.6</v>
      </c>
      <c r="F113" s="1" t="n">
        <v>9.8</v>
      </c>
      <c r="G113" s="1" t="n">
        <f aca="false">G112+D113</f>
        <v>1153.9</v>
      </c>
      <c r="H113" s="1" t="n">
        <f aca="false">H112+D113</f>
        <v>114.5</v>
      </c>
      <c r="J113" s="1" t="n">
        <v>0.3</v>
      </c>
      <c r="K113" s="1" t="n">
        <f aca="false">K112+J113</f>
        <v>261.1</v>
      </c>
      <c r="L113" s="1" t="n">
        <v>0.5</v>
      </c>
      <c r="M113" s="1" t="n">
        <f aca="false">M112+L113</f>
        <v>138</v>
      </c>
      <c r="N113" s="19" t="n">
        <f aca="false">J113-L113</f>
        <v>-0.2</v>
      </c>
      <c r="O113" s="25" t="n">
        <f aca="false">O112+N113</f>
        <v>114.2</v>
      </c>
      <c r="P113" s="21" t="n">
        <v>108</v>
      </c>
      <c r="Q113" s="22" t="n">
        <v>1</v>
      </c>
      <c r="R113" s="23" t="n">
        <f aca="false">Q113*L113</f>
        <v>0.5</v>
      </c>
      <c r="S113" s="23" t="n">
        <f aca="false">J113-R113</f>
        <v>-0.2</v>
      </c>
      <c r="T113" s="26" t="n">
        <f aca="false">MIN(122.1,(T112+S113))</f>
        <v>114.2</v>
      </c>
      <c r="V113" s="27" t="n">
        <v>424.2</v>
      </c>
      <c r="W113" s="1" t="n">
        <f aca="false">V113/D113</f>
        <v>58.1095890410959</v>
      </c>
      <c r="X113" s="1" t="n">
        <f aca="false">X112+V113</f>
        <v>74241</v>
      </c>
      <c r="Y113" s="1" t="n">
        <f aca="false">Y112+V113</f>
        <v>15047.4</v>
      </c>
      <c r="AA113" s="47" t="n">
        <v>8.52356736381719</v>
      </c>
    </row>
    <row r="114" customFormat="false" ht="15" hidden="false" customHeight="false" outlineLevel="0" collapsed="false">
      <c r="A114" s="43"/>
      <c r="B114" s="46"/>
      <c r="C114" s="16" t="n">
        <v>41628</v>
      </c>
      <c r="D114" s="31" t="n">
        <v>3.5</v>
      </c>
      <c r="E114" s="31" t="n">
        <v>2</v>
      </c>
      <c r="F114" s="1" t="n">
        <v>7</v>
      </c>
      <c r="G114" s="1" t="n">
        <f aca="false">G113+D114</f>
        <v>1157.4</v>
      </c>
      <c r="H114" s="1" t="n">
        <f aca="false">H113+D114</f>
        <v>118</v>
      </c>
      <c r="J114" s="1" t="n">
        <v>0</v>
      </c>
      <c r="K114" s="1" t="n">
        <f aca="false">K113+J114</f>
        <v>261.1</v>
      </c>
      <c r="L114" s="1" t="n">
        <v>0.6</v>
      </c>
      <c r="M114" s="1" t="n">
        <f aca="false">M113+L114</f>
        <v>138.6</v>
      </c>
      <c r="N114" s="19" t="n">
        <f aca="false">J114-L114</f>
        <v>-0.6</v>
      </c>
      <c r="O114" s="25" t="n">
        <f aca="false">O113+N114</f>
        <v>113.6</v>
      </c>
      <c r="P114" s="21" t="n">
        <v>109</v>
      </c>
      <c r="Q114" s="22" t="n">
        <v>1</v>
      </c>
      <c r="R114" s="23" t="n">
        <f aca="false">Q114*L114</f>
        <v>0.6</v>
      </c>
      <c r="S114" s="23" t="n">
        <f aca="false">J114-R114</f>
        <v>-0.6</v>
      </c>
      <c r="T114" s="26" t="n">
        <f aca="false">MIN(122.1,(T113+S114))</f>
        <v>113.6</v>
      </c>
      <c r="V114" s="27" t="n">
        <v>590.4</v>
      </c>
      <c r="W114" s="1" t="n">
        <f aca="false">V114/D114</f>
        <v>168.685714285714</v>
      </c>
      <c r="X114" s="1" t="n">
        <f aca="false">X113+V114</f>
        <v>74831.4</v>
      </c>
      <c r="Y114" s="1" t="n">
        <f aca="false">Y113+V114</f>
        <v>15637.8</v>
      </c>
      <c r="AA114" s="47" t="n">
        <v>8.51919252725953</v>
      </c>
    </row>
    <row r="115" customFormat="false" ht="15" hidden="false" customHeight="false" outlineLevel="0" collapsed="false">
      <c r="A115" s="43"/>
      <c r="B115" s="46"/>
      <c r="C115" s="16" t="n">
        <v>41629</v>
      </c>
      <c r="D115" s="31" t="n">
        <v>3</v>
      </c>
      <c r="E115" s="30" t="n">
        <v>-0.4</v>
      </c>
      <c r="F115" s="1" t="n">
        <v>7.3</v>
      </c>
      <c r="G115" s="1" t="n">
        <f aca="false">G114+D115</f>
        <v>1160.4</v>
      </c>
      <c r="H115" s="1" t="n">
        <f aca="false">H114+D115</f>
        <v>121</v>
      </c>
      <c r="J115" s="1" t="n">
        <v>1.1</v>
      </c>
      <c r="K115" s="1" t="n">
        <f aca="false">K114+J115</f>
        <v>262.2</v>
      </c>
      <c r="L115" s="1" t="n">
        <v>0.6</v>
      </c>
      <c r="M115" s="1" t="n">
        <f aca="false">M114+L115</f>
        <v>139.2</v>
      </c>
      <c r="N115" s="1" t="n">
        <f aca="false">J115-L115</f>
        <v>0.5</v>
      </c>
      <c r="O115" s="25" t="n">
        <f aca="false">O114+N115</f>
        <v>114.1</v>
      </c>
      <c r="P115" s="21" t="n">
        <v>110</v>
      </c>
      <c r="Q115" s="22" t="n">
        <v>1</v>
      </c>
      <c r="R115" s="23" t="n">
        <f aca="false">Q115*L115</f>
        <v>0.6</v>
      </c>
      <c r="S115" s="23" t="n">
        <f aca="false">J115-R115</f>
        <v>0.5</v>
      </c>
      <c r="T115" s="26" t="n">
        <f aca="false">MIN(122.1,(T114+S115))</f>
        <v>114.1</v>
      </c>
      <c r="V115" s="27" t="n">
        <v>312.5</v>
      </c>
      <c r="W115" s="1" t="n">
        <f aca="false">V115/D115</f>
        <v>104.166666666667</v>
      </c>
      <c r="X115" s="1" t="n">
        <f aca="false">X114+V115</f>
        <v>75143.9</v>
      </c>
      <c r="Y115" s="1" t="n">
        <f aca="false">Y114+V115</f>
        <v>15950.3</v>
      </c>
      <c r="AA115" s="47" t="n">
        <v>8.51628009623913</v>
      </c>
    </row>
    <row r="116" customFormat="false" ht="15" hidden="false" customHeight="false" outlineLevel="0" collapsed="false">
      <c r="A116" s="43"/>
      <c r="B116" s="46"/>
      <c r="C116" s="16" t="n">
        <v>41630</v>
      </c>
      <c r="D116" s="1" t="n">
        <v>8.7</v>
      </c>
      <c r="E116" s="31" t="n">
        <v>3.6</v>
      </c>
      <c r="F116" s="1" t="n">
        <v>10.3</v>
      </c>
      <c r="G116" s="1" t="n">
        <f aca="false">G115+D116</f>
        <v>1169.1</v>
      </c>
      <c r="H116" s="1" t="n">
        <f aca="false">H115+D116</f>
        <v>129.7</v>
      </c>
      <c r="J116" s="1" t="n">
        <v>1.1</v>
      </c>
      <c r="K116" s="1" t="n">
        <f aca="false">K115+J116</f>
        <v>263.3</v>
      </c>
      <c r="L116" s="1" t="n">
        <v>0.2</v>
      </c>
      <c r="M116" s="1" t="n">
        <f aca="false">M115+L116</f>
        <v>139.4</v>
      </c>
      <c r="N116" s="1" t="n">
        <f aca="false">J116-L116</f>
        <v>0.9</v>
      </c>
      <c r="O116" s="25" t="n">
        <f aca="false">O115+N116</f>
        <v>115</v>
      </c>
      <c r="P116" s="21" t="n">
        <v>111</v>
      </c>
      <c r="Q116" s="22" t="n">
        <v>1</v>
      </c>
      <c r="R116" s="23" t="n">
        <f aca="false">Q116*L116</f>
        <v>0.2</v>
      </c>
      <c r="S116" s="23" t="n">
        <f aca="false">J116-R116</f>
        <v>0.9</v>
      </c>
      <c r="T116" s="26" t="n">
        <f aca="false">MIN(122.1,(T115+S116))</f>
        <v>115</v>
      </c>
      <c r="V116" s="27" t="n">
        <v>254</v>
      </c>
      <c r="W116" s="1" t="n">
        <f aca="false">V116/D116</f>
        <v>29.1954022988506</v>
      </c>
      <c r="X116" s="1" t="n">
        <f aca="false">X115+V116</f>
        <v>75397.9</v>
      </c>
      <c r="Y116" s="1" t="n">
        <f aca="false">Y115+V116</f>
        <v>16204.3</v>
      </c>
      <c r="AA116" s="47" t="n">
        <v>8.51483399818257</v>
      </c>
    </row>
    <row r="117" customFormat="false" ht="15" hidden="false" customHeight="false" outlineLevel="0" collapsed="false">
      <c r="A117" s="43"/>
      <c r="B117" s="4"/>
      <c r="C117" s="16" t="n">
        <v>41631</v>
      </c>
      <c r="D117" s="1" t="n">
        <v>10.4</v>
      </c>
      <c r="E117" s="1" t="n">
        <v>8.7</v>
      </c>
      <c r="F117" s="1" t="n">
        <v>12.9</v>
      </c>
      <c r="G117" s="1" t="n">
        <f aca="false">G116+D117</f>
        <v>1179.5</v>
      </c>
      <c r="H117" s="1" t="n">
        <f aca="false">H116+D117</f>
        <v>140.1</v>
      </c>
      <c r="J117" s="1" t="n">
        <v>1.2</v>
      </c>
      <c r="K117" s="1" t="n">
        <f aca="false">K116+J117</f>
        <v>264.5</v>
      </c>
      <c r="L117" s="1" t="n">
        <v>1.6</v>
      </c>
      <c r="M117" s="1" t="n">
        <f aca="false">M116+L117</f>
        <v>141</v>
      </c>
      <c r="N117" s="19" t="n">
        <f aca="false">J117-L117</f>
        <v>-0.4</v>
      </c>
      <c r="O117" s="25" t="n">
        <f aca="false">O116+N117</f>
        <v>114.6</v>
      </c>
      <c r="P117" s="21" t="n">
        <v>112</v>
      </c>
      <c r="Q117" s="22" t="n">
        <v>1</v>
      </c>
      <c r="R117" s="23" t="n">
        <f aca="false">Q117*L117</f>
        <v>1.6</v>
      </c>
      <c r="S117" s="23" t="n">
        <f aca="false">J117-R117</f>
        <v>-0.4</v>
      </c>
      <c r="T117" s="26" t="n">
        <f aca="false">MIN(122.1,(T116+S117))</f>
        <v>114.6</v>
      </c>
      <c r="V117" s="27" t="n">
        <v>520.5</v>
      </c>
      <c r="W117" s="1" t="n">
        <f aca="false">V117/D117</f>
        <v>50.0480769230769</v>
      </c>
      <c r="X117" s="1" t="n">
        <f aca="false">X116+V117</f>
        <v>75918.4</v>
      </c>
      <c r="Y117" s="1" t="n">
        <f aca="false">Y116+V117</f>
        <v>16724.8</v>
      </c>
      <c r="AA117" s="47" t="n">
        <v>8.51485646020568</v>
      </c>
    </row>
    <row r="118" customFormat="false" ht="15" hidden="false" customHeight="false" outlineLevel="0" collapsed="false">
      <c r="A118" s="43"/>
      <c r="B118" s="4"/>
      <c r="C118" s="16" t="n">
        <v>41632</v>
      </c>
      <c r="D118" s="1" t="n">
        <v>10.9</v>
      </c>
      <c r="E118" s="1" t="n">
        <v>10.3</v>
      </c>
      <c r="F118" s="1" t="n">
        <v>12.1</v>
      </c>
      <c r="G118" s="1" t="n">
        <f aca="false">G117+D118</f>
        <v>1190.4</v>
      </c>
      <c r="H118" s="1" t="n">
        <f aca="false">H117+D118</f>
        <v>151</v>
      </c>
      <c r="J118" s="1" t="n">
        <v>14.4</v>
      </c>
      <c r="K118" s="1" t="n">
        <f aca="false">K117+J118</f>
        <v>278.9</v>
      </c>
      <c r="L118" s="1" t="n">
        <v>1.5</v>
      </c>
      <c r="M118" s="1" t="n">
        <f aca="false">M117+L118</f>
        <v>142.5</v>
      </c>
      <c r="N118" s="1" t="n">
        <f aca="false">J118-L118</f>
        <v>12.9</v>
      </c>
      <c r="O118" s="25" t="n">
        <v>122.1</v>
      </c>
      <c r="P118" s="21" t="n">
        <v>113</v>
      </c>
      <c r="Q118" s="22" t="n">
        <v>1</v>
      </c>
      <c r="R118" s="23" t="n">
        <f aca="false">Q118*L118</f>
        <v>1.5</v>
      </c>
      <c r="S118" s="23" t="n">
        <f aca="false">J118-R118</f>
        <v>12.9</v>
      </c>
      <c r="T118" s="26" t="n">
        <f aca="false">MIN(122.1,(T117+S118))</f>
        <v>122.1</v>
      </c>
      <c r="V118" s="27" t="n">
        <v>105.6</v>
      </c>
      <c r="W118" s="1" t="n">
        <f aca="false">V118/D118</f>
        <v>9.68807339449541</v>
      </c>
      <c r="X118" s="1" t="n">
        <f aca="false">X117+V118</f>
        <v>76024</v>
      </c>
      <c r="Y118" s="1" t="n">
        <f aca="false">Y117+V118</f>
        <v>16830.4</v>
      </c>
      <c r="AA118" s="47" t="n">
        <v>8.51634799960507</v>
      </c>
    </row>
    <row r="119" customFormat="false" ht="15" hidden="false" customHeight="false" outlineLevel="0" collapsed="false">
      <c r="A119" s="43"/>
      <c r="B119" s="4"/>
      <c r="C119" s="16" t="n">
        <v>41633</v>
      </c>
      <c r="D119" s="1" t="n">
        <v>7.2</v>
      </c>
      <c r="E119" s="1" t="n">
        <v>6</v>
      </c>
      <c r="F119" s="1" t="n">
        <v>9.7</v>
      </c>
      <c r="G119" s="1" t="n">
        <f aca="false">G118+D119</f>
        <v>1197.6</v>
      </c>
      <c r="H119" s="1" t="n">
        <f aca="false">H118+D119</f>
        <v>158.2</v>
      </c>
      <c r="J119" s="1" t="n">
        <v>5</v>
      </c>
      <c r="K119" s="1" t="n">
        <f aca="false">K118+J119</f>
        <v>283.9</v>
      </c>
      <c r="L119" s="1" t="n">
        <v>0.8</v>
      </c>
      <c r="M119" s="1" t="n">
        <f aca="false">M118+L119</f>
        <v>143.3</v>
      </c>
      <c r="N119" s="1" t="n">
        <f aca="false">J119-L119</f>
        <v>4.2</v>
      </c>
      <c r="O119" s="25" t="n">
        <v>122.1</v>
      </c>
      <c r="P119" s="21" t="n">
        <v>114</v>
      </c>
      <c r="Q119" s="22" t="n">
        <v>1</v>
      </c>
      <c r="R119" s="23" t="n">
        <f aca="false">Q119*L119</f>
        <v>0.8</v>
      </c>
      <c r="S119" s="23" t="n">
        <f aca="false">J119-R119</f>
        <v>4.2</v>
      </c>
      <c r="T119" s="26" t="n">
        <f aca="false">MIN(122.1,(T118+S119))</f>
        <v>122.1</v>
      </c>
      <c r="V119" s="27" t="n">
        <v>273</v>
      </c>
      <c r="W119" s="1" t="n">
        <f aca="false">V119/D119</f>
        <v>37.9166666666667</v>
      </c>
      <c r="X119" s="1" t="n">
        <f aca="false">X118+V119</f>
        <v>76297</v>
      </c>
      <c r="Y119" s="1" t="n">
        <f aca="false">Y118+V119</f>
        <v>17103.4</v>
      </c>
      <c r="AA119" s="47" t="n">
        <v>8.51930742159178</v>
      </c>
    </row>
    <row r="120" customFormat="false" ht="15" hidden="false" customHeight="false" outlineLevel="0" collapsed="false">
      <c r="A120" s="43"/>
      <c r="B120" s="46"/>
      <c r="C120" s="16" t="n">
        <v>41634</v>
      </c>
      <c r="D120" s="31" t="n">
        <v>4.8</v>
      </c>
      <c r="E120" s="31" t="n">
        <v>3.1</v>
      </c>
      <c r="F120" s="1" t="n">
        <v>7.7</v>
      </c>
      <c r="G120" s="1" t="n">
        <f aca="false">G119+D120</f>
        <v>1202.4</v>
      </c>
      <c r="H120" s="1" t="n">
        <f aca="false">H119+D120</f>
        <v>163</v>
      </c>
      <c r="J120" s="1" t="n">
        <v>0.4</v>
      </c>
      <c r="K120" s="1" t="n">
        <f aca="false">K119+J120</f>
        <v>284.3</v>
      </c>
      <c r="L120" s="1" t="n">
        <v>0.6</v>
      </c>
      <c r="M120" s="1" t="n">
        <f aca="false">M119+L120</f>
        <v>143.9</v>
      </c>
      <c r="N120" s="19" t="n">
        <f aca="false">J120-L120</f>
        <v>-0.2</v>
      </c>
      <c r="O120" s="25" t="n">
        <f aca="false">O119+N120</f>
        <v>121.9</v>
      </c>
      <c r="P120" s="21" t="n">
        <v>115</v>
      </c>
      <c r="Q120" s="22" t="n">
        <v>1</v>
      </c>
      <c r="R120" s="23" t="n">
        <f aca="false">Q120*L120</f>
        <v>0.6</v>
      </c>
      <c r="S120" s="23" t="n">
        <f aca="false">J120-R120</f>
        <v>-0.2</v>
      </c>
      <c r="T120" s="26" t="n">
        <f aca="false">MIN(122.1,(T119+S120))</f>
        <v>121.9</v>
      </c>
      <c r="V120" s="27" t="n">
        <v>395.8</v>
      </c>
      <c r="W120" s="1" t="n">
        <f aca="false">V120/D120</f>
        <v>82.4583333333333</v>
      </c>
      <c r="X120" s="1" t="n">
        <f aca="false">X119+V120</f>
        <v>76692.8</v>
      </c>
      <c r="Y120" s="1" t="n">
        <f aca="false">Y119+V120</f>
        <v>17499.2</v>
      </c>
      <c r="AA120" s="47" t="n">
        <v>8.52373182428742</v>
      </c>
    </row>
    <row r="121" customFormat="false" ht="15" hidden="false" customHeight="false" outlineLevel="0" collapsed="false">
      <c r="A121" s="43"/>
      <c r="B121" s="46"/>
      <c r="C121" s="16" t="n">
        <v>41635</v>
      </c>
      <c r="D121" s="1" t="n">
        <v>9.8</v>
      </c>
      <c r="E121" s="31" t="n">
        <v>3.2</v>
      </c>
      <c r="F121" s="1" t="n">
        <v>11.7</v>
      </c>
      <c r="G121" s="1" t="n">
        <f aca="false">G120+D121</f>
        <v>1212.2</v>
      </c>
      <c r="H121" s="1" t="n">
        <f aca="false">H120+D121</f>
        <v>172.8</v>
      </c>
      <c r="J121" s="1" t="n">
        <v>4.8</v>
      </c>
      <c r="K121" s="1" t="n">
        <f aca="false">K120+J121</f>
        <v>289.1</v>
      </c>
      <c r="L121" s="1" t="n">
        <v>0.2</v>
      </c>
      <c r="M121" s="1" t="n">
        <f aca="false">M120+L121</f>
        <v>144.1</v>
      </c>
      <c r="N121" s="1" t="n">
        <f aca="false">J121-L121</f>
        <v>4.6</v>
      </c>
      <c r="O121" s="25" t="n">
        <v>122.1</v>
      </c>
      <c r="P121" s="21" t="n">
        <v>116</v>
      </c>
      <c r="Q121" s="22" t="n">
        <v>1</v>
      </c>
      <c r="R121" s="23" t="n">
        <f aca="false">Q121*L121</f>
        <v>0.2</v>
      </c>
      <c r="S121" s="23" t="n">
        <f aca="false">J121-R121</f>
        <v>4.6</v>
      </c>
      <c r="T121" s="26" t="n">
        <f aca="false">MIN(122.1,(T120+S121))</f>
        <v>122.1</v>
      </c>
      <c r="V121" s="27" t="n">
        <v>234.8</v>
      </c>
      <c r="W121" s="1" t="n">
        <f aca="false">V121/D121</f>
        <v>23.9591836734694</v>
      </c>
      <c r="X121" s="1" t="n">
        <f aca="false">X120+V121</f>
        <v>76927.6</v>
      </c>
      <c r="Y121" s="1" t="n">
        <f aca="false">Y120+V121</f>
        <v>17734</v>
      </c>
      <c r="AA121" s="47" t="n">
        <v>8.52961661093876</v>
      </c>
    </row>
    <row r="122" customFormat="false" ht="15" hidden="false" customHeight="false" outlineLevel="0" collapsed="false">
      <c r="A122" s="43"/>
      <c r="B122" s="46"/>
      <c r="C122" s="16" t="n">
        <v>41636</v>
      </c>
      <c r="D122" s="1" t="n">
        <v>8</v>
      </c>
      <c r="E122" s="31" t="n">
        <v>4.7</v>
      </c>
      <c r="F122" s="1" t="n">
        <v>10.2</v>
      </c>
      <c r="G122" s="1" t="n">
        <f aca="false">G121+D122</f>
        <v>1220.2</v>
      </c>
      <c r="H122" s="1" t="n">
        <f aca="false">H121+D122</f>
        <v>180.8</v>
      </c>
      <c r="J122" s="1" t="n">
        <v>0.9</v>
      </c>
      <c r="K122" s="1" t="n">
        <f aca="false">K121+J122</f>
        <v>290</v>
      </c>
      <c r="L122" s="1" t="n">
        <v>0.5</v>
      </c>
      <c r="M122" s="1" t="n">
        <f aca="false">M121+L122</f>
        <v>144.6</v>
      </c>
      <c r="N122" s="1" t="n">
        <f aca="false">J122-L122</f>
        <v>0.4</v>
      </c>
      <c r="O122" s="25" t="n">
        <v>122.1</v>
      </c>
      <c r="P122" s="21" t="n">
        <v>117</v>
      </c>
      <c r="Q122" s="22" t="n">
        <v>1</v>
      </c>
      <c r="R122" s="23" t="n">
        <f aca="false">Q122*L122</f>
        <v>0.5</v>
      </c>
      <c r="S122" s="23" t="n">
        <f aca="false">J122-R122</f>
        <v>0.4</v>
      </c>
      <c r="T122" s="26" t="n">
        <f aca="false">MIN(122.1,(T121+S122))</f>
        <v>122.1</v>
      </c>
      <c r="V122" s="27" t="n">
        <v>193.2</v>
      </c>
      <c r="W122" s="1" t="n">
        <f aca="false">V122/D122</f>
        <v>24.15</v>
      </c>
      <c r="X122" s="1" t="n">
        <f aca="false">X121+V122</f>
        <v>77120.8</v>
      </c>
      <c r="Y122" s="1" t="n">
        <f aca="false">Y121+V122</f>
        <v>17927.2</v>
      </c>
      <c r="AA122" s="47" t="n">
        <v>8.53695550924386</v>
      </c>
    </row>
    <row r="123" customFormat="false" ht="15" hidden="false" customHeight="false" outlineLevel="0" collapsed="false">
      <c r="A123" s="43"/>
      <c r="B123" s="46"/>
      <c r="C123" s="16" t="n">
        <v>41637</v>
      </c>
      <c r="D123" s="31" t="n">
        <v>4.4</v>
      </c>
      <c r="E123" s="31" t="n">
        <v>3.5</v>
      </c>
      <c r="F123" s="1" t="n">
        <v>7.1</v>
      </c>
      <c r="G123" s="1" t="n">
        <f aca="false">G122+D123</f>
        <v>1224.6</v>
      </c>
      <c r="H123" s="1" t="n">
        <f aca="false">H122+D123</f>
        <v>185.2</v>
      </c>
      <c r="J123" s="1" t="n">
        <v>0</v>
      </c>
      <c r="K123" s="1" t="n">
        <f aca="false">K122+J123</f>
        <v>290</v>
      </c>
      <c r="L123" s="1" t="n">
        <v>0.6</v>
      </c>
      <c r="M123" s="1" t="n">
        <f aca="false">M122+L123</f>
        <v>145.2</v>
      </c>
      <c r="N123" s="19" t="n">
        <f aca="false">J123-L123</f>
        <v>-0.6</v>
      </c>
      <c r="O123" s="25" t="n">
        <f aca="false">O122+N123</f>
        <v>121.5</v>
      </c>
      <c r="P123" s="21" t="n">
        <v>118</v>
      </c>
      <c r="Q123" s="22" t="n">
        <v>1</v>
      </c>
      <c r="R123" s="23" t="n">
        <f aca="false">Q123*L123</f>
        <v>0.6</v>
      </c>
      <c r="S123" s="23" t="n">
        <f aca="false">J123-R123</f>
        <v>-0.6</v>
      </c>
      <c r="T123" s="26" t="n">
        <f aca="false">MIN(122.1,(T122+S123))</f>
        <v>121.5</v>
      </c>
      <c r="V123" s="27" t="n">
        <v>214.9</v>
      </c>
      <c r="W123" s="1" t="n">
        <f aca="false">V123/D123</f>
        <v>48.8409090909091</v>
      </c>
      <c r="X123" s="1" t="n">
        <f aca="false">X122+V123</f>
        <v>77335.7</v>
      </c>
      <c r="Y123" s="1" t="n">
        <f aca="false">Y122+V123</f>
        <v>18142.1</v>
      </c>
      <c r="AA123" s="47" t="n">
        <v>8.54574059762076</v>
      </c>
    </row>
    <row r="124" customFormat="false" ht="15" hidden="false" customHeight="false" outlineLevel="0" collapsed="false">
      <c r="A124" s="43"/>
      <c r="B124" s="46"/>
      <c r="C124" s="16" t="n">
        <v>41638</v>
      </c>
      <c r="D124" s="31" t="n">
        <v>4.7</v>
      </c>
      <c r="E124" s="31" t="n">
        <v>1.2</v>
      </c>
      <c r="F124" s="1" t="n">
        <v>7.4</v>
      </c>
      <c r="G124" s="1" t="n">
        <f aca="false">G123+D124</f>
        <v>1229.3</v>
      </c>
      <c r="H124" s="1" t="n">
        <f aca="false">H123+D124</f>
        <v>189.9</v>
      </c>
      <c r="J124" s="1" t="n">
        <v>0.3</v>
      </c>
      <c r="K124" s="1" t="n">
        <f aca="false">K123+J124</f>
        <v>290.3</v>
      </c>
      <c r="L124" s="1" t="n">
        <v>0.4</v>
      </c>
      <c r="M124" s="1" t="n">
        <f aca="false">M123+L124</f>
        <v>145.6</v>
      </c>
      <c r="N124" s="19" t="n">
        <f aca="false">J124-L124</f>
        <v>-0.1</v>
      </c>
      <c r="O124" s="25" t="n">
        <f aca="false">O123+N124</f>
        <v>121.4</v>
      </c>
      <c r="P124" s="21" t="n">
        <v>119</v>
      </c>
      <c r="Q124" s="22" t="n">
        <v>1</v>
      </c>
      <c r="R124" s="23" t="n">
        <f aca="false">Q124*L124</f>
        <v>0.4</v>
      </c>
      <c r="S124" s="23" t="n">
        <f aca="false">J124-R124</f>
        <v>-0.1</v>
      </c>
      <c r="T124" s="26" t="n">
        <f aca="false">MIN(122.1,(T123+S124))</f>
        <v>121.4</v>
      </c>
      <c r="V124" s="27" t="n">
        <v>236.8</v>
      </c>
      <c r="W124" s="1" t="n">
        <f aca="false">V124/D124</f>
        <v>50.3829787234043</v>
      </c>
      <c r="X124" s="1" t="n">
        <f aca="false">X123+V124</f>
        <v>77572.5</v>
      </c>
      <c r="Y124" s="1" t="n">
        <f aca="false">Y123+V124</f>
        <v>18378.9</v>
      </c>
      <c r="AA124" s="47" t="n">
        <v>8.55596233819118</v>
      </c>
    </row>
    <row r="125" customFormat="false" ht="15" hidden="false" customHeight="false" outlineLevel="0" collapsed="false">
      <c r="A125" s="43"/>
      <c r="B125" s="46"/>
      <c r="C125" s="16" t="n">
        <v>41639</v>
      </c>
      <c r="D125" s="1" t="n">
        <v>7.5</v>
      </c>
      <c r="E125" s="31" t="n">
        <v>4.1</v>
      </c>
      <c r="F125" s="1" t="n">
        <v>10.7</v>
      </c>
      <c r="G125" s="1" t="n">
        <f aca="false">G124+D125</f>
        <v>1236.8</v>
      </c>
      <c r="H125" s="1" t="n">
        <f aca="false">H124+D125</f>
        <v>197.4</v>
      </c>
      <c r="J125" s="1" t="n">
        <v>2</v>
      </c>
      <c r="K125" s="1" t="n">
        <f aca="false">K124+J125</f>
        <v>292.3</v>
      </c>
      <c r="L125" s="1" t="n">
        <v>1.3</v>
      </c>
      <c r="M125" s="1" t="n">
        <f aca="false">M124+L125</f>
        <v>146.9</v>
      </c>
      <c r="N125" s="1" t="n">
        <f aca="false">J125-L125</f>
        <v>0.7</v>
      </c>
      <c r="O125" s="25" t="n">
        <f aca="false">O124+N125</f>
        <v>122.1</v>
      </c>
      <c r="P125" s="21" t="n">
        <v>120</v>
      </c>
      <c r="Q125" s="22" t="n">
        <v>1</v>
      </c>
      <c r="R125" s="23" t="n">
        <f aca="false">Q125*L125</f>
        <v>1.3</v>
      </c>
      <c r="S125" s="23" t="n">
        <f aca="false">J125-R125</f>
        <v>0.7</v>
      </c>
      <c r="T125" s="26" t="n">
        <f aca="false">MIN(122.1,(T124+S125))</f>
        <v>122.1</v>
      </c>
      <c r="V125" s="27" t="n">
        <v>316.9</v>
      </c>
      <c r="W125" s="1" t="n">
        <f aca="false">V125/D125</f>
        <v>42.2533333333333</v>
      </c>
      <c r="X125" s="1" t="n">
        <f aca="false">X124+V125</f>
        <v>77889.4</v>
      </c>
      <c r="Y125" s="1" t="n">
        <f aca="false">Y124+V125</f>
        <v>18695.8</v>
      </c>
      <c r="AA125" s="47" t="n">
        <v>8.56760961619537</v>
      </c>
    </row>
    <row r="126" customFormat="false" ht="15" hidden="false" customHeight="false" outlineLevel="0" collapsed="false">
      <c r="A126" s="43"/>
      <c r="B126" s="4"/>
      <c r="C126" s="16" t="n">
        <v>41640</v>
      </c>
      <c r="D126" s="1" t="n">
        <v>9.3</v>
      </c>
      <c r="E126" s="1" t="n">
        <v>6.9</v>
      </c>
      <c r="F126" s="1" t="n">
        <v>11.1</v>
      </c>
      <c r="G126" s="1" t="n">
        <f aca="false">G125+D126</f>
        <v>1246.1</v>
      </c>
      <c r="H126" s="1" t="n">
        <f aca="false">H125+D126</f>
        <v>206.7</v>
      </c>
      <c r="J126" s="1" t="n">
        <v>9.1</v>
      </c>
      <c r="K126" s="1" t="n">
        <f aca="false">K125+J126</f>
        <v>301.4</v>
      </c>
      <c r="L126" s="1" t="n">
        <v>0.9</v>
      </c>
      <c r="M126" s="1" t="n">
        <f aca="false">M125+L126</f>
        <v>147.8</v>
      </c>
      <c r="N126" s="1" t="n">
        <f aca="false">J126-L126</f>
        <v>8.2</v>
      </c>
      <c r="O126" s="25" t="n">
        <v>122.1</v>
      </c>
      <c r="P126" s="21" t="n">
        <v>121</v>
      </c>
      <c r="Q126" s="22" t="n">
        <v>1</v>
      </c>
      <c r="R126" s="23" t="n">
        <f aca="false">Q126*L126</f>
        <v>0.9</v>
      </c>
      <c r="S126" s="23" t="n">
        <f aca="false">J126-R126</f>
        <v>8.2</v>
      </c>
      <c r="T126" s="26" t="n">
        <f aca="false">MIN(122.1,(T125+S126))</f>
        <v>122.1</v>
      </c>
      <c r="V126" s="27" t="n">
        <v>247.6</v>
      </c>
      <c r="W126" s="1" t="n">
        <f aca="false">V126/D126</f>
        <v>26.6236559139785</v>
      </c>
      <c r="X126" s="1" t="n">
        <f aca="false">X125+V126</f>
        <v>78137</v>
      </c>
      <c r="Y126" s="1" t="n">
        <f aca="false">Y125+V126</f>
        <v>18943.4</v>
      </c>
      <c r="AA126" s="47" t="n">
        <v>8.58488214270988</v>
      </c>
    </row>
    <row r="127" s="110" customFormat="true" ht="15" hidden="false" customHeight="false" outlineLevel="0" collapsed="false">
      <c r="A127" s="43"/>
      <c r="B127" s="112"/>
      <c r="C127" s="109" t="n">
        <v>41641</v>
      </c>
      <c r="D127" s="110" t="n">
        <v>9.8</v>
      </c>
      <c r="E127" s="110" t="n">
        <v>9.4</v>
      </c>
      <c r="F127" s="110" t="n">
        <v>11.1</v>
      </c>
      <c r="G127" s="98" t="n">
        <f aca="false">G126+D127</f>
        <v>1255.9</v>
      </c>
      <c r="H127" s="98" t="n">
        <f aca="false">H126+D127</f>
        <v>216.5</v>
      </c>
      <c r="J127" s="110" t="n">
        <v>1.8</v>
      </c>
      <c r="K127" s="110" t="n">
        <f aca="false">K126+J127</f>
        <v>303.2</v>
      </c>
      <c r="L127" s="110" t="n">
        <v>1</v>
      </c>
      <c r="M127" s="110" t="n">
        <f aca="false">M126+L127</f>
        <v>148.8</v>
      </c>
      <c r="N127" s="110" t="n">
        <f aca="false">J127-L127</f>
        <v>0.8</v>
      </c>
      <c r="O127" s="100" t="n">
        <v>122.1</v>
      </c>
      <c r="P127" s="21" t="n">
        <v>122</v>
      </c>
      <c r="Q127" s="22" t="n">
        <v>1</v>
      </c>
      <c r="R127" s="101" t="n">
        <f aca="false">Q127*L127</f>
        <v>1</v>
      </c>
      <c r="S127" s="23" t="n">
        <f aca="false">J127-R127</f>
        <v>0.8</v>
      </c>
      <c r="T127" s="26" t="n">
        <f aca="false">MIN(122.1,(T126+S127))</f>
        <v>122.1</v>
      </c>
      <c r="V127" s="111" t="n">
        <v>381.4</v>
      </c>
      <c r="W127" s="110" t="n">
        <f aca="false">V127/D127</f>
        <v>38.9183673469388</v>
      </c>
      <c r="X127" s="110" t="n">
        <f aca="false">X126+V127</f>
        <v>78518.4</v>
      </c>
      <c r="Y127" s="110" t="n">
        <f aca="false">Y126+V127</f>
        <v>19324.8</v>
      </c>
      <c r="AA127" s="113" t="n">
        <v>8.59975977752967</v>
      </c>
    </row>
    <row r="128" customFormat="false" ht="15" hidden="false" customHeight="true" outlineLevel="0" collapsed="false">
      <c r="A128" s="114" t="s">
        <v>46</v>
      </c>
      <c r="B128" s="51"/>
      <c r="C128" s="16" t="n">
        <v>41642</v>
      </c>
      <c r="D128" s="1" t="n">
        <v>10.3</v>
      </c>
      <c r="E128" s="1" t="n">
        <v>8.6</v>
      </c>
      <c r="F128" s="1" t="n">
        <v>13.1</v>
      </c>
      <c r="G128" s="1" t="n">
        <f aca="false">G127+D128</f>
        <v>1266.2</v>
      </c>
      <c r="H128" s="1" t="n">
        <v>10.3</v>
      </c>
      <c r="I128" s="52" t="s">
        <v>28</v>
      </c>
      <c r="J128" s="1" t="n">
        <v>0.4</v>
      </c>
      <c r="K128" s="1" t="n">
        <f aca="false">K127+J128</f>
        <v>303.6</v>
      </c>
      <c r="L128" s="1" t="n">
        <v>1.2</v>
      </c>
      <c r="M128" s="1" t="n">
        <f aca="false">M127+L128</f>
        <v>150</v>
      </c>
      <c r="N128" s="19" t="n">
        <f aca="false">J128-L128</f>
        <v>-0.8</v>
      </c>
      <c r="O128" s="25" t="n">
        <f aca="false">O127+N128</f>
        <v>121.3</v>
      </c>
      <c r="P128" s="21" t="n">
        <v>123</v>
      </c>
      <c r="Q128" s="53" t="n">
        <f aca="false">1+((P128-122)/74)*(1.15-1)</f>
        <v>1.00202702702703</v>
      </c>
      <c r="R128" s="23" t="n">
        <f aca="false">Q128*L128</f>
        <v>1.20243243243243</v>
      </c>
      <c r="S128" s="23" t="n">
        <f aca="false">J128-R128</f>
        <v>-0.802432432432433</v>
      </c>
      <c r="T128" s="26" t="n">
        <f aca="false">MIN(122.1,(T127+S128))</f>
        <v>121.297567567568</v>
      </c>
      <c r="U128" s="52" t="s">
        <v>29</v>
      </c>
      <c r="V128" s="27" t="n">
        <v>304.2</v>
      </c>
      <c r="W128" s="1" t="n">
        <f aca="false">V128/D128</f>
        <v>29.5339805825243</v>
      </c>
      <c r="X128" s="1" t="n">
        <f aca="false">X127+V128</f>
        <v>78822.6</v>
      </c>
      <c r="Y128" s="1" t="n">
        <v>304.2</v>
      </c>
      <c r="Z128" s="52" t="s">
        <v>30</v>
      </c>
      <c r="AA128" s="47" t="n">
        <v>8.61601566945092</v>
      </c>
    </row>
    <row r="129" customFormat="false" ht="15" hidden="false" customHeight="false" outlineLevel="0" collapsed="false">
      <c r="A129" s="114"/>
      <c r="B129" s="51"/>
      <c r="C129" s="16" t="n">
        <v>41643</v>
      </c>
      <c r="D129" s="1" t="n">
        <v>8.2</v>
      </c>
      <c r="E129" s="1" t="n">
        <v>6.7</v>
      </c>
      <c r="F129" s="1" t="n">
        <v>13.8</v>
      </c>
      <c r="G129" s="1" t="n">
        <f aca="false">G128+D129</f>
        <v>1274.4</v>
      </c>
      <c r="H129" s="1" t="n">
        <f aca="false">H128+D129</f>
        <v>18.5</v>
      </c>
      <c r="I129" s="1" t="n">
        <f aca="false">MIN(E128:E201)</f>
        <v>-1.6</v>
      </c>
      <c r="J129" s="1" t="n">
        <v>6.6</v>
      </c>
      <c r="K129" s="1" t="n">
        <f aca="false">K128+J129</f>
        <v>310.2</v>
      </c>
      <c r="L129" s="1" t="n">
        <v>1.6</v>
      </c>
      <c r="M129" s="1" t="n">
        <f aca="false">M128+L129</f>
        <v>151.6</v>
      </c>
      <c r="N129" s="1" t="n">
        <f aca="false">J129-L129</f>
        <v>5</v>
      </c>
      <c r="O129" s="25" t="n">
        <v>122.1</v>
      </c>
      <c r="P129" s="21" t="n">
        <v>124</v>
      </c>
      <c r="Q129" s="53" t="n">
        <f aca="false">1+((P129-122)/74)*(1.15-1)</f>
        <v>1.00405405405405</v>
      </c>
      <c r="R129" s="23" t="n">
        <f aca="false">Q129*L129</f>
        <v>1.60648648648649</v>
      </c>
      <c r="S129" s="23" t="n">
        <f aca="false">J129-R129</f>
        <v>4.99351351351351</v>
      </c>
      <c r="T129" s="26" t="n">
        <f aca="false">MIN(122.1,(T128+S129))</f>
        <v>122.1</v>
      </c>
      <c r="U129" s="1" t="n">
        <v>40</v>
      </c>
      <c r="V129" s="27" t="n">
        <v>445.5</v>
      </c>
      <c r="W129" s="1" t="n">
        <f aca="false">V129/D129</f>
        <v>54.3292682926829</v>
      </c>
      <c r="X129" s="1" t="n">
        <f aca="false">X128+V129</f>
        <v>79268.1</v>
      </c>
      <c r="Y129" s="1" t="n">
        <f aca="false">Y128+V129</f>
        <v>749.7</v>
      </c>
      <c r="Z129" s="1" t="n">
        <v>49161.8</v>
      </c>
      <c r="AA129" s="47" t="n">
        <v>8.63363250830135</v>
      </c>
    </row>
    <row r="130" customFormat="false" ht="15" hidden="false" customHeight="false" outlineLevel="0" collapsed="false">
      <c r="A130" s="114"/>
      <c r="B130" s="54"/>
      <c r="C130" s="16" t="n">
        <v>41644</v>
      </c>
      <c r="D130" s="1" t="n">
        <v>7.2</v>
      </c>
      <c r="E130" s="31" t="n">
        <v>3.7</v>
      </c>
      <c r="F130" s="1" t="n">
        <v>9.3</v>
      </c>
      <c r="G130" s="1" t="n">
        <f aca="false">G129+D130</f>
        <v>1281.6</v>
      </c>
      <c r="H130" s="1" t="n">
        <f aca="false">H129+D130</f>
        <v>25.7</v>
      </c>
      <c r="I130" s="52" t="s">
        <v>31</v>
      </c>
      <c r="J130" s="1" t="n">
        <v>0.5</v>
      </c>
      <c r="K130" s="1" t="n">
        <f aca="false">K129+J130</f>
        <v>310.7</v>
      </c>
      <c r="L130" s="1" t="n">
        <v>0.4</v>
      </c>
      <c r="M130" s="1" t="n">
        <f aca="false">M129+L130</f>
        <v>152</v>
      </c>
      <c r="N130" s="1" t="n">
        <f aca="false">J130-L130</f>
        <v>0.1</v>
      </c>
      <c r="O130" s="25" t="n">
        <v>122.1</v>
      </c>
      <c r="P130" s="21" t="n">
        <v>125</v>
      </c>
      <c r="Q130" s="53" t="n">
        <f aca="false">1+((P130-122)/74)*(1.15-1)</f>
        <v>1.00608108108108</v>
      </c>
      <c r="R130" s="23" t="n">
        <f aca="false">Q130*L130</f>
        <v>0.402432432432433</v>
      </c>
      <c r="S130" s="23" t="n">
        <f aca="false">J130-R130</f>
        <v>0.0975675675675675</v>
      </c>
      <c r="T130" s="26" t="n">
        <f aca="false">MIN(122.1,(T129+S130))</f>
        <v>122.1</v>
      </c>
      <c r="U130" s="52" t="s">
        <v>32</v>
      </c>
      <c r="V130" s="27" t="n">
        <v>350.9</v>
      </c>
      <c r="W130" s="1" t="n">
        <f aca="false">V130/D130</f>
        <v>48.7361111111111</v>
      </c>
      <c r="X130" s="1" t="n">
        <f aca="false">X129+V130</f>
        <v>79619</v>
      </c>
      <c r="Y130" s="1" t="n">
        <f aca="false">Y129+V130</f>
        <v>1100.6</v>
      </c>
      <c r="Z130" s="52" t="s">
        <v>33</v>
      </c>
      <c r="AA130" s="47" t="n">
        <v>8.65259170790076</v>
      </c>
    </row>
    <row r="131" customFormat="false" ht="15" hidden="false" customHeight="false" outlineLevel="0" collapsed="false">
      <c r="A131" s="114"/>
      <c r="B131" s="51"/>
      <c r="C131" s="16" t="n">
        <v>41645</v>
      </c>
      <c r="D131" s="1" t="n">
        <v>11.1</v>
      </c>
      <c r="E131" s="1" t="n">
        <v>8.5</v>
      </c>
      <c r="F131" s="1" t="n">
        <v>13.2</v>
      </c>
      <c r="G131" s="1" t="n">
        <f aca="false">G130+D131</f>
        <v>1292.7</v>
      </c>
      <c r="H131" s="1" t="n">
        <f aca="false">H130+D131</f>
        <v>36.8</v>
      </c>
      <c r="I131" s="1" t="n">
        <f aca="false">MAX(F128:F201)</f>
        <v>18.8</v>
      </c>
      <c r="J131" s="1" t="n">
        <v>0.8</v>
      </c>
      <c r="K131" s="1" t="n">
        <f aca="false">K130+J131</f>
        <v>311.5</v>
      </c>
      <c r="L131" s="1" t="n">
        <v>0.9</v>
      </c>
      <c r="M131" s="1" t="n">
        <f aca="false">M130+L131</f>
        <v>152.9</v>
      </c>
      <c r="N131" s="19" t="n">
        <f aca="false">J131-L131</f>
        <v>-0.1</v>
      </c>
      <c r="O131" s="25" t="n">
        <f aca="false">O130+N131</f>
        <v>122</v>
      </c>
      <c r="P131" s="21" t="n">
        <v>126</v>
      </c>
      <c r="Q131" s="53" t="n">
        <f aca="false">1+((P131-122)/74)*(1.15-1)</f>
        <v>1.00810810810811</v>
      </c>
      <c r="R131" s="23" t="n">
        <f aca="false">Q131*L131</f>
        <v>0.907297297297297</v>
      </c>
      <c r="S131" s="23" t="n">
        <f aca="false">J131-R131</f>
        <v>-0.107297297297297</v>
      </c>
      <c r="T131" s="26" t="n">
        <f aca="false">MIN(122.1,(T130+S131))</f>
        <v>121.992702702703</v>
      </c>
      <c r="U131" s="1" t="n">
        <v>0</v>
      </c>
      <c r="V131" s="27" t="n">
        <v>167.7</v>
      </c>
      <c r="W131" s="1" t="n">
        <f aca="false">V131/D131</f>
        <v>15.1081081081081</v>
      </c>
      <c r="X131" s="1" t="n">
        <f aca="false">X130+V131</f>
        <v>79786.7</v>
      </c>
      <c r="Y131" s="1" t="n">
        <f aca="false">Y130+V131</f>
        <v>1268.3</v>
      </c>
      <c r="Z131" s="55" t="n">
        <f aca="false">(Z129/100)/I141</f>
        <v>0.95850653148762</v>
      </c>
      <c r="AA131" s="47" t="n">
        <v>8.67287347664025</v>
      </c>
    </row>
    <row r="132" customFormat="false" ht="15" hidden="false" customHeight="false" outlineLevel="0" collapsed="false">
      <c r="A132" s="114"/>
      <c r="B132" s="51"/>
      <c r="C132" s="16" t="n">
        <v>41646</v>
      </c>
      <c r="D132" s="1" t="n">
        <v>11.2</v>
      </c>
      <c r="E132" s="1" t="n">
        <v>9.9</v>
      </c>
      <c r="F132" s="1" t="n">
        <v>12.5</v>
      </c>
      <c r="G132" s="1" t="n">
        <f aca="false">G131+D132</f>
        <v>1303.9</v>
      </c>
      <c r="H132" s="1" t="n">
        <f aca="false">H131+D132</f>
        <v>48</v>
      </c>
      <c r="I132" s="52" t="s">
        <v>34</v>
      </c>
      <c r="J132" s="1" t="n">
        <v>0.5</v>
      </c>
      <c r="K132" s="1" t="n">
        <f aca="false">K131+J132</f>
        <v>312</v>
      </c>
      <c r="L132" s="1" t="n">
        <v>0.8</v>
      </c>
      <c r="M132" s="1" t="n">
        <f aca="false">M131+L132</f>
        <v>153.7</v>
      </c>
      <c r="N132" s="19" t="n">
        <f aca="false">J132-L132</f>
        <v>-0.3</v>
      </c>
      <c r="O132" s="25" t="n">
        <f aca="false">O131+N132</f>
        <v>121.7</v>
      </c>
      <c r="P132" s="21" t="n">
        <v>127</v>
      </c>
      <c r="Q132" s="53" t="n">
        <f aca="false">1+((P132-122)/74)*(1.15-1)</f>
        <v>1.01013513513514</v>
      </c>
      <c r="R132" s="23" t="n">
        <f aca="false">Q132*L132</f>
        <v>0.808108108108108</v>
      </c>
      <c r="S132" s="23" t="n">
        <f aca="false">J132-R132</f>
        <v>-0.308108108108108</v>
      </c>
      <c r="T132" s="26" t="n">
        <f aca="false">MIN(122.1,(T131+S132))</f>
        <v>121.684594594595</v>
      </c>
      <c r="U132" s="52" t="s">
        <v>35</v>
      </c>
      <c r="V132" s="27" t="n">
        <v>249.3</v>
      </c>
      <c r="W132" s="1" t="n">
        <f aca="false">V132/D132</f>
        <v>22.2589285714286</v>
      </c>
      <c r="X132" s="1" t="n">
        <f aca="false">X131+V132</f>
        <v>80036</v>
      </c>
      <c r="Y132" s="1" t="n">
        <f aca="false">Y131+V132</f>
        <v>1517.6</v>
      </c>
      <c r="Z132" s="52" t="s">
        <v>36</v>
      </c>
      <c r="AA132" s="47" t="n">
        <v>8.69445689120688</v>
      </c>
    </row>
    <row r="133" customFormat="false" ht="15" hidden="false" customHeight="false" outlineLevel="0" collapsed="false">
      <c r="A133" s="114"/>
      <c r="B133" s="51"/>
      <c r="C133" s="16" t="n">
        <v>41647</v>
      </c>
      <c r="D133" s="1" t="n">
        <v>10.5</v>
      </c>
      <c r="E133" s="1" t="n">
        <v>8.3</v>
      </c>
      <c r="F133" s="1" t="n">
        <v>12.9</v>
      </c>
      <c r="G133" s="1" t="n">
        <f aca="false">G132+D133</f>
        <v>1314.4</v>
      </c>
      <c r="H133" s="1" t="n">
        <f aca="false">H132+D133</f>
        <v>58.5</v>
      </c>
      <c r="I133" s="29" t="n">
        <f aca="false">AVERAGE(D128:D201)</f>
        <v>6.93108108108108</v>
      </c>
      <c r="J133" s="1" t="n">
        <v>0</v>
      </c>
      <c r="K133" s="1" t="n">
        <f aca="false">K132+J133</f>
        <v>312</v>
      </c>
      <c r="L133" s="1" t="n">
        <v>0.6</v>
      </c>
      <c r="M133" s="1" t="n">
        <f aca="false">M132+L133</f>
        <v>154.3</v>
      </c>
      <c r="N133" s="19" t="n">
        <f aca="false">J133-L133</f>
        <v>-0.6</v>
      </c>
      <c r="O133" s="25" t="n">
        <f aca="false">O132+N133</f>
        <v>121.1</v>
      </c>
      <c r="P133" s="21" t="n">
        <v>128</v>
      </c>
      <c r="Q133" s="53" t="n">
        <f aca="false">1+((P133-122)/74)*(1.15-1)</f>
        <v>1.01216216216216</v>
      </c>
      <c r="R133" s="23" t="n">
        <f aca="false">Q133*L133</f>
        <v>0.607297297297297</v>
      </c>
      <c r="S133" s="23" t="n">
        <f aca="false">J133-R133</f>
        <v>-0.607297297297297</v>
      </c>
      <c r="T133" s="26" t="n">
        <f aca="false">MIN(122.1,(T132+S133))</f>
        <v>121.077297297297</v>
      </c>
      <c r="U133" s="1" t="n">
        <v>0</v>
      </c>
      <c r="V133" s="27" t="n">
        <v>276.1</v>
      </c>
      <c r="W133" s="1" t="n">
        <f aca="false">V133/D133</f>
        <v>26.2952380952381</v>
      </c>
      <c r="X133" s="1" t="n">
        <f aca="false">X132+V133</f>
        <v>80312.1</v>
      </c>
      <c r="Y133" s="1" t="n">
        <f aca="false">Y132+V133</f>
        <v>1793.7</v>
      </c>
      <c r="Z133" s="1" t="n">
        <v>55</v>
      </c>
      <c r="AA133" s="47" t="n">
        <v>8.71731997291543</v>
      </c>
    </row>
    <row r="134" customFormat="false" ht="15" hidden="false" customHeight="false" outlineLevel="0" collapsed="false">
      <c r="A134" s="114"/>
      <c r="B134" s="51"/>
      <c r="C134" s="16" t="n">
        <v>41648</v>
      </c>
      <c r="D134" s="1" t="n">
        <v>9.1</v>
      </c>
      <c r="E134" s="1" t="n">
        <v>7.9</v>
      </c>
      <c r="F134" s="1" t="n">
        <v>11.3</v>
      </c>
      <c r="G134" s="1" t="n">
        <f aca="false">G133+D134</f>
        <v>1323.5</v>
      </c>
      <c r="H134" s="1" t="n">
        <f aca="false">H133+D134</f>
        <v>67.6</v>
      </c>
      <c r="I134" s="52" t="s">
        <v>37</v>
      </c>
      <c r="J134" s="1" t="n">
        <v>0.3</v>
      </c>
      <c r="K134" s="1" t="n">
        <f aca="false">K133+J134</f>
        <v>312.3</v>
      </c>
      <c r="L134" s="1" t="n">
        <v>1</v>
      </c>
      <c r="M134" s="1" t="n">
        <f aca="false">M133+L134</f>
        <v>155.3</v>
      </c>
      <c r="N134" s="19" t="n">
        <f aca="false">J134-L134</f>
        <v>-0.7</v>
      </c>
      <c r="O134" s="25" t="n">
        <f aca="false">O133+N134</f>
        <v>120.4</v>
      </c>
      <c r="P134" s="21" t="n">
        <v>129</v>
      </c>
      <c r="Q134" s="53" t="n">
        <f aca="false">1+((P134-122)/74)*(1.15-1)</f>
        <v>1.01418918918919</v>
      </c>
      <c r="R134" s="23" t="n">
        <f aca="false">Q134*L134</f>
        <v>1.01418918918919</v>
      </c>
      <c r="S134" s="23" t="n">
        <f aca="false">J134-R134</f>
        <v>-0.714189189189189</v>
      </c>
      <c r="T134" s="26" t="n">
        <f aca="false">MIN(122.1,(T133+S134))</f>
        <v>120.363108108108</v>
      </c>
      <c r="U134" s="52" t="s">
        <v>38</v>
      </c>
      <c r="V134" s="27" t="n">
        <v>269.9</v>
      </c>
      <c r="W134" s="1" t="n">
        <f aca="false">V134/D134</f>
        <v>29.6593406593407</v>
      </c>
      <c r="X134" s="1" t="n">
        <f aca="false">X133+V134</f>
        <v>80582</v>
      </c>
      <c r="Y134" s="1" t="n">
        <f aca="false">Y133+V134</f>
        <v>2063.6</v>
      </c>
      <c r="AA134" s="47" t="n">
        <v>8.74143976610685</v>
      </c>
    </row>
    <row r="135" customFormat="false" ht="15" hidden="false" customHeight="false" outlineLevel="0" collapsed="false">
      <c r="A135" s="114"/>
      <c r="B135" s="51"/>
      <c r="C135" s="16" t="n">
        <v>41649</v>
      </c>
      <c r="D135" s="1" t="n">
        <v>8</v>
      </c>
      <c r="E135" s="1" t="n">
        <v>6.3</v>
      </c>
      <c r="F135" s="1" t="n">
        <v>11.3</v>
      </c>
      <c r="G135" s="1" t="n">
        <f aca="false">G134+D135</f>
        <v>1331.5</v>
      </c>
      <c r="H135" s="1" t="n">
        <f aca="false">H134+D135</f>
        <v>75.6</v>
      </c>
      <c r="I135" s="1" t="n">
        <v>5</v>
      </c>
      <c r="J135" s="1" t="n">
        <v>0</v>
      </c>
      <c r="K135" s="1" t="n">
        <f aca="false">K134+J135</f>
        <v>312.3</v>
      </c>
      <c r="L135" s="1" t="n">
        <v>0.7</v>
      </c>
      <c r="M135" s="1" t="n">
        <f aca="false">M134+L135</f>
        <v>156</v>
      </c>
      <c r="N135" s="19" t="n">
        <f aca="false">J135-L135</f>
        <v>-0.7</v>
      </c>
      <c r="O135" s="25" t="n">
        <f aca="false">O134+N135</f>
        <v>119.7</v>
      </c>
      <c r="P135" s="21" t="n">
        <v>130</v>
      </c>
      <c r="Q135" s="53" t="n">
        <f aca="false">1+((P135-122)/74)*(1.15-1)</f>
        <v>1.01621621621622</v>
      </c>
      <c r="R135" s="23" t="n">
        <f aca="false">Q135*L135</f>
        <v>0.711351351351351</v>
      </c>
      <c r="S135" s="23" t="n">
        <f aca="false">J135-R135</f>
        <v>-0.711351351351351</v>
      </c>
      <c r="T135" s="26" t="n">
        <f aca="false">MIN(122.1,(T134+S135))</f>
        <v>119.651756756757</v>
      </c>
      <c r="U135" s="29" t="n">
        <f aca="false">MIN(T128:T201)</f>
        <v>88.6481756756757</v>
      </c>
      <c r="V135" s="27" t="n">
        <v>359.9</v>
      </c>
      <c r="W135" s="1" t="n">
        <f aca="false">V135/D135</f>
        <v>44.9875</v>
      </c>
      <c r="X135" s="1" t="n">
        <f aca="false">X134+V135</f>
        <v>80941.9</v>
      </c>
      <c r="Y135" s="1" t="n">
        <f aca="false">Y134+V135</f>
        <v>2423.5</v>
      </c>
      <c r="AA135" s="47" t="n">
        <v>8.76679241807765</v>
      </c>
    </row>
    <row r="136" customFormat="false" ht="15" hidden="false" customHeight="false" outlineLevel="0" collapsed="false">
      <c r="A136" s="114"/>
      <c r="B136" s="51"/>
      <c r="C136" s="16" t="n">
        <v>41650</v>
      </c>
      <c r="D136" s="1" t="n">
        <v>7.6</v>
      </c>
      <c r="E136" s="1" t="n">
        <v>6.4</v>
      </c>
      <c r="F136" s="1" t="n">
        <v>9.4</v>
      </c>
      <c r="G136" s="1" t="n">
        <f aca="false">G135+D136</f>
        <v>1339.1</v>
      </c>
      <c r="H136" s="1" t="n">
        <f aca="false">H135+D136</f>
        <v>83.2</v>
      </c>
      <c r="I136" s="52" t="s">
        <v>39</v>
      </c>
      <c r="J136" s="1" t="n">
        <v>0</v>
      </c>
      <c r="K136" s="1" t="n">
        <f aca="false">K135+J136</f>
        <v>312.3</v>
      </c>
      <c r="L136" s="1" t="n">
        <v>0.4</v>
      </c>
      <c r="M136" s="1" t="n">
        <f aca="false">M135+L136</f>
        <v>156.4</v>
      </c>
      <c r="N136" s="19" t="n">
        <f aca="false">J136-L136</f>
        <v>-0.4</v>
      </c>
      <c r="O136" s="25" t="n">
        <f aca="false">O135+N136</f>
        <v>119.3</v>
      </c>
      <c r="P136" s="21" t="n">
        <v>131</v>
      </c>
      <c r="Q136" s="53" t="n">
        <f aca="false">1+((P136-122)/74)*(1.15-1)</f>
        <v>1.01824324324324</v>
      </c>
      <c r="R136" s="23" t="n">
        <f aca="false">Q136*L136</f>
        <v>0.407297297297297</v>
      </c>
      <c r="S136" s="23" t="n">
        <f aca="false">J136-R136</f>
        <v>-0.407297297297297</v>
      </c>
      <c r="T136" s="26" t="n">
        <f aca="false">MIN(122.1,(T135+S136))</f>
        <v>119.244459459459</v>
      </c>
      <c r="U136" s="52" t="s">
        <v>40</v>
      </c>
      <c r="V136" s="27" t="n">
        <v>109.2</v>
      </c>
      <c r="W136" s="1" t="n">
        <f aca="false">V136/D136</f>
        <v>14.3684210526316</v>
      </c>
      <c r="X136" s="1" t="n">
        <f aca="false">X135+V136</f>
        <v>81051.1</v>
      </c>
      <c r="Y136" s="1" t="n">
        <f aca="false">Y135+V136</f>
        <v>2532.7</v>
      </c>
      <c r="AA136" s="47" t="n">
        <v>8.7933532600143</v>
      </c>
    </row>
    <row r="137" customFormat="false" ht="15" hidden="false" customHeight="false" outlineLevel="0" collapsed="false">
      <c r="A137" s="114"/>
      <c r="B137" s="51"/>
      <c r="C137" s="16" t="n">
        <v>41651</v>
      </c>
      <c r="D137" s="1" t="n">
        <v>6.8</v>
      </c>
      <c r="E137" s="1" t="n">
        <v>6.7</v>
      </c>
      <c r="F137" s="1" t="n">
        <v>7.8</v>
      </c>
      <c r="G137" s="1" t="n">
        <f aca="false">G136+D137</f>
        <v>1345.9</v>
      </c>
      <c r="H137" s="1" t="n">
        <f aca="false">H136+D137</f>
        <v>90</v>
      </c>
      <c r="I137" s="1" t="n">
        <v>0</v>
      </c>
      <c r="J137" s="1" t="n">
        <v>0.9</v>
      </c>
      <c r="K137" s="1" t="n">
        <f aca="false">K136+J137</f>
        <v>313.2</v>
      </c>
      <c r="L137" s="1" t="n">
        <v>0.7</v>
      </c>
      <c r="M137" s="1" t="n">
        <f aca="false">M136+L137</f>
        <v>157.1</v>
      </c>
      <c r="N137" s="1" t="n">
        <f aca="false">J137-L137</f>
        <v>0.2</v>
      </c>
      <c r="O137" s="25" t="n">
        <f aca="false">O136+N137</f>
        <v>119.5</v>
      </c>
      <c r="P137" s="21" t="n">
        <v>132</v>
      </c>
      <c r="Q137" s="53" t="n">
        <f aca="false">1+((P137-122)/74)*(1.15-1)</f>
        <v>1.02027027027027</v>
      </c>
      <c r="R137" s="23" t="n">
        <f aca="false">Q137*L137</f>
        <v>0.714189189189189</v>
      </c>
      <c r="S137" s="23" t="n">
        <f aca="false">J137-R137</f>
        <v>0.185810810810811</v>
      </c>
      <c r="T137" s="26" t="n">
        <f aca="false">MIN(122.1,(T136+S137))</f>
        <v>119.43027027027</v>
      </c>
      <c r="U137" s="29" t="n">
        <f aca="false">MAX(T128:T201)</f>
        <v>122.1</v>
      </c>
      <c r="V137" s="27" t="n">
        <v>353.8</v>
      </c>
      <c r="W137" s="1" t="n">
        <f aca="false">V137/D137</f>
        <v>52.0294117647059</v>
      </c>
      <c r="X137" s="1" t="n">
        <f aca="false">X136+V137</f>
        <v>81404.9</v>
      </c>
      <c r="Y137" s="1" t="n">
        <f aca="false">Y136+V137</f>
        <v>2886.5</v>
      </c>
      <c r="AA137" s="47" t="n">
        <v>8.82109688842182</v>
      </c>
    </row>
    <row r="138" customFormat="false" ht="15" hidden="false" customHeight="false" outlineLevel="0" collapsed="false">
      <c r="A138" s="114"/>
      <c r="B138" s="54"/>
      <c r="C138" s="16" t="n">
        <v>41652</v>
      </c>
      <c r="D138" s="1" t="n">
        <v>7.3</v>
      </c>
      <c r="E138" s="31" t="n">
        <v>5</v>
      </c>
      <c r="F138" s="1" t="n">
        <v>10.1</v>
      </c>
      <c r="G138" s="1" t="n">
        <f aca="false">G137+D138</f>
        <v>1353.2</v>
      </c>
      <c r="H138" s="1" t="n">
        <f aca="false">H137+D138</f>
        <v>97.3</v>
      </c>
      <c r="I138" s="52" t="s">
        <v>41</v>
      </c>
      <c r="J138" s="1" t="n">
        <v>3</v>
      </c>
      <c r="K138" s="1" t="n">
        <f aca="false">K137+J138</f>
        <v>316.2</v>
      </c>
      <c r="L138" s="1" t="n">
        <v>0.6</v>
      </c>
      <c r="M138" s="1" t="n">
        <f aca="false">M137+L138</f>
        <v>157.7</v>
      </c>
      <c r="N138" s="1" t="n">
        <f aca="false">J138-L138</f>
        <v>2.4</v>
      </c>
      <c r="O138" s="25" t="n">
        <f aca="false">O137+N138</f>
        <v>121.9</v>
      </c>
      <c r="P138" s="21" t="n">
        <v>133</v>
      </c>
      <c r="Q138" s="53" t="n">
        <f aca="false">1+((P138-122)/74)*(1.15-1)</f>
        <v>1.0222972972973</v>
      </c>
      <c r="R138" s="23" t="n">
        <f aca="false">Q138*L138</f>
        <v>0.613378378378378</v>
      </c>
      <c r="S138" s="23" t="n">
        <f aca="false">J138-R138</f>
        <v>2.38662162162162</v>
      </c>
      <c r="T138" s="26" t="n">
        <f aca="false">MIN(122.1,(T137+S138))</f>
        <v>121.816891891892</v>
      </c>
      <c r="U138" s="52" t="s">
        <v>42</v>
      </c>
      <c r="V138" s="27" t="n">
        <v>326.4</v>
      </c>
      <c r="W138" s="1" t="n">
        <f aca="false">V138/D138</f>
        <v>44.7123287671233</v>
      </c>
      <c r="X138" s="1" t="n">
        <f aca="false">X137+V138</f>
        <v>81731.3</v>
      </c>
      <c r="Y138" s="1" t="n">
        <f aca="false">Y137+V138</f>
        <v>3212.9</v>
      </c>
      <c r="AA138" s="47" t="n">
        <v>8.84999724655547</v>
      </c>
    </row>
    <row r="139" customFormat="false" ht="15" hidden="false" customHeight="false" outlineLevel="0" collapsed="false">
      <c r="A139" s="114"/>
      <c r="B139" s="54"/>
      <c r="C139" s="16" t="n">
        <v>41653</v>
      </c>
      <c r="D139" s="31" t="n">
        <v>4.7</v>
      </c>
      <c r="E139" s="31" t="n">
        <v>3.5</v>
      </c>
      <c r="F139" s="1" t="n">
        <v>7.3</v>
      </c>
      <c r="G139" s="1" t="n">
        <f aca="false">G138+D139</f>
        <v>1357.9</v>
      </c>
      <c r="H139" s="1" t="n">
        <f aca="false">H138+D139</f>
        <v>102</v>
      </c>
      <c r="I139" s="1" t="n">
        <v>43</v>
      </c>
      <c r="J139" s="1" t="n">
        <v>0.8</v>
      </c>
      <c r="K139" s="1" t="n">
        <f aca="false">K138+J139</f>
        <v>317</v>
      </c>
      <c r="L139" s="1" t="n">
        <v>0.8</v>
      </c>
      <c r="M139" s="1" t="n">
        <f aca="false">M138+L139</f>
        <v>158.5</v>
      </c>
      <c r="N139" s="1" t="n">
        <f aca="false">J139-L139</f>
        <v>0</v>
      </c>
      <c r="O139" s="25" t="n">
        <f aca="false">O138+N139</f>
        <v>121.9</v>
      </c>
      <c r="P139" s="21" t="n">
        <v>134</v>
      </c>
      <c r="Q139" s="53" t="n">
        <f aca="false">1+((P139-122)/74)*(1.15-1)</f>
        <v>1.02432432432432</v>
      </c>
      <c r="R139" s="23" t="n">
        <f aca="false">Q139*L139</f>
        <v>0.81945945945946</v>
      </c>
      <c r="S139" s="23" t="n">
        <f aca="false">J139-R139</f>
        <v>-0.0194594594594595</v>
      </c>
      <c r="T139" s="26" t="n">
        <f aca="false">MIN(122.1,(T138+S139))</f>
        <v>121.797432432432</v>
      </c>
      <c r="U139" s="28" t="n">
        <f aca="false">AVERAGE(T128:T201)</f>
        <v>118.210627282688</v>
      </c>
      <c r="V139" s="27" t="n">
        <v>578.7</v>
      </c>
      <c r="W139" s="1" t="n">
        <f aca="false">V139/D139</f>
        <v>123.127659574468</v>
      </c>
      <c r="X139" s="1" t="n">
        <f aca="false">X138+V139</f>
        <v>82310</v>
      </c>
      <c r="Y139" s="1" t="n">
        <f aca="false">Y138+V139</f>
        <v>3791.6</v>
      </c>
      <c r="AA139" s="47" t="n">
        <v>8.8800277053881</v>
      </c>
    </row>
    <row r="140" customFormat="false" ht="15" hidden="false" customHeight="false" outlineLevel="0" collapsed="false">
      <c r="A140" s="114"/>
      <c r="B140" s="54"/>
      <c r="C140" s="16" t="n">
        <v>41654</v>
      </c>
      <c r="D140" s="1" t="n">
        <v>5.9</v>
      </c>
      <c r="E140" s="31" t="n">
        <v>1.4</v>
      </c>
      <c r="F140" s="1" t="n">
        <v>9.5</v>
      </c>
      <c r="G140" s="1" t="n">
        <f aca="false">G139+D140</f>
        <v>1363.8</v>
      </c>
      <c r="H140" s="1" t="n">
        <f aca="false">H139+D140</f>
        <v>107.9</v>
      </c>
      <c r="I140" s="52" t="s">
        <v>43</v>
      </c>
      <c r="J140" s="1" t="n">
        <v>2.4</v>
      </c>
      <c r="K140" s="1" t="n">
        <f aca="false">K139+J140</f>
        <v>319.4</v>
      </c>
      <c r="L140" s="1" t="n">
        <v>0.5</v>
      </c>
      <c r="M140" s="1" t="n">
        <f aca="false">M139+L140</f>
        <v>159</v>
      </c>
      <c r="N140" s="1" t="n">
        <f aca="false">J140-L140</f>
        <v>1.9</v>
      </c>
      <c r="O140" s="25" t="n">
        <v>122.1</v>
      </c>
      <c r="P140" s="21" t="n">
        <v>135</v>
      </c>
      <c r="Q140" s="53" t="n">
        <f aca="false">1+((P140-122)/74)*(1.15-1)</f>
        <v>1.02635135135135</v>
      </c>
      <c r="R140" s="23" t="n">
        <f aca="false">Q140*L140</f>
        <v>0.513175675675676</v>
      </c>
      <c r="S140" s="23" t="n">
        <f aca="false">J140-R140</f>
        <v>1.88682432432432</v>
      </c>
      <c r="T140" s="26" t="n">
        <f aca="false">MIN(122.1,(T139+S140))</f>
        <v>122.1</v>
      </c>
      <c r="V140" s="27" t="n">
        <v>143.4</v>
      </c>
      <c r="W140" s="1" t="n">
        <f aca="false">V140/D140</f>
        <v>24.3050847457627</v>
      </c>
      <c r="X140" s="1" t="n">
        <f aca="false">X139+V140</f>
        <v>82453.4</v>
      </c>
      <c r="Y140" s="1" t="n">
        <f aca="false">Y139+V140</f>
        <v>3935</v>
      </c>
      <c r="AA140" s="47" t="n">
        <v>8.91116114367347</v>
      </c>
    </row>
    <row r="141" customFormat="false" ht="15" hidden="false" customHeight="false" outlineLevel="0" collapsed="false">
      <c r="A141" s="114"/>
      <c r="B141" s="51"/>
      <c r="C141" s="16" t="n">
        <v>41655</v>
      </c>
      <c r="D141" s="1" t="n">
        <v>8.1</v>
      </c>
      <c r="E141" s="1" t="n">
        <v>6.5</v>
      </c>
      <c r="F141" s="1" t="n">
        <v>9.9</v>
      </c>
      <c r="G141" s="1" t="n">
        <f aca="false">G140+D141</f>
        <v>1371.9</v>
      </c>
      <c r="H141" s="1" t="n">
        <f aca="false">H140+D141</f>
        <v>116</v>
      </c>
      <c r="I141" s="1" t="n">
        <v>512.9</v>
      </c>
      <c r="J141" s="1" t="n">
        <v>2.8</v>
      </c>
      <c r="K141" s="1" t="n">
        <f aca="false">K140+J141</f>
        <v>322.2</v>
      </c>
      <c r="L141" s="1" t="n">
        <v>1</v>
      </c>
      <c r="M141" s="1" t="n">
        <f aca="false">M140+L141</f>
        <v>160</v>
      </c>
      <c r="N141" s="1" t="n">
        <f aca="false">J141-L141</f>
        <v>1.8</v>
      </c>
      <c r="O141" s="25" t="n">
        <v>122.1</v>
      </c>
      <c r="P141" s="21" t="n">
        <v>136</v>
      </c>
      <c r="Q141" s="53" t="n">
        <f aca="false">1+((P141-122)/74)*(1.15-1)</f>
        <v>1.02837837837838</v>
      </c>
      <c r="R141" s="23" t="n">
        <f aca="false">Q141*L141</f>
        <v>1.02837837837838</v>
      </c>
      <c r="S141" s="23" t="n">
        <f aca="false">J141-R141</f>
        <v>1.77162162162162</v>
      </c>
      <c r="T141" s="26" t="n">
        <f aca="false">MIN(122.1,(T140+S141))</f>
        <v>122.1</v>
      </c>
      <c r="U141" s="29" t="n">
        <f aca="false">(U139*100)/122.1</f>
        <v>96.8146005591222</v>
      </c>
      <c r="V141" s="27" t="n">
        <v>497.7</v>
      </c>
      <c r="W141" s="1" t="n">
        <f aca="false">V141/D141</f>
        <v>61.4444444444444</v>
      </c>
      <c r="X141" s="1" t="n">
        <f aca="false">X140+V141</f>
        <v>82951.1</v>
      </c>
      <c r="Y141" s="1" t="n">
        <f aca="false">Y140+V141</f>
        <v>4432.7</v>
      </c>
      <c r="AA141" s="47" t="n">
        <v>8.94337002669544</v>
      </c>
    </row>
    <row r="142" customFormat="false" ht="15" hidden="false" customHeight="false" outlineLevel="0" collapsed="false">
      <c r="A142" s="114"/>
      <c r="B142" s="54"/>
      <c r="C142" s="16" t="n">
        <v>41656</v>
      </c>
      <c r="D142" s="1" t="n">
        <v>6.2</v>
      </c>
      <c r="E142" s="31" t="n">
        <v>4.9</v>
      </c>
      <c r="F142" s="1" t="n">
        <v>10.8</v>
      </c>
      <c r="G142" s="1" t="n">
        <f aca="false">G141+D142</f>
        <v>1378.1</v>
      </c>
      <c r="H142" s="1" t="n">
        <f aca="false">H141+D142</f>
        <v>122.2</v>
      </c>
      <c r="J142" s="1" t="n">
        <v>0</v>
      </c>
      <c r="K142" s="1" t="n">
        <f aca="false">K141+J142</f>
        <v>322.2</v>
      </c>
      <c r="L142" s="1" t="n">
        <v>1.4</v>
      </c>
      <c r="M142" s="1" t="n">
        <f aca="false">M141+L142</f>
        <v>161.4</v>
      </c>
      <c r="N142" s="19" t="n">
        <f aca="false">J142-L142</f>
        <v>-1.4</v>
      </c>
      <c r="O142" s="25" t="n">
        <f aca="false">O141+N142</f>
        <v>120.7</v>
      </c>
      <c r="P142" s="21" t="n">
        <v>137</v>
      </c>
      <c r="Q142" s="53" t="n">
        <f aca="false">1+((P142-122)/74)*(1.15-1)</f>
        <v>1.03040540540541</v>
      </c>
      <c r="R142" s="23" t="n">
        <f aca="false">Q142*L142</f>
        <v>1.44256756756757</v>
      </c>
      <c r="S142" s="23" t="n">
        <f aca="false">J142-R142</f>
        <v>-1.44256756756757</v>
      </c>
      <c r="T142" s="26" t="n">
        <f aca="false">MIN(122.1,(T141+S142))</f>
        <v>120.657432432432</v>
      </c>
      <c r="V142" s="27" t="n">
        <v>767.6</v>
      </c>
      <c r="W142" s="1" t="n">
        <f aca="false">V142/D142</f>
        <v>123.806451612903</v>
      </c>
      <c r="X142" s="1" t="n">
        <f aca="false">X141+V142</f>
        <v>83718.7</v>
      </c>
      <c r="Y142" s="1" t="n">
        <f aca="false">Y141+V142</f>
        <v>5200.3</v>
      </c>
      <c r="AA142" s="47" t="n">
        <v>8.97662648332616</v>
      </c>
    </row>
    <row r="143" customFormat="false" ht="15" hidden="false" customHeight="false" outlineLevel="0" collapsed="false">
      <c r="A143" s="114"/>
      <c r="B143" s="51"/>
      <c r="C143" s="16" t="n">
        <v>41657</v>
      </c>
      <c r="D143" s="1" t="n">
        <v>6.5</v>
      </c>
      <c r="E143" s="31" t="n">
        <v>2.1</v>
      </c>
      <c r="F143" s="1" t="n">
        <v>10.6</v>
      </c>
      <c r="G143" s="1" t="n">
        <f aca="false">G142+D143</f>
        <v>1384.6</v>
      </c>
      <c r="H143" s="1" t="n">
        <f aca="false">H142+D143</f>
        <v>128.7</v>
      </c>
      <c r="J143" s="1" t="n">
        <v>7.7</v>
      </c>
      <c r="K143" s="1" t="n">
        <f aca="false">K142+J143</f>
        <v>329.9</v>
      </c>
      <c r="L143" s="1" t="n">
        <v>0.6</v>
      </c>
      <c r="M143" s="1" t="n">
        <f aca="false">M142+L143</f>
        <v>162</v>
      </c>
      <c r="N143" s="1" t="n">
        <f aca="false">J143-L143</f>
        <v>7.1</v>
      </c>
      <c r="O143" s="25" t="n">
        <v>122.1</v>
      </c>
      <c r="P143" s="21" t="n">
        <v>138</v>
      </c>
      <c r="Q143" s="53" t="n">
        <f aca="false">1+((P143-122)/74)*(1.15-1)</f>
        <v>1.03243243243243</v>
      </c>
      <c r="R143" s="23" t="n">
        <f aca="false">Q143*L143</f>
        <v>0.619459459459459</v>
      </c>
      <c r="S143" s="23" t="n">
        <f aca="false">J143-R143</f>
        <v>7.08054054054054</v>
      </c>
      <c r="T143" s="26" t="n">
        <f aca="false">MIN(122.1,(T142+S143))</f>
        <v>122.1</v>
      </c>
      <c r="V143" s="27" t="n">
        <v>398.2</v>
      </c>
      <c r="W143" s="1" t="n">
        <f aca="false">V143/D143</f>
        <v>61.2615384615385</v>
      </c>
      <c r="X143" s="1" t="n">
        <f aca="false">X142+V143</f>
        <v>84116.9</v>
      </c>
      <c r="Y143" s="1" t="n">
        <f aca="false">Y142+V143</f>
        <v>5598.5</v>
      </c>
      <c r="AA143" s="1" t="n">
        <v>9.01090238104984</v>
      </c>
    </row>
    <row r="144" customFormat="false" ht="15" hidden="false" customHeight="false" outlineLevel="0" collapsed="false">
      <c r="A144" s="114"/>
      <c r="B144" s="51"/>
      <c r="C144" s="16" t="n">
        <v>41658</v>
      </c>
      <c r="D144" s="1" t="n">
        <v>6.5</v>
      </c>
      <c r="E144" s="1" t="n">
        <v>5.9</v>
      </c>
      <c r="F144" s="1" t="n">
        <v>8.8</v>
      </c>
      <c r="G144" s="1" t="n">
        <f aca="false">G143+D144</f>
        <v>1391.1</v>
      </c>
      <c r="H144" s="1" t="n">
        <f aca="false">H143+D144</f>
        <v>135.2</v>
      </c>
      <c r="J144" s="1" t="n">
        <v>0</v>
      </c>
      <c r="K144" s="1" t="n">
        <f aca="false">K143+J144</f>
        <v>329.9</v>
      </c>
      <c r="L144" s="1" t="n">
        <v>0.4</v>
      </c>
      <c r="M144" s="1" t="n">
        <f aca="false">M143+L144</f>
        <v>162.4</v>
      </c>
      <c r="N144" s="19" t="n">
        <f aca="false">J144-L144</f>
        <v>-0.4</v>
      </c>
      <c r="O144" s="25" t="n">
        <f aca="false">O143+N144</f>
        <v>121.7</v>
      </c>
      <c r="P144" s="21" t="n">
        <v>139</v>
      </c>
      <c r="Q144" s="53" t="n">
        <f aca="false">1+((P144-122)/74)*(1.15-1)</f>
        <v>1.03445945945946</v>
      </c>
      <c r="R144" s="23" t="n">
        <f aca="false">Q144*L144</f>
        <v>0.413783783783784</v>
      </c>
      <c r="S144" s="23" t="n">
        <f aca="false">J144-R144</f>
        <v>-0.413783783783784</v>
      </c>
      <c r="T144" s="26" t="n">
        <f aca="false">MIN(122.1,(T143+S144))</f>
        <v>121.686216216216</v>
      </c>
      <c r="V144" s="27" t="n">
        <v>193.9</v>
      </c>
      <c r="W144" s="1" t="n">
        <f aca="false">V144/D144</f>
        <v>29.8307692307692</v>
      </c>
      <c r="X144" s="1" t="n">
        <f aca="false">X143+V144</f>
        <v>84310.8</v>
      </c>
      <c r="Y144" s="1" t="n">
        <f aca="false">Y143+V144</f>
        <v>5792.4</v>
      </c>
      <c r="AA144" s="1" t="n">
        <v>9.04616939864492</v>
      </c>
    </row>
    <row r="145" customFormat="false" ht="15" hidden="false" customHeight="false" outlineLevel="0" collapsed="false">
      <c r="A145" s="114"/>
      <c r="B145" s="51"/>
      <c r="C145" s="16" t="n">
        <v>41659</v>
      </c>
      <c r="D145" s="31" t="n">
        <v>3.5</v>
      </c>
      <c r="E145" s="31" t="n">
        <v>3.3</v>
      </c>
      <c r="F145" s="31" t="n">
        <v>3.9</v>
      </c>
      <c r="G145" s="1" t="n">
        <f aca="false">G144+D145</f>
        <v>1394.6</v>
      </c>
      <c r="H145" s="1" t="n">
        <f aca="false">H144+D145</f>
        <v>138.7</v>
      </c>
      <c r="J145" s="1" t="n">
        <v>0</v>
      </c>
      <c r="K145" s="1" t="n">
        <f aca="false">K144+J145</f>
        <v>329.9</v>
      </c>
      <c r="L145" s="1" t="n">
        <v>0.1</v>
      </c>
      <c r="M145" s="1" t="n">
        <f aca="false">M144+L145</f>
        <v>162.5</v>
      </c>
      <c r="N145" s="19" t="n">
        <f aca="false">J145-L145</f>
        <v>-0.1</v>
      </c>
      <c r="O145" s="25" t="n">
        <f aca="false">O144+N145</f>
        <v>121.6</v>
      </c>
      <c r="P145" s="21" t="n">
        <v>140</v>
      </c>
      <c r="Q145" s="53" t="n">
        <f aca="false">1+((P145-122)/74)*(1.15-1)</f>
        <v>1.03648648648649</v>
      </c>
      <c r="R145" s="23" t="n">
        <f aca="false">Q145*L145</f>
        <v>0.103648648648649</v>
      </c>
      <c r="S145" s="23" t="n">
        <f aca="false">J145-R145</f>
        <v>-0.103648648648649</v>
      </c>
      <c r="T145" s="26" t="n">
        <f aca="false">MIN(122.1,(T144+S145))</f>
        <v>121.582567567568</v>
      </c>
      <c r="V145" s="27" t="n">
        <v>59.3</v>
      </c>
      <c r="W145" s="1" t="n">
        <f aca="false">V145/D145</f>
        <v>16.9428571428571</v>
      </c>
      <c r="X145" s="1" t="n">
        <f aca="false">X144+V145</f>
        <v>84370.1</v>
      </c>
      <c r="Y145" s="1" t="n">
        <f aca="false">Y144+V145</f>
        <v>5851.7</v>
      </c>
      <c r="AA145" s="1" t="n">
        <v>9.08239909625252</v>
      </c>
    </row>
    <row r="146" customFormat="false" ht="15" hidden="false" customHeight="false" outlineLevel="0" collapsed="false">
      <c r="A146" s="114"/>
      <c r="B146" s="51"/>
      <c r="C146" s="16" t="n">
        <v>41660</v>
      </c>
      <c r="D146" s="31" t="n">
        <v>2.7</v>
      </c>
      <c r="E146" s="31" t="n">
        <v>2.3</v>
      </c>
      <c r="F146" s="1" t="n">
        <v>5.4</v>
      </c>
      <c r="G146" s="1" t="n">
        <f aca="false">G145+D146</f>
        <v>1397.3</v>
      </c>
      <c r="H146" s="1" t="n">
        <f aca="false">H145+D146</f>
        <v>141.4</v>
      </c>
      <c r="J146" s="1" t="n">
        <v>0</v>
      </c>
      <c r="K146" s="1" t="n">
        <f aca="false">K145+J146</f>
        <v>329.9</v>
      </c>
      <c r="L146" s="1" t="n">
        <v>0.5</v>
      </c>
      <c r="M146" s="1" t="n">
        <f aca="false">M145+L146</f>
        <v>163</v>
      </c>
      <c r="N146" s="19" t="n">
        <f aca="false">J146-L146</f>
        <v>-0.5</v>
      </c>
      <c r="O146" s="25" t="n">
        <f aca="false">O145+N146</f>
        <v>121.1</v>
      </c>
      <c r="P146" s="21" t="n">
        <v>141</v>
      </c>
      <c r="Q146" s="53" t="n">
        <f aca="false">1+((P146-122)/74)*(1.15-1)</f>
        <v>1.03851351351351</v>
      </c>
      <c r="R146" s="23" t="n">
        <f aca="false">Q146*L146</f>
        <v>0.519256756756757</v>
      </c>
      <c r="S146" s="23" t="n">
        <f aca="false">J146-R146</f>
        <v>-0.519256756756757</v>
      </c>
      <c r="T146" s="26" t="n">
        <f aca="false">MIN(122.1,(T145+S146))</f>
        <v>121.063310810811</v>
      </c>
      <c r="V146" s="27" t="n">
        <v>273.4</v>
      </c>
      <c r="W146" s="1" t="n">
        <f aca="false">V146/D146</f>
        <v>101.259259259259</v>
      </c>
      <c r="X146" s="1" t="n">
        <f aca="false">X145+V146</f>
        <v>84643.5</v>
      </c>
      <c r="Y146" s="1" t="n">
        <f aca="false">Y145+V146</f>
        <v>6125.1</v>
      </c>
      <c r="AA146" s="1" t="n">
        <v>9.11956298259581</v>
      </c>
    </row>
    <row r="147" customFormat="false" ht="15" hidden="false" customHeight="false" outlineLevel="0" collapsed="false">
      <c r="A147" s="114"/>
      <c r="B147" s="51"/>
      <c r="C147" s="16" t="n">
        <v>41661</v>
      </c>
      <c r="D147" s="31" t="n">
        <v>2.3</v>
      </c>
      <c r="E147" s="30" t="n">
        <v>-0.3</v>
      </c>
      <c r="F147" s="1" t="n">
        <v>5.2</v>
      </c>
      <c r="G147" s="1" t="n">
        <f aca="false">G146+D147</f>
        <v>1399.6</v>
      </c>
      <c r="H147" s="1" t="n">
        <f aca="false">H146+D147</f>
        <v>143.7</v>
      </c>
      <c r="J147" s="1" t="n">
        <v>3.4</v>
      </c>
      <c r="K147" s="1" t="n">
        <f aca="false">K146+J147</f>
        <v>333.3</v>
      </c>
      <c r="L147" s="1" t="n">
        <v>0.3</v>
      </c>
      <c r="M147" s="1" t="n">
        <f aca="false">M146+L147</f>
        <v>163.3</v>
      </c>
      <c r="N147" s="1" t="n">
        <f aca="false">J147-L147</f>
        <v>3.1</v>
      </c>
      <c r="O147" s="25" t="n">
        <v>122.1</v>
      </c>
      <c r="P147" s="21" t="n">
        <v>142</v>
      </c>
      <c r="Q147" s="53" t="n">
        <f aca="false">1+((P147-122)/74)*(1.15-1)</f>
        <v>1.04054054054054</v>
      </c>
      <c r="R147" s="23" t="n">
        <f aca="false">Q147*L147</f>
        <v>0.312162162162162</v>
      </c>
      <c r="S147" s="23" t="n">
        <f aca="false">J147-R147</f>
        <v>3.08783783783784</v>
      </c>
      <c r="T147" s="26" t="n">
        <f aca="false">MIN(122.1,(T146+S147))</f>
        <v>122.1</v>
      </c>
      <c r="V147" s="27" t="n">
        <v>129.2</v>
      </c>
      <c r="W147" s="1" t="n">
        <f aca="false">V147/D147</f>
        <v>56.1739130434783</v>
      </c>
      <c r="X147" s="1" t="n">
        <f aca="false">X146+V147</f>
        <v>84772.7</v>
      </c>
      <c r="Y147" s="1" t="n">
        <f aca="false">Y146+V147</f>
        <v>6254.3</v>
      </c>
      <c r="AA147" s="1" t="n">
        <v>9.15763257915024</v>
      </c>
    </row>
    <row r="148" customFormat="false" ht="15" hidden="false" customHeight="false" outlineLevel="0" collapsed="false">
      <c r="A148" s="114"/>
      <c r="B148" s="51"/>
      <c r="C148" s="16" t="n">
        <v>41662</v>
      </c>
      <c r="D148" s="1" t="n">
        <v>5.9</v>
      </c>
      <c r="E148" s="31" t="n">
        <v>3.8</v>
      </c>
      <c r="F148" s="1" t="n">
        <v>6.9</v>
      </c>
      <c r="G148" s="1" t="n">
        <f aca="false">G147+D148</f>
        <v>1405.5</v>
      </c>
      <c r="H148" s="1" t="n">
        <f aca="false">H147+D148</f>
        <v>149.6</v>
      </c>
      <c r="J148" s="1" t="n">
        <v>3.4</v>
      </c>
      <c r="K148" s="1" t="n">
        <f aca="false">K147+J148</f>
        <v>336.7</v>
      </c>
      <c r="L148" s="1" t="n">
        <v>0.1</v>
      </c>
      <c r="M148" s="1" t="n">
        <f aca="false">M147+L148</f>
        <v>163.4</v>
      </c>
      <c r="N148" s="1" t="n">
        <f aca="false">J148-L148</f>
        <v>3.3</v>
      </c>
      <c r="O148" s="25" t="n">
        <v>122.1</v>
      </c>
      <c r="P148" s="21" t="n">
        <v>143</v>
      </c>
      <c r="Q148" s="53" t="n">
        <f aca="false">1+((P148-122)/74)*(1.15-1)</f>
        <v>1.04256756756757</v>
      </c>
      <c r="R148" s="23" t="n">
        <f aca="false">Q148*L148</f>
        <v>0.104256756756757</v>
      </c>
      <c r="S148" s="23" t="n">
        <f aca="false">J148-R148</f>
        <v>3.29574324324324</v>
      </c>
      <c r="T148" s="26" t="n">
        <f aca="false">MIN(122.1,(T147+S148))</f>
        <v>122.1</v>
      </c>
      <c r="V148" s="27" t="n">
        <v>161.8</v>
      </c>
      <c r="W148" s="1" t="n">
        <f aca="false">V148/D148</f>
        <v>27.4237288135593</v>
      </c>
      <c r="X148" s="1" t="n">
        <f aca="false">X147+V148</f>
        <v>84934.5</v>
      </c>
      <c r="Y148" s="1" t="n">
        <f aca="false">Y147+V148</f>
        <v>6416.1</v>
      </c>
      <c r="AA148" s="1" t="n">
        <v>9.19657948109955</v>
      </c>
    </row>
    <row r="149" customFormat="false" ht="15" hidden="false" customHeight="false" outlineLevel="0" collapsed="false">
      <c r="A149" s="114"/>
      <c r="B149" s="51"/>
      <c r="C149" s="16" t="n">
        <v>41663</v>
      </c>
      <c r="D149" s="1" t="n">
        <v>5.1</v>
      </c>
      <c r="E149" s="31" t="n">
        <v>4.5</v>
      </c>
      <c r="F149" s="1" t="n">
        <v>5.6</v>
      </c>
      <c r="G149" s="1" t="n">
        <f aca="false">G148+D149</f>
        <v>1410.6</v>
      </c>
      <c r="H149" s="1" t="n">
        <f aca="false">H148+D149</f>
        <v>154.7</v>
      </c>
      <c r="J149" s="1" t="n">
        <v>9.5</v>
      </c>
      <c r="K149" s="1" t="n">
        <f aca="false">K148+J149</f>
        <v>346.2</v>
      </c>
      <c r="L149" s="1" t="n">
        <v>0.2</v>
      </c>
      <c r="M149" s="1" t="n">
        <f aca="false">M148+L149</f>
        <v>163.6</v>
      </c>
      <c r="N149" s="1" t="n">
        <f aca="false">J149-L149</f>
        <v>9.3</v>
      </c>
      <c r="O149" s="25" t="n">
        <v>122.1</v>
      </c>
      <c r="P149" s="21" t="n">
        <v>144</v>
      </c>
      <c r="Q149" s="53" t="n">
        <f aca="false">1+((P149-122)/74)*(1.15-1)</f>
        <v>1.04459459459459</v>
      </c>
      <c r="R149" s="23" t="n">
        <f aca="false">Q149*L149</f>
        <v>0.208918918918919</v>
      </c>
      <c r="S149" s="23" t="n">
        <f aca="false">J149-R149</f>
        <v>9.29108108108108</v>
      </c>
      <c r="T149" s="26" t="n">
        <f aca="false">MIN(122.1,(T148+S149))</f>
        <v>122.1</v>
      </c>
      <c r="V149" s="27" t="n">
        <v>66.9</v>
      </c>
      <c r="W149" s="1" t="n">
        <f aca="false">V149/D149</f>
        <v>13.1176470588235</v>
      </c>
      <c r="X149" s="1" t="n">
        <f aca="false">X148+V149</f>
        <v>85001.4</v>
      </c>
      <c r="Y149" s="1" t="n">
        <f aca="false">Y148+V149</f>
        <v>6483</v>
      </c>
      <c r="AA149" s="1" t="n">
        <v>9.23637541494636</v>
      </c>
    </row>
    <row r="150" customFormat="false" ht="15" hidden="false" customHeight="false" outlineLevel="0" collapsed="false">
      <c r="A150" s="114"/>
      <c r="B150" s="51"/>
      <c r="C150" s="16" t="n">
        <v>41664</v>
      </c>
      <c r="D150" s="1" t="n">
        <v>5.4</v>
      </c>
      <c r="E150" s="31" t="n">
        <v>3.2</v>
      </c>
      <c r="F150" s="1" t="n">
        <v>8</v>
      </c>
      <c r="G150" s="1" t="n">
        <f aca="false">G149+D150</f>
        <v>1416</v>
      </c>
      <c r="H150" s="1" t="n">
        <f aca="false">H149+D150</f>
        <v>160.1</v>
      </c>
      <c r="J150" s="1" t="n">
        <v>1.1</v>
      </c>
      <c r="K150" s="1" t="n">
        <f aca="false">K149+J150</f>
        <v>347.3</v>
      </c>
      <c r="L150" s="1" t="n">
        <v>0.3</v>
      </c>
      <c r="M150" s="1" t="n">
        <f aca="false">M149+L150</f>
        <v>163.9</v>
      </c>
      <c r="N150" s="1" t="n">
        <f aca="false">J150-L150</f>
        <v>0.8</v>
      </c>
      <c r="O150" s="25" t="n">
        <v>122.1</v>
      </c>
      <c r="P150" s="21" t="n">
        <v>145</v>
      </c>
      <c r="Q150" s="53" t="n">
        <f aca="false">1+((P150-122)/74)*(1.15-1)</f>
        <v>1.04662162162162</v>
      </c>
      <c r="R150" s="23" t="n">
        <f aca="false">Q150*L150</f>
        <v>0.313986486486486</v>
      </c>
      <c r="S150" s="23" t="n">
        <f aca="false">J150-R150</f>
        <v>0.786013513513514</v>
      </c>
      <c r="T150" s="26" t="n">
        <f aca="false">MIN(122.1,(T149+S150))</f>
        <v>122.1</v>
      </c>
      <c r="V150" s="27" t="n">
        <v>138</v>
      </c>
      <c r="W150" s="1" t="n">
        <f aca="false">V150/D150</f>
        <v>25.5555555555556</v>
      </c>
      <c r="X150" s="1" t="n">
        <f aca="false">X149+V150</f>
        <v>85139.4</v>
      </c>
      <c r="Y150" s="1" t="n">
        <f aca="false">Y149+V150</f>
        <v>6621</v>
      </c>
      <c r="AA150" s="1" t="n">
        <v>9.27699229267817</v>
      </c>
    </row>
    <row r="151" customFormat="false" ht="15" hidden="false" customHeight="false" outlineLevel="0" collapsed="false">
      <c r="A151" s="114"/>
      <c r="B151" s="51"/>
      <c r="C151" s="16" t="n">
        <v>41665</v>
      </c>
      <c r="D151" s="1" t="n">
        <v>7.8</v>
      </c>
      <c r="E151" s="1" t="n">
        <v>5.7</v>
      </c>
      <c r="F151" s="1" t="n">
        <v>9.8</v>
      </c>
      <c r="G151" s="1" t="n">
        <f aca="false">G150+D151</f>
        <v>1423.8</v>
      </c>
      <c r="H151" s="1" t="n">
        <f aca="false">H150+D151</f>
        <v>167.9</v>
      </c>
      <c r="J151" s="1" t="n">
        <v>7.5</v>
      </c>
      <c r="K151" s="1" t="n">
        <f aca="false">K150+J151</f>
        <v>354.8</v>
      </c>
      <c r="L151" s="1" t="n">
        <v>0.4</v>
      </c>
      <c r="M151" s="1" t="n">
        <f aca="false">M150+L151</f>
        <v>164.3</v>
      </c>
      <c r="N151" s="1" t="n">
        <f aca="false">J151-L151</f>
        <v>7.1</v>
      </c>
      <c r="O151" s="25" t="n">
        <v>122.1</v>
      </c>
      <c r="P151" s="21" t="n">
        <v>146</v>
      </c>
      <c r="Q151" s="53" t="n">
        <f aca="false">1+((P151-122)/74)*(1.15-1)</f>
        <v>1.04864864864865</v>
      </c>
      <c r="R151" s="23" t="n">
        <f aca="false">Q151*L151</f>
        <v>0.419459459459459</v>
      </c>
      <c r="S151" s="23" t="n">
        <f aca="false">J151-R151</f>
        <v>7.08054054054054</v>
      </c>
      <c r="T151" s="26" t="n">
        <f aca="false">MIN(122.1,(T150+S151))</f>
        <v>122.1</v>
      </c>
      <c r="V151" s="27" t="n">
        <v>249.3</v>
      </c>
      <c r="W151" s="1" t="n">
        <f aca="false">V151/D151</f>
        <v>31.9615384615385</v>
      </c>
      <c r="X151" s="1" t="n">
        <f aca="false">X150+V151</f>
        <v>85388.7</v>
      </c>
      <c r="Y151" s="1" t="n">
        <f aca="false">Y150+V151</f>
        <v>6870.3</v>
      </c>
      <c r="AA151" s="1" t="n">
        <v>9.31840226242062</v>
      </c>
    </row>
    <row r="152" customFormat="false" ht="15" hidden="false" customHeight="false" outlineLevel="0" collapsed="false">
      <c r="A152" s="114"/>
      <c r="B152" s="51"/>
      <c r="C152" s="16" t="n">
        <v>41666</v>
      </c>
      <c r="D152" s="31" t="n">
        <v>4.7</v>
      </c>
      <c r="E152" s="31" t="n">
        <v>3.5</v>
      </c>
      <c r="F152" s="1" t="n">
        <v>7.2</v>
      </c>
      <c r="G152" s="1" t="n">
        <f aca="false">G151+D152</f>
        <v>1428.5</v>
      </c>
      <c r="H152" s="1" t="n">
        <f aca="false">H151+D152</f>
        <v>172.6</v>
      </c>
      <c r="J152" s="1" t="n">
        <v>1</v>
      </c>
      <c r="K152" s="1" t="n">
        <f aca="false">K151+J152</f>
        <v>355.8</v>
      </c>
      <c r="L152" s="1" t="n">
        <v>1</v>
      </c>
      <c r="M152" s="1" t="n">
        <f aca="false">M151+L152</f>
        <v>165.3</v>
      </c>
      <c r="N152" s="1" t="n">
        <f aca="false">J152-L152</f>
        <v>0</v>
      </c>
      <c r="O152" s="25" t="n">
        <v>122.1</v>
      </c>
      <c r="P152" s="21" t="n">
        <v>147</v>
      </c>
      <c r="Q152" s="53" t="n">
        <f aca="false">1+((P152-122)/74)*(1.15-1)</f>
        <v>1.05067567567568</v>
      </c>
      <c r="R152" s="23" t="n">
        <f aca="false">Q152*L152</f>
        <v>1.05067567567568</v>
      </c>
      <c r="S152" s="23" t="n">
        <f aca="false">J152-R152</f>
        <v>-0.0506756756756757</v>
      </c>
      <c r="T152" s="26" t="n">
        <f aca="false">MIN(122.1,(T151+S152))</f>
        <v>122.049324324324</v>
      </c>
      <c r="V152" s="27" t="n">
        <v>679.6</v>
      </c>
      <c r="W152" s="1" t="n">
        <f aca="false">V152/D152</f>
        <v>144.595744680851</v>
      </c>
      <c r="X152" s="1" t="n">
        <f aca="false">X151+V152</f>
        <v>86068.3</v>
      </c>
      <c r="Y152" s="1" t="n">
        <f aca="false">Y151+V152</f>
        <v>7549.9</v>
      </c>
      <c r="AA152" s="1" t="n">
        <v>9.36057775553823</v>
      </c>
    </row>
    <row r="153" customFormat="false" ht="15" hidden="false" customHeight="false" outlineLevel="0" collapsed="false">
      <c r="A153" s="114"/>
      <c r="B153" s="51"/>
      <c r="C153" s="16" t="n">
        <v>41667</v>
      </c>
      <c r="D153" s="31" t="n">
        <v>4.5</v>
      </c>
      <c r="E153" s="31" t="n">
        <v>2.4</v>
      </c>
      <c r="F153" s="1" t="n">
        <v>5.5</v>
      </c>
      <c r="G153" s="1" t="n">
        <f aca="false">G152+D153</f>
        <v>1433</v>
      </c>
      <c r="H153" s="1" t="n">
        <f aca="false">H152+D153</f>
        <v>177.1</v>
      </c>
      <c r="J153" s="1" t="n">
        <v>4.6</v>
      </c>
      <c r="K153" s="1" t="n">
        <f aca="false">K152+J153</f>
        <v>360.4</v>
      </c>
      <c r="L153" s="1" t="n">
        <v>0.3</v>
      </c>
      <c r="M153" s="1" t="n">
        <f aca="false">M152+L153</f>
        <v>165.6</v>
      </c>
      <c r="N153" s="1" t="n">
        <f aca="false">J153-L153</f>
        <v>4.3</v>
      </c>
      <c r="O153" s="25" t="n">
        <v>122.1</v>
      </c>
      <c r="P153" s="21" t="n">
        <v>148</v>
      </c>
      <c r="Q153" s="53" t="n">
        <f aca="false">1+((P153-122)/74)*(1.15-1)</f>
        <v>1.0527027027027</v>
      </c>
      <c r="R153" s="23" t="n">
        <f aca="false">Q153*L153</f>
        <v>0.315810810810811</v>
      </c>
      <c r="S153" s="23" t="n">
        <f aca="false">J153-R153</f>
        <v>4.28418918918919</v>
      </c>
      <c r="T153" s="26" t="n">
        <f aca="false">MIN(122.1,(T152+S153))</f>
        <v>122.1</v>
      </c>
      <c r="V153" s="27" t="n">
        <v>135.7</v>
      </c>
      <c r="W153" s="1" t="n">
        <f aca="false">V153/D153</f>
        <v>30.1555555555556</v>
      </c>
      <c r="X153" s="1" t="n">
        <f aca="false">X152+V153</f>
        <v>86204</v>
      </c>
      <c r="Y153" s="1" t="n">
        <f aca="false">Y152+V153</f>
        <v>7685.6</v>
      </c>
      <c r="AA153" s="1" t="n">
        <v>9.40349153016949</v>
      </c>
    </row>
    <row r="154" customFormat="false" ht="15" hidden="false" customHeight="false" outlineLevel="0" collapsed="false">
      <c r="A154" s="114"/>
      <c r="B154" s="51"/>
      <c r="C154" s="16" t="n">
        <v>41668</v>
      </c>
      <c r="D154" s="1" t="n">
        <v>5.1</v>
      </c>
      <c r="E154" s="31" t="n">
        <v>4.4</v>
      </c>
      <c r="F154" s="1" t="n">
        <v>6.5</v>
      </c>
      <c r="G154" s="1" t="n">
        <f aca="false">G153+D154</f>
        <v>1438.1</v>
      </c>
      <c r="H154" s="1" t="n">
        <f aca="false">H153+D154</f>
        <v>182.2</v>
      </c>
      <c r="J154" s="1" t="n">
        <v>4.9</v>
      </c>
      <c r="K154" s="1" t="n">
        <f aca="false">K153+J154</f>
        <v>365.3</v>
      </c>
      <c r="L154" s="1" t="n">
        <v>0.5</v>
      </c>
      <c r="M154" s="1" t="n">
        <f aca="false">M153+L154</f>
        <v>166.1</v>
      </c>
      <c r="N154" s="1" t="n">
        <f aca="false">J154-L154</f>
        <v>4.4</v>
      </c>
      <c r="O154" s="25" t="n">
        <v>122.1</v>
      </c>
      <c r="P154" s="21" t="n">
        <v>149</v>
      </c>
      <c r="Q154" s="53" t="n">
        <f aca="false">1+((P154-122)/74)*(1.15-1)</f>
        <v>1.05472972972973</v>
      </c>
      <c r="R154" s="23" t="n">
        <f aca="false">Q154*L154</f>
        <v>0.527364864864865</v>
      </c>
      <c r="S154" s="23" t="n">
        <f aca="false">J154-R154</f>
        <v>4.37263513513514</v>
      </c>
      <c r="T154" s="26" t="n">
        <f aca="false">MIN(122.1,(T153+S154))</f>
        <v>122.1</v>
      </c>
      <c r="V154" s="27" t="n">
        <v>209.6</v>
      </c>
      <c r="W154" s="1" t="n">
        <f aca="false">V154/D154</f>
        <v>41.0980392156863</v>
      </c>
      <c r="X154" s="1" t="n">
        <f aca="false">X153+V154</f>
        <v>86413.6</v>
      </c>
      <c r="Y154" s="1" t="n">
        <f aca="false">Y153+V154</f>
        <v>7895.2</v>
      </c>
      <c r="AA154" s="1" t="n">
        <v>9.44711671120801</v>
      </c>
    </row>
    <row r="155" customFormat="false" ht="15" hidden="false" customHeight="false" outlineLevel="0" collapsed="false">
      <c r="A155" s="114"/>
      <c r="B155" s="51"/>
      <c r="C155" s="16" t="n">
        <v>41669</v>
      </c>
      <c r="D155" s="31" t="n">
        <v>4.7</v>
      </c>
      <c r="E155" s="31" t="n">
        <v>3.7</v>
      </c>
      <c r="F155" s="1" t="n">
        <v>8</v>
      </c>
      <c r="G155" s="1" t="n">
        <f aca="false">G154+D155</f>
        <v>1442.8</v>
      </c>
      <c r="H155" s="1" t="n">
        <f aca="false">H154+D155</f>
        <v>186.9</v>
      </c>
      <c r="J155" s="1" t="n">
        <v>0.3</v>
      </c>
      <c r="K155" s="1" t="n">
        <f aca="false">K154+J155</f>
        <v>365.6</v>
      </c>
      <c r="L155" s="1" t="n">
        <v>0.8</v>
      </c>
      <c r="M155" s="1" t="n">
        <f aca="false">M154+L155</f>
        <v>166.9</v>
      </c>
      <c r="N155" s="19" t="n">
        <f aca="false">J155-L155</f>
        <v>-0.5</v>
      </c>
      <c r="O155" s="25" t="n">
        <f aca="false">O154+N155</f>
        <v>121.6</v>
      </c>
      <c r="P155" s="21" t="n">
        <v>150</v>
      </c>
      <c r="Q155" s="53" t="n">
        <f aca="false">1+((P155-122)/74)*(1.15-1)</f>
        <v>1.05675675675676</v>
      </c>
      <c r="R155" s="23" t="n">
        <f aca="false">Q155*L155</f>
        <v>0.845405405405405</v>
      </c>
      <c r="S155" s="23" t="n">
        <f aca="false">J155-R155</f>
        <v>-0.545405405405405</v>
      </c>
      <c r="T155" s="26" t="n">
        <f aca="false">MIN(122.1,(T154+S155))</f>
        <v>121.554594594595</v>
      </c>
      <c r="V155" s="27" t="n">
        <v>633.7</v>
      </c>
      <c r="W155" s="1" t="n">
        <f aca="false">V155/D155</f>
        <v>134.829787234043</v>
      </c>
      <c r="X155" s="1" t="n">
        <f aca="false">X154+V155</f>
        <v>87047.3</v>
      </c>
      <c r="Y155" s="1" t="n">
        <f aca="false">Y154+V155</f>
        <v>8528.9</v>
      </c>
      <c r="AA155" s="1" t="n">
        <v>9.49142682676316</v>
      </c>
    </row>
    <row r="156" customFormat="false" ht="15" hidden="false" customHeight="false" outlineLevel="0" collapsed="false">
      <c r="A156" s="114"/>
      <c r="B156" s="51"/>
      <c r="C156" s="16" t="n">
        <v>41670</v>
      </c>
      <c r="D156" s="31" t="n">
        <v>4.6</v>
      </c>
      <c r="E156" s="30" t="n">
        <v>-1.6</v>
      </c>
      <c r="F156" s="1" t="n">
        <v>8.7</v>
      </c>
      <c r="G156" s="1" t="n">
        <f aca="false">G155+D156</f>
        <v>1447.4</v>
      </c>
      <c r="H156" s="1" t="n">
        <f aca="false">H155+D156</f>
        <v>191.5</v>
      </c>
      <c r="J156" s="1" t="n">
        <v>2.4</v>
      </c>
      <c r="K156" s="1" t="n">
        <f aca="false">K155+J156</f>
        <v>368</v>
      </c>
      <c r="L156" s="1" t="n">
        <v>0.8</v>
      </c>
      <c r="M156" s="1" t="n">
        <f aca="false">M155+L156</f>
        <v>167.7</v>
      </c>
      <c r="N156" s="1" t="n">
        <f aca="false">J156-L156</f>
        <v>1.6</v>
      </c>
      <c r="O156" s="25" t="n">
        <v>122.1</v>
      </c>
      <c r="P156" s="21" t="n">
        <v>151</v>
      </c>
      <c r="Q156" s="53" t="n">
        <f aca="false">1+((P156-122)/74)*(1.15-1)</f>
        <v>1.05878378378378</v>
      </c>
      <c r="R156" s="23" t="n">
        <f aca="false">Q156*L156</f>
        <v>0.847027027027027</v>
      </c>
      <c r="S156" s="23" t="n">
        <f aca="false">J156-R156</f>
        <v>1.55297297297297</v>
      </c>
      <c r="T156" s="26" t="n">
        <f aca="false">MIN(122.1,(T155+S156))</f>
        <v>122.1</v>
      </c>
      <c r="V156" s="27" t="n">
        <v>836.8</v>
      </c>
      <c r="W156" s="1" t="n">
        <f aca="false">V156/D156</f>
        <v>181.913043478261</v>
      </c>
      <c r="X156" s="1" t="n">
        <f aca="false">X155+V156</f>
        <v>87884.1</v>
      </c>
      <c r="Y156" s="1" t="n">
        <f aca="false">Y155+V156</f>
        <v>9365.7</v>
      </c>
      <c r="AA156" s="1" t="n">
        <v>9.53639584115395</v>
      </c>
    </row>
    <row r="157" customFormat="false" ht="15" hidden="false" customHeight="false" outlineLevel="0" collapsed="false">
      <c r="A157" s="114"/>
      <c r="B157" s="51"/>
      <c r="C157" s="16" t="n">
        <v>41671</v>
      </c>
      <c r="D157" s="1" t="n">
        <v>6.2</v>
      </c>
      <c r="E157" s="1" t="n">
        <v>5.4</v>
      </c>
      <c r="F157" s="1" t="n">
        <v>8</v>
      </c>
      <c r="G157" s="1" t="n">
        <f aca="false">G156+D157</f>
        <v>1453.6</v>
      </c>
      <c r="H157" s="1" t="n">
        <f aca="false">H156+D157</f>
        <v>197.7</v>
      </c>
      <c r="J157" s="1" t="n">
        <v>2</v>
      </c>
      <c r="K157" s="1" t="n">
        <f aca="false">K156+J157</f>
        <v>370</v>
      </c>
      <c r="L157" s="1" t="n">
        <v>0.7</v>
      </c>
      <c r="M157" s="1" t="n">
        <f aca="false">M156+L157</f>
        <v>168.4</v>
      </c>
      <c r="N157" s="1" t="n">
        <f aca="false">J157-L157</f>
        <v>1.3</v>
      </c>
      <c r="O157" s="25" t="n">
        <v>122.1</v>
      </c>
      <c r="P157" s="21" t="n">
        <v>152</v>
      </c>
      <c r="Q157" s="53" t="n">
        <f aca="false">1+((P157-122)/74)*(1.15-1)</f>
        <v>1.06081081081081</v>
      </c>
      <c r="R157" s="23" t="n">
        <f aca="false">Q157*L157</f>
        <v>0.742567567567568</v>
      </c>
      <c r="S157" s="23" t="n">
        <f aca="false">J157-R157</f>
        <v>1.25743243243243</v>
      </c>
      <c r="T157" s="26" t="n">
        <f aca="false">MIN(122.1,(T156+S157))</f>
        <v>122.1</v>
      </c>
      <c r="V157" s="27" t="n">
        <v>261.9</v>
      </c>
      <c r="W157" s="1" t="n">
        <f aca="false">V157/D157</f>
        <v>42.241935483871</v>
      </c>
      <c r="X157" s="1" t="n">
        <f aca="false">X156+V157</f>
        <v>88146</v>
      </c>
      <c r="Y157" s="1" t="n">
        <f aca="false">Y156+V157</f>
        <v>9627.6</v>
      </c>
      <c r="AA157" s="1" t="n">
        <v>9.58199818450757</v>
      </c>
    </row>
    <row r="158" customFormat="false" ht="15" hidden="false" customHeight="false" outlineLevel="0" collapsed="false">
      <c r="A158" s="114"/>
      <c r="B158" s="51"/>
      <c r="C158" s="16" t="n">
        <v>41672</v>
      </c>
      <c r="D158" s="31" t="n">
        <v>4</v>
      </c>
      <c r="E158" s="31" t="n">
        <v>1.2</v>
      </c>
      <c r="F158" s="1" t="n">
        <v>8</v>
      </c>
      <c r="G158" s="1" t="n">
        <f aca="false">G157+D158</f>
        <v>1457.6</v>
      </c>
      <c r="H158" s="1" t="n">
        <f aca="false">H157+D158</f>
        <v>201.7</v>
      </c>
      <c r="J158" s="1" t="n">
        <v>0.1</v>
      </c>
      <c r="K158" s="1" t="n">
        <f aca="false">K157+J158</f>
        <v>370.1</v>
      </c>
      <c r="L158" s="1" t="n">
        <v>0.9</v>
      </c>
      <c r="M158" s="1" t="n">
        <f aca="false">M157+L158</f>
        <v>169.3</v>
      </c>
      <c r="N158" s="19" t="n">
        <f aca="false">J158-L158</f>
        <v>-0.8</v>
      </c>
      <c r="O158" s="25" t="n">
        <f aca="false">O157+N158</f>
        <v>121.3</v>
      </c>
      <c r="P158" s="21" t="n">
        <v>153</v>
      </c>
      <c r="Q158" s="53" t="n">
        <f aca="false">1+((P158-122)/74)*(1.15-1)</f>
        <v>1.06283783783784</v>
      </c>
      <c r="R158" s="23" t="n">
        <f aca="false">Q158*L158</f>
        <v>0.956554054054054</v>
      </c>
      <c r="S158" s="23" t="n">
        <f aca="false">J158-R158</f>
        <v>-0.856554054054054</v>
      </c>
      <c r="T158" s="26" t="n">
        <f aca="false">MIN(122.1,(T157+S158))</f>
        <v>121.243445945946</v>
      </c>
      <c r="V158" s="27" t="n">
        <v>833.4</v>
      </c>
      <c r="W158" s="1" t="n">
        <f aca="false">V158/D158</f>
        <v>208.35</v>
      </c>
      <c r="X158" s="1" t="n">
        <f aca="false">X157+V158</f>
        <v>88979.4</v>
      </c>
      <c r="Y158" s="1" t="n">
        <f aca="false">Y157+V158</f>
        <v>10461</v>
      </c>
      <c r="AA158" s="1" t="n">
        <v>9.62820877904919</v>
      </c>
    </row>
    <row r="159" customFormat="false" ht="15" hidden="false" customHeight="false" outlineLevel="0" collapsed="false">
      <c r="A159" s="114"/>
      <c r="B159" s="51"/>
      <c r="C159" s="16" t="n">
        <v>41673</v>
      </c>
      <c r="D159" s="31" t="n">
        <v>4.8</v>
      </c>
      <c r="E159" s="30" t="n">
        <v>-0.8</v>
      </c>
      <c r="F159" s="1" t="n">
        <v>7.8</v>
      </c>
      <c r="G159" s="1" t="n">
        <f aca="false">G158+D159</f>
        <v>1462.4</v>
      </c>
      <c r="H159" s="1" t="n">
        <f aca="false">H158+D159</f>
        <v>206.5</v>
      </c>
      <c r="J159" s="1" t="n">
        <v>0.9</v>
      </c>
      <c r="K159" s="1" t="n">
        <f aca="false">K158+J159</f>
        <v>371</v>
      </c>
      <c r="L159" s="1" t="n">
        <v>0.7</v>
      </c>
      <c r="M159" s="1" t="n">
        <f aca="false">M158+L159</f>
        <v>170</v>
      </c>
      <c r="N159" s="1" t="n">
        <f aca="false">J159-L159</f>
        <v>0.2</v>
      </c>
      <c r="O159" s="25" t="n">
        <f aca="false">O158+N159</f>
        <v>121.5</v>
      </c>
      <c r="P159" s="21" t="n">
        <v>154</v>
      </c>
      <c r="Q159" s="53" t="n">
        <f aca="false">1+((P159-122)/74)*(1.15-1)</f>
        <v>1.06486486486486</v>
      </c>
      <c r="R159" s="23" t="n">
        <f aca="false">Q159*L159</f>
        <v>0.745405405405405</v>
      </c>
      <c r="S159" s="23" t="n">
        <f aca="false">J159-R159</f>
        <v>0.154594594594595</v>
      </c>
      <c r="T159" s="26" t="n">
        <f aca="false">MIN(122.1,(T158+S159))</f>
        <v>121.398040540541</v>
      </c>
      <c r="V159" s="27" t="n">
        <v>843.2</v>
      </c>
      <c r="W159" s="1" t="n">
        <f aca="false">V159/D159</f>
        <v>175.666666666667</v>
      </c>
      <c r="X159" s="1" t="n">
        <f aca="false">X158+V159</f>
        <v>89822.6</v>
      </c>
      <c r="Y159" s="1" t="n">
        <f aca="false">Y158+V159</f>
        <v>11304.2</v>
      </c>
      <c r="AA159" s="1" t="n">
        <v>9.67500306218346</v>
      </c>
    </row>
    <row r="160" customFormat="false" ht="15" hidden="false" customHeight="false" outlineLevel="0" collapsed="false">
      <c r="A160" s="114"/>
      <c r="B160" s="51"/>
      <c r="C160" s="16" t="n">
        <v>41674</v>
      </c>
      <c r="D160" s="1" t="n">
        <v>6.6</v>
      </c>
      <c r="E160" s="31" t="n">
        <v>3.8</v>
      </c>
      <c r="F160" s="1" t="n">
        <v>9.2</v>
      </c>
      <c r="G160" s="1" t="n">
        <f aca="false">G159+D160</f>
        <v>1469</v>
      </c>
      <c r="H160" s="1" t="n">
        <f aca="false">H159+D160</f>
        <v>213.1</v>
      </c>
      <c r="J160" s="1" t="n">
        <v>1.8</v>
      </c>
      <c r="K160" s="1" t="n">
        <f aca="false">K159+J160</f>
        <v>372.8</v>
      </c>
      <c r="L160" s="1" t="n">
        <v>1.2</v>
      </c>
      <c r="M160" s="1" t="n">
        <f aca="false">M159+L160</f>
        <v>171.2</v>
      </c>
      <c r="N160" s="1" t="n">
        <f aca="false">J160-L160</f>
        <v>0.6</v>
      </c>
      <c r="O160" s="25" t="n">
        <f aca="false">O159+N160</f>
        <v>122.1</v>
      </c>
      <c r="P160" s="21" t="n">
        <v>155</v>
      </c>
      <c r="Q160" s="53" t="n">
        <f aca="false">1+((P160-122)/74)*(1.15-1)</f>
        <v>1.06689189189189</v>
      </c>
      <c r="R160" s="23" t="n">
        <f aca="false">Q160*L160</f>
        <v>1.28027027027027</v>
      </c>
      <c r="S160" s="23" t="n">
        <f aca="false">J160-R160</f>
        <v>0.51972972972973</v>
      </c>
      <c r="T160" s="26" t="n">
        <f aca="false">MIN(122.1,(T159+S160))</f>
        <v>121.91777027027</v>
      </c>
      <c r="V160" s="27" t="n">
        <v>376.1</v>
      </c>
      <c r="W160" s="1" t="n">
        <f aca="false">V160/D160</f>
        <v>56.9848484848485</v>
      </c>
      <c r="X160" s="1" t="n">
        <f aca="false">X159+V160</f>
        <v>90198.7</v>
      </c>
      <c r="Y160" s="1" t="n">
        <f aca="false">Y159+V160</f>
        <v>11680.3</v>
      </c>
      <c r="AA160" s="1" t="n">
        <v>9.72235700647876</v>
      </c>
    </row>
    <row r="161" customFormat="false" ht="15" hidden="false" customHeight="false" outlineLevel="0" collapsed="false">
      <c r="A161" s="114"/>
      <c r="B161" s="51"/>
      <c r="C161" s="16" t="n">
        <v>41675</v>
      </c>
      <c r="D161" s="1" t="n">
        <v>7</v>
      </c>
      <c r="E161" s="1" t="n">
        <v>6.5</v>
      </c>
      <c r="F161" s="1" t="n">
        <v>8.1</v>
      </c>
      <c r="G161" s="1" t="n">
        <f aca="false">G160+D161</f>
        <v>1476</v>
      </c>
      <c r="H161" s="1" t="n">
        <f aca="false">H160+D161</f>
        <v>220.1</v>
      </c>
      <c r="J161" s="1" t="n">
        <v>1.2</v>
      </c>
      <c r="K161" s="1" t="n">
        <f aca="false">K160+J161</f>
        <v>374</v>
      </c>
      <c r="L161" s="1" t="n">
        <v>1.2</v>
      </c>
      <c r="M161" s="1" t="n">
        <f aca="false">M160+L161</f>
        <v>172.4</v>
      </c>
      <c r="N161" s="1" t="n">
        <f aca="false">J161-L161</f>
        <v>0</v>
      </c>
      <c r="O161" s="25" t="n">
        <f aca="false">O160+N161</f>
        <v>122.1</v>
      </c>
      <c r="P161" s="21" t="n">
        <v>156</v>
      </c>
      <c r="Q161" s="53" t="n">
        <f aca="false">1+((P161-122)/74)*(1.15-1)</f>
        <v>1.06891891891892</v>
      </c>
      <c r="R161" s="23" t="n">
        <f aca="false">Q161*L161</f>
        <v>1.2827027027027</v>
      </c>
      <c r="S161" s="23" t="n">
        <f aca="false">J161-R161</f>
        <v>-0.0827027027027025</v>
      </c>
      <c r="T161" s="26" t="n">
        <f aca="false">MIN(122.1,(T160+S161))</f>
        <v>121.835067567568</v>
      </c>
      <c r="V161" s="27" t="n">
        <v>522.3</v>
      </c>
      <c r="W161" s="1" t="n">
        <f aca="false">V161/D161</f>
        <v>74.6142857142857</v>
      </c>
      <c r="X161" s="1" t="n">
        <f aca="false">X160+V161</f>
        <v>90721</v>
      </c>
      <c r="Y161" s="1" t="n">
        <f aca="false">Y160+V161</f>
        <v>12202.6</v>
      </c>
      <c r="AA161" s="1" t="n">
        <v>9.77024713667516</v>
      </c>
    </row>
    <row r="162" customFormat="false" ht="15" hidden="false" customHeight="false" outlineLevel="0" collapsed="false">
      <c r="A162" s="114"/>
      <c r="B162" s="51"/>
      <c r="C162" s="16" t="n">
        <v>41676</v>
      </c>
      <c r="D162" s="1" t="n">
        <v>9.6</v>
      </c>
      <c r="E162" s="31" t="n">
        <v>4.7</v>
      </c>
      <c r="F162" s="1" t="n">
        <v>13.1</v>
      </c>
      <c r="G162" s="1" t="n">
        <f aca="false">G161+D162</f>
        <v>1485.6</v>
      </c>
      <c r="H162" s="1" t="n">
        <f aca="false">H161+D162</f>
        <v>229.7</v>
      </c>
      <c r="J162" s="1" t="n">
        <v>0.8</v>
      </c>
      <c r="K162" s="1" t="n">
        <f aca="false">K161+J162</f>
        <v>374.8</v>
      </c>
      <c r="L162" s="1" t="n">
        <v>1.7</v>
      </c>
      <c r="M162" s="1" t="n">
        <f aca="false">M161+L162</f>
        <v>174.1</v>
      </c>
      <c r="N162" s="19" t="n">
        <f aca="false">J162-L162</f>
        <v>-0.9</v>
      </c>
      <c r="O162" s="25" t="n">
        <f aca="false">O161+N162</f>
        <v>121.2</v>
      </c>
      <c r="P162" s="21" t="n">
        <v>157</v>
      </c>
      <c r="Q162" s="53" t="n">
        <f aca="false">1+((P162-122)/74)*(1.15-1)</f>
        <v>1.07094594594595</v>
      </c>
      <c r="R162" s="23" t="n">
        <f aca="false">Q162*L162</f>
        <v>1.82060810810811</v>
      </c>
      <c r="S162" s="23" t="n">
        <f aca="false">J162-R162</f>
        <v>-1.02060810810811</v>
      </c>
      <c r="T162" s="26" t="n">
        <f aca="false">MIN(122.1,(T161+S162))</f>
        <v>120.814459459459</v>
      </c>
      <c r="V162" s="27" t="n">
        <v>338.5</v>
      </c>
      <c r="W162" s="1" t="n">
        <f aca="false">V162/D162</f>
        <v>35.2604166666667</v>
      </c>
      <c r="X162" s="1" t="n">
        <f aca="false">X161+V162</f>
        <v>91059.5</v>
      </c>
      <c r="Y162" s="1" t="n">
        <f aca="false">Y161+V162</f>
        <v>12541.1</v>
      </c>
      <c r="AA162" s="1" t="n">
        <v>9.81865054384372</v>
      </c>
    </row>
    <row r="163" customFormat="false" ht="15" hidden="false" customHeight="false" outlineLevel="0" collapsed="false">
      <c r="A163" s="114"/>
      <c r="B163" s="51"/>
      <c r="C163" s="16" t="n">
        <v>41677</v>
      </c>
      <c r="D163" s="1" t="n">
        <v>9.5</v>
      </c>
      <c r="E163" s="1" t="n">
        <v>8.5</v>
      </c>
      <c r="F163" s="1" t="n">
        <v>10.7</v>
      </c>
      <c r="G163" s="1" t="n">
        <f aca="false">G162+D163</f>
        <v>1495.1</v>
      </c>
      <c r="H163" s="1" t="n">
        <f aca="false">H162+D163</f>
        <v>239.2</v>
      </c>
      <c r="J163" s="1" t="n">
        <v>1.6</v>
      </c>
      <c r="K163" s="1" t="n">
        <f aca="false">K162+J163</f>
        <v>376.4</v>
      </c>
      <c r="L163" s="1" t="n">
        <v>2.4</v>
      </c>
      <c r="M163" s="1" t="n">
        <f aca="false">M162+L163</f>
        <v>176.5</v>
      </c>
      <c r="N163" s="19" t="n">
        <f aca="false">J163-L163</f>
        <v>-0.8</v>
      </c>
      <c r="O163" s="25" t="n">
        <f aca="false">O162+N163</f>
        <v>120.4</v>
      </c>
      <c r="P163" s="21" t="n">
        <v>158</v>
      </c>
      <c r="Q163" s="53" t="n">
        <f aca="false">1+((P163-122)/74)*(1.15-1)</f>
        <v>1.07297297297297</v>
      </c>
      <c r="R163" s="23" t="n">
        <f aca="false">Q163*L163</f>
        <v>2.57513513513514</v>
      </c>
      <c r="S163" s="23" t="n">
        <f aca="false">J163-R163</f>
        <v>-0.975135135135135</v>
      </c>
      <c r="T163" s="26" t="n">
        <f aca="false">MIN(122.1,(T162+S163))</f>
        <v>119.839324324324</v>
      </c>
      <c r="V163" s="27" t="n">
        <v>575.6</v>
      </c>
      <c r="W163" s="1" t="n">
        <f aca="false">V163/D163</f>
        <v>60.5894736842105</v>
      </c>
      <c r="X163" s="1" t="n">
        <f aca="false">X162+V163</f>
        <v>91635.1</v>
      </c>
      <c r="Y163" s="1" t="n">
        <f aca="false">Y162+V163</f>
        <v>13116.7</v>
      </c>
      <c r="AA163" s="1" t="n">
        <v>9.86754489683116</v>
      </c>
    </row>
    <row r="164" customFormat="false" ht="15" hidden="false" customHeight="false" outlineLevel="0" collapsed="false">
      <c r="A164" s="114"/>
      <c r="B164" s="51"/>
      <c r="C164" s="16" t="n">
        <v>41678</v>
      </c>
      <c r="D164" s="1" t="n">
        <v>6.8</v>
      </c>
      <c r="E164" s="1" t="n">
        <v>5.6</v>
      </c>
      <c r="F164" s="1" t="n">
        <v>8.5</v>
      </c>
      <c r="G164" s="1" t="n">
        <f aca="false">G163+D164</f>
        <v>1501.9</v>
      </c>
      <c r="H164" s="1" t="n">
        <f aca="false">H163+D164</f>
        <v>246</v>
      </c>
      <c r="J164" s="1" t="n">
        <v>10.8</v>
      </c>
      <c r="K164" s="1" t="n">
        <f aca="false">K163+J164</f>
        <v>387.2</v>
      </c>
      <c r="L164" s="1" t="n">
        <v>1</v>
      </c>
      <c r="M164" s="1" t="n">
        <f aca="false">M163+L164</f>
        <v>177.5</v>
      </c>
      <c r="N164" s="1" t="n">
        <f aca="false">J164-L164</f>
        <v>9.8</v>
      </c>
      <c r="O164" s="25" t="n">
        <v>122.1</v>
      </c>
      <c r="P164" s="21" t="n">
        <v>159</v>
      </c>
      <c r="Q164" s="53" t="n">
        <f aca="false">1+((P164-122)/74)*(1.15-1)</f>
        <v>1.075</v>
      </c>
      <c r="R164" s="23" t="n">
        <f aca="false">Q164*L164</f>
        <v>1.075</v>
      </c>
      <c r="S164" s="23" t="n">
        <f aca="false">J164-R164</f>
        <v>9.725</v>
      </c>
      <c r="T164" s="26" t="n">
        <f aca="false">MIN(122.1,(T163+S164))</f>
        <v>122.1</v>
      </c>
      <c r="V164" s="27" t="n">
        <v>197.8</v>
      </c>
      <c r="W164" s="1" t="n">
        <f aca="false">V164/D164</f>
        <v>29.0882352941177</v>
      </c>
      <c r="X164" s="1" t="n">
        <f aca="false">X163+V164</f>
        <v>91832.9</v>
      </c>
      <c r="Y164" s="1" t="n">
        <f aca="false">Y163+V164</f>
        <v>13314.5</v>
      </c>
      <c r="AA164" s="1" t="n">
        <v>9.91690845112729</v>
      </c>
    </row>
    <row r="165" customFormat="false" ht="15" hidden="false" customHeight="false" outlineLevel="0" collapsed="false">
      <c r="A165" s="114"/>
      <c r="B165" s="51"/>
      <c r="C165" s="16" t="n">
        <v>41679</v>
      </c>
      <c r="D165" s="31" t="n">
        <v>4.8</v>
      </c>
      <c r="E165" s="31" t="n">
        <v>2.7</v>
      </c>
      <c r="F165" s="1" t="n">
        <v>6.8</v>
      </c>
      <c r="G165" s="1" t="n">
        <f aca="false">G164+D165</f>
        <v>1506.7</v>
      </c>
      <c r="H165" s="1" t="n">
        <f aca="false">H164+D165</f>
        <v>250.8</v>
      </c>
      <c r="J165" s="1" t="n">
        <v>3.6</v>
      </c>
      <c r="K165" s="1" t="n">
        <f aca="false">K164+J165</f>
        <v>390.8</v>
      </c>
      <c r="L165" s="1" t="n">
        <v>0.8</v>
      </c>
      <c r="M165" s="1" t="n">
        <f aca="false">M164+L165</f>
        <v>178.3</v>
      </c>
      <c r="N165" s="1" t="n">
        <f aca="false">J165-L165</f>
        <v>2.8</v>
      </c>
      <c r="O165" s="25" t="n">
        <v>122.1</v>
      </c>
      <c r="P165" s="21" t="n">
        <v>160</v>
      </c>
      <c r="Q165" s="53" t="n">
        <f aca="false">1+((P165-122)/74)*(1.15-1)</f>
        <v>1.07702702702703</v>
      </c>
      <c r="R165" s="23" t="n">
        <f aca="false">Q165*L165</f>
        <v>0.861621621621622</v>
      </c>
      <c r="S165" s="23" t="n">
        <f aca="false">J165-R165</f>
        <v>2.73837837837838</v>
      </c>
      <c r="T165" s="26" t="n">
        <f aca="false">MIN(122.1,(T164+S165))</f>
        <v>122.1</v>
      </c>
      <c r="V165" s="27" t="n">
        <v>497.9</v>
      </c>
      <c r="W165" s="1" t="n">
        <f aca="false">V165/D165</f>
        <v>103.729166666667</v>
      </c>
      <c r="X165" s="1" t="n">
        <f aca="false">X164+V165</f>
        <v>92330.8</v>
      </c>
      <c r="Y165" s="1" t="n">
        <f aca="false">Y164+V165</f>
        <v>13812.4</v>
      </c>
      <c r="AA165" s="1" t="n">
        <v>9.96672005529559</v>
      </c>
    </row>
    <row r="166" customFormat="false" ht="15" hidden="false" customHeight="false" outlineLevel="0" collapsed="false">
      <c r="A166" s="114"/>
      <c r="B166" s="51"/>
      <c r="C166" s="16" t="n">
        <v>41680</v>
      </c>
      <c r="D166" s="31" t="n">
        <v>5</v>
      </c>
      <c r="E166" s="31" t="n">
        <v>4.5</v>
      </c>
      <c r="F166" s="1" t="n">
        <v>6.1</v>
      </c>
      <c r="G166" s="1" t="n">
        <f aca="false">G165+D166</f>
        <v>1511.7</v>
      </c>
      <c r="H166" s="1" t="n">
        <f aca="false">H165+D166</f>
        <v>255.8</v>
      </c>
      <c r="J166" s="1" t="n">
        <v>4.7</v>
      </c>
      <c r="K166" s="1" t="n">
        <f aca="false">K165+J166</f>
        <v>395.5</v>
      </c>
      <c r="L166" s="1" t="n">
        <v>0.5</v>
      </c>
      <c r="M166" s="1" t="n">
        <f aca="false">M165+L166</f>
        <v>178.8</v>
      </c>
      <c r="N166" s="1" t="n">
        <f aca="false">J166-L166</f>
        <v>4.2</v>
      </c>
      <c r="O166" s="25" t="n">
        <v>122.1</v>
      </c>
      <c r="P166" s="21" t="n">
        <v>161</v>
      </c>
      <c r="Q166" s="53" t="n">
        <f aca="false">1+((P166-122)/74)*(1.15-1)</f>
        <v>1.07905405405405</v>
      </c>
      <c r="R166" s="23" t="n">
        <f aca="false">Q166*L166</f>
        <v>0.539527027027027</v>
      </c>
      <c r="S166" s="23" t="n">
        <f aca="false">J166-R166</f>
        <v>4.16047297297297</v>
      </c>
      <c r="T166" s="26" t="n">
        <f aca="false">MIN(122.1,(T165+S166))</f>
        <v>122.1</v>
      </c>
      <c r="V166" s="27" t="n">
        <v>252.5</v>
      </c>
      <c r="W166" s="1" t="n">
        <f aca="false">V166/D166</f>
        <v>50.5</v>
      </c>
      <c r="X166" s="1" t="n">
        <f aca="false">X165+V166</f>
        <v>92583.3</v>
      </c>
      <c r="Y166" s="1" t="n">
        <f aca="false">Y165+V166</f>
        <v>14064.9</v>
      </c>
      <c r="AA166" s="1" t="n">
        <v>10.0169591551084</v>
      </c>
    </row>
    <row r="167" customFormat="false" ht="15" hidden="false" customHeight="false" outlineLevel="0" collapsed="false">
      <c r="A167" s="114"/>
      <c r="B167" s="51"/>
      <c r="C167" s="16" t="n">
        <v>41681</v>
      </c>
      <c r="D167" s="31" t="n">
        <v>4.1</v>
      </c>
      <c r="E167" s="31" t="n">
        <v>0.9</v>
      </c>
      <c r="F167" s="1" t="n">
        <v>7.3</v>
      </c>
      <c r="G167" s="1" t="n">
        <f aca="false">G166+D167</f>
        <v>1515.8</v>
      </c>
      <c r="H167" s="1" t="n">
        <f aca="false">H166+D167</f>
        <v>259.9</v>
      </c>
      <c r="J167" s="1" t="n">
        <v>4.8</v>
      </c>
      <c r="K167" s="1" t="n">
        <f aca="false">K166+J167</f>
        <v>400.3</v>
      </c>
      <c r="L167" s="1" t="n">
        <v>0.6</v>
      </c>
      <c r="M167" s="1" t="n">
        <f aca="false">M166+L167</f>
        <v>179.4</v>
      </c>
      <c r="N167" s="1" t="n">
        <f aca="false">J167-L167</f>
        <v>4.2</v>
      </c>
      <c r="O167" s="25" t="n">
        <v>122.1</v>
      </c>
      <c r="P167" s="21" t="n">
        <v>162</v>
      </c>
      <c r="Q167" s="53" t="n">
        <f aca="false">1+((P167-122)/74)*(1.15-1)</f>
        <v>1.08108108108108</v>
      </c>
      <c r="R167" s="23" t="n">
        <f aca="false">Q167*L167</f>
        <v>0.648648648648649</v>
      </c>
      <c r="S167" s="23" t="n">
        <f aca="false">J167-R167</f>
        <v>4.15135135135135</v>
      </c>
      <c r="T167" s="26" t="n">
        <f aca="false">MIN(122.1,(T166+S167))</f>
        <v>122.1</v>
      </c>
      <c r="V167" s="27" t="n">
        <v>590.6</v>
      </c>
      <c r="W167" s="1" t="n">
        <f aca="false">V167/D167</f>
        <v>144.048780487805</v>
      </c>
      <c r="X167" s="1" t="n">
        <f aca="false">X166+V167</f>
        <v>93173.9</v>
      </c>
      <c r="Y167" s="1" t="n">
        <f aca="false">Y166+V167</f>
        <v>14655.5</v>
      </c>
      <c r="AA167" s="1" t="n">
        <v>10.0676057955279</v>
      </c>
    </row>
    <row r="168" customFormat="false" ht="15" hidden="false" customHeight="false" outlineLevel="0" collapsed="false">
      <c r="A168" s="114"/>
      <c r="B168" s="51"/>
      <c r="C168" s="16" t="n">
        <v>41682</v>
      </c>
      <c r="D168" s="1" t="n">
        <v>5.9</v>
      </c>
      <c r="E168" s="31" t="n">
        <v>0.9</v>
      </c>
      <c r="F168" s="1" t="n">
        <v>8.9</v>
      </c>
      <c r="G168" s="1" t="n">
        <f aca="false">G167+D168</f>
        <v>1521.7</v>
      </c>
      <c r="H168" s="1" t="n">
        <f aca="false">H167+D168</f>
        <v>265.8</v>
      </c>
      <c r="J168" s="1" t="n">
        <v>8.8</v>
      </c>
      <c r="K168" s="1" t="n">
        <f aca="false">K167+J168</f>
        <v>409.1</v>
      </c>
      <c r="L168" s="1" t="n">
        <v>0.8</v>
      </c>
      <c r="M168" s="1" t="n">
        <f aca="false">M167+L168</f>
        <v>180.2</v>
      </c>
      <c r="N168" s="1" t="n">
        <f aca="false">J168-L168</f>
        <v>8</v>
      </c>
      <c r="O168" s="25" t="n">
        <v>122.1</v>
      </c>
      <c r="P168" s="21" t="n">
        <v>163</v>
      </c>
      <c r="Q168" s="53" t="n">
        <f aca="false">1+((P168-122)/74)*(1.15-1)</f>
        <v>1.08310810810811</v>
      </c>
      <c r="R168" s="23" t="n">
        <f aca="false">Q168*L168</f>
        <v>0.866486486486486</v>
      </c>
      <c r="S168" s="23" t="n">
        <f aca="false">J168-R168</f>
        <v>7.93351351351351</v>
      </c>
      <c r="T168" s="26" t="n">
        <f aca="false">MIN(122.1,(T167+S168))</f>
        <v>122.1</v>
      </c>
      <c r="V168" s="1" t="n">
        <v>942.4</v>
      </c>
      <c r="W168" s="1" t="n">
        <f aca="false">V168/D168</f>
        <v>159.728813559322</v>
      </c>
      <c r="X168" s="1" t="n">
        <f aca="false">X167+V168</f>
        <v>94116.3</v>
      </c>
      <c r="Y168" s="1" t="n">
        <f aca="false">Y167+V168</f>
        <v>15597.9</v>
      </c>
      <c r="AA168" s="1" t="n">
        <v>10.1186406206742</v>
      </c>
    </row>
    <row r="169" customFormat="false" ht="15" hidden="false" customHeight="false" outlineLevel="0" collapsed="false">
      <c r="A169" s="114"/>
      <c r="B169" s="51"/>
      <c r="C169" s="16" t="n">
        <v>41683</v>
      </c>
      <c r="D169" s="1" t="n">
        <v>7.7</v>
      </c>
      <c r="E169" s="1" t="n">
        <v>6.2</v>
      </c>
      <c r="F169" s="1" t="n">
        <v>10.3</v>
      </c>
      <c r="G169" s="1" t="n">
        <f aca="false">G168+D169</f>
        <v>1529.4</v>
      </c>
      <c r="H169" s="1" t="n">
        <f aca="false">H168+D169</f>
        <v>273.5</v>
      </c>
      <c r="J169" s="1" t="n">
        <v>7.1</v>
      </c>
      <c r="K169" s="1" t="n">
        <f aca="false">K168+J169</f>
        <v>416.2</v>
      </c>
      <c r="L169" s="1" t="n">
        <v>1.1</v>
      </c>
      <c r="M169" s="1" t="n">
        <f aca="false">M168+L169</f>
        <v>181.3</v>
      </c>
      <c r="N169" s="1" t="n">
        <f aca="false">J169-L169</f>
        <v>6</v>
      </c>
      <c r="O169" s="25" t="n">
        <v>122.1</v>
      </c>
      <c r="P169" s="21" t="n">
        <v>164</v>
      </c>
      <c r="Q169" s="53" t="n">
        <f aca="false">1+((P169-122)/74)*(1.15-1)</f>
        <v>1.08513513513514</v>
      </c>
      <c r="R169" s="23" t="n">
        <f aca="false">Q169*L169</f>
        <v>1.19364864864865</v>
      </c>
      <c r="S169" s="23" t="n">
        <f aca="false">J169-R169</f>
        <v>5.90635135135135</v>
      </c>
      <c r="T169" s="26" t="n">
        <f aca="false">MIN(122.1,(T168+S169))</f>
        <v>122.1</v>
      </c>
      <c r="V169" s="27" t="n">
        <v>198.4</v>
      </c>
      <c r="W169" s="1" t="n">
        <f aca="false">V169/D169</f>
        <v>25.7662337662338</v>
      </c>
      <c r="X169" s="1" t="n">
        <f aca="false">X168+V169</f>
        <v>94314.7</v>
      </c>
      <c r="Y169" s="1" t="n">
        <f aca="false">Y168+V169</f>
        <v>15796.3</v>
      </c>
      <c r="AA169" s="1" t="n">
        <v>10.1700448719174</v>
      </c>
    </row>
    <row r="170" customFormat="false" ht="15" hidden="false" customHeight="false" outlineLevel="0" collapsed="false">
      <c r="A170" s="114"/>
      <c r="B170" s="51"/>
      <c r="C170" s="16" t="n">
        <v>41684</v>
      </c>
      <c r="D170" s="1" t="n">
        <v>10.6</v>
      </c>
      <c r="E170" s="31" t="n">
        <v>4.9</v>
      </c>
      <c r="F170" s="1" t="n">
        <v>15.7</v>
      </c>
      <c r="G170" s="1" t="n">
        <f aca="false">G169+D170</f>
        <v>1540</v>
      </c>
      <c r="H170" s="1" t="n">
        <f aca="false">H169+D170</f>
        <v>284.1</v>
      </c>
      <c r="J170" s="1" t="n">
        <v>2.3</v>
      </c>
      <c r="K170" s="1" t="n">
        <f aca="false">K169+J170</f>
        <v>418.5</v>
      </c>
      <c r="L170" s="1" t="n">
        <v>1.4</v>
      </c>
      <c r="M170" s="1" t="n">
        <f aca="false">M169+L170</f>
        <v>182.7</v>
      </c>
      <c r="N170" s="1" t="n">
        <f aca="false">J170-L170</f>
        <v>0.9</v>
      </c>
      <c r="O170" s="25" t="n">
        <v>122.1</v>
      </c>
      <c r="P170" s="21" t="n">
        <v>165</v>
      </c>
      <c r="Q170" s="53" t="n">
        <f aca="false">1+((P170-122)/74)*(1.15-1)</f>
        <v>1.08716216216216</v>
      </c>
      <c r="R170" s="23" t="n">
        <f aca="false">Q170*L170</f>
        <v>1.52202702702703</v>
      </c>
      <c r="S170" s="23" t="n">
        <f aca="false">J170-R170</f>
        <v>0.777972972972973</v>
      </c>
      <c r="T170" s="26" t="n">
        <f aca="false">MIN(122.1,(T169+S170))</f>
        <v>122.1</v>
      </c>
      <c r="V170" s="27" t="n">
        <v>429.3</v>
      </c>
      <c r="W170" s="1" t="n">
        <f aca="false">V170/D170</f>
        <v>40.5</v>
      </c>
      <c r="X170" s="1" t="n">
        <f aca="false">X169+V170</f>
        <v>94744</v>
      </c>
      <c r="Y170" s="1" t="n">
        <f aca="false">Y169+V170</f>
        <v>16225.6</v>
      </c>
      <c r="AA170" s="1" t="n">
        <v>10.2218003842305</v>
      </c>
    </row>
    <row r="171" customFormat="false" ht="15" hidden="false" customHeight="false" outlineLevel="0" collapsed="false">
      <c r="A171" s="114"/>
      <c r="B171" s="51"/>
      <c r="C171" s="16" t="n">
        <v>41685</v>
      </c>
      <c r="D171" s="1" t="n">
        <v>8</v>
      </c>
      <c r="E171" s="1" t="n">
        <v>7.4</v>
      </c>
      <c r="F171" s="1" t="n">
        <v>8.9</v>
      </c>
      <c r="G171" s="1" t="n">
        <f aca="false">G170+D171</f>
        <v>1548</v>
      </c>
      <c r="H171" s="1" t="n">
        <f aca="false">H170+D171</f>
        <v>292.1</v>
      </c>
      <c r="J171" s="1" t="n">
        <v>7.3</v>
      </c>
      <c r="K171" s="1" t="n">
        <f aca="false">K170+J171</f>
        <v>425.8</v>
      </c>
      <c r="L171" s="1" t="n">
        <v>0.9</v>
      </c>
      <c r="M171" s="1" t="n">
        <f aca="false">M170+L171</f>
        <v>183.6</v>
      </c>
      <c r="N171" s="1" t="n">
        <f aca="false">J171-L171</f>
        <v>6.4</v>
      </c>
      <c r="O171" s="25" t="n">
        <v>122.1</v>
      </c>
      <c r="P171" s="21" t="n">
        <v>166</v>
      </c>
      <c r="Q171" s="53" t="n">
        <f aca="false">1+((P171-122)/74)*(1.15-1)</f>
        <v>1.08918918918919</v>
      </c>
      <c r="R171" s="23" t="n">
        <f aca="false">Q171*L171</f>
        <v>0.98027027027027</v>
      </c>
      <c r="S171" s="23" t="n">
        <f aca="false">J171-R171</f>
        <v>6.31972972972973</v>
      </c>
      <c r="T171" s="26" t="n">
        <f aca="false">MIN(122.1,(T170+S171))</f>
        <v>122.1</v>
      </c>
      <c r="V171" s="27" t="n">
        <v>363.4</v>
      </c>
      <c r="W171" s="1" t="n">
        <f aca="false">V171/D171</f>
        <v>45.425</v>
      </c>
      <c r="X171" s="1" t="n">
        <f aca="false">X170+V171</f>
        <v>95107.4</v>
      </c>
      <c r="Y171" s="1" t="n">
        <f aca="false">Y170+V171</f>
        <v>16589</v>
      </c>
      <c r="AA171" s="1" t="n">
        <v>10.2738895809354</v>
      </c>
    </row>
    <row r="172" customFormat="false" ht="15" hidden="false" customHeight="false" outlineLevel="0" collapsed="false">
      <c r="A172" s="114"/>
      <c r="B172" s="51"/>
      <c r="C172" s="16" t="n">
        <v>41686</v>
      </c>
      <c r="D172" s="1" t="n">
        <v>6.9</v>
      </c>
      <c r="E172" s="1" t="n">
        <v>5.6</v>
      </c>
      <c r="F172" s="1" t="n">
        <v>9.5</v>
      </c>
      <c r="G172" s="1" t="n">
        <f aca="false">G171+D172</f>
        <v>1554.9</v>
      </c>
      <c r="H172" s="1" t="n">
        <f aca="false">H171+D172</f>
        <v>299</v>
      </c>
      <c r="J172" s="1" t="n">
        <v>0.3</v>
      </c>
      <c r="K172" s="1" t="n">
        <f aca="false">K171+J172</f>
        <v>426.1</v>
      </c>
      <c r="L172" s="1" t="n">
        <v>0.9</v>
      </c>
      <c r="M172" s="1" t="n">
        <f aca="false">M171+L172</f>
        <v>184.5</v>
      </c>
      <c r="N172" s="19" t="n">
        <f aca="false">J172-L172</f>
        <v>-0.6</v>
      </c>
      <c r="O172" s="25" t="n">
        <f aca="false">O171+N172</f>
        <v>121.5</v>
      </c>
      <c r="P172" s="21" t="n">
        <v>167</v>
      </c>
      <c r="Q172" s="53" t="n">
        <f aca="false">1+((P172-122)/74)*(1.15-1)</f>
        <v>1.09121621621622</v>
      </c>
      <c r="R172" s="23" t="n">
        <f aca="false">Q172*L172</f>
        <v>0.982094594594595</v>
      </c>
      <c r="S172" s="23" t="n">
        <f aca="false">J172-R172</f>
        <v>-0.682094594594595</v>
      </c>
      <c r="T172" s="26" t="n">
        <f aca="false">MIN(122.1,(T171+S172))</f>
        <v>121.417905405405</v>
      </c>
      <c r="V172" s="27" t="n">
        <v>437.5</v>
      </c>
      <c r="W172" s="1" t="n">
        <f aca="false">V172/D172</f>
        <v>63.4057971014493</v>
      </c>
      <c r="X172" s="1" t="n">
        <f aca="false">X171+V172</f>
        <v>95544.9</v>
      </c>
      <c r="Y172" s="1" t="n">
        <f aca="false">Y171+V172</f>
        <v>17026.5</v>
      </c>
      <c r="AA172" s="1" t="n">
        <v>10.3262954669682</v>
      </c>
    </row>
    <row r="173" customFormat="false" ht="15" hidden="false" customHeight="false" outlineLevel="0" collapsed="false">
      <c r="A173" s="114"/>
      <c r="B173" s="51"/>
      <c r="C173" s="16" t="n">
        <v>41687</v>
      </c>
      <c r="D173" s="1" t="n">
        <v>5.8</v>
      </c>
      <c r="E173" s="31" t="n">
        <v>1.6</v>
      </c>
      <c r="F173" s="1" t="n">
        <v>11</v>
      </c>
      <c r="G173" s="1" t="n">
        <f aca="false">G172+D173</f>
        <v>1560.7</v>
      </c>
      <c r="H173" s="1" t="n">
        <f aca="false">H172+D173</f>
        <v>304.8</v>
      </c>
      <c r="J173" s="1" t="n">
        <v>0</v>
      </c>
      <c r="K173" s="1" t="n">
        <f aca="false">K172+J173</f>
        <v>426.1</v>
      </c>
      <c r="L173" s="1" t="n">
        <v>1.3</v>
      </c>
      <c r="M173" s="1" t="n">
        <f aca="false">M172+L173</f>
        <v>185.8</v>
      </c>
      <c r="N173" s="19" t="n">
        <f aca="false">J173-L173</f>
        <v>-1.3</v>
      </c>
      <c r="O173" s="25" t="n">
        <f aca="false">O172+N173</f>
        <v>120.2</v>
      </c>
      <c r="P173" s="21" t="n">
        <v>168</v>
      </c>
      <c r="Q173" s="53" t="n">
        <f aca="false">1+((P173-122)/74)*(1.15-1)</f>
        <v>1.09324324324324</v>
      </c>
      <c r="R173" s="23" t="n">
        <f aca="false">Q173*L173</f>
        <v>1.42121621621622</v>
      </c>
      <c r="S173" s="23" t="n">
        <f aca="false">J173-R173</f>
        <v>-1.42121621621622</v>
      </c>
      <c r="T173" s="26" t="n">
        <f aca="false">MIN(122.1,(T172+S173))</f>
        <v>119.996689189189</v>
      </c>
      <c r="V173" s="1" t="n">
        <v>1172.7</v>
      </c>
      <c r="W173" s="1" t="n">
        <f aca="false">V173/D173</f>
        <v>202.189655172414</v>
      </c>
      <c r="X173" s="1" t="n">
        <f aca="false">X172+V173</f>
        <v>96717.6</v>
      </c>
      <c r="Y173" s="1" t="n">
        <f aca="false">Y172+V173</f>
        <v>18199.2</v>
      </c>
      <c r="AA173" s="1" t="n">
        <v>10.3790016207895</v>
      </c>
    </row>
    <row r="174" customFormat="false" ht="15" hidden="false" customHeight="false" outlineLevel="0" collapsed="false">
      <c r="A174" s="114"/>
      <c r="B174" s="51"/>
      <c r="C174" s="16" t="n">
        <v>41688</v>
      </c>
      <c r="D174" s="1" t="n">
        <v>6.3</v>
      </c>
      <c r="E174" s="31" t="n">
        <v>2.7</v>
      </c>
      <c r="F174" s="1" t="n">
        <v>10.2</v>
      </c>
      <c r="G174" s="1" t="n">
        <f aca="false">G173+D174</f>
        <v>1567</v>
      </c>
      <c r="H174" s="1" t="n">
        <f aca="false">H173+D174</f>
        <v>311.1</v>
      </c>
      <c r="J174" s="1" t="n">
        <v>0.6</v>
      </c>
      <c r="K174" s="1" t="n">
        <f aca="false">K173+J174</f>
        <v>426.7</v>
      </c>
      <c r="L174" s="1" t="n">
        <v>0.6</v>
      </c>
      <c r="M174" s="1" t="n">
        <f aca="false">M173+L174</f>
        <v>186.4</v>
      </c>
      <c r="N174" s="1" t="n">
        <f aca="false">J174-L174</f>
        <v>0</v>
      </c>
      <c r="O174" s="25" t="n">
        <f aca="false">O173+N174</f>
        <v>120.2</v>
      </c>
      <c r="P174" s="21" t="n">
        <v>169</v>
      </c>
      <c r="Q174" s="53" t="n">
        <f aca="false">1+((P174-122)/74)*(1.15-1)</f>
        <v>1.09527027027027</v>
      </c>
      <c r="R174" s="23" t="n">
        <f aca="false">Q174*L174</f>
        <v>0.657162162162162</v>
      </c>
      <c r="S174" s="23" t="n">
        <f aca="false">J174-R174</f>
        <v>-0.0571621621621621</v>
      </c>
      <c r="T174" s="26" t="n">
        <f aca="false">MIN(122.1,(T173+S174))</f>
        <v>119.939527027027</v>
      </c>
      <c r="V174" s="27" t="n">
        <v>437.7</v>
      </c>
      <c r="W174" s="1" t="n">
        <f aca="false">V174/D174</f>
        <v>69.4761904761905</v>
      </c>
      <c r="X174" s="1" t="n">
        <f aca="false">X173+V174</f>
        <v>97155.3</v>
      </c>
      <c r="Y174" s="1" t="n">
        <f aca="false">Y173+V174</f>
        <v>18636.9</v>
      </c>
      <c r="AA174" s="1" t="n">
        <v>10.4319921850562</v>
      </c>
    </row>
    <row r="175" customFormat="false" ht="15" hidden="false" customHeight="false" outlineLevel="0" collapsed="false">
      <c r="A175" s="114"/>
      <c r="B175" s="51"/>
      <c r="C175" s="16" t="n">
        <v>41689</v>
      </c>
      <c r="D175" s="1" t="n">
        <v>7.6</v>
      </c>
      <c r="E175" s="31" t="n">
        <v>4.5</v>
      </c>
      <c r="F175" s="1" t="n">
        <v>10</v>
      </c>
      <c r="G175" s="1" t="n">
        <f aca="false">G174+D175</f>
        <v>1574.6</v>
      </c>
      <c r="H175" s="1" t="n">
        <f aca="false">H174+D175</f>
        <v>318.7</v>
      </c>
      <c r="J175" s="1" t="n">
        <v>1.4</v>
      </c>
      <c r="K175" s="1" t="n">
        <f aca="false">K174+J175</f>
        <v>428.1</v>
      </c>
      <c r="L175" s="1" t="n">
        <v>0.5</v>
      </c>
      <c r="M175" s="1" t="n">
        <f aca="false">M174+L175</f>
        <v>186.9</v>
      </c>
      <c r="N175" s="1" t="n">
        <f aca="false">J175-L175</f>
        <v>0.9</v>
      </c>
      <c r="O175" s="25" t="n">
        <f aca="false">O174+N175</f>
        <v>121.1</v>
      </c>
      <c r="P175" s="21" t="n">
        <v>170</v>
      </c>
      <c r="Q175" s="53" t="n">
        <f aca="false">1+((P175-122)/74)*(1.15-1)</f>
        <v>1.0972972972973</v>
      </c>
      <c r="R175" s="23" t="n">
        <f aca="false">Q175*L175</f>
        <v>0.548648648648649</v>
      </c>
      <c r="S175" s="23" t="n">
        <f aca="false">J175-R175</f>
        <v>0.851351351351351</v>
      </c>
      <c r="T175" s="26" t="n">
        <f aca="false">MIN(122.1,(T174+S175))</f>
        <v>120.790878378378</v>
      </c>
      <c r="V175" s="27" t="n">
        <v>437.8</v>
      </c>
      <c r="W175" s="1" t="n">
        <f aca="false">V175/D175</f>
        <v>57.6052631578947</v>
      </c>
      <c r="X175" s="1" t="n">
        <f aca="false">X174+V175</f>
        <v>97593.1</v>
      </c>
      <c r="Y175" s="1" t="n">
        <f aca="false">Y174+V175</f>
        <v>19074.7</v>
      </c>
      <c r="AA175" s="1" t="n">
        <v>10.4852518561687</v>
      </c>
    </row>
    <row r="176" customFormat="false" ht="15" hidden="false" customHeight="false" outlineLevel="0" collapsed="false">
      <c r="A176" s="114"/>
      <c r="B176" s="51"/>
      <c r="C176" s="16" t="n">
        <v>41690</v>
      </c>
      <c r="D176" s="1" t="n">
        <v>9.1</v>
      </c>
      <c r="E176" s="1" t="n">
        <v>7.6</v>
      </c>
      <c r="F176" s="1" t="n">
        <v>10.6</v>
      </c>
      <c r="G176" s="1" t="n">
        <f aca="false">G175+D176</f>
        <v>1583.7</v>
      </c>
      <c r="H176" s="1" t="n">
        <f aca="false">H175+D176</f>
        <v>327.8</v>
      </c>
      <c r="J176" s="1" t="n">
        <v>3</v>
      </c>
      <c r="K176" s="1" t="n">
        <f aca="false">K175+J176</f>
        <v>431.1</v>
      </c>
      <c r="L176" s="1" t="n">
        <v>0.6</v>
      </c>
      <c r="M176" s="1" t="n">
        <f aca="false">M175+L176</f>
        <v>187.5</v>
      </c>
      <c r="N176" s="1" t="n">
        <f aca="false">J176-L176</f>
        <v>2.4</v>
      </c>
      <c r="O176" s="25" t="n">
        <v>122.1</v>
      </c>
      <c r="P176" s="21" t="n">
        <v>171</v>
      </c>
      <c r="Q176" s="53" t="n">
        <f aca="false">1+((P176-122)/74)*(1.15-1)</f>
        <v>1.09932432432432</v>
      </c>
      <c r="R176" s="23" t="n">
        <f aca="false">Q176*L176</f>
        <v>0.659594594594595</v>
      </c>
      <c r="S176" s="23" t="n">
        <f aca="false">J176-R176</f>
        <v>2.34040540540541</v>
      </c>
      <c r="T176" s="26" t="n">
        <f aca="false">MIN(122.1,(T175+S176))</f>
        <v>122.1</v>
      </c>
      <c r="V176" s="27" t="n">
        <v>242.1</v>
      </c>
      <c r="W176" s="1" t="n">
        <f aca="false">V176/D176</f>
        <v>26.6043956043956</v>
      </c>
      <c r="X176" s="1" t="n">
        <f aca="false">X175+V176</f>
        <v>97835.2</v>
      </c>
      <c r="Y176" s="1" t="n">
        <f aca="false">Y175+V176</f>
        <v>19316.8</v>
      </c>
      <c r="AA176" s="1" t="n">
        <v>10.5387658728016</v>
      </c>
    </row>
    <row r="177" customFormat="false" ht="15" hidden="false" customHeight="false" outlineLevel="0" collapsed="false">
      <c r="A177" s="114"/>
      <c r="B177" s="51"/>
      <c r="C177" s="16" t="n">
        <v>41691</v>
      </c>
      <c r="D177" s="1" t="n">
        <v>6.3</v>
      </c>
      <c r="E177" s="1" t="n">
        <v>5.4</v>
      </c>
      <c r="F177" s="1" t="n">
        <v>8.6</v>
      </c>
      <c r="G177" s="1" t="n">
        <f aca="false">G176+D177</f>
        <v>1590</v>
      </c>
      <c r="H177" s="1" t="n">
        <f aca="false">H176+D177</f>
        <v>334.1</v>
      </c>
      <c r="J177" s="1" t="n">
        <v>1.5</v>
      </c>
      <c r="K177" s="1" t="n">
        <f aca="false">K176+J177</f>
        <v>432.6</v>
      </c>
      <c r="L177" s="1" t="n">
        <v>1.3</v>
      </c>
      <c r="M177" s="1" t="n">
        <f aca="false">M176+L177</f>
        <v>188.8</v>
      </c>
      <c r="N177" s="1" t="n">
        <f aca="false">J177-L177</f>
        <v>0.2</v>
      </c>
      <c r="O177" s="25" t="n">
        <v>122.1</v>
      </c>
      <c r="P177" s="21" t="n">
        <v>172</v>
      </c>
      <c r="Q177" s="53" t="n">
        <f aca="false">1+((P177-122)/74)*(1.15-1)</f>
        <v>1.10135135135135</v>
      </c>
      <c r="R177" s="23" t="n">
        <f aca="false">Q177*L177</f>
        <v>1.43175675675676</v>
      </c>
      <c r="S177" s="23" t="n">
        <f aca="false">J177-R177</f>
        <v>0.0682432432432432</v>
      </c>
      <c r="T177" s="26" t="n">
        <f aca="false">MIN(122.1,(T176+S177))</f>
        <v>122.1</v>
      </c>
      <c r="V177" s="27" t="n">
        <v>752.7</v>
      </c>
      <c r="W177" s="1" t="n">
        <f aca="false">V177/D177</f>
        <v>119.47619047619</v>
      </c>
      <c r="X177" s="1" t="n">
        <f aca="false">X176+V177</f>
        <v>98587.9</v>
      </c>
      <c r="Y177" s="1" t="n">
        <f aca="false">Y176+V177</f>
        <v>20069.5</v>
      </c>
      <c r="AA177" s="1" t="n">
        <v>10.5925200035183</v>
      </c>
    </row>
    <row r="178" customFormat="false" ht="15" hidden="false" customHeight="false" outlineLevel="0" collapsed="false">
      <c r="A178" s="114"/>
      <c r="B178" s="51"/>
      <c r="C178" s="16" t="n">
        <v>41692</v>
      </c>
      <c r="D178" s="1" t="n">
        <v>7.1</v>
      </c>
      <c r="E178" s="31" t="n">
        <v>4</v>
      </c>
      <c r="F178" s="1" t="n">
        <v>9.2</v>
      </c>
      <c r="G178" s="1" t="n">
        <f aca="false">G177+D178</f>
        <v>1597.1</v>
      </c>
      <c r="H178" s="1" t="n">
        <f aca="false">H177+D178</f>
        <v>341.2</v>
      </c>
      <c r="J178" s="1" t="n">
        <v>1</v>
      </c>
      <c r="K178" s="1" t="n">
        <f aca="false">K177+J178</f>
        <v>433.6</v>
      </c>
      <c r="L178" s="1" t="n">
        <v>0.4</v>
      </c>
      <c r="M178" s="1" t="n">
        <f aca="false">M177+L178</f>
        <v>189.2</v>
      </c>
      <c r="N178" s="1" t="n">
        <f aca="false">J178-L178</f>
        <v>0.6</v>
      </c>
      <c r="O178" s="25" t="n">
        <v>122.1</v>
      </c>
      <c r="P178" s="21" t="n">
        <v>173</v>
      </c>
      <c r="Q178" s="53" t="n">
        <f aca="false">1+((P178-122)/74)*(1.15-1)</f>
        <v>1.10337837837838</v>
      </c>
      <c r="R178" s="23" t="n">
        <f aca="false">Q178*L178</f>
        <v>0.441351351351351</v>
      </c>
      <c r="S178" s="23" t="n">
        <f aca="false">J178-R178</f>
        <v>0.558648648648649</v>
      </c>
      <c r="T178" s="26" t="n">
        <f aca="false">MIN(122.1,(T177+S178))</f>
        <v>122.1</v>
      </c>
      <c r="V178" s="27" t="n">
        <v>225.7</v>
      </c>
      <c r="W178" s="1" t="n">
        <f aca="false">V178/D178</f>
        <v>31.7887323943662</v>
      </c>
      <c r="X178" s="1" t="n">
        <f aca="false">X177+V178</f>
        <v>98813.6</v>
      </c>
      <c r="Y178" s="1" t="n">
        <f aca="false">Y177+V178</f>
        <v>20295.2</v>
      </c>
      <c r="AA178" s="1" t="n">
        <v>10.6465005335669</v>
      </c>
    </row>
    <row r="179" customFormat="false" ht="15" hidden="false" customHeight="false" outlineLevel="0" collapsed="false">
      <c r="A179" s="114"/>
      <c r="B179" s="51"/>
      <c r="C179" s="16" t="n">
        <v>41693</v>
      </c>
      <c r="D179" s="1" t="n">
        <v>7.3</v>
      </c>
      <c r="E179" s="31" t="n">
        <v>3.7</v>
      </c>
      <c r="F179" s="1" t="n">
        <v>11.3</v>
      </c>
      <c r="G179" s="1" t="n">
        <f aca="false">G178+D179</f>
        <v>1604.4</v>
      </c>
      <c r="H179" s="1" t="n">
        <f aca="false">H178+D179</f>
        <v>348.5</v>
      </c>
      <c r="J179" s="1" t="n">
        <v>0</v>
      </c>
      <c r="K179" s="1" t="n">
        <f aca="false">K178+J179</f>
        <v>433.6</v>
      </c>
      <c r="L179" s="1" t="n">
        <v>1.5</v>
      </c>
      <c r="M179" s="1" t="n">
        <f aca="false">M178+L179</f>
        <v>190.7</v>
      </c>
      <c r="N179" s="19" t="n">
        <f aca="false">J179-L179</f>
        <v>-1.5</v>
      </c>
      <c r="O179" s="25" t="n">
        <f aca="false">O178+N179</f>
        <v>120.6</v>
      </c>
      <c r="P179" s="21" t="n">
        <v>174</v>
      </c>
      <c r="Q179" s="53" t="n">
        <f aca="false">1+((P179-122)/74)*(1.15-1)</f>
        <v>1.10540540540541</v>
      </c>
      <c r="R179" s="23" t="n">
        <f aca="false">Q179*L179</f>
        <v>1.65810810810811</v>
      </c>
      <c r="S179" s="23" t="n">
        <f aca="false">J179-R179</f>
        <v>-1.65810810810811</v>
      </c>
      <c r="T179" s="26" t="n">
        <f aca="false">MIN(122.1,(T178+S179))</f>
        <v>120.441891891892</v>
      </c>
      <c r="V179" s="1" t="n">
        <v>1186.1</v>
      </c>
      <c r="W179" s="1" t="n">
        <f aca="false">V179/D179</f>
        <v>162.479452054795</v>
      </c>
      <c r="X179" s="1" t="n">
        <f aca="false">X178+V179</f>
        <v>99999.7</v>
      </c>
      <c r="Y179" s="1" t="n">
        <f aca="false">Y178+V179</f>
        <v>21481.3</v>
      </c>
      <c r="AA179" s="1" t="n">
        <v>10.7006942509475</v>
      </c>
    </row>
    <row r="180" customFormat="false" ht="15" hidden="false" customHeight="false" outlineLevel="0" collapsed="false">
      <c r="A180" s="114"/>
      <c r="B180" s="51"/>
      <c r="C180" s="16" t="n">
        <v>41694</v>
      </c>
      <c r="D180" s="1" t="n">
        <v>8.5</v>
      </c>
      <c r="E180" s="31" t="n">
        <v>0.9</v>
      </c>
      <c r="F180" s="1" t="n">
        <v>15.4</v>
      </c>
      <c r="G180" s="1" t="n">
        <f aca="false">G179+D180</f>
        <v>1612.9</v>
      </c>
      <c r="H180" s="1" t="n">
        <f aca="false">H179+D180</f>
        <v>357</v>
      </c>
      <c r="J180" s="1" t="n">
        <v>0</v>
      </c>
      <c r="K180" s="1" t="n">
        <f aca="false">K179+J180</f>
        <v>433.6</v>
      </c>
      <c r="L180" s="1" t="n">
        <v>2</v>
      </c>
      <c r="M180" s="1" t="n">
        <f aca="false">M179+L180</f>
        <v>192.7</v>
      </c>
      <c r="N180" s="19" t="n">
        <f aca="false">J180-L180</f>
        <v>-2</v>
      </c>
      <c r="O180" s="25" t="n">
        <f aca="false">O179+N180</f>
        <v>118.6</v>
      </c>
      <c r="P180" s="21" t="n">
        <v>175</v>
      </c>
      <c r="Q180" s="53" t="n">
        <f aca="false">1+((P180-122)/74)*(1.15-1)</f>
        <v>1.10743243243243</v>
      </c>
      <c r="R180" s="23" t="n">
        <f aca="false">Q180*L180</f>
        <v>2.21486486486486</v>
      </c>
      <c r="S180" s="23" t="n">
        <f aca="false">J180-R180</f>
        <v>-2.21486486486486</v>
      </c>
      <c r="T180" s="26" t="n">
        <f aca="false">MIN(122.1,(T179+S180))</f>
        <v>118.227027027027</v>
      </c>
      <c r="V180" s="1" t="n">
        <v>1164.2</v>
      </c>
      <c r="W180" s="1" t="n">
        <f aca="false">V180/D180</f>
        <v>136.964705882353</v>
      </c>
      <c r="X180" s="1" t="n">
        <f aca="false">X179+V180</f>
        <v>101163.9</v>
      </c>
      <c r="Y180" s="1" t="n">
        <f aca="false">Y179+V180</f>
        <v>22645.5</v>
      </c>
      <c r="AA180" s="1" t="n">
        <v>10.7550884318351</v>
      </c>
    </row>
    <row r="181" customFormat="false" ht="15" hidden="false" customHeight="false" outlineLevel="0" collapsed="false">
      <c r="A181" s="114"/>
      <c r="B181" s="51"/>
      <c r="C181" s="16" t="n">
        <v>41695</v>
      </c>
      <c r="D181" s="1" t="n">
        <v>8.6</v>
      </c>
      <c r="E181" s="1" t="n">
        <v>6.4</v>
      </c>
      <c r="F181" s="1" t="n">
        <v>11.6</v>
      </c>
      <c r="G181" s="1" t="n">
        <f aca="false">G180+D181</f>
        <v>1621.5</v>
      </c>
      <c r="H181" s="1" t="n">
        <f aca="false">H180+D181</f>
        <v>365.6</v>
      </c>
      <c r="J181" s="1" t="n">
        <v>5.4</v>
      </c>
      <c r="K181" s="1" t="n">
        <f aca="false">K180+J181</f>
        <v>439</v>
      </c>
      <c r="L181" s="1" t="n">
        <v>1.7</v>
      </c>
      <c r="M181" s="1" t="n">
        <f aca="false">M180+L181</f>
        <v>194.4</v>
      </c>
      <c r="N181" s="1" t="n">
        <f aca="false">J181-L181</f>
        <v>3.7</v>
      </c>
      <c r="O181" s="25" t="n">
        <v>122.1</v>
      </c>
      <c r="P181" s="21" t="n">
        <v>176</v>
      </c>
      <c r="Q181" s="53" t="n">
        <f aca="false">1+((P181-122)/74)*(1.15-1)</f>
        <v>1.10945945945946</v>
      </c>
      <c r="R181" s="23" t="n">
        <f aca="false">Q181*L181</f>
        <v>1.88608108108108</v>
      </c>
      <c r="S181" s="23" t="n">
        <f aca="false">J181-R181</f>
        <v>3.51391891891892</v>
      </c>
      <c r="T181" s="26" t="n">
        <f aca="false">MIN(122.1,(T180+S181))</f>
        <v>121.740945945946</v>
      </c>
      <c r="V181" s="27" t="n">
        <v>618</v>
      </c>
      <c r="W181" s="1" t="n">
        <f aca="false">V181/D181</f>
        <v>71.8604651162791</v>
      </c>
      <c r="X181" s="1" t="n">
        <f aca="false">X180+V181</f>
        <v>101781.9</v>
      </c>
      <c r="Y181" s="1" t="n">
        <f aca="false">Y180+V181</f>
        <v>23263.5</v>
      </c>
      <c r="AA181" s="1" t="n">
        <v>10.8096708254366</v>
      </c>
    </row>
    <row r="182" customFormat="false" ht="15" hidden="false" customHeight="false" outlineLevel="0" collapsed="false">
      <c r="A182" s="114"/>
      <c r="B182" s="51"/>
      <c r="C182" s="16" t="n">
        <v>41696</v>
      </c>
      <c r="D182" s="31" t="n">
        <v>5</v>
      </c>
      <c r="E182" s="31" t="n">
        <v>1.9</v>
      </c>
      <c r="F182" s="1" t="n">
        <v>8.3</v>
      </c>
      <c r="G182" s="1" t="n">
        <f aca="false">G181+D182</f>
        <v>1626.5</v>
      </c>
      <c r="H182" s="1" t="n">
        <f aca="false">H181+D182</f>
        <v>370.6</v>
      </c>
      <c r="J182" s="1" t="n">
        <v>0.2</v>
      </c>
      <c r="K182" s="1" t="n">
        <f aca="false">K181+J182</f>
        <v>439.2</v>
      </c>
      <c r="L182" s="1" t="n">
        <v>1.2</v>
      </c>
      <c r="M182" s="1" t="n">
        <f aca="false">M181+L182</f>
        <v>195.6</v>
      </c>
      <c r="N182" s="19" t="n">
        <f aca="false">J182-L182</f>
        <v>-1</v>
      </c>
      <c r="O182" s="25" t="n">
        <f aca="false">O181+N182</f>
        <v>121.1</v>
      </c>
      <c r="P182" s="21" t="n">
        <v>177</v>
      </c>
      <c r="Q182" s="53" t="n">
        <f aca="false">1+((P182-122)/74)*(1.15-1)</f>
        <v>1.11148648648649</v>
      </c>
      <c r="R182" s="23" t="n">
        <f aca="false">Q182*L182</f>
        <v>1.33378378378378</v>
      </c>
      <c r="S182" s="23" t="n">
        <f aca="false">J182-R182</f>
        <v>-1.13378378378378</v>
      </c>
      <c r="T182" s="26" t="n">
        <f aca="false">MIN(122.1,(T181+S182))</f>
        <v>120.607162162162</v>
      </c>
      <c r="V182" s="1" t="n">
        <v>1007.5</v>
      </c>
      <c r="W182" s="1" t="n">
        <f aca="false">V182/D182</f>
        <v>201.5</v>
      </c>
      <c r="X182" s="1" t="n">
        <f aca="false">X181+V182</f>
        <v>102789.4</v>
      </c>
      <c r="Y182" s="1" t="n">
        <f aca="false">Y181+V182</f>
        <v>24271</v>
      </c>
      <c r="AA182" s="1" t="n">
        <v>10.8644296383567</v>
      </c>
    </row>
    <row r="183" customFormat="false" ht="15" hidden="false" customHeight="false" outlineLevel="0" collapsed="false">
      <c r="A183" s="114"/>
      <c r="B183" s="51"/>
      <c r="C183" s="16" t="n">
        <v>41697</v>
      </c>
      <c r="D183" s="1" t="n">
        <v>5.5</v>
      </c>
      <c r="E183" s="31" t="n">
        <v>3.3</v>
      </c>
      <c r="F183" s="1" t="n">
        <v>7.2</v>
      </c>
      <c r="G183" s="1" t="n">
        <f aca="false">G182+D183</f>
        <v>1632</v>
      </c>
      <c r="H183" s="1" t="n">
        <f aca="false">H182+D183</f>
        <v>376.1</v>
      </c>
      <c r="J183" s="1" t="n">
        <v>13.7</v>
      </c>
      <c r="K183" s="1" t="n">
        <f aca="false">K182+J183</f>
        <v>452.9</v>
      </c>
      <c r="L183" s="1" t="n">
        <v>0.4</v>
      </c>
      <c r="M183" s="1" t="n">
        <f aca="false">M182+L183</f>
        <v>196</v>
      </c>
      <c r="N183" s="1" t="n">
        <f aca="false">J183-L183</f>
        <v>13.3</v>
      </c>
      <c r="O183" s="25" t="n">
        <v>122.1</v>
      </c>
      <c r="P183" s="21" t="n">
        <v>178</v>
      </c>
      <c r="Q183" s="53" t="n">
        <f aca="false">1+((P183-122)/74)*(1.15-1)</f>
        <v>1.11351351351351</v>
      </c>
      <c r="R183" s="23" t="n">
        <f aca="false">Q183*L183</f>
        <v>0.445405405405405</v>
      </c>
      <c r="S183" s="23" t="n">
        <f aca="false">J183-R183</f>
        <v>13.2545945945946</v>
      </c>
      <c r="T183" s="26" t="n">
        <f aca="false">MIN(122.1,(T182+S183))</f>
        <v>122.1</v>
      </c>
      <c r="V183" s="27" t="n">
        <v>285.4</v>
      </c>
      <c r="W183" s="1" t="n">
        <f aca="false">V183/D183</f>
        <v>51.8909090909091</v>
      </c>
      <c r="X183" s="1" t="n">
        <f aca="false">X182+V183</f>
        <v>103074.8</v>
      </c>
      <c r="Y183" s="1" t="n">
        <f aca="false">Y182+V183</f>
        <v>24556.4</v>
      </c>
      <c r="AA183" s="1" t="n">
        <v>10.9193535185382</v>
      </c>
    </row>
    <row r="184" customFormat="false" ht="15" hidden="false" customHeight="false" outlineLevel="0" collapsed="false">
      <c r="A184" s="114"/>
      <c r="B184" s="51"/>
      <c r="C184" s="16" t="n">
        <v>41698</v>
      </c>
      <c r="D184" s="1" t="n">
        <v>6.8</v>
      </c>
      <c r="E184" s="1" t="n">
        <v>5.9</v>
      </c>
      <c r="F184" s="1" t="n">
        <v>8.5</v>
      </c>
      <c r="G184" s="1" t="n">
        <f aca="false">G183+D184</f>
        <v>1638.8</v>
      </c>
      <c r="H184" s="1" t="n">
        <f aca="false">H183+D184</f>
        <v>382.9</v>
      </c>
      <c r="J184" s="1" t="n">
        <v>7.2</v>
      </c>
      <c r="K184" s="1" t="n">
        <f aca="false">K183+J184</f>
        <v>460.1</v>
      </c>
      <c r="L184" s="1" t="n">
        <v>1.5</v>
      </c>
      <c r="M184" s="1" t="n">
        <f aca="false">M183+L184</f>
        <v>197.5</v>
      </c>
      <c r="N184" s="1" t="n">
        <f aca="false">J184-L184</f>
        <v>5.7</v>
      </c>
      <c r="O184" s="25" t="n">
        <v>122.1</v>
      </c>
      <c r="P184" s="21" t="n">
        <v>179</v>
      </c>
      <c r="Q184" s="53" t="n">
        <f aca="false">1+((P184-122)/74)*(1.15-1)</f>
        <v>1.11554054054054</v>
      </c>
      <c r="R184" s="23" t="n">
        <f aca="false">Q184*L184</f>
        <v>1.67331081081081</v>
      </c>
      <c r="S184" s="23" t="n">
        <f aca="false">J184-R184</f>
        <v>5.52668918918919</v>
      </c>
      <c r="T184" s="26" t="n">
        <f aca="false">MIN(122.1,(T183+S184))</f>
        <v>122.1</v>
      </c>
      <c r="V184" s="27" t="n">
        <v>830.7</v>
      </c>
      <c r="W184" s="1" t="n">
        <f aca="false">V184/D184</f>
        <v>122.161764705882</v>
      </c>
      <c r="X184" s="1" t="n">
        <f aca="false">X183+V184</f>
        <v>103905.5</v>
      </c>
      <c r="Y184" s="1" t="n">
        <f aca="false">Y183+V184</f>
        <v>25387.1</v>
      </c>
      <c r="AA184" s="1" t="n">
        <v>10.9744315388407</v>
      </c>
    </row>
    <row r="185" customFormat="false" ht="15" hidden="false" customHeight="false" outlineLevel="0" collapsed="false">
      <c r="A185" s="114"/>
      <c r="B185" s="51"/>
      <c r="C185" s="16" t="n">
        <v>41699</v>
      </c>
      <c r="D185" s="31" t="n">
        <v>4.9</v>
      </c>
      <c r="E185" s="31" t="n">
        <v>4.4</v>
      </c>
      <c r="F185" s="1" t="n">
        <v>7.5</v>
      </c>
      <c r="G185" s="1" t="n">
        <f aca="false">G184+D185</f>
        <v>1643.7</v>
      </c>
      <c r="H185" s="1" t="n">
        <f aca="false">H184+D185</f>
        <v>387.8</v>
      </c>
      <c r="J185" s="1" t="n">
        <v>0</v>
      </c>
      <c r="K185" s="1" t="n">
        <f aca="false">K184+J185</f>
        <v>460.1</v>
      </c>
      <c r="L185" s="1" t="n">
        <v>1.6</v>
      </c>
      <c r="M185" s="1" t="n">
        <f aca="false">M184+L185</f>
        <v>199.1</v>
      </c>
      <c r="N185" s="19" t="n">
        <f aca="false">J185-L185</f>
        <v>-1.6</v>
      </c>
      <c r="O185" s="25" t="n">
        <f aca="false">O184+N185</f>
        <v>120.5</v>
      </c>
      <c r="P185" s="21" t="n">
        <v>180</v>
      </c>
      <c r="Q185" s="53" t="n">
        <f aca="false">1+((P185-122)/74)*(1.15-1)</f>
        <v>1.11756756756757</v>
      </c>
      <c r="R185" s="23" t="n">
        <f aca="false">Q185*L185</f>
        <v>1.78810810810811</v>
      </c>
      <c r="S185" s="23" t="n">
        <f aca="false">J185-R185</f>
        <v>-1.78810810810811</v>
      </c>
      <c r="T185" s="26" t="n">
        <f aca="false">MIN(122.1,(T184+S185))</f>
        <v>120.311891891892</v>
      </c>
      <c r="V185" s="1" t="n">
        <v>1081.8</v>
      </c>
      <c r="W185" s="1" t="n">
        <f aca="false">V185/D185</f>
        <v>220.775510204082</v>
      </c>
      <c r="X185" s="1" t="n">
        <f aca="false">X184+V185</f>
        <v>104987.3</v>
      </c>
      <c r="Y185" s="1" t="n">
        <f aca="false">Y184+V185</f>
        <v>26468.9</v>
      </c>
      <c r="AA185" s="1" t="n">
        <v>11.0296531803146</v>
      </c>
    </row>
    <row r="186" customFormat="false" ht="15" hidden="false" customHeight="false" outlineLevel="0" collapsed="false">
      <c r="A186" s="114"/>
      <c r="B186" s="51"/>
      <c r="C186" s="16" t="n">
        <v>41700</v>
      </c>
      <c r="D186" s="1" t="n">
        <v>5.1</v>
      </c>
      <c r="E186" s="30" t="n">
        <v>-1.4</v>
      </c>
      <c r="F186" s="1" t="n">
        <v>10</v>
      </c>
      <c r="G186" s="1" t="n">
        <f aca="false">G185+D186</f>
        <v>1648.8</v>
      </c>
      <c r="H186" s="1" t="n">
        <f aca="false">H185+D186</f>
        <v>392.9</v>
      </c>
      <c r="J186" s="1" t="n">
        <v>4.2</v>
      </c>
      <c r="K186" s="1" t="n">
        <f aca="false">K185+J186</f>
        <v>464.3</v>
      </c>
      <c r="L186" s="1" t="n">
        <v>1.4</v>
      </c>
      <c r="M186" s="1" t="n">
        <f aca="false">M185+L186</f>
        <v>200.5</v>
      </c>
      <c r="N186" s="1" t="n">
        <f aca="false">J186-L186</f>
        <v>2.8</v>
      </c>
      <c r="O186" s="25" t="n">
        <v>122.1</v>
      </c>
      <c r="P186" s="21" t="n">
        <v>181</v>
      </c>
      <c r="Q186" s="53" t="n">
        <f aca="false">1+((P186-122)/74)*(1.15-1)</f>
        <v>1.11959459459459</v>
      </c>
      <c r="R186" s="23" t="n">
        <f aca="false">Q186*L186</f>
        <v>1.56743243243243</v>
      </c>
      <c r="S186" s="23" t="n">
        <f aca="false">J186-R186</f>
        <v>2.63256756756757</v>
      </c>
      <c r="T186" s="26" t="n">
        <f aca="false">MIN(122.1,(T185+S186))</f>
        <v>122.1</v>
      </c>
      <c r="V186" s="1" t="n">
        <v>1259.3</v>
      </c>
      <c r="W186" s="1" t="n">
        <f aca="false">V186/D186</f>
        <v>246.921568627451</v>
      </c>
      <c r="X186" s="1" t="n">
        <f aca="false">X185+V186</f>
        <v>106246.6</v>
      </c>
      <c r="Y186" s="1" t="n">
        <f aca="false">Y185+V186</f>
        <v>27728.2</v>
      </c>
      <c r="AA186" s="1" t="n">
        <v>11.0850083152216</v>
      </c>
    </row>
    <row r="187" customFormat="false" ht="15" hidden="false" customHeight="false" outlineLevel="0" collapsed="false">
      <c r="A187" s="114"/>
      <c r="B187" s="51"/>
      <c r="C187" s="16" t="n">
        <v>41701</v>
      </c>
      <c r="D187" s="1" t="n">
        <v>5.7</v>
      </c>
      <c r="E187" s="31" t="n">
        <v>3.8</v>
      </c>
      <c r="F187" s="1" t="n">
        <v>8.4</v>
      </c>
      <c r="G187" s="1" t="n">
        <f aca="false">G186+D187</f>
        <v>1654.5</v>
      </c>
      <c r="H187" s="1" t="n">
        <f aca="false">H186+D187</f>
        <v>398.6</v>
      </c>
      <c r="J187" s="1" t="n">
        <v>2.9</v>
      </c>
      <c r="K187" s="1" t="n">
        <f aca="false">K186+J187</f>
        <v>467.2</v>
      </c>
      <c r="L187" s="1" t="n">
        <v>1.1</v>
      </c>
      <c r="M187" s="1" t="n">
        <f aca="false">M186+L187</f>
        <v>201.6</v>
      </c>
      <c r="N187" s="1" t="n">
        <f aca="false">J187-L187</f>
        <v>1.8</v>
      </c>
      <c r="O187" s="25" t="n">
        <v>122.1</v>
      </c>
      <c r="P187" s="21" t="n">
        <v>182</v>
      </c>
      <c r="Q187" s="53" t="n">
        <f aca="false">1+((P187-122)/74)*(1.15-1)</f>
        <v>1.12162162162162</v>
      </c>
      <c r="R187" s="23" t="n">
        <f aca="false">Q187*L187</f>
        <v>1.23378378378378</v>
      </c>
      <c r="S187" s="23" t="n">
        <f aca="false">J187-R187</f>
        <v>1.66621621621622</v>
      </c>
      <c r="T187" s="26" t="n">
        <f aca="false">MIN(122.1,(T186+S187))</f>
        <v>122.1</v>
      </c>
      <c r="V187" s="27" t="n">
        <v>605.1</v>
      </c>
      <c r="W187" s="1" t="n">
        <f aca="false">V187/D187</f>
        <v>106.157894736842</v>
      </c>
      <c r="X187" s="1" t="n">
        <f aca="false">X186+V187</f>
        <v>106851.7</v>
      </c>
      <c r="Y187" s="1" t="n">
        <f aca="false">Y186+V187</f>
        <v>28333.3</v>
      </c>
      <c r="AA187" s="1" t="n">
        <v>11.140487189851</v>
      </c>
    </row>
    <row r="188" customFormat="false" ht="15" hidden="false" customHeight="false" outlineLevel="0" collapsed="false">
      <c r="A188" s="114"/>
      <c r="B188" s="51"/>
      <c r="C188" s="16" t="n">
        <v>41702</v>
      </c>
      <c r="D188" s="1" t="n">
        <v>5.9</v>
      </c>
      <c r="E188" s="31" t="n">
        <v>4.2</v>
      </c>
      <c r="F188" s="1" t="n">
        <v>8.8</v>
      </c>
      <c r="G188" s="1" t="n">
        <f aca="false">G187+D188</f>
        <v>1660.4</v>
      </c>
      <c r="H188" s="1" t="n">
        <f aca="false">H187+D188</f>
        <v>404.5</v>
      </c>
      <c r="J188" s="1" t="n">
        <v>0</v>
      </c>
      <c r="K188" s="1" t="n">
        <f aca="false">K187+J188</f>
        <v>467.2</v>
      </c>
      <c r="L188" s="1" t="n">
        <v>1.1</v>
      </c>
      <c r="M188" s="1" t="n">
        <f aca="false">M187+L188</f>
        <v>202.7</v>
      </c>
      <c r="N188" s="19" t="n">
        <f aca="false">J188-L188</f>
        <v>-1.1</v>
      </c>
      <c r="O188" s="25" t="n">
        <f aca="false">O187+N188</f>
        <v>121</v>
      </c>
      <c r="P188" s="21" t="n">
        <v>183</v>
      </c>
      <c r="Q188" s="53" t="n">
        <f aca="false">1+((P188-122)/74)*(1.15-1)</f>
        <v>1.12364864864865</v>
      </c>
      <c r="R188" s="23" t="n">
        <f aca="false">Q188*L188</f>
        <v>1.23601351351351</v>
      </c>
      <c r="S188" s="23" t="n">
        <f aca="false">J188-R188</f>
        <v>-1.23601351351351</v>
      </c>
      <c r="T188" s="26" t="n">
        <f aca="false">MIN(122.1,(T187+S188))</f>
        <v>120.863986486486</v>
      </c>
      <c r="V188" s="27" t="n">
        <v>716.3</v>
      </c>
      <c r="W188" s="1" t="n">
        <f aca="false">V188/D188</f>
        <v>121.406779661017</v>
      </c>
      <c r="X188" s="1" t="n">
        <f aca="false">X187+V188</f>
        <v>107568</v>
      </c>
      <c r="Y188" s="1" t="n">
        <f aca="false">Y187+V188</f>
        <v>29049.6</v>
      </c>
      <c r="AA188" s="1" t="n">
        <v>11.1960804071734</v>
      </c>
    </row>
    <row r="189" customFormat="false" ht="15" hidden="false" customHeight="false" outlineLevel="0" collapsed="false">
      <c r="A189" s="114"/>
      <c r="B189" s="51"/>
      <c r="C189" s="16" t="n">
        <v>41703</v>
      </c>
      <c r="D189" s="1" t="n">
        <v>5.5</v>
      </c>
      <c r="E189" s="31" t="n">
        <v>0.2</v>
      </c>
      <c r="F189" s="1" t="n">
        <v>11.4</v>
      </c>
      <c r="G189" s="1" t="n">
        <f aca="false">G188+D189</f>
        <v>1665.9</v>
      </c>
      <c r="H189" s="1" t="n">
        <f aca="false">H188+D189</f>
        <v>410</v>
      </c>
      <c r="J189" s="56" t="n">
        <v>0</v>
      </c>
      <c r="K189" s="1" t="n">
        <f aca="false">K188+J189</f>
        <v>467.2</v>
      </c>
      <c r="L189" s="1" t="n">
        <v>1.6</v>
      </c>
      <c r="M189" s="1" t="n">
        <f aca="false">M188+L189</f>
        <v>204.3</v>
      </c>
      <c r="N189" s="19" t="n">
        <f aca="false">J189-L189</f>
        <v>-1.6</v>
      </c>
      <c r="O189" s="25" t="n">
        <f aca="false">O188+N189</f>
        <v>119.4</v>
      </c>
      <c r="P189" s="21" t="n">
        <v>184</v>
      </c>
      <c r="Q189" s="53" t="n">
        <f aca="false">1+((P189-122)/74)*(1.15-1)</f>
        <v>1.12567567567568</v>
      </c>
      <c r="R189" s="23" t="n">
        <f aca="false">Q189*L189</f>
        <v>1.80108108108108</v>
      </c>
      <c r="S189" s="23" t="n">
        <f aca="false">J189-R189</f>
        <v>-1.80108108108108</v>
      </c>
      <c r="T189" s="26" t="n">
        <f aca="false">MIN(122.1,(T188+S189))</f>
        <v>119.062905405405</v>
      </c>
      <c r="V189" s="1" t="n">
        <v>1467.4</v>
      </c>
      <c r="W189" s="1" t="n">
        <f aca="false">V189/D189</f>
        <v>266.8</v>
      </c>
      <c r="X189" s="1" t="n">
        <f aca="false">X188+V189</f>
        <v>109035.4</v>
      </c>
      <c r="Y189" s="1" t="n">
        <f aca="false">Y188+V189</f>
        <v>30517</v>
      </c>
      <c r="AA189" s="1" t="n">
        <v>11.25177890937</v>
      </c>
      <c r="AB189" s="57" t="s">
        <v>47</v>
      </c>
    </row>
    <row r="190" customFormat="false" ht="15" hidden="false" customHeight="false" outlineLevel="0" collapsed="false">
      <c r="A190" s="114"/>
      <c r="B190" s="51"/>
      <c r="C190" s="16" t="n">
        <v>41704</v>
      </c>
      <c r="D190" s="1" t="n">
        <v>6.2</v>
      </c>
      <c r="E190" s="31" t="n">
        <v>0.8</v>
      </c>
      <c r="F190" s="1" t="n">
        <v>12.4</v>
      </c>
      <c r="G190" s="1" t="n">
        <f aca="false">G189+D190</f>
        <v>1672.1</v>
      </c>
      <c r="H190" s="1" t="n">
        <f aca="false">H189+D190</f>
        <v>416.2</v>
      </c>
      <c r="J190" s="56" t="n">
        <v>0</v>
      </c>
      <c r="K190" s="1" t="n">
        <f aca="false">K189+J190</f>
        <v>467.2</v>
      </c>
      <c r="L190" s="1" t="n">
        <v>2.1</v>
      </c>
      <c r="M190" s="1" t="n">
        <f aca="false">M189+L190</f>
        <v>206.4</v>
      </c>
      <c r="N190" s="19" t="n">
        <f aca="false">J190-L190</f>
        <v>-2.1</v>
      </c>
      <c r="O190" s="25" t="n">
        <f aca="false">O189+N190</f>
        <v>117.3</v>
      </c>
      <c r="P190" s="21" t="n">
        <v>185</v>
      </c>
      <c r="Q190" s="53" t="n">
        <f aca="false">1+((P190-122)/74)*(1.15-1)</f>
        <v>1.1277027027027</v>
      </c>
      <c r="R190" s="23" t="n">
        <f aca="false">Q190*L190</f>
        <v>2.36817567567568</v>
      </c>
      <c r="S190" s="23" t="n">
        <f aca="false">J190-R190</f>
        <v>-2.36817567567568</v>
      </c>
      <c r="T190" s="26" t="n">
        <f aca="false">MIN(122.1,(T189+S190))</f>
        <v>116.69472972973</v>
      </c>
      <c r="V190" s="1" t="n">
        <v>1660.5</v>
      </c>
      <c r="W190" s="1" t="n">
        <f aca="false">V190/D190</f>
        <v>267.822580645161</v>
      </c>
      <c r="X190" s="1" t="n">
        <f aca="false">X189+V190</f>
        <v>110695.9</v>
      </c>
      <c r="Y190" s="1" t="n">
        <f aca="false">Y189+V190</f>
        <v>32177.5</v>
      </c>
      <c r="AA190" s="1" t="n">
        <v>11.3075739602747</v>
      </c>
      <c r="AB190" s="28" t="n">
        <f aca="false">AVERAGE(T196:T209)</f>
        <v>88.2221911196911</v>
      </c>
    </row>
    <row r="191" customFormat="false" ht="15" hidden="false" customHeight="false" outlineLevel="0" collapsed="false">
      <c r="A191" s="114"/>
      <c r="B191" s="51"/>
      <c r="C191" s="16" t="n">
        <v>41705</v>
      </c>
      <c r="D191" s="1" t="n">
        <v>6.8</v>
      </c>
      <c r="E191" s="30" t="n">
        <v>-0.5</v>
      </c>
      <c r="F191" s="1" t="n">
        <v>13.9</v>
      </c>
      <c r="G191" s="1" t="n">
        <f aca="false">G190+D191</f>
        <v>1678.9</v>
      </c>
      <c r="H191" s="1" t="n">
        <f aca="false">H190+D191</f>
        <v>423</v>
      </c>
      <c r="J191" s="56" t="n">
        <v>0</v>
      </c>
      <c r="K191" s="1" t="n">
        <f aca="false">K190+J191</f>
        <v>467.2</v>
      </c>
      <c r="L191" s="1" t="n">
        <v>1.9</v>
      </c>
      <c r="M191" s="1" t="n">
        <f aca="false">M190+L191</f>
        <v>208.3</v>
      </c>
      <c r="N191" s="19" t="n">
        <f aca="false">J191-L191</f>
        <v>-1.9</v>
      </c>
      <c r="O191" s="25" t="n">
        <f aca="false">O190+N191</f>
        <v>115.4</v>
      </c>
      <c r="P191" s="21" t="n">
        <v>186</v>
      </c>
      <c r="Q191" s="53" t="n">
        <f aca="false">1+((P191-122)/74)*(1.15-1)</f>
        <v>1.12972972972973</v>
      </c>
      <c r="R191" s="23" t="n">
        <f aca="false">Q191*L191</f>
        <v>2.14648648648649</v>
      </c>
      <c r="S191" s="23" t="n">
        <f aca="false">J191-R191</f>
        <v>-2.14648648648649</v>
      </c>
      <c r="T191" s="26" t="n">
        <f aca="false">MIN(122.1,(T190+S191))</f>
        <v>114.548243243243</v>
      </c>
      <c r="V191" s="1" t="n">
        <v>1470</v>
      </c>
      <c r="W191" s="1" t="n">
        <f aca="false">V191/D191</f>
        <v>216.176470588235</v>
      </c>
      <c r="X191" s="1" t="n">
        <f aca="false">X190+V191</f>
        <v>112165.9</v>
      </c>
      <c r="Y191" s="1" t="n">
        <f aca="false">Y190+V191</f>
        <v>33647.5</v>
      </c>
      <c r="AA191" s="1" t="n">
        <v>11.3634571277558</v>
      </c>
      <c r="AB191" s="57" t="s">
        <v>48</v>
      </c>
    </row>
    <row r="192" customFormat="false" ht="15" hidden="false" customHeight="false" outlineLevel="0" collapsed="false">
      <c r="A192" s="114"/>
      <c r="B192" s="51"/>
      <c r="C192" s="16" t="n">
        <v>41706</v>
      </c>
      <c r="D192" s="1" t="n">
        <v>8.8</v>
      </c>
      <c r="E192" s="31" t="n">
        <v>2.2</v>
      </c>
      <c r="F192" s="1" t="n">
        <v>15.8</v>
      </c>
      <c r="G192" s="1" t="n">
        <f aca="false">G191+D192</f>
        <v>1687.7</v>
      </c>
      <c r="H192" s="1" t="n">
        <f aca="false">H191+D192</f>
        <v>431.8</v>
      </c>
      <c r="J192" s="56" t="n">
        <v>0</v>
      </c>
      <c r="K192" s="1" t="n">
        <f aca="false">K191+J192</f>
        <v>467.2</v>
      </c>
      <c r="L192" s="1" t="n">
        <v>2.6</v>
      </c>
      <c r="M192" s="1" t="n">
        <f aca="false">M191+L192</f>
        <v>210.9</v>
      </c>
      <c r="N192" s="19" t="n">
        <f aca="false">J192-L192</f>
        <v>-2.6</v>
      </c>
      <c r="O192" s="25" t="n">
        <f aca="false">O191+N192</f>
        <v>112.8</v>
      </c>
      <c r="P192" s="21" t="n">
        <v>187</v>
      </c>
      <c r="Q192" s="53" t="n">
        <f aca="false">1+((P192-122)/74)*(1.15-1)</f>
        <v>1.13175675675676</v>
      </c>
      <c r="R192" s="23" t="n">
        <f aca="false">Q192*L192</f>
        <v>2.94256756756757</v>
      </c>
      <c r="S192" s="23" t="n">
        <f aca="false">J192-R192</f>
        <v>-2.94256756756757</v>
      </c>
      <c r="T192" s="26" t="n">
        <f aca="false">MIN(122.1,(T191+S192))</f>
        <v>111.605675675676</v>
      </c>
      <c r="V192" s="1" t="n">
        <v>1698.1</v>
      </c>
      <c r="W192" s="1" t="n">
        <f aca="false">V192/D192</f>
        <v>192.965909090909</v>
      </c>
      <c r="X192" s="1" t="n">
        <f aca="false">X191+V192</f>
        <v>113864</v>
      </c>
      <c r="Y192" s="1" t="n">
        <f aca="false">Y191+V192</f>
        <v>35345.6</v>
      </c>
      <c r="AA192" s="1" t="n">
        <v>11.4194202660684</v>
      </c>
      <c r="AB192" s="1" t="n">
        <v>10</v>
      </c>
    </row>
    <row r="193" customFormat="false" ht="15" hidden="false" customHeight="false" outlineLevel="0" collapsed="false">
      <c r="A193" s="114"/>
      <c r="B193" s="51"/>
      <c r="C193" s="16" t="n">
        <v>41707</v>
      </c>
      <c r="D193" s="1" t="n">
        <v>10.4</v>
      </c>
      <c r="E193" s="31" t="n">
        <v>2.5</v>
      </c>
      <c r="F193" s="1" t="n">
        <v>18.8</v>
      </c>
      <c r="G193" s="1" t="n">
        <f aca="false">G192+D193</f>
        <v>1698.1</v>
      </c>
      <c r="H193" s="1" t="n">
        <f aca="false">H192+D193</f>
        <v>442.2</v>
      </c>
      <c r="J193" s="56" t="n">
        <v>0</v>
      </c>
      <c r="K193" s="1" t="n">
        <f aca="false">K192+J193</f>
        <v>467.2</v>
      </c>
      <c r="L193" s="1" t="n">
        <v>3</v>
      </c>
      <c r="M193" s="1" t="n">
        <f aca="false">M192+L193</f>
        <v>213.9</v>
      </c>
      <c r="N193" s="19" t="n">
        <f aca="false">J193-L193</f>
        <v>-3</v>
      </c>
      <c r="O193" s="25" t="n">
        <f aca="false">O192+N193</f>
        <v>109.8</v>
      </c>
      <c r="P193" s="21" t="n">
        <v>188</v>
      </c>
      <c r="Q193" s="53" t="n">
        <f aca="false">1+((P193-122)/74)*(1.15-1)</f>
        <v>1.13378378378378</v>
      </c>
      <c r="R193" s="23" t="n">
        <f aca="false">Q193*L193</f>
        <v>3.40135135135135</v>
      </c>
      <c r="S193" s="23" t="n">
        <f aca="false">J193-R193</f>
        <v>-3.40135135135135</v>
      </c>
      <c r="T193" s="26" t="n">
        <f aca="false">MIN(122.1,(T192+S193))</f>
        <v>108.204324324324</v>
      </c>
      <c r="V193" s="1" t="n">
        <v>1737.3</v>
      </c>
      <c r="W193" s="1" t="n">
        <f aca="false">V193/D193</f>
        <v>167.048076923077</v>
      </c>
      <c r="X193" s="1" t="n">
        <f aca="false">X192+V193</f>
        <v>115601.3</v>
      </c>
      <c r="Y193" s="1" t="n">
        <f aca="false">Y192+V193</f>
        <v>37082.9</v>
      </c>
      <c r="AA193" s="1" t="n">
        <v>11.4754554981985</v>
      </c>
      <c r="AB193" s="57" t="s">
        <v>49</v>
      </c>
    </row>
    <row r="194" customFormat="false" ht="15" hidden="false" customHeight="false" outlineLevel="0" collapsed="false">
      <c r="A194" s="114"/>
      <c r="B194" s="51"/>
      <c r="C194" s="16" t="n">
        <v>41708</v>
      </c>
      <c r="D194" s="1" t="n">
        <v>9.9</v>
      </c>
      <c r="E194" s="31" t="n">
        <v>3.1</v>
      </c>
      <c r="F194" s="1" t="n">
        <v>17.5</v>
      </c>
      <c r="G194" s="1" t="n">
        <f aca="false">G193+D194</f>
        <v>1708</v>
      </c>
      <c r="H194" s="1" t="n">
        <f aca="false">H193+D194</f>
        <v>452.1</v>
      </c>
      <c r="J194" s="56" t="n">
        <v>0</v>
      </c>
      <c r="K194" s="1" t="n">
        <f aca="false">K193+J194</f>
        <v>467.2</v>
      </c>
      <c r="L194" s="1" t="n">
        <v>2.8</v>
      </c>
      <c r="M194" s="1" t="n">
        <f aca="false">M193+L194</f>
        <v>216.7</v>
      </c>
      <c r="N194" s="19" t="n">
        <f aca="false">J194-L194</f>
        <v>-2.8</v>
      </c>
      <c r="O194" s="25" t="n">
        <f aca="false">O193+N194</f>
        <v>107</v>
      </c>
      <c r="P194" s="21" t="n">
        <v>189</v>
      </c>
      <c r="Q194" s="53" t="n">
        <f aca="false">1+((P194-122)/74)*(1.15-1)</f>
        <v>1.13581081081081</v>
      </c>
      <c r="R194" s="23" t="n">
        <f aca="false">Q194*L194</f>
        <v>3.18027027027027</v>
      </c>
      <c r="S194" s="23" t="n">
        <f aca="false">J194-R194</f>
        <v>-3.18027027027027</v>
      </c>
      <c r="T194" s="26" t="n">
        <f aca="false">MIN(122.1,(T193+S194))</f>
        <v>105.024054054054</v>
      </c>
      <c r="V194" s="1" t="n">
        <v>1748.1</v>
      </c>
      <c r="W194" s="1" t="n">
        <f aca="false">V194/D194</f>
        <v>176.575757575758</v>
      </c>
      <c r="X194" s="1" t="n">
        <f aca="false">X193+V194</f>
        <v>117349.4</v>
      </c>
      <c r="Y194" s="1" t="n">
        <f aca="false">Y193+V194</f>
        <v>38831</v>
      </c>
      <c r="AA194" s="1" t="n">
        <v>11.53155519822</v>
      </c>
      <c r="AB194" s="1" t="n">
        <v>4</v>
      </c>
    </row>
    <row r="195" customFormat="false" ht="15" hidden="false" customHeight="false" outlineLevel="0" collapsed="false">
      <c r="A195" s="114"/>
      <c r="B195" s="51"/>
      <c r="C195" s="16" t="n">
        <v>41709</v>
      </c>
      <c r="D195" s="1" t="n">
        <v>9.9</v>
      </c>
      <c r="E195" s="1" t="n">
        <v>5.6</v>
      </c>
      <c r="F195" s="1" t="n">
        <v>14.5</v>
      </c>
      <c r="G195" s="1" t="n">
        <f aca="false">G194+D195</f>
        <v>1717.9</v>
      </c>
      <c r="H195" s="1" t="n">
        <f aca="false">H194+D195</f>
        <v>462</v>
      </c>
      <c r="J195" s="56" t="n">
        <v>0</v>
      </c>
      <c r="K195" s="1" t="n">
        <f aca="false">K194+J195</f>
        <v>467.2</v>
      </c>
      <c r="L195" s="1" t="n">
        <v>2.6</v>
      </c>
      <c r="M195" s="1" t="n">
        <f aca="false">M194+L195</f>
        <v>219.3</v>
      </c>
      <c r="N195" s="19" t="n">
        <f aca="false">J195-L195</f>
        <v>-2.6</v>
      </c>
      <c r="O195" s="25" t="n">
        <f aca="false">O194+N195</f>
        <v>104.4</v>
      </c>
      <c r="P195" s="21" t="n">
        <v>190</v>
      </c>
      <c r="Q195" s="53" t="n">
        <f aca="false">1+((P195-122)/74)*(1.15-1)</f>
        <v>1.13783783783784</v>
      </c>
      <c r="R195" s="23" t="n">
        <f aca="false">Q195*L195</f>
        <v>2.95837837837838</v>
      </c>
      <c r="S195" s="23" t="n">
        <f aca="false">J195-R195</f>
        <v>-2.95837837837838</v>
      </c>
      <c r="T195" s="26" t="n">
        <f aca="false">MIN(122.1,(T194+S195))</f>
        <v>102.065675675676</v>
      </c>
      <c r="V195" s="1" t="n">
        <v>1696.9</v>
      </c>
      <c r="W195" s="1" t="n">
        <f aca="false">V195/D195</f>
        <v>171.40404040404</v>
      </c>
      <c r="X195" s="1" t="n">
        <f aca="false">X194+V195</f>
        <v>119046.3</v>
      </c>
      <c r="Y195" s="1" t="n">
        <f aca="false">Y194+V195</f>
        <v>40527.9</v>
      </c>
      <c r="AA195" s="1" t="n">
        <v>11.5877119736841</v>
      </c>
      <c r="AB195" s="57" t="s">
        <v>50</v>
      </c>
    </row>
    <row r="196" s="17" customFormat="true" ht="15" hidden="false" customHeight="false" outlineLevel="0" collapsed="false">
      <c r="A196" s="114"/>
      <c r="B196" s="51"/>
      <c r="C196" s="66" t="n">
        <v>41710</v>
      </c>
      <c r="D196" s="8" t="n">
        <v>8.6</v>
      </c>
      <c r="E196" s="8" t="n">
        <v>3.5</v>
      </c>
      <c r="F196" s="8" t="n">
        <v>15</v>
      </c>
      <c r="G196" s="8" t="n">
        <f aca="false">G195+D196</f>
        <v>1726.5</v>
      </c>
      <c r="H196" s="8" t="n">
        <f aca="false">H195+D196</f>
        <v>470.6</v>
      </c>
      <c r="I196" s="8"/>
      <c r="J196" s="56" t="n">
        <v>0</v>
      </c>
      <c r="K196" s="8" t="n">
        <f aca="false">K195+J196</f>
        <v>467.2</v>
      </c>
      <c r="L196" s="8" t="n">
        <v>2.6</v>
      </c>
      <c r="M196" s="8" t="n">
        <f aca="false">M195+L196</f>
        <v>221.9</v>
      </c>
      <c r="N196" s="8" t="n">
        <f aca="false">J196-L196</f>
        <v>-2.6</v>
      </c>
      <c r="O196" s="25" t="n">
        <f aca="false">O195+N196</f>
        <v>101.8</v>
      </c>
      <c r="P196" s="21" t="n">
        <v>191</v>
      </c>
      <c r="Q196" s="53" t="n">
        <f aca="false">1+((P196-122)/74)*(1.15-1)</f>
        <v>1.13986486486486</v>
      </c>
      <c r="R196" s="23" t="n">
        <f aca="false">Q196*L196</f>
        <v>2.96364864864865</v>
      </c>
      <c r="S196" s="23" t="n">
        <f aca="false">J196-R196</f>
        <v>-2.96364864864865</v>
      </c>
      <c r="T196" s="58" t="n">
        <f aca="false">MIN(122.1,(T195+S196))</f>
        <v>99.102027027027</v>
      </c>
      <c r="U196" s="8"/>
      <c r="V196" s="8" t="n">
        <v>1793.3</v>
      </c>
      <c r="W196" s="8" t="n">
        <f aca="false">V196/D196</f>
        <v>208.523255813953</v>
      </c>
      <c r="X196" s="8" t="n">
        <f aca="false">X195+V196</f>
        <v>120839.6</v>
      </c>
      <c r="Y196" s="17" t="n">
        <f aca="false">Y195+V196</f>
        <v>42321.2</v>
      </c>
      <c r="Z196" s="8"/>
      <c r="AA196" s="8" t="n">
        <v>11.6439186480532</v>
      </c>
      <c r="AB196" s="8" t="n">
        <v>0</v>
      </c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  <c r="AX196" s="8"/>
      <c r="AY196" s="8"/>
      <c r="AZ196" s="8"/>
      <c r="BA196" s="8"/>
      <c r="BB196" s="8"/>
      <c r="BC196" s="8"/>
    </row>
    <row r="197" customFormat="false" ht="15" hidden="false" customHeight="false" outlineLevel="0" collapsed="false">
      <c r="A197" s="114"/>
      <c r="B197" s="51"/>
      <c r="C197" s="16" t="n">
        <v>41711</v>
      </c>
      <c r="D197" s="1" t="n">
        <v>9.3</v>
      </c>
      <c r="E197" s="31" t="n">
        <v>1.7</v>
      </c>
      <c r="F197" s="1" t="n">
        <v>16.9</v>
      </c>
      <c r="G197" s="1" t="n">
        <f aca="false">G196+D197</f>
        <v>1735.8</v>
      </c>
      <c r="H197" s="1" t="n">
        <f aca="false">H196+D197</f>
        <v>479.9</v>
      </c>
      <c r="J197" s="56" t="n">
        <v>0</v>
      </c>
      <c r="K197" s="1" t="n">
        <f aca="false">K196+J197</f>
        <v>467.2</v>
      </c>
      <c r="L197" s="1" t="n">
        <v>2.4</v>
      </c>
      <c r="M197" s="1" t="n">
        <f aca="false">M196+L197</f>
        <v>224.3</v>
      </c>
      <c r="N197" s="19" t="n">
        <f aca="false">J197-L197</f>
        <v>-2.4</v>
      </c>
      <c r="O197" s="25" t="n">
        <f aca="false">O196+N197</f>
        <v>99.4</v>
      </c>
      <c r="P197" s="21" t="n">
        <v>192</v>
      </c>
      <c r="Q197" s="53" t="n">
        <f aca="false">1+((P197-122)/74)*(1.15-1)</f>
        <v>1.14189189189189</v>
      </c>
      <c r="R197" s="23" t="n">
        <f aca="false">Q197*L197</f>
        <v>2.74054054054054</v>
      </c>
      <c r="S197" s="23" t="n">
        <f aca="false">J197-R197</f>
        <v>-2.74054054054054</v>
      </c>
      <c r="T197" s="58" t="n">
        <f aca="false">MIN(122.1,(T196+S197))</f>
        <v>96.3614864864865</v>
      </c>
      <c r="V197" s="1" t="n">
        <v>1805.6</v>
      </c>
      <c r="W197" s="1" t="n">
        <f aca="false">V197/D197</f>
        <v>194.150537634409</v>
      </c>
      <c r="X197" s="1" t="n">
        <f aca="false">X196+V197</f>
        <v>122645.2</v>
      </c>
      <c r="Y197" s="1" t="n">
        <f aca="false">Y196+V197</f>
        <v>44126.8</v>
      </c>
      <c r="AA197" s="1" t="n">
        <v>11.7001682431945</v>
      </c>
      <c r="AB197" s="57" t="s">
        <v>51</v>
      </c>
    </row>
    <row r="198" customFormat="false" ht="15" hidden="false" customHeight="false" outlineLevel="0" collapsed="false">
      <c r="A198" s="114"/>
      <c r="B198" s="51"/>
      <c r="C198" s="16" t="n">
        <v>41712</v>
      </c>
      <c r="D198" s="1" t="n">
        <v>10</v>
      </c>
      <c r="E198" s="31" t="n">
        <v>3.1</v>
      </c>
      <c r="F198" s="1" t="n">
        <v>16.5</v>
      </c>
      <c r="G198" s="1" t="n">
        <f aca="false">G197+D198</f>
        <v>1745.8</v>
      </c>
      <c r="H198" s="1" t="n">
        <f aca="false">H197+D198</f>
        <v>489.9</v>
      </c>
      <c r="J198" s="56" t="n">
        <v>0</v>
      </c>
      <c r="K198" s="1" t="n">
        <f aca="false">K197+J198</f>
        <v>467.2</v>
      </c>
      <c r="L198" s="1" t="n">
        <v>2.4</v>
      </c>
      <c r="M198" s="1" t="n">
        <f aca="false">M197+L198</f>
        <v>226.7</v>
      </c>
      <c r="N198" s="19" t="n">
        <f aca="false">J198-L198</f>
        <v>-2.4</v>
      </c>
      <c r="O198" s="25" t="n">
        <f aca="false">O197+N198</f>
        <v>97</v>
      </c>
      <c r="P198" s="21" t="n">
        <v>193</v>
      </c>
      <c r="Q198" s="53" t="n">
        <f aca="false">1+((P198-122)/74)*(1.15-1)</f>
        <v>1.14391891891892</v>
      </c>
      <c r="R198" s="23" t="n">
        <f aca="false">Q198*L198</f>
        <v>2.74540540540541</v>
      </c>
      <c r="S198" s="23" t="n">
        <f aca="false">J198-R198</f>
        <v>-2.74540540540541</v>
      </c>
      <c r="T198" s="58" t="n">
        <f aca="false">MIN(122.1,(T197+S198))</f>
        <v>93.6160810810811</v>
      </c>
      <c r="V198" s="1" t="n">
        <v>1799.7</v>
      </c>
      <c r="W198" s="1" t="n">
        <f aca="false">V198/D198</f>
        <v>179.97</v>
      </c>
      <c r="X198" s="1" t="n">
        <f aca="false">X197+V198</f>
        <v>124444.9</v>
      </c>
      <c r="Y198" s="1" t="n">
        <f aca="false">Y197+V198</f>
        <v>45926.5</v>
      </c>
      <c r="AA198" s="1" t="n">
        <v>11.7564539619426</v>
      </c>
      <c r="AB198" s="1" t="n">
        <f aca="false">SUM(J200:J209)</f>
        <v>14.3</v>
      </c>
    </row>
    <row r="199" s="61" customFormat="true" ht="15" hidden="false" customHeight="false" outlineLevel="0" collapsed="false">
      <c r="A199" s="115"/>
      <c r="B199" s="59" t="s">
        <v>62</v>
      </c>
      <c r="C199" s="60" t="n">
        <v>41713</v>
      </c>
      <c r="D199" s="61" t="n">
        <v>7.1</v>
      </c>
      <c r="E199" s="61" t="n">
        <v>5.1</v>
      </c>
      <c r="F199" s="61" t="n">
        <v>9.6</v>
      </c>
      <c r="G199" s="61" t="n">
        <f aca="false">G198+D199</f>
        <v>1752.9</v>
      </c>
      <c r="H199" s="61" t="n">
        <f aca="false">H198+D199</f>
        <v>497</v>
      </c>
      <c r="J199" s="61" t="n">
        <v>0</v>
      </c>
      <c r="K199" s="61" t="n">
        <f aca="false">K198+J199</f>
        <v>467.2</v>
      </c>
      <c r="L199" s="61" t="n">
        <v>0.8</v>
      </c>
      <c r="M199" s="61" t="n">
        <f aca="false">M198+L199</f>
        <v>227.5</v>
      </c>
      <c r="N199" s="61" t="n">
        <f aca="false">J199-L199</f>
        <v>-0.8</v>
      </c>
      <c r="O199" s="61" t="n">
        <f aca="false">O198+N199</f>
        <v>96.2</v>
      </c>
      <c r="P199" s="62" t="n">
        <v>194</v>
      </c>
      <c r="Q199" s="63" t="n">
        <f aca="false">1+((P199-122)/74)*(1.15-1)</f>
        <v>1.14594594594595</v>
      </c>
      <c r="R199" s="64" t="n">
        <f aca="false">Q199*L199</f>
        <v>0.916756756756757</v>
      </c>
      <c r="S199" s="64" t="n">
        <f aca="false">J199-R199</f>
        <v>-0.916756756756757</v>
      </c>
      <c r="T199" s="65" t="n">
        <f aca="false">MIN(122.1,(T198+S199))</f>
        <v>92.6993243243243</v>
      </c>
      <c r="V199" s="61" t="n">
        <v>493.3</v>
      </c>
      <c r="W199" s="61" t="n">
        <f aca="false">V199/D199</f>
        <v>69.4788732394366</v>
      </c>
      <c r="X199" s="61" t="n">
        <f aca="false">X198+V199</f>
        <v>124938.2</v>
      </c>
      <c r="Y199" s="61" t="n">
        <f aca="false">Y198+V199</f>
        <v>46419.8</v>
      </c>
      <c r="AA199" s="61" t="n">
        <v>11.8127691707385</v>
      </c>
    </row>
    <row r="200" customFormat="false" ht="15" hidden="false" customHeight="false" outlineLevel="0" collapsed="false">
      <c r="A200" s="114"/>
      <c r="B200" s="51"/>
      <c r="C200" s="16" t="n">
        <v>41714</v>
      </c>
      <c r="D200" s="1" t="n">
        <v>7.7</v>
      </c>
      <c r="E200" s="31" t="n">
        <v>4.4</v>
      </c>
      <c r="F200" s="1" t="n">
        <v>11.5</v>
      </c>
      <c r="G200" s="1" t="n">
        <f aca="false">G199+D200</f>
        <v>1760.6</v>
      </c>
      <c r="H200" s="1" t="n">
        <f aca="false">H199+D200</f>
        <v>504.7</v>
      </c>
      <c r="J200" s="56" t="n">
        <v>0.2</v>
      </c>
      <c r="K200" s="1" t="n">
        <f aca="false">K199+J200</f>
        <v>467.4</v>
      </c>
      <c r="L200" s="1" t="n">
        <v>1.9</v>
      </c>
      <c r="M200" s="1" t="n">
        <f aca="false">M199+L200</f>
        <v>229.4</v>
      </c>
      <c r="N200" s="19" t="n">
        <f aca="false">J200-L200</f>
        <v>-1.7</v>
      </c>
      <c r="O200" s="25" t="n">
        <f aca="false">O199+N200</f>
        <v>94.5</v>
      </c>
      <c r="P200" s="21" t="n">
        <v>195</v>
      </c>
      <c r="Q200" s="53" t="n">
        <f aca="false">1+((P200-122)/74)*(1.15-1)</f>
        <v>1.14797297297297</v>
      </c>
      <c r="R200" s="23" t="n">
        <f aca="false">Q200*L200</f>
        <v>2.18114864864865</v>
      </c>
      <c r="S200" s="23" t="n">
        <f aca="false">J200-R200</f>
        <v>-1.98114864864865</v>
      </c>
      <c r="T200" s="58" t="n">
        <f aca="false">MIN(122.1,(T199+S200))</f>
        <v>90.7181756756757</v>
      </c>
      <c r="V200" s="1" t="n">
        <v>1392.5</v>
      </c>
      <c r="W200" s="1" t="n">
        <f aca="false">V200/D200</f>
        <v>180.844155844156</v>
      </c>
      <c r="X200" s="1" t="n">
        <f aca="false">X199+V200</f>
        <v>126330.7</v>
      </c>
      <c r="Y200" s="1" t="n">
        <f aca="false">Y199+V200</f>
        <v>47812.3</v>
      </c>
      <c r="AA200" s="1" t="n">
        <v>11.8691073823543</v>
      </c>
    </row>
    <row r="201" s="35" customFormat="true" ht="15" hidden="false" customHeight="false" outlineLevel="0" collapsed="false">
      <c r="A201" s="116"/>
      <c r="B201" s="32"/>
      <c r="C201" s="67" t="n">
        <v>41715</v>
      </c>
      <c r="D201" s="35" t="n">
        <v>8.2</v>
      </c>
      <c r="E201" s="68" t="n">
        <v>2.6</v>
      </c>
      <c r="F201" s="35" t="n">
        <v>13.9</v>
      </c>
      <c r="G201" s="35" t="n">
        <f aca="false">G200+D201</f>
        <v>1768.8</v>
      </c>
      <c r="H201" s="35" t="n">
        <f aca="false">H200+D201</f>
        <v>512.9</v>
      </c>
      <c r="J201" s="69" t="n">
        <v>0</v>
      </c>
      <c r="K201" s="35" t="n">
        <f aca="false">K200+J201</f>
        <v>467.4</v>
      </c>
      <c r="L201" s="35" t="n">
        <v>1.8</v>
      </c>
      <c r="M201" s="35" t="n">
        <f aca="false">M200+L201</f>
        <v>231.2</v>
      </c>
      <c r="N201" s="70" t="n">
        <f aca="false">J201-L201</f>
        <v>-1.8</v>
      </c>
      <c r="O201" s="36" t="n">
        <f aca="false">O200+N201</f>
        <v>92.7</v>
      </c>
      <c r="P201" s="117" t="n">
        <v>196</v>
      </c>
      <c r="Q201" s="53" t="n">
        <f aca="false">1+((P201-122)/74)*(1.15-1)</f>
        <v>1.15</v>
      </c>
      <c r="R201" s="39" t="n">
        <f aca="false">Q201*L201</f>
        <v>2.07</v>
      </c>
      <c r="S201" s="39" t="n">
        <f aca="false">J201-R201</f>
        <v>-2.07</v>
      </c>
      <c r="T201" s="118" t="n">
        <f aca="false">MIN(122.1,(T200+S201))</f>
        <v>88.6481756756757</v>
      </c>
      <c r="V201" s="35" t="n">
        <v>1349.5</v>
      </c>
      <c r="W201" s="35" t="n">
        <f aca="false">V201/D201</f>
        <v>164.573170731707</v>
      </c>
      <c r="X201" s="35" t="n">
        <f aca="false">X200+V201</f>
        <v>127680.2</v>
      </c>
      <c r="Y201" s="35" t="n">
        <f aca="false">Y200+V201</f>
        <v>49161.8</v>
      </c>
      <c r="AA201" s="35" t="n">
        <v>11.9254622387046</v>
      </c>
    </row>
    <row r="202" s="79" customFormat="true" ht="15" hidden="false" customHeight="false" outlineLevel="0" collapsed="false">
      <c r="A202" s="119" t="s">
        <v>53</v>
      </c>
      <c r="B202" s="88" t="s">
        <v>53</v>
      </c>
      <c r="C202" s="89" t="n">
        <v>41716</v>
      </c>
      <c r="D202" s="79" t="n">
        <v>8.1</v>
      </c>
      <c r="E202" s="90" t="n">
        <v>1.8</v>
      </c>
      <c r="F202" s="79" t="n">
        <v>13.7</v>
      </c>
      <c r="G202" s="79" t="n">
        <f aca="false">G201+D202</f>
        <v>1776.9</v>
      </c>
      <c r="H202" s="79" t="n">
        <v>8.1</v>
      </c>
      <c r="J202" s="120" t="n">
        <v>0</v>
      </c>
      <c r="K202" s="79" t="n">
        <f aca="false">K201+J202</f>
        <v>467.4</v>
      </c>
      <c r="L202" s="79" t="n">
        <v>1.5</v>
      </c>
      <c r="M202" s="79" t="n">
        <f aca="false">M201+L202</f>
        <v>232.7</v>
      </c>
      <c r="N202" s="91" t="n">
        <f aca="false">J202-L202</f>
        <v>-1.5</v>
      </c>
      <c r="O202" s="92" t="n">
        <f aca="false">O201+N202</f>
        <v>91.2</v>
      </c>
      <c r="P202" s="121" t="n">
        <v>197</v>
      </c>
      <c r="Q202" s="122" t="n">
        <f aca="false">1+((P202-122)/75)*(1.15-1)</f>
        <v>1.15</v>
      </c>
      <c r="R202" s="82" t="n">
        <f aca="false">Q202*L202</f>
        <v>1.725</v>
      </c>
      <c r="S202" s="82" t="n">
        <f aca="false">J202-R202</f>
        <v>-1.725</v>
      </c>
      <c r="T202" s="123" t="n">
        <f aca="false">MIN(122.1,(T201+S202))</f>
        <v>86.9231756756757</v>
      </c>
      <c r="V202" s="79" t="n">
        <v>1271.7</v>
      </c>
      <c r="W202" s="79" t="n">
        <f aca="false">V202/D202</f>
        <v>157</v>
      </c>
      <c r="X202" s="79" t="n">
        <f aca="false">X201+V202</f>
        <v>128951.9</v>
      </c>
      <c r="Y202" s="79" t="n">
        <f aca="false">V202</f>
        <v>1271.7</v>
      </c>
      <c r="AA202" s="79" t="n">
        <v>11.9818274937524</v>
      </c>
    </row>
    <row r="203" customFormat="false" ht="15" hidden="false" customHeight="false" outlineLevel="0" collapsed="false">
      <c r="A203" s="73"/>
      <c r="B203" s="1"/>
      <c r="C203" s="16" t="n">
        <v>41717</v>
      </c>
      <c r="D203" s="1" t="n">
        <v>9.2</v>
      </c>
      <c r="E203" s="31" t="n">
        <v>3.2</v>
      </c>
      <c r="F203" s="1" t="n">
        <v>13.9</v>
      </c>
      <c r="G203" s="1" t="n">
        <f aca="false">G202+D203</f>
        <v>1786.1</v>
      </c>
      <c r="H203" s="1" t="n">
        <f aca="false">H202+D203</f>
        <v>17.3</v>
      </c>
      <c r="I203" s="74" t="s">
        <v>28</v>
      </c>
      <c r="J203" s="56" t="n">
        <v>0</v>
      </c>
      <c r="K203" s="1" t="n">
        <f aca="false">K202+J203</f>
        <v>467.4</v>
      </c>
      <c r="L203" s="1" t="n">
        <v>2.2</v>
      </c>
      <c r="M203" s="1" t="n">
        <f aca="false">M202+L203</f>
        <v>234.9</v>
      </c>
      <c r="N203" s="19" t="n">
        <f aca="false">J203-L203</f>
        <v>-2.2</v>
      </c>
      <c r="O203" s="25" t="n">
        <f aca="false">O202+N203</f>
        <v>89</v>
      </c>
      <c r="P203" s="21" t="n">
        <v>198</v>
      </c>
      <c r="Q203" s="22" t="n">
        <v>1.15</v>
      </c>
      <c r="R203" s="23" t="n">
        <f aca="false">Q203*L203</f>
        <v>2.53</v>
      </c>
      <c r="S203" s="23" t="n">
        <f aca="false">J203-R203</f>
        <v>-2.53</v>
      </c>
      <c r="T203" s="58" t="n">
        <f aca="false">MIN(122.1,(T202+S203))</f>
        <v>84.3931756756757</v>
      </c>
      <c r="U203" s="74" t="s">
        <v>29</v>
      </c>
      <c r="V203" s="1" t="n">
        <v>1735.9</v>
      </c>
      <c r="W203" s="75" t="n">
        <f aca="false">(V203/100)/D203</f>
        <v>1.88684782608696</v>
      </c>
      <c r="X203" s="1" t="n">
        <f aca="false">X202+V203</f>
        <v>130687.8</v>
      </c>
      <c r="Y203" s="1" t="n">
        <f aca="false">Y202+V203</f>
        <v>3007.6</v>
      </c>
      <c r="Z203" s="74" t="s">
        <v>30</v>
      </c>
      <c r="AA203" s="1" t="n">
        <v>12.0381969965074</v>
      </c>
    </row>
    <row r="204" customFormat="false" ht="15" hidden="false" customHeight="false" outlineLevel="0" collapsed="false">
      <c r="A204" s="73"/>
      <c r="B204" s="1"/>
      <c r="C204" s="16" t="n">
        <v>41718</v>
      </c>
      <c r="D204" s="1" t="n">
        <v>12.7</v>
      </c>
      <c r="E204" s="31" t="n">
        <v>3.5</v>
      </c>
      <c r="F204" s="1" t="n">
        <v>19.9</v>
      </c>
      <c r="G204" s="1" t="n">
        <f aca="false">G203+D204</f>
        <v>1798.8</v>
      </c>
      <c r="H204" s="1" t="n">
        <f aca="false">H203+D204</f>
        <v>30</v>
      </c>
      <c r="I204" s="1" t="n">
        <f aca="false">MIN(E202:E222)</f>
        <v>-1.1</v>
      </c>
      <c r="J204" s="56" t="n">
        <v>0</v>
      </c>
      <c r="K204" s="1" t="n">
        <f aca="false">K203+J204</f>
        <v>467.4</v>
      </c>
      <c r="L204" s="1" t="n">
        <v>3.4</v>
      </c>
      <c r="M204" s="1" t="n">
        <f aca="false">M203+L204</f>
        <v>238.3</v>
      </c>
      <c r="N204" s="19" t="n">
        <f aca="false">J204-L204</f>
        <v>-3.4</v>
      </c>
      <c r="O204" s="25" t="n">
        <f aca="false">O203+N204</f>
        <v>85.6</v>
      </c>
      <c r="P204" s="21" t="n">
        <v>199</v>
      </c>
      <c r="Q204" s="22" t="n">
        <v>1.15</v>
      </c>
      <c r="R204" s="23" t="n">
        <f aca="false">Q204*L204</f>
        <v>3.91</v>
      </c>
      <c r="S204" s="23" t="n">
        <f aca="false">J204-R204</f>
        <v>-3.91</v>
      </c>
      <c r="T204" s="58" t="n">
        <f aca="false">MIN(122.1,(T203+S204))</f>
        <v>80.4831756756757</v>
      </c>
      <c r="U204" s="1" t="n">
        <v>15</v>
      </c>
      <c r="V204" s="1" t="n">
        <v>1978.4</v>
      </c>
      <c r="W204" s="75" t="n">
        <f aca="false">(V204/100)/D204</f>
        <v>1.55779527559055</v>
      </c>
      <c r="X204" s="1" t="n">
        <f aca="false">X203+V204</f>
        <v>132666.2</v>
      </c>
      <c r="Y204" s="1" t="n">
        <f aca="false">Y203+V204</f>
        <v>4986</v>
      </c>
      <c r="Z204" s="1" t="n">
        <v>25029.9</v>
      </c>
      <c r="AA204" s="1" t="n">
        <v>12.0945646741219</v>
      </c>
    </row>
    <row r="205" customFormat="false" ht="15" hidden="false" customHeight="false" outlineLevel="0" collapsed="false">
      <c r="A205" s="73"/>
      <c r="B205" s="1"/>
      <c r="C205" s="16" t="n">
        <v>41719</v>
      </c>
      <c r="D205" s="1" t="n">
        <v>10.8</v>
      </c>
      <c r="E205" s="1" t="n">
        <v>10.2</v>
      </c>
      <c r="F205" s="1" t="n">
        <v>12</v>
      </c>
      <c r="G205" s="1" t="n">
        <f aca="false">G204+D205</f>
        <v>1809.6</v>
      </c>
      <c r="H205" s="1" t="n">
        <f aca="false">H204+D205</f>
        <v>40.8</v>
      </c>
      <c r="I205" s="74" t="s">
        <v>31</v>
      </c>
      <c r="J205" s="56" t="n">
        <v>2.7</v>
      </c>
      <c r="K205" s="1" t="n">
        <f aca="false">K204+J205</f>
        <v>470.1</v>
      </c>
      <c r="L205" s="1" t="n">
        <v>1.2</v>
      </c>
      <c r="M205" s="1" t="n">
        <f aca="false">M204+L205</f>
        <v>239.5</v>
      </c>
      <c r="N205" s="1" t="n">
        <f aca="false">J205-L205</f>
        <v>1.5</v>
      </c>
      <c r="O205" s="25" t="n">
        <f aca="false">O204+N205</f>
        <v>87.1</v>
      </c>
      <c r="P205" s="21" t="n">
        <v>200</v>
      </c>
      <c r="Q205" s="22" t="n">
        <v>1.15</v>
      </c>
      <c r="R205" s="23" t="n">
        <f aca="false">Q205*L205</f>
        <v>1.38</v>
      </c>
      <c r="S205" s="23" t="n">
        <f aca="false">J205-R205</f>
        <v>1.32</v>
      </c>
      <c r="T205" s="58" t="n">
        <f aca="false">MIN(122.1,(T204+S205))</f>
        <v>81.8031756756757</v>
      </c>
      <c r="U205" s="74" t="s">
        <v>32</v>
      </c>
      <c r="V205" s="27" t="n">
        <v>563.2</v>
      </c>
      <c r="W205" s="76" t="n">
        <f aca="false">(V205/100)/D205</f>
        <v>0.521481481481482</v>
      </c>
      <c r="X205" s="1" t="n">
        <f aca="false">X204+V205</f>
        <v>133229.4</v>
      </c>
      <c r="Y205" s="1" t="n">
        <f aca="false">Y204+V205</f>
        <v>5549.2</v>
      </c>
      <c r="Z205" s="74" t="s">
        <v>33</v>
      </c>
      <c r="AA205" s="1" t="n">
        <v>12.1509245150813</v>
      </c>
    </row>
    <row r="206" customFormat="false" ht="15" hidden="false" customHeight="false" outlineLevel="0" collapsed="false">
      <c r="A206" s="73"/>
      <c r="B206" s="1"/>
      <c r="C206" s="16" t="n">
        <v>41720</v>
      </c>
      <c r="D206" s="1" t="n">
        <v>7.8</v>
      </c>
      <c r="E206" s="1" t="n">
        <v>7.7</v>
      </c>
      <c r="F206" s="1" t="n">
        <v>9.6</v>
      </c>
      <c r="G206" s="1" t="n">
        <f aca="false">G205+D206</f>
        <v>1817.4</v>
      </c>
      <c r="H206" s="1" t="n">
        <f aca="false">H205+D206</f>
        <v>48.6</v>
      </c>
      <c r="I206" s="1" t="n">
        <f aca="false">MAX(F202:F222)</f>
        <v>23.3</v>
      </c>
      <c r="J206" s="56" t="n">
        <v>3.1</v>
      </c>
      <c r="K206" s="1" t="n">
        <f aca="false">K205+J206</f>
        <v>473.2</v>
      </c>
      <c r="L206" s="1" t="n">
        <v>1.6</v>
      </c>
      <c r="M206" s="1" t="n">
        <f aca="false">M205+L206</f>
        <v>241.1</v>
      </c>
      <c r="N206" s="1" t="n">
        <f aca="false">J206-L206</f>
        <v>1.5</v>
      </c>
      <c r="O206" s="25" t="n">
        <f aca="false">O205+N206</f>
        <v>88.6</v>
      </c>
      <c r="P206" s="21" t="n">
        <v>201</v>
      </c>
      <c r="Q206" s="22" t="n">
        <v>1.15</v>
      </c>
      <c r="R206" s="23" t="n">
        <f aca="false">Q206*L206</f>
        <v>1.84</v>
      </c>
      <c r="S206" s="23" t="n">
        <f aca="false">J206-R206</f>
        <v>1.26</v>
      </c>
      <c r="T206" s="58" t="n">
        <f aca="false">MIN(122.1,(T205+S206))</f>
        <v>83.0631756756757</v>
      </c>
      <c r="U206" s="1" t="n">
        <v>0</v>
      </c>
      <c r="V206" s="27" t="n">
        <v>859.4</v>
      </c>
      <c r="W206" s="76" t="n">
        <f aca="false">(V206/100)/D206</f>
        <v>1.10179487179487</v>
      </c>
      <c r="X206" s="1" t="n">
        <f aca="false">X205+V206</f>
        <v>134088.8</v>
      </c>
      <c r="Y206" s="1" t="n">
        <f aca="false">Y205+V206</f>
        <v>6408.6</v>
      </c>
      <c r="Z206" s="28" t="n">
        <f aca="false">(Z204/100)/I216</f>
        <v>1.17677009873061</v>
      </c>
      <c r="AA206" s="1" t="n">
        <v>12.2072705524909</v>
      </c>
    </row>
    <row r="207" customFormat="false" ht="15" hidden="false" customHeight="false" outlineLevel="0" collapsed="false">
      <c r="A207" s="73"/>
      <c r="B207" s="1"/>
      <c r="C207" s="16" t="n">
        <v>41721</v>
      </c>
      <c r="D207" s="31" t="n">
        <v>4.6</v>
      </c>
      <c r="E207" s="31" t="n">
        <v>1.4</v>
      </c>
      <c r="F207" s="1" t="n">
        <v>8.7</v>
      </c>
      <c r="G207" s="1" t="n">
        <f aca="false">G206+D207</f>
        <v>1822</v>
      </c>
      <c r="H207" s="1" t="n">
        <f aca="false">H206+D207</f>
        <v>53.2</v>
      </c>
      <c r="I207" s="74" t="s">
        <v>34</v>
      </c>
      <c r="J207" s="56" t="n">
        <v>2.8</v>
      </c>
      <c r="K207" s="1" t="n">
        <f aca="false">K206+J207</f>
        <v>476</v>
      </c>
      <c r="L207" s="1" t="n">
        <v>1.4</v>
      </c>
      <c r="M207" s="1" t="n">
        <f aca="false">M206+L207</f>
        <v>242.5</v>
      </c>
      <c r="N207" s="1" t="n">
        <f aca="false">J207-L207</f>
        <v>1.4</v>
      </c>
      <c r="O207" s="25" t="n">
        <f aca="false">O206+N207</f>
        <v>90</v>
      </c>
      <c r="P207" s="21" t="n">
        <v>202</v>
      </c>
      <c r="Q207" s="22" t="n">
        <v>1.15</v>
      </c>
      <c r="R207" s="23" t="n">
        <f aca="false">Q207*L207</f>
        <v>1.61</v>
      </c>
      <c r="S207" s="23" t="n">
        <f aca="false">J207-R207</f>
        <v>1.19</v>
      </c>
      <c r="T207" s="58" t="n">
        <f aca="false">MIN(122.1,(T206+S207))</f>
        <v>84.2531756756757</v>
      </c>
      <c r="U207" s="74" t="s">
        <v>35</v>
      </c>
      <c r="V207" s="1" t="n">
        <v>1158.6</v>
      </c>
      <c r="W207" s="75" t="n">
        <f aca="false">(V207/100)/D207</f>
        <v>2.51869565217391</v>
      </c>
      <c r="X207" s="1" t="n">
        <f aca="false">X206+V207</f>
        <v>135247.4</v>
      </c>
      <c r="Y207" s="1" t="n">
        <f aca="false">Y206+V207</f>
        <v>7567.2</v>
      </c>
      <c r="Z207" s="74" t="s">
        <v>36</v>
      </c>
      <c r="AA207" s="1" t="n">
        <v>12.2635968474573</v>
      </c>
    </row>
    <row r="208" customFormat="false" ht="15" hidden="false" customHeight="false" outlineLevel="0" collapsed="false">
      <c r="A208" s="73"/>
      <c r="B208" s="1"/>
      <c r="C208" s="16" t="n">
        <v>41722</v>
      </c>
      <c r="D208" s="1" t="n">
        <v>5.5</v>
      </c>
      <c r="E208" s="30" t="n">
        <v>-0.4</v>
      </c>
      <c r="F208" s="1" t="n">
        <v>10.1</v>
      </c>
      <c r="G208" s="1" t="n">
        <f aca="false">G207+D208</f>
        <v>1827.5</v>
      </c>
      <c r="H208" s="1" t="n">
        <f aca="false">H207+D208</f>
        <v>58.7</v>
      </c>
      <c r="I208" s="29" t="n">
        <f aca="false">AVERAGE(D202:D222)</f>
        <v>10.1285714285714</v>
      </c>
      <c r="J208" s="56" t="n">
        <v>4.1</v>
      </c>
      <c r="K208" s="1" t="n">
        <f aca="false">K207+J208</f>
        <v>480.1</v>
      </c>
      <c r="L208" s="1" t="n">
        <v>1.4</v>
      </c>
      <c r="M208" s="1" t="n">
        <f aca="false">M207+L208</f>
        <v>243.9</v>
      </c>
      <c r="N208" s="1" t="n">
        <f aca="false">J208-L208</f>
        <v>2.7</v>
      </c>
      <c r="O208" s="25" t="n">
        <f aca="false">O207+N208</f>
        <v>92.7</v>
      </c>
      <c r="P208" s="21" t="n">
        <v>203</v>
      </c>
      <c r="Q208" s="22" t="n">
        <v>1.15</v>
      </c>
      <c r="R208" s="23" t="n">
        <f aca="false">Q208*L208</f>
        <v>1.61</v>
      </c>
      <c r="S208" s="23" t="n">
        <f aca="false">J208-R208</f>
        <v>2.49</v>
      </c>
      <c r="T208" s="58" t="n">
        <f aca="false">MIN(122.1,(T207+S208))</f>
        <v>86.7431756756757</v>
      </c>
      <c r="U208" s="1" t="n">
        <v>0</v>
      </c>
      <c r="V208" s="1" t="n">
        <v>1140.9</v>
      </c>
      <c r="W208" s="75" t="n">
        <f aca="false">(V208/100)/D208</f>
        <v>2.07436363636364</v>
      </c>
      <c r="X208" s="1" t="n">
        <f aca="false">X207+V208</f>
        <v>136388.3</v>
      </c>
      <c r="Y208" s="1" t="n">
        <f aca="false">Y207+V208</f>
        <v>8708.1</v>
      </c>
      <c r="Z208" s="1" t="n">
        <v>4</v>
      </c>
      <c r="AA208" s="1" t="n">
        <v>12.3198974725627</v>
      </c>
    </row>
    <row r="209" customFormat="false" ht="15" hidden="false" customHeight="false" outlineLevel="0" collapsed="false">
      <c r="A209" s="73"/>
      <c r="B209" s="1"/>
      <c r="C209" s="16" t="n">
        <v>41723</v>
      </c>
      <c r="D209" s="1" t="n">
        <v>7.4</v>
      </c>
      <c r="E209" s="31" t="n">
        <v>4.9</v>
      </c>
      <c r="F209" s="1" t="n">
        <v>10.3</v>
      </c>
      <c r="G209" s="1" t="n">
        <f aca="false">G208+D209</f>
        <v>1834.9</v>
      </c>
      <c r="H209" s="1" t="n">
        <f aca="false">H208+D209</f>
        <v>66.1</v>
      </c>
      <c r="I209" s="74" t="s">
        <v>37</v>
      </c>
      <c r="J209" s="56" t="n">
        <v>1.4</v>
      </c>
      <c r="K209" s="1" t="n">
        <f aca="false">K208+J209</f>
        <v>481.5</v>
      </c>
      <c r="L209" s="1" t="n">
        <v>1.6</v>
      </c>
      <c r="M209" s="1" t="n">
        <f aca="false">M208+L209</f>
        <v>245.5</v>
      </c>
      <c r="N209" s="19" t="n">
        <f aca="false">J209-L209</f>
        <v>-0.2</v>
      </c>
      <c r="O209" s="25" t="n">
        <f aca="false">O208+N209</f>
        <v>92.5</v>
      </c>
      <c r="P209" s="21" t="n">
        <v>204</v>
      </c>
      <c r="Q209" s="22" t="n">
        <v>1.15</v>
      </c>
      <c r="R209" s="23" t="n">
        <f aca="false">Q209*L209</f>
        <v>1.84</v>
      </c>
      <c r="S209" s="23" t="n">
        <f aca="false">J209-R209</f>
        <v>-0.44</v>
      </c>
      <c r="T209" s="58" t="n">
        <f aca="false">MIN(122.1,(T208+S209))</f>
        <v>86.3031756756757</v>
      </c>
      <c r="U209" s="74" t="s">
        <v>38</v>
      </c>
      <c r="V209" s="1" t="n">
        <v>1148.9</v>
      </c>
      <c r="W209" s="75" t="n">
        <f aca="false">(V209/100)/D209</f>
        <v>1.55256756756757</v>
      </c>
      <c r="X209" s="1" t="n">
        <f aca="false">X208+V209</f>
        <v>137537.2</v>
      </c>
      <c r="Y209" s="1" t="n">
        <f aca="false">Y208+V209</f>
        <v>9857</v>
      </c>
      <c r="AA209" s="1" t="n">
        <v>12.3761664954312</v>
      </c>
    </row>
    <row r="210" customFormat="false" ht="15" hidden="false" customHeight="false" outlineLevel="0" collapsed="false">
      <c r="A210" s="73"/>
      <c r="B210" s="1"/>
      <c r="C210" s="16" t="n">
        <v>41724</v>
      </c>
      <c r="D210" s="1" t="n">
        <v>6.1</v>
      </c>
      <c r="E210" s="31" t="n">
        <v>3.5</v>
      </c>
      <c r="F210" s="1" t="n">
        <v>10.3</v>
      </c>
      <c r="G210" s="1" t="n">
        <f aca="false">G209+D210</f>
        <v>1841</v>
      </c>
      <c r="H210" s="1" t="n">
        <f aca="false">H209+D210</f>
        <v>72.2</v>
      </c>
      <c r="I210" s="1" t="n">
        <v>2</v>
      </c>
      <c r="J210" s="1" t="n">
        <v>0</v>
      </c>
      <c r="K210" s="1" t="n">
        <f aca="false">K209+J210</f>
        <v>481.5</v>
      </c>
      <c r="L210" s="1" t="n">
        <v>1.8</v>
      </c>
      <c r="M210" s="1" t="n">
        <f aca="false">M209+L210</f>
        <v>247.3</v>
      </c>
      <c r="N210" s="19" t="n">
        <f aca="false">J210-L210</f>
        <v>-1.8</v>
      </c>
      <c r="O210" s="25" t="n">
        <f aca="false">O209+N210</f>
        <v>90.7</v>
      </c>
      <c r="P210" s="21" t="n">
        <v>205</v>
      </c>
      <c r="Q210" s="22" t="n">
        <v>1.15</v>
      </c>
      <c r="R210" s="23" t="n">
        <f aca="false">Q210*L210</f>
        <v>2.07</v>
      </c>
      <c r="S210" s="23" t="n">
        <f aca="false">J210-R210</f>
        <v>-2.07</v>
      </c>
      <c r="T210" s="26" t="n">
        <f aca="false">MIN(122.1,(T209+S210))</f>
        <v>84.2331756756757</v>
      </c>
      <c r="U210" s="29" t="n">
        <f aca="false">MIN(T202:T222)</f>
        <v>63.6731756756757</v>
      </c>
      <c r="V210" s="1" t="n">
        <v>1143.4</v>
      </c>
      <c r="W210" s="75" t="n">
        <f aca="false">(V210/100)/D210</f>
        <v>1.8744262295082</v>
      </c>
      <c r="X210" s="1" t="n">
        <f aca="false">X209+V210</f>
        <v>138680.6</v>
      </c>
      <c r="Y210" s="1" t="n">
        <f aca="false">Y209+V210</f>
        <v>11000.4</v>
      </c>
      <c r="AA210" s="1" t="n">
        <v>12.4323979623851</v>
      </c>
    </row>
    <row r="211" customFormat="false" ht="15" hidden="false" customHeight="false" outlineLevel="0" collapsed="false">
      <c r="A211" s="73" t="s">
        <v>54</v>
      </c>
      <c r="B211" s="1"/>
      <c r="C211" s="16" t="n">
        <v>41725</v>
      </c>
      <c r="D211" s="1" t="n">
        <v>5.2</v>
      </c>
      <c r="E211" s="30" t="n">
        <v>-1.1</v>
      </c>
      <c r="F211" s="1" t="n">
        <v>10.3</v>
      </c>
      <c r="G211" s="1" t="n">
        <f aca="false">G210+D211</f>
        <v>1846.2</v>
      </c>
      <c r="H211" s="1" t="n">
        <f aca="false">H210+D211</f>
        <v>77.4</v>
      </c>
      <c r="I211" s="74" t="s">
        <v>39</v>
      </c>
      <c r="J211" s="1" t="n">
        <v>0</v>
      </c>
      <c r="K211" s="1" t="n">
        <f aca="false">K210+J211</f>
        <v>481.5</v>
      </c>
      <c r="L211" s="1" t="n">
        <v>1.8</v>
      </c>
      <c r="M211" s="1" t="n">
        <f aca="false">M210+L211</f>
        <v>249.1</v>
      </c>
      <c r="N211" s="19" t="n">
        <f aca="false">J211-L211</f>
        <v>-1.8</v>
      </c>
      <c r="O211" s="25" t="n">
        <f aca="false">O210+N211</f>
        <v>88.9</v>
      </c>
      <c r="P211" s="21" t="n">
        <v>206</v>
      </c>
      <c r="Q211" s="22" t="n">
        <v>1.15</v>
      </c>
      <c r="R211" s="23" t="n">
        <f aca="false">Q211*L211</f>
        <v>2.07</v>
      </c>
      <c r="S211" s="23" t="n">
        <f aca="false">J211-R211</f>
        <v>-2.07</v>
      </c>
      <c r="T211" s="26" t="n">
        <f aca="false">MIN(122.1,(T210+S211))</f>
        <v>82.1631756756757</v>
      </c>
      <c r="U211" s="74" t="s">
        <v>40</v>
      </c>
      <c r="V211" s="1" t="n">
        <v>1596.9</v>
      </c>
      <c r="W211" s="75" t="n">
        <f aca="false">(V211/100)/D211</f>
        <v>3.07096153846154</v>
      </c>
      <c r="X211" s="1" t="n">
        <f aca="false">X210+V211</f>
        <v>140277.5</v>
      </c>
      <c r="Y211" s="1" t="n">
        <f aca="false">Y210+V211</f>
        <v>12597.3</v>
      </c>
      <c r="AA211" s="1" t="n">
        <v>12.4885858821902</v>
      </c>
    </row>
    <row r="212" customFormat="false" ht="15" hidden="false" customHeight="false" outlineLevel="0" collapsed="false">
      <c r="A212" s="77"/>
      <c r="B212" s="1"/>
      <c r="C212" s="16" t="n">
        <v>41726</v>
      </c>
      <c r="D212" s="1" t="n">
        <v>8.5</v>
      </c>
      <c r="E212" s="31" t="n">
        <v>2.2</v>
      </c>
      <c r="F212" s="1" t="n">
        <v>14.5</v>
      </c>
      <c r="G212" s="1" t="n">
        <f aca="false">G211+D212</f>
        <v>1854.7</v>
      </c>
      <c r="H212" s="1" t="n">
        <f aca="false">H211+D212</f>
        <v>85.9</v>
      </c>
      <c r="I212" s="1" t="n">
        <v>0</v>
      </c>
      <c r="J212" s="1" t="n">
        <v>0</v>
      </c>
      <c r="K212" s="1" t="n">
        <f aca="false">K211+J212</f>
        <v>481.5</v>
      </c>
      <c r="L212" s="1" t="n">
        <v>1.8</v>
      </c>
      <c r="M212" s="1" t="n">
        <f aca="false">M211+L212</f>
        <v>250.9</v>
      </c>
      <c r="N212" s="19" t="n">
        <f aca="false">J212-L212</f>
        <v>-1.8</v>
      </c>
      <c r="O212" s="25" t="n">
        <f aca="false">O211+N212</f>
        <v>87.1</v>
      </c>
      <c r="P212" s="21" t="n">
        <v>207</v>
      </c>
      <c r="Q212" s="22" t="n">
        <v>1.15</v>
      </c>
      <c r="R212" s="23" t="n">
        <f aca="false">Q212*L212</f>
        <v>2.07</v>
      </c>
      <c r="S212" s="23" t="n">
        <f aca="false">J212-R212</f>
        <v>-2.07</v>
      </c>
      <c r="T212" s="26" t="n">
        <f aca="false">MIN(122.1,(T211+S212))</f>
        <v>80.0931756756757</v>
      </c>
      <c r="U212" s="29" t="n">
        <f aca="false">MAX(T202:T222)</f>
        <v>86.9231756756757</v>
      </c>
      <c r="V212" s="1" t="n">
        <v>1018.3</v>
      </c>
      <c r="W212" s="76" t="n">
        <f aca="false">(V212/100)/D212</f>
        <v>1.198</v>
      </c>
      <c r="X212" s="1" t="n">
        <f aca="false">X211+V212</f>
        <v>141295.8</v>
      </c>
      <c r="Y212" s="1" t="n">
        <f aca="false">Y211+V212</f>
        <v>13615.6</v>
      </c>
      <c r="AA212" s="1" t="n">
        <v>12.5447242098874</v>
      </c>
    </row>
    <row r="213" customFormat="false" ht="15" hidden="false" customHeight="false" outlineLevel="0" collapsed="false">
      <c r="A213" s="77"/>
      <c r="B213" s="1"/>
      <c r="C213" s="16" t="n">
        <v>41727</v>
      </c>
      <c r="D213" s="1" t="n">
        <v>11.4</v>
      </c>
      <c r="E213" s="31" t="n">
        <v>3.2</v>
      </c>
      <c r="F213" s="1" t="n">
        <v>19</v>
      </c>
      <c r="G213" s="1" t="n">
        <f aca="false">G212+D213</f>
        <v>1866.1</v>
      </c>
      <c r="H213" s="1" t="n">
        <f aca="false">H212+D213</f>
        <v>97.3</v>
      </c>
      <c r="I213" s="74" t="s">
        <v>41</v>
      </c>
      <c r="J213" s="1" t="n">
        <v>0</v>
      </c>
      <c r="K213" s="1" t="n">
        <f aca="false">K212+J213</f>
        <v>481.5</v>
      </c>
      <c r="L213" s="1" t="n">
        <v>2.6</v>
      </c>
      <c r="M213" s="1" t="n">
        <f aca="false">M212+L213</f>
        <v>253.5</v>
      </c>
      <c r="N213" s="19" t="n">
        <f aca="false">J213-L213</f>
        <v>-2.6</v>
      </c>
      <c r="O213" s="25" t="n">
        <f aca="false">O212+N213</f>
        <v>84.5</v>
      </c>
      <c r="P213" s="21" t="n">
        <v>208</v>
      </c>
      <c r="Q213" s="22" t="n">
        <v>1.15</v>
      </c>
      <c r="R213" s="23" t="n">
        <f aca="false">Q213*L213</f>
        <v>2.99</v>
      </c>
      <c r="S213" s="23" t="n">
        <f aca="false">J213-R213</f>
        <v>-2.99</v>
      </c>
      <c r="T213" s="26" t="n">
        <f aca="false">MIN(122.1,(T212+S213))</f>
        <v>77.1031756756757</v>
      </c>
      <c r="U213" s="74" t="s">
        <v>42</v>
      </c>
      <c r="V213" s="1" t="n">
        <v>1340.4</v>
      </c>
      <c r="W213" s="76" t="n">
        <f aca="false">(V213/100)/D213</f>
        <v>1.17578947368421</v>
      </c>
      <c r="X213" s="1" t="n">
        <f aca="false">X212+V213</f>
        <v>142636.2</v>
      </c>
      <c r="Y213" s="1" t="n">
        <f aca="false">Y212+V213</f>
        <v>14956</v>
      </c>
      <c r="AA213" s="1" t="n">
        <v>12.6008068307117</v>
      </c>
    </row>
    <row r="214" customFormat="false" ht="15" hidden="false" customHeight="false" outlineLevel="0" collapsed="false">
      <c r="A214" s="77"/>
      <c r="B214" s="1"/>
      <c r="C214" s="16" t="n">
        <v>41728</v>
      </c>
      <c r="D214" s="1" t="n">
        <v>12.1</v>
      </c>
      <c r="E214" s="1" t="n">
        <v>7.5</v>
      </c>
      <c r="F214" s="1" t="n">
        <v>17.3</v>
      </c>
      <c r="G214" s="1" t="n">
        <f aca="false">G213+D214</f>
        <v>1878.2</v>
      </c>
      <c r="H214" s="1" t="n">
        <f aca="false">H213+D214</f>
        <v>109.4</v>
      </c>
      <c r="I214" s="1" t="n">
        <v>8</v>
      </c>
      <c r="J214" s="1" t="n">
        <v>0.2</v>
      </c>
      <c r="K214" s="1" t="n">
        <f aca="false">K213+J214</f>
        <v>481.7</v>
      </c>
      <c r="L214" s="1" t="n">
        <v>1.5</v>
      </c>
      <c r="M214" s="1" t="n">
        <f aca="false">M213+L214</f>
        <v>255</v>
      </c>
      <c r="N214" s="19" t="n">
        <f aca="false">J214-L214</f>
        <v>-1.3</v>
      </c>
      <c r="O214" s="25" t="n">
        <f aca="false">O213+N214</f>
        <v>83.2</v>
      </c>
      <c r="P214" s="21" t="n">
        <v>209</v>
      </c>
      <c r="Q214" s="22" t="n">
        <v>1.15</v>
      </c>
      <c r="R214" s="23" t="n">
        <f aca="false">Q214*L214</f>
        <v>1.725</v>
      </c>
      <c r="S214" s="23" t="n">
        <f aca="false">J214-R214</f>
        <v>-1.525</v>
      </c>
      <c r="T214" s="26" t="n">
        <f aca="false">MIN(122.1,(T213+S214))</f>
        <v>75.5781756756757</v>
      </c>
      <c r="U214" s="28" t="n">
        <f aca="false">AVERAGE(T202:T222)</f>
        <v>77.6634137709138</v>
      </c>
      <c r="V214" s="1" t="n">
        <v>965.5</v>
      </c>
      <c r="W214" s="76" t="n">
        <f aca="false">(V214/100)/D214</f>
        <v>0.797933884297521</v>
      </c>
      <c r="X214" s="1" t="n">
        <f aca="false">X213+V214</f>
        <v>143601.7</v>
      </c>
      <c r="Y214" s="1" t="n">
        <f aca="false">Y213+V214</f>
        <v>15921.5</v>
      </c>
      <c r="AA214" s="1" t="n">
        <v>12.6568275440966</v>
      </c>
    </row>
    <row r="215" customFormat="false" ht="15" hidden="false" customHeight="false" outlineLevel="0" collapsed="false">
      <c r="A215" s="77"/>
      <c r="B215" s="1"/>
      <c r="C215" s="16" t="n">
        <v>41729</v>
      </c>
      <c r="D215" s="1" t="n">
        <v>11.6</v>
      </c>
      <c r="E215" s="1" t="n">
        <v>6.1</v>
      </c>
      <c r="F215" s="1" t="n">
        <v>15.8</v>
      </c>
      <c r="G215" s="1" t="n">
        <f aca="false">G214+D215</f>
        <v>1889.8</v>
      </c>
      <c r="H215" s="1" t="n">
        <f aca="false">H214+D215</f>
        <v>121</v>
      </c>
      <c r="I215" s="74" t="s">
        <v>43</v>
      </c>
      <c r="J215" s="1" t="n">
        <v>0</v>
      </c>
      <c r="K215" s="1" t="n">
        <f aca="false">K214+J215</f>
        <v>481.7</v>
      </c>
      <c r="L215" s="1" t="n">
        <v>1.7</v>
      </c>
      <c r="M215" s="1" t="n">
        <f aca="false">M214+L215</f>
        <v>256.7</v>
      </c>
      <c r="N215" s="19" t="n">
        <f aca="false">J215-L215</f>
        <v>-1.7</v>
      </c>
      <c r="O215" s="25" t="n">
        <f aca="false">O214+N215</f>
        <v>81.5</v>
      </c>
      <c r="P215" s="21" t="n">
        <v>210</v>
      </c>
      <c r="Q215" s="22" t="n">
        <v>1.15</v>
      </c>
      <c r="R215" s="23" t="n">
        <f aca="false">Q215*L215</f>
        <v>1.955</v>
      </c>
      <c r="S215" s="23" t="n">
        <f aca="false">J215-R215</f>
        <v>-1.955</v>
      </c>
      <c r="T215" s="26" t="n">
        <f aca="false">MIN(122.1,(T214+S215))</f>
        <v>73.6231756756757</v>
      </c>
      <c r="V215" s="1" t="n">
        <v>1513.5</v>
      </c>
      <c r="W215" s="17" t="n">
        <f aca="false">(V215/100)/D215</f>
        <v>1.30474137931034</v>
      </c>
      <c r="X215" s="1" t="n">
        <f aca="false">X214+V215</f>
        <v>145115.2</v>
      </c>
      <c r="Y215" s="1" t="n">
        <f aca="false">Y214+V215</f>
        <v>17435</v>
      </c>
      <c r="AA215" s="1" t="n">
        <v>12.7127800477652</v>
      </c>
    </row>
    <row r="216" customFormat="false" ht="15" hidden="false" customHeight="false" outlineLevel="0" collapsed="false">
      <c r="A216" s="77"/>
      <c r="B216" s="1"/>
      <c r="C216" s="16" t="n">
        <v>41730</v>
      </c>
      <c r="D216" s="1" t="n">
        <v>13</v>
      </c>
      <c r="E216" s="1" t="n">
        <v>6.8</v>
      </c>
      <c r="F216" s="1" t="n">
        <v>18.6</v>
      </c>
      <c r="G216" s="1" t="n">
        <f aca="false">G215+D216</f>
        <v>1902.8</v>
      </c>
      <c r="H216" s="1" t="n">
        <f aca="false">H215+D216</f>
        <v>134</v>
      </c>
      <c r="I216" s="1" t="n">
        <v>212.7</v>
      </c>
      <c r="J216" s="1" t="n">
        <v>0</v>
      </c>
      <c r="K216" s="1" t="n">
        <f aca="false">K215+J216</f>
        <v>481.7</v>
      </c>
      <c r="L216" s="1" t="n">
        <v>2.1</v>
      </c>
      <c r="M216" s="1" t="n">
        <f aca="false">M215+L216</f>
        <v>258.8</v>
      </c>
      <c r="N216" s="19" t="n">
        <f aca="false">J216-L216</f>
        <v>-2.1</v>
      </c>
      <c r="O216" s="25" t="n">
        <f aca="false">O215+N216</f>
        <v>79.4</v>
      </c>
      <c r="P216" s="21" t="n">
        <v>211</v>
      </c>
      <c r="Q216" s="22" t="n">
        <v>1.15</v>
      </c>
      <c r="R216" s="23" t="n">
        <f aca="false">Q216*L216</f>
        <v>2.415</v>
      </c>
      <c r="S216" s="23" t="n">
        <f aca="false">J216-R216</f>
        <v>-2.415</v>
      </c>
      <c r="T216" s="26" t="n">
        <f aca="false">MIN(122.1,(T215+S216))</f>
        <v>71.2081756756757</v>
      </c>
      <c r="U216" s="29" t="n">
        <f aca="false">(U214*100)/122.1</f>
        <v>63.6063994847779</v>
      </c>
      <c r="V216" s="1" t="n">
        <v>1545.5</v>
      </c>
      <c r="W216" s="76" t="n">
        <f aca="false">(V216/100)/D216</f>
        <v>1.18884615384615</v>
      </c>
      <c r="X216" s="1" t="n">
        <f aca="false">X215+V216</f>
        <v>146660.7</v>
      </c>
      <c r="Y216" s="1" t="n">
        <f aca="false">Y215+V216</f>
        <v>18980.5</v>
      </c>
      <c r="AA216" s="1" t="n">
        <v>12.7686579219087</v>
      </c>
    </row>
    <row r="217" customFormat="false" ht="15" hidden="false" customHeight="false" outlineLevel="0" collapsed="false">
      <c r="A217" s="77"/>
      <c r="B217" s="1"/>
      <c r="C217" s="16" t="n">
        <v>41731</v>
      </c>
      <c r="D217" s="1" t="n">
        <v>14.3</v>
      </c>
      <c r="E217" s="1" t="n">
        <v>8.2</v>
      </c>
      <c r="F217" s="1" t="n">
        <v>20.2</v>
      </c>
      <c r="G217" s="1" t="n">
        <f aca="false">G216+D217</f>
        <v>1917.1</v>
      </c>
      <c r="H217" s="1" t="n">
        <f aca="false">H216+D217</f>
        <v>148.3</v>
      </c>
      <c r="J217" s="1" t="n">
        <v>0.6</v>
      </c>
      <c r="K217" s="1" t="n">
        <f aca="false">K216+J217</f>
        <v>482.3</v>
      </c>
      <c r="L217" s="1" t="n">
        <v>1.8</v>
      </c>
      <c r="M217" s="1" t="n">
        <f aca="false">M216+L217</f>
        <v>260.6</v>
      </c>
      <c r="N217" s="19" t="n">
        <f aca="false">J217-L217</f>
        <v>-1.2</v>
      </c>
      <c r="O217" s="25" t="n">
        <f aca="false">O216+N217</f>
        <v>78.2</v>
      </c>
      <c r="P217" s="21" t="n">
        <v>212</v>
      </c>
      <c r="Q217" s="22" t="n">
        <v>1.15</v>
      </c>
      <c r="R217" s="23" t="n">
        <f aca="false">Q217*L217</f>
        <v>2.07</v>
      </c>
      <c r="S217" s="23" t="n">
        <f aca="false">J217-R217</f>
        <v>-1.47</v>
      </c>
      <c r="T217" s="26" t="n">
        <f aca="false">MIN(122.1,(T216+S217))</f>
        <v>69.7381756756757</v>
      </c>
      <c r="V217" s="1" t="n">
        <v>911.1</v>
      </c>
      <c r="W217" s="76" t="n">
        <f aca="false">(V217/100)/D217</f>
        <v>0.637132867132867</v>
      </c>
      <c r="X217" s="1" t="n">
        <f aca="false">X216+V217</f>
        <v>147571.8</v>
      </c>
      <c r="Y217" s="1" t="n">
        <f aca="false">Y216+V217</f>
        <v>19891.6</v>
      </c>
      <c r="AA217" s="1" t="n">
        <v>12.8244546134541</v>
      </c>
    </row>
    <row r="218" customFormat="false" ht="15" hidden="false" customHeight="false" outlineLevel="0" collapsed="false">
      <c r="A218" s="77"/>
      <c r="B218" s="1"/>
      <c r="C218" s="16" t="n">
        <v>41732</v>
      </c>
      <c r="D218" s="1" t="n">
        <v>12.9</v>
      </c>
      <c r="E218" s="1" t="n">
        <v>11</v>
      </c>
      <c r="F218" s="1" t="n">
        <v>15.1</v>
      </c>
      <c r="G218" s="1" t="n">
        <f aca="false">G217+D218</f>
        <v>1930</v>
      </c>
      <c r="H218" s="1" t="n">
        <f aca="false">H217+D218</f>
        <v>161.2</v>
      </c>
      <c r="J218" s="1" t="n">
        <v>2</v>
      </c>
      <c r="K218" s="1" t="n">
        <f aca="false">K217+J218</f>
        <v>484.3</v>
      </c>
      <c r="L218" s="1" t="n">
        <v>0.9</v>
      </c>
      <c r="M218" s="1" t="n">
        <f aca="false">M217+L218</f>
        <v>261.5</v>
      </c>
      <c r="N218" s="1" t="n">
        <f aca="false">J218-L218</f>
        <v>1.1</v>
      </c>
      <c r="O218" s="25" t="n">
        <f aca="false">O217+N218</f>
        <v>79.3</v>
      </c>
      <c r="P218" s="21" t="n">
        <v>213</v>
      </c>
      <c r="Q218" s="22" t="n">
        <v>1.15</v>
      </c>
      <c r="R218" s="23" t="n">
        <f aca="false">Q218*L218</f>
        <v>1.035</v>
      </c>
      <c r="S218" s="23" t="n">
        <f aca="false">J218-R218</f>
        <v>0.965</v>
      </c>
      <c r="T218" s="26" t="n">
        <f aca="false">MIN(122.1,(T217+S218))</f>
        <v>70.7031756756757</v>
      </c>
      <c r="V218" s="27" t="n">
        <v>358</v>
      </c>
      <c r="W218" s="76" t="n">
        <f aca="false">(V218/100)/D218</f>
        <v>0.277519379844961</v>
      </c>
      <c r="X218" s="1" t="n">
        <f aca="false">X217+V218</f>
        <v>147929.8</v>
      </c>
      <c r="Y218" s="1" t="n">
        <f aca="false">Y217+V218</f>
        <v>20249.6</v>
      </c>
      <c r="AA218" s="1" t="n">
        <v>12.8801634204257</v>
      </c>
    </row>
    <row r="219" customFormat="false" ht="15" hidden="false" customHeight="false" outlineLevel="0" collapsed="false">
      <c r="A219" s="77"/>
      <c r="B219" s="1"/>
      <c r="C219" s="16" t="n">
        <v>41733</v>
      </c>
      <c r="D219" s="1" t="n">
        <v>10.8</v>
      </c>
      <c r="E219" s="1" t="n">
        <v>11.1</v>
      </c>
      <c r="F219" s="1" t="n">
        <v>11.6</v>
      </c>
      <c r="G219" s="1" t="n">
        <f aca="false">G218+D219</f>
        <v>1940.8</v>
      </c>
      <c r="H219" s="1" t="n">
        <f aca="false">H218+D219</f>
        <v>172</v>
      </c>
      <c r="J219" s="1" t="n">
        <v>2</v>
      </c>
      <c r="K219" s="1" t="n">
        <f aca="false">K218+J219</f>
        <v>486.3</v>
      </c>
      <c r="L219" s="1" t="n">
        <v>0.6</v>
      </c>
      <c r="M219" s="1" t="n">
        <f aca="false">M218+L219</f>
        <v>262.1</v>
      </c>
      <c r="N219" s="1" t="n">
        <f aca="false">J219-L219</f>
        <v>1.4</v>
      </c>
      <c r="O219" s="25" t="n">
        <f aca="false">O218+N219</f>
        <v>80.7</v>
      </c>
      <c r="P219" s="21" t="n">
        <v>214</v>
      </c>
      <c r="Q219" s="22" t="n">
        <v>1.15</v>
      </c>
      <c r="R219" s="23" t="n">
        <f aca="false">Q219*L219</f>
        <v>0.69</v>
      </c>
      <c r="S219" s="23" t="n">
        <f aca="false">J219-R219</f>
        <v>1.31</v>
      </c>
      <c r="T219" s="26" t="n">
        <f aca="false">MIN(122.1,(T218+S219))</f>
        <v>72.0131756756757</v>
      </c>
      <c r="V219" s="27" t="n">
        <v>330.9</v>
      </c>
      <c r="W219" s="76" t="n">
        <f aca="false">(V219/100)/D219</f>
        <v>0.306388888888889</v>
      </c>
      <c r="X219" s="1" t="n">
        <f aca="false">X218+V219</f>
        <v>148260.7</v>
      </c>
      <c r="Y219" s="1" t="n">
        <f aca="false">Y218+V219</f>
        <v>20580.5</v>
      </c>
      <c r="AA219" s="1" t="n">
        <v>12.9357774764031</v>
      </c>
    </row>
    <row r="220" customFormat="false" ht="15" hidden="false" customHeight="false" outlineLevel="0" collapsed="false">
      <c r="A220" s="78"/>
      <c r="B220" s="1"/>
      <c r="C220" s="16" t="n">
        <v>41734</v>
      </c>
      <c r="D220" s="1" t="n">
        <v>11.5</v>
      </c>
      <c r="E220" s="1" t="n">
        <v>5.9</v>
      </c>
      <c r="F220" s="1" t="n">
        <v>15</v>
      </c>
      <c r="G220" s="1" t="n">
        <f aca="false">G219+D220</f>
        <v>1952.3</v>
      </c>
      <c r="H220" s="1" t="n">
        <f aca="false">H219+D220</f>
        <v>183.5</v>
      </c>
      <c r="J220" s="1" t="n">
        <v>0</v>
      </c>
      <c r="K220" s="1" t="n">
        <f aca="false">K219+J220</f>
        <v>486.3</v>
      </c>
      <c r="L220" s="1" t="n">
        <v>2.6</v>
      </c>
      <c r="M220" s="1" t="n">
        <f aca="false">M219+L220</f>
        <v>264.7</v>
      </c>
      <c r="N220" s="19" t="n">
        <f aca="false">J220-L220</f>
        <v>-2.6</v>
      </c>
      <c r="O220" s="25" t="n">
        <f aca="false">O219+N220</f>
        <v>78.1</v>
      </c>
      <c r="P220" s="21" t="n">
        <v>215</v>
      </c>
      <c r="Q220" s="22" t="n">
        <v>1.15</v>
      </c>
      <c r="R220" s="23" t="n">
        <f aca="false">Q220*L220</f>
        <v>2.99</v>
      </c>
      <c r="S220" s="23" t="n">
        <f aca="false">J220-R220</f>
        <v>-2.99</v>
      </c>
      <c r="T220" s="26" t="n">
        <f aca="false">MIN(122.1,(T219+S220))</f>
        <v>69.0231756756757</v>
      </c>
      <c r="V220" s="1" t="n">
        <v>1805.5</v>
      </c>
      <c r="W220" s="75" t="n">
        <f aca="false">(V220/100)/D220</f>
        <v>1.57</v>
      </c>
      <c r="X220" s="1" t="n">
        <f aca="false">X219+V220</f>
        <v>150066.2</v>
      </c>
      <c r="Y220" s="1" t="n">
        <f aca="false">Y219+V220</f>
        <v>22386</v>
      </c>
      <c r="AA220" s="1" t="n">
        <v>12.9912897350835</v>
      </c>
    </row>
    <row r="221" s="83" customFormat="true" ht="15" hidden="false" customHeight="false" outlineLevel="0" collapsed="false">
      <c r="A221" s="77"/>
      <c r="B221" s="79"/>
      <c r="C221" s="80" t="n">
        <v>41735</v>
      </c>
      <c r="D221" s="79" t="n">
        <v>13.9</v>
      </c>
      <c r="E221" s="79" t="n">
        <v>12</v>
      </c>
      <c r="F221" s="79" t="n">
        <v>16.9</v>
      </c>
      <c r="G221" s="79" t="n">
        <f aca="false">G220+D221</f>
        <v>1966.2</v>
      </c>
      <c r="H221" s="79" t="n">
        <f aca="false">H220+D221</f>
        <v>197.4</v>
      </c>
      <c r="I221" s="79"/>
      <c r="J221" s="79" t="n">
        <v>0.4</v>
      </c>
      <c r="K221" s="79" t="n">
        <f aca="false">K220+J221</f>
        <v>486.7</v>
      </c>
      <c r="L221" s="79" t="n">
        <v>1.4</v>
      </c>
      <c r="M221" s="79" t="n">
        <f aca="false">M220+L221</f>
        <v>266.1</v>
      </c>
      <c r="N221" s="79" t="n">
        <f aca="false">J221-L221</f>
        <v>-1</v>
      </c>
      <c r="O221" s="79" t="n">
        <f aca="false">O220+N221</f>
        <v>77.1</v>
      </c>
      <c r="P221" s="21" t="n">
        <v>216</v>
      </c>
      <c r="Q221" s="81" t="n">
        <v>1.15</v>
      </c>
      <c r="R221" s="82" t="n">
        <f aca="false">Q221*L221</f>
        <v>1.61</v>
      </c>
      <c r="S221" s="23" t="n">
        <f aca="false">J221-R221</f>
        <v>-1.21</v>
      </c>
      <c r="T221" s="26" t="n">
        <f aca="false">MIN(122.1,(T220+S221))</f>
        <v>67.8131756756757</v>
      </c>
      <c r="U221" s="79"/>
      <c r="V221" s="79" t="n">
        <v>830.2</v>
      </c>
      <c r="W221" s="76" t="n">
        <f aca="false">(V221/100)/D221</f>
        <v>0.59726618705036</v>
      </c>
      <c r="X221" s="79" t="n">
        <f aca="false">X220+V221</f>
        <v>150896.4</v>
      </c>
      <c r="Y221" s="83" t="n">
        <f aca="false">Y220+V221</f>
        <v>23216.2</v>
      </c>
      <c r="Z221" s="79"/>
      <c r="AA221" s="79" t="n">
        <v>13.0466929549536</v>
      </c>
      <c r="AB221" s="79"/>
      <c r="AC221" s="79"/>
      <c r="AD221" s="79"/>
      <c r="AE221" s="79"/>
      <c r="AF221" s="79"/>
      <c r="AG221" s="79"/>
      <c r="AH221" s="79"/>
      <c r="AI221" s="79"/>
      <c r="AJ221" s="79"/>
      <c r="AK221" s="79"/>
      <c r="AL221" s="79"/>
      <c r="AM221" s="79"/>
      <c r="AN221" s="79"/>
    </row>
    <row r="222" s="35" customFormat="true" ht="15" hidden="false" customHeight="false" outlineLevel="0" collapsed="false">
      <c r="A222" s="84" t="s">
        <v>55</v>
      </c>
      <c r="C222" s="67" t="n">
        <v>41736</v>
      </c>
      <c r="D222" s="35" t="n">
        <v>15.3</v>
      </c>
      <c r="E222" s="35" t="n">
        <v>8.6</v>
      </c>
      <c r="F222" s="35" t="n">
        <v>23.3</v>
      </c>
      <c r="G222" s="35" t="n">
        <f aca="false">G221+D222</f>
        <v>1981.5</v>
      </c>
      <c r="H222" s="35" t="n">
        <f aca="false">H221+D222</f>
        <v>212.7</v>
      </c>
      <c r="J222" s="35" t="n">
        <v>0</v>
      </c>
      <c r="K222" s="35" t="n">
        <f aca="false">K221+J222</f>
        <v>486.7</v>
      </c>
      <c r="L222" s="35" t="n">
        <v>3.6</v>
      </c>
      <c r="M222" s="35" t="n">
        <f aca="false">M221+L222</f>
        <v>269.7</v>
      </c>
      <c r="N222" s="70" t="n">
        <f aca="false">J222-L222</f>
        <v>-3.6</v>
      </c>
      <c r="O222" s="36" t="n">
        <f aca="false">O221+N222</f>
        <v>73.5</v>
      </c>
      <c r="P222" s="117" t="n">
        <v>217</v>
      </c>
      <c r="Q222" s="35" t="n">
        <v>1.15</v>
      </c>
      <c r="R222" s="39" t="n">
        <f aca="false">Q222*L222</f>
        <v>4.14</v>
      </c>
      <c r="S222" s="39" t="n">
        <f aca="false">J222-R222</f>
        <v>-4.14</v>
      </c>
      <c r="T222" s="124" t="n">
        <f aca="false">MIN(122.1,(T221+S222))</f>
        <v>63.6731756756757</v>
      </c>
      <c r="V222" s="35" t="n">
        <v>1813.7</v>
      </c>
      <c r="W222" s="125" t="n">
        <f aca="false">(V222/100)/D222</f>
        <v>1.18542483660131</v>
      </c>
      <c r="X222" s="35" t="n">
        <f aca="false">X221+V222</f>
        <v>152710.1</v>
      </c>
      <c r="Y222" s="35" t="n">
        <f aca="false">Y221+V222</f>
        <v>25029.9</v>
      </c>
      <c r="AA222" s="35" t="n">
        <v>13.101979684083</v>
      </c>
    </row>
    <row r="223" s="79" customFormat="true" ht="15" hidden="false" customHeight="false" outlineLevel="0" collapsed="false">
      <c r="A223" s="86" t="n">
        <v>300</v>
      </c>
      <c r="C223" s="89" t="n">
        <v>41737</v>
      </c>
      <c r="D223" s="79" t="n">
        <v>10.2</v>
      </c>
      <c r="E223" s="79" t="n">
        <v>6.4</v>
      </c>
      <c r="F223" s="79" t="n">
        <v>14</v>
      </c>
      <c r="G223" s="79" t="n">
        <f aca="false">G222+D223</f>
        <v>1991.7</v>
      </c>
      <c r="H223" s="79" t="n">
        <f aca="false">D223</f>
        <v>10.2</v>
      </c>
      <c r="J223" s="79" t="n">
        <v>0</v>
      </c>
      <c r="K223" s="79" t="n">
        <f aca="false">K222+J223</f>
        <v>486.7</v>
      </c>
      <c r="L223" s="79" t="n">
        <v>2.6</v>
      </c>
      <c r="M223" s="79" t="n">
        <f aca="false">M222+L223</f>
        <v>272.3</v>
      </c>
      <c r="N223" s="91" t="n">
        <f aca="false">J223-L223</f>
        <v>-2.6</v>
      </c>
      <c r="O223" s="92" t="n">
        <f aca="false">O222+N223</f>
        <v>70.9000000000001</v>
      </c>
      <c r="P223" s="121" t="n">
        <v>218</v>
      </c>
      <c r="Q223" s="81" t="n">
        <v>1.15</v>
      </c>
      <c r="R223" s="82" t="n">
        <f aca="false">Q223*L223</f>
        <v>2.99</v>
      </c>
      <c r="S223" s="82" t="n">
        <f aca="false">J223-R223</f>
        <v>-2.99</v>
      </c>
      <c r="T223" s="126" t="n">
        <f aca="false">MIN(122.1,(T222+S223))</f>
        <v>60.6831756756757</v>
      </c>
      <c r="V223" s="79" t="n">
        <v>1825.6</v>
      </c>
      <c r="W223" s="127" t="n">
        <f aca="false">(V223/100)/D223</f>
        <v>1.78980392156863</v>
      </c>
      <c r="X223" s="79" t="n">
        <f aca="false">X222+V223</f>
        <v>154535.7</v>
      </c>
      <c r="Y223" s="79" t="n">
        <f aca="false">V223</f>
        <v>1825.6</v>
      </c>
      <c r="AA223" s="79" t="n">
        <v>13.1571422450474</v>
      </c>
    </row>
    <row r="224" customFormat="false" ht="15" hidden="false" customHeight="false" outlineLevel="0" collapsed="false">
      <c r="A224" s="86"/>
      <c r="B224" s="51"/>
      <c r="C224" s="16" t="n">
        <v>41738</v>
      </c>
      <c r="D224" s="1" t="n">
        <v>9.7</v>
      </c>
      <c r="E224" s="31" t="n">
        <v>3.3</v>
      </c>
      <c r="F224" s="1" t="n">
        <v>14.7</v>
      </c>
      <c r="G224" s="1" t="n">
        <f aca="false">G223+D224</f>
        <v>2001.4</v>
      </c>
      <c r="H224" s="1" t="n">
        <f aca="false">H223+D224</f>
        <v>19.9</v>
      </c>
      <c r="I224" s="87" t="s">
        <v>28</v>
      </c>
      <c r="J224" s="1" t="n">
        <v>0</v>
      </c>
      <c r="K224" s="1" t="n">
        <f aca="false">K223+J224</f>
        <v>486.7</v>
      </c>
      <c r="L224" s="1" t="n">
        <v>2.7</v>
      </c>
      <c r="M224" s="1" t="n">
        <f aca="false">M223+L224</f>
        <v>275</v>
      </c>
      <c r="N224" s="19" t="n">
        <f aca="false">J224-L224</f>
        <v>-2.7</v>
      </c>
      <c r="O224" s="25" t="n">
        <f aca="false">O223+N224</f>
        <v>68.2000000000001</v>
      </c>
      <c r="P224" s="21" t="n">
        <v>219</v>
      </c>
      <c r="Q224" s="22" t="n">
        <v>1.15</v>
      </c>
      <c r="R224" s="23" t="n">
        <f aca="false">Q224*L224</f>
        <v>3.105</v>
      </c>
      <c r="S224" s="23" t="n">
        <f aca="false">J224-R224</f>
        <v>-3.105</v>
      </c>
      <c r="T224" s="26" t="n">
        <f aca="false">MIN(122.1,(T223+S224))</f>
        <v>57.5781756756757</v>
      </c>
      <c r="U224" s="87" t="s">
        <v>29</v>
      </c>
      <c r="V224" s="1" t="n">
        <v>1990.8</v>
      </c>
      <c r="W224" s="1" t="n">
        <f aca="false">V224/D224</f>
        <v>205.237113402062</v>
      </c>
      <c r="X224" s="1" t="n">
        <f aca="false">X223+V224</f>
        <v>156526.5</v>
      </c>
      <c r="Y224" s="1" t="n">
        <f aca="false">Y223+V224</f>
        <v>3816.4</v>
      </c>
      <c r="Z224" s="87" t="s">
        <v>30</v>
      </c>
      <c r="AA224" s="1" t="n">
        <v>13.2121727199969</v>
      </c>
    </row>
    <row r="225" customFormat="false" ht="15" hidden="false" customHeight="false" outlineLevel="0" collapsed="false">
      <c r="A225" s="86"/>
      <c r="B225" s="51"/>
      <c r="C225" s="16" t="n">
        <v>41739</v>
      </c>
      <c r="D225" s="1" t="n">
        <v>12.4</v>
      </c>
      <c r="E225" s="1" t="n">
        <v>5.1</v>
      </c>
      <c r="F225" s="1" t="n">
        <v>18.8</v>
      </c>
      <c r="G225" s="1" t="n">
        <f aca="false">G224+D225</f>
        <v>2013.8</v>
      </c>
      <c r="H225" s="1" t="n">
        <f aca="false">H224+D225</f>
        <v>32.3</v>
      </c>
      <c r="I225" s="1" t="n">
        <f aca="false">MIN(E223:E250)</f>
        <v>1.8</v>
      </c>
      <c r="J225" s="1" t="n">
        <v>0</v>
      </c>
      <c r="K225" s="1" t="n">
        <f aca="false">K224+J225</f>
        <v>486.7</v>
      </c>
      <c r="L225" s="1" t="n">
        <v>4.1</v>
      </c>
      <c r="M225" s="1" t="n">
        <f aca="false">M224+L225</f>
        <v>279.1</v>
      </c>
      <c r="N225" s="19" t="n">
        <f aca="false">J225-L225</f>
        <v>-4.1</v>
      </c>
      <c r="O225" s="25" t="n">
        <f aca="false">O224+N225</f>
        <v>64.1000000000001</v>
      </c>
      <c r="P225" s="21" t="n">
        <v>220</v>
      </c>
      <c r="Q225" s="22" t="n">
        <v>1.15</v>
      </c>
      <c r="R225" s="23" t="n">
        <f aca="false">Q225*L225</f>
        <v>4.715</v>
      </c>
      <c r="S225" s="23" t="n">
        <f aca="false">J225-R225</f>
        <v>-4.715</v>
      </c>
      <c r="T225" s="26" t="n">
        <f aca="false">MIN(122.1,(T224+S225))</f>
        <v>52.8631756756757</v>
      </c>
      <c r="U225" s="1" t="n">
        <v>19</v>
      </c>
      <c r="V225" s="1" t="n">
        <v>2423.1</v>
      </c>
      <c r="W225" s="1" t="n">
        <f aca="false">V225/D225</f>
        <v>195.411290322581</v>
      </c>
      <c r="X225" s="1" t="n">
        <f aca="false">X224+V225</f>
        <v>158949.6</v>
      </c>
      <c r="Y225" s="1" t="n">
        <f aca="false">Y224+V225</f>
        <v>6239.5</v>
      </c>
      <c r="Z225" s="1" t="n">
        <v>43264.3</v>
      </c>
      <c r="AA225" s="1" t="n">
        <v>13.2670629358827</v>
      </c>
    </row>
    <row r="226" customFormat="false" ht="15" hidden="false" customHeight="false" outlineLevel="0" collapsed="false">
      <c r="A226" s="86"/>
      <c r="B226" s="51"/>
      <c r="C226" s="16" t="n">
        <v>41740</v>
      </c>
      <c r="D226" s="1" t="n">
        <v>12.7</v>
      </c>
      <c r="E226" s="1" t="n">
        <v>6.6</v>
      </c>
      <c r="F226" s="1" t="n">
        <v>18.9</v>
      </c>
      <c r="G226" s="1" t="n">
        <f aca="false">G225+D226</f>
        <v>2026.5</v>
      </c>
      <c r="H226" s="1" t="n">
        <f aca="false">H225+D226</f>
        <v>45</v>
      </c>
      <c r="I226" s="87" t="s">
        <v>31</v>
      </c>
      <c r="J226" s="1" t="n">
        <v>1.2</v>
      </c>
      <c r="K226" s="1" t="n">
        <f aca="false">K225+J226</f>
        <v>487.9</v>
      </c>
      <c r="L226" s="1" t="n">
        <v>1.7</v>
      </c>
      <c r="M226" s="1" t="n">
        <f aca="false">M225+L226</f>
        <v>280.8</v>
      </c>
      <c r="N226" s="19" t="n">
        <f aca="false">J226-L226</f>
        <v>-0.5</v>
      </c>
      <c r="O226" s="25" t="n">
        <f aca="false">O225+N226</f>
        <v>63.6000000000001</v>
      </c>
      <c r="P226" s="21" t="n">
        <v>221</v>
      </c>
      <c r="Q226" s="22" t="n">
        <v>1.15</v>
      </c>
      <c r="R226" s="23" t="n">
        <f aca="false">Q226*L226</f>
        <v>1.955</v>
      </c>
      <c r="S226" s="23" t="n">
        <f aca="false">J226-R226</f>
        <v>-0.755</v>
      </c>
      <c r="T226" s="26" t="n">
        <f aca="false">MIN(122.1,(T225+S226))</f>
        <v>52.1081756756757</v>
      </c>
      <c r="U226" s="87" t="s">
        <v>32</v>
      </c>
      <c r="V226" s="1" t="n">
        <v>1003.5</v>
      </c>
      <c r="W226" s="1" t="n">
        <f aca="false">V226/D226</f>
        <v>79.0157480314961</v>
      </c>
      <c r="X226" s="1" t="n">
        <f aca="false">X225+V226</f>
        <v>159953.1</v>
      </c>
      <c r="Y226" s="1" t="n">
        <f aca="false">Y225+V226</f>
        <v>7243</v>
      </c>
      <c r="Z226" s="87" t="s">
        <v>33</v>
      </c>
      <c r="AA226" s="1" t="n">
        <v>13.3218044498616</v>
      </c>
    </row>
    <row r="227" customFormat="false" ht="15" hidden="false" customHeight="false" outlineLevel="0" collapsed="false">
      <c r="A227" s="86"/>
      <c r="B227" s="51"/>
      <c r="C227" s="16" t="n">
        <v>41741</v>
      </c>
      <c r="D227" s="1" t="n">
        <v>12</v>
      </c>
      <c r="E227" s="1" t="n">
        <v>6.2</v>
      </c>
      <c r="F227" s="1" t="n">
        <v>17.4</v>
      </c>
      <c r="G227" s="1" t="n">
        <f aca="false">G226+D227</f>
        <v>2038.5</v>
      </c>
      <c r="H227" s="1" t="n">
        <f aca="false">H226+D227</f>
        <v>57</v>
      </c>
      <c r="I227" s="1" t="n">
        <f aca="false">MAX(F223:F250)</f>
        <v>20.4</v>
      </c>
      <c r="J227" s="1" t="n">
        <v>0</v>
      </c>
      <c r="K227" s="1" t="n">
        <f aca="false">K226+J227</f>
        <v>487.9</v>
      </c>
      <c r="L227" s="1" t="n">
        <v>3.3</v>
      </c>
      <c r="M227" s="1" t="n">
        <f aca="false">M226+L227</f>
        <v>284.1</v>
      </c>
      <c r="N227" s="19" t="n">
        <f aca="false">J227-L227</f>
        <v>-3.3</v>
      </c>
      <c r="O227" s="25" t="n">
        <f aca="false">O226+N227</f>
        <v>60.3000000000001</v>
      </c>
      <c r="P227" s="21" t="n">
        <v>222</v>
      </c>
      <c r="Q227" s="22" t="n">
        <v>1.15</v>
      </c>
      <c r="R227" s="23" t="n">
        <f aca="false">Q227*L227</f>
        <v>3.795</v>
      </c>
      <c r="S227" s="23" t="n">
        <f aca="false">J227-R227</f>
        <v>-3.795</v>
      </c>
      <c r="T227" s="26" t="n">
        <f aca="false">MIN(122.1,(T226+S227))</f>
        <v>48.3131756756757</v>
      </c>
      <c r="U227" s="1" t="n">
        <v>0</v>
      </c>
      <c r="V227" s="1" t="n">
        <v>2099.8</v>
      </c>
      <c r="W227" s="1" t="n">
        <f aca="false">V227/D227</f>
        <v>174.983333333333</v>
      </c>
      <c r="X227" s="1" t="n">
        <f aca="false">X226+V227</f>
        <v>162052.9</v>
      </c>
      <c r="Y227" s="1" t="n">
        <f aca="false">Y226+V227</f>
        <v>9342.8</v>
      </c>
      <c r="Z227" s="28" t="n">
        <f aca="false">(Z225/100)/I237</f>
        <v>1.43211850380669</v>
      </c>
      <c r="AA227" s="1" t="n">
        <v>13.3763885348956</v>
      </c>
    </row>
    <row r="228" customFormat="false" ht="15" hidden="false" customHeight="false" outlineLevel="0" collapsed="false">
      <c r="A228" s="86"/>
      <c r="B228" s="51"/>
      <c r="C228" s="16" t="n">
        <v>41742</v>
      </c>
      <c r="D228" s="1" t="n">
        <v>11.4</v>
      </c>
      <c r="E228" s="1" t="n">
        <v>7.5</v>
      </c>
      <c r="F228" s="1" t="n">
        <v>15.5</v>
      </c>
      <c r="G228" s="1" t="n">
        <f aca="false">G227+D228</f>
        <v>2049.9</v>
      </c>
      <c r="H228" s="1" t="n">
        <f aca="false">H227+D228</f>
        <v>68.4</v>
      </c>
      <c r="I228" s="87" t="s">
        <v>34</v>
      </c>
      <c r="J228" s="1" t="n">
        <v>0</v>
      </c>
      <c r="K228" s="1" t="n">
        <f aca="false">K227+J228</f>
        <v>487.9</v>
      </c>
      <c r="L228" s="1" t="n">
        <v>2.8</v>
      </c>
      <c r="M228" s="1" t="n">
        <f aca="false">M227+L228</f>
        <v>286.9</v>
      </c>
      <c r="N228" s="19" t="n">
        <f aca="false">J228-L228</f>
        <v>-2.8</v>
      </c>
      <c r="O228" s="25" t="n">
        <f aca="false">O227+N228</f>
        <v>57.5000000000001</v>
      </c>
      <c r="P228" s="21" t="n">
        <v>223</v>
      </c>
      <c r="Q228" s="22" t="n">
        <v>1.15</v>
      </c>
      <c r="R228" s="23" t="n">
        <f aca="false">Q228*L228</f>
        <v>3.22</v>
      </c>
      <c r="S228" s="23" t="n">
        <f aca="false">J228-R228</f>
        <v>-3.22</v>
      </c>
      <c r="T228" s="26" t="n">
        <f aca="false">MIN(122.1,(T227+S228))</f>
        <v>45.0931756756757</v>
      </c>
      <c r="U228" s="87" t="s">
        <v>35</v>
      </c>
      <c r="V228" s="1" t="n">
        <v>1902.3</v>
      </c>
      <c r="W228" s="1" t="n">
        <f aca="false">V228/D228</f>
        <v>166.868421052632</v>
      </c>
      <c r="X228" s="1" t="n">
        <f aca="false">X227+V228</f>
        <v>163955.2</v>
      </c>
      <c r="Y228" s="1" t="n">
        <f aca="false">Y227+V228</f>
        <v>11245.1</v>
      </c>
      <c r="Z228" s="87" t="s">
        <v>36</v>
      </c>
      <c r="AA228" s="1" t="n">
        <v>13.4308061655724</v>
      </c>
    </row>
    <row r="229" customFormat="false" ht="15" hidden="false" customHeight="false" outlineLevel="0" collapsed="false">
      <c r="A229" s="86"/>
      <c r="B229" s="51"/>
      <c r="C229" s="16" t="n">
        <v>41743</v>
      </c>
      <c r="D229" s="1" t="n">
        <v>10.9</v>
      </c>
      <c r="E229" s="31" t="n">
        <v>4.7</v>
      </c>
      <c r="F229" s="1" t="n">
        <v>16.4</v>
      </c>
      <c r="G229" s="1" t="n">
        <f aca="false">G228+D229</f>
        <v>2060.8</v>
      </c>
      <c r="H229" s="1" t="n">
        <f aca="false">H228+D229</f>
        <v>79.3</v>
      </c>
      <c r="I229" s="29" t="n">
        <f aca="false">AVERAGE(D223:D250)</f>
        <v>10.7892857142857</v>
      </c>
      <c r="J229" s="1" t="n">
        <v>0</v>
      </c>
      <c r="K229" s="1" t="n">
        <f aca="false">K228+J229</f>
        <v>487.9</v>
      </c>
      <c r="L229" s="1" t="n">
        <v>3.5</v>
      </c>
      <c r="M229" s="1" t="n">
        <f aca="false">M228+L229</f>
        <v>290.4</v>
      </c>
      <c r="N229" s="19" t="n">
        <f aca="false">J229-L229</f>
        <v>-3.5</v>
      </c>
      <c r="O229" s="25" t="n">
        <f aca="false">O228+N229</f>
        <v>54.0000000000001</v>
      </c>
      <c r="P229" s="21" t="n">
        <v>224</v>
      </c>
      <c r="Q229" s="22" t="n">
        <v>1.15</v>
      </c>
      <c r="R229" s="23" t="n">
        <f aca="false">Q229*L229</f>
        <v>4.025</v>
      </c>
      <c r="S229" s="23" t="n">
        <f aca="false">J229-R229</f>
        <v>-4.025</v>
      </c>
      <c r="T229" s="26" t="n">
        <f aca="false">MIN(122.1,(T228+S229))</f>
        <v>41.0681756756757</v>
      </c>
      <c r="U229" s="1" t="n">
        <v>14</v>
      </c>
      <c r="V229" s="1" t="n">
        <v>2439.5</v>
      </c>
      <c r="W229" s="1" t="n">
        <f aca="false">V229/D229</f>
        <v>223.807339449541</v>
      </c>
      <c r="X229" s="1" t="n">
        <f aca="false">X228+V229</f>
        <v>166394.7</v>
      </c>
      <c r="Y229" s="1" t="n">
        <f aca="false">Y228+V229</f>
        <v>13684.6</v>
      </c>
      <c r="Z229" s="1" t="n">
        <v>5</v>
      </c>
      <c r="AA229" s="1" t="n">
        <v>13.4850480041683</v>
      </c>
    </row>
    <row r="230" customFormat="false" ht="15" hidden="false" customHeight="false" outlineLevel="0" collapsed="false">
      <c r="A230" s="86"/>
      <c r="B230" s="51"/>
      <c r="C230" s="16" t="n">
        <v>41744</v>
      </c>
      <c r="D230" s="1" t="n">
        <v>9.2</v>
      </c>
      <c r="E230" s="31" t="n">
        <v>3.9</v>
      </c>
      <c r="F230" s="1" t="n">
        <v>14</v>
      </c>
      <c r="G230" s="1" t="n">
        <f aca="false">G229+D230</f>
        <v>2070</v>
      </c>
      <c r="H230" s="1" t="n">
        <f aca="false">H229+D230</f>
        <v>88.5</v>
      </c>
      <c r="I230" s="87" t="s">
        <v>37</v>
      </c>
      <c r="J230" s="1" t="n">
        <v>0</v>
      </c>
      <c r="K230" s="1" t="n">
        <f aca="false">K229+J230</f>
        <v>487.9</v>
      </c>
      <c r="L230" s="1" t="n">
        <v>4.1</v>
      </c>
      <c r="M230" s="1" t="n">
        <f aca="false">M229+L230</f>
        <v>294.5</v>
      </c>
      <c r="N230" s="19" t="n">
        <f aca="false">J230-L230</f>
        <v>-4.1</v>
      </c>
      <c r="O230" s="25" t="n">
        <f aca="false">O229+N230</f>
        <v>49.9000000000001</v>
      </c>
      <c r="P230" s="21" t="n">
        <v>225</v>
      </c>
      <c r="Q230" s="22" t="n">
        <v>1.15</v>
      </c>
      <c r="R230" s="23" t="n">
        <f aca="false">Q230*L230</f>
        <v>4.715</v>
      </c>
      <c r="S230" s="23" t="n">
        <f aca="false">J230-R230</f>
        <v>-4.715</v>
      </c>
      <c r="T230" s="26" t="n">
        <f aca="false">MIN(122.1,(T229+S230))</f>
        <v>36.3531756756757</v>
      </c>
      <c r="U230" s="87" t="s">
        <v>38</v>
      </c>
      <c r="V230" s="1" t="n">
        <v>2606.9</v>
      </c>
      <c r="W230" s="1" t="n">
        <f aca="false">V230/D230</f>
        <v>283.358695652174</v>
      </c>
      <c r="X230" s="1" t="n">
        <f aca="false">X229+V230</f>
        <v>169001.6</v>
      </c>
      <c r="Y230" s="1" t="n">
        <f aca="false">Y229+V230</f>
        <v>16291.5</v>
      </c>
      <c r="AA230" s="1" t="n">
        <v>13.5391043869848</v>
      </c>
    </row>
    <row r="231" customFormat="false" ht="15" hidden="false" customHeight="false" outlineLevel="0" collapsed="false">
      <c r="A231" s="86"/>
      <c r="B231" s="51"/>
      <c r="C231" s="16" t="n">
        <v>41745</v>
      </c>
      <c r="D231" s="1" t="n">
        <v>9.4</v>
      </c>
      <c r="E231" s="31" t="n">
        <v>2.7</v>
      </c>
      <c r="F231" s="1" t="n">
        <v>15.3</v>
      </c>
      <c r="G231" s="1" t="n">
        <f aca="false">G230+D231</f>
        <v>2079.4</v>
      </c>
      <c r="H231" s="1" t="n">
        <f aca="false">H230+D231</f>
        <v>97.9</v>
      </c>
      <c r="I231" s="1" t="n">
        <v>0</v>
      </c>
      <c r="J231" s="1" t="n">
        <v>0</v>
      </c>
      <c r="K231" s="1" t="n">
        <f aca="false">K230+J231</f>
        <v>487.9</v>
      </c>
      <c r="L231" s="1" t="n">
        <v>4.1</v>
      </c>
      <c r="M231" s="1" t="n">
        <f aca="false">M230+L231</f>
        <v>298.6</v>
      </c>
      <c r="N231" s="19" t="n">
        <f aca="false">J231-L231</f>
        <v>-4.1</v>
      </c>
      <c r="O231" s="25" t="n">
        <f aca="false">O230+N231</f>
        <v>45.8000000000001</v>
      </c>
      <c r="P231" s="21" t="n">
        <v>226</v>
      </c>
      <c r="Q231" s="22" t="n">
        <v>1.15</v>
      </c>
      <c r="R231" s="23" t="n">
        <f aca="false">Q231*L231</f>
        <v>4.715</v>
      </c>
      <c r="S231" s="23" t="n">
        <f aca="false">J231-R231</f>
        <v>-4.715</v>
      </c>
      <c r="T231" s="26" t="n">
        <f aca="false">MIN(122.1,(T230+S231))</f>
        <v>31.6381756756757</v>
      </c>
      <c r="U231" s="29" t="n">
        <f aca="false">MIN(T223:T250)</f>
        <v>19.3131756756757</v>
      </c>
      <c r="V231" s="1" t="n">
        <v>2425</v>
      </c>
      <c r="W231" s="1" t="n">
        <f aca="false">V231/D231</f>
        <v>257.978723404255</v>
      </c>
      <c r="X231" s="1" t="n">
        <f aca="false">X230+V231</f>
        <v>171426.6</v>
      </c>
      <c r="Y231" s="1" t="n">
        <f aca="false">Y230+V231</f>
        <v>18716.5</v>
      </c>
      <c r="AA231" s="1" t="n">
        <v>13.5929653109868</v>
      </c>
    </row>
    <row r="232" customFormat="false" ht="15" hidden="false" customHeight="false" outlineLevel="0" collapsed="false">
      <c r="A232" s="86"/>
      <c r="B232" s="51"/>
      <c r="C232" s="16" t="n">
        <v>41746</v>
      </c>
      <c r="D232" s="1" t="n">
        <v>11.3</v>
      </c>
      <c r="E232" s="31" t="n">
        <v>4.2</v>
      </c>
      <c r="F232" s="1" t="n">
        <v>18.2</v>
      </c>
      <c r="G232" s="1" t="n">
        <f aca="false">G231+D232</f>
        <v>2090.7</v>
      </c>
      <c r="H232" s="1" t="n">
        <f aca="false">H231+D232</f>
        <v>109.2</v>
      </c>
      <c r="I232" s="87" t="s">
        <v>39</v>
      </c>
      <c r="J232" s="1" t="n">
        <v>0</v>
      </c>
      <c r="K232" s="1" t="n">
        <f aca="false">K231+J232</f>
        <v>487.9</v>
      </c>
      <c r="L232" s="1" t="n">
        <v>4.1</v>
      </c>
      <c r="M232" s="1" t="n">
        <f aca="false">M231+L232</f>
        <v>302.7</v>
      </c>
      <c r="N232" s="19" t="n">
        <f aca="false">J232-L232</f>
        <v>-4.1</v>
      </c>
      <c r="O232" s="25" t="n">
        <f aca="false">O231+N232</f>
        <v>41.7000000000001</v>
      </c>
      <c r="P232" s="21" t="n">
        <v>227</v>
      </c>
      <c r="Q232" s="22" t="n">
        <v>1.15</v>
      </c>
      <c r="R232" s="23" t="n">
        <f aca="false">Q232*L232</f>
        <v>4.715</v>
      </c>
      <c r="S232" s="23" t="n">
        <f aca="false">J232-R232</f>
        <v>-4.715</v>
      </c>
      <c r="T232" s="26" t="n">
        <f aca="false">MIN(122.1,(T231+S232))</f>
        <v>26.9231756756757</v>
      </c>
      <c r="U232" s="87" t="s">
        <v>40</v>
      </c>
      <c r="V232" s="1" t="n">
        <v>2297.2</v>
      </c>
      <c r="W232" s="1" t="n">
        <f aca="false">V232/D232</f>
        <v>203.29203539823</v>
      </c>
      <c r="X232" s="1" t="n">
        <f aca="false">X231+V232</f>
        <v>173723.8</v>
      </c>
      <c r="Y232" s="1" t="n">
        <f aca="false">Y231+V232</f>
        <v>21013.7</v>
      </c>
      <c r="AA232" s="1" t="n">
        <v>13.646620420779</v>
      </c>
    </row>
    <row r="233" customFormat="false" ht="15" hidden="false" customHeight="false" outlineLevel="0" collapsed="false">
      <c r="A233" s="86"/>
      <c r="B233" s="51"/>
      <c r="C233" s="16" t="n">
        <v>41747</v>
      </c>
      <c r="D233" s="1" t="n">
        <v>10.3</v>
      </c>
      <c r="E233" s="1" t="n">
        <v>6.4</v>
      </c>
      <c r="F233" s="1" t="n">
        <v>13.5</v>
      </c>
      <c r="G233" s="1" t="n">
        <f aca="false">G232+D233</f>
        <v>2101</v>
      </c>
      <c r="H233" s="1" t="n">
        <f aca="false">H232+D233</f>
        <v>119.5</v>
      </c>
      <c r="I233" s="1" t="n">
        <v>0</v>
      </c>
      <c r="J233" s="1" t="n">
        <v>0</v>
      </c>
      <c r="K233" s="1" t="n">
        <f aca="false">K232+J233</f>
        <v>487.9</v>
      </c>
      <c r="L233" s="1" t="n">
        <v>1.9</v>
      </c>
      <c r="M233" s="1" t="n">
        <f aca="false">M232+L233</f>
        <v>304.6</v>
      </c>
      <c r="N233" s="19" t="n">
        <f aca="false">J233-L233</f>
        <v>-1.9</v>
      </c>
      <c r="O233" s="25" t="n">
        <f aca="false">O232+N233</f>
        <v>39.8000000000001</v>
      </c>
      <c r="P233" s="21" t="n">
        <v>228</v>
      </c>
      <c r="Q233" s="22" t="n">
        <v>1.15</v>
      </c>
      <c r="R233" s="23" t="n">
        <f aca="false">Q233*L233</f>
        <v>2.185</v>
      </c>
      <c r="S233" s="23" t="n">
        <f aca="false">J233-R233</f>
        <v>-2.185</v>
      </c>
      <c r="T233" s="26" t="n">
        <f aca="false">MIN(122.1,(T232+S233))</f>
        <v>24.7381756756757</v>
      </c>
      <c r="U233" s="29" t="n">
        <f aca="false">MAX(T223:T250)</f>
        <v>60.6831756756757</v>
      </c>
      <c r="V233" s="1" t="n">
        <v>929.8</v>
      </c>
      <c r="W233" s="1" t="n">
        <f aca="false">V233/D233</f>
        <v>90.2718446601942</v>
      </c>
      <c r="X233" s="1" t="n">
        <f aca="false">X232+V233</f>
        <v>174653.6</v>
      </c>
      <c r="Y233" s="1" t="n">
        <f aca="false">Y232+V233</f>
        <v>21943.5</v>
      </c>
      <c r="AA233" s="1" t="n">
        <v>13.7000589959563</v>
      </c>
    </row>
    <row r="234" customFormat="false" ht="15" hidden="false" customHeight="false" outlineLevel="0" collapsed="false">
      <c r="A234" s="86"/>
      <c r="B234" s="51"/>
      <c r="C234" s="16" t="n">
        <v>41748</v>
      </c>
      <c r="D234" s="1" t="n">
        <v>7.6</v>
      </c>
      <c r="E234" s="31" t="n">
        <v>3</v>
      </c>
      <c r="F234" s="1" t="n">
        <v>12.6</v>
      </c>
      <c r="G234" s="1" t="n">
        <f aca="false">G233+D234</f>
        <v>2108.6</v>
      </c>
      <c r="H234" s="1" t="n">
        <f aca="false">H233+D234</f>
        <v>127.1</v>
      </c>
      <c r="I234" s="87" t="s">
        <v>41</v>
      </c>
      <c r="J234" s="1" t="n">
        <v>0</v>
      </c>
      <c r="K234" s="1" t="n">
        <f aca="false">K233+J234</f>
        <v>487.9</v>
      </c>
      <c r="L234" s="1" t="n">
        <v>2.5</v>
      </c>
      <c r="M234" s="1" t="n">
        <f aca="false">M233+L234</f>
        <v>307.1</v>
      </c>
      <c r="N234" s="19" t="n">
        <f aca="false">J234-L234</f>
        <v>-2.5</v>
      </c>
      <c r="O234" s="25" t="n">
        <f aca="false">O233+N234</f>
        <v>37.3000000000001</v>
      </c>
      <c r="P234" s="21" t="n">
        <v>229</v>
      </c>
      <c r="Q234" s="22" t="n">
        <v>1.15</v>
      </c>
      <c r="R234" s="23" t="n">
        <f aca="false">Q234*L234</f>
        <v>2.875</v>
      </c>
      <c r="S234" s="23" t="n">
        <f aca="false">J234-R234</f>
        <v>-2.875</v>
      </c>
      <c r="T234" s="26" t="n">
        <f aca="false">MIN(122.1,(T233+S234))</f>
        <v>21.8631756756757</v>
      </c>
      <c r="U234" s="87" t="s">
        <v>42</v>
      </c>
      <c r="V234" s="1" t="n">
        <v>1263.1</v>
      </c>
      <c r="W234" s="1" t="n">
        <f aca="false">V234/D234</f>
        <v>166.197368421053</v>
      </c>
      <c r="X234" s="1" t="n">
        <f aca="false">X233+V234</f>
        <v>175916.7</v>
      </c>
      <c r="Y234" s="1" t="n">
        <f aca="false">Y233+V234</f>
        <v>23206.6</v>
      </c>
      <c r="AA234" s="1" t="n">
        <v>13.7532699388685</v>
      </c>
    </row>
    <row r="235" customFormat="false" ht="15" hidden="false" customHeight="false" outlineLevel="0" collapsed="false">
      <c r="A235" s="86"/>
      <c r="B235" s="51"/>
      <c r="C235" s="16" t="n">
        <v>41749</v>
      </c>
      <c r="D235" s="1" t="n">
        <v>9.2</v>
      </c>
      <c r="E235" s="31" t="n">
        <v>1.8</v>
      </c>
      <c r="F235" s="1" t="n">
        <v>14</v>
      </c>
      <c r="G235" s="1" t="n">
        <f aca="false">G234+D235</f>
        <v>2117.8</v>
      </c>
      <c r="H235" s="1" t="n">
        <f aca="false">H234+D235</f>
        <v>136.3</v>
      </c>
      <c r="I235" s="1" t="n">
        <v>8</v>
      </c>
      <c r="J235" s="1" t="n">
        <v>0.6</v>
      </c>
      <c r="K235" s="1" t="n">
        <f aca="false">K234+J235</f>
        <v>488.5</v>
      </c>
      <c r="L235" s="1" t="n">
        <v>2</v>
      </c>
      <c r="M235" s="1" t="n">
        <f aca="false">M234+L235</f>
        <v>309.1</v>
      </c>
      <c r="N235" s="19" t="n">
        <f aca="false">J235-L235</f>
        <v>-1.4</v>
      </c>
      <c r="O235" s="25" t="n">
        <f aca="false">O234+N235</f>
        <v>35.9000000000001</v>
      </c>
      <c r="P235" s="21" t="n">
        <v>230</v>
      </c>
      <c r="Q235" s="22" t="n">
        <v>1.15</v>
      </c>
      <c r="R235" s="23" t="n">
        <f aca="false">Q235*L235</f>
        <v>2.3</v>
      </c>
      <c r="S235" s="23" t="n">
        <f aca="false">J235-R235</f>
        <v>-1.7</v>
      </c>
      <c r="T235" s="26" t="n">
        <f aca="false">MIN(122.1,(T234+S235))</f>
        <v>20.1631756756757</v>
      </c>
      <c r="U235" s="28" t="n">
        <f aca="false">AVERAGE(T223:T250)</f>
        <v>38.6296042471043</v>
      </c>
      <c r="V235" s="1" t="n">
        <v>1485.5</v>
      </c>
      <c r="W235" s="1" t="n">
        <f aca="false">V235/D235</f>
        <v>161.467391304348</v>
      </c>
      <c r="X235" s="1" t="n">
        <f aca="false">X234+V235</f>
        <v>177402.2</v>
      </c>
      <c r="Y235" s="1" t="n">
        <f aca="false">Y234+V235</f>
        <v>24692.1</v>
      </c>
      <c r="AA235" s="1" t="n">
        <v>13.8062417628445</v>
      </c>
    </row>
    <row r="236" customFormat="false" ht="15" hidden="false" customHeight="false" outlineLevel="0" collapsed="false">
      <c r="A236" s="86"/>
      <c r="B236" s="51"/>
      <c r="C236" s="16" t="n">
        <v>41750</v>
      </c>
      <c r="D236" s="1" t="n">
        <v>10.5</v>
      </c>
      <c r="E236" s="1" t="n">
        <v>9</v>
      </c>
      <c r="F236" s="1" t="n">
        <v>13.1</v>
      </c>
      <c r="G236" s="1" t="n">
        <f aca="false">G235+D236</f>
        <v>2128.3</v>
      </c>
      <c r="H236" s="1" t="n">
        <f aca="false">H235+D236</f>
        <v>146.8</v>
      </c>
      <c r="I236" s="87" t="s">
        <v>43</v>
      </c>
      <c r="J236" s="1" t="n">
        <v>0.3</v>
      </c>
      <c r="K236" s="1" t="n">
        <f aca="false">K235+J236</f>
        <v>488.8</v>
      </c>
      <c r="L236" s="1" t="n">
        <v>1</v>
      </c>
      <c r="M236" s="1" t="n">
        <f aca="false">M235+L236</f>
        <v>310.1</v>
      </c>
      <c r="N236" s="19" t="n">
        <f aca="false">J236-L236</f>
        <v>-0.7</v>
      </c>
      <c r="O236" s="25" t="n">
        <f aca="false">O235+N236</f>
        <v>35.2000000000001</v>
      </c>
      <c r="P236" s="21" t="n">
        <v>231</v>
      </c>
      <c r="Q236" s="22" t="n">
        <v>1.15</v>
      </c>
      <c r="R236" s="23" t="n">
        <f aca="false">Q236*L236</f>
        <v>1.15</v>
      </c>
      <c r="S236" s="23" t="n">
        <f aca="false">J236-R236</f>
        <v>-0.85</v>
      </c>
      <c r="T236" s="26" t="n">
        <f aca="false">MIN(122.1,(T235+S236))</f>
        <v>19.3131756756757</v>
      </c>
      <c r="U236" s="1" t="n">
        <f aca="false">(U235*100)/122.1</f>
        <v>31.6376775160559</v>
      </c>
      <c r="V236" s="27" t="n">
        <v>605.5</v>
      </c>
      <c r="W236" s="1" t="n">
        <f aca="false">V236/D236</f>
        <v>57.6666666666667</v>
      </c>
      <c r="X236" s="1" t="n">
        <f aca="false">X235+V236</f>
        <v>178007.7</v>
      </c>
      <c r="Y236" s="1" t="n">
        <f aca="false">Y235+V236</f>
        <v>25297.6</v>
      </c>
      <c r="AA236" s="1" t="n">
        <v>13.8589625809221</v>
      </c>
    </row>
    <row r="237" customFormat="false" ht="15" hidden="false" customHeight="false" outlineLevel="0" collapsed="false">
      <c r="A237" s="86"/>
      <c r="B237" s="51"/>
      <c r="C237" s="16" t="n">
        <v>41751</v>
      </c>
      <c r="D237" s="1" t="n">
        <v>11.4</v>
      </c>
      <c r="E237" s="1" t="n">
        <v>5.6</v>
      </c>
      <c r="F237" s="1" t="n">
        <v>17.1</v>
      </c>
      <c r="G237" s="1" t="n">
        <f aca="false">G236+D237</f>
        <v>2139.7</v>
      </c>
      <c r="H237" s="1" t="n">
        <f aca="false">H236+D237</f>
        <v>158.2</v>
      </c>
      <c r="I237" s="1" t="n">
        <v>302.1</v>
      </c>
      <c r="J237" s="1" t="n">
        <v>4</v>
      </c>
      <c r="K237" s="1" t="n">
        <f aca="false">K236+J237</f>
        <v>492.8</v>
      </c>
      <c r="L237" s="1" t="n">
        <v>2</v>
      </c>
      <c r="M237" s="1" t="n">
        <f aca="false">M236+L237</f>
        <v>312.1</v>
      </c>
      <c r="N237" s="1" t="n">
        <f aca="false">J237-L237</f>
        <v>2</v>
      </c>
      <c r="O237" s="25" t="n">
        <f aca="false">O236+N237</f>
        <v>37.2000000000001</v>
      </c>
      <c r="P237" s="21" t="n">
        <v>232</v>
      </c>
      <c r="Q237" s="22" t="n">
        <v>1.15</v>
      </c>
      <c r="R237" s="23" t="n">
        <f aca="false">Q237*L237</f>
        <v>2.3</v>
      </c>
      <c r="S237" s="23" t="n">
        <f aca="false">J237-R237</f>
        <v>1.7</v>
      </c>
      <c r="T237" s="26" t="n">
        <f aca="false">MIN(122.1,(T236+S237))</f>
        <v>21.0131756756757</v>
      </c>
      <c r="U237" s="29"/>
      <c r="V237" s="1" t="n">
        <v>1311.1</v>
      </c>
      <c r="W237" s="1" t="n">
        <f aca="false">V237/D237</f>
        <v>115.008771929825</v>
      </c>
      <c r="X237" s="1" t="n">
        <f aca="false">X236+V237</f>
        <v>179318.8</v>
      </c>
      <c r="Y237" s="1" t="n">
        <f aca="false">Y236+V237</f>
        <v>26608.7</v>
      </c>
      <c r="AA237" s="1" t="n">
        <v>13.9114200951345</v>
      </c>
    </row>
    <row r="238" customFormat="false" ht="15" hidden="false" customHeight="false" outlineLevel="0" collapsed="false">
      <c r="A238" s="86"/>
      <c r="B238" s="51"/>
      <c r="C238" s="16" t="n">
        <v>41752</v>
      </c>
      <c r="D238" s="1" t="n">
        <v>12.2</v>
      </c>
      <c r="E238" s="1" t="n">
        <v>5.9</v>
      </c>
      <c r="F238" s="1" t="n">
        <v>17.8</v>
      </c>
      <c r="G238" s="1" t="n">
        <f aca="false">G237+D238</f>
        <v>2151.9</v>
      </c>
      <c r="H238" s="1" t="n">
        <f aca="false">H237+D238</f>
        <v>170.4</v>
      </c>
      <c r="J238" s="1" t="n">
        <v>6.4</v>
      </c>
      <c r="K238" s="1" t="n">
        <f aca="false">K237+J238</f>
        <v>499.2</v>
      </c>
      <c r="L238" s="1" t="n">
        <v>3</v>
      </c>
      <c r="M238" s="1" t="n">
        <f aca="false">M237+L238</f>
        <v>315.1</v>
      </c>
      <c r="N238" s="1" t="n">
        <f aca="false">J238-L238</f>
        <v>3.4</v>
      </c>
      <c r="O238" s="25" t="n">
        <f aca="false">O237+N238</f>
        <v>40.6000000000001</v>
      </c>
      <c r="P238" s="21" t="n">
        <v>233</v>
      </c>
      <c r="Q238" s="22" t="n">
        <v>1.15</v>
      </c>
      <c r="R238" s="23" t="n">
        <f aca="false">Q238*L238</f>
        <v>3.45</v>
      </c>
      <c r="S238" s="23" t="n">
        <f aca="false">J238-R238</f>
        <v>2.95</v>
      </c>
      <c r="T238" s="26" t="n">
        <f aca="false">MIN(122.1,(T237+S238))</f>
        <v>23.9631756756757</v>
      </c>
      <c r="V238" s="1" t="n">
        <v>1951</v>
      </c>
      <c r="W238" s="1" t="n">
        <f aca="false">V238/D238</f>
        <v>159.918032786885</v>
      </c>
      <c r="X238" s="1" t="n">
        <f aca="false">X237+V238</f>
        <v>181269.8</v>
      </c>
      <c r="Y238" s="1" t="n">
        <f aca="false">Y237+V238</f>
        <v>28559.7</v>
      </c>
      <c r="AA238" s="1" t="n">
        <v>13.9636015864088</v>
      </c>
    </row>
    <row r="239" customFormat="false" ht="15" hidden="false" customHeight="false" outlineLevel="0" collapsed="false">
      <c r="A239" s="86"/>
      <c r="B239" s="51"/>
      <c r="C239" s="16" t="n">
        <v>41753</v>
      </c>
      <c r="D239" s="1" t="n">
        <v>12.4</v>
      </c>
      <c r="E239" s="1" t="n">
        <v>7.8</v>
      </c>
      <c r="F239" s="1" t="n">
        <v>15.8</v>
      </c>
      <c r="G239" s="1" t="n">
        <f aca="false">G238+D239</f>
        <v>2164.3</v>
      </c>
      <c r="H239" s="1" t="n">
        <f aca="false">H238+D239</f>
        <v>182.8</v>
      </c>
      <c r="J239" s="1" t="n">
        <v>6.1</v>
      </c>
      <c r="K239" s="1" t="n">
        <f aca="false">K238+J239</f>
        <v>505.3</v>
      </c>
      <c r="L239" s="1" t="n">
        <v>2.1</v>
      </c>
      <c r="M239" s="1" t="n">
        <f aca="false">M238+L239</f>
        <v>317.2</v>
      </c>
      <c r="N239" s="1" t="n">
        <f aca="false">J239-L239</f>
        <v>4</v>
      </c>
      <c r="O239" s="25" t="n">
        <f aca="false">O238+N239</f>
        <v>44.6000000000001</v>
      </c>
      <c r="P239" s="21" t="n">
        <v>234</v>
      </c>
      <c r="Q239" s="22" t="n">
        <v>1.15</v>
      </c>
      <c r="R239" s="23" t="n">
        <f aca="false">Q239*L239</f>
        <v>2.415</v>
      </c>
      <c r="S239" s="23" t="n">
        <f aca="false">J239-R239</f>
        <v>3.685</v>
      </c>
      <c r="T239" s="26" t="n">
        <f aca="false">MIN(122.1,(T238+S239))</f>
        <v>27.6481756756757</v>
      </c>
      <c r="V239" s="1" t="n">
        <v>1468.6</v>
      </c>
      <c r="W239" s="1" t="n">
        <f aca="false">V239/D239</f>
        <v>118.435483870968</v>
      </c>
      <c r="X239" s="1" t="n">
        <f aca="false">X238+V239</f>
        <v>182738.4</v>
      </c>
      <c r="Y239" s="1" t="n">
        <f aca="false">Y238+V239</f>
        <v>30028.3</v>
      </c>
      <c r="AA239" s="1" t="n">
        <v>14.0154939051337</v>
      </c>
    </row>
    <row r="240" customFormat="false" ht="15" hidden="false" customHeight="false" outlineLevel="0" collapsed="false">
      <c r="A240" s="86"/>
      <c r="B240" s="51"/>
      <c r="C240" s="16" t="n">
        <v>41754</v>
      </c>
      <c r="D240" s="1" t="n">
        <v>11.5</v>
      </c>
      <c r="E240" s="1" t="n">
        <v>10</v>
      </c>
      <c r="F240" s="1" t="n">
        <v>13.6</v>
      </c>
      <c r="G240" s="1" t="n">
        <f aca="false">G239+D240</f>
        <v>2175.8</v>
      </c>
      <c r="H240" s="1" t="n">
        <f aca="false">H239+D240</f>
        <v>194.3</v>
      </c>
      <c r="J240" s="1" t="n">
        <v>0.4</v>
      </c>
      <c r="K240" s="1" t="n">
        <f aca="false">K239+J240</f>
        <v>505.7</v>
      </c>
      <c r="L240" s="1" t="n">
        <v>1.5</v>
      </c>
      <c r="M240" s="1" t="n">
        <f aca="false">M239+L240</f>
        <v>318.7</v>
      </c>
      <c r="N240" s="19" t="n">
        <f aca="false">J240-L240</f>
        <v>-1.1</v>
      </c>
      <c r="O240" s="25" t="n">
        <f aca="false">O239+N240</f>
        <v>43.5000000000001</v>
      </c>
      <c r="P240" s="21" t="n">
        <v>235</v>
      </c>
      <c r="Q240" s="22" t="n">
        <v>1.15</v>
      </c>
      <c r="R240" s="23" t="n">
        <f aca="false">Q240*L240</f>
        <v>1.725</v>
      </c>
      <c r="S240" s="23" t="n">
        <f aca="false">J240-R240</f>
        <v>-1.325</v>
      </c>
      <c r="T240" s="26" t="n">
        <f aca="false">MIN(122.1,(T239+S240))</f>
        <v>26.3231756756757</v>
      </c>
      <c r="V240" s="1" t="n">
        <v>970.2</v>
      </c>
      <c r="W240" s="1" t="n">
        <f aca="false">V240/D240</f>
        <v>84.3652173913044</v>
      </c>
      <c r="X240" s="1" t="n">
        <f aca="false">X239+V240</f>
        <v>183708.6</v>
      </c>
      <c r="Y240" s="1" t="n">
        <f aca="false">Y239+V240</f>
        <v>30998.5</v>
      </c>
      <c r="AA240" s="1" t="n">
        <v>14.0670834624586</v>
      </c>
    </row>
    <row r="241" customFormat="false" ht="15" hidden="false" customHeight="false" outlineLevel="0" collapsed="false">
      <c r="A241" s="86"/>
      <c r="B241" s="51"/>
      <c r="C241" s="16" t="n">
        <v>41755</v>
      </c>
      <c r="D241" s="1" t="n">
        <v>10.3</v>
      </c>
      <c r="E241" s="1" t="n">
        <v>7</v>
      </c>
      <c r="F241" s="1" t="n">
        <v>13.6</v>
      </c>
      <c r="G241" s="1" t="n">
        <f aca="false">G240+D241</f>
        <v>2186.1</v>
      </c>
      <c r="H241" s="1" t="n">
        <f aca="false">H240+D241</f>
        <v>204.6</v>
      </c>
      <c r="J241" s="1" t="n">
        <v>2.5</v>
      </c>
      <c r="K241" s="1" t="n">
        <f aca="false">K240+J241</f>
        <v>508.2</v>
      </c>
      <c r="L241" s="1" t="n">
        <v>1.3</v>
      </c>
      <c r="M241" s="1" t="n">
        <f aca="false">M240+L241</f>
        <v>320</v>
      </c>
      <c r="N241" s="1" t="n">
        <f aca="false">J241-L241</f>
        <v>1.2</v>
      </c>
      <c r="O241" s="25" t="n">
        <f aca="false">O240+N241</f>
        <v>44.7000000000001</v>
      </c>
      <c r="P241" s="21" t="n">
        <v>236</v>
      </c>
      <c r="Q241" s="22" t="n">
        <v>1.15</v>
      </c>
      <c r="R241" s="23" t="n">
        <f aca="false">Q241*L241</f>
        <v>1.495</v>
      </c>
      <c r="S241" s="23" t="n">
        <f aca="false">J241-R241</f>
        <v>1.005</v>
      </c>
      <c r="T241" s="26" t="n">
        <f aca="false">MIN(122.1,(T240+S241))</f>
        <v>27.3281756756757</v>
      </c>
      <c r="V241" s="27" t="n">
        <v>840</v>
      </c>
      <c r="W241" s="1" t="n">
        <f aca="false">V241/D241</f>
        <v>81.5533980582524</v>
      </c>
      <c r="X241" s="1" t="n">
        <f aca="false">X240+V241</f>
        <v>184548.6</v>
      </c>
      <c r="Y241" s="1" t="n">
        <f aca="false">Y240+V241</f>
        <v>31838.5</v>
      </c>
      <c r="AA241" s="1" t="n">
        <v>14.1183562223884</v>
      </c>
    </row>
    <row r="242" customFormat="false" ht="15" hidden="false" customHeight="false" outlineLevel="0" collapsed="false">
      <c r="A242" s="86"/>
      <c r="B242" s="51"/>
      <c r="C242" s="16" t="n">
        <v>41756</v>
      </c>
      <c r="D242" s="1" t="n">
        <v>10</v>
      </c>
      <c r="E242" s="1" t="n">
        <v>7.4</v>
      </c>
      <c r="F242" s="1" t="n">
        <v>11.3</v>
      </c>
      <c r="G242" s="1" t="n">
        <f aca="false">G241+D242</f>
        <v>2196.1</v>
      </c>
      <c r="H242" s="1" t="n">
        <f aca="false">H241+D242</f>
        <v>214.6</v>
      </c>
      <c r="J242" s="1" t="n">
        <v>6.5</v>
      </c>
      <c r="K242" s="1" t="n">
        <f aca="false">K241+J242</f>
        <v>514.7</v>
      </c>
      <c r="L242" s="1" t="n">
        <v>0.9</v>
      </c>
      <c r="M242" s="1" t="n">
        <f aca="false">M241+L242</f>
        <v>320.9</v>
      </c>
      <c r="N242" s="1" t="n">
        <f aca="false">J242-L242</f>
        <v>5.6</v>
      </c>
      <c r="O242" s="25" t="n">
        <f aca="false">O241+N242</f>
        <v>50.3000000000001</v>
      </c>
      <c r="P242" s="21" t="n">
        <v>237</v>
      </c>
      <c r="Q242" s="22" t="n">
        <v>1.15</v>
      </c>
      <c r="R242" s="23" t="n">
        <f aca="false">Q242*L242</f>
        <v>1.035</v>
      </c>
      <c r="S242" s="23" t="n">
        <f aca="false">J242-R242</f>
        <v>5.465</v>
      </c>
      <c r="T242" s="26" t="n">
        <f aca="false">MIN(122.1,(T241+S242))</f>
        <v>32.7931756756757</v>
      </c>
      <c r="V242" s="27" t="n">
        <v>559.1</v>
      </c>
      <c r="W242" s="1" t="n">
        <f aca="false">V242/D242</f>
        <v>55.91</v>
      </c>
      <c r="X242" s="1" t="n">
        <f aca="false">X241+V242</f>
        <v>185107.7</v>
      </c>
      <c r="Y242" s="1" t="n">
        <f aca="false">Y241+V242</f>
        <v>32397.6</v>
      </c>
      <c r="AA242" s="1" t="n">
        <v>14.1692976947439</v>
      </c>
    </row>
    <row r="243" customFormat="false" ht="15" hidden="false" customHeight="false" outlineLevel="0" collapsed="false">
      <c r="A243" s="86"/>
      <c r="B243" s="51"/>
      <c r="C243" s="16" t="n">
        <v>41757</v>
      </c>
      <c r="D243" s="1" t="n">
        <v>10.5</v>
      </c>
      <c r="E243" s="1" t="n">
        <v>8.8</v>
      </c>
      <c r="F243" s="1" t="n">
        <v>13.2</v>
      </c>
      <c r="G243" s="1" t="n">
        <f aca="false">G242+D243</f>
        <v>2206.6</v>
      </c>
      <c r="H243" s="1" t="n">
        <f aca="false">H242+D243</f>
        <v>225.1</v>
      </c>
      <c r="J243" s="1" t="n">
        <v>4.8</v>
      </c>
      <c r="K243" s="1" t="n">
        <f aca="false">K242+J243</f>
        <v>519.5</v>
      </c>
      <c r="L243" s="1" t="n">
        <v>1.7</v>
      </c>
      <c r="M243" s="1" t="n">
        <f aca="false">M242+L243</f>
        <v>322.6</v>
      </c>
      <c r="N243" s="1" t="n">
        <f aca="false">J243-L243</f>
        <v>3.1</v>
      </c>
      <c r="O243" s="25" t="n">
        <f aca="false">O242+N243</f>
        <v>53.4000000000001</v>
      </c>
      <c r="P243" s="21" t="n">
        <v>238</v>
      </c>
      <c r="Q243" s="22" t="n">
        <v>1.15</v>
      </c>
      <c r="R243" s="23" t="n">
        <f aca="false">Q243*L243</f>
        <v>1.955</v>
      </c>
      <c r="S243" s="23" t="n">
        <f aca="false">J243-R243</f>
        <v>2.845</v>
      </c>
      <c r="T243" s="26" t="n">
        <f aca="false">MIN(122.1,(T242+S243))</f>
        <v>35.6381756756757</v>
      </c>
      <c r="V243" s="1" t="n">
        <v>1018.2</v>
      </c>
      <c r="W243" s="1" t="n">
        <f aca="false">V243/D243</f>
        <v>96.9714285714286</v>
      </c>
      <c r="X243" s="1" t="n">
        <f aca="false">X242+V243</f>
        <v>186125.9</v>
      </c>
      <c r="Y243" s="1" t="n">
        <f aca="false">Y242+V243</f>
        <v>33415.8</v>
      </c>
      <c r="AA243" s="1" t="n">
        <v>14.2198929290597</v>
      </c>
    </row>
    <row r="244" customFormat="false" ht="15" hidden="false" customHeight="false" outlineLevel="0" collapsed="false">
      <c r="A244" s="86"/>
      <c r="B244" s="51"/>
      <c r="C244" s="16" t="n">
        <v>41758</v>
      </c>
      <c r="D244" s="1" t="n">
        <v>9.9</v>
      </c>
      <c r="E244" s="1" t="n">
        <v>7.5</v>
      </c>
      <c r="F244" s="1" t="n">
        <v>11.5</v>
      </c>
      <c r="G244" s="1" t="n">
        <f aca="false">G243+D244</f>
        <v>2216.5</v>
      </c>
      <c r="H244" s="1" t="n">
        <f aca="false">H243+D244</f>
        <v>235</v>
      </c>
      <c r="J244" s="1" t="n">
        <v>14.3</v>
      </c>
      <c r="K244" s="1" t="n">
        <f aca="false">K243+J244</f>
        <v>533.8</v>
      </c>
      <c r="L244" s="1" t="n">
        <v>0.8</v>
      </c>
      <c r="M244" s="1" t="n">
        <f aca="false">M243+L244</f>
        <v>323.4</v>
      </c>
      <c r="N244" s="1" t="n">
        <f aca="false">J244-L244</f>
        <v>13.5</v>
      </c>
      <c r="O244" s="25" t="n">
        <f aca="false">O243+N244</f>
        <v>66.9000000000001</v>
      </c>
      <c r="P244" s="21" t="n">
        <v>239</v>
      </c>
      <c r="Q244" s="22" t="n">
        <v>1.15</v>
      </c>
      <c r="R244" s="23" t="n">
        <f aca="false">Q244*L244</f>
        <v>0.92</v>
      </c>
      <c r="S244" s="23" t="n">
        <f aca="false">J244-R244</f>
        <v>13.38</v>
      </c>
      <c r="T244" s="26" t="n">
        <f aca="false">MIN(122.1,(T243+S244))</f>
        <v>49.0181756756757</v>
      </c>
      <c r="V244" s="27" t="n">
        <v>566.9</v>
      </c>
      <c r="W244" s="1" t="n">
        <f aca="false">V244/D244</f>
        <v>57.2626262626263</v>
      </c>
      <c r="X244" s="1" t="n">
        <f aca="false">X243+V244</f>
        <v>186692.8</v>
      </c>
      <c r="Y244" s="1" t="n">
        <f aca="false">Y243+V244</f>
        <v>33982.7</v>
      </c>
      <c r="AA244" s="1" t="n">
        <v>14.2701265094935</v>
      </c>
    </row>
    <row r="245" customFormat="false" ht="15" hidden="false" customHeight="false" outlineLevel="0" collapsed="false">
      <c r="A245" s="86"/>
      <c r="B245" s="51"/>
      <c r="C245" s="16" t="n">
        <v>41759</v>
      </c>
      <c r="D245" s="1" t="n">
        <v>10.7</v>
      </c>
      <c r="E245" s="1" t="n">
        <v>8.5</v>
      </c>
      <c r="F245" s="1" t="n">
        <v>14.4</v>
      </c>
      <c r="G245" s="1" t="n">
        <f aca="false">G244+D245</f>
        <v>2227.2</v>
      </c>
      <c r="H245" s="1" t="n">
        <f aca="false">H244+D245</f>
        <v>245.7</v>
      </c>
      <c r="J245" s="1" t="n">
        <v>2.3</v>
      </c>
      <c r="K245" s="1" t="n">
        <f aca="false">K244+J245</f>
        <v>536.1</v>
      </c>
      <c r="L245" s="1" t="n">
        <v>1.6</v>
      </c>
      <c r="M245" s="1" t="n">
        <f aca="false">M244+L245</f>
        <v>325</v>
      </c>
      <c r="N245" s="1" t="n">
        <f aca="false">J245-L245</f>
        <v>0.7</v>
      </c>
      <c r="O245" s="25" t="n">
        <f aca="false">O244+N245</f>
        <v>67.6000000000001</v>
      </c>
      <c r="P245" s="21" t="n">
        <v>240</v>
      </c>
      <c r="Q245" s="22" t="n">
        <v>1.15</v>
      </c>
      <c r="R245" s="23" t="n">
        <f aca="false">Q245*L245</f>
        <v>1.84</v>
      </c>
      <c r="S245" s="23" t="n">
        <f aca="false">J245-R245</f>
        <v>0.46</v>
      </c>
      <c r="T245" s="26" t="n">
        <f aca="false">MIN(122.1,(T244+S245))</f>
        <v>49.4781756756757</v>
      </c>
      <c r="V245" s="1" t="n">
        <v>969.5</v>
      </c>
      <c r="W245" s="1" t="n">
        <f aca="false">V245/D245</f>
        <v>90.607476635514</v>
      </c>
      <c r="X245" s="1" t="n">
        <f aca="false">X244+V245</f>
        <v>187662.3</v>
      </c>
      <c r="Y245" s="1" t="n">
        <f aca="false">Y244+V245</f>
        <v>34952.2</v>
      </c>
      <c r="AA245" s="1" t="n">
        <v>14.3199825508274</v>
      </c>
    </row>
    <row r="246" customFormat="false" ht="15" hidden="false" customHeight="false" outlineLevel="0" collapsed="false">
      <c r="A246" s="86"/>
      <c r="B246" s="51"/>
      <c r="C246" s="16" t="n">
        <v>41760</v>
      </c>
      <c r="D246" s="1" t="n">
        <v>10.9</v>
      </c>
      <c r="E246" s="1" t="n">
        <v>8.5</v>
      </c>
      <c r="F246" s="1" t="n">
        <v>14.3</v>
      </c>
      <c r="G246" s="1" t="n">
        <f aca="false">G245+D246</f>
        <v>2238.1</v>
      </c>
      <c r="H246" s="1" t="n">
        <f aca="false">H245+D246</f>
        <v>256.6</v>
      </c>
      <c r="J246" s="1" t="n">
        <v>8</v>
      </c>
      <c r="K246" s="1" t="n">
        <f aca="false">K245+J246</f>
        <v>544.1</v>
      </c>
      <c r="L246" s="1" t="n">
        <v>1.4</v>
      </c>
      <c r="M246" s="1" t="n">
        <f aca="false">M245+L246</f>
        <v>326.4</v>
      </c>
      <c r="N246" s="1" t="n">
        <f aca="false">J246-L246</f>
        <v>6.6</v>
      </c>
      <c r="O246" s="25" t="n">
        <f aca="false">O245+N246</f>
        <v>74.2000000000001</v>
      </c>
      <c r="P246" s="21" t="n">
        <v>241</v>
      </c>
      <c r="Q246" s="22" t="n">
        <v>1.15</v>
      </c>
      <c r="R246" s="23" t="n">
        <f aca="false">Q246*L246</f>
        <v>1.61</v>
      </c>
      <c r="S246" s="23" t="n">
        <f aca="false">J246-R246</f>
        <v>6.39</v>
      </c>
      <c r="T246" s="26" t="n">
        <f aca="false">MIN(122.1,(T245+S246))</f>
        <v>55.8681756756757</v>
      </c>
      <c r="V246" s="27" t="n">
        <v>769.7</v>
      </c>
      <c r="W246" s="1" t="n">
        <f aca="false">V246/D246</f>
        <v>70.6146788990826</v>
      </c>
      <c r="X246" s="1" t="n">
        <f aca="false">X245+V246</f>
        <v>188432</v>
      </c>
      <c r="Y246" s="1" t="n">
        <f aca="false">Y245+V246</f>
        <v>35721.9</v>
      </c>
      <c r="AA246" s="1" t="n">
        <v>14.3694446956405</v>
      </c>
    </row>
    <row r="247" customFormat="false" ht="15" hidden="false" customHeight="false" outlineLevel="0" collapsed="false">
      <c r="A247" s="86"/>
      <c r="B247" s="51"/>
      <c r="C247" s="16" t="n">
        <v>41761</v>
      </c>
      <c r="D247" s="1" t="n">
        <v>11.4</v>
      </c>
      <c r="E247" s="1" t="n">
        <v>9.7</v>
      </c>
      <c r="F247" s="1" t="n">
        <v>13.5</v>
      </c>
      <c r="G247" s="1" t="n">
        <f aca="false">G246+D247</f>
        <v>2249.5</v>
      </c>
      <c r="H247" s="1" t="n">
        <f aca="false">H246+D247</f>
        <v>268</v>
      </c>
      <c r="J247" s="1" t="n">
        <v>0.1</v>
      </c>
      <c r="K247" s="1" t="n">
        <f aca="false">K246+J247</f>
        <v>544.2</v>
      </c>
      <c r="L247" s="1" t="n">
        <v>2</v>
      </c>
      <c r="M247" s="1" t="n">
        <f aca="false">M246+L247</f>
        <v>328.4</v>
      </c>
      <c r="N247" s="19" t="n">
        <f aca="false">J247-L247</f>
        <v>-1.9</v>
      </c>
      <c r="O247" s="25" t="n">
        <f aca="false">O246+N247</f>
        <v>72.3000000000001</v>
      </c>
      <c r="P247" s="21" t="n">
        <v>242</v>
      </c>
      <c r="Q247" s="22" t="n">
        <v>1.15</v>
      </c>
      <c r="R247" s="23" t="n">
        <f aca="false">Q247*L247</f>
        <v>2.3</v>
      </c>
      <c r="S247" s="23" t="n">
        <f aca="false">J247-R247</f>
        <v>-2.2</v>
      </c>
      <c r="T247" s="26" t="n">
        <f aca="false">MIN(122.1,(T246+S247))</f>
        <v>53.6681756756757</v>
      </c>
      <c r="V247" s="1" t="n">
        <v>1204.2</v>
      </c>
      <c r="W247" s="1" t="n">
        <f aca="false">V247/D247</f>
        <v>105.631578947368</v>
      </c>
      <c r="X247" s="1" t="n">
        <f aca="false">X246+V247</f>
        <v>189636.2</v>
      </c>
      <c r="Y247" s="1" t="n">
        <f aca="false">Y246+V247</f>
        <v>36926.1</v>
      </c>
      <c r="AA247" s="1" t="n">
        <v>14.4184961127386</v>
      </c>
    </row>
    <row r="248" customFormat="false" ht="15" hidden="false" customHeight="false" outlineLevel="0" collapsed="false">
      <c r="A248" s="86"/>
      <c r="B248" s="51"/>
      <c r="C248" s="16" t="n">
        <v>41762</v>
      </c>
      <c r="D248" s="1" t="n">
        <v>9.7</v>
      </c>
      <c r="E248" s="1" t="n">
        <v>7.8</v>
      </c>
      <c r="F248" s="1" t="n">
        <v>12.3</v>
      </c>
      <c r="G248" s="1" t="n">
        <f aca="false">G247+D248</f>
        <v>2259.2</v>
      </c>
      <c r="H248" s="1" t="n">
        <f aca="false">H247+D248</f>
        <v>277.7</v>
      </c>
      <c r="J248" s="1" t="n">
        <v>0</v>
      </c>
      <c r="K248" s="1" t="n">
        <f aca="false">K247+J248</f>
        <v>544.2</v>
      </c>
      <c r="L248" s="1" t="n">
        <v>2.4</v>
      </c>
      <c r="M248" s="1" t="n">
        <f aca="false">M247+L248</f>
        <v>330.8</v>
      </c>
      <c r="N248" s="19" t="n">
        <f aca="false">J248-L248</f>
        <v>-2.4</v>
      </c>
      <c r="O248" s="25" t="n">
        <f aca="false">O247+N248</f>
        <v>69.9000000000001</v>
      </c>
      <c r="P248" s="21" t="n">
        <v>243</v>
      </c>
      <c r="Q248" s="22" t="n">
        <v>1.15</v>
      </c>
      <c r="R248" s="23" t="n">
        <f aca="false">Q248*L248</f>
        <v>2.76</v>
      </c>
      <c r="S248" s="23" t="n">
        <f aca="false">J248-R248</f>
        <v>-2.76</v>
      </c>
      <c r="T248" s="26" t="n">
        <f aca="false">MIN(122.1,(T247+S248))</f>
        <v>50.9081756756757</v>
      </c>
      <c r="V248" s="1" t="n">
        <v>1378.4</v>
      </c>
      <c r="W248" s="1" t="n">
        <f aca="false">V248/D248</f>
        <v>142.103092783505</v>
      </c>
      <c r="X248" s="1" t="n">
        <f aca="false">X247+V248</f>
        <v>191014.6</v>
      </c>
      <c r="Y248" s="1" t="n">
        <f aca="false">Y247+V248</f>
        <v>38304.5</v>
      </c>
      <c r="AA248" s="1" t="n">
        <v>14.4671194969247</v>
      </c>
    </row>
    <row r="249" s="79" customFormat="true" ht="15" hidden="false" customHeight="false" outlineLevel="0" collapsed="false">
      <c r="A249" s="86"/>
      <c r="B249" s="88"/>
      <c r="C249" s="89" t="n">
        <v>41763</v>
      </c>
      <c r="D249" s="79" t="n">
        <v>10.4</v>
      </c>
      <c r="E249" s="90" t="n">
        <v>4.8</v>
      </c>
      <c r="F249" s="79" t="n">
        <v>16.1</v>
      </c>
      <c r="G249" s="79" t="n">
        <f aca="false">G248+D249</f>
        <v>2269.6</v>
      </c>
      <c r="H249" s="79" t="n">
        <f aca="false">H248+D249</f>
        <v>288.1</v>
      </c>
      <c r="J249" s="79" t="n">
        <v>0</v>
      </c>
      <c r="K249" s="79" t="n">
        <f aca="false">K248+J249</f>
        <v>544.2</v>
      </c>
      <c r="L249" s="79" t="n">
        <v>3.6</v>
      </c>
      <c r="M249" s="79" t="n">
        <f aca="false">M248+L249</f>
        <v>334.4</v>
      </c>
      <c r="N249" s="91" t="n">
        <f aca="false">J249-L249</f>
        <v>-3.6</v>
      </c>
      <c r="O249" s="92" t="n">
        <f aca="false">O248+N249</f>
        <v>66.3000000000001</v>
      </c>
      <c r="P249" s="21" t="n">
        <v>244</v>
      </c>
      <c r="Q249" s="81" t="n">
        <v>1.15</v>
      </c>
      <c r="R249" s="82" t="n">
        <f aca="false">Q249*L249</f>
        <v>4.14</v>
      </c>
      <c r="S249" s="23" t="n">
        <f aca="false">J249-R249</f>
        <v>-4.14</v>
      </c>
      <c r="T249" s="26" t="n">
        <f aca="false">MIN(122.1,(T248+S249))</f>
        <v>46.7681756756757</v>
      </c>
      <c r="V249" s="79" t="n">
        <v>2455.1</v>
      </c>
      <c r="W249" s="79" t="n">
        <f aca="false">V249/D249</f>
        <v>236.067307692308</v>
      </c>
      <c r="X249" s="79" t="n">
        <f aca="false">X248+V249</f>
        <v>193469.7</v>
      </c>
      <c r="Y249" s="79" t="n">
        <f aca="false">Y248+V249</f>
        <v>40759.6</v>
      </c>
      <c r="AA249" s="79" t="n">
        <v>14.5152970702</v>
      </c>
    </row>
    <row r="250" s="35" customFormat="true" ht="15" hidden="false" customHeight="false" outlineLevel="0" collapsed="false">
      <c r="A250" s="86"/>
      <c r="B250" s="32"/>
      <c r="C250" s="67" t="n">
        <v>41764</v>
      </c>
      <c r="D250" s="35" t="n">
        <v>14</v>
      </c>
      <c r="E250" s="35" t="n">
        <v>5.1</v>
      </c>
      <c r="F250" s="35" t="n">
        <v>20.4</v>
      </c>
      <c r="G250" s="35" t="n">
        <f aca="false">G249+D250</f>
        <v>2283.6</v>
      </c>
      <c r="H250" s="35" t="n">
        <f aca="false">H249+D250</f>
        <v>302.1</v>
      </c>
      <c r="J250" s="35" t="n">
        <v>0</v>
      </c>
      <c r="K250" s="35" t="n">
        <f aca="false">K249+J250</f>
        <v>544.2</v>
      </c>
      <c r="L250" s="35" t="n">
        <v>3.7</v>
      </c>
      <c r="M250" s="35" t="n">
        <f aca="false">M249+L250</f>
        <v>338.1</v>
      </c>
      <c r="N250" s="70" t="n">
        <f aca="false">J250-L250</f>
        <v>-3.7</v>
      </c>
      <c r="O250" s="36" t="n">
        <f aca="false">O249+N250</f>
        <v>62.6000000000001</v>
      </c>
      <c r="P250" s="117" t="n">
        <v>245</v>
      </c>
      <c r="Q250" s="35" t="n">
        <v>1.15</v>
      </c>
      <c r="R250" s="39" t="n">
        <f aca="false">Q250*L250</f>
        <v>4.255</v>
      </c>
      <c r="S250" s="39" t="n">
        <f aca="false">J250-R250</f>
        <v>-4.255</v>
      </c>
      <c r="T250" s="124" t="n">
        <f aca="false">MIN(122.1,(T249+S250))</f>
        <v>42.5131756756757</v>
      </c>
      <c r="V250" s="35" t="n">
        <v>2504.7</v>
      </c>
      <c r="W250" s="35" t="n">
        <f aca="false">V250/D250</f>
        <v>178.907142857143</v>
      </c>
      <c r="X250" s="35" t="n">
        <f aca="false">X249+V250</f>
        <v>195974.4</v>
      </c>
      <c r="Y250" s="35" t="n">
        <f aca="false">Y249+V250</f>
        <v>43264.3</v>
      </c>
      <c r="AA250" s="35" t="n">
        <v>14.5630105844849</v>
      </c>
    </row>
    <row r="251" s="79" customFormat="true" ht="15" hidden="false" customHeight="false" outlineLevel="0" collapsed="false">
      <c r="A251" s="94" t="n">
        <v>600</v>
      </c>
      <c r="B251" s="88"/>
      <c r="C251" s="89" t="n">
        <v>41765</v>
      </c>
      <c r="D251" s="79" t="n">
        <v>15.4</v>
      </c>
      <c r="E251" s="79" t="n">
        <v>12.1</v>
      </c>
      <c r="F251" s="79" t="n">
        <v>19</v>
      </c>
      <c r="G251" s="79" t="n">
        <f aca="false">G250+D251</f>
        <v>2299</v>
      </c>
      <c r="H251" s="79" t="n">
        <v>15.4</v>
      </c>
      <c r="J251" s="79" t="n">
        <v>0</v>
      </c>
      <c r="K251" s="79" t="n">
        <f aca="false">K250+J251</f>
        <v>544.2</v>
      </c>
      <c r="L251" s="79" t="n">
        <v>2</v>
      </c>
      <c r="M251" s="79" t="n">
        <f aca="false">M250+L251</f>
        <v>340.1</v>
      </c>
      <c r="N251" s="91" t="n">
        <f aca="false">J251-L251</f>
        <v>-2</v>
      </c>
      <c r="O251" s="92" t="n">
        <f aca="false">O250+N251</f>
        <v>60.6000000000001</v>
      </c>
      <c r="P251" s="121" t="n">
        <v>246</v>
      </c>
      <c r="Q251" s="53" t="n">
        <f aca="false">1.15+((P251-245)/58)*(0.35-1.15)</f>
        <v>1.13620689655172</v>
      </c>
      <c r="R251" s="82" t="n">
        <f aca="false">Q251*L251</f>
        <v>2.27241379310345</v>
      </c>
      <c r="S251" s="82" t="n">
        <f aca="false">J251-R251</f>
        <v>-2.27241379310345</v>
      </c>
      <c r="T251" s="126" t="n">
        <f aca="false">MIN(122.1,(T250+S251))</f>
        <v>40.2407618825723</v>
      </c>
      <c r="V251" s="128" t="n">
        <v>662.9</v>
      </c>
      <c r="W251" s="79" t="n">
        <f aca="false">V251/D251</f>
        <v>43.0454545454545</v>
      </c>
      <c r="X251" s="79" t="n">
        <f aca="false">X250+V251</f>
        <v>196637.3</v>
      </c>
      <c r="Y251" s="79" t="n">
        <f aca="false">V251</f>
        <v>662.9</v>
      </c>
      <c r="AA251" s="79" t="n">
        <v>14.6102413259478</v>
      </c>
    </row>
    <row r="252" customFormat="false" ht="15" hidden="false" customHeight="false" outlineLevel="0" collapsed="false">
      <c r="A252" s="94"/>
      <c r="B252" s="51"/>
      <c r="C252" s="16" t="n">
        <v>41766</v>
      </c>
      <c r="D252" s="1" t="n">
        <v>13.8</v>
      </c>
      <c r="E252" s="1" t="n">
        <v>10.8</v>
      </c>
      <c r="F252" s="1" t="n">
        <v>16.9</v>
      </c>
      <c r="G252" s="1" t="n">
        <f aca="false">G251+D252</f>
        <v>2312.8</v>
      </c>
      <c r="H252" s="1" t="n">
        <f aca="false">H251+D252</f>
        <v>29.2</v>
      </c>
      <c r="I252" s="95" t="s">
        <v>28</v>
      </c>
      <c r="J252" s="1" t="n">
        <v>0</v>
      </c>
      <c r="K252" s="1" t="n">
        <f aca="false">K251+J252</f>
        <v>544.2</v>
      </c>
      <c r="L252" s="1" t="n">
        <v>2.6</v>
      </c>
      <c r="M252" s="1" t="n">
        <f aca="false">M251+L252</f>
        <v>342.7</v>
      </c>
      <c r="N252" s="19" t="n">
        <f aca="false">J252-L252</f>
        <v>-2.6</v>
      </c>
      <c r="O252" s="25" t="n">
        <f aca="false">O251+N252</f>
        <v>58.0000000000001</v>
      </c>
      <c r="P252" s="21" t="n">
        <v>247</v>
      </c>
      <c r="Q252" s="53" t="n">
        <f aca="false">1.15+((P252-245)/58)*(0.35-1.15)</f>
        <v>1.12241379310345</v>
      </c>
      <c r="R252" s="23" t="n">
        <f aca="false">Q252*L252</f>
        <v>2.91827586206897</v>
      </c>
      <c r="S252" s="23" t="n">
        <f aca="false">J252-R252</f>
        <v>-2.91827586206897</v>
      </c>
      <c r="T252" s="26" t="n">
        <f aca="false">MIN(122.1,(T251+S252))</f>
        <v>37.3224860205033</v>
      </c>
      <c r="U252" s="95" t="s">
        <v>29</v>
      </c>
      <c r="V252" s="1" t="n">
        <v>1466.2</v>
      </c>
      <c r="W252" s="1" t="n">
        <f aca="false">V252/D252</f>
        <v>106.246376811594</v>
      </c>
      <c r="X252" s="1" t="n">
        <f aca="false">X251+V252</f>
        <v>198103.5</v>
      </c>
      <c r="Y252" s="1" t="n">
        <f aca="false">Y251+V252</f>
        <v>2129.1</v>
      </c>
      <c r="Z252" s="95" t="s">
        <v>30</v>
      </c>
      <c r="AA252" s="1" t="n">
        <v>14.6569701210347</v>
      </c>
    </row>
    <row r="253" customFormat="false" ht="15" hidden="false" customHeight="false" outlineLevel="0" collapsed="false">
      <c r="A253" s="94"/>
      <c r="B253" s="51"/>
      <c r="C253" s="16" t="n">
        <v>41767</v>
      </c>
      <c r="D253" s="1" t="n">
        <v>13.6</v>
      </c>
      <c r="E253" s="1" t="n">
        <v>10.3</v>
      </c>
      <c r="F253" s="1" t="n">
        <v>16.1</v>
      </c>
      <c r="G253" s="1" t="n">
        <f aca="false">G252+D253</f>
        <v>2326.4</v>
      </c>
      <c r="H253" s="1" t="n">
        <f aca="false">H252+D253</f>
        <v>42.8</v>
      </c>
      <c r="I253" s="1" t="n">
        <f aca="false">MIN(E251:E273)</f>
        <v>6.3</v>
      </c>
      <c r="J253" s="1" t="n">
        <v>0.2</v>
      </c>
      <c r="K253" s="1" t="n">
        <f aca="false">K252+J253</f>
        <v>544.4</v>
      </c>
      <c r="L253" s="1" t="n">
        <v>2</v>
      </c>
      <c r="M253" s="1" t="n">
        <f aca="false">M252+L253</f>
        <v>344.7</v>
      </c>
      <c r="N253" s="19" t="n">
        <f aca="false">J253-L253</f>
        <v>-1.8</v>
      </c>
      <c r="O253" s="25" t="n">
        <f aca="false">O252+N253</f>
        <v>56.2000000000001</v>
      </c>
      <c r="P253" s="21" t="n">
        <v>248</v>
      </c>
      <c r="Q253" s="53" t="n">
        <f aca="false">1.15+((P253-245)/58)*(0.35-1.15)</f>
        <v>1.10862068965517</v>
      </c>
      <c r="R253" s="23" t="n">
        <f aca="false">Q253*L253</f>
        <v>2.21724137931034</v>
      </c>
      <c r="S253" s="23" t="n">
        <f aca="false">J253-R253</f>
        <v>-2.01724137931034</v>
      </c>
      <c r="T253" s="26" t="n">
        <f aca="false">MIN(122.1,(T252+S253))</f>
        <v>35.305244641193</v>
      </c>
      <c r="U253" s="1" t="n">
        <v>16</v>
      </c>
      <c r="V253" s="1" t="n">
        <v>960.9</v>
      </c>
      <c r="W253" s="1" t="n">
        <f aca="false">V253/D253</f>
        <v>70.6544117647059</v>
      </c>
      <c r="X253" s="1" t="n">
        <f aca="false">X252+V253</f>
        <v>199064.4</v>
      </c>
      <c r="Y253" s="1" t="n">
        <f aca="false">Y252+V253</f>
        <v>3090</v>
      </c>
      <c r="Z253" s="79" t="n">
        <v>39323.4</v>
      </c>
      <c r="AA253" s="1" t="n">
        <v>14.7031773442884</v>
      </c>
    </row>
    <row r="254" customFormat="false" ht="15" hidden="false" customHeight="false" outlineLevel="0" collapsed="false">
      <c r="A254" s="94"/>
      <c r="B254" s="51"/>
      <c r="C254" s="16" t="n">
        <v>41768</v>
      </c>
      <c r="D254" s="1" t="n">
        <v>14.6</v>
      </c>
      <c r="E254" s="1" t="n">
        <v>12.7</v>
      </c>
      <c r="F254" s="1" t="n">
        <v>18</v>
      </c>
      <c r="G254" s="1" t="n">
        <f aca="false">G253+D254</f>
        <v>2341</v>
      </c>
      <c r="H254" s="1" t="n">
        <f aca="false">H253+D254</f>
        <v>57.4</v>
      </c>
      <c r="I254" s="95" t="s">
        <v>31</v>
      </c>
      <c r="J254" s="1" t="n">
        <v>1.2</v>
      </c>
      <c r="K254" s="1" t="n">
        <f aca="false">K253+J254</f>
        <v>545.6</v>
      </c>
      <c r="L254" s="1" t="n">
        <v>2.9</v>
      </c>
      <c r="M254" s="1" t="n">
        <f aca="false">M253+L254</f>
        <v>347.6</v>
      </c>
      <c r="N254" s="19" t="n">
        <f aca="false">J254-L254</f>
        <v>-1.7</v>
      </c>
      <c r="O254" s="25" t="n">
        <f aca="false">O253+N254</f>
        <v>54.5000000000001</v>
      </c>
      <c r="P254" s="21" t="n">
        <v>249</v>
      </c>
      <c r="Q254" s="53" t="n">
        <f aca="false">1.15+((P254-245)/58)*(0.35-1.15)</f>
        <v>1.0948275862069</v>
      </c>
      <c r="R254" s="23" t="n">
        <f aca="false">Q254*L254</f>
        <v>3.175</v>
      </c>
      <c r="S254" s="23" t="n">
        <f aca="false">J254-R254</f>
        <v>-1.975</v>
      </c>
      <c r="T254" s="26" t="n">
        <f aca="false">MIN(122.1,(T253+S254))</f>
        <v>33.330244641193</v>
      </c>
      <c r="U254" s="95" t="s">
        <v>32</v>
      </c>
      <c r="V254" s="1" t="n">
        <v>1473.6</v>
      </c>
      <c r="W254" s="1" t="n">
        <f aca="false">V254/D254</f>
        <v>100.931506849315</v>
      </c>
      <c r="X254" s="1" t="n">
        <f aca="false">X253+V254</f>
        <v>200538</v>
      </c>
      <c r="Y254" s="1" t="n">
        <f aca="false">Y253+V254</f>
        <v>4563.6</v>
      </c>
      <c r="Z254" s="95" t="s">
        <v>33</v>
      </c>
      <c r="AA254" s="1" t="n">
        <v>14.7488429280453</v>
      </c>
    </row>
    <row r="255" customFormat="false" ht="15" hidden="false" customHeight="false" outlineLevel="0" collapsed="false">
      <c r="A255" s="94"/>
      <c r="B255" s="51"/>
      <c r="C255" s="16" t="n">
        <v>41769</v>
      </c>
      <c r="D255" s="1" t="n">
        <v>13</v>
      </c>
      <c r="E255" s="1" t="n">
        <v>9.4</v>
      </c>
      <c r="F255" s="1" t="n">
        <v>16.3</v>
      </c>
      <c r="G255" s="1" t="n">
        <f aca="false">G254+D255</f>
        <v>2354</v>
      </c>
      <c r="H255" s="1" t="n">
        <f aca="false">H254+D255</f>
        <v>70.4</v>
      </c>
      <c r="I255" s="1" t="n">
        <f aca="false">MAX(F251:F273)</f>
        <v>24.3</v>
      </c>
      <c r="J255" s="1" t="n">
        <v>1.4</v>
      </c>
      <c r="K255" s="1" t="n">
        <f aca="false">K254+J255</f>
        <v>547</v>
      </c>
      <c r="L255" s="1" t="n">
        <v>1.5</v>
      </c>
      <c r="M255" s="1" t="n">
        <f aca="false">M254+L255</f>
        <v>349.1</v>
      </c>
      <c r="N255" s="19" t="n">
        <f aca="false">J255-L255</f>
        <v>-0.1</v>
      </c>
      <c r="O255" s="25" t="n">
        <f aca="false">O254+N255</f>
        <v>54.4000000000001</v>
      </c>
      <c r="P255" s="21" t="n">
        <v>250</v>
      </c>
      <c r="Q255" s="53" t="n">
        <f aca="false">1.15+((P255-245)/58)*(0.35-1.15)</f>
        <v>1.08103448275862</v>
      </c>
      <c r="R255" s="23" t="n">
        <f aca="false">Q255*L255</f>
        <v>1.62155172413793</v>
      </c>
      <c r="S255" s="23" t="n">
        <f aca="false">J255-R255</f>
        <v>-0.221551724137931</v>
      </c>
      <c r="T255" s="26" t="n">
        <f aca="false">MIN(122.1,(T254+S255))</f>
        <v>33.1086929170551</v>
      </c>
      <c r="U255" s="1" t="n">
        <v>0</v>
      </c>
      <c r="V255" s="1" t="n">
        <v>929</v>
      </c>
      <c r="W255" s="1" t="n">
        <f aca="false">V255/D255</f>
        <v>71.4615384615385</v>
      </c>
      <c r="X255" s="1" t="n">
        <f aca="false">X254+V255</f>
        <v>201467</v>
      </c>
      <c r="Y255" s="1" t="n">
        <f aca="false">Y254+V255</f>
        <v>5492.6</v>
      </c>
      <c r="Z255" s="28" t="n">
        <f aca="false">(Z253/100)/I265</f>
        <v>1.29395853899309</v>
      </c>
      <c r="AA255" s="1" t="n">
        <v>14.7939463740993</v>
      </c>
    </row>
    <row r="256" customFormat="false" ht="15" hidden="false" customHeight="false" outlineLevel="0" collapsed="false">
      <c r="A256" s="94"/>
      <c r="B256" s="51"/>
      <c r="C256" s="16" t="n">
        <v>41770</v>
      </c>
      <c r="D256" s="1" t="n">
        <v>11.2</v>
      </c>
      <c r="E256" s="1" t="n">
        <v>9.5</v>
      </c>
      <c r="F256" s="1" t="n">
        <v>14.1</v>
      </c>
      <c r="G256" s="1" t="n">
        <f aca="false">G255+D256</f>
        <v>2365.2</v>
      </c>
      <c r="H256" s="1" t="n">
        <f aca="false">H255+D256</f>
        <v>81.6</v>
      </c>
      <c r="I256" s="95" t="s">
        <v>34</v>
      </c>
      <c r="J256" s="1" t="n">
        <v>3.8</v>
      </c>
      <c r="K256" s="1" t="n">
        <f aca="false">K255+J256</f>
        <v>550.8</v>
      </c>
      <c r="L256" s="1" t="n">
        <v>2.5</v>
      </c>
      <c r="M256" s="1" t="n">
        <f aca="false">M255+L256</f>
        <v>351.6</v>
      </c>
      <c r="N256" s="1" t="n">
        <f aca="false">J256-L256</f>
        <v>1.3</v>
      </c>
      <c r="O256" s="25" t="n">
        <f aca="false">O255+N256</f>
        <v>55.7</v>
      </c>
      <c r="P256" s="21" t="n">
        <v>251</v>
      </c>
      <c r="Q256" s="53" t="n">
        <f aca="false">1.15+((P256-245)/58)*(0.35-1.15)</f>
        <v>1.06724137931034</v>
      </c>
      <c r="R256" s="23" t="n">
        <f aca="false">Q256*L256</f>
        <v>2.66810344827586</v>
      </c>
      <c r="S256" s="23" t="n">
        <f aca="false">J256-R256</f>
        <v>1.13189655172414</v>
      </c>
      <c r="T256" s="26" t="n">
        <f aca="false">MIN(122.1,(T255+S256))</f>
        <v>34.2405894687792</v>
      </c>
      <c r="U256" s="95" t="s">
        <v>35</v>
      </c>
      <c r="V256" s="1" t="n">
        <v>1523.7</v>
      </c>
      <c r="W256" s="1" t="n">
        <f aca="false">V256/D256</f>
        <v>136.044642857143</v>
      </c>
      <c r="X256" s="1" t="n">
        <f aca="false">X255+V256</f>
        <v>202990.7</v>
      </c>
      <c r="Y256" s="1" t="n">
        <f aca="false">Y255+V256</f>
        <v>7016.3</v>
      </c>
      <c r="Z256" s="95" t="s">
        <v>36</v>
      </c>
      <c r="AA256" s="1" t="n">
        <v>14.8384667674129</v>
      </c>
    </row>
    <row r="257" customFormat="false" ht="15" hidden="false" customHeight="false" outlineLevel="0" collapsed="false">
      <c r="A257" s="94"/>
      <c r="B257" s="51"/>
      <c r="C257" s="16" t="n">
        <v>41771</v>
      </c>
      <c r="D257" s="1" t="n">
        <v>9.5</v>
      </c>
      <c r="E257" s="1" t="n">
        <v>7</v>
      </c>
      <c r="F257" s="1" t="n">
        <v>11.6</v>
      </c>
      <c r="G257" s="1" t="n">
        <f aca="false">G256+D257</f>
        <v>2374.7</v>
      </c>
      <c r="H257" s="1" t="n">
        <f aca="false">H256+D257</f>
        <v>91.1</v>
      </c>
      <c r="I257" s="29" t="n">
        <f aca="false">AVERAGE(D251:D273)</f>
        <v>13.2130434782609</v>
      </c>
      <c r="J257" s="1" t="n">
        <v>4.2</v>
      </c>
      <c r="K257" s="1" t="n">
        <f aca="false">K256+J257</f>
        <v>555</v>
      </c>
      <c r="L257" s="1" t="n">
        <v>1.2</v>
      </c>
      <c r="M257" s="1" t="n">
        <f aca="false">M256+L257</f>
        <v>352.8</v>
      </c>
      <c r="N257" s="1" t="n">
        <f aca="false">J257-L257</f>
        <v>3</v>
      </c>
      <c r="O257" s="25" t="n">
        <f aca="false">O256+N257</f>
        <v>58.7</v>
      </c>
      <c r="P257" s="21" t="n">
        <v>252</v>
      </c>
      <c r="Q257" s="53" t="n">
        <f aca="false">1.15+((P257-245)/58)*(0.35-1.15)</f>
        <v>1.05344827586207</v>
      </c>
      <c r="R257" s="23" t="n">
        <f aca="false">Q257*L257</f>
        <v>1.26413793103448</v>
      </c>
      <c r="S257" s="23" t="n">
        <f aca="false">J257-R257</f>
        <v>2.93586206896552</v>
      </c>
      <c r="T257" s="26" t="n">
        <f aca="false">MIN(122.1,(T256+S257))</f>
        <v>37.1764515377447</v>
      </c>
      <c r="U257" s="1" t="n">
        <v>23</v>
      </c>
      <c r="V257" s="27" t="n">
        <v>762.8</v>
      </c>
      <c r="W257" s="1" t="n">
        <f aca="false">V257/D257</f>
        <v>80.2947368421053</v>
      </c>
      <c r="X257" s="1" t="n">
        <f aca="false">X256+V257</f>
        <v>203753.5</v>
      </c>
      <c r="Y257" s="1" t="n">
        <f aca="false">Y256+V257</f>
        <v>7779.1</v>
      </c>
      <c r="Z257" s="1" t="n">
        <v>3</v>
      </c>
      <c r="AA257" s="1" t="n">
        <v>14.8823827919599</v>
      </c>
    </row>
    <row r="258" customFormat="false" ht="15" hidden="false" customHeight="false" outlineLevel="0" collapsed="false">
      <c r="A258" s="94"/>
      <c r="B258" s="51"/>
      <c r="C258" s="16" t="n">
        <v>41772</v>
      </c>
      <c r="D258" s="1" t="n">
        <v>10.1</v>
      </c>
      <c r="E258" s="1" t="n">
        <v>7.4</v>
      </c>
      <c r="F258" s="1" t="n">
        <v>13.5</v>
      </c>
      <c r="G258" s="1" t="n">
        <f aca="false">G257+D258</f>
        <v>2384.8</v>
      </c>
      <c r="H258" s="1" t="n">
        <f aca="false">H257+D258</f>
        <v>101.2</v>
      </c>
      <c r="I258" s="95" t="s">
        <v>37</v>
      </c>
      <c r="J258" s="1" t="n">
        <v>0.8</v>
      </c>
      <c r="K258" s="1" t="n">
        <f aca="false">K257+J258</f>
        <v>555.8</v>
      </c>
      <c r="L258" s="1" t="n">
        <v>2.7</v>
      </c>
      <c r="M258" s="1" t="n">
        <f aca="false">M257+L258</f>
        <v>355.5</v>
      </c>
      <c r="N258" s="19" t="n">
        <f aca="false">J258-L258</f>
        <v>-1.9</v>
      </c>
      <c r="O258" s="25" t="n">
        <f aca="false">O257+N258</f>
        <v>56.8000000000001</v>
      </c>
      <c r="P258" s="21" t="n">
        <v>253</v>
      </c>
      <c r="Q258" s="53" t="n">
        <f aca="false">1.15+((P258-245)/58)*(0.35-1.15)</f>
        <v>1.03965517241379</v>
      </c>
      <c r="R258" s="23" t="n">
        <f aca="false">Q258*L258</f>
        <v>2.80706896551724</v>
      </c>
      <c r="S258" s="23" t="n">
        <f aca="false">J258-R258</f>
        <v>-2.00706896551724</v>
      </c>
      <c r="T258" s="26" t="n">
        <f aca="false">MIN(122.1,(T257+S258))</f>
        <v>35.1693825722275</v>
      </c>
      <c r="U258" s="95" t="s">
        <v>38</v>
      </c>
      <c r="V258" s="1" t="n">
        <v>1803.3</v>
      </c>
      <c r="W258" s="1" t="n">
        <f aca="false">V258/D258</f>
        <v>178.544554455446</v>
      </c>
      <c r="X258" s="1" t="n">
        <f aca="false">X257+V258</f>
        <v>205556.8</v>
      </c>
      <c r="Y258" s="1" t="n">
        <f aca="false">Y257+V258</f>
        <v>9582.4</v>
      </c>
      <c r="AA258" s="1" t="n">
        <v>14.9256727487722</v>
      </c>
    </row>
    <row r="259" customFormat="false" ht="15" hidden="false" customHeight="false" outlineLevel="0" collapsed="false">
      <c r="A259" s="94"/>
      <c r="B259" s="51"/>
      <c r="C259" s="16" t="n">
        <v>41773</v>
      </c>
      <c r="D259" s="1" t="n">
        <v>10.9</v>
      </c>
      <c r="E259" s="1" t="n">
        <v>6.4</v>
      </c>
      <c r="F259" s="1" t="n">
        <v>15.3</v>
      </c>
      <c r="G259" s="1" t="n">
        <f aca="false">G258+D259</f>
        <v>2395.7</v>
      </c>
      <c r="H259" s="1" t="n">
        <f aca="false">H258+D259</f>
        <v>112.1</v>
      </c>
      <c r="I259" s="1" t="n">
        <v>0</v>
      </c>
      <c r="J259" s="1" t="n">
        <v>0.2</v>
      </c>
      <c r="K259" s="1" t="n">
        <f aca="false">K258+J259</f>
        <v>556</v>
      </c>
      <c r="L259" s="1" t="n">
        <v>3</v>
      </c>
      <c r="M259" s="1" t="n">
        <f aca="false">M258+L259</f>
        <v>358.5</v>
      </c>
      <c r="N259" s="19" t="n">
        <f aca="false">J259-L259</f>
        <v>-2.8</v>
      </c>
      <c r="O259" s="25" t="n">
        <f aca="false">O258+N259</f>
        <v>54.0000000000001</v>
      </c>
      <c r="P259" s="21" t="n">
        <v>254</v>
      </c>
      <c r="Q259" s="53" t="n">
        <f aca="false">1.15+((P259-245)/58)*(0.35-1.15)</f>
        <v>1.02586206896552</v>
      </c>
      <c r="R259" s="23" t="n">
        <f aca="false">Q259*L259</f>
        <v>3.07758620689655</v>
      </c>
      <c r="S259" s="23" t="n">
        <f aca="false">J259-R259</f>
        <v>-2.87758620689655</v>
      </c>
      <c r="T259" s="26" t="n">
        <f aca="false">MIN(122.1,(T258+S259))</f>
        <v>32.2917963653309</v>
      </c>
      <c r="U259" s="29" t="n">
        <f aca="false">MIN(T251:T273)</f>
        <v>10.0076584342964</v>
      </c>
      <c r="V259" s="1" t="n">
        <v>2057.7</v>
      </c>
      <c r="W259" s="1" t="n">
        <f aca="false">V259/D259</f>
        <v>188.779816513761</v>
      </c>
      <c r="X259" s="1" t="n">
        <f aca="false">X258+V259</f>
        <v>207614.5</v>
      </c>
      <c r="Y259" s="1" t="n">
        <f aca="false">Y258+V259</f>
        <v>11640.1</v>
      </c>
      <c r="AA259" s="1" t="n">
        <v>14.9683145762608</v>
      </c>
    </row>
    <row r="260" customFormat="false" ht="15" hidden="false" customHeight="false" outlineLevel="0" collapsed="false">
      <c r="A260" s="94"/>
      <c r="B260" s="51"/>
      <c r="C260" s="16" t="n">
        <v>41774</v>
      </c>
      <c r="D260" s="1" t="n">
        <v>11.2</v>
      </c>
      <c r="E260" s="1" t="n">
        <v>7.5</v>
      </c>
      <c r="F260" s="1" t="n">
        <v>15.2</v>
      </c>
      <c r="G260" s="1" t="n">
        <f aca="false">G259+D260</f>
        <v>2406.9</v>
      </c>
      <c r="H260" s="1" t="n">
        <f aca="false">H259+D260</f>
        <v>123.3</v>
      </c>
      <c r="I260" s="95" t="s">
        <v>39</v>
      </c>
      <c r="J260" s="1" t="n">
        <v>0</v>
      </c>
      <c r="K260" s="1" t="n">
        <f aca="false">K259+J260</f>
        <v>556</v>
      </c>
      <c r="L260" s="1" t="n">
        <v>4.2</v>
      </c>
      <c r="M260" s="1" t="n">
        <f aca="false">M259+L260</f>
        <v>362.7</v>
      </c>
      <c r="N260" s="19" t="n">
        <f aca="false">J260-L260</f>
        <v>-4.2</v>
      </c>
      <c r="O260" s="25" t="n">
        <f aca="false">O259+N260</f>
        <v>49.8000000000001</v>
      </c>
      <c r="P260" s="21" t="n">
        <v>255</v>
      </c>
      <c r="Q260" s="53" t="n">
        <f aca="false">1.15+((P260-245)/58)*(0.35-1.15)</f>
        <v>1.01206896551724</v>
      </c>
      <c r="R260" s="23" t="n">
        <f aca="false">Q260*L260</f>
        <v>4.25068965517241</v>
      </c>
      <c r="S260" s="23" t="n">
        <f aca="false">J260-R260</f>
        <v>-4.25068965517241</v>
      </c>
      <c r="T260" s="26" t="n">
        <f aca="false">MIN(122.1,(T259+S260))</f>
        <v>28.0411067101585</v>
      </c>
      <c r="U260" s="95" t="s">
        <v>40</v>
      </c>
      <c r="V260" s="1" t="n">
        <v>2700.2</v>
      </c>
      <c r="W260" s="1" t="n">
        <f aca="false">V260/D260</f>
        <v>241.089285714286</v>
      </c>
      <c r="X260" s="1" t="n">
        <f aca="false">X259+V260</f>
        <v>210314.7</v>
      </c>
      <c r="Y260" s="1" t="n">
        <f aca="false">Y259+V260</f>
        <v>14340.3</v>
      </c>
      <c r="AA260" s="1" t="n">
        <v>15.0102858728743</v>
      </c>
    </row>
    <row r="261" customFormat="false" ht="15" hidden="false" customHeight="false" outlineLevel="0" collapsed="false">
      <c r="A261" s="94"/>
      <c r="B261" s="51"/>
      <c r="C261" s="16" t="n">
        <v>41775</v>
      </c>
      <c r="D261" s="1" t="n">
        <v>12.6</v>
      </c>
      <c r="E261" s="1" t="n">
        <v>6.3</v>
      </c>
      <c r="F261" s="1" t="n">
        <v>17.5</v>
      </c>
      <c r="G261" s="1" t="n">
        <f aca="false">G260+D261</f>
        <v>2419.5</v>
      </c>
      <c r="H261" s="1" t="n">
        <f aca="false">H260+D261</f>
        <v>135.9</v>
      </c>
      <c r="I261" s="1" t="n">
        <v>0</v>
      </c>
      <c r="J261" s="1" t="n">
        <v>0</v>
      </c>
      <c r="K261" s="1" t="n">
        <f aca="false">K260+J261</f>
        <v>556</v>
      </c>
      <c r="L261" s="1" t="n">
        <v>4.3</v>
      </c>
      <c r="M261" s="1" t="n">
        <f aca="false">M260+L261</f>
        <v>367</v>
      </c>
      <c r="N261" s="19" t="n">
        <f aca="false">J261-L261</f>
        <v>-4.3</v>
      </c>
      <c r="O261" s="25" t="n">
        <f aca="false">O260+N261</f>
        <v>45.5000000000001</v>
      </c>
      <c r="P261" s="21" t="n">
        <v>256</v>
      </c>
      <c r="Q261" s="53" t="n">
        <f aca="false">1.15+((P261-245)/58)*(0.35-1.15)</f>
        <v>0.998275862068966</v>
      </c>
      <c r="R261" s="23" t="n">
        <f aca="false">Q261*L261</f>
        <v>4.29258620689655</v>
      </c>
      <c r="S261" s="23" t="n">
        <f aca="false">J261-R261</f>
        <v>-4.29258620689655</v>
      </c>
      <c r="T261" s="26" t="n">
        <f aca="false">MIN(122.1,(T260+S261))</f>
        <v>23.748520503262</v>
      </c>
      <c r="U261" s="29" t="n">
        <f aca="false">MAX(T251:T273)</f>
        <v>40.2407618825723</v>
      </c>
      <c r="V261" s="1" t="n">
        <v>2634.8</v>
      </c>
      <c r="W261" s="1" t="n">
        <f aca="false">V261/D261</f>
        <v>209.111111111111</v>
      </c>
      <c r="X261" s="1" t="n">
        <f aca="false">X260+V261</f>
        <v>212949.5</v>
      </c>
      <c r="Y261" s="1" t="n">
        <f aca="false">Y260+V261</f>
        <v>16975.1</v>
      </c>
      <c r="AA261" s="1" t="n">
        <v>15.051563922148</v>
      </c>
    </row>
    <row r="262" customFormat="false" ht="15" hidden="false" customHeight="false" outlineLevel="0" collapsed="false">
      <c r="A262" s="94"/>
      <c r="B262" s="51"/>
      <c r="C262" s="16" t="n">
        <v>41776</v>
      </c>
      <c r="D262" s="1" t="n">
        <v>15.3</v>
      </c>
      <c r="E262" s="1" t="n">
        <v>9.7</v>
      </c>
      <c r="F262" s="1" t="n">
        <v>20.3</v>
      </c>
      <c r="G262" s="1" t="n">
        <f aca="false">G261+D262</f>
        <v>2434.8</v>
      </c>
      <c r="H262" s="1" t="n">
        <f aca="false">H261+D262</f>
        <v>151.2</v>
      </c>
      <c r="I262" s="95" t="s">
        <v>41</v>
      </c>
      <c r="J262" s="1" t="n">
        <v>0</v>
      </c>
      <c r="K262" s="1" t="n">
        <f aca="false">K261+J262</f>
        <v>556</v>
      </c>
      <c r="L262" s="1" t="n">
        <v>5.4</v>
      </c>
      <c r="M262" s="1" t="n">
        <f aca="false">M261+L262</f>
        <v>372.4</v>
      </c>
      <c r="N262" s="19" t="n">
        <f aca="false">J262-L262</f>
        <v>-5.4</v>
      </c>
      <c r="O262" s="25" t="n">
        <f aca="false">O261+N262</f>
        <v>40.1000000000001</v>
      </c>
      <c r="P262" s="21" t="n">
        <v>257</v>
      </c>
      <c r="Q262" s="53" t="n">
        <f aca="false">1.15+((P262-245)/58)*(0.35-1.15)</f>
        <v>0.98448275862069</v>
      </c>
      <c r="R262" s="23" t="n">
        <f aca="false">Q262*L262</f>
        <v>5.31620689655172</v>
      </c>
      <c r="S262" s="23" t="n">
        <f aca="false">J262-R262</f>
        <v>-5.31620689655172</v>
      </c>
      <c r="T262" s="26" t="n">
        <f aca="false">MIN(122.1,(T261+S262))</f>
        <v>18.4323136067102</v>
      </c>
      <c r="U262" s="95" t="s">
        <v>42</v>
      </c>
      <c r="V262" s="1" t="n">
        <v>3107.6</v>
      </c>
      <c r="W262" s="1" t="n">
        <f aca="false">V262/D262</f>
        <v>203.111111111111</v>
      </c>
      <c r="X262" s="1" t="n">
        <f aca="false">X261+V262</f>
        <v>216057.1</v>
      </c>
      <c r="Y262" s="1" t="n">
        <f aca="false">Y261+V262</f>
        <v>20082.7</v>
      </c>
      <c r="AA262" s="1" t="n">
        <v>15.0921257201879</v>
      </c>
    </row>
    <row r="263" customFormat="false" ht="15" hidden="false" customHeight="false" outlineLevel="0" collapsed="false">
      <c r="A263" s="94"/>
      <c r="B263" s="51"/>
      <c r="C263" s="16" t="n">
        <v>41777</v>
      </c>
      <c r="D263" s="1" t="n">
        <v>16.7</v>
      </c>
      <c r="E263" s="1" t="n">
        <v>11.1</v>
      </c>
      <c r="F263" s="1" t="n">
        <v>22.3</v>
      </c>
      <c r="G263" s="1" t="n">
        <f aca="false">G262+D263</f>
        <v>2451.5</v>
      </c>
      <c r="H263" s="1" t="n">
        <f aca="false">H262+D263</f>
        <v>167.9</v>
      </c>
      <c r="I263" s="1" t="n">
        <v>0</v>
      </c>
      <c r="J263" s="1" t="n">
        <v>0</v>
      </c>
      <c r="K263" s="1" t="n">
        <f aca="false">K262+J263</f>
        <v>556</v>
      </c>
      <c r="L263" s="1" t="n">
        <v>5.6</v>
      </c>
      <c r="M263" s="1" t="n">
        <f aca="false">M262+L263</f>
        <v>378</v>
      </c>
      <c r="N263" s="19" t="n">
        <f aca="false">J263-L263</f>
        <v>-5.6</v>
      </c>
      <c r="O263" s="25" t="n">
        <f aca="false">O262+N263</f>
        <v>34.5000000000001</v>
      </c>
      <c r="P263" s="21" t="n">
        <v>258</v>
      </c>
      <c r="Q263" s="53" t="n">
        <f aca="false">1.15+((P263-245)/58)*(0.35-1.15)</f>
        <v>0.970689655172414</v>
      </c>
      <c r="R263" s="23" t="n">
        <f aca="false">Q263*L263</f>
        <v>5.43586206896552</v>
      </c>
      <c r="S263" s="23" t="n">
        <f aca="false">J263-R263</f>
        <v>-5.43586206896552</v>
      </c>
      <c r="T263" s="26" t="n">
        <f aca="false">MIN(122.1,(T262+S263))</f>
        <v>12.9964515377447</v>
      </c>
      <c r="U263" s="28" t="n">
        <f aca="false">AVERAGE(T251:T273)</f>
        <v>30.6771411929171</v>
      </c>
      <c r="V263" s="1" t="n">
        <v>3084.5</v>
      </c>
      <c r="W263" s="1" t="n">
        <f aca="false">V263/D263</f>
        <v>184.700598802395</v>
      </c>
      <c r="X263" s="1" t="n">
        <f aca="false">X262+V263</f>
        <v>219141.6</v>
      </c>
      <c r="Y263" s="1" t="n">
        <f aca="false">Y262+V263</f>
        <v>23167.2</v>
      </c>
      <c r="AA263" s="1" t="n">
        <v>15.1319480056244</v>
      </c>
    </row>
    <row r="264" customFormat="false" ht="15" hidden="false" customHeight="false" outlineLevel="0" collapsed="false">
      <c r="A264" s="94"/>
      <c r="B264" s="51"/>
      <c r="C264" s="16" t="n">
        <v>41778</v>
      </c>
      <c r="D264" s="1" t="n">
        <v>18</v>
      </c>
      <c r="E264" s="1" t="n">
        <v>11.3</v>
      </c>
      <c r="F264" s="1" t="n">
        <v>24.3</v>
      </c>
      <c r="G264" s="1" t="n">
        <f aca="false">G263+D264</f>
        <v>2469.5</v>
      </c>
      <c r="H264" s="1" t="n">
        <f aca="false">H263+D264</f>
        <v>185.9</v>
      </c>
      <c r="I264" s="95" t="s">
        <v>43</v>
      </c>
      <c r="J264" s="1" t="n">
        <v>1.7</v>
      </c>
      <c r="K264" s="1" t="n">
        <f aca="false">K263+J264</f>
        <v>557.7</v>
      </c>
      <c r="L264" s="1" t="n">
        <v>4.9</v>
      </c>
      <c r="M264" s="1" t="n">
        <f aca="false">M263+L264</f>
        <v>382.9</v>
      </c>
      <c r="N264" s="19" t="n">
        <f aca="false">J264-L264</f>
        <v>-3.2</v>
      </c>
      <c r="O264" s="25" t="n">
        <f aca="false">O263+N264</f>
        <v>31.3000000000001</v>
      </c>
      <c r="P264" s="21" t="n">
        <v>259</v>
      </c>
      <c r="Q264" s="53" t="n">
        <f aca="false">1.15+((P264-245)/58)*(0.35-1.15)</f>
        <v>0.956896551724138</v>
      </c>
      <c r="R264" s="23" t="n">
        <f aca="false">Q264*L264</f>
        <v>4.68879310344828</v>
      </c>
      <c r="S264" s="23" t="n">
        <f aca="false">J264-R264</f>
        <v>-2.98879310344828</v>
      </c>
      <c r="T264" s="26" t="n">
        <f aca="false">MIN(122.1,(T263+S264))</f>
        <v>10.0076584342964</v>
      </c>
      <c r="V264" s="1" t="n">
        <v>2549</v>
      </c>
      <c r="W264" s="1" t="n">
        <f aca="false">V264/D264</f>
        <v>141.611111111111</v>
      </c>
      <c r="X264" s="1" t="n">
        <f aca="false">X263+V264</f>
        <v>221690.6</v>
      </c>
      <c r="Y264" s="1" t="n">
        <f aca="false">Y263+V264</f>
        <v>25716.2</v>
      </c>
      <c r="AA264" s="1" t="n">
        <v>15.1710072920553</v>
      </c>
    </row>
    <row r="265" customFormat="false" ht="15" hidden="false" customHeight="false" outlineLevel="0" collapsed="false">
      <c r="A265" s="94"/>
      <c r="B265" s="51"/>
      <c r="C265" s="16" t="n">
        <v>41779</v>
      </c>
      <c r="D265" s="1" t="n">
        <v>15</v>
      </c>
      <c r="E265" s="1" t="n">
        <v>13.5</v>
      </c>
      <c r="F265" s="1" t="n">
        <v>19.3</v>
      </c>
      <c r="G265" s="1" t="n">
        <f aca="false">G264+D265</f>
        <v>2484.5</v>
      </c>
      <c r="H265" s="1" t="n">
        <f aca="false">H264+D265</f>
        <v>200.9</v>
      </c>
      <c r="I265" s="1" t="n">
        <v>303.9</v>
      </c>
      <c r="J265" s="1" t="n">
        <v>17.8</v>
      </c>
      <c r="K265" s="1" t="n">
        <f aca="false">K264+J265</f>
        <v>575.5</v>
      </c>
      <c r="L265" s="1" t="n">
        <v>2</v>
      </c>
      <c r="M265" s="1" t="n">
        <f aca="false">M264+L265</f>
        <v>384.9</v>
      </c>
      <c r="N265" s="1" t="n">
        <f aca="false">J265-L265</f>
        <v>15.8</v>
      </c>
      <c r="O265" s="25" t="n">
        <f aca="false">O264+N265</f>
        <v>47.1000000000001</v>
      </c>
      <c r="P265" s="21" t="n">
        <v>260</v>
      </c>
      <c r="Q265" s="53" t="n">
        <f aca="false">1.15+((P265-245)/58)*(0.35-1.15)</f>
        <v>0.943103448275862</v>
      </c>
      <c r="R265" s="23" t="n">
        <f aca="false">Q265*L265</f>
        <v>1.88620689655172</v>
      </c>
      <c r="S265" s="23" t="n">
        <f aca="false">J265-R265</f>
        <v>15.9137931034483</v>
      </c>
      <c r="T265" s="26" t="n">
        <f aca="false">MIN(122.1,(T264+S265))</f>
        <v>25.9214515377447</v>
      </c>
      <c r="U265" s="28" t="n">
        <f aca="false">(U263*100)/122.1</f>
        <v>25.1246037616029</v>
      </c>
      <c r="V265" s="1" t="n">
        <v>943.4</v>
      </c>
      <c r="W265" s="1" t="n">
        <f aca="false">V265/D265</f>
        <v>62.8933333333333</v>
      </c>
      <c r="X265" s="1" t="n">
        <f aca="false">X264+V265</f>
        <v>222634</v>
      </c>
      <c r="Y265" s="1" t="n">
        <f aca="false">Y264+V265</f>
        <v>26659.6</v>
      </c>
      <c r="AA265" s="1" t="n">
        <v>15.2092799029874</v>
      </c>
    </row>
    <row r="266" customFormat="false" ht="15" hidden="false" customHeight="false" outlineLevel="0" collapsed="false">
      <c r="A266" s="94"/>
      <c r="B266" s="51"/>
      <c r="C266" s="16" t="n">
        <v>41780</v>
      </c>
      <c r="D266" s="1" t="n">
        <v>13.9</v>
      </c>
      <c r="E266" s="1" t="n">
        <v>12</v>
      </c>
      <c r="F266" s="1" t="n">
        <v>20.5</v>
      </c>
      <c r="G266" s="1" t="n">
        <f aca="false">G265+D266</f>
        <v>2498.4</v>
      </c>
      <c r="H266" s="1" t="n">
        <f aca="false">H265+D266</f>
        <v>214.8</v>
      </c>
      <c r="J266" s="1" t="n">
        <v>10.6</v>
      </c>
      <c r="K266" s="1" t="n">
        <f aca="false">K265+J266</f>
        <v>586.1</v>
      </c>
      <c r="L266" s="1" t="n">
        <v>3.6</v>
      </c>
      <c r="M266" s="1" t="n">
        <f aca="false">M265+L266</f>
        <v>388.5</v>
      </c>
      <c r="N266" s="1" t="n">
        <f aca="false">J266-L266</f>
        <v>7</v>
      </c>
      <c r="O266" s="25" t="n">
        <f aca="false">O265+N266</f>
        <v>54.1000000000001</v>
      </c>
      <c r="P266" s="21" t="n">
        <v>261</v>
      </c>
      <c r="Q266" s="53" t="n">
        <f aca="false">1.15+((P266-245)/58)*(0.35-1.15)</f>
        <v>0.929310344827586</v>
      </c>
      <c r="R266" s="23" t="n">
        <f aca="false">Q266*L266</f>
        <v>3.34551724137931</v>
      </c>
      <c r="S266" s="23" t="n">
        <f aca="false">J266-R266</f>
        <v>7.25448275862069</v>
      </c>
      <c r="T266" s="26" t="n">
        <f aca="false">MIN(122.1,(T265+S266))</f>
        <v>33.1759342963654</v>
      </c>
      <c r="V266" s="1" t="n">
        <v>1874.6</v>
      </c>
      <c r="W266" s="1" t="n">
        <f aca="false">V266/D266</f>
        <v>134.863309352518</v>
      </c>
      <c r="X266" s="1" t="n">
        <f aca="false">X265+V266</f>
        <v>224508.6</v>
      </c>
      <c r="Y266" s="1" t="n">
        <f aca="false">Y265+V266</f>
        <v>28534.2</v>
      </c>
      <c r="AA266" s="1" t="n">
        <v>15.2467420092686</v>
      </c>
    </row>
    <row r="267" customFormat="false" ht="15" hidden="false" customHeight="false" outlineLevel="0" collapsed="false">
      <c r="A267" s="94"/>
      <c r="B267" s="51"/>
      <c r="C267" s="16" t="n">
        <v>41781</v>
      </c>
      <c r="D267" s="1" t="n">
        <v>13.8</v>
      </c>
      <c r="E267" s="1" t="n">
        <v>8.8</v>
      </c>
      <c r="F267" s="1" t="n">
        <v>19.4</v>
      </c>
      <c r="G267" s="1" t="n">
        <f aca="false">G266+D267</f>
        <v>2512.2</v>
      </c>
      <c r="H267" s="1" t="n">
        <f aca="false">H266+D267</f>
        <v>228.6</v>
      </c>
      <c r="J267" s="1" t="n">
        <v>0.8</v>
      </c>
      <c r="K267" s="1" t="n">
        <f aca="false">K266+J267</f>
        <v>586.9</v>
      </c>
      <c r="L267" s="1" t="n">
        <v>4.1</v>
      </c>
      <c r="M267" s="1" t="n">
        <f aca="false">M266+L267</f>
        <v>392.6</v>
      </c>
      <c r="N267" s="19" t="n">
        <f aca="false">J267-L267</f>
        <v>-3.3</v>
      </c>
      <c r="O267" s="25" t="n">
        <f aca="false">O266+N267</f>
        <v>50.8000000000001</v>
      </c>
      <c r="P267" s="21" t="n">
        <v>262</v>
      </c>
      <c r="Q267" s="53" t="n">
        <f aca="false">1.15+((P267-245)/58)*(0.35-1.15)</f>
        <v>0.91551724137931</v>
      </c>
      <c r="R267" s="23" t="n">
        <f aca="false">Q267*L267</f>
        <v>3.75362068965517</v>
      </c>
      <c r="S267" s="23" t="n">
        <f aca="false">J267-R267</f>
        <v>-2.95362068965517</v>
      </c>
      <c r="T267" s="26" t="n">
        <f aca="false">MIN(122.1,(T266+S267))</f>
        <v>30.2223136067102</v>
      </c>
      <c r="V267" s="1" t="n">
        <v>2240.4</v>
      </c>
      <c r="W267" s="1" t="n">
        <f aca="false">V267/D267</f>
        <v>162.347826086957</v>
      </c>
      <c r="X267" s="1" t="n">
        <f aca="false">X266+V267</f>
        <v>226749</v>
      </c>
      <c r="Y267" s="1" t="n">
        <f aca="false">Y266+V267</f>
        <v>30774.6</v>
      </c>
      <c r="AA267" s="1" t="n">
        <v>15.2833696689886</v>
      </c>
    </row>
    <row r="268" customFormat="false" ht="15" hidden="false" customHeight="false" outlineLevel="0" collapsed="false">
      <c r="A268" s="94"/>
      <c r="B268" s="51"/>
      <c r="C268" s="16" t="n">
        <v>41782</v>
      </c>
      <c r="D268" s="1" t="n">
        <v>11.6</v>
      </c>
      <c r="E268" s="1" t="n">
        <v>9.8</v>
      </c>
      <c r="F268" s="1" t="n">
        <v>17</v>
      </c>
      <c r="G268" s="1" t="n">
        <f aca="false">G267+D268</f>
        <v>2523.8</v>
      </c>
      <c r="H268" s="1" t="n">
        <f aca="false">H267+D268</f>
        <v>240.2</v>
      </c>
      <c r="J268" s="1" t="n">
        <v>4.1</v>
      </c>
      <c r="K268" s="1" t="n">
        <f aca="false">K267+J268</f>
        <v>591</v>
      </c>
      <c r="L268" s="1" t="n">
        <v>2.8</v>
      </c>
      <c r="M268" s="1" t="n">
        <f aca="false">M267+L268</f>
        <v>395.4</v>
      </c>
      <c r="N268" s="1" t="n">
        <f aca="false">J268-L268</f>
        <v>1.3</v>
      </c>
      <c r="O268" s="25" t="n">
        <f aca="false">O267+N268</f>
        <v>52.1000000000001</v>
      </c>
      <c r="P268" s="21" t="n">
        <v>263</v>
      </c>
      <c r="Q268" s="53" t="n">
        <f aca="false">1.15+((P268-245)/58)*(0.35-1.15)</f>
        <v>0.901724137931034</v>
      </c>
      <c r="R268" s="23" t="n">
        <f aca="false">Q268*L268</f>
        <v>2.5248275862069</v>
      </c>
      <c r="S268" s="23" t="n">
        <f aca="false">J268-R268</f>
        <v>1.5751724137931</v>
      </c>
      <c r="T268" s="26" t="n">
        <f aca="false">MIN(122.1,(T267+S268))</f>
        <v>31.7974860205033</v>
      </c>
      <c r="V268" s="1" t="n">
        <v>1431</v>
      </c>
      <c r="W268" s="1" t="n">
        <f aca="false">V268/D268</f>
        <v>123.362068965517</v>
      </c>
      <c r="X268" s="1" t="n">
        <f aca="false">X267+V268</f>
        <v>228180</v>
      </c>
      <c r="Y268" s="1" t="n">
        <f aca="false">Y267+V268</f>
        <v>32205.6</v>
      </c>
      <c r="AA268" s="1" t="n">
        <v>15.3191388698056</v>
      </c>
    </row>
    <row r="269" customFormat="false" ht="15" hidden="false" customHeight="false" outlineLevel="0" collapsed="false">
      <c r="A269" s="94"/>
      <c r="B269" s="51"/>
      <c r="C269" s="16" t="n">
        <v>41783</v>
      </c>
      <c r="D269" s="1" t="n">
        <v>11.8</v>
      </c>
      <c r="E269" s="1" t="n">
        <v>6.9</v>
      </c>
      <c r="F269" s="1" t="n">
        <v>14.8</v>
      </c>
      <c r="G269" s="1" t="n">
        <f aca="false">G268+D269</f>
        <v>2535.6</v>
      </c>
      <c r="H269" s="1" t="n">
        <f aca="false">H268+D269</f>
        <v>252</v>
      </c>
      <c r="J269" s="1" t="n">
        <v>3.1</v>
      </c>
      <c r="K269" s="1" t="n">
        <f aca="false">K268+J269</f>
        <v>594.1</v>
      </c>
      <c r="L269" s="1" t="n">
        <v>2.1</v>
      </c>
      <c r="M269" s="1" t="n">
        <f aca="false">M268+L269</f>
        <v>397.5</v>
      </c>
      <c r="N269" s="1" t="n">
        <f aca="false">J269-L269</f>
        <v>1</v>
      </c>
      <c r="O269" s="25" t="n">
        <f aca="false">O268+N269</f>
        <v>53.1000000000001</v>
      </c>
      <c r="P269" s="21" t="n">
        <v>264</v>
      </c>
      <c r="Q269" s="53" t="n">
        <f aca="false">1.15+((P269-245)/58)*(0.35-1.15)</f>
        <v>0.887931034482759</v>
      </c>
      <c r="R269" s="23" t="n">
        <f aca="false">Q269*L269</f>
        <v>1.86465517241379</v>
      </c>
      <c r="S269" s="23" t="n">
        <f aca="false">J269-R269</f>
        <v>1.23534482758621</v>
      </c>
      <c r="T269" s="26" t="n">
        <f aca="false">MIN(122.1,(T268+S269))</f>
        <v>33.0328308480895</v>
      </c>
      <c r="V269" s="1" t="n">
        <v>1675.6</v>
      </c>
      <c r="W269" s="1" t="n">
        <f aca="false">V269/D269</f>
        <v>142</v>
      </c>
      <c r="X269" s="1" t="n">
        <f aca="false">X268+V269</f>
        <v>229855.6</v>
      </c>
      <c r="Y269" s="1" t="n">
        <f aca="false">Y268+V269</f>
        <v>33881.2</v>
      </c>
      <c r="AA269" s="1" t="n">
        <v>15.3540255736423</v>
      </c>
    </row>
    <row r="270" customFormat="false" ht="15" hidden="false" customHeight="false" outlineLevel="0" collapsed="false">
      <c r="A270" s="94"/>
      <c r="B270" s="51"/>
      <c r="C270" s="16" t="n">
        <v>41784</v>
      </c>
      <c r="D270" s="1" t="n">
        <v>12.9</v>
      </c>
      <c r="E270" s="1" t="n">
        <v>8</v>
      </c>
      <c r="F270" s="1" t="n">
        <v>18.1</v>
      </c>
      <c r="G270" s="1" t="n">
        <f aca="false">G269+D270</f>
        <v>2548.5</v>
      </c>
      <c r="H270" s="1" t="n">
        <f aca="false">H269+D270</f>
        <v>264.9</v>
      </c>
      <c r="J270" s="1" t="n">
        <v>5.7</v>
      </c>
      <c r="K270" s="1" t="n">
        <f aca="false">K269+J270</f>
        <v>599.8</v>
      </c>
      <c r="L270" s="1" t="n">
        <v>2</v>
      </c>
      <c r="M270" s="1" t="n">
        <f aca="false">M269+L270</f>
        <v>399.5</v>
      </c>
      <c r="N270" s="1" t="n">
        <f aca="false">J270-L270</f>
        <v>3.7</v>
      </c>
      <c r="O270" s="25" t="n">
        <f aca="false">O269+N270</f>
        <v>56.8000000000001</v>
      </c>
      <c r="P270" s="21" t="n">
        <v>265</v>
      </c>
      <c r="Q270" s="53" t="n">
        <f aca="false">1.15+((P270-245)/58)*(0.35-1.15)</f>
        <v>0.874137931034483</v>
      </c>
      <c r="R270" s="23" t="n">
        <f aca="false">Q270*L270</f>
        <v>1.74827586206897</v>
      </c>
      <c r="S270" s="23" t="n">
        <f aca="false">J270-R270</f>
        <v>3.95172413793104</v>
      </c>
      <c r="T270" s="26" t="n">
        <f aca="false">MIN(122.1,(T269+S270))</f>
        <v>36.9845549860206</v>
      </c>
      <c r="V270" s="1" t="n">
        <v>1318.4</v>
      </c>
      <c r="W270" s="1" t="n">
        <f aca="false">V270/D270</f>
        <v>102.201550387597</v>
      </c>
      <c r="X270" s="1" t="n">
        <f aca="false">X269+V270</f>
        <v>231174</v>
      </c>
      <c r="Y270" s="1" t="n">
        <f aca="false">Y269+V270</f>
        <v>35199.6</v>
      </c>
      <c r="AA270" s="1" t="n">
        <v>15.3880057636701</v>
      </c>
    </row>
    <row r="271" customFormat="false" ht="15" hidden="false" customHeight="false" outlineLevel="0" collapsed="false">
      <c r="A271" s="94"/>
      <c r="B271" s="51"/>
      <c r="C271" s="16" t="n">
        <v>41785</v>
      </c>
      <c r="D271" s="1" t="n">
        <v>12.4</v>
      </c>
      <c r="E271" s="1" t="n">
        <v>10.3</v>
      </c>
      <c r="F271" s="1" t="n">
        <v>14.5</v>
      </c>
      <c r="G271" s="1" t="n">
        <f aca="false">G270+D271</f>
        <v>2560.9</v>
      </c>
      <c r="H271" s="1" t="n">
        <f aca="false">H270+D271</f>
        <v>277.3</v>
      </c>
      <c r="J271" s="1" t="n">
        <v>0</v>
      </c>
      <c r="K271" s="1" t="n">
        <f aca="false">K270+J271</f>
        <v>599.8</v>
      </c>
      <c r="L271" s="1" t="n">
        <v>0.7</v>
      </c>
      <c r="M271" s="1" t="n">
        <f aca="false">M270+L271</f>
        <v>400.2</v>
      </c>
      <c r="N271" s="19" t="n">
        <f aca="false">J271-L271</f>
        <v>-0.7</v>
      </c>
      <c r="O271" s="25" t="n">
        <f aca="false">O270+N271</f>
        <v>56.1000000000001</v>
      </c>
      <c r="P271" s="21" t="n">
        <v>266</v>
      </c>
      <c r="Q271" s="53" t="n">
        <f aca="false">1.15+((P271-245)/58)*(0.35-1.15)</f>
        <v>0.860344827586207</v>
      </c>
      <c r="R271" s="23" t="n">
        <f aca="false">Q271*L271</f>
        <v>0.602241379310345</v>
      </c>
      <c r="S271" s="23" t="n">
        <f aca="false">J271-R271</f>
        <v>-0.602241379310345</v>
      </c>
      <c r="T271" s="26" t="n">
        <f aca="false">MIN(122.1,(T270+S271))</f>
        <v>36.3823136067102</v>
      </c>
      <c r="V271" s="27" t="n">
        <v>522.1</v>
      </c>
      <c r="W271" s="1" t="n">
        <f aca="false">V271/D271</f>
        <v>42.1048387096774</v>
      </c>
      <c r="X271" s="1" t="n">
        <f aca="false">X270+V271</f>
        <v>231696.1</v>
      </c>
      <c r="Y271" s="1" t="n">
        <f aca="false">Y270+V271</f>
        <v>35721.7</v>
      </c>
      <c r="AA271" s="1" t="n">
        <v>15.421055493484</v>
      </c>
    </row>
    <row r="272" s="79" customFormat="true" ht="15" hidden="false" customHeight="false" outlineLevel="0" collapsed="false">
      <c r="A272" s="94"/>
      <c r="B272" s="88"/>
      <c r="C272" s="89" t="n">
        <v>41786</v>
      </c>
      <c r="D272" s="79" t="n">
        <v>13.6</v>
      </c>
      <c r="E272" s="79" t="n">
        <v>10.8</v>
      </c>
      <c r="F272" s="79" t="n">
        <v>16.8</v>
      </c>
      <c r="G272" s="79" t="n">
        <f aca="false">G271+D272</f>
        <v>2574.5</v>
      </c>
      <c r="H272" s="79" t="n">
        <f aca="false">H271+D272</f>
        <v>290.9</v>
      </c>
      <c r="J272" s="79" t="n">
        <v>0.6</v>
      </c>
      <c r="K272" s="79" t="n">
        <f aca="false">K271+J272</f>
        <v>600.4</v>
      </c>
      <c r="L272" s="79" t="n">
        <v>3.3</v>
      </c>
      <c r="M272" s="79" t="n">
        <f aca="false">M271+L272</f>
        <v>403.5</v>
      </c>
      <c r="N272" s="91" t="n">
        <f aca="false">J272-L272</f>
        <v>-2.7</v>
      </c>
      <c r="O272" s="92" t="n">
        <f aca="false">O271+N272</f>
        <v>53.4000000000001</v>
      </c>
      <c r="P272" s="21" t="n">
        <v>267</v>
      </c>
      <c r="Q272" s="53" t="n">
        <f aca="false">1.15+((P272-245)/58)*(0.35-1.15)</f>
        <v>0.846551724137931</v>
      </c>
      <c r="R272" s="82" t="n">
        <f aca="false">Q272*L272</f>
        <v>2.79362068965517</v>
      </c>
      <c r="S272" s="23" t="n">
        <f aca="false">J272-R272</f>
        <v>-2.19362068965517</v>
      </c>
      <c r="T272" s="26" t="n">
        <f aca="false">MIN(122.1,(T271+S272))</f>
        <v>34.1886929170551</v>
      </c>
      <c r="V272" s="79" t="n">
        <v>1854.7</v>
      </c>
      <c r="W272" s="79" t="n">
        <f aca="false">V272/D272</f>
        <v>136.375</v>
      </c>
      <c r="X272" s="79" t="n">
        <f aca="false">X271+V272</f>
        <v>233550.8</v>
      </c>
      <c r="Y272" s="79" t="n">
        <f aca="false">Y271+V272</f>
        <v>37576.4</v>
      </c>
      <c r="AA272" s="79" t="n">
        <v>15.4531509383469</v>
      </c>
    </row>
    <row r="273" s="35" customFormat="true" ht="15" hidden="false" customHeight="false" outlineLevel="0" collapsed="false">
      <c r="A273" s="94"/>
      <c r="B273" s="32"/>
      <c r="C273" s="67" t="n">
        <v>41787</v>
      </c>
      <c r="D273" s="35" t="n">
        <v>13</v>
      </c>
      <c r="E273" s="35" t="n">
        <v>9.9</v>
      </c>
      <c r="F273" s="35" t="n">
        <v>16.7</v>
      </c>
      <c r="G273" s="35" t="n">
        <f aca="false">G272+D273</f>
        <v>2587.5</v>
      </c>
      <c r="H273" s="35" t="n">
        <f aca="false">H272+D273</f>
        <v>303.9</v>
      </c>
      <c r="J273" s="35" t="n">
        <v>0.6</v>
      </c>
      <c r="K273" s="35" t="n">
        <f aca="false">K272+J273</f>
        <v>601</v>
      </c>
      <c r="L273" s="35" t="n">
        <v>2.8</v>
      </c>
      <c r="M273" s="35" t="n">
        <f aca="false">M272+L273</f>
        <v>406.3</v>
      </c>
      <c r="N273" s="70" t="n">
        <f aca="false">J273-L273</f>
        <v>-2.2</v>
      </c>
      <c r="O273" s="36" t="n">
        <f aca="false">O272+N273</f>
        <v>51.2</v>
      </c>
      <c r="P273" s="117" t="n">
        <v>268</v>
      </c>
      <c r="Q273" s="53" t="n">
        <f aca="false">1.15+((P273-245)/58)*(0.35-1.15)</f>
        <v>0.832758620689655</v>
      </c>
      <c r="R273" s="39" t="n">
        <f aca="false">Q273*L273</f>
        <v>2.33172413793103</v>
      </c>
      <c r="S273" s="39" t="n">
        <f aca="false">J273-R273</f>
        <v>-1.73172413793103</v>
      </c>
      <c r="T273" s="124" t="n">
        <f aca="false">MIN(122.1,(T272+S273))</f>
        <v>32.456968779124</v>
      </c>
      <c r="V273" s="35" t="n">
        <v>1747</v>
      </c>
      <c r="W273" s="35" t="n">
        <f aca="false">V273/D273</f>
        <v>134.384615384615</v>
      </c>
      <c r="X273" s="35" t="n">
        <f aca="false">X272+V273</f>
        <v>235297.8</v>
      </c>
      <c r="Y273" s="35" t="n">
        <f aca="false">Y272+V273</f>
        <v>39323.4</v>
      </c>
      <c r="AA273" s="35" t="n">
        <v>15.4842684483602</v>
      </c>
    </row>
    <row r="274" s="79" customFormat="true" ht="15" hidden="false" customHeight="false" outlineLevel="0" collapsed="false">
      <c r="A274" s="102" t="n">
        <v>1000</v>
      </c>
      <c r="B274" s="88"/>
      <c r="C274" s="89" t="n">
        <v>41788</v>
      </c>
      <c r="D274" s="79" t="n">
        <v>14</v>
      </c>
      <c r="E274" s="79" t="n">
        <v>9.6</v>
      </c>
      <c r="F274" s="79" t="n">
        <v>18.8</v>
      </c>
      <c r="G274" s="79" t="n">
        <f aca="false">G273+D274</f>
        <v>2601.5</v>
      </c>
      <c r="H274" s="79" t="n">
        <v>14</v>
      </c>
      <c r="J274" s="79" t="n">
        <v>0</v>
      </c>
      <c r="K274" s="79" t="n">
        <f aca="false">K273+J274</f>
        <v>601</v>
      </c>
      <c r="L274" s="79" t="n">
        <v>3.9</v>
      </c>
      <c r="M274" s="79" t="n">
        <f aca="false">M273+L274</f>
        <v>410.2</v>
      </c>
      <c r="N274" s="91" t="n">
        <f aca="false">J274-L274</f>
        <v>-3.9</v>
      </c>
      <c r="O274" s="92" t="n">
        <f aca="false">O273+N274</f>
        <v>47.3000000000001</v>
      </c>
      <c r="P274" s="121" t="n">
        <v>269</v>
      </c>
      <c r="Q274" s="53" t="n">
        <f aca="false">1.15+((P274-245)/58)*(0.35-1.15)</f>
        <v>0.818965517241379</v>
      </c>
      <c r="R274" s="82" t="n">
        <f aca="false">Q274*L274</f>
        <v>3.19396551724138</v>
      </c>
      <c r="S274" s="82" t="n">
        <f aca="false">J274-R274</f>
        <v>-3.19396551724138</v>
      </c>
      <c r="T274" s="126" t="n">
        <f aca="false">MIN(122.1,(T273+S274))</f>
        <v>29.2630032618827</v>
      </c>
      <c r="V274" s="79" t="n">
        <v>2367.4</v>
      </c>
      <c r="W274" s="79" t="n">
        <f aca="false">V274/D274</f>
        <v>169.1</v>
      </c>
      <c r="X274" s="79" t="n">
        <f aca="false">X273+V274</f>
        <v>237665.2</v>
      </c>
      <c r="Y274" s="79" t="n">
        <f aca="false">V274</f>
        <v>2367.4</v>
      </c>
      <c r="AA274" s="79" t="n">
        <v>15.5143846033968</v>
      </c>
    </row>
    <row r="275" customFormat="false" ht="15" hidden="false" customHeight="false" outlineLevel="0" collapsed="false">
      <c r="A275" s="102"/>
      <c r="B275" s="51"/>
      <c r="C275" s="16" t="n">
        <v>41789</v>
      </c>
      <c r="D275" s="1" t="n">
        <v>15.6</v>
      </c>
      <c r="E275" s="1" t="n">
        <v>10.3</v>
      </c>
      <c r="F275" s="1" t="n">
        <v>19.6</v>
      </c>
      <c r="G275" s="1" t="n">
        <f aca="false">G274+D275</f>
        <v>2617.1</v>
      </c>
      <c r="H275" s="1" t="n">
        <f aca="false">H274+D275</f>
        <v>29.6</v>
      </c>
      <c r="I275" s="103" t="s">
        <v>28</v>
      </c>
      <c r="J275" s="1" t="n">
        <v>1.1</v>
      </c>
      <c r="K275" s="1" t="n">
        <f aca="false">K274+J275</f>
        <v>602.1</v>
      </c>
      <c r="L275" s="1" t="n">
        <v>1.8</v>
      </c>
      <c r="M275" s="1" t="n">
        <f aca="false">M274+L275</f>
        <v>412</v>
      </c>
      <c r="N275" s="19" t="n">
        <f aca="false">J275-L275</f>
        <v>-0.7</v>
      </c>
      <c r="O275" s="25" t="n">
        <f aca="false">O274+N275</f>
        <v>46.6</v>
      </c>
      <c r="P275" s="21" t="n">
        <v>270</v>
      </c>
      <c r="Q275" s="53" t="n">
        <f aca="false">1.15+((P275-245)/58)*(0.35-1.15)</f>
        <v>0.805172413793103</v>
      </c>
      <c r="R275" s="23" t="n">
        <f aca="false">Q275*L275</f>
        <v>1.44931034482759</v>
      </c>
      <c r="S275" s="23" t="n">
        <f aca="false">J275-R275</f>
        <v>-0.349310344827586</v>
      </c>
      <c r="T275" s="26" t="n">
        <f aca="false">MIN(122.1,(T274+S275))</f>
        <v>28.9136929170551</v>
      </c>
      <c r="U275" s="103" t="s">
        <v>29</v>
      </c>
      <c r="V275" s="1" t="n">
        <v>938.9</v>
      </c>
      <c r="W275" s="1" t="n">
        <f aca="false">V275/D275</f>
        <v>60.1858974358974</v>
      </c>
      <c r="X275" s="1" t="n">
        <f aca="false">X274+V275</f>
        <v>238604.1</v>
      </c>
      <c r="Y275" s="1" t="n">
        <f aca="false">Y274+V275</f>
        <v>3306.3</v>
      </c>
      <c r="Z275" s="103" t="s">
        <v>30</v>
      </c>
      <c r="AA275" s="1" t="n">
        <v>15.5434762696083</v>
      </c>
    </row>
    <row r="276" customFormat="false" ht="15" hidden="false" customHeight="false" outlineLevel="0" collapsed="false">
      <c r="A276" s="102"/>
      <c r="B276" s="51"/>
      <c r="C276" s="16" t="n">
        <v>41790</v>
      </c>
      <c r="D276" s="1" t="n">
        <v>16</v>
      </c>
      <c r="E276" s="1" t="n">
        <v>11.8</v>
      </c>
      <c r="F276" s="1" t="n">
        <v>20.2</v>
      </c>
      <c r="G276" s="1" t="n">
        <f aca="false">G275+D276</f>
        <v>2633.1</v>
      </c>
      <c r="H276" s="1" t="n">
        <f aca="false">H275+D276</f>
        <v>45.6</v>
      </c>
      <c r="I276" s="1" t="n">
        <f aca="false">MIN(E274:E296)</f>
        <v>7.9</v>
      </c>
      <c r="J276" s="1" t="n">
        <v>0</v>
      </c>
      <c r="K276" s="1" t="n">
        <f aca="false">K275+J276</f>
        <v>602.1</v>
      </c>
      <c r="L276" s="1" t="n">
        <v>4.5</v>
      </c>
      <c r="M276" s="1" t="n">
        <f aca="false">M275+L276</f>
        <v>416.5</v>
      </c>
      <c r="N276" s="19" t="n">
        <f aca="false">J276-L276</f>
        <v>-4.5</v>
      </c>
      <c r="O276" s="25" t="n">
        <f aca="false">O275+N276</f>
        <v>42.1</v>
      </c>
      <c r="P276" s="21" t="n">
        <v>271</v>
      </c>
      <c r="Q276" s="53" t="n">
        <f aca="false">1.15+((P276-245)/58)*(0.35-1.15)</f>
        <v>0.791379310344827</v>
      </c>
      <c r="R276" s="23" t="n">
        <f aca="false">Q276*L276</f>
        <v>3.56120689655172</v>
      </c>
      <c r="S276" s="23" t="n">
        <f aca="false">J276-R276</f>
        <v>-3.56120689655172</v>
      </c>
      <c r="T276" s="26" t="n">
        <f aca="false">MIN(122.1,(T275+S276))</f>
        <v>25.3524860205033</v>
      </c>
      <c r="U276" s="1" t="n">
        <v>19</v>
      </c>
      <c r="V276" s="1" t="n">
        <v>2551.9</v>
      </c>
      <c r="W276" s="1" t="n">
        <f aca="false">V276/D276</f>
        <v>159.49375</v>
      </c>
      <c r="X276" s="1" t="n">
        <f aca="false">X275+V276</f>
        <v>241156</v>
      </c>
      <c r="Y276" s="1" t="n">
        <f aca="false">Y275+V276</f>
        <v>5858.2</v>
      </c>
      <c r="Z276" s="1" t="n">
        <v>49636.8</v>
      </c>
      <c r="AA276" s="1" t="n">
        <v>15.5715206572978</v>
      </c>
    </row>
    <row r="277" customFormat="false" ht="15" hidden="false" customHeight="false" outlineLevel="0" collapsed="false">
      <c r="A277" s="102"/>
      <c r="B277" s="51"/>
      <c r="C277" s="16" t="n">
        <v>41791</v>
      </c>
      <c r="D277" s="1" t="n">
        <v>14.8</v>
      </c>
      <c r="E277" s="1" t="n">
        <v>10.6</v>
      </c>
      <c r="F277" s="1" t="n">
        <v>18.9</v>
      </c>
      <c r="G277" s="1" t="n">
        <f aca="false">G276+D277</f>
        <v>2647.9</v>
      </c>
      <c r="H277" s="1" t="n">
        <f aca="false">H276+D277</f>
        <v>60.4</v>
      </c>
      <c r="I277" s="103" t="s">
        <v>31</v>
      </c>
      <c r="J277" s="1" t="n">
        <v>0</v>
      </c>
      <c r="K277" s="1" t="n">
        <f aca="false">K276+J277</f>
        <v>602.1</v>
      </c>
      <c r="L277" s="1" t="n">
        <v>2.6</v>
      </c>
      <c r="M277" s="1" t="n">
        <f aca="false">M276+L277</f>
        <v>419.1</v>
      </c>
      <c r="N277" s="19" t="n">
        <f aca="false">J277-L277</f>
        <v>-2.6</v>
      </c>
      <c r="O277" s="25" t="n">
        <f aca="false">O276+N277</f>
        <v>39.5</v>
      </c>
      <c r="P277" s="21" t="n">
        <v>272</v>
      </c>
      <c r="Q277" s="53" t="n">
        <f aca="false">1.15+((P277-245)/58)*(0.35-1.15)</f>
        <v>0.777586206896552</v>
      </c>
      <c r="R277" s="23" t="n">
        <f aca="false">Q277*L277</f>
        <v>2.02172413793103</v>
      </c>
      <c r="S277" s="23" t="n">
        <f aca="false">J277-R277</f>
        <v>-2.02172413793103</v>
      </c>
      <c r="T277" s="26" t="n">
        <f aca="false">MIN(122.1,(T276+S277))</f>
        <v>23.3307618825723</v>
      </c>
      <c r="U277" s="103" t="s">
        <v>32</v>
      </c>
      <c r="V277" s="1" t="n">
        <v>1287.2</v>
      </c>
      <c r="W277" s="1" t="n">
        <f aca="false">V277/D277</f>
        <v>86.972972972973</v>
      </c>
      <c r="X277" s="1" t="n">
        <f aca="false">X276+V277</f>
        <v>242443.2</v>
      </c>
      <c r="Y277" s="1" t="n">
        <f aca="false">Y276+V277</f>
        <v>7145.4</v>
      </c>
      <c r="Z277" s="103" t="s">
        <v>33</v>
      </c>
      <c r="AA277" s="1" t="n">
        <v>15.5984953799247</v>
      </c>
    </row>
    <row r="278" customFormat="false" ht="15" hidden="false" customHeight="false" outlineLevel="0" collapsed="false">
      <c r="A278" s="102"/>
      <c r="B278" s="51"/>
      <c r="C278" s="16" t="n">
        <v>41792</v>
      </c>
      <c r="D278" s="1" t="n">
        <v>16.7</v>
      </c>
      <c r="E278" s="1" t="n">
        <v>12.7</v>
      </c>
      <c r="F278" s="1" t="n">
        <v>20.1</v>
      </c>
      <c r="G278" s="1" t="n">
        <f aca="false">G277+D278</f>
        <v>2664.6</v>
      </c>
      <c r="H278" s="1" t="n">
        <f aca="false">H277+D278</f>
        <v>77.1</v>
      </c>
      <c r="I278" s="1" t="n">
        <f aca="false">MAX(F274:F296)</f>
        <v>28.7</v>
      </c>
      <c r="J278" s="1" t="n">
        <v>0</v>
      </c>
      <c r="K278" s="1" t="n">
        <f aca="false">K277+J278</f>
        <v>602.1</v>
      </c>
      <c r="L278" s="1" t="n">
        <v>2.6</v>
      </c>
      <c r="M278" s="1" t="n">
        <f aca="false">M277+L278</f>
        <v>421.7</v>
      </c>
      <c r="N278" s="19" t="n">
        <f aca="false">J278-L278</f>
        <v>-2.6</v>
      </c>
      <c r="O278" s="25" t="n">
        <f aca="false">O277+N278</f>
        <v>36.9</v>
      </c>
      <c r="P278" s="21" t="n">
        <v>273</v>
      </c>
      <c r="Q278" s="53" t="n">
        <f aca="false">1.15+((P278-245)/58)*(0.35-1.15)</f>
        <v>0.763793103448276</v>
      </c>
      <c r="R278" s="23" t="n">
        <f aca="false">Q278*L278</f>
        <v>1.98586206896552</v>
      </c>
      <c r="S278" s="23" t="n">
        <f aca="false">J278-R278</f>
        <v>-1.98586206896552</v>
      </c>
      <c r="T278" s="26" t="n">
        <f aca="false">MIN(122.1,(T277+S278))</f>
        <v>21.3448998136068</v>
      </c>
      <c r="U278" s="1" t="n">
        <v>6</v>
      </c>
      <c r="V278" s="1" t="n">
        <v>1316.7</v>
      </c>
      <c r="W278" s="1" t="n">
        <f aca="false">V278/D278</f>
        <v>78.8443113772455</v>
      </c>
      <c r="X278" s="1" t="n">
        <f aca="false">X277+V278</f>
        <v>243759.9</v>
      </c>
      <c r="Y278" s="1" t="n">
        <f aca="false">Y277+V278</f>
        <v>8462.1</v>
      </c>
      <c r="Z278" s="28" t="n">
        <f aca="false">(Z276/100)/I288</f>
        <v>1.19693272244996</v>
      </c>
      <c r="AA278" s="1" t="n">
        <v>15.624378513991</v>
      </c>
    </row>
    <row r="279" customFormat="false" ht="15" hidden="false" customHeight="false" outlineLevel="0" collapsed="false">
      <c r="A279" s="102"/>
      <c r="B279" s="51"/>
      <c r="C279" s="16" t="n">
        <v>41793</v>
      </c>
      <c r="D279" s="1" t="n">
        <v>15</v>
      </c>
      <c r="E279" s="1" t="n">
        <v>12.1</v>
      </c>
      <c r="F279" s="1" t="n">
        <v>18.6</v>
      </c>
      <c r="G279" s="1" t="n">
        <f aca="false">G278+D279</f>
        <v>2679.6</v>
      </c>
      <c r="H279" s="1" t="n">
        <f aca="false">H278+D279</f>
        <v>92.1</v>
      </c>
      <c r="I279" s="103" t="s">
        <v>34</v>
      </c>
      <c r="J279" s="1" t="n">
        <v>5.2</v>
      </c>
      <c r="K279" s="1" t="n">
        <f aca="false">K278+J279</f>
        <v>607.3</v>
      </c>
      <c r="L279" s="1" t="n">
        <v>3.6</v>
      </c>
      <c r="M279" s="1" t="n">
        <f aca="false">M278+L279</f>
        <v>425.3</v>
      </c>
      <c r="N279" s="1" t="n">
        <f aca="false">J279-L279</f>
        <v>1.6</v>
      </c>
      <c r="O279" s="25" t="n">
        <f aca="false">O278+N279</f>
        <v>38.5</v>
      </c>
      <c r="P279" s="21" t="n">
        <v>274</v>
      </c>
      <c r="Q279" s="53" t="n">
        <f aca="false">1.15+((P279-245)/58)*(0.35-1.15)</f>
        <v>0.75</v>
      </c>
      <c r="R279" s="23" t="n">
        <f aca="false">Q279*L279</f>
        <v>2.7</v>
      </c>
      <c r="S279" s="23" t="n">
        <f aca="false">J279-R279</f>
        <v>2.5</v>
      </c>
      <c r="T279" s="26" t="n">
        <f aca="false">MIN(122.1,(T278+S279))</f>
        <v>23.8448998136068</v>
      </c>
      <c r="U279" s="103" t="s">
        <v>35</v>
      </c>
      <c r="V279" s="1" t="n">
        <v>2119.3</v>
      </c>
      <c r="W279" s="1" t="n">
        <f aca="false">V279/D279</f>
        <v>141.286666666667</v>
      </c>
      <c r="X279" s="1" t="n">
        <f aca="false">X278+V279</f>
        <v>245879.2</v>
      </c>
      <c r="Y279" s="1" t="n">
        <f aca="false">Y278+V279</f>
        <v>10581.4</v>
      </c>
      <c r="Z279" s="103" t="s">
        <v>36</v>
      </c>
      <c r="AA279" s="1" t="n">
        <v>15.6491486595334</v>
      </c>
    </row>
    <row r="280" customFormat="false" ht="15" hidden="false" customHeight="false" outlineLevel="0" collapsed="false">
      <c r="A280" s="102"/>
      <c r="B280" s="51"/>
      <c r="C280" s="16" t="n">
        <v>41794</v>
      </c>
      <c r="D280" s="1" t="n">
        <v>13.4</v>
      </c>
      <c r="E280" s="1" t="n">
        <v>12.7</v>
      </c>
      <c r="F280" s="1" t="n">
        <v>15.4</v>
      </c>
      <c r="G280" s="1" t="n">
        <f aca="false">G279+D280</f>
        <v>2693</v>
      </c>
      <c r="H280" s="1" t="n">
        <f aca="false">H279+D280</f>
        <v>105.5</v>
      </c>
      <c r="I280" s="29" t="n">
        <f aca="false">AVERAGE(D274:D296)</f>
        <v>18.0304347826087</v>
      </c>
      <c r="J280" s="1" t="n">
        <v>1.7</v>
      </c>
      <c r="K280" s="1" t="n">
        <f aca="false">K279+J280</f>
        <v>609</v>
      </c>
      <c r="L280" s="1" t="n">
        <v>2.5</v>
      </c>
      <c r="M280" s="1" t="n">
        <f aca="false">M279+L280</f>
        <v>427.8</v>
      </c>
      <c r="N280" s="19" t="n">
        <f aca="false">J280-L280</f>
        <v>-0.8</v>
      </c>
      <c r="O280" s="25" t="n">
        <f aca="false">O279+N280</f>
        <v>37.7</v>
      </c>
      <c r="P280" s="21" t="n">
        <v>275</v>
      </c>
      <c r="Q280" s="53" t="n">
        <f aca="false">1.15+((P280-245)/58)*(0.35-1.15)</f>
        <v>0.736206896551724</v>
      </c>
      <c r="R280" s="23" t="n">
        <f aca="false">Q280*L280</f>
        <v>1.84051724137931</v>
      </c>
      <c r="S280" s="23" t="n">
        <f aca="false">J280-R280</f>
        <v>-0.14051724137931</v>
      </c>
      <c r="T280" s="26" t="n">
        <f aca="false">MIN(122.1,(T279+S280))</f>
        <v>23.7043825722275</v>
      </c>
      <c r="U280" s="1" t="n">
        <v>17</v>
      </c>
      <c r="V280" s="1" t="n">
        <v>1439.6</v>
      </c>
      <c r="W280" s="1" t="n">
        <f aca="false">V280/D280</f>
        <v>107.432835820896</v>
      </c>
      <c r="X280" s="1" t="n">
        <f aca="false">X279+V280</f>
        <v>247318.8</v>
      </c>
      <c r="Y280" s="1" t="n">
        <f aca="false">Y279+V280</f>
        <v>12021</v>
      </c>
      <c r="Z280" s="1" t="n">
        <v>0</v>
      </c>
      <c r="AA280" s="1" t="n">
        <v>15.6727850009313</v>
      </c>
    </row>
    <row r="281" customFormat="false" ht="15" hidden="false" customHeight="false" outlineLevel="0" collapsed="false">
      <c r="A281" s="102"/>
      <c r="B281" s="51"/>
      <c r="C281" s="16" t="n">
        <v>41795</v>
      </c>
      <c r="D281" s="1" t="n">
        <v>14.1</v>
      </c>
      <c r="E281" s="1" t="n">
        <v>7.9</v>
      </c>
      <c r="F281" s="1" t="n">
        <v>19.3</v>
      </c>
      <c r="G281" s="1" t="n">
        <f aca="false">G280+D281</f>
        <v>2707.1</v>
      </c>
      <c r="H281" s="1" t="n">
        <f aca="false">H280+D281</f>
        <v>119.6</v>
      </c>
      <c r="I281" s="103" t="s">
        <v>37</v>
      </c>
      <c r="J281" s="1" t="n">
        <v>0</v>
      </c>
      <c r="K281" s="1" t="n">
        <f aca="false">K280+J281</f>
        <v>609</v>
      </c>
      <c r="L281" s="1" t="n">
        <v>3.7</v>
      </c>
      <c r="M281" s="1" t="n">
        <f aca="false">M280+L281</f>
        <v>431.5</v>
      </c>
      <c r="N281" s="19" t="n">
        <f aca="false">J281-L281</f>
        <v>-3.7</v>
      </c>
      <c r="O281" s="25" t="n">
        <f aca="false">O280+N281</f>
        <v>34</v>
      </c>
      <c r="P281" s="21" t="n">
        <v>276</v>
      </c>
      <c r="Q281" s="53" t="n">
        <f aca="false">1.15+((P281-245)/58)*(0.35-1.15)</f>
        <v>0.722413793103448</v>
      </c>
      <c r="R281" s="23" t="n">
        <f aca="false">Q281*L281</f>
        <v>2.67293103448276</v>
      </c>
      <c r="S281" s="23" t="n">
        <f aca="false">J281-R281</f>
        <v>-2.67293103448276</v>
      </c>
      <c r="T281" s="26" t="n">
        <f aca="false">MIN(122.1,(T280+S281))</f>
        <v>21.0314515377447</v>
      </c>
      <c r="U281" s="103" t="s">
        <v>38</v>
      </c>
      <c r="V281" s="1" t="n">
        <v>2435</v>
      </c>
      <c r="W281" s="1" t="n">
        <f aca="false">V281/D281</f>
        <v>172.695035460993</v>
      </c>
      <c r="X281" s="1" t="n">
        <f aca="false">X280+V281</f>
        <v>249753.8</v>
      </c>
      <c r="Y281" s="1" t="n">
        <f aca="false">Y280+V281</f>
        <v>14456</v>
      </c>
      <c r="AA281" s="1" t="n">
        <v>15.69526736772</v>
      </c>
    </row>
    <row r="282" customFormat="false" ht="15" hidden="false" customHeight="false" outlineLevel="0" collapsed="false">
      <c r="A282" s="102"/>
      <c r="B282" s="51"/>
      <c r="C282" s="16" t="n">
        <v>41796</v>
      </c>
      <c r="D282" s="1" t="n">
        <v>20.9</v>
      </c>
      <c r="E282" s="1" t="n">
        <v>10.9</v>
      </c>
      <c r="F282" s="17" t="n">
        <v>27.5</v>
      </c>
      <c r="G282" s="1" t="n">
        <f aca="false">G281+D282</f>
        <v>2728</v>
      </c>
      <c r="H282" s="1" t="n">
        <f aca="false">H281+D282</f>
        <v>140.5</v>
      </c>
      <c r="I282" s="1" t="n">
        <v>0</v>
      </c>
      <c r="J282" s="1" t="n">
        <v>0</v>
      </c>
      <c r="K282" s="1" t="n">
        <f aca="false">K281+J282</f>
        <v>609</v>
      </c>
      <c r="L282" s="1" t="n">
        <v>5.2</v>
      </c>
      <c r="M282" s="1" t="n">
        <f aca="false">M281+L282</f>
        <v>436.7</v>
      </c>
      <c r="N282" s="19" t="n">
        <f aca="false">J282-L282</f>
        <v>-5.2</v>
      </c>
      <c r="O282" s="25" t="n">
        <f aca="false">O281+N282</f>
        <v>28.8</v>
      </c>
      <c r="P282" s="21" t="n">
        <v>277</v>
      </c>
      <c r="Q282" s="53" t="n">
        <f aca="false">1.15+((P282-245)/58)*(0.35-1.15)</f>
        <v>0.708620689655172</v>
      </c>
      <c r="R282" s="23" t="n">
        <f aca="false">Q282*L282</f>
        <v>3.6848275862069</v>
      </c>
      <c r="S282" s="23" t="n">
        <f aca="false">J282-R282</f>
        <v>-3.6848275862069</v>
      </c>
      <c r="T282" s="26" t="n">
        <f aca="false">MIN(122.1,(T281+S282))</f>
        <v>17.3466239515378</v>
      </c>
      <c r="U282" s="29" t="n">
        <v>0</v>
      </c>
      <c r="V282" s="1" t="n">
        <v>2802</v>
      </c>
      <c r="W282" s="1" t="n">
        <f aca="false">V282/D282</f>
        <v>134.066985645933</v>
      </c>
      <c r="X282" s="1" t="n">
        <f aca="false">X281+V282</f>
        <v>252555.8</v>
      </c>
      <c r="Y282" s="1" t="n">
        <f aca="false">Y281+V282</f>
        <v>17258</v>
      </c>
      <c r="AA282" s="1" t="n">
        <v>15.716576295085</v>
      </c>
    </row>
    <row r="283" customFormat="false" ht="15" hidden="false" customHeight="false" outlineLevel="0" collapsed="false">
      <c r="A283" s="102"/>
      <c r="B283" s="51"/>
      <c r="C283" s="16" t="n">
        <v>41797</v>
      </c>
      <c r="D283" s="1" t="n">
        <v>22.6</v>
      </c>
      <c r="E283" s="1" t="n">
        <v>18.7</v>
      </c>
      <c r="F283" s="17" t="n">
        <v>26.7</v>
      </c>
      <c r="G283" s="1" t="n">
        <f aca="false">G282+D283</f>
        <v>2750.6</v>
      </c>
      <c r="H283" s="1" t="n">
        <f aca="false">H282+D283</f>
        <v>163.1</v>
      </c>
      <c r="I283" s="103" t="s">
        <v>39</v>
      </c>
      <c r="J283" s="1" t="n">
        <v>6.4</v>
      </c>
      <c r="K283" s="1" t="n">
        <f aca="false">K282+J283</f>
        <v>615.4</v>
      </c>
      <c r="L283" s="1" t="n">
        <v>3.4</v>
      </c>
      <c r="M283" s="1" t="n">
        <f aca="false">M282+L283</f>
        <v>440.1</v>
      </c>
      <c r="N283" s="1" t="n">
        <f aca="false">J283-L283</f>
        <v>3</v>
      </c>
      <c r="O283" s="25" t="n">
        <f aca="false">O282+N283</f>
        <v>31.8</v>
      </c>
      <c r="P283" s="21" t="n">
        <v>278</v>
      </c>
      <c r="Q283" s="53" t="n">
        <f aca="false">1.15+((P283-245)/58)*(0.35-1.15)</f>
        <v>0.694827586206896</v>
      </c>
      <c r="R283" s="23" t="n">
        <f aca="false">Q283*L283</f>
        <v>2.36241379310345</v>
      </c>
      <c r="S283" s="23" t="n">
        <f aca="false">J283-R283</f>
        <v>4.03758620689655</v>
      </c>
      <c r="T283" s="26" t="n">
        <f aca="false">MIN(122.1,(T282+S283))</f>
        <v>21.3842101584344</v>
      </c>
      <c r="U283" s="103" t="s">
        <v>40</v>
      </c>
      <c r="V283" s="1" t="n">
        <v>1476.2</v>
      </c>
      <c r="W283" s="1" t="n">
        <f aca="false">V283/D283</f>
        <v>65.3185840707965</v>
      </c>
      <c r="X283" s="1" t="n">
        <f aca="false">X282+V283</f>
        <v>254032</v>
      </c>
      <c r="Y283" s="1" t="n">
        <f aca="false">Y282+V283</f>
        <v>18734.2</v>
      </c>
      <c r="AA283" s="1" t="n">
        <v>15.7366930837008</v>
      </c>
    </row>
    <row r="284" customFormat="false" ht="15" hidden="false" customHeight="false" outlineLevel="0" collapsed="false">
      <c r="A284" s="102"/>
      <c r="B284" s="51"/>
      <c r="C284" s="16" t="n">
        <v>41798</v>
      </c>
      <c r="D284" s="1" t="n">
        <v>23.4</v>
      </c>
      <c r="E284" s="1" t="n">
        <v>18.2</v>
      </c>
      <c r="F284" s="17" t="n">
        <v>28.7</v>
      </c>
      <c r="G284" s="1" t="n">
        <f aca="false">G283+D284</f>
        <v>2774</v>
      </c>
      <c r="H284" s="1" t="n">
        <f aca="false">H283+D284</f>
        <v>186.5</v>
      </c>
      <c r="I284" s="1" t="n">
        <v>7</v>
      </c>
      <c r="J284" s="1" t="n">
        <v>0</v>
      </c>
      <c r="K284" s="1" t="n">
        <f aca="false">K283+J284</f>
        <v>615.4</v>
      </c>
      <c r="L284" s="1" t="n">
        <v>4</v>
      </c>
      <c r="M284" s="1" t="n">
        <f aca="false">M283+L284</f>
        <v>444.1</v>
      </c>
      <c r="N284" s="19" t="n">
        <f aca="false">J284-L284</f>
        <v>-4</v>
      </c>
      <c r="O284" s="25" t="n">
        <f aca="false">O283+N284</f>
        <v>27.8</v>
      </c>
      <c r="P284" s="21" t="n">
        <v>279</v>
      </c>
      <c r="Q284" s="53" t="n">
        <f aca="false">1.15+((P284-245)/58)*(0.35-1.15)</f>
        <v>0.681034482758621</v>
      </c>
      <c r="R284" s="23" t="n">
        <f aca="false">Q284*L284</f>
        <v>2.72413793103448</v>
      </c>
      <c r="S284" s="23" t="n">
        <f aca="false">J284-R284</f>
        <v>-2.72413793103448</v>
      </c>
      <c r="T284" s="26" t="n">
        <f aca="false">MIN(122.1,(T283+S284))</f>
        <v>18.6600722273999</v>
      </c>
      <c r="U284" s="29" t="n">
        <f aca="false">MAX(T274:T296)</f>
        <v>29.2630032618827</v>
      </c>
      <c r="V284" s="1" t="n">
        <v>1746.8</v>
      </c>
      <c r="W284" s="1" t="n">
        <f aca="false">V284/D284</f>
        <v>74.6495726495727</v>
      </c>
      <c r="X284" s="1" t="n">
        <f aca="false">X283+V284</f>
        <v>255778.8</v>
      </c>
      <c r="Y284" s="1" t="n">
        <f aca="false">Y283+V284</f>
        <v>20481</v>
      </c>
      <c r="AA284" s="1" t="n">
        <v>15.7555998585662</v>
      </c>
    </row>
    <row r="285" customFormat="false" ht="15" hidden="false" customHeight="false" outlineLevel="0" collapsed="false">
      <c r="A285" s="102"/>
      <c r="B285" s="51"/>
      <c r="C285" s="16" t="n">
        <v>41799</v>
      </c>
      <c r="D285" s="1" t="n">
        <v>23.6</v>
      </c>
      <c r="E285" s="1" t="n">
        <v>19.8</v>
      </c>
      <c r="F285" s="17" t="n">
        <v>27.5</v>
      </c>
      <c r="G285" s="1" t="n">
        <f aca="false">G284+D285</f>
        <v>2797.6</v>
      </c>
      <c r="H285" s="1" t="n">
        <f aca="false">H284+D285</f>
        <v>210.1</v>
      </c>
      <c r="I285" s="103" t="s">
        <v>41</v>
      </c>
      <c r="J285" s="1" t="n">
        <v>2.6</v>
      </c>
      <c r="K285" s="1" t="n">
        <f aca="false">K284+J285</f>
        <v>618</v>
      </c>
      <c r="L285" s="1" t="n">
        <v>3.3</v>
      </c>
      <c r="M285" s="1" t="n">
        <f aca="false">M284+L285</f>
        <v>447.4</v>
      </c>
      <c r="N285" s="19" t="n">
        <f aca="false">J285-L285</f>
        <v>-0.7</v>
      </c>
      <c r="O285" s="25" t="n">
        <f aca="false">O284+N285</f>
        <v>27.1</v>
      </c>
      <c r="P285" s="21" t="n">
        <v>280</v>
      </c>
      <c r="Q285" s="53" t="n">
        <f aca="false">1.15+((P285-245)/58)*(0.35-1.15)</f>
        <v>0.667241379310345</v>
      </c>
      <c r="R285" s="23" t="n">
        <f aca="false">Q285*L285</f>
        <v>2.20189655172414</v>
      </c>
      <c r="S285" s="23" t="n">
        <f aca="false">J285-R285</f>
        <v>0.398103448275863</v>
      </c>
      <c r="T285" s="26" t="n">
        <f aca="false">MIN(122.1,(T284+S285))</f>
        <v>19.0581756756758</v>
      </c>
      <c r="U285" s="103" t="s">
        <v>42</v>
      </c>
      <c r="V285" s="1" t="n">
        <v>1714.2</v>
      </c>
      <c r="W285" s="1" t="n">
        <f aca="false">V285/D285</f>
        <v>72.635593220339</v>
      </c>
      <c r="X285" s="1" t="n">
        <f aca="false">X284+V285</f>
        <v>257493</v>
      </c>
      <c r="Y285" s="1" t="n">
        <f aca="false">Y284+V285</f>
        <v>22195.2</v>
      </c>
      <c r="AA285" s="1" t="n">
        <v>15.7732796264812</v>
      </c>
    </row>
    <row r="286" customFormat="false" ht="15" hidden="false" customHeight="false" outlineLevel="0" collapsed="false">
      <c r="A286" s="102"/>
      <c r="B286" s="51"/>
      <c r="C286" s="16" t="n">
        <v>41800</v>
      </c>
      <c r="D286" s="1" t="n">
        <v>18.8</v>
      </c>
      <c r="E286" s="1" t="n">
        <v>17.7</v>
      </c>
      <c r="F286" s="1" t="n">
        <v>21.5</v>
      </c>
      <c r="G286" s="1" t="n">
        <f aca="false">G285+D286</f>
        <v>2816.4</v>
      </c>
      <c r="H286" s="1" t="n">
        <f aca="false">H285+D286</f>
        <v>228.9</v>
      </c>
      <c r="I286" s="1" t="n">
        <v>0</v>
      </c>
      <c r="J286" s="1" t="n">
        <v>0.2</v>
      </c>
      <c r="K286" s="1" t="n">
        <f aca="false">K285+J286</f>
        <v>618.2</v>
      </c>
      <c r="L286" s="1" t="n">
        <v>4.1</v>
      </c>
      <c r="M286" s="1" t="n">
        <f aca="false">M285+L286</f>
        <v>451.5</v>
      </c>
      <c r="N286" s="19" t="n">
        <f aca="false">J286-L286</f>
        <v>-3.9</v>
      </c>
      <c r="O286" s="25" t="n">
        <f aca="false">O285+N286</f>
        <v>23.2</v>
      </c>
      <c r="P286" s="21" t="n">
        <v>281</v>
      </c>
      <c r="Q286" s="53" t="n">
        <f aca="false">1.15+((P286-245)/58)*(0.35-1.15)</f>
        <v>0.653448275862069</v>
      </c>
      <c r="R286" s="23" t="n">
        <f aca="false">Q286*L286</f>
        <v>2.67913793103448</v>
      </c>
      <c r="S286" s="23" t="n">
        <f aca="false">J286-R286</f>
        <v>-2.47913793103448</v>
      </c>
      <c r="T286" s="26" t="n">
        <f aca="false">MIN(122.1,(T285+S286))</f>
        <v>16.5790377446413</v>
      </c>
      <c r="U286" s="28" t="n">
        <f aca="false">AVERAGE(T274:T296)</f>
        <v>14.0633067587828</v>
      </c>
      <c r="V286" s="1" t="n">
        <v>2009.8</v>
      </c>
      <c r="W286" s="1" t="n">
        <f aca="false">V286/D286</f>
        <v>106.904255319149</v>
      </c>
      <c r="X286" s="1" t="n">
        <f aca="false">X285+V286</f>
        <v>259502.8</v>
      </c>
      <c r="Y286" s="1" t="n">
        <f aca="false">Y285+V286</f>
        <v>24205</v>
      </c>
      <c r="AA286" s="1" t="n">
        <v>15.7897163318096</v>
      </c>
    </row>
    <row r="287" customFormat="false" ht="15" hidden="false" customHeight="false" outlineLevel="0" collapsed="false">
      <c r="A287" s="102"/>
      <c r="B287" s="51"/>
      <c r="C287" s="16" t="n">
        <v>41801</v>
      </c>
      <c r="D287" s="1" t="n">
        <v>20.9</v>
      </c>
      <c r="E287" s="1" t="n">
        <v>14.9</v>
      </c>
      <c r="F287" s="17" t="n">
        <v>25</v>
      </c>
      <c r="G287" s="1" t="n">
        <f aca="false">G286+D287</f>
        <v>2837.3</v>
      </c>
      <c r="H287" s="1" t="n">
        <f aca="false">H286+D287</f>
        <v>249.8</v>
      </c>
      <c r="I287" s="103" t="s">
        <v>43</v>
      </c>
      <c r="J287" s="1" t="n">
        <v>0</v>
      </c>
      <c r="K287" s="1" t="n">
        <f aca="false">K286+J287</f>
        <v>618.2</v>
      </c>
      <c r="L287" s="1" t="n">
        <v>4</v>
      </c>
      <c r="M287" s="1" t="n">
        <f aca="false">M286+L287</f>
        <v>455.5</v>
      </c>
      <c r="N287" s="19" t="n">
        <f aca="false">J287-L287</f>
        <v>-4</v>
      </c>
      <c r="O287" s="25" t="n">
        <f aca="false">O286+N287</f>
        <v>19.2</v>
      </c>
      <c r="P287" s="21" t="n">
        <v>282</v>
      </c>
      <c r="Q287" s="53" t="n">
        <f aca="false">1.15+((P287-245)/58)*(0.35-1.15)</f>
        <v>0.639655172413793</v>
      </c>
      <c r="R287" s="23" t="n">
        <f aca="false">Q287*L287</f>
        <v>2.55862068965517</v>
      </c>
      <c r="S287" s="23" t="n">
        <f aca="false">J287-R287</f>
        <v>-2.55862068965517</v>
      </c>
      <c r="T287" s="26" t="n">
        <f aca="false">MIN(122.1,(T286+S287))</f>
        <v>14.0204170549861</v>
      </c>
      <c r="V287" s="1" t="n">
        <v>1955.2</v>
      </c>
      <c r="W287" s="1" t="n">
        <f aca="false">V287/D287</f>
        <v>93.5502392344498</v>
      </c>
      <c r="X287" s="1" t="n">
        <f aca="false">X286+V287</f>
        <v>261458</v>
      </c>
      <c r="Y287" s="1" t="n">
        <f aca="false">Y286+V287</f>
        <v>26160.2</v>
      </c>
      <c r="AA287" s="1" t="n">
        <v>15.804894910165</v>
      </c>
    </row>
    <row r="288" customFormat="false" ht="15" hidden="false" customHeight="false" outlineLevel="0" collapsed="false">
      <c r="A288" s="102"/>
      <c r="B288" s="51"/>
      <c r="C288" s="16" t="n">
        <v>41802</v>
      </c>
      <c r="D288" s="1" t="n">
        <v>21.6</v>
      </c>
      <c r="E288" s="1" t="n">
        <v>16.9</v>
      </c>
      <c r="F288" s="17" t="n">
        <v>26.3</v>
      </c>
      <c r="G288" s="1" t="n">
        <f aca="false">G287+D288</f>
        <v>2858.9</v>
      </c>
      <c r="H288" s="1" t="n">
        <f aca="false">H287+D288</f>
        <v>271.4</v>
      </c>
      <c r="I288" s="1" t="n">
        <v>414.7</v>
      </c>
      <c r="J288" s="1" t="n">
        <v>0</v>
      </c>
      <c r="K288" s="1" t="n">
        <f aca="false">K287+J288</f>
        <v>618.2</v>
      </c>
      <c r="L288" s="1" t="n">
        <v>5.7</v>
      </c>
      <c r="M288" s="1" t="n">
        <f aca="false">M287+L288</f>
        <v>461.2</v>
      </c>
      <c r="N288" s="19" t="n">
        <f aca="false">J288-L288</f>
        <v>-5.7</v>
      </c>
      <c r="O288" s="25" t="n">
        <f aca="false">O287+N288</f>
        <v>13.5</v>
      </c>
      <c r="P288" s="21" t="n">
        <v>283</v>
      </c>
      <c r="Q288" s="53" t="n">
        <f aca="false">1.15+((P288-245)/58)*(0.35-1.15)</f>
        <v>0.625862068965517</v>
      </c>
      <c r="R288" s="23" t="n">
        <f aca="false">Q288*L288</f>
        <v>3.56741379310345</v>
      </c>
      <c r="S288" s="23" t="n">
        <f aca="false">J288-R288</f>
        <v>-3.56741379310345</v>
      </c>
      <c r="T288" s="26" t="n">
        <f aca="false">MIN(122.1,(T287+S288))</f>
        <v>10.4530032618827</v>
      </c>
      <c r="U288" s="104" t="n">
        <f aca="false">(U286*100)/122.1</f>
        <v>11.5178597533029</v>
      </c>
      <c r="V288" s="1" t="n">
        <v>2701.8</v>
      </c>
      <c r="W288" s="1" t="n">
        <f aca="false">V288/D288</f>
        <v>125.083333333333</v>
      </c>
      <c r="X288" s="1" t="n">
        <f aca="false">X287+V288</f>
        <v>264159.8</v>
      </c>
      <c r="Y288" s="1" t="n">
        <f aca="false">Y287+V288</f>
        <v>28862</v>
      </c>
      <c r="AA288" s="1" t="n">
        <v>15.8188013396678</v>
      </c>
    </row>
    <row r="289" customFormat="false" ht="15" hidden="false" customHeight="false" outlineLevel="0" collapsed="false">
      <c r="A289" s="102"/>
      <c r="B289" s="51"/>
      <c r="C289" s="16" t="n">
        <v>41803</v>
      </c>
      <c r="D289" s="1" t="n">
        <v>20.8</v>
      </c>
      <c r="E289" s="1" t="n">
        <v>16.4</v>
      </c>
      <c r="F289" s="17" t="n">
        <v>25.8</v>
      </c>
      <c r="G289" s="1" t="n">
        <f aca="false">G288+D289</f>
        <v>2879.7</v>
      </c>
      <c r="H289" s="1" t="n">
        <f aca="false">H288+D289</f>
        <v>292.2</v>
      </c>
      <c r="J289" s="1" t="n">
        <v>0</v>
      </c>
      <c r="K289" s="1" t="n">
        <f aca="false">K288+J289</f>
        <v>618.2</v>
      </c>
      <c r="L289" s="1" t="n">
        <v>6.9</v>
      </c>
      <c r="M289" s="1" t="n">
        <f aca="false">M288+L289</f>
        <v>468.1</v>
      </c>
      <c r="N289" s="19" t="n">
        <f aca="false">J289-L289</f>
        <v>-6.9</v>
      </c>
      <c r="O289" s="25" t="n">
        <f aca="false">O288+N289</f>
        <v>6.60000000000005</v>
      </c>
      <c r="P289" s="21" t="n">
        <v>284</v>
      </c>
      <c r="Q289" s="53" t="n">
        <f aca="false">1.15+((P289-245)/58)*(0.35-1.15)</f>
        <v>0.612068965517241</v>
      </c>
      <c r="R289" s="23" t="n">
        <f aca="false">Q289*L289</f>
        <v>4.22327586206897</v>
      </c>
      <c r="S289" s="23" t="n">
        <f aca="false">J289-R289</f>
        <v>-4.22327586206897</v>
      </c>
      <c r="T289" s="26" t="n">
        <f aca="false">MIN(122.1,(T288+S289))</f>
        <v>6.22972739981369</v>
      </c>
      <c r="V289" s="1" t="n">
        <v>3312.9</v>
      </c>
      <c r="W289" s="1" t="n">
        <f aca="false">V289/D289</f>
        <v>159.274038461538</v>
      </c>
      <c r="X289" s="1" t="n">
        <f aca="false">X288+V289</f>
        <v>267472.7</v>
      </c>
      <c r="Y289" s="1" t="n">
        <f aca="false">Y288+V289</f>
        <v>32174.9</v>
      </c>
      <c r="AA289" s="1" t="n">
        <v>15.8314226894239</v>
      </c>
    </row>
    <row r="290" customFormat="false" ht="15" hidden="false" customHeight="false" outlineLevel="0" collapsed="false">
      <c r="A290" s="102"/>
      <c r="B290" s="51"/>
      <c r="C290" s="16" t="n">
        <v>41804</v>
      </c>
      <c r="D290" s="1" t="n">
        <v>18.4</v>
      </c>
      <c r="E290" s="1" t="n">
        <v>15</v>
      </c>
      <c r="F290" s="1" t="n">
        <v>23.3</v>
      </c>
      <c r="G290" s="1" t="n">
        <f aca="false">G289+D290</f>
        <v>2898.1</v>
      </c>
      <c r="H290" s="1" t="n">
        <f aca="false">H289+D290</f>
        <v>310.6</v>
      </c>
      <c r="J290" s="1" t="n">
        <v>0</v>
      </c>
      <c r="K290" s="1" t="n">
        <f aca="false">K289+J290</f>
        <v>618.2</v>
      </c>
      <c r="L290" s="1" t="n">
        <v>5.5</v>
      </c>
      <c r="M290" s="1" t="n">
        <f aca="false">M289+L290</f>
        <v>473.6</v>
      </c>
      <c r="N290" s="19" t="n">
        <f aca="false">J290-L290</f>
        <v>-5.5</v>
      </c>
      <c r="O290" s="25" t="n">
        <f aca="false">O289+N290</f>
        <v>1.10000000000005</v>
      </c>
      <c r="P290" s="21" t="n">
        <v>285</v>
      </c>
      <c r="Q290" s="53" t="n">
        <f aca="false">1.15+((P290-245)/58)*(0.35-1.15)</f>
        <v>0.598275862068965</v>
      </c>
      <c r="R290" s="23" t="n">
        <f aca="false">Q290*L290</f>
        <v>3.29051724137931</v>
      </c>
      <c r="S290" s="23" t="n">
        <f aca="false">J290-R290</f>
        <v>-3.29051724137931</v>
      </c>
      <c r="T290" s="26" t="n">
        <f aca="false">MIN(122.1,(T289+S290))</f>
        <v>2.93921015843438</v>
      </c>
      <c r="V290" s="1" t="n">
        <v>2518.6</v>
      </c>
      <c r="W290" s="1" t="n">
        <f aca="false">V290/D290</f>
        <v>136.880434782609</v>
      </c>
      <c r="X290" s="1" t="n">
        <f aca="false">X289+V290</f>
        <v>269991.3</v>
      </c>
      <c r="Y290" s="1" t="n">
        <f aca="false">Y289+V290</f>
        <v>34693.5</v>
      </c>
      <c r="AA290" s="1" t="n">
        <v>15.8427471648869</v>
      </c>
    </row>
    <row r="291" customFormat="false" ht="15" hidden="false" customHeight="false" outlineLevel="0" collapsed="false">
      <c r="A291" s="102"/>
      <c r="B291" s="51"/>
      <c r="C291" s="16" t="n">
        <v>41805</v>
      </c>
      <c r="D291" s="1" t="n">
        <v>16.7</v>
      </c>
      <c r="E291" s="1" t="n">
        <v>13.1</v>
      </c>
      <c r="F291" s="1" t="n">
        <v>20.6</v>
      </c>
      <c r="G291" s="1" t="n">
        <f aca="false">G290+D291</f>
        <v>2914.8</v>
      </c>
      <c r="H291" s="1" t="n">
        <f aca="false">H290+D291</f>
        <v>327.3</v>
      </c>
      <c r="J291" s="1" t="n">
        <v>0</v>
      </c>
      <c r="K291" s="1" t="n">
        <f aca="false">K290+J291</f>
        <v>618.2</v>
      </c>
      <c r="L291" s="1" t="n">
        <v>5.5</v>
      </c>
      <c r="M291" s="1" t="n">
        <f aca="false">M290+L291</f>
        <v>479.1</v>
      </c>
      <c r="N291" s="19" t="n">
        <f aca="false">J291-L291</f>
        <v>-5.5</v>
      </c>
      <c r="O291" s="25" t="n">
        <v>0</v>
      </c>
      <c r="P291" s="21" t="n">
        <v>286</v>
      </c>
      <c r="Q291" s="53" t="n">
        <f aca="false">1.15+((P291-245)/58)*(0.35-1.15)</f>
        <v>0.58448275862069</v>
      </c>
      <c r="R291" s="23" t="n">
        <f aca="false">Q291*L291</f>
        <v>3.21465517241379</v>
      </c>
      <c r="S291" s="23" t="n">
        <f aca="false">J291-R291</f>
        <v>-3.21465517241379</v>
      </c>
      <c r="T291" s="26" t="n">
        <v>0</v>
      </c>
      <c r="V291" s="1" t="n">
        <v>2759.8</v>
      </c>
      <c r="W291" s="1" t="n">
        <f aca="false">V291/D291</f>
        <v>165.25748502994</v>
      </c>
      <c r="X291" s="1" t="n">
        <f aca="false">X290+V291</f>
        <v>272751.1</v>
      </c>
      <c r="Y291" s="1" t="n">
        <f aca="false">Y290+V291</f>
        <v>37453.3</v>
      </c>
      <c r="AA291" s="1" t="n">
        <v>15.8527641497821</v>
      </c>
    </row>
    <row r="292" customFormat="false" ht="15" hidden="false" customHeight="false" outlineLevel="0" collapsed="false">
      <c r="A292" s="102"/>
      <c r="B292" s="51"/>
      <c r="C292" s="16" t="n">
        <v>41806</v>
      </c>
      <c r="D292" s="1" t="n">
        <v>17.1</v>
      </c>
      <c r="E292" s="1" t="n">
        <v>12.9</v>
      </c>
      <c r="F292" s="1" t="n">
        <v>22.5</v>
      </c>
      <c r="G292" s="1" t="n">
        <f aca="false">G291+D292</f>
        <v>2931.9</v>
      </c>
      <c r="H292" s="1" t="n">
        <f aca="false">H291+D292</f>
        <v>344.4</v>
      </c>
      <c r="J292" s="1" t="n">
        <v>0</v>
      </c>
      <c r="K292" s="1" t="n">
        <f aca="false">K291+J292</f>
        <v>618.2</v>
      </c>
      <c r="L292" s="1" t="n">
        <v>6</v>
      </c>
      <c r="M292" s="1" t="n">
        <f aca="false">M291+L292</f>
        <v>485.1</v>
      </c>
      <c r="N292" s="19" t="n">
        <f aca="false">J292-L292</f>
        <v>-6</v>
      </c>
      <c r="O292" s="25" t="n">
        <v>0</v>
      </c>
      <c r="P292" s="21" t="n">
        <v>287</v>
      </c>
      <c r="Q292" s="53" t="n">
        <f aca="false">1.15+((P292-245)/58)*(0.35-1.15)</f>
        <v>0.570689655172414</v>
      </c>
      <c r="R292" s="23" t="n">
        <f aca="false">Q292*L292</f>
        <v>3.42413793103448</v>
      </c>
      <c r="S292" s="23" t="n">
        <f aca="false">J292-R292</f>
        <v>-3.42413793103448</v>
      </c>
      <c r="T292" s="26" t="n">
        <v>0</v>
      </c>
      <c r="V292" s="1" t="n">
        <v>2766.8</v>
      </c>
      <c r="W292" s="1" t="n">
        <f aca="false">V292/D292</f>
        <v>161.801169590643</v>
      </c>
      <c r="X292" s="1" t="n">
        <f aca="false">X291+V292</f>
        <v>275517.9</v>
      </c>
      <c r="Y292" s="1" t="n">
        <f aca="false">Y291+V292</f>
        <v>40220.1</v>
      </c>
      <c r="AA292" s="1" t="n">
        <v>15.8614642442883</v>
      </c>
    </row>
    <row r="293" customFormat="false" ht="15" hidden="false" customHeight="false" outlineLevel="0" collapsed="false">
      <c r="A293" s="102"/>
      <c r="B293" s="51"/>
      <c r="C293" s="16" t="n">
        <v>41807</v>
      </c>
      <c r="D293" s="1" t="n">
        <v>15.9</v>
      </c>
      <c r="E293" s="1" t="n">
        <v>12.2</v>
      </c>
      <c r="F293" s="1" t="n">
        <v>19</v>
      </c>
      <c r="G293" s="1" t="n">
        <f aca="false">G292+D293</f>
        <v>2947.8</v>
      </c>
      <c r="H293" s="1" t="n">
        <f aca="false">H292+D293</f>
        <v>360.3</v>
      </c>
      <c r="J293" s="1" t="n">
        <v>0</v>
      </c>
      <c r="K293" s="1" t="n">
        <f aca="false">K292+J293</f>
        <v>618.2</v>
      </c>
      <c r="L293" s="1" t="n">
        <v>3.4</v>
      </c>
      <c r="M293" s="1" t="n">
        <f aca="false">M292+L293</f>
        <v>488.5</v>
      </c>
      <c r="N293" s="19" t="n">
        <f aca="false">J293-L293</f>
        <v>-3.4</v>
      </c>
      <c r="O293" s="25" t="n">
        <v>0</v>
      </c>
      <c r="P293" s="21" t="n">
        <v>288</v>
      </c>
      <c r="Q293" s="53" t="n">
        <f aca="false">1.15+((P293-245)/58)*(0.35-1.15)</f>
        <v>0.556896551724138</v>
      </c>
      <c r="R293" s="23" t="n">
        <f aca="false">Q293*L293</f>
        <v>1.89344827586207</v>
      </c>
      <c r="S293" s="23" t="n">
        <f aca="false">J293-R293</f>
        <v>-1.89344827586207</v>
      </c>
      <c r="T293" s="26" t="n">
        <v>0</v>
      </c>
      <c r="V293" s="1" t="n">
        <v>1542.7</v>
      </c>
      <c r="W293" s="1" t="n">
        <f aca="false">V293/D293</f>
        <v>97.0251572327044</v>
      </c>
      <c r="X293" s="1" t="n">
        <f aca="false">X292+V293</f>
        <v>277060.6</v>
      </c>
      <c r="Y293" s="1" t="n">
        <f aca="false">Y292+V293</f>
        <v>41762.8</v>
      </c>
      <c r="AA293" s="1" t="n">
        <v>15.868839299195</v>
      </c>
    </row>
    <row r="294" customFormat="false" ht="15" hidden="false" customHeight="false" outlineLevel="0" collapsed="false">
      <c r="A294" s="102"/>
      <c r="B294" s="51"/>
      <c r="C294" s="16" t="n">
        <v>41808</v>
      </c>
      <c r="D294" s="1" t="n">
        <v>17.6</v>
      </c>
      <c r="E294" s="1" t="n">
        <v>12.6</v>
      </c>
      <c r="F294" s="1" t="n">
        <v>22.4</v>
      </c>
      <c r="G294" s="1" t="n">
        <f aca="false">G293+D294</f>
        <v>2965.4</v>
      </c>
      <c r="H294" s="1" t="n">
        <f aca="false">H293+D294</f>
        <v>377.9</v>
      </c>
      <c r="J294" s="1" t="n">
        <v>0</v>
      </c>
      <c r="K294" s="1" t="n">
        <f aca="false">K293+J294</f>
        <v>618.2</v>
      </c>
      <c r="L294" s="1" t="n">
        <v>5</v>
      </c>
      <c r="M294" s="1" t="n">
        <f aca="false">M293+L294</f>
        <v>493.5</v>
      </c>
      <c r="N294" s="19" t="n">
        <f aca="false">J294-L294</f>
        <v>-5</v>
      </c>
      <c r="O294" s="25" t="n">
        <v>0</v>
      </c>
      <c r="P294" s="21" t="n">
        <v>289</v>
      </c>
      <c r="Q294" s="53" t="n">
        <f aca="false">1.15+((P294-245)/58)*(0.35-1.15)</f>
        <v>0.543103448275862</v>
      </c>
      <c r="R294" s="23" t="n">
        <f aca="false">Q294*L294</f>
        <v>2.71551724137931</v>
      </c>
      <c r="S294" s="23" t="n">
        <f aca="false">J294-R294</f>
        <v>-2.71551724137931</v>
      </c>
      <c r="T294" s="26" t="n">
        <v>0</v>
      </c>
      <c r="V294" s="1" t="n">
        <v>2436.4</v>
      </c>
      <c r="W294" s="1" t="n">
        <f aca="false">V294/D294</f>
        <v>138.431818181818</v>
      </c>
      <c r="X294" s="1" t="n">
        <f aca="false">X293+V294</f>
        <v>279497</v>
      </c>
      <c r="Y294" s="1" t="n">
        <f aca="false">Y293+V294</f>
        <v>44199.2</v>
      </c>
      <c r="AA294" s="1" t="n">
        <v>15.8748824457803</v>
      </c>
    </row>
    <row r="295" s="79" customFormat="true" ht="15" hidden="false" customHeight="false" outlineLevel="0" collapsed="false">
      <c r="A295" s="102"/>
      <c r="B295" s="88"/>
      <c r="C295" s="89" t="n">
        <v>41809</v>
      </c>
      <c r="D295" s="79" t="n">
        <v>18.2</v>
      </c>
      <c r="E295" s="79" t="n">
        <v>13.2</v>
      </c>
      <c r="F295" s="79" t="n">
        <v>23.5</v>
      </c>
      <c r="G295" s="79" t="n">
        <f aca="false">G294+D295</f>
        <v>2983.6</v>
      </c>
      <c r="H295" s="79" t="n">
        <f aca="false">H294+D295</f>
        <v>396.1</v>
      </c>
      <c r="J295" s="79" t="n">
        <v>0</v>
      </c>
      <c r="K295" s="79" t="n">
        <f aca="false">K294+J295</f>
        <v>618.2</v>
      </c>
      <c r="L295" s="79" t="n">
        <v>5.3</v>
      </c>
      <c r="M295" s="79" t="n">
        <f aca="false">M294+L295</f>
        <v>498.8</v>
      </c>
      <c r="N295" s="91" t="n">
        <f aca="false">J295-L295</f>
        <v>-5.3</v>
      </c>
      <c r="O295" s="92" t="n">
        <v>0</v>
      </c>
      <c r="P295" s="21" t="n">
        <v>290</v>
      </c>
      <c r="Q295" s="53" t="n">
        <f aca="false">1.15+((P295-245)/58)*(0.35-1.15)</f>
        <v>0.529310344827586</v>
      </c>
      <c r="R295" s="82" t="n">
        <f aca="false">Q295*L295</f>
        <v>2.80534482758621</v>
      </c>
      <c r="S295" s="23" t="n">
        <f aca="false">J295-R295</f>
        <v>-2.80534482758621</v>
      </c>
      <c r="T295" s="26" t="n">
        <v>0</v>
      </c>
      <c r="V295" s="79" t="n">
        <v>2589.6</v>
      </c>
      <c r="W295" s="79" t="n">
        <f aca="false">V295/D295</f>
        <v>142.285714285714</v>
      </c>
      <c r="X295" s="79" t="n">
        <f aca="false">X294+V295</f>
        <v>282086.6</v>
      </c>
      <c r="Y295" s="79" t="n">
        <f aca="false">Y294+V295</f>
        <v>46788.8</v>
      </c>
      <c r="AA295" s="79" t="n">
        <v>15.8795881211816</v>
      </c>
    </row>
    <row r="296" s="35" customFormat="true" ht="15" hidden="false" customHeight="true" outlineLevel="0" collapsed="false">
      <c r="A296" s="102"/>
      <c r="B296" s="129" t="n">
        <v>1000</v>
      </c>
      <c r="C296" s="67" t="n">
        <v>41810</v>
      </c>
      <c r="D296" s="35" t="n">
        <v>18.6</v>
      </c>
      <c r="E296" s="35" t="n">
        <v>12.7</v>
      </c>
      <c r="F296" s="35" t="n">
        <v>23.7</v>
      </c>
      <c r="G296" s="35" t="n">
        <f aca="false">G295+D296</f>
        <v>3002.2</v>
      </c>
      <c r="H296" s="35" t="n">
        <f aca="false">H295+D296</f>
        <v>414.7</v>
      </c>
      <c r="J296" s="35" t="n">
        <v>0</v>
      </c>
      <c r="K296" s="35" t="n">
        <f aca="false">K295+J296</f>
        <v>618.2</v>
      </c>
      <c r="L296" s="35" t="n">
        <v>5.4</v>
      </c>
      <c r="M296" s="35" t="n">
        <f aca="false">M295+L296</f>
        <v>504.2</v>
      </c>
      <c r="N296" s="70" t="n">
        <f aca="false">J296-L296</f>
        <v>-5.4</v>
      </c>
      <c r="O296" s="36" t="n">
        <v>0</v>
      </c>
      <c r="P296" s="37" t="n">
        <v>291</v>
      </c>
      <c r="Q296" s="53" t="n">
        <f aca="false">1.15+((P296-245)/58)*(0.35-1.15)</f>
        <v>0.51551724137931</v>
      </c>
      <c r="R296" s="39" t="n">
        <f aca="false">Q296*L296</f>
        <v>2.78379310344828</v>
      </c>
      <c r="S296" s="40" t="n">
        <f aca="false">J296-R296</f>
        <v>-2.78379310344828</v>
      </c>
      <c r="T296" s="26" t="n">
        <v>0</v>
      </c>
      <c r="V296" s="35" t="n">
        <v>2848</v>
      </c>
      <c r="W296" s="35" t="n">
        <f aca="false">V296/D296</f>
        <v>153.118279569892</v>
      </c>
      <c r="X296" s="35" t="n">
        <f aca="false">X295+V296</f>
        <v>284934.6</v>
      </c>
      <c r="Y296" s="38" t="n">
        <f aca="false">Y295+V296</f>
        <v>49636.8</v>
      </c>
      <c r="AA296" s="35" t="n">
        <v>15.8829520890659</v>
      </c>
    </row>
    <row r="297" customFormat="false" ht="15" hidden="false" customHeight="false" outlineLevel="0" collapsed="false">
      <c r="A297" s="106"/>
      <c r="B297" s="107"/>
      <c r="C297" s="16" t="n">
        <v>41811</v>
      </c>
      <c r="D297" s="1" t="n">
        <v>20.2</v>
      </c>
      <c r="E297" s="1" t="n">
        <v>13.8</v>
      </c>
      <c r="F297" s="1" t="n">
        <v>26.3</v>
      </c>
      <c r="G297" s="1" t="n">
        <f aca="false">G296+D297</f>
        <v>3022.4</v>
      </c>
      <c r="H297" s="1" t="n">
        <v>20.2</v>
      </c>
      <c r="J297" s="1" t="n">
        <v>0</v>
      </c>
      <c r="K297" s="1" t="n">
        <f aca="false">K296+J297</f>
        <v>618.2</v>
      </c>
      <c r="L297" s="1" t="n">
        <v>7</v>
      </c>
      <c r="M297" s="1" t="n">
        <f aca="false">M296+L297</f>
        <v>511.2</v>
      </c>
      <c r="N297" s="19" t="n">
        <f aca="false">J297-L297</f>
        <v>-7</v>
      </c>
      <c r="O297" s="25" t="n">
        <v>0</v>
      </c>
      <c r="P297" s="21" t="n">
        <v>292</v>
      </c>
      <c r="Q297" s="53" t="n">
        <f aca="false">1.15+((P297-245)/58)*(0.35-1.15)</f>
        <v>0.501724137931034</v>
      </c>
      <c r="R297" s="23" t="n">
        <f aca="false">Q297*L297</f>
        <v>3.51206896551724</v>
      </c>
      <c r="S297" s="23" t="n">
        <f aca="false">J297-R297</f>
        <v>-3.51206896551724</v>
      </c>
      <c r="T297" s="26" t="n">
        <v>0</v>
      </c>
      <c r="V297" s="1" t="n">
        <v>2975.8</v>
      </c>
      <c r="W297" s="1" t="n">
        <f aca="false">V297/D297</f>
        <v>147.316831683168</v>
      </c>
      <c r="X297" s="1" t="n">
        <f aca="false">X296+V297</f>
        <v>287910.4</v>
      </c>
      <c r="Y297" s="1" t="n">
        <f aca="false">Y296+V297</f>
        <v>52612.6</v>
      </c>
      <c r="AA297" s="1" t="n">
        <v>15.884971455438</v>
      </c>
    </row>
    <row r="298" customFormat="false" ht="15" hidden="false" customHeight="false" outlineLevel="0" collapsed="false">
      <c r="A298" s="106"/>
      <c r="B298" s="107"/>
      <c r="C298" s="16" t="n">
        <v>41812</v>
      </c>
      <c r="D298" s="1" t="n">
        <v>22.3</v>
      </c>
      <c r="E298" s="1" t="n">
        <v>15.5</v>
      </c>
      <c r="F298" s="1" t="n">
        <v>28.6</v>
      </c>
      <c r="G298" s="1" t="n">
        <f aca="false">G297+D298</f>
        <v>3044.7</v>
      </c>
      <c r="H298" s="1" t="n">
        <f aca="false">H297+D298</f>
        <v>42.5</v>
      </c>
      <c r="J298" s="1" t="n">
        <v>0.1</v>
      </c>
      <c r="K298" s="1" t="n">
        <f aca="false">K297+J298</f>
        <v>618.3</v>
      </c>
      <c r="L298" s="1" t="n">
        <v>5.5</v>
      </c>
      <c r="M298" s="1" t="n">
        <f aca="false">M297+L298</f>
        <v>516.7</v>
      </c>
      <c r="N298" s="19" t="n">
        <f aca="false">J298-L298</f>
        <v>-5.4</v>
      </c>
      <c r="O298" s="25" t="n">
        <v>0</v>
      </c>
      <c r="P298" s="21" t="n">
        <v>293</v>
      </c>
      <c r="Q298" s="53" t="n">
        <f aca="false">1.15+((P298-245)/58)*(0.35-1.15)</f>
        <v>0.487931034482759</v>
      </c>
      <c r="R298" s="23" t="n">
        <f aca="false">Q298*L298</f>
        <v>2.68362068965517</v>
      </c>
      <c r="S298" s="23" t="n">
        <f aca="false">J298-R298</f>
        <v>-2.58362068965517</v>
      </c>
      <c r="T298" s="26" t="n">
        <v>0</v>
      </c>
      <c r="V298" s="1" t="n">
        <v>1943.1</v>
      </c>
      <c r="W298" s="1" t="n">
        <f aca="false">V298/D298</f>
        <v>87.1345291479821</v>
      </c>
      <c r="X298" s="1" t="n">
        <f aca="false">X297+V298</f>
        <v>289853.5</v>
      </c>
      <c r="Y298" s="1" t="n">
        <f aca="false">Y297+V298</f>
        <v>54555.7</v>
      </c>
      <c r="AA298" s="1" t="n">
        <v>15.8856446794653</v>
      </c>
    </row>
    <row r="299" customFormat="false" ht="15" hidden="false" customHeight="false" outlineLevel="0" collapsed="false">
      <c r="A299" s="106"/>
      <c r="B299" s="107"/>
      <c r="C299" s="16" t="n">
        <v>41813</v>
      </c>
      <c r="D299" s="1" t="n">
        <v>16.1</v>
      </c>
      <c r="E299" s="1" t="n">
        <v>15.4</v>
      </c>
      <c r="F299" s="1" t="n">
        <v>17.3</v>
      </c>
      <c r="G299" s="1" t="n">
        <f aca="false">G298+D299</f>
        <v>3060.8</v>
      </c>
      <c r="H299" s="1" t="n">
        <f aca="false">H298+D299</f>
        <v>58.6</v>
      </c>
      <c r="J299" s="1" t="n">
        <v>8.7</v>
      </c>
      <c r="K299" s="1" t="n">
        <f aca="false">K298+J299</f>
        <v>627</v>
      </c>
      <c r="L299" s="1" t="n">
        <v>1.7</v>
      </c>
      <c r="M299" s="1" t="n">
        <f aca="false">M298+L299</f>
        <v>518.4</v>
      </c>
      <c r="N299" s="1" t="n">
        <f aca="false">J299-L299</f>
        <v>7</v>
      </c>
      <c r="O299" s="25" t="n">
        <f aca="false">O298+N299</f>
        <v>7</v>
      </c>
      <c r="P299" s="21" t="n">
        <v>294</v>
      </c>
      <c r="Q299" s="53" t="n">
        <f aca="false">1.15+((P299-245)/58)*(0.35-1.15)</f>
        <v>0.474137931034483</v>
      </c>
      <c r="R299" s="23" t="n">
        <f aca="false">Q299*L299</f>
        <v>0.806034482758621</v>
      </c>
      <c r="S299" s="23" t="n">
        <f aca="false">J299-R299</f>
        <v>7.89396551724138</v>
      </c>
      <c r="T299" s="26" t="n">
        <f aca="false">MIN(122.1,(T298+S299))</f>
        <v>7.89396551724138</v>
      </c>
      <c r="V299" s="1" t="n">
        <v>673.2</v>
      </c>
      <c r="W299" s="1" t="n">
        <f aca="false">V299/D299</f>
        <v>41.8136645962733</v>
      </c>
      <c r="X299" s="1" t="n">
        <f aca="false">X298+V299</f>
        <v>290526.7</v>
      </c>
      <c r="Y299" s="1" t="n">
        <f aca="false">Y298+V299</f>
        <v>55228.9</v>
      </c>
      <c r="AA299" s="1" t="n">
        <v>15.8849715792323</v>
      </c>
    </row>
    <row r="300" customFormat="false" ht="15" hidden="false" customHeight="false" outlineLevel="0" collapsed="false">
      <c r="A300" s="106"/>
      <c r="B300" s="107"/>
      <c r="C300" s="16" t="n">
        <v>41814</v>
      </c>
      <c r="D300" s="1" t="n">
        <v>19.5</v>
      </c>
      <c r="E300" s="1" t="n">
        <v>13.9</v>
      </c>
      <c r="F300" s="1" t="n">
        <v>25</v>
      </c>
      <c r="G300" s="1" t="n">
        <f aca="false">G299+D300</f>
        <v>3080.3</v>
      </c>
      <c r="H300" s="1" t="n">
        <f aca="false">H299+D300</f>
        <v>78.1</v>
      </c>
      <c r="J300" s="1" t="n">
        <v>0</v>
      </c>
      <c r="K300" s="1" t="n">
        <f aca="false">K299+J300</f>
        <v>627</v>
      </c>
      <c r="L300" s="1" t="n">
        <v>5.5</v>
      </c>
      <c r="M300" s="1" t="n">
        <f aca="false">M299+L300</f>
        <v>523.9</v>
      </c>
      <c r="N300" s="19" t="n">
        <f aca="false">J300-L300</f>
        <v>-5.5</v>
      </c>
      <c r="O300" s="25" t="n">
        <f aca="false">O299+N300</f>
        <v>1.5</v>
      </c>
      <c r="P300" s="21" t="n">
        <v>295</v>
      </c>
      <c r="Q300" s="53" t="n">
        <f aca="false">1.15+((P300-245)/58)*(0.35-1.15)</f>
        <v>0.460344827586207</v>
      </c>
      <c r="R300" s="23" t="n">
        <f aca="false">Q300*L300</f>
        <v>2.53189655172414</v>
      </c>
      <c r="S300" s="23" t="n">
        <f aca="false">J300-R300</f>
        <v>-2.53189655172414</v>
      </c>
      <c r="T300" s="26" t="n">
        <f aca="false">MIN(122.1,(T299+S300))</f>
        <v>5.36206896551724</v>
      </c>
      <c r="V300" s="1" t="n">
        <v>2698.8</v>
      </c>
      <c r="W300" s="1" t="n">
        <f aca="false">V300/D300</f>
        <v>138.4</v>
      </c>
      <c r="X300" s="1" t="n">
        <f aca="false">X299+V300</f>
        <v>293225.5</v>
      </c>
      <c r="Y300" s="1" t="n">
        <f aca="false">Y299+V300</f>
        <v>57927.7</v>
      </c>
      <c r="AA300" s="1" t="n">
        <v>15.8829533323817</v>
      </c>
    </row>
    <row r="301" customFormat="false" ht="15" hidden="false" customHeight="false" outlineLevel="0" collapsed="false">
      <c r="A301" s="106"/>
      <c r="B301" s="107"/>
      <c r="C301" s="16" t="n">
        <v>41815</v>
      </c>
      <c r="D301" s="1" t="n">
        <v>20</v>
      </c>
      <c r="E301" s="1" t="n">
        <v>15.7</v>
      </c>
      <c r="F301" s="1" t="n">
        <v>23.8</v>
      </c>
      <c r="G301" s="1" t="n">
        <f aca="false">G300+D301</f>
        <v>3100.3</v>
      </c>
      <c r="H301" s="1" t="n">
        <f aca="false">H300+D301</f>
        <v>98.1</v>
      </c>
      <c r="J301" s="1" t="n">
        <v>0.1</v>
      </c>
      <c r="K301" s="1" t="n">
        <f aca="false">K300+J301</f>
        <v>627.1</v>
      </c>
      <c r="L301" s="1" t="n">
        <v>5.9</v>
      </c>
      <c r="M301" s="1" t="n">
        <f aca="false">M300+L301</f>
        <v>529.8</v>
      </c>
      <c r="N301" s="19" t="n">
        <f aca="false">J301-L301</f>
        <v>-5.8</v>
      </c>
      <c r="O301" s="25" t="n">
        <v>0</v>
      </c>
      <c r="P301" s="21" t="n">
        <v>296</v>
      </c>
      <c r="Q301" s="53" t="n">
        <f aca="false">1.15+((P301-245)/58)*(0.35-1.15)</f>
        <v>0.446551724137931</v>
      </c>
      <c r="R301" s="23" t="n">
        <f aca="false">Q301*L301</f>
        <v>2.63465517241379</v>
      </c>
      <c r="S301" s="23" t="n">
        <f aca="false">J301-R301</f>
        <v>-2.53465517241379</v>
      </c>
      <c r="T301" s="26" t="n">
        <f aca="false">MIN(122.1,(T300+S301))</f>
        <v>2.82741379310345</v>
      </c>
      <c r="V301" s="1" t="n">
        <v>2658</v>
      </c>
      <c r="W301" s="1" t="n">
        <f aca="false">V301/D301</f>
        <v>132.9</v>
      </c>
      <c r="X301" s="1" t="n">
        <f aca="false">X300+V301</f>
        <v>295883.5</v>
      </c>
      <c r="Y301" s="1" t="n">
        <f aca="false">Y300+V301</f>
        <v>60585.7</v>
      </c>
      <c r="AA301" s="1" t="n">
        <v>15.8795924716352</v>
      </c>
    </row>
    <row r="302" customFormat="false" ht="15" hidden="false" customHeight="false" outlineLevel="0" collapsed="false">
      <c r="A302" s="106"/>
      <c r="B302" s="107"/>
      <c r="C302" s="16" t="n">
        <v>41816</v>
      </c>
      <c r="D302" s="1" t="n">
        <v>18.9</v>
      </c>
      <c r="E302" s="1" t="n">
        <v>15.9</v>
      </c>
      <c r="F302" s="1" t="n">
        <v>24.8</v>
      </c>
      <c r="G302" s="1" t="n">
        <f aca="false">G301+D302</f>
        <v>3119.2</v>
      </c>
      <c r="H302" s="1" t="n">
        <f aca="false">H301+D302</f>
        <v>117</v>
      </c>
      <c r="J302" s="1" t="n">
        <v>5.3</v>
      </c>
      <c r="K302" s="1" t="n">
        <f aca="false">K301+J302</f>
        <v>632.4</v>
      </c>
      <c r="L302" s="1" t="n">
        <v>4.7</v>
      </c>
      <c r="M302" s="1" t="n">
        <f aca="false">M301+L302</f>
        <v>534.5</v>
      </c>
      <c r="N302" s="1" t="n">
        <f aca="false">J302-L302</f>
        <v>0.6</v>
      </c>
      <c r="O302" s="25" t="n">
        <f aca="false">O301+N302</f>
        <v>0.6</v>
      </c>
      <c r="P302" s="21" t="n">
        <v>297</v>
      </c>
      <c r="Q302" s="53" t="n">
        <f aca="false">1.15+((P302-245)/58)*(0.35-1.15)</f>
        <v>0.432758620689655</v>
      </c>
      <c r="R302" s="23" t="n">
        <f aca="false">Q302*L302</f>
        <v>2.03396551724138</v>
      </c>
      <c r="S302" s="23" t="n">
        <f aca="false">J302-R302</f>
        <v>3.26603448275862</v>
      </c>
      <c r="T302" s="26" t="n">
        <f aca="false">MIN(122.1,(T301+S302))</f>
        <v>6.09344827586207</v>
      </c>
      <c r="V302" s="1" t="n">
        <v>2135.1</v>
      </c>
      <c r="W302" s="1" t="n">
        <f aca="false">V302/D302</f>
        <v>112.968253968254</v>
      </c>
      <c r="X302" s="1" t="n">
        <f aca="false">X301+V302</f>
        <v>298018.6</v>
      </c>
      <c r="Y302" s="1" t="n">
        <f aca="false">Y301+V302</f>
        <v>62720.8</v>
      </c>
      <c r="AA302" s="1" t="n">
        <v>15.8748928752298</v>
      </c>
    </row>
    <row r="303" customFormat="false" ht="15" hidden="false" customHeight="false" outlineLevel="0" collapsed="false">
      <c r="A303" s="106"/>
      <c r="B303" s="107"/>
      <c r="C303" s="16" t="n">
        <v>41817</v>
      </c>
      <c r="D303" s="1" t="n">
        <v>17.3</v>
      </c>
      <c r="E303" s="1" t="n">
        <v>14.4</v>
      </c>
      <c r="F303" s="1" t="n">
        <v>22.7</v>
      </c>
      <c r="G303" s="1" t="n">
        <f aca="false">G302+D303</f>
        <v>3136.5</v>
      </c>
      <c r="H303" s="1" t="n">
        <f aca="false">H302+D303</f>
        <v>134.3</v>
      </c>
      <c r="J303" s="1" t="n">
        <v>10.8</v>
      </c>
      <c r="K303" s="1" t="n">
        <f aca="false">K302+J303</f>
        <v>643.2</v>
      </c>
      <c r="L303" s="1" t="n">
        <v>3.7</v>
      </c>
      <c r="M303" s="1" t="n">
        <f aca="false">M302+L303</f>
        <v>538.2</v>
      </c>
      <c r="N303" s="1" t="n">
        <f aca="false">J303-L303</f>
        <v>7.1</v>
      </c>
      <c r="O303" s="25" t="n">
        <f aca="false">O302+N303</f>
        <v>7.7</v>
      </c>
      <c r="P303" s="21" t="n">
        <v>298</v>
      </c>
      <c r="Q303" s="53" t="n">
        <f aca="false">1.15+((P303-245)/58)*(0.35-1.15)</f>
        <v>0.418965517241379</v>
      </c>
      <c r="R303" s="23" t="n">
        <f aca="false">Q303*L303</f>
        <v>1.5501724137931</v>
      </c>
      <c r="S303" s="23" t="n">
        <f aca="false">J303-R303</f>
        <v>9.2498275862069</v>
      </c>
      <c r="T303" s="26" t="n">
        <f aca="false">MIN(122.1,(T302+S303))</f>
        <v>15.343275862069</v>
      </c>
      <c r="V303" s="1" t="n">
        <v>1718.8</v>
      </c>
      <c r="W303" s="1" t="n">
        <f aca="false">V303/D303</f>
        <v>99.3526011560694</v>
      </c>
      <c r="X303" s="1" t="n">
        <f aca="false">X302+V303</f>
        <v>299737.4</v>
      </c>
      <c r="Y303" s="1" t="n">
        <f aca="false">Y302+V303</f>
        <v>64439.6</v>
      </c>
      <c r="AA303" s="1" t="n">
        <v>15.8688597523455</v>
      </c>
    </row>
    <row r="304" customFormat="false" ht="15" hidden="false" customHeight="false" outlineLevel="0" collapsed="false">
      <c r="A304" s="106"/>
      <c r="B304" s="107"/>
      <c r="C304" s="16" t="n">
        <v>41818</v>
      </c>
      <c r="D304" s="1" t="n">
        <v>15.8</v>
      </c>
      <c r="E304" s="1" t="n">
        <v>14.1</v>
      </c>
      <c r="F304" s="1" t="n">
        <v>18.1</v>
      </c>
      <c r="G304" s="1" t="n">
        <f aca="false">G303+D304</f>
        <v>3152.3</v>
      </c>
      <c r="H304" s="1" t="n">
        <f aca="false">H303+D304</f>
        <v>150.1</v>
      </c>
      <c r="J304" s="1" t="n">
        <v>21</v>
      </c>
      <c r="K304" s="1" t="n">
        <f aca="false">K303+J304</f>
        <v>664.2</v>
      </c>
      <c r="L304" s="1" t="n">
        <v>1.6</v>
      </c>
      <c r="M304" s="1" t="n">
        <f aca="false">M303+L304</f>
        <v>539.8</v>
      </c>
      <c r="N304" s="1" t="n">
        <f aca="false">J304-L304</f>
        <v>19.4</v>
      </c>
      <c r="O304" s="25" t="n">
        <f aca="false">O303+N304</f>
        <v>27.1</v>
      </c>
      <c r="P304" s="21" t="n">
        <v>299</v>
      </c>
      <c r="Q304" s="53" t="n">
        <f aca="false">1.15+((P304-245)/58)*(0.35-1.15)</f>
        <v>0.405172413793103</v>
      </c>
      <c r="R304" s="23" t="n">
        <f aca="false">Q304*L304</f>
        <v>0.648275862068966</v>
      </c>
      <c r="S304" s="23" t="n">
        <f aca="false">J304-R304</f>
        <v>20.351724137931</v>
      </c>
      <c r="T304" s="26" t="n">
        <f aca="false">MIN(122.1,(T303+S304))</f>
        <v>35.695</v>
      </c>
      <c r="V304" s="27" t="n">
        <v>725.8</v>
      </c>
      <c r="W304" s="1" t="n">
        <f aca="false">V304/D304</f>
        <v>45.9367088607595</v>
      </c>
      <c r="X304" s="1" t="n">
        <f aca="false">X303+V304</f>
        <v>300463.2</v>
      </c>
      <c r="Y304" s="1" t="n">
        <f aca="false">Y303+V304</f>
        <v>65165.4</v>
      </c>
      <c r="AA304" s="1" t="n">
        <v>15.8614996236362</v>
      </c>
    </row>
    <row r="305" customFormat="false" ht="15" hidden="false" customHeight="false" outlineLevel="0" collapsed="false">
      <c r="A305" s="106"/>
      <c r="B305" s="107"/>
      <c r="C305" s="16" t="n">
        <v>41819</v>
      </c>
      <c r="D305" s="1" t="n">
        <v>15.3</v>
      </c>
      <c r="E305" s="1" t="n">
        <v>13.3</v>
      </c>
      <c r="F305" s="1" t="n">
        <v>19.1</v>
      </c>
      <c r="G305" s="1" t="n">
        <f aca="false">G304+D305</f>
        <v>3167.6</v>
      </c>
      <c r="H305" s="1" t="n">
        <f aca="false">H304+D305</f>
        <v>165.4</v>
      </c>
      <c r="J305" s="1" t="n">
        <v>2.7</v>
      </c>
      <c r="K305" s="1" t="n">
        <f aca="false">K304+J305</f>
        <v>666.9</v>
      </c>
      <c r="L305" s="1" t="n">
        <v>3.3</v>
      </c>
      <c r="M305" s="1" t="n">
        <f aca="false">M304+L305</f>
        <v>543.1</v>
      </c>
      <c r="N305" s="19" t="n">
        <f aca="false">J305-L305</f>
        <v>-0.6</v>
      </c>
      <c r="O305" s="25" t="n">
        <f aca="false">O304+N305</f>
        <v>26.5</v>
      </c>
      <c r="P305" s="21" t="n">
        <v>300</v>
      </c>
      <c r="Q305" s="53" t="n">
        <f aca="false">1.15+((P305-245)/58)*(0.35-1.15)</f>
        <v>0.391379310344828</v>
      </c>
      <c r="R305" s="23" t="n">
        <f aca="false">Q305*L305</f>
        <v>1.29155172413793</v>
      </c>
      <c r="S305" s="23" t="n">
        <f aca="false">J305-R305</f>
        <v>1.40844827586207</v>
      </c>
      <c r="T305" s="26" t="n">
        <f aca="false">MIN(122.1,(T304+S305))</f>
        <v>37.1034482758621</v>
      </c>
      <c r="V305" s="1" t="n">
        <v>1659.1</v>
      </c>
      <c r="W305" s="1" t="n">
        <f aca="false">V305/D305</f>
        <v>108.437908496732</v>
      </c>
      <c r="X305" s="1" t="n">
        <f aca="false">X304+V305</f>
        <v>302122.3</v>
      </c>
      <c r="Y305" s="1" t="n">
        <f aca="false">Y304+V305</f>
        <v>66824.5</v>
      </c>
      <c r="AA305" s="1" t="n">
        <v>15.8528202970167</v>
      </c>
    </row>
    <row r="306" customFormat="false" ht="15" hidden="false" customHeight="false" outlineLevel="0" collapsed="false">
      <c r="A306" s="106"/>
      <c r="B306" s="107"/>
      <c r="C306" s="16" t="n">
        <v>41820</v>
      </c>
      <c r="D306" s="1" t="n">
        <v>16.4</v>
      </c>
      <c r="E306" s="1" t="n">
        <v>11.9</v>
      </c>
      <c r="F306" s="1" t="n">
        <v>20.2</v>
      </c>
      <c r="G306" s="1" t="n">
        <f aca="false">G305+D306</f>
        <v>3184</v>
      </c>
      <c r="H306" s="1" t="n">
        <f aca="false">H305+D306</f>
        <v>181.8</v>
      </c>
      <c r="J306" s="1" t="n">
        <v>0</v>
      </c>
      <c r="K306" s="1" t="n">
        <f aca="false">K305+J306</f>
        <v>666.9</v>
      </c>
      <c r="L306" s="1" t="n">
        <v>3.6</v>
      </c>
      <c r="M306" s="1" t="n">
        <f aca="false">M305+L306</f>
        <v>546.7</v>
      </c>
      <c r="N306" s="19" t="n">
        <f aca="false">J306-L306</f>
        <v>-3.6</v>
      </c>
      <c r="O306" s="25" t="n">
        <f aca="false">O305+N306</f>
        <v>22.9</v>
      </c>
      <c r="P306" s="21" t="n">
        <v>301</v>
      </c>
      <c r="Q306" s="53" t="n">
        <f aca="false">1.15+((P306-245)/58)*(0.35-1.15)</f>
        <v>0.377586206896552</v>
      </c>
      <c r="R306" s="23" t="n">
        <f aca="false">Q306*L306</f>
        <v>1.35931034482759</v>
      </c>
      <c r="S306" s="23" t="n">
        <f aca="false">J306-R306</f>
        <v>-1.35931034482759</v>
      </c>
      <c r="T306" s="26" t="n">
        <f aca="false">MIN(122.1,(T305+S306))</f>
        <v>35.7441379310345</v>
      </c>
      <c r="V306" s="1" t="n">
        <v>1879.2</v>
      </c>
      <c r="W306" s="1" t="n">
        <f aca="false">V306/D306</f>
        <v>114.585365853659</v>
      </c>
      <c r="X306" s="1" t="n">
        <f aca="false">X305+V306</f>
        <v>304001.5</v>
      </c>
      <c r="Y306" s="1" t="n">
        <f aca="false">Y305+V306</f>
        <v>68703.7</v>
      </c>
      <c r="AA306" s="1" t="n">
        <v>15.8428308388906</v>
      </c>
    </row>
    <row r="307" customFormat="false" ht="15" hidden="false" customHeight="false" outlineLevel="0" collapsed="false">
      <c r="A307" s="106"/>
      <c r="B307" s="107"/>
      <c r="C307" s="16" t="n">
        <v>41821</v>
      </c>
      <c r="D307" s="1" t="n">
        <v>18.6</v>
      </c>
      <c r="E307" s="1" t="n">
        <v>12.1</v>
      </c>
      <c r="F307" s="1" t="n">
        <v>23.8</v>
      </c>
      <c r="G307" s="1" t="n">
        <f aca="false">G306+D307</f>
        <v>3202.6</v>
      </c>
      <c r="H307" s="1" t="n">
        <f aca="false">H306+D307</f>
        <v>200.4</v>
      </c>
      <c r="J307" s="1" t="n">
        <v>0.1</v>
      </c>
      <c r="K307" s="1" t="n">
        <f aca="false">K306+J307</f>
        <v>667</v>
      </c>
      <c r="L307" s="1" t="n">
        <v>2.9</v>
      </c>
      <c r="M307" s="1" t="n">
        <f aca="false">M306+L307</f>
        <v>549.6</v>
      </c>
      <c r="N307" s="19" t="n">
        <f aca="false">J307-L307</f>
        <v>-2.8</v>
      </c>
      <c r="O307" s="25" t="n">
        <f aca="false">O306+N307</f>
        <v>20.1</v>
      </c>
      <c r="P307" s="21" t="n">
        <v>302</v>
      </c>
      <c r="Q307" s="53" t="n">
        <f aca="false">1.15+((P307-245)/58)*(0.35-1.15)</f>
        <v>0.363793103448276</v>
      </c>
      <c r="R307" s="23" t="n">
        <f aca="false">Q307*L307</f>
        <v>1.055</v>
      </c>
      <c r="S307" s="23" t="n">
        <f aca="false">J307-R307</f>
        <v>-0.955</v>
      </c>
      <c r="T307" s="26" t="n">
        <f aca="false">MIN(122.1,(T306+S307))</f>
        <v>34.7891379310345</v>
      </c>
      <c r="V307" s="1" t="n">
        <v>1247.7</v>
      </c>
      <c r="W307" s="1" t="n">
        <f aca="false">V307/D307</f>
        <v>67.0806451612903</v>
      </c>
      <c r="X307" s="1" t="n">
        <f aca="false">X306+V307</f>
        <v>305249.2</v>
      </c>
      <c r="Y307" s="1" t="n">
        <f aca="false">Y306+V307</f>
        <v>69951.4</v>
      </c>
      <c r="AA307" s="1" t="n">
        <v>15.8315415410386</v>
      </c>
    </row>
    <row r="308" customFormat="false" ht="15" hidden="false" customHeight="false" outlineLevel="0" collapsed="false">
      <c r="A308" s="106"/>
      <c r="B308" s="107"/>
      <c r="C308" s="16" t="n">
        <v>41822</v>
      </c>
      <c r="D308" s="1" t="n">
        <v>20.9</v>
      </c>
      <c r="E308" s="1" t="n">
        <v>15</v>
      </c>
      <c r="F308" s="1" t="n">
        <v>26.1</v>
      </c>
      <c r="G308" s="1" t="n">
        <f aca="false">G307+D308</f>
        <v>3223.5</v>
      </c>
      <c r="H308" s="1" t="n">
        <f aca="false">H307+D308</f>
        <v>221.3</v>
      </c>
      <c r="J308" s="1" t="n">
        <v>0</v>
      </c>
      <c r="K308" s="1" t="n">
        <f aca="false">K307+J308</f>
        <v>667</v>
      </c>
      <c r="L308" s="1" t="n">
        <v>5.6</v>
      </c>
      <c r="M308" s="1" t="n">
        <f aca="false">M307+L308</f>
        <v>555.2</v>
      </c>
      <c r="N308" s="19" t="n">
        <f aca="false">J308-L308</f>
        <v>-5.6</v>
      </c>
      <c r="O308" s="25" t="n">
        <f aca="false">O307+N308</f>
        <v>14.5</v>
      </c>
      <c r="P308" s="21" t="n">
        <v>303</v>
      </c>
      <c r="Q308" s="53" t="n">
        <f aca="false">1.15+((P308-245)/58)*(0.35-1.15)</f>
        <v>0.35</v>
      </c>
      <c r="R308" s="23" t="n">
        <f aca="false">Q308*L308</f>
        <v>1.96</v>
      </c>
      <c r="S308" s="23" t="n">
        <f aca="false">J308-R308</f>
        <v>-1.96</v>
      </c>
      <c r="T308" s="26" t="n">
        <f aca="false">MIN(122.1,(T307+S308))</f>
        <v>32.8291379310345</v>
      </c>
      <c r="V308" s="1" t="n">
        <v>2445.1</v>
      </c>
      <c r="W308" s="1" t="n">
        <f aca="false">V308/D308</f>
        <v>116.99043062201</v>
      </c>
      <c r="X308" s="1" t="n">
        <f aca="false">X307+V308</f>
        <v>307694.3</v>
      </c>
      <c r="Y308" s="1" t="n">
        <f aca="false">Y307+V308</f>
        <v>72396.5</v>
      </c>
      <c r="AA308" s="1" t="n">
        <v>15.8189638834161</v>
      </c>
    </row>
    <row r="309" customFormat="false" ht="15" hidden="false" customHeight="false" outlineLevel="0" collapsed="false">
      <c r="A309" s="108" t="s">
        <v>56</v>
      </c>
      <c r="B309" s="108"/>
      <c r="C309" s="108"/>
      <c r="D309" s="108"/>
      <c r="E309" s="108"/>
      <c r="F309" s="108"/>
      <c r="G309" s="108"/>
      <c r="H309" s="108"/>
      <c r="I309" s="108"/>
      <c r="J309" s="108"/>
      <c r="K309" s="108"/>
      <c r="L309" s="108"/>
      <c r="M309" s="108"/>
      <c r="N309" s="108"/>
      <c r="O309" s="108"/>
      <c r="P309" s="108"/>
      <c r="Q309" s="108"/>
      <c r="R309" s="108"/>
      <c r="S309" s="108"/>
      <c r="T309" s="108"/>
      <c r="U309" s="108"/>
      <c r="V309" s="108"/>
      <c r="W309" s="108"/>
      <c r="X309" s="108"/>
      <c r="Y309" s="108"/>
      <c r="Z309" s="108"/>
    </row>
  </sheetData>
  <mergeCells count="14">
    <mergeCell ref="D1:I2"/>
    <mergeCell ref="J1:U2"/>
    <mergeCell ref="V1:Z2"/>
    <mergeCell ref="J3:O3"/>
    <mergeCell ref="P3:T3"/>
    <mergeCell ref="G4:H4"/>
    <mergeCell ref="X4:Y4"/>
    <mergeCell ref="A5:Z5"/>
    <mergeCell ref="A6:A79"/>
    <mergeCell ref="A80:A127"/>
    <mergeCell ref="A223:A250"/>
    <mergeCell ref="A251:A273"/>
    <mergeCell ref="A274:A296"/>
    <mergeCell ref="A309:Z309"/>
  </mergeCells>
  <conditionalFormatting sqref="U7 T5:T309">
    <cfRule type="cellIs" priority="2" operator="equal" aboveAverage="0" equalAverage="0" bottom="0" percent="0" rank="0" text="" dxfId="5">
      <formula>0</formula>
    </cfRule>
    <cfRule type="cellIs" priority="3" operator="lessThanOrEqual" aboveAverage="0" equalAverage="0" bottom="0" percent="0" rank="0" text="" dxfId="6">
      <formula>40.7</formula>
    </cfRule>
  </conditionalFormatting>
  <conditionalFormatting sqref="S6:S308">
    <cfRule type="cellIs" priority="4" operator="lessThanOrEqual" aboveAverage="0" equalAverage="0" bottom="0" percent="0" rank="0" text="" dxfId="7">
      <formula>0</formula>
    </cfRule>
  </conditionalFormatting>
  <conditionalFormatting sqref="T1:T4">
    <cfRule type="cellIs" priority="5" operator="equal" aboveAverage="0" equalAverage="0" bottom="0" percent="0" rank="0" text="" dxfId="8">
      <formula>0</formula>
    </cfRule>
    <cfRule type="cellIs" priority="6" operator="lessThanOrEqual" aboveAverage="0" equalAverage="0" bottom="0" percent="0" rank="0" text="" dxfId="9">
      <formula>40.7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LibreOffice/25.2.7.2$Windows_X86_64 LibreOffice_project/5cbfd1ab6520636bb5f7b99185aa69bd7456825d</Application>
  <AppVersion>15.0000</AppVersion>
  <Company>INRA - RENNES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2019-10-21T14:09:17Z</dcterms:created>
  <dc:creator>adminigepp</dc:creator>
  <dc:description/>
  <dc:language>fr-FR</dc:language>
  <cp:lastModifiedBy/>
  <dcterms:modified xsi:type="dcterms:W3CDTF">2025-12-09T13:48:12Z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