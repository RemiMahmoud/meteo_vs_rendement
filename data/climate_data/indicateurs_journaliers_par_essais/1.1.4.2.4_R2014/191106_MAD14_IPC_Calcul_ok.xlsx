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4\"/>
    </mc:Choice>
  </mc:AlternateContent>
  <bookViews>
    <workbookView xWindow="0" yWindow="0" windowWidth="19200" windowHeight="10860"/>
  </bookViews>
  <sheets>
    <sheet name="N+" sheetId="1" r:id="rId1"/>
    <sheet name="N-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42" i="1" l="1"/>
  <c r="AD240" i="1"/>
  <c r="AD238" i="1"/>
  <c r="AD236" i="1"/>
  <c r="AD234" i="1"/>
  <c r="AB242" i="1"/>
  <c r="AB234" i="1"/>
  <c r="AB226" i="1"/>
  <c r="AB218" i="1"/>
  <c r="AB215" i="1"/>
  <c r="AB207" i="1"/>
  <c r="AB231" i="2"/>
  <c r="AC227" i="2" s="1"/>
  <c r="AB223" i="2"/>
  <c r="AB215" i="2"/>
  <c r="AB207" i="2"/>
  <c r="AC225" i="2"/>
  <c r="AC223" i="2"/>
  <c r="AC221" i="2"/>
  <c r="AC219" i="2" l="1"/>
  <c r="U329" i="1"/>
  <c r="U308" i="1"/>
  <c r="U282" i="1"/>
  <c r="U261" i="1"/>
  <c r="U163" i="1"/>
  <c r="U128" i="1"/>
  <c r="U53" i="1"/>
  <c r="U322" i="2"/>
  <c r="U320" i="2"/>
  <c r="U318" i="2"/>
  <c r="I318" i="2"/>
  <c r="I316" i="2"/>
  <c r="I314" i="2"/>
  <c r="U299" i="2"/>
  <c r="U301" i="2" s="1"/>
  <c r="U297" i="2"/>
  <c r="U295" i="2"/>
  <c r="I295" i="2"/>
  <c r="I293" i="2"/>
  <c r="I291" i="2"/>
  <c r="U273" i="2"/>
  <c r="U275" i="2" s="1"/>
  <c r="U271" i="2"/>
  <c r="U269" i="2"/>
  <c r="I269" i="2"/>
  <c r="I267" i="2"/>
  <c r="I265" i="2"/>
  <c r="U252" i="2"/>
  <c r="U250" i="2"/>
  <c r="U248" i="2"/>
  <c r="I248" i="2"/>
  <c r="I246" i="2"/>
  <c r="I244" i="2"/>
  <c r="U161" i="2"/>
  <c r="U159" i="2"/>
  <c r="U157" i="2"/>
  <c r="I155" i="2"/>
  <c r="I153" i="2"/>
  <c r="I151" i="2"/>
  <c r="U128" i="2"/>
  <c r="U324" i="2"/>
  <c r="U254" i="2"/>
  <c r="U163" i="2"/>
  <c r="U53" i="2"/>
  <c r="H313" i="2"/>
  <c r="Y313" i="2"/>
  <c r="Q291" i="2"/>
  <c r="Q292" i="2"/>
  <c r="Q293" i="2"/>
  <c r="Q294" i="2"/>
  <c r="R294" i="2" s="1"/>
  <c r="S294" i="2" s="1"/>
  <c r="Q295" i="2"/>
  <c r="Q296" i="2"/>
  <c r="Q297" i="2"/>
  <c r="Q298" i="2"/>
  <c r="R298" i="2" s="1"/>
  <c r="S298" i="2" s="1"/>
  <c r="Q299" i="2"/>
  <c r="Q300" i="2"/>
  <c r="R300" i="2" s="1"/>
  <c r="S300" i="2" s="1"/>
  <c r="Q301" i="2"/>
  <c r="Q302" i="2"/>
  <c r="R302" i="2" s="1"/>
  <c r="S302" i="2" s="1"/>
  <c r="Q303" i="2"/>
  <c r="Q304" i="2"/>
  <c r="Q305" i="2"/>
  <c r="Q306" i="2"/>
  <c r="R306" i="2" s="1"/>
  <c r="S306" i="2" s="1"/>
  <c r="Q307" i="2"/>
  <c r="Q308" i="2"/>
  <c r="R308" i="2" s="1"/>
  <c r="S308" i="2" s="1"/>
  <c r="Q309" i="2"/>
  <c r="Q310" i="2"/>
  <c r="R310" i="2" s="1"/>
  <c r="S310" i="2" s="1"/>
  <c r="Q311" i="2"/>
  <c r="Q312" i="2"/>
  <c r="Q313" i="2"/>
  <c r="Q314" i="2"/>
  <c r="R314" i="2" s="1"/>
  <c r="S314" i="2" s="1"/>
  <c r="Q315" i="2"/>
  <c r="Q316" i="2"/>
  <c r="R316" i="2" s="1"/>
  <c r="S316" i="2" s="1"/>
  <c r="Q317" i="2"/>
  <c r="Q318" i="2"/>
  <c r="R318" i="2" s="1"/>
  <c r="S318" i="2" s="1"/>
  <c r="Q319" i="2"/>
  <c r="Q320" i="2"/>
  <c r="Q321" i="2"/>
  <c r="Q322" i="2"/>
  <c r="R322" i="2" s="1"/>
  <c r="S322" i="2" s="1"/>
  <c r="Q323" i="2"/>
  <c r="Q324" i="2"/>
  <c r="R324" i="2" s="1"/>
  <c r="S324" i="2" s="1"/>
  <c r="Q325" i="2"/>
  <c r="Q326" i="2"/>
  <c r="Q327" i="2"/>
  <c r="Q328" i="2"/>
  <c r="Q329" i="2"/>
  <c r="Q330" i="2"/>
  <c r="R330" i="2" s="1"/>
  <c r="S330" i="2" s="1"/>
  <c r="Q331" i="2"/>
  <c r="Q332" i="2"/>
  <c r="R332" i="2" s="1"/>
  <c r="S332" i="2" s="1"/>
  <c r="Q333" i="2"/>
  <c r="Q334" i="2"/>
  <c r="R334" i="2" s="1"/>
  <c r="S334" i="2" s="1"/>
  <c r="Q335" i="2"/>
  <c r="Q336" i="2"/>
  <c r="Q337" i="2"/>
  <c r="Q338" i="2"/>
  <c r="R338" i="2" s="1"/>
  <c r="S338" i="2" s="1"/>
  <c r="Q339" i="2"/>
  <c r="Q340" i="2"/>
  <c r="R340" i="2" s="1"/>
  <c r="S340" i="2" s="1"/>
  <c r="Q341" i="2"/>
  <c r="Q342" i="2"/>
  <c r="R342" i="2" s="1"/>
  <c r="S342" i="2" s="1"/>
  <c r="Q343" i="2"/>
  <c r="Q344" i="2"/>
  <c r="Q345" i="2"/>
  <c r="Q346" i="2"/>
  <c r="R346" i="2" s="1"/>
  <c r="S346" i="2" s="1"/>
  <c r="Q347" i="2"/>
  <c r="Q348" i="2"/>
  <c r="Q349" i="2"/>
  <c r="Q350" i="2"/>
  <c r="R350" i="2" s="1"/>
  <c r="S350" i="2" s="1"/>
  <c r="Q351" i="2"/>
  <c r="Q352" i="2"/>
  <c r="Q353" i="2"/>
  <c r="Q354" i="2"/>
  <c r="R354" i="2" s="1"/>
  <c r="S354" i="2" s="1"/>
  <c r="Q355" i="2"/>
  <c r="Q356" i="2"/>
  <c r="R356" i="2" s="1"/>
  <c r="S356" i="2" s="1"/>
  <c r="Q290" i="2"/>
  <c r="R290" i="2" s="1"/>
  <c r="S290" i="2" s="1"/>
  <c r="R291" i="2"/>
  <c r="S291" i="2" s="1"/>
  <c r="R293" i="2"/>
  <c r="S293" i="2" s="1"/>
  <c r="H290" i="2"/>
  <c r="Y290" i="2"/>
  <c r="Y264" i="2"/>
  <c r="H264" i="2"/>
  <c r="Y245" i="2"/>
  <c r="Y246" i="2" s="1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43" i="2"/>
  <c r="T241" i="2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T276" i="2" s="1"/>
  <c r="T277" i="2" s="1"/>
  <c r="T278" i="2" s="1"/>
  <c r="T279" i="2" s="1"/>
  <c r="T280" i="2" s="1"/>
  <c r="T281" i="2" s="1"/>
  <c r="T282" i="2" s="1"/>
  <c r="T283" i="2" s="1"/>
  <c r="T284" i="2" s="1"/>
  <c r="T285" i="2" s="1"/>
  <c r="T286" i="2" s="1"/>
  <c r="T287" i="2" s="1"/>
  <c r="T288" i="2" s="1"/>
  <c r="T289" i="2" s="1"/>
  <c r="Q151" i="2"/>
  <c r="Q152" i="2"/>
  <c r="Q153" i="2"/>
  <c r="Q154" i="2"/>
  <c r="Q155" i="2"/>
  <c r="Q156" i="2"/>
  <c r="Q157" i="2"/>
  <c r="Q158" i="2"/>
  <c r="R158" i="2" s="1"/>
  <c r="S158" i="2" s="1"/>
  <c r="Q159" i="2"/>
  <c r="Q160" i="2"/>
  <c r="Q161" i="2"/>
  <c r="Q162" i="2"/>
  <c r="Q163" i="2"/>
  <c r="Q164" i="2"/>
  <c r="Q165" i="2"/>
  <c r="Q166" i="2"/>
  <c r="R166" i="2" s="1"/>
  <c r="S166" i="2" s="1"/>
  <c r="Q167" i="2"/>
  <c r="Q168" i="2"/>
  <c r="Q169" i="2"/>
  <c r="Q170" i="2"/>
  <c r="Q171" i="2"/>
  <c r="Q172" i="2"/>
  <c r="Q173" i="2"/>
  <c r="Q174" i="2"/>
  <c r="R174" i="2" s="1"/>
  <c r="S174" i="2" s="1"/>
  <c r="Q175" i="2"/>
  <c r="Q176" i="2"/>
  <c r="Q177" i="2"/>
  <c r="Q178" i="2"/>
  <c r="Q179" i="2"/>
  <c r="Q180" i="2"/>
  <c r="Q181" i="2"/>
  <c r="Q182" i="2"/>
  <c r="R182" i="2" s="1"/>
  <c r="S182" i="2" s="1"/>
  <c r="Q183" i="2"/>
  <c r="Q184" i="2"/>
  <c r="Q185" i="2"/>
  <c r="Q186" i="2"/>
  <c r="Q187" i="2"/>
  <c r="Q188" i="2"/>
  <c r="Q189" i="2"/>
  <c r="Q190" i="2"/>
  <c r="R190" i="2" s="1"/>
  <c r="S190" i="2" s="1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R206" i="2" s="1"/>
  <c r="S206" i="2" s="1"/>
  <c r="Q207" i="2"/>
  <c r="Q208" i="2"/>
  <c r="Q209" i="2"/>
  <c r="Q210" i="2"/>
  <c r="Q211" i="2"/>
  <c r="Q212" i="2"/>
  <c r="Q213" i="2"/>
  <c r="Q214" i="2"/>
  <c r="R214" i="2" s="1"/>
  <c r="S214" i="2" s="1"/>
  <c r="Q215" i="2"/>
  <c r="Q216" i="2"/>
  <c r="Q217" i="2"/>
  <c r="Q218" i="2"/>
  <c r="Q219" i="2"/>
  <c r="Q220" i="2"/>
  <c r="Q221" i="2"/>
  <c r="Q222" i="2"/>
  <c r="R222" i="2" s="1"/>
  <c r="S222" i="2" s="1"/>
  <c r="Q223" i="2"/>
  <c r="Q224" i="2"/>
  <c r="Q225" i="2"/>
  <c r="Q226" i="2"/>
  <c r="Q227" i="2"/>
  <c r="R227" i="2" s="1"/>
  <c r="S227" i="2" s="1"/>
  <c r="Q228" i="2"/>
  <c r="Q229" i="2"/>
  <c r="Q230" i="2"/>
  <c r="R230" i="2" s="1"/>
  <c r="S230" i="2" s="1"/>
  <c r="Q231" i="2"/>
  <c r="Q232" i="2"/>
  <c r="R232" i="2" s="1"/>
  <c r="S232" i="2" s="1"/>
  <c r="Q233" i="2"/>
  <c r="Q234" i="2"/>
  <c r="Q235" i="2"/>
  <c r="Q236" i="2"/>
  <c r="Q237" i="2"/>
  <c r="Q238" i="2"/>
  <c r="R238" i="2" s="1"/>
  <c r="S238" i="2" s="1"/>
  <c r="Q239" i="2"/>
  <c r="R239" i="2" s="1"/>
  <c r="S239" i="2" s="1"/>
  <c r="Q240" i="2"/>
  <c r="R240" i="2" s="1"/>
  <c r="S240" i="2" s="1"/>
  <c r="Q241" i="2"/>
  <c r="Q242" i="2"/>
  <c r="Q150" i="2"/>
  <c r="H245" i="2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H256" i="2" s="1"/>
  <c r="H257" i="2" s="1"/>
  <c r="H258" i="2" s="1"/>
  <c r="H259" i="2" s="1"/>
  <c r="H260" i="2" s="1"/>
  <c r="H261" i="2" s="1"/>
  <c r="H262" i="2" s="1"/>
  <c r="H263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H284" i="2" s="1"/>
  <c r="H285" i="2" s="1"/>
  <c r="H286" i="2" s="1"/>
  <c r="H287" i="2" s="1"/>
  <c r="H288" i="2" s="1"/>
  <c r="H289" i="2" s="1"/>
  <c r="H243" i="2"/>
  <c r="W356" i="2"/>
  <c r="N356" i="2"/>
  <c r="W355" i="2"/>
  <c r="R355" i="2"/>
  <c r="S355" i="2" s="1"/>
  <c r="N355" i="2"/>
  <c r="W354" i="2"/>
  <c r="N354" i="2"/>
  <c r="W353" i="2"/>
  <c r="S353" i="2"/>
  <c r="R353" i="2"/>
  <c r="N353" i="2"/>
  <c r="W352" i="2"/>
  <c r="R352" i="2"/>
  <c r="S352" i="2" s="1"/>
  <c r="N352" i="2"/>
  <c r="W351" i="2"/>
  <c r="R351" i="2"/>
  <c r="S351" i="2" s="1"/>
  <c r="N351" i="2"/>
  <c r="W350" i="2"/>
  <c r="N350" i="2"/>
  <c r="W349" i="2"/>
  <c r="S349" i="2"/>
  <c r="R349" i="2"/>
  <c r="N349" i="2"/>
  <c r="W348" i="2"/>
  <c r="R348" i="2"/>
  <c r="S348" i="2" s="1"/>
  <c r="N348" i="2"/>
  <c r="W347" i="2"/>
  <c r="S347" i="2"/>
  <c r="R347" i="2"/>
  <c r="N347" i="2"/>
  <c r="W346" i="2"/>
  <c r="N346" i="2"/>
  <c r="W345" i="2"/>
  <c r="S345" i="2"/>
  <c r="R345" i="2"/>
  <c r="N345" i="2"/>
  <c r="W344" i="2"/>
  <c r="R344" i="2"/>
  <c r="S344" i="2" s="1"/>
  <c r="N344" i="2"/>
  <c r="W343" i="2"/>
  <c r="R343" i="2"/>
  <c r="S343" i="2" s="1"/>
  <c r="N343" i="2"/>
  <c r="W342" i="2"/>
  <c r="N342" i="2"/>
  <c r="W341" i="2"/>
  <c r="S341" i="2"/>
  <c r="R341" i="2"/>
  <c r="N341" i="2"/>
  <c r="W340" i="2"/>
  <c r="N340" i="2"/>
  <c r="W339" i="2"/>
  <c r="R339" i="2"/>
  <c r="S339" i="2" s="1"/>
  <c r="N339" i="2"/>
  <c r="W338" i="2"/>
  <c r="N338" i="2"/>
  <c r="W337" i="2"/>
  <c r="R337" i="2"/>
  <c r="S337" i="2" s="1"/>
  <c r="N337" i="2"/>
  <c r="W336" i="2"/>
  <c r="R336" i="2"/>
  <c r="S336" i="2" s="1"/>
  <c r="N336" i="2"/>
  <c r="W335" i="2"/>
  <c r="R335" i="2"/>
  <c r="S335" i="2" s="1"/>
  <c r="N335" i="2"/>
  <c r="W334" i="2"/>
  <c r="N334" i="2"/>
  <c r="W333" i="2"/>
  <c r="R333" i="2"/>
  <c r="S333" i="2" s="1"/>
  <c r="N333" i="2"/>
  <c r="W332" i="2"/>
  <c r="N332" i="2"/>
  <c r="W331" i="2"/>
  <c r="R331" i="2"/>
  <c r="S331" i="2" s="1"/>
  <c r="N331" i="2"/>
  <c r="W330" i="2"/>
  <c r="N330" i="2"/>
  <c r="W329" i="2"/>
  <c r="R329" i="2"/>
  <c r="S329" i="2" s="1"/>
  <c r="N329" i="2"/>
  <c r="W328" i="2"/>
  <c r="R328" i="2"/>
  <c r="S328" i="2" s="1"/>
  <c r="N328" i="2"/>
  <c r="W327" i="2"/>
  <c r="R327" i="2"/>
  <c r="S327" i="2" s="1"/>
  <c r="N327" i="2"/>
  <c r="W326" i="2"/>
  <c r="R326" i="2"/>
  <c r="S326" i="2" s="1"/>
  <c r="N326" i="2"/>
  <c r="W325" i="2"/>
  <c r="R325" i="2"/>
  <c r="S325" i="2" s="1"/>
  <c r="N325" i="2"/>
  <c r="W324" i="2"/>
  <c r="N324" i="2"/>
  <c r="W323" i="2"/>
  <c r="R323" i="2"/>
  <c r="S323" i="2" s="1"/>
  <c r="N323" i="2"/>
  <c r="W322" i="2"/>
  <c r="N322" i="2"/>
  <c r="W321" i="2"/>
  <c r="R321" i="2"/>
  <c r="S321" i="2" s="1"/>
  <c r="N321" i="2"/>
  <c r="W320" i="2"/>
  <c r="R320" i="2"/>
  <c r="S320" i="2" s="1"/>
  <c r="N320" i="2"/>
  <c r="Z316" i="2"/>
  <c r="W319" i="2"/>
  <c r="R319" i="2"/>
  <c r="S319" i="2" s="1"/>
  <c r="N319" i="2"/>
  <c r="W318" i="2"/>
  <c r="N318" i="2"/>
  <c r="W317" i="2"/>
  <c r="R317" i="2"/>
  <c r="S317" i="2" s="1"/>
  <c r="N317" i="2"/>
  <c r="W316" i="2"/>
  <c r="N316" i="2"/>
  <c r="W315" i="2"/>
  <c r="R315" i="2"/>
  <c r="S315" i="2" s="1"/>
  <c r="N315" i="2"/>
  <c r="W314" i="2"/>
  <c r="N314" i="2"/>
  <c r="W313" i="2"/>
  <c r="R313" i="2"/>
  <c r="S313" i="2" s="1"/>
  <c r="N313" i="2"/>
  <c r="W312" i="2"/>
  <c r="R312" i="2"/>
  <c r="S312" i="2" s="1"/>
  <c r="N312" i="2"/>
  <c r="W311" i="2"/>
  <c r="R311" i="2"/>
  <c r="S311" i="2" s="1"/>
  <c r="N311" i="2"/>
  <c r="W310" i="2"/>
  <c r="N310" i="2"/>
  <c r="W309" i="2"/>
  <c r="R309" i="2"/>
  <c r="S309" i="2" s="1"/>
  <c r="N309" i="2"/>
  <c r="W308" i="2"/>
  <c r="N308" i="2"/>
  <c r="W307" i="2"/>
  <c r="R307" i="2"/>
  <c r="S307" i="2" s="1"/>
  <c r="N307" i="2"/>
  <c r="W306" i="2"/>
  <c r="N306" i="2"/>
  <c r="W305" i="2"/>
  <c r="R305" i="2"/>
  <c r="S305" i="2" s="1"/>
  <c r="N305" i="2"/>
  <c r="W304" i="2"/>
  <c r="S304" i="2"/>
  <c r="R304" i="2"/>
  <c r="N304" i="2"/>
  <c r="W303" i="2"/>
  <c r="R303" i="2"/>
  <c r="S303" i="2" s="1"/>
  <c r="N303" i="2"/>
  <c r="W302" i="2"/>
  <c r="N302" i="2"/>
  <c r="W301" i="2"/>
  <c r="R301" i="2"/>
  <c r="S301" i="2" s="1"/>
  <c r="N301" i="2"/>
  <c r="W300" i="2"/>
  <c r="N300" i="2"/>
  <c r="W299" i="2"/>
  <c r="R299" i="2"/>
  <c r="S299" i="2" s="1"/>
  <c r="N299" i="2"/>
  <c r="Z293" i="2"/>
  <c r="W298" i="2"/>
  <c r="N298" i="2"/>
  <c r="W297" i="2"/>
  <c r="S297" i="2"/>
  <c r="R297" i="2"/>
  <c r="N297" i="2"/>
  <c r="W296" i="2"/>
  <c r="R296" i="2"/>
  <c r="S296" i="2" s="1"/>
  <c r="N296" i="2"/>
  <c r="W295" i="2"/>
  <c r="R295" i="2"/>
  <c r="S295" i="2" s="1"/>
  <c r="N295" i="2"/>
  <c r="W294" i="2"/>
  <c r="N294" i="2"/>
  <c r="W293" i="2"/>
  <c r="N293" i="2"/>
  <c r="W292" i="2"/>
  <c r="R292" i="2"/>
  <c r="S292" i="2" s="1"/>
  <c r="N292" i="2"/>
  <c r="W291" i="2"/>
  <c r="N291" i="2"/>
  <c r="W290" i="2"/>
  <c r="N290" i="2"/>
  <c r="W289" i="2"/>
  <c r="S289" i="2"/>
  <c r="R289" i="2"/>
  <c r="N289" i="2"/>
  <c r="W288" i="2"/>
  <c r="S288" i="2"/>
  <c r="R288" i="2"/>
  <c r="N288" i="2"/>
  <c r="W287" i="2"/>
  <c r="R287" i="2"/>
  <c r="S287" i="2" s="1"/>
  <c r="N287" i="2"/>
  <c r="W286" i="2"/>
  <c r="R286" i="2"/>
  <c r="S286" i="2" s="1"/>
  <c r="N286" i="2"/>
  <c r="W285" i="2"/>
  <c r="R285" i="2"/>
  <c r="S285" i="2" s="1"/>
  <c r="N285" i="2"/>
  <c r="W284" i="2"/>
  <c r="S284" i="2"/>
  <c r="R284" i="2"/>
  <c r="N284" i="2"/>
  <c r="W283" i="2"/>
  <c r="R283" i="2"/>
  <c r="S283" i="2" s="1"/>
  <c r="N283" i="2"/>
  <c r="W282" i="2"/>
  <c r="S282" i="2"/>
  <c r="R282" i="2"/>
  <c r="N282" i="2"/>
  <c r="W281" i="2"/>
  <c r="S281" i="2"/>
  <c r="R281" i="2"/>
  <c r="N281" i="2"/>
  <c r="W280" i="2"/>
  <c r="R280" i="2"/>
  <c r="S280" i="2" s="1"/>
  <c r="N280" i="2"/>
  <c r="W279" i="2"/>
  <c r="S279" i="2"/>
  <c r="R279" i="2"/>
  <c r="N279" i="2"/>
  <c r="W278" i="2"/>
  <c r="S278" i="2"/>
  <c r="R278" i="2"/>
  <c r="N278" i="2"/>
  <c r="W277" i="2"/>
  <c r="R277" i="2"/>
  <c r="S277" i="2" s="1"/>
  <c r="N277" i="2"/>
  <c r="W276" i="2"/>
  <c r="R276" i="2"/>
  <c r="S276" i="2" s="1"/>
  <c r="N276" i="2"/>
  <c r="W275" i="2"/>
  <c r="R275" i="2"/>
  <c r="S275" i="2" s="1"/>
  <c r="N275" i="2"/>
  <c r="W274" i="2"/>
  <c r="S274" i="2"/>
  <c r="R274" i="2"/>
  <c r="N274" i="2"/>
  <c r="W273" i="2"/>
  <c r="S273" i="2"/>
  <c r="R273" i="2"/>
  <c r="N273" i="2"/>
  <c r="Z267" i="2"/>
  <c r="W272" i="2"/>
  <c r="S272" i="2"/>
  <c r="R272" i="2"/>
  <c r="N272" i="2"/>
  <c r="W271" i="2"/>
  <c r="S271" i="2"/>
  <c r="R271" i="2"/>
  <c r="N271" i="2"/>
  <c r="W270" i="2"/>
  <c r="R270" i="2"/>
  <c r="S270" i="2" s="1"/>
  <c r="N270" i="2"/>
  <c r="W269" i="2"/>
  <c r="R269" i="2"/>
  <c r="S269" i="2" s="1"/>
  <c r="N269" i="2"/>
  <c r="W268" i="2"/>
  <c r="S268" i="2"/>
  <c r="R268" i="2"/>
  <c r="N268" i="2"/>
  <c r="W267" i="2"/>
  <c r="R267" i="2"/>
  <c r="S267" i="2" s="1"/>
  <c r="N267" i="2"/>
  <c r="W266" i="2"/>
  <c r="S266" i="2"/>
  <c r="R266" i="2"/>
  <c r="N266" i="2"/>
  <c r="W265" i="2"/>
  <c r="R265" i="2"/>
  <c r="S265" i="2" s="1"/>
  <c r="N265" i="2"/>
  <c r="W264" i="2"/>
  <c r="S264" i="2"/>
  <c r="R264" i="2"/>
  <c r="N264" i="2"/>
  <c r="W263" i="2"/>
  <c r="R263" i="2"/>
  <c r="S263" i="2" s="1"/>
  <c r="N263" i="2"/>
  <c r="W262" i="2"/>
  <c r="S262" i="2"/>
  <c r="R262" i="2"/>
  <c r="N262" i="2"/>
  <c r="W261" i="2"/>
  <c r="R261" i="2"/>
  <c r="S261" i="2" s="1"/>
  <c r="N261" i="2"/>
  <c r="W260" i="2"/>
  <c r="S260" i="2"/>
  <c r="R260" i="2"/>
  <c r="N260" i="2"/>
  <c r="W259" i="2"/>
  <c r="S259" i="2"/>
  <c r="R259" i="2"/>
  <c r="N259" i="2"/>
  <c r="W258" i="2"/>
  <c r="R258" i="2"/>
  <c r="S258" i="2" s="1"/>
  <c r="N258" i="2"/>
  <c r="W257" i="2"/>
  <c r="R257" i="2"/>
  <c r="S257" i="2" s="1"/>
  <c r="N257" i="2"/>
  <c r="W256" i="2"/>
  <c r="R256" i="2"/>
  <c r="S256" i="2" s="1"/>
  <c r="N256" i="2"/>
  <c r="W255" i="2"/>
  <c r="S255" i="2"/>
  <c r="R255" i="2"/>
  <c r="N255" i="2"/>
  <c r="W254" i="2"/>
  <c r="R254" i="2"/>
  <c r="S254" i="2" s="1"/>
  <c r="N254" i="2"/>
  <c r="W253" i="2"/>
  <c r="S253" i="2"/>
  <c r="R253" i="2"/>
  <c r="N253" i="2"/>
  <c r="W252" i="2"/>
  <c r="S252" i="2"/>
  <c r="R252" i="2"/>
  <c r="N252" i="2"/>
  <c r="Z246" i="2"/>
  <c r="W251" i="2"/>
  <c r="S251" i="2"/>
  <c r="R251" i="2"/>
  <c r="N251" i="2"/>
  <c r="W250" i="2"/>
  <c r="S250" i="2"/>
  <c r="R250" i="2"/>
  <c r="N250" i="2"/>
  <c r="W249" i="2"/>
  <c r="R249" i="2"/>
  <c r="S249" i="2" s="1"/>
  <c r="N249" i="2"/>
  <c r="W248" i="2"/>
  <c r="S248" i="2"/>
  <c r="R248" i="2"/>
  <c r="N248" i="2"/>
  <c r="W247" i="2"/>
  <c r="S247" i="2"/>
  <c r="R247" i="2"/>
  <c r="N247" i="2"/>
  <c r="W246" i="2"/>
  <c r="R246" i="2"/>
  <c r="S246" i="2" s="1"/>
  <c r="N246" i="2"/>
  <c r="W245" i="2"/>
  <c r="S245" i="2"/>
  <c r="R245" i="2"/>
  <c r="N245" i="2"/>
  <c r="W244" i="2"/>
  <c r="R244" i="2"/>
  <c r="S244" i="2" s="1"/>
  <c r="N244" i="2"/>
  <c r="W243" i="2"/>
  <c r="R243" i="2"/>
  <c r="S243" i="2" s="1"/>
  <c r="N243" i="2"/>
  <c r="W242" i="2"/>
  <c r="R242" i="2"/>
  <c r="S242" i="2" s="1"/>
  <c r="N242" i="2"/>
  <c r="W241" i="2"/>
  <c r="R241" i="2"/>
  <c r="S241" i="2" s="1"/>
  <c r="N241" i="2"/>
  <c r="W240" i="2"/>
  <c r="N240" i="2"/>
  <c r="W239" i="2"/>
  <c r="N239" i="2"/>
  <c r="W238" i="2"/>
  <c r="N238" i="2"/>
  <c r="W237" i="2"/>
  <c r="R237" i="2"/>
  <c r="S237" i="2" s="1"/>
  <c r="N237" i="2"/>
  <c r="W236" i="2"/>
  <c r="R236" i="2"/>
  <c r="S236" i="2" s="1"/>
  <c r="N236" i="2"/>
  <c r="W235" i="2"/>
  <c r="R235" i="2"/>
  <c r="S235" i="2" s="1"/>
  <c r="N235" i="2"/>
  <c r="W234" i="2"/>
  <c r="S234" i="2"/>
  <c r="R234" i="2"/>
  <c r="N234" i="2"/>
  <c r="W233" i="2"/>
  <c r="R233" i="2"/>
  <c r="S233" i="2" s="1"/>
  <c r="N233" i="2"/>
  <c r="W232" i="2"/>
  <c r="N232" i="2"/>
  <c r="W231" i="2"/>
  <c r="R231" i="2"/>
  <c r="S231" i="2" s="1"/>
  <c r="N231" i="2"/>
  <c r="W230" i="2"/>
  <c r="N230" i="2"/>
  <c r="W229" i="2"/>
  <c r="R229" i="2"/>
  <c r="S229" i="2" s="1"/>
  <c r="N229" i="2"/>
  <c r="W228" i="2"/>
  <c r="R228" i="2"/>
  <c r="S228" i="2" s="1"/>
  <c r="N228" i="2"/>
  <c r="W227" i="2"/>
  <c r="N227" i="2"/>
  <c r="W226" i="2"/>
  <c r="R226" i="2"/>
  <c r="S226" i="2" s="1"/>
  <c r="N226" i="2"/>
  <c r="W225" i="2"/>
  <c r="R225" i="2"/>
  <c r="S225" i="2" s="1"/>
  <c r="N225" i="2"/>
  <c r="W224" i="2"/>
  <c r="S224" i="2"/>
  <c r="R224" i="2"/>
  <c r="N224" i="2"/>
  <c r="W223" i="2"/>
  <c r="R223" i="2"/>
  <c r="S223" i="2" s="1"/>
  <c r="N223" i="2"/>
  <c r="W222" i="2"/>
  <c r="N222" i="2"/>
  <c r="W221" i="2"/>
  <c r="R221" i="2"/>
  <c r="S221" i="2" s="1"/>
  <c r="N221" i="2"/>
  <c r="W220" i="2"/>
  <c r="R220" i="2"/>
  <c r="S220" i="2" s="1"/>
  <c r="N220" i="2"/>
  <c r="W219" i="2"/>
  <c r="R219" i="2"/>
  <c r="S219" i="2" s="1"/>
  <c r="N219" i="2"/>
  <c r="W218" i="2"/>
  <c r="S218" i="2"/>
  <c r="R218" i="2"/>
  <c r="N218" i="2"/>
  <c r="W217" i="2"/>
  <c r="R217" i="2"/>
  <c r="S217" i="2" s="1"/>
  <c r="N217" i="2"/>
  <c r="W216" i="2"/>
  <c r="R216" i="2"/>
  <c r="S216" i="2" s="1"/>
  <c r="N216" i="2"/>
  <c r="W215" i="2"/>
  <c r="R215" i="2"/>
  <c r="S215" i="2" s="1"/>
  <c r="N215" i="2"/>
  <c r="W214" i="2"/>
  <c r="N214" i="2"/>
  <c r="W213" i="2"/>
  <c r="R213" i="2"/>
  <c r="S213" i="2" s="1"/>
  <c r="N213" i="2"/>
  <c r="W212" i="2"/>
  <c r="R212" i="2"/>
  <c r="S212" i="2" s="1"/>
  <c r="N212" i="2"/>
  <c r="W211" i="2"/>
  <c r="R211" i="2"/>
  <c r="S211" i="2" s="1"/>
  <c r="N211" i="2"/>
  <c r="W210" i="2"/>
  <c r="R210" i="2"/>
  <c r="S210" i="2" s="1"/>
  <c r="N210" i="2"/>
  <c r="W209" i="2"/>
  <c r="R209" i="2"/>
  <c r="S209" i="2" s="1"/>
  <c r="N209" i="2"/>
  <c r="W208" i="2"/>
  <c r="R208" i="2"/>
  <c r="S208" i="2" s="1"/>
  <c r="N208" i="2"/>
  <c r="W207" i="2"/>
  <c r="R207" i="2"/>
  <c r="S207" i="2" s="1"/>
  <c r="N207" i="2"/>
  <c r="W206" i="2"/>
  <c r="N206" i="2"/>
  <c r="W205" i="2"/>
  <c r="R205" i="2"/>
  <c r="S205" i="2" s="1"/>
  <c r="N205" i="2"/>
  <c r="W204" i="2"/>
  <c r="R204" i="2"/>
  <c r="S204" i="2" s="1"/>
  <c r="N204" i="2"/>
  <c r="W203" i="2"/>
  <c r="R203" i="2"/>
  <c r="S203" i="2" s="1"/>
  <c r="N203" i="2"/>
  <c r="W202" i="2"/>
  <c r="R202" i="2"/>
  <c r="S202" i="2" s="1"/>
  <c r="N202" i="2"/>
  <c r="W201" i="2"/>
  <c r="R201" i="2"/>
  <c r="S201" i="2" s="1"/>
  <c r="N201" i="2"/>
  <c r="W200" i="2"/>
  <c r="S200" i="2"/>
  <c r="R200" i="2"/>
  <c r="N200" i="2"/>
  <c r="W199" i="2"/>
  <c r="R199" i="2"/>
  <c r="S199" i="2" s="1"/>
  <c r="N199" i="2"/>
  <c r="W198" i="2"/>
  <c r="R198" i="2"/>
  <c r="S198" i="2" s="1"/>
  <c r="N198" i="2"/>
  <c r="W197" i="2"/>
  <c r="R197" i="2"/>
  <c r="S197" i="2" s="1"/>
  <c r="N197" i="2"/>
  <c r="W196" i="2"/>
  <c r="R196" i="2"/>
  <c r="S196" i="2" s="1"/>
  <c r="N196" i="2"/>
  <c r="W195" i="2"/>
  <c r="R195" i="2"/>
  <c r="S195" i="2" s="1"/>
  <c r="N195" i="2"/>
  <c r="W194" i="2"/>
  <c r="R194" i="2"/>
  <c r="S194" i="2" s="1"/>
  <c r="N194" i="2"/>
  <c r="W193" i="2"/>
  <c r="R193" i="2"/>
  <c r="S193" i="2" s="1"/>
  <c r="N193" i="2"/>
  <c r="W192" i="2"/>
  <c r="R192" i="2"/>
  <c r="S192" i="2" s="1"/>
  <c r="N192" i="2"/>
  <c r="W191" i="2"/>
  <c r="R191" i="2"/>
  <c r="S191" i="2" s="1"/>
  <c r="N191" i="2"/>
  <c r="W190" i="2"/>
  <c r="N190" i="2"/>
  <c r="W189" i="2"/>
  <c r="R189" i="2"/>
  <c r="S189" i="2" s="1"/>
  <c r="N189" i="2"/>
  <c r="W188" i="2"/>
  <c r="R188" i="2"/>
  <c r="S188" i="2" s="1"/>
  <c r="N188" i="2"/>
  <c r="W187" i="2"/>
  <c r="R187" i="2"/>
  <c r="S187" i="2" s="1"/>
  <c r="N187" i="2"/>
  <c r="W186" i="2"/>
  <c r="R186" i="2"/>
  <c r="S186" i="2" s="1"/>
  <c r="N186" i="2"/>
  <c r="W185" i="2"/>
  <c r="R185" i="2"/>
  <c r="S185" i="2" s="1"/>
  <c r="N185" i="2"/>
  <c r="W184" i="2"/>
  <c r="R184" i="2"/>
  <c r="S184" i="2" s="1"/>
  <c r="N184" i="2"/>
  <c r="W183" i="2"/>
  <c r="R183" i="2"/>
  <c r="S183" i="2" s="1"/>
  <c r="N183" i="2"/>
  <c r="W182" i="2"/>
  <c r="N182" i="2"/>
  <c r="W181" i="2"/>
  <c r="R181" i="2"/>
  <c r="S181" i="2" s="1"/>
  <c r="N181" i="2"/>
  <c r="W180" i="2"/>
  <c r="R180" i="2"/>
  <c r="S180" i="2" s="1"/>
  <c r="N180" i="2"/>
  <c r="W179" i="2"/>
  <c r="R179" i="2"/>
  <c r="S179" i="2" s="1"/>
  <c r="N179" i="2"/>
  <c r="W178" i="2"/>
  <c r="R178" i="2"/>
  <c r="S178" i="2" s="1"/>
  <c r="N178" i="2"/>
  <c r="W177" i="2"/>
  <c r="R177" i="2"/>
  <c r="S177" i="2" s="1"/>
  <c r="N177" i="2"/>
  <c r="W176" i="2"/>
  <c r="R176" i="2"/>
  <c r="S176" i="2" s="1"/>
  <c r="N176" i="2"/>
  <c r="W175" i="2"/>
  <c r="R175" i="2"/>
  <c r="S175" i="2" s="1"/>
  <c r="N175" i="2"/>
  <c r="W174" i="2"/>
  <c r="N174" i="2"/>
  <c r="W173" i="2"/>
  <c r="R173" i="2"/>
  <c r="S173" i="2" s="1"/>
  <c r="N173" i="2"/>
  <c r="W172" i="2"/>
  <c r="R172" i="2"/>
  <c r="S172" i="2" s="1"/>
  <c r="N172" i="2"/>
  <c r="W171" i="2"/>
  <c r="R171" i="2"/>
  <c r="S171" i="2" s="1"/>
  <c r="N171" i="2"/>
  <c r="W170" i="2"/>
  <c r="R170" i="2"/>
  <c r="S170" i="2" s="1"/>
  <c r="N170" i="2"/>
  <c r="W169" i="2"/>
  <c r="R169" i="2"/>
  <c r="S169" i="2" s="1"/>
  <c r="N169" i="2"/>
  <c r="W168" i="2"/>
  <c r="R168" i="2"/>
  <c r="S168" i="2" s="1"/>
  <c r="N168" i="2"/>
  <c r="W167" i="2"/>
  <c r="R167" i="2"/>
  <c r="S167" i="2" s="1"/>
  <c r="N167" i="2"/>
  <c r="W166" i="2"/>
  <c r="N166" i="2"/>
  <c r="W165" i="2"/>
  <c r="R165" i="2"/>
  <c r="S165" i="2" s="1"/>
  <c r="N165" i="2"/>
  <c r="W164" i="2"/>
  <c r="R164" i="2"/>
  <c r="S164" i="2" s="1"/>
  <c r="N164" i="2"/>
  <c r="W163" i="2"/>
  <c r="R163" i="2"/>
  <c r="S163" i="2" s="1"/>
  <c r="N163" i="2"/>
  <c r="W162" i="2"/>
  <c r="R162" i="2"/>
  <c r="S162" i="2" s="1"/>
  <c r="N162" i="2"/>
  <c r="W161" i="2"/>
  <c r="R161" i="2"/>
  <c r="S161" i="2" s="1"/>
  <c r="N161" i="2"/>
  <c r="W160" i="2"/>
  <c r="R160" i="2"/>
  <c r="S160" i="2" s="1"/>
  <c r="N160" i="2"/>
  <c r="W159" i="2"/>
  <c r="R159" i="2"/>
  <c r="S159" i="2" s="1"/>
  <c r="N159" i="2"/>
  <c r="W158" i="2"/>
  <c r="N158" i="2"/>
  <c r="Y157" i="2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4" i="2" s="1"/>
  <c r="W157" i="2"/>
  <c r="R157" i="2"/>
  <c r="S157" i="2" s="1"/>
  <c r="N157" i="2"/>
  <c r="W156" i="2"/>
  <c r="R156" i="2"/>
  <c r="S156" i="2" s="1"/>
  <c r="N156" i="2"/>
  <c r="W155" i="2"/>
  <c r="R155" i="2"/>
  <c r="S155" i="2" s="1"/>
  <c r="N155" i="2"/>
  <c r="W154" i="2"/>
  <c r="R154" i="2"/>
  <c r="S154" i="2" s="1"/>
  <c r="N154" i="2"/>
  <c r="Z153" i="2"/>
  <c r="Y153" i="2"/>
  <c r="Y154" i="2" s="1"/>
  <c r="Y155" i="2" s="1"/>
  <c r="Y156" i="2" s="1"/>
  <c r="W153" i="2"/>
  <c r="R153" i="2"/>
  <c r="S153" i="2" s="1"/>
  <c r="N153" i="2"/>
  <c r="H153" i="2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4" i="2" s="1"/>
  <c r="Y152" i="2"/>
  <c r="W152" i="2"/>
  <c r="R152" i="2"/>
  <c r="S152" i="2" s="1"/>
  <c r="N152" i="2"/>
  <c r="Y151" i="2"/>
  <c r="W151" i="2"/>
  <c r="R151" i="2"/>
  <c r="S151" i="2" s="1"/>
  <c r="N151" i="2"/>
  <c r="H151" i="2"/>
  <c r="H152" i="2" s="1"/>
  <c r="W150" i="2"/>
  <c r="R150" i="2"/>
  <c r="S150" i="2" s="1"/>
  <c r="N150" i="2"/>
  <c r="W149" i="2"/>
  <c r="S149" i="2"/>
  <c r="R149" i="2"/>
  <c r="N149" i="2"/>
  <c r="W148" i="2"/>
  <c r="R148" i="2"/>
  <c r="S148" i="2" s="1"/>
  <c r="N148" i="2"/>
  <c r="H148" i="2"/>
  <c r="H149" i="2" s="1"/>
  <c r="W147" i="2"/>
  <c r="R147" i="2"/>
  <c r="S147" i="2" s="1"/>
  <c r="N147" i="2"/>
  <c r="W146" i="2"/>
  <c r="S146" i="2"/>
  <c r="R146" i="2"/>
  <c r="N146" i="2"/>
  <c r="W145" i="2"/>
  <c r="S145" i="2"/>
  <c r="R145" i="2"/>
  <c r="N145" i="2"/>
  <c r="G145" i="2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W144" i="2"/>
  <c r="S144" i="2"/>
  <c r="R144" i="2"/>
  <c r="N144" i="2"/>
  <c r="W143" i="2"/>
  <c r="S143" i="2"/>
  <c r="R143" i="2"/>
  <c r="N143" i="2"/>
  <c r="W142" i="2"/>
  <c r="R142" i="2"/>
  <c r="S142" i="2" s="1"/>
  <c r="N142" i="2"/>
  <c r="W141" i="2"/>
  <c r="R141" i="2"/>
  <c r="S141" i="2" s="1"/>
  <c r="N141" i="2"/>
  <c r="W140" i="2"/>
  <c r="R140" i="2"/>
  <c r="S140" i="2" s="1"/>
  <c r="N140" i="2"/>
  <c r="W139" i="2"/>
  <c r="R139" i="2"/>
  <c r="S139" i="2" s="1"/>
  <c r="N139" i="2"/>
  <c r="H139" i="2"/>
  <c r="H140" i="2" s="1"/>
  <c r="H141" i="2" s="1"/>
  <c r="H142" i="2" s="1"/>
  <c r="H143" i="2" s="1"/>
  <c r="H144" i="2" s="1"/>
  <c r="H145" i="2" s="1"/>
  <c r="H146" i="2" s="1"/>
  <c r="H147" i="2" s="1"/>
  <c r="G139" i="2"/>
  <c r="G140" i="2" s="1"/>
  <c r="G141" i="2" s="1"/>
  <c r="G142" i="2" s="1"/>
  <c r="G143" i="2" s="1"/>
  <c r="G144" i="2" s="1"/>
  <c r="W138" i="2"/>
  <c r="S138" i="2"/>
  <c r="R138" i="2"/>
  <c r="N138" i="2"/>
  <c r="W137" i="2"/>
  <c r="R137" i="2"/>
  <c r="S137" i="2" s="1"/>
  <c r="N137" i="2"/>
  <c r="W136" i="2"/>
  <c r="R136" i="2"/>
  <c r="S136" i="2" s="1"/>
  <c r="N136" i="2"/>
  <c r="W135" i="2"/>
  <c r="R135" i="2"/>
  <c r="S135" i="2" s="1"/>
  <c r="N135" i="2"/>
  <c r="W134" i="2"/>
  <c r="S134" i="2"/>
  <c r="R134" i="2"/>
  <c r="N134" i="2"/>
  <c r="W133" i="2"/>
  <c r="S133" i="2"/>
  <c r="R133" i="2"/>
  <c r="N133" i="2"/>
  <c r="W132" i="2"/>
  <c r="S132" i="2"/>
  <c r="R132" i="2"/>
  <c r="N132" i="2"/>
  <c r="W131" i="2"/>
  <c r="R131" i="2"/>
  <c r="S131" i="2" s="1"/>
  <c r="N131" i="2"/>
  <c r="W130" i="2"/>
  <c r="S130" i="2"/>
  <c r="R130" i="2"/>
  <c r="N130" i="2"/>
  <c r="W129" i="2"/>
  <c r="S129" i="2"/>
  <c r="R129" i="2"/>
  <c r="N129" i="2"/>
  <c r="W128" i="2"/>
  <c r="S128" i="2"/>
  <c r="R128" i="2"/>
  <c r="N128" i="2"/>
  <c r="W127" i="2"/>
  <c r="R127" i="2"/>
  <c r="S127" i="2" s="1"/>
  <c r="N127" i="2"/>
  <c r="W126" i="2"/>
  <c r="S126" i="2"/>
  <c r="R126" i="2"/>
  <c r="N126" i="2"/>
  <c r="W125" i="2"/>
  <c r="S125" i="2"/>
  <c r="R125" i="2"/>
  <c r="N125" i="2"/>
  <c r="W124" i="2"/>
  <c r="S124" i="2"/>
  <c r="R124" i="2"/>
  <c r="N124" i="2"/>
  <c r="W123" i="2"/>
  <c r="R123" i="2"/>
  <c r="S123" i="2" s="1"/>
  <c r="N123" i="2"/>
  <c r="W122" i="2"/>
  <c r="R122" i="2"/>
  <c r="S122" i="2" s="1"/>
  <c r="N122" i="2"/>
  <c r="W121" i="2"/>
  <c r="R121" i="2"/>
  <c r="S121" i="2" s="1"/>
  <c r="N121" i="2"/>
  <c r="W120" i="2"/>
  <c r="R120" i="2"/>
  <c r="S120" i="2" s="1"/>
  <c r="N120" i="2"/>
  <c r="W119" i="2"/>
  <c r="S119" i="2"/>
  <c r="R119" i="2"/>
  <c r="N119" i="2"/>
  <c r="W118" i="2"/>
  <c r="R118" i="2"/>
  <c r="S118" i="2" s="1"/>
  <c r="N118" i="2"/>
  <c r="I118" i="2"/>
  <c r="W117" i="2"/>
  <c r="S117" i="2"/>
  <c r="R117" i="2"/>
  <c r="N117" i="2"/>
  <c r="Z116" i="2"/>
  <c r="W116" i="2"/>
  <c r="R116" i="2"/>
  <c r="S116" i="2" s="1"/>
  <c r="N116" i="2"/>
  <c r="I116" i="2"/>
  <c r="W115" i="2"/>
  <c r="S115" i="2"/>
  <c r="R115" i="2"/>
  <c r="N115" i="2"/>
  <c r="W114" i="2"/>
  <c r="S114" i="2"/>
  <c r="R114" i="2"/>
  <c r="N114" i="2"/>
  <c r="I114" i="2"/>
  <c r="Y113" i="2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W113" i="2"/>
  <c r="S113" i="2"/>
  <c r="R113" i="2"/>
  <c r="N113" i="2"/>
  <c r="H113" i="2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W112" i="2"/>
  <c r="Q112" i="2"/>
  <c r="R112" i="2" s="1"/>
  <c r="S112" i="2" s="1"/>
  <c r="N112" i="2"/>
  <c r="W111" i="2"/>
  <c r="Q111" i="2"/>
  <c r="R111" i="2" s="1"/>
  <c r="S111" i="2" s="1"/>
  <c r="N111" i="2"/>
  <c r="W110" i="2"/>
  <c r="S110" i="2"/>
  <c r="Q110" i="2"/>
  <c r="R110" i="2" s="1"/>
  <c r="N110" i="2"/>
  <c r="W109" i="2"/>
  <c r="R109" i="2"/>
  <c r="S109" i="2" s="1"/>
  <c r="Q109" i="2"/>
  <c r="N109" i="2"/>
  <c r="W108" i="2"/>
  <c r="Q108" i="2"/>
  <c r="R108" i="2" s="1"/>
  <c r="S108" i="2" s="1"/>
  <c r="N108" i="2"/>
  <c r="W107" i="2"/>
  <c r="Q107" i="2"/>
  <c r="R107" i="2" s="1"/>
  <c r="S107" i="2" s="1"/>
  <c r="N107" i="2"/>
  <c r="W106" i="2"/>
  <c r="Q106" i="2"/>
  <c r="R106" i="2" s="1"/>
  <c r="S106" i="2" s="1"/>
  <c r="N106" i="2"/>
  <c r="W105" i="2"/>
  <c r="R105" i="2"/>
  <c r="S105" i="2" s="1"/>
  <c r="Q105" i="2"/>
  <c r="N105" i="2"/>
  <c r="W104" i="2"/>
  <c r="Q104" i="2"/>
  <c r="R104" i="2" s="1"/>
  <c r="S104" i="2" s="1"/>
  <c r="N104" i="2"/>
  <c r="W103" i="2"/>
  <c r="S103" i="2"/>
  <c r="Q103" i="2"/>
  <c r="R103" i="2" s="1"/>
  <c r="N103" i="2"/>
  <c r="W102" i="2"/>
  <c r="S102" i="2"/>
  <c r="Q102" i="2"/>
  <c r="R102" i="2" s="1"/>
  <c r="N102" i="2"/>
  <c r="W101" i="2"/>
  <c r="S101" i="2"/>
  <c r="R101" i="2"/>
  <c r="Q101" i="2"/>
  <c r="N101" i="2"/>
  <c r="W100" i="2"/>
  <c r="Q100" i="2"/>
  <c r="R100" i="2" s="1"/>
  <c r="S100" i="2" s="1"/>
  <c r="N100" i="2"/>
  <c r="W99" i="2"/>
  <c r="S99" i="2"/>
  <c r="R99" i="2"/>
  <c r="Q99" i="2"/>
  <c r="N99" i="2"/>
  <c r="W98" i="2"/>
  <c r="S98" i="2"/>
  <c r="Q98" i="2"/>
  <c r="R98" i="2" s="1"/>
  <c r="N98" i="2"/>
  <c r="W97" i="2"/>
  <c r="S97" i="2"/>
  <c r="R97" i="2"/>
  <c r="Q97" i="2"/>
  <c r="N97" i="2"/>
  <c r="W96" i="2"/>
  <c r="S96" i="2"/>
  <c r="Q96" i="2"/>
  <c r="R96" i="2" s="1"/>
  <c r="N96" i="2"/>
  <c r="W95" i="2"/>
  <c r="S95" i="2"/>
  <c r="R95" i="2"/>
  <c r="Q95" i="2"/>
  <c r="N95" i="2"/>
  <c r="W94" i="2"/>
  <c r="S94" i="2"/>
  <c r="Q94" i="2"/>
  <c r="R94" i="2" s="1"/>
  <c r="N94" i="2"/>
  <c r="W93" i="2"/>
  <c r="S93" i="2"/>
  <c r="R93" i="2"/>
  <c r="Q93" i="2"/>
  <c r="N93" i="2"/>
  <c r="W92" i="2"/>
  <c r="S92" i="2"/>
  <c r="Q92" i="2"/>
  <c r="R92" i="2" s="1"/>
  <c r="N92" i="2"/>
  <c r="W91" i="2"/>
  <c r="S91" i="2"/>
  <c r="R91" i="2"/>
  <c r="Q91" i="2"/>
  <c r="N91" i="2"/>
  <c r="W90" i="2"/>
  <c r="S90" i="2"/>
  <c r="Q90" i="2"/>
  <c r="R90" i="2" s="1"/>
  <c r="N90" i="2"/>
  <c r="W89" i="2"/>
  <c r="S89" i="2"/>
  <c r="R89" i="2"/>
  <c r="Q89" i="2"/>
  <c r="N89" i="2"/>
  <c r="W88" i="2"/>
  <c r="S88" i="2"/>
  <c r="Q88" i="2"/>
  <c r="R88" i="2" s="1"/>
  <c r="N88" i="2"/>
  <c r="W87" i="2"/>
  <c r="S87" i="2"/>
  <c r="R87" i="2"/>
  <c r="Q87" i="2"/>
  <c r="N87" i="2"/>
  <c r="W86" i="2"/>
  <c r="S86" i="2"/>
  <c r="Q86" i="2"/>
  <c r="R86" i="2" s="1"/>
  <c r="N86" i="2"/>
  <c r="W85" i="2"/>
  <c r="S85" i="2"/>
  <c r="R85" i="2"/>
  <c r="Q85" i="2"/>
  <c r="N85" i="2"/>
  <c r="W84" i="2"/>
  <c r="S84" i="2"/>
  <c r="Q84" i="2"/>
  <c r="R84" i="2" s="1"/>
  <c r="N84" i="2"/>
  <c r="W83" i="2"/>
  <c r="S83" i="2"/>
  <c r="R83" i="2"/>
  <c r="Q83" i="2"/>
  <c r="N83" i="2"/>
  <c r="W82" i="2"/>
  <c r="S82" i="2"/>
  <c r="Q82" i="2"/>
  <c r="R82" i="2" s="1"/>
  <c r="N82" i="2"/>
  <c r="W81" i="2"/>
  <c r="S81" i="2"/>
  <c r="R81" i="2"/>
  <c r="Q81" i="2"/>
  <c r="N81" i="2"/>
  <c r="W80" i="2"/>
  <c r="S80" i="2"/>
  <c r="Q80" i="2"/>
  <c r="R80" i="2" s="1"/>
  <c r="N80" i="2"/>
  <c r="W79" i="2"/>
  <c r="S79" i="2"/>
  <c r="R79" i="2"/>
  <c r="Q79" i="2"/>
  <c r="N79" i="2"/>
  <c r="W78" i="2"/>
  <c r="S78" i="2"/>
  <c r="Q78" i="2"/>
  <c r="R78" i="2" s="1"/>
  <c r="N78" i="2"/>
  <c r="W77" i="2"/>
  <c r="S77" i="2"/>
  <c r="R77" i="2"/>
  <c r="Q77" i="2"/>
  <c r="N77" i="2"/>
  <c r="W76" i="2"/>
  <c r="S76" i="2"/>
  <c r="Q76" i="2"/>
  <c r="R76" i="2" s="1"/>
  <c r="N76" i="2"/>
  <c r="W75" i="2"/>
  <c r="S75" i="2"/>
  <c r="R75" i="2"/>
  <c r="Q75" i="2"/>
  <c r="N75" i="2"/>
  <c r="W74" i="2"/>
  <c r="S74" i="2"/>
  <c r="Q74" i="2"/>
  <c r="R74" i="2" s="1"/>
  <c r="N74" i="2"/>
  <c r="W73" i="2"/>
  <c r="S73" i="2"/>
  <c r="R73" i="2"/>
  <c r="Q73" i="2"/>
  <c r="N73" i="2"/>
  <c r="W72" i="2"/>
  <c r="S72" i="2"/>
  <c r="Q72" i="2"/>
  <c r="R72" i="2" s="1"/>
  <c r="N72" i="2"/>
  <c r="W71" i="2"/>
  <c r="S71" i="2"/>
  <c r="R71" i="2"/>
  <c r="Q71" i="2"/>
  <c r="N71" i="2"/>
  <c r="W70" i="2"/>
  <c r="S70" i="2"/>
  <c r="Q70" i="2"/>
  <c r="R70" i="2" s="1"/>
  <c r="N70" i="2"/>
  <c r="W69" i="2"/>
  <c r="S69" i="2"/>
  <c r="R69" i="2"/>
  <c r="Q69" i="2"/>
  <c r="N69" i="2"/>
  <c r="W68" i="2"/>
  <c r="Q68" i="2"/>
  <c r="R68" i="2" s="1"/>
  <c r="S68" i="2" s="1"/>
  <c r="N68" i="2"/>
  <c r="W67" i="2"/>
  <c r="Q67" i="2"/>
  <c r="R67" i="2" s="1"/>
  <c r="S67" i="2" s="1"/>
  <c r="N67" i="2"/>
  <c r="W66" i="2"/>
  <c r="Q66" i="2"/>
  <c r="R66" i="2" s="1"/>
  <c r="S66" i="2" s="1"/>
  <c r="N66" i="2"/>
  <c r="W65" i="2"/>
  <c r="R65" i="2"/>
  <c r="S65" i="2" s="1"/>
  <c r="Q65" i="2"/>
  <c r="N65" i="2"/>
  <c r="W64" i="2"/>
  <c r="Q64" i="2"/>
  <c r="R64" i="2" s="1"/>
  <c r="S64" i="2" s="1"/>
  <c r="N64" i="2"/>
  <c r="W63" i="2"/>
  <c r="Q63" i="2"/>
  <c r="R63" i="2" s="1"/>
  <c r="S63" i="2" s="1"/>
  <c r="N63" i="2"/>
  <c r="W62" i="2"/>
  <c r="Q62" i="2"/>
  <c r="R62" i="2" s="1"/>
  <c r="S62" i="2" s="1"/>
  <c r="N62" i="2"/>
  <c r="W61" i="2"/>
  <c r="R61" i="2"/>
  <c r="S61" i="2" s="1"/>
  <c r="Q61" i="2"/>
  <c r="N61" i="2"/>
  <c r="W60" i="2"/>
  <c r="Q60" i="2"/>
  <c r="R60" i="2" s="1"/>
  <c r="S60" i="2" s="1"/>
  <c r="N60" i="2"/>
  <c r="W59" i="2"/>
  <c r="Q59" i="2"/>
  <c r="R59" i="2" s="1"/>
  <c r="S59" i="2" s="1"/>
  <c r="N59" i="2"/>
  <c r="W58" i="2"/>
  <c r="Q58" i="2"/>
  <c r="R58" i="2" s="1"/>
  <c r="S58" i="2" s="1"/>
  <c r="N58" i="2"/>
  <c r="W57" i="2"/>
  <c r="R57" i="2"/>
  <c r="S57" i="2" s="1"/>
  <c r="Q57" i="2"/>
  <c r="N57" i="2"/>
  <c r="W56" i="2"/>
  <c r="Q56" i="2"/>
  <c r="R56" i="2" s="1"/>
  <c r="S56" i="2" s="1"/>
  <c r="N56" i="2"/>
  <c r="W55" i="2"/>
  <c r="S55" i="2"/>
  <c r="Q55" i="2"/>
  <c r="R55" i="2" s="1"/>
  <c r="N55" i="2"/>
  <c r="W54" i="2"/>
  <c r="S54" i="2"/>
  <c r="Q54" i="2"/>
  <c r="R54" i="2" s="1"/>
  <c r="N54" i="2"/>
  <c r="W53" i="2"/>
  <c r="R53" i="2"/>
  <c r="S53" i="2" s="1"/>
  <c r="Q53" i="2"/>
  <c r="N53" i="2"/>
  <c r="W52" i="2"/>
  <c r="Q52" i="2"/>
  <c r="R52" i="2" s="1"/>
  <c r="S52" i="2" s="1"/>
  <c r="N52" i="2"/>
  <c r="W51" i="2"/>
  <c r="R51" i="2"/>
  <c r="S51" i="2" s="1"/>
  <c r="Q51" i="2"/>
  <c r="N51" i="2"/>
  <c r="W50" i="2"/>
  <c r="Q50" i="2"/>
  <c r="R50" i="2" s="1"/>
  <c r="S50" i="2" s="1"/>
  <c r="N50" i="2"/>
  <c r="W49" i="2"/>
  <c r="Q49" i="2"/>
  <c r="R49" i="2" s="1"/>
  <c r="S49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N49" i="2"/>
  <c r="W48" i="2"/>
  <c r="R48" i="2"/>
  <c r="S48" i="2" s="1"/>
  <c r="N48" i="2"/>
  <c r="W47" i="2"/>
  <c r="R47" i="2"/>
  <c r="S47" i="2" s="1"/>
  <c r="N47" i="2"/>
  <c r="W46" i="2"/>
  <c r="S46" i="2"/>
  <c r="R46" i="2"/>
  <c r="N46" i="2"/>
  <c r="W45" i="2"/>
  <c r="T45" i="2"/>
  <c r="T46" i="2" s="1"/>
  <c r="R45" i="2"/>
  <c r="S45" i="2" s="1"/>
  <c r="N45" i="2"/>
  <c r="I45" i="2"/>
  <c r="W44" i="2"/>
  <c r="S44" i="2"/>
  <c r="R44" i="2"/>
  <c r="N44" i="2"/>
  <c r="Z43" i="2"/>
  <c r="W43" i="2"/>
  <c r="R43" i="2"/>
  <c r="S43" i="2" s="1"/>
  <c r="N43" i="2"/>
  <c r="I43" i="2"/>
  <c r="X42" i="2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6" i="2" s="1"/>
  <c r="X337" i="2" s="1"/>
  <c r="X338" i="2" s="1"/>
  <c r="X339" i="2" s="1"/>
  <c r="X340" i="2" s="1"/>
  <c r="X341" i="2" s="1"/>
  <c r="X342" i="2" s="1"/>
  <c r="X343" i="2" s="1"/>
  <c r="X344" i="2" s="1"/>
  <c r="X345" i="2" s="1"/>
  <c r="X346" i="2" s="1"/>
  <c r="X347" i="2" s="1"/>
  <c r="X348" i="2" s="1"/>
  <c r="X349" i="2" s="1"/>
  <c r="X350" i="2" s="1"/>
  <c r="X351" i="2" s="1"/>
  <c r="X352" i="2" s="1"/>
  <c r="X353" i="2" s="1"/>
  <c r="X354" i="2" s="1"/>
  <c r="X355" i="2" s="1"/>
  <c r="X356" i="2" s="1"/>
  <c r="W42" i="2"/>
  <c r="S42" i="2"/>
  <c r="T42" i="2" s="1"/>
  <c r="R42" i="2"/>
  <c r="N42" i="2"/>
  <c r="W41" i="2"/>
  <c r="S41" i="2"/>
  <c r="R41" i="2"/>
  <c r="N41" i="2"/>
  <c r="M41" i="2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M256" i="2" s="1"/>
  <c r="M257" i="2" s="1"/>
  <c r="M258" i="2" s="1"/>
  <c r="M259" i="2" s="1"/>
  <c r="M260" i="2" s="1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M283" i="2" s="1"/>
  <c r="M284" i="2" s="1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M311" i="2" s="1"/>
  <c r="M312" i="2" s="1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M330" i="2" s="1"/>
  <c r="M331" i="2" s="1"/>
  <c r="M332" i="2" s="1"/>
  <c r="M333" i="2" s="1"/>
  <c r="M334" i="2" s="1"/>
  <c r="M335" i="2" s="1"/>
  <c r="M336" i="2" s="1"/>
  <c r="M337" i="2" s="1"/>
  <c r="M338" i="2" s="1"/>
  <c r="M339" i="2" s="1"/>
  <c r="M340" i="2" s="1"/>
  <c r="M341" i="2" s="1"/>
  <c r="M342" i="2" s="1"/>
  <c r="M343" i="2" s="1"/>
  <c r="M344" i="2" s="1"/>
  <c r="M345" i="2" s="1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I41" i="2"/>
  <c r="X40" i="2"/>
  <c r="X41" i="2" s="1"/>
  <c r="W40" i="2"/>
  <c r="S40" i="2"/>
  <c r="R40" i="2"/>
  <c r="N40" i="2"/>
  <c r="M40" i="2"/>
  <c r="K40" i="2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G40" i="2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N38" i="2"/>
  <c r="N37" i="2"/>
  <c r="N36" i="2"/>
  <c r="N35" i="2"/>
  <c r="N34" i="2"/>
  <c r="N33" i="2"/>
  <c r="N32" i="2"/>
  <c r="N31" i="2"/>
  <c r="N30" i="2"/>
  <c r="O29" i="2"/>
  <c r="N29" i="2"/>
  <c r="N28" i="2"/>
  <c r="N27" i="2"/>
  <c r="N26" i="2"/>
  <c r="N25" i="2"/>
  <c r="N24" i="2"/>
  <c r="N23" i="2"/>
  <c r="O22" i="2"/>
  <c r="N22" i="2"/>
  <c r="N21" i="2"/>
  <c r="N20" i="2"/>
  <c r="N19" i="2"/>
  <c r="N18" i="2"/>
  <c r="N17" i="2"/>
  <c r="N16" i="2"/>
  <c r="N15" i="2"/>
  <c r="N14" i="2"/>
  <c r="N13" i="2"/>
  <c r="N12" i="2"/>
  <c r="O11" i="2"/>
  <c r="O12" i="2" s="1"/>
  <c r="O13" i="2" s="1"/>
  <c r="O14" i="2" s="1"/>
  <c r="O15" i="2" s="1"/>
  <c r="O16" i="2" s="1"/>
  <c r="O17" i="2" s="1"/>
  <c r="N11" i="2"/>
  <c r="O10" i="2"/>
  <c r="N10" i="2"/>
  <c r="N9" i="2"/>
  <c r="N8" i="2"/>
  <c r="N7" i="2"/>
  <c r="N6" i="2"/>
  <c r="N5" i="2"/>
  <c r="W356" i="1"/>
  <c r="Q356" i="1"/>
  <c r="R356" i="1" s="1"/>
  <c r="S356" i="1" s="1"/>
  <c r="N356" i="1"/>
  <c r="W355" i="1"/>
  <c r="S355" i="1"/>
  <c r="R355" i="1"/>
  <c r="Q355" i="1"/>
  <c r="N355" i="1"/>
  <c r="W354" i="1"/>
  <c r="Q354" i="1"/>
  <c r="R354" i="1" s="1"/>
  <c r="S354" i="1" s="1"/>
  <c r="N354" i="1"/>
  <c r="W353" i="1"/>
  <c r="S353" i="1"/>
  <c r="R353" i="1"/>
  <c r="Q353" i="1"/>
  <c r="N353" i="1"/>
  <c r="W352" i="1"/>
  <c r="Q352" i="1"/>
  <c r="R352" i="1" s="1"/>
  <c r="S352" i="1" s="1"/>
  <c r="N352" i="1"/>
  <c r="W351" i="1"/>
  <c r="S351" i="1"/>
  <c r="R351" i="1"/>
  <c r="Q351" i="1"/>
  <c r="N351" i="1"/>
  <c r="W350" i="1"/>
  <c r="Q350" i="1"/>
  <c r="R350" i="1" s="1"/>
  <c r="S350" i="1" s="1"/>
  <c r="N350" i="1"/>
  <c r="W349" i="1"/>
  <c r="S349" i="1"/>
  <c r="R349" i="1"/>
  <c r="Q349" i="1"/>
  <c r="N349" i="1"/>
  <c r="W348" i="1"/>
  <c r="Q348" i="1"/>
  <c r="R348" i="1" s="1"/>
  <c r="S348" i="1" s="1"/>
  <c r="N348" i="1"/>
  <c r="W347" i="1"/>
  <c r="Q347" i="1"/>
  <c r="R347" i="1" s="1"/>
  <c r="S347" i="1" s="1"/>
  <c r="N347" i="1"/>
  <c r="W346" i="1"/>
  <c r="Q346" i="1"/>
  <c r="R346" i="1" s="1"/>
  <c r="S346" i="1" s="1"/>
  <c r="N346" i="1"/>
  <c r="W345" i="1"/>
  <c r="Q345" i="1"/>
  <c r="R345" i="1" s="1"/>
  <c r="S345" i="1" s="1"/>
  <c r="N345" i="1"/>
  <c r="W344" i="1"/>
  <c r="Q344" i="1"/>
  <c r="R344" i="1" s="1"/>
  <c r="S344" i="1" s="1"/>
  <c r="N344" i="1"/>
  <c r="W343" i="1"/>
  <c r="S343" i="1"/>
  <c r="Q343" i="1"/>
  <c r="R343" i="1" s="1"/>
  <c r="N343" i="1"/>
  <c r="W342" i="1"/>
  <c r="Q342" i="1"/>
  <c r="R342" i="1" s="1"/>
  <c r="S342" i="1" s="1"/>
  <c r="N342" i="1"/>
  <c r="W341" i="1"/>
  <c r="S341" i="1"/>
  <c r="Q341" i="1"/>
  <c r="R341" i="1" s="1"/>
  <c r="N341" i="1"/>
  <c r="W340" i="1"/>
  <c r="Q340" i="1"/>
  <c r="R340" i="1" s="1"/>
  <c r="S340" i="1" s="1"/>
  <c r="N340" i="1"/>
  <c r="H340" i="1"/>
  <c r="H341" i="1" s="1"/>
  <c r="H342" i="1" s="1"/>
  <c r="H343" i="1" s="1"/>
  <c r="H344" i="1" s="1"/>
  <c r="H345" i="1" s="1"/>
  <c r="H346" i="1" s="1"/>
  <c r="H347" i="1" s="1"/>
  <c r="H348" i="1" s="1"/>
  <c r="H349" i="1" s="1"/>
  <c r="H350" i="1" s="1"/>
  <c r="H351" i="1" s="1"/>
  <c r="H352" i="1" s="1"/>
  <c r="H353" i="1" s="1"/>
  <c r="H354" i="1" s="1"/>
  <c r="H355" i="1" s="1"/>
  <c r="H356" i="1" s="1"/>
  <c r="W339" i="1"/>
  <c r="Q339" i="1"/>
  <c r="R339" i="1" s="1"/>
  <c r="S339" i="1" s="1"/>
  <c r="N339" i="1"/>
  <c r="H339" i="1"/>
  <c r="W338" i="1"/>
  <c r="Q338" i="1"/>
  <c r="R338" i="1" s="1"/>
  <c r="S338" i="1" s="1"/>
  <c r="N338" i="1"/>
  <c r="W337" i="1"/>
  <c r="R337" i="1"/>
  <c r="S337" i="1" s="1"/>
  <c r="Q337" i="1"/>
  <c r="N337" i="1"/>
  <c r="W336" i="1"/>
  <c r="S336" i="1"/>
  <c r="R336" i="1"/>
  <c r="Q336" i="1"/>
  <c r="N336" i="1"/>
  <c r="W335" i="1"/>
  <c r="R335" i="1"/>
  <c r="S335" i="1" s="1"/>
  <c r="Q335" i="1"/>
  <c r="N335" i="1"/>
  <c r="W334" i="1"/>
  <c r="S334" i="1"/>
  <c r="R334" i="1"/>
  <c r="Q334" i="1"/>
  <c r="N334" i="1"/>
  <c r="W333" i="1"/>
  <c r="R333" i="1"/>
  <c r="S333" i="1" s="1"/>
  <c r="Q333" i="1"/>
  <c r="N333" i="1"/>
  <c r="W332" i="1"/>
  <c r="S332" i="1"/>
  <c r="R332" i="1"/>
  <c r="Q332" i="1"/>
  <c r="N332" i="1"/>
  <c r="W331" i="1"/>
  <c r="R331" i="1"/>
  <c r="S331" i="1" s="1"/>
  <c r="Q331" i="1"/>
  <c r="N331" i="1"/>
  <c r="W330" i="1"/>
  <c r="S330" i="1"/>
  <c r="R330" i="1"/>
  <c r="Q330" i="1"/>
  <c r="N330" i="1"/>
  <c r="W329" i="1"/>
  <c r="R329" i="1"/>
  <c r="S329" i="1" s="1"/>
  <c r="Q329" i="1"/>
  <c r="N329" i="1"/>
  <c r="W328" i="1"/>
  <c r="S328" i="1"/>
  <c r="R328" i="1"/>
  <c r="Q328" i="1"/>
  <c r="N328" i="1"/>
  <c r="W327" i="1"/>
  <c r="Q327" i="1"/>
  <c r="R327" i="1" s="1"/>
  <c r="S327" i="1" s="1"/>
  <c r="N327" i="1"/>
  <c r="W326" i="1"/>
  <c r="Q326" i="1"/>
  <c r="R326" i="1" s="1"/>
  <c r="S326" i="1" s="1"/>
  <c r="N326" i="1"/>
  <c r="W325" i="1"/>
  <c r="Q325" i="1"/>
  <c r="R325" i="1" s="1"/>
  <c r="S325" i="1" s="1"/>
  <c r="N325" i="1"/>
  <c r="W324" i="1"/>
  <c r="Q324" i="1"/>
  <c r="R324" i="1" s="1"/>
  <c r="S324" i="1" s="1"/>
  <c r="N324" i="1"/>
  <c r="W323" i="1"/>
  <c r="R323" i="1"/>
  <c r="S323" i="1" s="1"/>
  <c r="Q323" i="1"/>
  <c r="N323" i="1"/>
  <c r="W322" i="1"/>
  <c r="R322" i="1"/>
  <c r="S322" i="1" s="1"/>
  <c r="Q322" i="1"/>
  <c r="N322" i="1"/>
  <c r="W321" i="1"/>
  <c r="R321" i="1"/>
  <c r="S321" i="1" s="1"/>
  <c r="Q321" i="1"/>
  <c r="N321" i="1"/>
  <c r="I321" i="1"/>
  <c r="Y320" i="1"/>
  <c r="Y321" i="1" s="1"/>
  <c r="Y322" i="1" s="1"/>
  <c r="Y323" i="1" s="1"/>
  <c r="Y324" i="1" s="1"/>
  <c r="Y325" i="1" s="1"/>
  <c r="Y326" i="1" s="1"/>
  <c r="Y327" i="1" s="1"/>
  <c r="Y328" i="1" s="1"/>
  <c r="Y329" i="1" s="1"/>
  <c r="Y330" i="1" s="1"/>
  <c r="Y331" i="1" s="1"/>
  <c r="Y332" i="1" s="1"/>
  <c r="Y333" i="1" s="1"/>
  <c r="Y334" i="1" s="1"/>
  <c r="Y335" i="1" s="1"/>
  <c r="Y336" i="1" s="1"/>
  <c r="Y337" i="1" s="1"/>
  <c r="Y338" i="1" s="1"/>
  <c r="Y339" i="1" s="1"/>
  <c r="Y340" i="1" s="1"/>
  <c r="Y341" i="1" s="1"/>
  <c r="Y342" i="1" s="1"/>
  <c r="Y343" i="1" s="1"/>
  <c r="Y344" i="1" s="1"/>
  <c r="Y345" i="1" s="1"/>
  <c r="Y346" i="1" s="1"/>
  <c r="Y347" i="1" s="1"/>
  <c r="Y348" i="1" s="1"/>
  <c r="Y349" i="1" s="1"/>
  <c r="Y350" i="1" s="1"/>
  <c r="Y351" i="1" s="1"/>
  <c r="Y352" i="1" s="1"/>
  <c r="Y353" i="1" s="1"/>
  <c r="Y354" i="1" s="1"/>
  <c r="Y355" i="1" s="1"/>
  <c r="Y356" i="1" s="1"/>
  <c r="W320" i="1"/>
  <c r="S320" i="1"/>
  <c r="R320" i="1"/>
  <c r="Q320" i="1"/>
  <c r="N320" i="1"/>
  <c r="Z319" i="1"/>
  <c r="Y319" i="1"/>
  <c r="W319" i="1"/>
  <c r="Q319" i="1"/>
  <c r="R319" i="1" s="1"/>
  <c r="S319" i="1" s="1"/>
  <c r="N319" i="1"/>
  <c r="I319" i="1"/>
  <c r="H319" i="1"/>
  <c r="H320" i="1" s="1"/>
  <c r="H321" i="1" s="1"/>
  <c r="H322" i="1" s="1"/>
  <c r="H323" i="1" s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H335" i="1" s="1"/>
  <c r="H336" i="1" s="1"/>
  <c r="H337" i="1" s="1"/>
  <c r="W318" i="1"/>
  <c r="Q318" i="1"/>
  <c r="R318" i="1" s="1"/>
  <c r="S318" i="1" s="1"/>
  <c r="N318" i="1"/>
  <c r="H318" i="1"/>
  <c r="Y317" i="1"/>
  <c r="Y318" i="1" s="1"/>
  <c r="W317" i="1"/>
  <c r="Q317" i="1"/>
  <c r="R317" i="1" s="1"/>
  <c r="S317" i="1" s="1"/>
  <c r="N317" i="1"/>
  <c r="I317" i="1"/>
  <c r="H317" i="1"/>
  <c r="W316" i="1"/>
  <c r="Q316" i="1"/>
  <c r="R316" i="1" s="1"/>
  <c r="S316" i="1" s="1"/>
  <c r="N316" i="1"/>
  <c r="W315" i="1"/>
  <c r="Q315" i="1"/>
  <c r="R315" i="1" s="1"/>
  <c r="S315" i="1" s="1"/>
  <c r="N315" i="1"/>
  <c r="W314" i="1"/>
  <c r="S314" i="1"/>
  <c r="Q314" i="1"/>
  <c r="R314" i="1" s="1"/>
  <c r="N314" i="1"/>
  <c r="W313" i="1"/>
  <c r="Q313" i="1"/>
  <c r="R313" i="1" s="1"/>
  <c r="S313" i="1" s="1"/>
  <c r="N313" i="1"/>
  <c r="W312" i="1"/>
  <c r="Q312" i="1"/>
  <c r="R312" i="1" s="1"/>
  <c r="S312" i="1" s="1"/>
  <c r="N312" i="1"/>
  <c r="Y311" i="1"/>
  <c r="Y312" i="1" s="1"/>
  <c r="Y313" i="1" s="1"/>
  <c r="Y314" i="1" s="1"/>
  <c r="Y315" i="1" s="1"/>
  <c r="W311" i="1"/>
  <c r="Q311" i="1"/>
  <c r="R311" i="1" s="1"/>
  <c r="S311" i="1" s="1"/>
  <c r="N311" i="1"/>
  <c r="W310" i="1"/>
  <c r="S310" i="1"/>
  <c r="Q310" i="1"/>
  <c r="R310" i="1" s="1"/>
  <c r="N310" i="1"/>
  <c r="Y309" i="1"/>
  <c r="Y310" i="1" s="1"/>
  <c r="W309" i="1"/>
  <c r="Q309" i="1"/>
  <c r="R309" i="1" s="1"/>
  <c r="S309" i="1" s="1"/>
  <c r="N309" i="1"/>
  <c r="W308" i="1"/>
  <c r="Q308" i="1"/>
  <c r="R308" i="1" s="1"/>
  <c r="S308" i="1" s="1"/>
  <c r="N308" i="1"/>
  <c r="W307" i="1"/>
  <c r="Q307" i="1"/>
  <c r="R307" i="1" s="1"/>
  <c r="S307" i="1" s="1"/>
  <c r="N307" i="1"/>
  <c r="W306" i="1"/>
  <c r="Q306" i="1"/>
  <c r="R306" i="1" s="1"/>
  <c r="S306" i="1" s="1"/>
  <c r="N306" i="1"/>
  <c r="W305" i="1"/>
  <c r="Q305" i="1"/>
  <c r="R305" i="1" s="1"/>
  <c r="S305" i="1" s="1"/>
  <c r="N305" i="1"/>
  <c r="W304" i="1"/>
  <c r="R304" i="1"/>
  <c r="S304" i="1" s="1"/>
  <c r="Q304" i="1"/>
  <c r="N304" i="1"/>
  <c r="W303" i="1"/>
  <c r="R303" i="1"/>
  <c r="S303" i="1" s="1"/>
  <c r="Q303" i="1"/>
  <c r="N303" i="1"/>
  <c r="W302" i="1"/>
  <c r="S302" i="1"/>
  <c r="R302" i="1"/>
  <c r="Q302" i="1"/>
  <c r="N302" i="1"/>
  <c r="W301" i="1"/>
  <c r="R301" i="1"/>
  <c r="S301" i="1" s="1"/>
  <c r="Q301" i="1"/>
  <c r="N301" i="1"/>
  <c r="Y300" i="1"/>
  <c r="Y301" i="1" s="1"/>
  <c r="Y302" i="1" s="1"/>
  <c r="Y303" i="1" s="1"/>
  <c r="Y304" i="1" s="1"/>
  <c r="Y305" i="1" s="1"/>
  <c r="Y306" i="1" s="1"/>
  <c r="Y307" i="1" s="1"/>
  <c r="Y308" i="1" s="1"/>
  <c r="W300" i="1"/>
  <c r="S300" i="1"/>
  <c r="R300" i="1"/>
  <c r="Q300" i="1"/>
  <c r="N300" i="1"/>
  <c r="I300" i="1"/>
  <c r="W299" i="1"/>
  <c r="Q299" i="1"/>
  <c r="R299" i="1" s="1"/>
  <c r="S299" i="1" s="1"/>
  <c r="N299" i="1"/>
  <c r="Z298" i="1"/>
  <c r="W298" i="1"/>
  <c r="Q298" i="1"/>
  <c r="R298" i="1" s="1"/>
  <c r="S298" i="1" s="1"/>
  <c r="N298" i="1"/>
  <c r="I298" i="1"/>
  <c r="W297" i="1"/>
  <c r="R297" i="1"/>
  <c r="S297" i="1" s="1"/>
  <c r="Q297" i="1"/>
  <c r="N297" i="1"/>
  <c r="H297" i="1"/>
  <c r="H298" i="1" s="1"/>
  <c r="H299" i="1" s="1"/>
  <c r="H300" i="1" s="1"/>
  <c r="H301" i="1" s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Y296" i="1"/>
  <c r="Y297" i="1" s="1"/>
  <c r="Y298" i="1" s="1"/>
  <c r="Y299" i="1" s="1"/>
  <c r="W296" i="1"/>
  <c r="R296" i="1"/>
  <c r="S296" i="1" s="1"/>
  <c r="Q296" i="1"/>
  <c r="N296" i="1"/>
  <c r="I296" i="1"/>
  <c r="H296" i="1"/>
  <c r="W295" i="1"/>
  <c r="S295" i="1"/>
  <c r="R295" i="1"/>
  <c r="Q295" i="1"/>
  <c r="N295" i="1"/>
  <c r="W294" i="1"/>
  <c r="R294" i="1"/>
  <c r="S294" i="1" s="1"/>
  <c r="N294" i="1"/>
  <c r="W293" i="1"/>
  <c r="S293" i="1"/>
  <c r="R293" i="1"/>
  <c r="N293" i="1"/>
  <c r="W292" i="1"/>
  <c r="S292" i="1"/>
  <c r="R292" i="1"/>
  <c r="N292" i="1"/>
  <c r="W291" i="1"/>
  <c r="R291" i="1"/>
  <c r="S291" i="1" s="1"/>
  <c r="N291" i="1"/>
  <c r="W290" i="1"/>
  <c r="S290" i="1"/>
  <c r="R290" i="1"/>
  <c r="N290" i="1"/>
  <c r="W289" i="1"/>
  <c r="S289" i="1"/>
  <c r="R289" i="1"/>
  <c r="N289" i="1"/>
  <c r="W288" i="1"/>
  <c r="S288" i="1"/>
  <c r="R288" i="1"/>
  <c r="N288" i="1"/>
  <c r="W287" i="1"/>
  <c r="S287" i="1"/>
  <c r="R287" i="1"/>
  <c r="N287" i="1"/>
  <c r="W286" i="1"/>
  <c r="R286" i="1"/>
  <c r="S286" i="1" s="1"/>
  <c r="N286" i="1"/>
  <c r="W285" i="1"/>
  <c r="S285" i="1"/>
  <c r="R285" i="1"/>
  <c r="N285" i="1"/>
  <c r="W284" i="1"/>
  <c r="S284" i="1"/>
  <c r="R284" i="1"/>
  <c r="N284" i="1"/>
  <c r="W283" i="1"/>
  <c r="R283" i="1"/>
  <c r="S283" i="1" s="1"/>
  <c r="N283" i="1"/>
  <c r="W282" i="1"/>
  <c r="S282" i="1"/>
  <c r="R282" i="1"/>
  <c r="N282" i="1"/>
  <c r="W281" i="1"/>
  <c r="S281" i="1"/>
  <c r="R281" i="1"/>
  <c r="N281" i="1"/>
  <c r="W280" i="1"/>
  <c r="S280" i="1"/>
  <c r="R280" i="1"/>
  <c r="N280" i="1"/>
  <c r="W279" i="1"/>
  <c r="R279" i="1"/>
  <c r="S279" i="1" s="1"/>
  <c r="N279" i="1"/>
  <c r="W278" i="1"/>
  <c r="R278" i="1"/>
  <c r="S278" i="1" s="1"/>
  <c r="N278" i="1"/>
  <c r="W277" i="1"/>
  <c r="S277" i="1"/>
  <c r="R277" i="1"/>
  <c r="N277" i="1"/>
  <c r="W276" i="1"/>
  <c r="S276" i="1"/>
  <c r="R276" i="1"/>
  <c r="N276" i="1"/>
  <c r="W275" i="1"/>
  <c r="S275" i="1"/>
  <c r="R275" i="1"/>
  <c r="N275" i="1"/>
  <c r="H275" i="1"/>
  <c r="H276" i="1" s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W274" i="1"/>
  <c r="R274" i="1"/>
  <c r="S274" i="1" s="1"/>
  <c r="N274" i="1"/>
  <c r="I274" i="1"/>
  <c r="W273" i="1"/>
  <c r="R273" i="1"/>
  <c r="S273" i="1" s="1"/>
  <c r="N273" i="1"/>
  <c r="Z272" i="1"/>
  <c r="W272" i="1"/>
  <c r="R272" i="1"/>
  <c r="S272" i="1" s="1"/>
  <c r="N272" i="1"/>
  <c r="I272" i="1"/>
  <c r="H272" i="1"/>
  <c r="H273" i="1" s="1"/>
  <c r="H274" i="1" s="1"/>
  <c r="W271" i="1"/>
  <c r="R271" i="1"/>
  <c r="S271" i="1" s="1"/>
  <c r="N271" i="1"/>
  <c r="H271" i="1"/>
  <c r="Y270" i="1"/>
  <c r="Y271" i="1" s="1"/>
  <c r="Y272" i="1" s="1"/>
  <c r="Y273" i="1" s="1"/>
  <c r="Y274" i="1" s="1"/>
  <c r="Y275" i="1" s="1"/>
  <c r="Y276" i="1" s="1"/>
  <c r="Y277" i="1" s="1"/>
  <c r="Y278" i="1" s="1"/>
  <c r="Y279" i="1" s="1"/>
  <c r="Y280" i="1" s="1"/>
  <c r="Y281" i="1" s="1"/>
  <c r="Y282" i="1" s="1"/>
  <c r="Y283" i="1" s="1"/>
  <c r="Y284" i="1" s="1"/>
  <c r="Y285" i="1" s="1"/>
  <c r="Y286" i="1" s="1"/>
  <c r="Y287" i="1" s="1"/>
  <c r="Y288" i="1" s="1"/>
  <c r="Y289" i="1" s="1"/>
  <c r="Y290" i="1" s="1"/>
  <c r="Y291" i="1" s="1"/>
  <c r="Y292" i="1" s="1"/>
  <c r="Y293" i="1" s="1"/>
  <c r="Y294" i="1" s="1"/>
  <c r="W270" i="1"/>
  <c r="S270" i="1"/>
  <c r="R270" i="1"/>
  <c r="N270" i="1"/>
  <c r="I270" i="1"/>
  <c r="H270" i="1"/>
  <c r="W269" i="1"/>
  <c r="S269" i="1"/>
  <c r="R269" i="1"/>
  <c r="N269" i="1"/>
  <c r="W268" i="1"/>
  <c r="R268" i="1"/>
  <c r="S268" i="1" s="1"/>
  <c r="N268" i="1"/>
  <c r="W267" i="1"/>
  <c r="S267" i="1"/>
  <c r="R267" i="1"/>
  <c r="N267" i="1"/>
  <c r="W266" i="1"/>
  <c r="S266" i="1"/>
  <c r="R266" i="1"/>
  <c r="N266" i="1"/>
  <c r="W265" i="1"/>
  <c r="R265" i="1"/>
  <c r="S265" i="1" s="1"/>
  <c r="N265" i="1"/>
  <c r="W264" i="1"/>
  <c r="R264" i="1"/>
  <c r="S264" i="1" s="1"/>
  <c r="N264" i="1"/>
  <c r="W263" i="1"/>
  <c r="R263" i="1"/>
  <c r="S263" i="1" s="1"/>
  <c r="N263" i="1"/>
  <c r="W262" i="1"/>
  <c r="S262" i="1"/>
  <c r="R262" i="1"/>
  <c r="N262" i="1"/>
  <c r="W261" i="1"/>
  <c r="R261" i="1"/>
  <c r="S261" i="1" s="1"/>
  <c r="N261" i="1"/>
  <c r="W260" i="1"/>
  <c r="R260" i="1"/>
  <c r="S260" i="1" s="1"/>
  <c r="N260" i="1"/>
  <c r="W259" i="1"/>
  <c r="R259" i="1"/>
  <c r="S259" i="1" s="1"/>
  <c r="N259" i="1"/>
  <c r="W258" i="1"/>
  <c r="R258" i="1"/>
  <c r="S258" i="1" s="1"/>
  <c r="N258" i="1"/>
  <c r="W257" i="1"/>
  <c r="S257" i="1"/>
  <c r="R257" i="1"/>
  <c r="N257" i="1"/>
  <c r="H257" i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W256" i="1"/>
  <c r="S256" i="1"/>
  <c r="R256" i="1"/>
  <c r="N256" i="1"/>
  <c r="W255" i="1"/>
  <c r="S255" i="1"/>
  <c r="R255" i="1"/>
  <c r="N255" i="1"/>
  <c r="W254" i="1"/>
  <c r="S254" i="1"/>
  <c r="R254" i="1"/>
  <c r="N254" i="1"/>
  <c r="W253" i="1"/>
  <c r="R253" i="1"/>
  <c r="S253" i="1" s="1"/>
  <c r="N253" i="1"/>
  <c r="I253" i="1"/>
  <c r="W252" i="1"/>
  <c r="R252" i="1"/>
  <c r="S252" i="1" s="1"/>
  <c r="N252" i="1"/>
  <c r="Z251" i="1"/>
  <c r="W251" i="1"/>
  <c r="R251" i="1"/>
  <c r="S251" i="1" s="1"/>
  <c r="N251" i="1"/>
  <c r="I251" i="1"/>
  <c r="Y250" i="1"/>
  <c r="Y251" i="1" s="1"/>
  <c r="Y252" i="1" s="1"/>
  <c r="Y253" i="1" s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8" i="1" s="1"/>
  <c r="W250" i="1"/>
  <c r="R250" i="1"/>
  <c r="S250" i="1" s="1"/>
  <c r="N250" i="1"/>
  <c r="Y249" i="1"/>
  <c r="W249" i="1"/>
  <c r="R249" i="1"/>
  <c r="S249" i="1" s="1"/>
  <c r="N249" i="1"/>
  <c r="I249" i="1"/>
  <c r="H249" i="1"/>
  <c r="H250" i="1" s="1"/>
  <c r="H251" i="1" s="1"/>
  <c r="H252" i="1" s="1"/>
  <c r="H253" i="1" s="1"/>
  <c r="H254" i="1" s="1"/>
  <c r="H255" i="1" s="1"/>
  <c r="H256" i="1" s="1"/>
  <c r="W248" i="1"/>
  <c r="S248" i="1"/>
  <c r="R248" i="1"/>
  <c r="N248" i="1"/>
  <c r="W247" i="1"/>
  <c r="R247" i="1"/>
  <c r="S247" i="1" s="1"/>
  <c r="Q247" i="1"/>
  <c r="N247" i="1"/>
  <c r="W246" i="1"/>
  <c r="S246" i="1"/>
  <c r="R246" i="1"/>
  <c r="Q246" i="1"/>
  <c r="N246" i="1"/>
  <c r="W245" i="1"/>
  <c r="R245" i="1"/>
  <c r="S245" i="1" s="1"/>
  <c r="Q245" i="1"/>
  <c r="N245" i="1"/>
  <c r="W244" i="1"/>
  <c r="S244" i="1"/>
  <c r="Q244" i="1"/>
  <c r="R244" i="1" s="1"/>
  <c r="N244" i="1"/>
  <c r="W243" i="1"/>
  <c r="Q243" i="1"/>
  <c r="R243" i="1" s="1"/>
  <c r="S243" i="1" s="1"/>
  <c r="N243" i="1"/>
  <c r="W242" i="1"/>
  <c r="R242" i="1"/>
  <c r="S242" i="1" s="1"/>
  <c r="Q242" i="1"/>
  <c r="N242" i="1"/>
  <c r="W241" i="1"/>
  <c r="Q241" i="1"/>
  <c r="R241" i="1" s="1"/>
  <c r="S241" i="1" s="1"/>
  <c r="N241" i="1"/>
  <c r="W240" i="1"/>
  <c r="Q240" i="1"/>
  <c r="R240" i="1" s="1"/>
  <c r="S240" i="1" s="1"/>
  <c r="N240" i="1"/>
  <c r="W239" i="1"/>
  <c r="Q239" i="1"/>
  <c r="R239" i="1" s="1"/>
  <c r="S239" i="1" s="1"/>
  <c r="N239" i="1"/>
  <c r="W238" i="1"/>
  <c r="Q238" i="1"/>
  <c r="R238" i="1" s="1"/>
  <c r="S238" i="1" s="1"/>
  <c r="N238" i="1"/>
  <c r="W237" i="1"/>
  <c r="Q237" i="1"/>
  <c r="R237" i="1" s="1"/>
  <c r="S237" i="1" s="1"/>
  <c r="N237" i="1"/>
  <c r="W236" i="1"/>
  <c r="Q236" i="1"/>
  <c r="R236" i="1" s="1"/>
  <c r="S236" i="1" s="1"/>
  <c r="N236" i="1"/>
  <c r="W235" i="1"/>
  <c r="Q235" i="1"/>
  <c r="R235" i="1" s="1"/>
  <c r="S235" i="1" s="1"/>
  <c r="N235" i="1"/>
  <c r="W234" i="1"/>
  <c r="Q234" i="1"/>
  <c r="R234" i="1" s="1"/>
  <c r="S234" i="1" s="1"/>
  <c r="N234" i="1"/>
  <c r="W233" i="1"/>
  <c r="R233" i="1"/>
  <c r="S233" i="1" s="1"/>
  <c r="Q233" i="1"/>
  <c r="N233" i="1"/>
  <c r="W232" i="1"/>
  <c r="Q232" i="1"/>
  <c r="R232" i="1" s="1"/>
  <c r="S232" i="1" s="1"/>
  <c r="N232" i="1"/>
  <c r="W231" i="1"/>
  <c r="R231" i="1"/>
  <c r="S231" i="1" s="1"/>
  <c r="Q231" i="1"/>
  <c r="N231" i="1"/>
  <c r="W230" i="1"/>
  <c r="Q230" i="1"/>
  <c r="R230" i="1" s="1"/>
  <c r="S230" i="1" s="1"/>
  <c r="N230" i="1"/>
  <c r="W229" i="1"/>
  <c r="R229" i="1"/>
  <c r="S229" i="1" s="1"/>
  <c r="Q229" i="1"/>
  <c r="N229" i="1"/>
  <c r="W228" i="1"/>
  <c r="R228" i="1"/>
  <c r="S228" i="1" s="1"/>
  <c r="Q228" i="1"/>
  <c r="N228" i="1"/>
  <c r="W227" i="1"/>
  <c r="S227" i="1"/>
  <c r="R227" i="1"/>
  <c r="Q227" i="1"/>
  <c r="N227" i="1"/>
  <c r="W226" i="1"/>
  <c r="Q226" i="1"/>
  <c r="R226" i="1" s="1"/>
  <c r="S226" i="1" s="1"/>
  <c r="N226" i="1"/>
  <c r="W225" i="1"/>
  <c r="R225" i="1"/>
  <c r="S225" i="1" s="1"/>
  <c r="Q225" i="1"/>
  <c r="N225" i="1"/>
  <c r="W224" i="1"/>
  <c r="R224" i="1"/>
  <c r="S224" i="1" s="1"/>
  <c r="Q224" i="1"/>
  <c r="N224" i="1"/>
  <c r="W223" i="1"/>
  <c r="Q223" i="1"/>
  <c r="R223" i="1" s="1"/>
  <c r="S223" i="1" s="1"/>
  <c r="N223" i="1"/>
  <c r="W222" i="1"/>
  <c r="R222" i="1"/>
  <c r="S222" i="1" s="1"/>
  <c r="Q222" i="1"/>
  <c r="N222" i="1"/>
  <c r="W221" i="1"/>
  <c r="Q221" i="1"/>
  <c r="R221" i="1" s="1"/>
  <c r="S221" i="1" s="1"/>
  <c r="N221" i="1"/>
  <c r="W220" i="1"/>
  <c r="Q220" i="1"/>
  <c r="R220" i="1" s="1"/>
  <c r="S220" i="1" s="1"/>
  <c r="N220" i="1"/>
  <c r="W219" i="1"/>
  <c r="R219" i="1"/>
  <c r="S219" i="1" s="1"/>
  <c r="Q219" i="1"/>
  <c r="N219" i="1"/>
  <c r="W218" i="1"/>
  <c r="Q218" i="1"/>
  <c r="R218" i="1" s="1"/>
  <c r="S218" i="1" s="1"/>
  <c r="N218" i="1"/>
  <c r="W217" i="1"/>
  <c r="R217" i="1"/>
  <c r="S217" i="1" s="1"/>
  <c r="Q217" i="1"/>
  <c r="N217" i="1"/>
  <c r="W216" i="1"/>
  <c r="Q216" i="1"/>
  <c r="R216" i="1" s="1"/>
  <c r="S216" i="1" s="1"/>
  <c r="N216" i="1"/>
  <c r="W215" i="1"/>
  <c r="Q215" i="1"/>
  <c r="R215" i="1" s="1"/>
  <c r="S215" i="1" s="1"/>
  <c r="N215" i="1"/>
  <c r="W214" i="1"/>
  <c r="Q214" i="1"/>
  <c r="R214" i="1" s="1"/>
  <c r="S214" i="1" s="1"/>
  <c r="N214" i="1"/>
  <c r="W213" i="1"/>
  <c r="Q213" i="1"/>
  <c r="R213" i="1" s="1"/>
  <c r="S213" i="1" s="1"/>
  <c r="N213" i="1"/>
  <c r="W212" i="1"/>
  <c r="Q212" i="1"/>
  <c r="R212" i="1" s="1"/>
  <c r="S212" i="1" s="1"/>
  <c r="N212" i="1"/>
  <c r="W211" i="1"/>
  <c r="Q211" i="1"/>
  <c r="R211" i="1" s="1"/>
  <c r="S211" i="1" s="1"/>
  <c r="N211" i="1"/>
  <c r="W210" i="1"/>
  <c r="Q210" i="1"/>
  <c r="R210" i="1" s="1"/>
  <c r="S210" i="1" s="1"/>
  <c r="N210" i="1"/>
  <c r="W209" i="1"/>
  <c r="S209" i="1"/>
  <c r="Q209" i="1"/>
  <c r="R209" i="1" s="1"/>
  <c r="N209" i="1"/>
  <c r="W208" i="1"/>
  <c r="R208" i="1"/>
  <c r="S208" i="1" s="1"/>
  <c r="Q208" i="1"/>
  <c r="N208" i="1"/>
  <c r="W207" i="1"/>
  <c r="Q207" i="1"/>
  <c r="R207" i="1" s="1"/>
  <c r="S207" i="1" s="1"/>
  <c r="N207" i="1"/>
  <c r="W206" i="1"/>
  <c r="R206" i="1"/>
  <c r="S206" i="1" s="1"/>
  <c r="Q206" i="1"/>
  <c r="N206" i="1"/>
  <c r="W205" i="1"/>
  <c r="Q205" i="1"/>
  <c r="R205" i="1" s="1"/>
  <c r="S205" i="1" s="1"/>
  <c r="N205" i="1"/>
  <c r="W204" i="1"/>
  <c r="Q204" i="1"/>
  <c r="R204" i="1" s="1"/>
  <c r="S204" i="1" s="1"/>
  <c r="N204" i="1"/>
  <c r="W203" i="1"/>
  <c r="R203" i="1"/>
  <c r="S203" i="1" s="1"/>
  <c r="Q203" i="1"/>
  <c r="N203" i="1"/>
  <c r="W202" i="1"/>
  <c r="Q202" i="1"/>
  <c r="R202" i="1" s="1"/>
  <c r="S202" i="1" s="1"/>
  <c r="N202" i="1"/>
  <c r="W201" i="1"/>
  <c r="R201" i="1"/>
  <c r="S201" i="1" s="1"/>
  <c r="Q201" i="1"/>
  <c r="N201" i="1"/>
  <c r="W200" i="1"/>
  <c r="Q200" i="1"/>
  <c r="R200" i="1" s="1"/>
  <c r="S200" i="1" s="1"/>
  <c r="N200" i="1"/>
  <c r="W199" i="1"/>
  <c r="Q199" i="1"/>
  <c r="R199" i="1" s="1"/>
  <c r="S199" i="1" s="1"/>
  <c r="N199" i="1"/>
  <c r="W198" i="1"/>
  <c r="Q198" i="1"/>
  <c r="R198" i="1" s="1"/>
  <c r="S198" i="1" s="1"/>
  <c r="N198" i="1"/>
  <c r="W197" i="1"/>
  <c r="Q197" i="1"/>
  <c r="R197" i="1" s="1"/>
  <c r="S197" i="1" s="1"/>
  <c r="N197" i="1"/>
  <c r="W196" i="1"/>
  <c r="Q196" i="1"/>
  <c r="R196" i="1" s="1"/>
  <c r="S196" i="1" s="1"/>
  <c r="N196" i="1"/>
  <c r="W195" i="1"/>
  <c r="Q195" i="1"/>
  <c r="R195" i="1" s="1"/>
  <c r="S195" i="1" s="1"/>
  <c r="N195" i="1"/>
  <c r="W194" i="1"/>
  <c r="Q194" i="1"/>
  <c r="R194" i="1" s="1"/>
  <c r="S194" i="1" s="1"/>
  <c r="N194" i="1"/>
  <c r="W193" i="1"/>
  <c r="R193" i="1"/>
  <c r="S193" i="1" s="1"/>
  <c r="Q193" i="1"/>
  <c r="N193" i="1"/>
  <c r="W192" i="1"/>
  <c r="R192" i="1"/>
  <c r="S192" i="1" s="1"/>
  <c r="Q192" i="1"/>
  <c r="N192" i="1"/>
  <c r="W191" i="1"/>
  <c r="Q191" i="1"/>
  <c r="R191" i="1" s="1"/>
  <c r="S191" i="1" s="1"/>
  <c r="N191" i="1"/>
  <c r="W190" i="1"/>
  <c r="Q190" i="1"/>
  <c r="R190" i="1" s="1"/>
  <c r="S190" i="1" s="1"/>
  <c r="N190" i="1"/>
  <c r="W189" i="1"/>
  <c r="Q189" i="1"/>
  <c r="R189" i="1" s="1"/>
  <c r="S189" i="1" s="1"/>
  <c r="N189" i="1"/>
  <c r="W188" i="1"/>
  <c r="Q188" i="1"/>
  <c r="R188" i="1" s="1"/>
  <c r="S188" i="1" s="1"/>
  <c r="N188" i="1"/>
  <c r="W187" i="1"/>
  <c r="Q187" i="1"/>
  <c r="R187" i="1" s="1"/>
  <c r="S187" i="1" s="1"/>
  <c r="N187" i="1"/>
  <c r="W186" i="1"/>
  <c r="R186" i="1"/>
  <c r="S186" i="1" s="1"/>
  <c r="Q186" i="1"/>
  <c r="N186" i="1"/>
  <c r="W185" i="1"/>
  <c r="S185" i="1"/>
  <c r="Q185" i="1"/>
  <c r="R185" i="1" s="1"/>
  <c r="N185" i="1"/>
  <c r="W184" i="1"/>
  <c r="Q184" i="1"/>
  <c r="R184" i="1" s="1"/>
  <c r="S184" i="1" s="1"/>
  <c r="N184" i="1"/>
  <c r="W183" i="1"/>
  <c r="Q183" i="1"/>
  <c r="R183" i="1" s="1"/>
  <c r="S183" i="1" s="1"/>
  <c r="N183" i="1"/>
  <c r="W182" i="1"/>
  <c r="Q182" i="1"/>
  <c r="R182" i="1" s="1"/>
  <c r="S182" i="1" s="1"/>
  <c r="N182" i="1"/>
  <c r="W181" i="1"/>
  <c r="Q181" i="1"/>
  <c r="R181" i="1" s="1"/>
  <c r="S181" i="1" s="1"/>
  <c r="N181" i="1"/>
  <c r="W180" i="1"/>
  <c r="R180" i="1"/>
  <c r="S180" i="1" s="1"/>
  <c r="Q180" i="1"/>
  <c r="N180" i="1"/>
  <c r="W179" i="1"/>
  <c r="Q179" i="1"/>
  <c r="R179" i="1" s="1"/>
  <c r="S179" i="1" s="1"/>
  <c r="N179" i="1"/>
  <c r="W178" i="1"/>
  <c r="Q178" i="1"/>
  <c r="R178" i="1" s="1"/>
  <c r="S178" i="1" s="1"/>
  <c r="N178" i="1"/>
  <c r="W177" i="1"/>
  <c r="S177" i="1"/>
  <c r="Q177" i="1"/>
  <c r="R177" i="1" s="1"/>
  <c r="N177" i="1"/>
  <c r="W176" i="1"/>
  <c r="Q176" i="1"/>
  <c r="R176" i="1" s="1"/>
  <c r="S176" i="1" s="1"/>
  <c r="N176" i="1"/>
  <c r="W175" i="1"/>
  <c r="Q175" i="1"/>
  <c r="R175" i="1" s="1"/>
  <c r="S175" i="1" s="1"/>
  <c r="N175" i="1"/>
  <c r="W174" i="1"/>
  <c r="Q174" i="1"/>
  <c r="R174" i="1" s="1"/>
  <c r="S174" i="1" s="1"/>
  <c r="N174" i="1"/>
  <c r="W173" i="1"/>
  <c r="Q173" i="1"/>
  <c r="R173" i="1" s="1"/>
  <c r="S173" i="1" s="1"/>
  <c r="N173" i="1"/>
  <c r="W172" i="1"/>
  <c r="R172" i="1"/>
  <c r="S172" i="1" s="1"/>
  <c r="Q172" i="1"/>
  <c r="N172" i="1"/>
  <c r="W171" i="1"/>
  <c r="Q171" i="1"/>
  <c r="R171" i="1" s="1"/>
  <c r="S171" i="1" s="1"/>
  <c r="N171" i="1"/>
  <c r="Y170" i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Y223" i="1" s="1"/>
  <c r="Y224" i="1" s="1"/>
  <c r="Y225" i="1" s="1"/>
  <c r="Y226" i="1" s="1"/>
  <c r="Y227" i="1" s="1"/>
  <c r="Y228" i="1" s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W170" i="1"/>
  <c r="Q170" i="1"/>
  <c r="R170" i="1" s="1"/>
  <c r="S170" i="1" s="1"/>
  <c r="N170" i="1"/>
  <c r="W169" i="1"/>
  <c r="S169" i="1"/>
  <c r="Q169" i="1"/>
  <c r="R169" i="1" s="1"/>
  <c r="N169" i="1"/>
  <c r="W168" i="1"/>
  <c r="R168" i="1"/>
  <c r="S168" i="1" s="1"/>
  <c r="Q168" i="1"/>
  <c r="N168" i="1"/>
  <c r="W167" i="1"/>
  <c r="R167" i="1"/>
  <c r="S167" i="1" s="1"/>
  <c r="Q167" i="1"/>
  <c r="N167" i="1"/>
  <c r="W166" i="1"/>
  <c r="R166" i="1"/>
  <c r="S166" i="1" s="1"/>
  <c r="Q166" i="1"/>
  <c r="N166" i="1"/>
  <c r="W165" i="1"/>
  <c r="R165" i="1"/>
  <c r="S165" i="1" s="1"/>
  <c r="Q165" i="1"/>
  <c r="N165" i="1"/>
  <c r="W164" i="1"/>
  <c r="Q164" i="1"/>
  <c r="R164" i="1" s="1"/>
  <c r="S164" i="1" s="1"/>
  <c r="N164" i="1"/>
  <c r="W163" i="1"/>
  <c r="R163" i="1"/>
  <c r="S163" i="1" s="1"/>
  <c r="Q163" i="1"/>
  <c r="N163" i="1"/>
  <c r="W162" i="1"/>
  <c r="R162" i="1"/>
  <c r="S162" i="1" s="1"/>
  <c r="Q162" i="1"/>
  <c r="N162" i="1"/>
  <c r="W161" i="1"/>
  <c r="Q161" i="1"/>
  <c r="R161" i="1" s="1"/>
  <c r="S161" i="1" s="1"/>
  <c r="N161" i="1"/>
  <c r="W160" i="1"/>
  <c r="S160" i="1"/>
  <c r="R160" i="1"/>
  <c r="Q160" i="1"/>
  <c r="N160" i="1"/>
  <c r="W159" i="1"/>
  <c r="Q159" i="1"/>
  <c r="R159" i="1" s="1"/>
  <c r="S159" i="1" s="1"/>
  <c r="N159" i="1"/>
  <c r="W158" i="1"/>
  <c r="Q158" i="1"/>
  <c r="R158" i="1" s="1"/>
  <c r="S158" i="1" s="1"/>
  <c r="N158" i="1"/>
  <c r="Y157" i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W157" i="1"/>
  <c r="Q157" i="1"/>
  <c r="R157" i="1" s="1"/>
  <c r="S157" i="1" s="1"/>
  <c r="N157" i="1"/>
  <c r="W156" i="1"/>
  <c r="Q156" i="1"/>
  <c r="R156" i="1" s="1"/>
  <c r="S156" i="1" s="1"/>
  <c r="N156" i="1"/>
  <c r="H156" i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W155" i="1"/>
  <c r="Q155" i="1"/>
  <c r="R155" i="1" s="1"/>
  <c r="S155" i="1" s="1"/>
  <c r="N155" i="1"/>
  <c r="I155" i="1"/>
  <c r="W154" i="1"/>
  <c r="R154" i="1"/>
  <c r="S154" i="1" s="1"/>
  <c r="Q154" i="1"/>
  <c r="N154" i="1"/>
  <c r="H154" i="1"/>
  <c r="H155" i="1" s="1"/>
  <c r="Z153" i="1"/>
  <c r="W153" i="1"/>
  <c r="R153" i="1"/>
  <c r="S153" i="1" s="1"/>
  <c r="Q153" i="1"/>
  <c r="N153" i="1"/>
  <c r="I153" i="1"/>
  <c r="Y152" i="1"/>
  <c r="Y153" i="1" s="1"/>
  <c r="Y154" i="1" s="1"/>
  <c r="Y155" i="1" s="1"/>
  <c r="Y156" i="1" s="1"/>
  <c r="W152" i="1"/>
  <c r="R152" i="1"/>
  <c r="S152" i="1" s="1"/>
  <c r="Q152" i="1"/>
  <c r="N152" i="1"/>
  <c r="Y151" i="1"/>
  <c r="W151" i="1"/>
  <c r="S151" i="1"/>
  <c r="Q151" i="1"/>
  <c r="R151" i="1" s="1"/>
  <c r="N151" i="1"/>
  <c r="I151" i="1"/>
  <c r="H151" i="1"/>
  <c r="H152" i="1" s="1"/>
  <c r="H153" i="1" s="1"/>
  <c r="W150" i="1"/>
  <c r="Q150" i="1"/>
  <c r="R150" i="1" s="1"/>
  <c r="S150" i="1" s="1"/>
  <c r="N150" i="1"/>
  <c r="W149" i="1"/>
  <c r="S149" i="1"/>
  <c r="R149" i="1"/>
  <c r="N149" i="1"/>
  <c r="W148" i="1"/>
  <c r="R148" i="1"/>
  <c r="S148" i="1" s="1"/>
  <c r="N148" i="1"/>
  <c r="H148" i="1"/>
  <c r="H149" i="1" s="1"/>
  <c r="W147" i="1"/>
  <c r="R147" i="1"/>
  <c r="S147" i="1" s="1"/>
  <c r="N147" i="1"/>
  <c r="W146" i="1"/>
  <c r="S146" i="1"/>
  <c r="R146" i="1"/>
  <c r="N146" i="1"/>
  <c r="W145" i="1"/>
  <c r="S145" i="1"/>
  <c r="R145" i="1"/>
  <c r="N145" i="1"/>
  <c r="W144" i="1"/>
  <c r="R144" i="1"/>
  <c r="S144" i="1" s="1"/>
  <c r="N144" i="1"/>
  <c r="W143" i="1"/>
  <c r="R143" i="1"/>
  <c r="S143" i="1" s="1"/>
  <c r="N143" i="1"/>
  <c r="W142" i="1"/>
  <c r="R142" i="1"/>
  <c r="S142" i="1" s="1"/>
  <c r="N142" i="1"/>
  <c r="W141" i="1"/>
  <c r="R141" i="1"/>
  <c r="S141" i="1" s="1"/>
  <c r="N141" i="1"/>
  <c r="W140" i="1"/>
  <c r="R140" i="1"/>
  <c r="S140" i="1" s="1"/>
  <c r="N140" i="1"/>
  <c r="H140" i="1"/>
  <c r="H141" i="1" s="1"/>
  <c r="H142" i="1" s="1"/>
  <c r="H143" i="1" s="1"/>
  <c r="H144" i="1" s="1"/>
  <c r="H145" i="1" s="1"/>
  <c r="H146" i="1" s="1"/>
  <c r="H147" i="1" s="1"/>
  <c r="G140" i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W139" i="1"/>
  <c r="R139" i="1"/>
  <c r="S139" i="1" s="1"/>
  <c r="N139" i="1"/>
  <c r="H139" i="1"/>
  <c r="G139" i="1"/>
  <c r="W138" i="1"/>
  <c r="S138" i="1"/>
  <c r="R138" i="1"/>
  <c r="N138" i="1"/>
  <c r="W137" i="1"/>
  <c r="R137" i="1"/>
  <c r="S137" i="1" s="1"/>
  <c r="N137" i="1"/>
  <c r="W136" i="1"/>
  <c r="R136" i="1"/>
  <c r="S136" i="1" s="1"/>
  <c r="N136" i="1"/>
  <c r="W135" i="1"/>
  <c r="S135" i="1"/>
  <c r="R135" i="1"/>
  <c r="N135" i="1"/>
  <c r="W134" i="1"/>
  <c r="S134" i="1"/>
  <c r="R134" i="1"/>
  <c r="N134" i="1"/>
  <c r="W133" i="1"/>
  <c r="S133" i="1"/>
  <c r="R133" i="1"/>
  <c r="N133" i="1"/>
  <c r="W132" i="1"/>
  <c r="R132" i="1"/>
  <c r="S132" i="1" s="1"/>
  <c r="N132" i="1"/>
  <c r="Y131" i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W131" i="1"/>
  <c r="R131" i="1"/>
  <c r="S131" i="1" s="1"/>
  <c r="N131" i="1"/>
  <c r="W130" i="1"/>
  <c r="R130" i="1"/>
  <c r="S130" i="1" s="1"/>
  <c r="N130" i="1"/>
  <c r="W129" i="1"/>
  <c r="S129" i="1"/>
  <c r="R129" i="1"/>
  <c r="N129" i="1"/>
  <c r="W128" i="1"/>
  <c r="R128" i="1"/>
  <c r="S128" i="1" s="1"/>
  <c r="N128" i="1"/>
  <c r="W127" i="1"/>
  <c r="R127" i="1"/>
  <c r="S127" i="1" s="1"/>
  <c r="N127" i="1"/>
  <c r="W126" i="1"/>
  <c r="S126" i="1"/>
  <c r="R126" i="1"/>
  <c r="N126" i="1"/>
  <c r="W125" i="1"/>
  <c r="S125" i="1"/>
  <c r="R125" i="1"/>
  <c r="N125" i="1"/>
  <c r="W124" i="1"/>
  <c r="R124" i="1"/>
  <c r="S124" i="1" s="1"/>
  <c r="N124" i="1"/>
  <c r="W123" i="1"/>
  <c r="R123" i="1"/>
  <c r="S123" i="1" s="1"/>
  <c r="N123" i="1"/>
  <c r="W122" i="1"/>
  <c r="R122" i="1"/>
  <c r="S122" i="1" s="1"/>
  <c r="N122" i="1"/>
  <c r="W121" i="1"/>
  <c r="R121" i="1"/>
  <c r="S121" i="1" s="1"/>
  <c r="N121" i="1"/>
  <c r="W120" i="1"/>
  <c r="S120" i="1"/>
  <c r="R120" i="1"/>
  <c r="N120" i="1"/>
  <c r="W119" i="1"/>
  <c r="S119" i="1"/>
  <c r="R119" i="1"/>
  <c r="N119" i="1"/>
  <c r="W118" i="1"/>
  <c r="S118" i="1"/>
  <c r="R118" i="1"/>
  <c r="N118" i="1"/>
  <c r="I118" i="1"/>
  <c r="W117" i="1"/>
  <c r="R117" i="1"/>
  <c r="S117" i="1" s="1"/>
  <c r="N117" i="1"/>
  <c r="Z116" i="1"/>
  <c r="W116" i="1"/>
  <c r="S116" i="1"/>
  <c r="R116" i="1"/>
  <c r="N116" i="1"/>
  <c r="I116" i="1"/>
  <c r="Y115" i="1"/>
  <c r="Y116" i="1" s="1"/>
  <c r="Y117" i="1" s="1"/>
  <c r="Y118" i="1" s="1"/>
  <c r="Y119" i="1" s="1"/>
  <c r="Y120" i="1" s="1"/>
  <c r="Y121" i="1" s="1"/>
  <c r="Y122" i="1" s="1"/>
  <c r="Y123" i="1" s="1"/>
  <c r="Y124" i="1" s="1"/>
  <c r="Y125" i="1" s="1"/>
  <c r="Y126" i="1" s="1"/>
  <c r="Y127" i="1" s="1"/>
  <c r="Y128" i="1" s="1"/>
  <c r="Y129" i="1" s="1"/>
  <c r="Y130" i="1" s="1"/>
  <c r="W115" i="1"/>
  <c r="R115" i="1"/>
  <c r="S115" i="1" s="1"/>
  <c r="N115" i="1"/>
  <c r="Y114" i="1"/>
  <c r="W114" i="1"/>
  <c r="S114" i="1"/>
  <c r="R114" i="1"/>
  <c r="N114" i="1"/>
  <c r="I114" i="1"/>
  <c r="Y113" i="1"/>
  <c r="W113" i="1"/>
  <c r="S113" i="1"/>
  <c r="R113" i="1"/>
  <c r="N113" i="1"/>
  <c r="H113" i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W112" i="1"/>
  <c r="R112" i="1"/>
  <c r="S112" i="1" s="1"/>
  <c r="Q112" i="1"/>
  <c r="N112" i="1"/>
  <c r="W111" i="1"/>
  <c r="Q111" i="1"/>
  <c r="R111" i="1" s="1"/>
  <c r="S111" i="1" s="1"/>
  <c r="N111" i="1"/>
  <c r="W110" i="1"/>
  <c r="Q110" i="1"/>
  <c r="R110" i="1" s="1"/>
  <c r="S110" i="1" s="1"/>
  <c r="N110" i="1"/>
  <c r="W109" i="1"/>
  <c r="S109" i="1"/>
  <c r="R109" i="1"/>
  <c r="Q109" i="1"/>
  <c r="N109" i="1"/>
  <c r="W108" i="1"/>
  <c r="R108" i="1"/>
  <c r="S108" i="1" s="1"/>
  <c r="Q108" i="1"/>
  <c r="N108" i="1"/>
  <c r="W107" i="1"/>
  <c r="Q107" i="1"/>
  <c r="R107" i="1" s="1"/>
  <c r="S107" i="1" s="1"/>
  <c r="N107" i="1"/>
  <c r="W106" i="1"/>
  <c r="Q106" i="1"/>
  <c r="R106" i="1" s="1"/>
  <c r="S106" i="1" s="1"/>
  <c r="N106" i="1"/>
  <c r="W105" i="1"/>
  <c r="S105" i="1"/>
  <c r="R105" i="1"/>
  <c r="Q105" i="1"/>
  <c r="N105" i="1"/>
  <c r="W104" i="1"/>
  <c r="R104" i="1"/>
  <c r="S104" i="1" s="1"/>
  <c r="Q104" i="1"/>
  <c r="N104" i="1"/>
  <c r="W103" i="1"/>
  <c r="Q103" i="1"/>
  <c r="R103" i="1" s="1"/>
  <c r="S103" i="1" s="1"/>
  <c r="N103" i="1"/>
  <c r="W102" i="1"/>
  <c r="Q102" i="1"/>
  <c r="R102" i="1" s="1"/>
  <c r="S102" i="1" s="1"/>
  <c r="N102" i="1"/>
  <c r="W101" i="1"/>
  <c r="S101" i="1"/>
  <c r="R101" i="1"/>
  <c r="Q101" i="1"/>
  <c r="N101" i="1"/>
  <c r="W100" i="1"/>
  <c r="R100" i="1"/>
  <c r="S100" i="1" s="1"/>
  <c r="Q100" i="1"/>
  <c r="N100" i="1"/>
  <c r="W99" i="1"/>
  <c r="Q99" i="1"/>
  <c r="R99" i="1" s="1"/>
  <c r="S99" i="1" s="1"/>
  <c r="N99" i="1"/>
  <c r="W98" i="1"/>
  <c r="Q98" i="1"/>
  <c r="R98" i="1" s="1"/>
  <c r="S98" i="1" s="1"/>
  <c r="N98" i="1"/>
  <c r="W97" i="1"/>
  <c r="S97" i="1"/>
  <c r="R97" i="1"/>
  <c r="Q97" i="1"/>
  <c r="N97" i="1"/>
  <c r="W96" i="1"/>
  <c r="R96" i="1"/>
  <c r="S96" i="1" s="1"/>
  <c r="Q96" i="1"/>
  <c r="N96" i="1"/>
  <c r="W95" i="1"/>
  <c r="Q95" i="1"/>
  <c r="R95" i="1" s="1"/>
  <c r="S95" i="1" s="1"/>
  <c r="N95" i="1"/>
  <c r="W94" i="1"/>
  <c r="Q94" i="1"/>
  <c r="R94" i="1" s="1"/>
  <c r="S94" i="1" s="1"/>
  <c r="N94" i="1"/>
  <c r="W93" i="1"/>
  <c r="S93" i="1"/>
  <c r="R93" i="1"/>
  <c r="Q93" i="1"/>
  <c r="N93" i="1"/>
  <c r="W92" i="1"/>
  <c r="R92" i="1"/>
  <c r="S92" i="1" s="1"/>
  <c r="Q92" i="1"/>
  <c r="N92" i="1"/>
  <c r="W91" i="1"/>
  <c r="Q91" i="1"/>
  <c r="R91" i="1" s="1"/>
  <c r="S91" i="1" s="1"/>
  <c r="N91" i="1"/>
  <c r="W90" i="1"/>
  <c r="Q90" i="1"/>
  <c r="R90" i="1" s="1"/>
  <c r="S90" i="1" s="1"/>
  <c r="N90" i="1"/>
  <c r="W89" i="1"/>
  <c r="S89" i="1"/>
  <c r="R89" i="1"/>
  <c r="Q89" i="1"/>
  <c r="N89" i="1"/>
  <c r="W88" i="1"/>
  <c r="R88" i="1"/>
  <c r="S88" i="1" s="1"/>
  <c r="Q88" i="1"/>
  <c r="N88" i="1"/>
  <c r="W87" i="1"/>
  <c r="Q87" i="1"/>
  <c r="R87" i="1" s="1"/>
  <c r="S87" i="1" s="1"/>
  <c r="N87" i="1"/>
  <c r="W86" i="1"/>
  <c r="Q86" i="1"/>
  <c r="R86" i="1" s="1"/>
  <c r="S86" i="1" s="1"/>
  <c r="N86" i="1"/>
  <c r="W85" i="1"/>
  <c r="S85" i="1"/>
  <c r="R85" i="1"/>
  <c r="Q85" i="1"/>
  <c r="N85" i="1"/>
  <c r="W84" i="1"/>
  <c r="R84" i="1"/>
  <c r="S84" i="1" s="1"/>
  <c r="Q84" i="1"/>
  <c r="N84" i="1"/>
  <c r="W83" i="1"/>
  <c r="Q83" i="1"/>
  <c r="R83" i="1" s="1"/>
  <c r="S83" i="1" s="1"/>
  <c r="N83" i="1"/>
  <c r="W82" i="1"/>
  <c r="Q82" i="1"/>
  <c r="R82" i="1" s="1"/>
  <c r="S82" i="1" s="1"/>
  <c r="N82" i="1"/>
  <c r="W81" i="1"/>
  <c r="S81" i="1"/>
  <c r="R81" i="1"/>
  <c r="Q81" i="1"/>
  <c r="N81" i="1"/>
  <c r="W80" i="1"/>
  <c r="R80" i="1"/>
  <c r="S80" i="1" s="1"/>
  <c r="Q80" i="1"/>
  <c r="N80" i="1"/>
  <c r="W79" i="1"/>
  <c r="Q79" i="1"/>
  <c r="R79" i="1" s="1"/>
  <c r="S79" i="1" s="1"/>
  <c r="N79" i="1"/>
  <c r="W78" i="1"/>
  <c r="Q78" i="1"/>
  <c r="R78" i="1" s="1"/>
  <c r="S78" i="1" s="1"/>
  <c r="N78" i="1"/>
  <c r="W77" i="1"/>
  <c r="S77" i="1"/>
  <c r="R77" i="1"/>
  <c r="Q77" i="1"/>
  <c r="N77" i="1"/>
  <c r="W76" i="1"/>
  <c r="R76" i="1"/>
  <c r="S76" i="1" s="1"/>
  <c r="Q76" i="1"/>
  <c r="N76" i="1"/>
  <c r="W75" i="1"/>
  <c r="Q75" i="1"/>
  <c r="R75" i="1" s="1"/>
  <c r="S75" i="1" s="1"/>
  <c r="N75" i="1"/>
  <c r="W74" i="1"/>
  <c r="Q74" i="1"/>
  <c r="R74" i="1" s="1"/>
  <c r="S74" i="1" s="1"/>
  <c r="N74" i="1"/>
  <c r="W73" i="1"/>
  <c r="S73" i="1"/>
  <c r="R73" i="1"/>
  <c r="Q73" i="1"/>
  <c r="N73" i="1"/>
  <c r="W72" i="1"/>
  <c r="R72" i="1"/>
  <c r="S72" i="1" s="1"/>
  <c r="Q72" i="1"/>
  <c r="N72" i="1"/>
  <c r="W71" i="1"/>
  <c r="Q71" i="1"/>
  <c r="R71" i="1" s="1"/>
  <c r="S71" i="1" s="1"/>
  <c r="N71" i="1"/>
  <c r="W70" i="1"/>
  <c r="Q70" i="1"/>
  <c r="R70" i="1" s="1"/>
  <c r="S70" i="1" s="1"/>
  <c r="N70" i="1"/>
  <c r="W69" i="1"/>
  <c r="S69" i="1"/>
  <c r="R69" i="1"/>
  <c r="Q69" i="1"/>
  <c r="N69" i="1"/>
  <c r="W68" i="1"/>
  <c r="R68" i="1"/>
  <c r="S68" i="1" s="1"/>
  <c r="Q68" i="1"/>
  <c r="N68" i="1"/>
  <c r="W67" i="1"/>
  <c r="Q67" i="1"/>
  <c r="R67" i="1" s="1"/>
  <c r="S67" i="1" s="1"/>
  <c r="N67" i="1"/>
  <c r="W66" i="1"/>
  <c r="Q66" i="1"/>
  <c r="R66" i="1" s="1"/>
  <c r="S66" i="1" s="1"/>
  <c r="N66" i="1"/>
  <c r="W65" i="1"/>
  <c r="S65" i="1"/>
  <c r="R65" i="1"/>
  <c r="Q65" i="1"/>
  <c r="N65" i="1"/>
  <c r="W64" i="1"/>
  <c r="R64" i="1"/>
  <c r="S64" i="1" s="1"/>
  <c r="Q64" i="1"/>
  <c r="N64" i="1"/>
  <c r="W63" i="1"/>
  <c r="Q63" i="1"/>
  <c r="R63" i="1" s="1"/>
  <c r="S63" i="1" s="1"/>
  <c r="N63" i="1"/>
  <c r="W62" i="1"/>
  <c r="Q62" i="1"/>
  <c r="R62" i="1" s="1"/>
  <c r="S62" i="1" s="1"/>
  <c r="N62" i="1"/>
  <c r="W61" i="1"/>
  <c r="S61" i="1"/>
  <c r="R61" i="1"/>
  <c r="Q61" i="1"/>
  <c r="N61" i="1"/>
  <c r="W60" i="1"/>
  <c r="R60" i="1"/>
  <c r="S60" i="1" s="1"/>
  <c r="Q60" i="1"/>
  <c r="N60" i="1"/>
  <c r="W59" i="1"/>
  <c r="Q59" i="1"/>
  <c r="R59" i="1" s="1"/>
  <c r="S59" i="1" s="1"/>
  <c r="N59" i="1"/>
  <c r="W58" i="1"/>
  <c r="Q58" i="1"/>
  <c r="R58" i="1" s="1"/>
  <c r="S58" i="1" s="1"/>
  <c r="N58" i="1"/>
  <c r="W57" i="1"/>
  <c r="S57" i="1"/>
  <c r="R57" i="1"/>
  <c r="Q57" i="1"/>
  <c r="N57" i="1"/>
  <c r="W56" i="1"/>
  <c r="R56" i="1"/>
  <c r="S56" i="1" s="1"/>
  <c r="Q56" i="1"/>
  <c r="N56" i="1"/>
  <c r="W55" i="1"/>
  <c r="Q55" i="1"/>
  <c r="R55" i="1" s="1"/>
  <c r="S55" i="1" s="1"/>
  <c r="N55" i="1"/>
  <c r="W54" i="1"/>
  <c r="R54" i="1"/>
  <c r="S54" i="1" s="1"/>
  <c r="Q54" i="1"/>
  <c r="N54" i="1"/>
  <c r="W53" i="1"/>
  <c r="S53" i="1"/>
  <c r="R53" i="1"/>
  <c r="Q53" i="1"/>
  <c r="N53" i="1"/>
  <c r="W52" i="1"/>
  <c r="R52" i="1"/>
  <c r="S52" i="1" s="1"/>
  <c r="Q52" i="1"/>
  <c r="N52" i="1"/>
  <c r="W51" i="1"/>
  <c r="Q51" i="1"/>
  <c r="R51" i="1" s="1"/>
  <c r="S51" i="1" s="1"/>
  <c r="N51" i="1"/>
  <c r="W50" i="1"/>
  <c r="R50" i="1"/>
  <c r="S50" i="1" s="1"/>
  <c r="Q50" i="1"/>
  <c r="N50" i="1"/>
  <c r="W49" i="1"/>
  <c r="T49" i="1"/>
  <c r="R49" i="1"/>
  <c r="S49" i="1" s="1"/>
  <c r="Q49" i="1"/>
  <c r="N49" i="1"/>
  <c r="W48" i="1"/>
  <c r="S48" i="1"/>
  <c r="R48" i="1"/>
  <c r="N48" i="1"/>
  <c r="W47" i="1"/>
  <c r="S47" i="1"/>
  <c r="R47" i="1"/>
  <c r="N47" i="1"/>
  <c r="W46" i="1"/>
  <c r="S46" i="1"/>
  <c r="R46" i="1"/>
  <c r="N46" i="1"/>
  <c r="W45" i="1"/>
  <c r="R45" i="1"/>
  <c r="S45" i="1" s="1"/>
  <c r="T45" i="1" s="1"/>
  <c r="T46" i="1" s="1"/>
  <c r="N45" i="1"/>
  <c r="I45" i="1"/>
  <c r="W44" i="1"/>
  <c r="R44" i="1"/>
  <c r="S44" i="1" s="1"/>
  <c r="N44" i="1"/>
  <c r="Z43" i="1"/>
  <c r="W43" i="1"/>
  <c r="S43" i="1"/>
  <c r="R43" i="1"/>
  <c r="N43" i="1"/>
  <c r="I43" i="1"/>
  <c r="W42" i="1"/>
  <c r="S42" i="1"/>
  <c r="T42" i="1" s="1"/>
  <c r="R42" i="1"/>
  <c r="N42" i="1"/>
  <c r="X41" i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W41" i="1"/>
  <c r="S41" i="1"/>
  <c r="R41" i="1"/>
  <c r="N41" i="1"/>
  <c r="M41" i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I41" i="1"/>
  <c r="X40" i="1"/>
  <c r="W40" i="1"/>
  <c r="R40" i="1"/>
  <c r="S40" i="1" s="1"/>
  <c r="N40" i="1"/>
  <c r="M40" i="1"/>
  <c r="K40" i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G40" i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N38" i="1"/>
  <c r="N37" i="1"/>
  <c r="N36" i="1"/>
  <c r="N35" i="1"/>
  <c r="N34" i="1"/>
  <c r="N33" i="1"/>
  <c r="N32" i="1"/>
  <c r="N31" i="1"/>
  <c r="N30" i="1"/>
  <c r="O30" i="1" s="1"/>
  <c r="N29" i="1"/>
  <c r="O29" i="1" s="1"/>
  <c r="N28" i="1"/>
  <c r="N27" i="1"/>
  <c r="N26" i="1"/>
  <c r="N25" i="1"/>
  <c r="N24" i="1"/>
  <c r="N23" i="1"/>
  <c r="O22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O10" i="1" s="1"/>
  <c r="O11" i="1" s="1"/>
  <c r="O12" i="1" s="1"/>
  <c r="O13" i="1" s="1"/>
  <c r="O14" i="1" s="1"/>
  <c r="O15" i="1" s="1"/>
  <c r="O16" i="1" s="1"/>
  <c r="O17" i="1" s="1"/>
  <c r="N9" i="1"/>
  <c r="N8" i="1"/>
  <c r="N7" i="1"/>
  <c r="N6" i="1"/>
  <c r="N5" i="1"/>
  <c r="T290" i="2" l="1"/>
  <c r="T291" i="2" s="1"/>
  <c r="T292" i="2" s="1"/>
  <c r="T293" i="2" s="1"/>
  <c r="T294" i="2" s="1"/>
  <c r="T295" i="2" s="1"/>
  <c r="T296" i="2" s="1"/>
  <c r="T297" i="2" s="1"/>
  <c r="T298" i="2" s="1"/>
  <c r="T299" i="2" s="1"/>
  <c r="T300" i="2" s="1"/>
  <c r="T301" i="2" s="1"/>
  <c r="T302" i="2" s="1"/>
  <c r="T303" i="2" s="1"/>
  <c r="T304" i="2" s="1"/>
  <c r="T305" i="2" s="1"/>
  <c r="T306" i="2" s="1"/>
  <c r="T307" i="2" s="1"/>
  <c r="T308" i="2" s="1"/>
  <c r="T309" i="2" s="1"/>
  <c r="T310" i="2" s="1"/>
  <c r="T311" i="2" s="1"/>
  <c r="T312" i="2" s="1"/>
  <c r="T313" i="2" s="1"/>
  <c r="T314" i="2" s="1"/>
  <c r="T315" i="2" s="1"/>
  <c r="T316" i="2" s="1"/>
  <c r="T317" i="2" s="1"/>
  <c r="T318" i="2" s="1"/>
  <c r="T319" i="2" s="1"/>
  <c r="T320" i="2" s="1"/>
  <c r="T321" i="2" s="1"/>
  <c r="T322" i="2" s="1"/>
  <c r="T323" i="2" s="1"/>
  <c r="T324" i="2" s="1"/>
  <c r="T325" i="2" s="1"/>
  <c r="T326" i="2" s="1"/>
  <c r="T327" i="2" s="1"/>
  <c r="T328" i="2" s="1"/>
  <c r="T329" i="2" s="1"/>
  <c r="T330" i="2" s="1"/>
  <c r="T331" i="2" s="1"/>
  <c r="T332" i="2" s="1"/>
  <c r="T333" i="2" s="1"/>
  <c r="T334" i="2" s="1"/>
  <c r="T335" i="2" s="1"/>
  <c r="T336" i="2" s="1"/>
  <c r="T337" i="2" s="1"/>
  <c r="T338" i="2" s="1"/>
  <c r="T339" i="2" s="1"/>
  <c r="T340" i="2" s="1"/>
  <c r="T341" i="2" s="1"/>
  <c r="T342" i="2" s="1"/>
  <c r="T343" i="2" s="1"/>
  <c r="T344" i="2" s="1"/>
  <c r="T345" i="2" s="1"/>
  <c r="T346" i="2" s="1"/>
  <c r="T347" i="2" s="1"/>
  <c r="T348" i="2" s="1"/>
  <c r="T349" i="2" s="1"/>
  <c r="T350" i="2" s="1"/>
  <c r="T351" i="2" s="1"/>
  <c r="T352" i="2" s="1"/>
  <c r="T353" i="2" s="1"/>
  <c r="T354" i="2" s="1"/>
  <c r="T355" i="2" s="1"/>
  <c r="T356" i="2" s="1"/>
  <c r="H291" i="2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Y265" i="2"/>
  <c r="Y266" i="2" s="1"/>
  <c r="Y267" i="2" s="1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Y280" i="2" s="1"/>
  <c r="Y281" i="2" s="1"/>
  <c r="Y282" i="2" s="1"/>
  <c r="Y283" i="2" s="1"/>
  <c r="Y284" i="2" s="1"/>
  <c r="Y285" i="2" s="1"/>
  <c r="Y286" i="2" s="1"/>
  <c r="Y287" i="2" s="1"/>
  <c r="Y288" i="2" s="1"/>
  <c r="Y289" i="2" s="1"/>
  <c r="Y291" i="2" s="1"/>
  <c r="Y292" i="2" s="1"/>
  <c r="Y293" i="2" s="1"/>
  <c r="Y294" i="2" s="1"/>
  <c r="Y295" i="2" s="1"/>
  <c r="Y296" i="2" s="1"/>
  <c r="Y297" i="2" s="1"/>
  <c r="Y298" i="2" s="1"/>
  <c r="Y299" i="2" s="1"/>
  <c r="Y300" i="2" s="1"/>
  <c r="Y301" i="2" s="1"/>
  <c r="Y302" i="2" s="1"/>
  <c r="Y303" i="2" s="1"/>
  <c r="Y304" i="2" s="1"/>
  <c r="Y305" i="2" s="1"/>
  <c r="Y306" i="2" s="1"/>
  <c r="Y307" i="2" s="1"/>
  <c r="Y308" i="2" s="1"/>
  <c r="Y309" i="2" s="1"/>
  <c r="Y310" i="2" s="1"/>
  <c r="Y311" i="2" s="1"/>
  <c r="Y312" i="2" s="1"/>
  <c r="Y314" i="2" s="1"/>
  <c r="Y315" i="2" s="1"/>
  <c r="Y316" i="2" s="1"/>
  <c r="Y317" i="2" s="1"/>
  <c r="Y318" i="2" s="1"/>
  <c r="Y319" i="2" s="1"/>
  <c r="Y320" i="2" s="1"/>
  <c r="Y321" i="2" s="1"/>
  <c r="Y322" i="2" s="1"/>
  <c r="Y323" i="2" s="1"/>
  <c r="Y324" i="2" s="1"/>
  <c r="Y325" i="2" s="1"/>
  <c r="Y326" i="2" s="1"/>
  <c r="Y327" i="2" s="1"/>
  <c r="Y328" i="2" s="1"/>
  <c r="Y329" i="2" s="1"/>
  <c r="Y330" i="2" s="1"/>
  <c r="Y331" i="2" s="1"/>
  <c r="Y332" i="2" s="1"/>
  <c r="Y333" i="2" s="1"/>
  <c r="Y334" i="2" s="1"/>
  <c r="Y335" i="2" s="1"/>
  <c r="Y336" i="2" s="1"/>
  <c r="Y337" i="2" s="1"/>
  <c r="Y338" i="2" s="1"/>
  <c r="Y339" i="2" s="1"/>
  <c r="Y340" i="2" s="1"/>
  <c r="Y341" i="2" s="1"/>
  <c r="Y342" i="2" s="1"/>
  <c r="Y343" i="2" s="1"/>
  <c r="Y344" i="2" s="1"/>
  <c r="Y345" i="2" s="1"/>
  <c r="Y346" i="2" s="1"/>
  <c r="Y347" i="2" s="1"/>
  <c r="Y348" i="2" s="1"/>
  <c r="Y349" i="2" s="1"/>
  <c r="Y350" i="2" s="1"/>
  <c r="Y351" i="2" s="1"/>
  <c r="Y352" i="2" s="1"/>
  <c r="Y353" i="2" s="1"/>
  <c r="Y354" i="2" s="1"/>
  <c r="Y355" i="2" s="1"/>
  <c r="Y356" i="2" s="1"/>
  <c r="T67" i="2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O30" i="2"/>
  <c r="U51" i="1"/>
  <c r="T50" i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2" l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U51" i="2"/>
  <c r="U49" i="2"/>
  <c r="T114" i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U49" i="1"/>
  <c r="T151" i="2" l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U124" i="2"/>
  <c r="U122" i="2"/>
  <c r="U120" i="2"/>
  <c r="T151" i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U120" i="1"/>
  <c r="U124" i="1"/>
  <c r="U122" i="1"/>
  <c r="U159" i="1" l="1"/>
  <c r="U161" i="1"/>
  <c r="T249" i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U157" i="1"/>
  <c r="U255" i="1" l="1"/>
  <c r="U280" i="1"/>
  <c r="T270" i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U259" i="1"/>
  <c r="U257" i="1"/>
  <c r="U278" i="1" l="1"/>
  <c r="T296" i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T313" i="1" s="1"/>
  <c r="T314" i="1" s="1"/>
  <c r="T315" i="1" s="1"/>
  <c r="T316" i="1" s="1"/>
  <c r="U304" i="1" l="1"/>
  <c r="U306" i="1"/>
  <c r="T317" i="1"/>
  <c r="T318" i="1" s="1"/>
  <c r="T319" i="1" s="1"/>
  <c r="T320" i="1" s="1"/>
  <c r="T321" i="1" s="1"/>
  <c r="T322" i="1" s="1"/>
  <c r="T323" i="1" s="1"/>
  <c r="T324" i="1" s="1"/>
  <c r="T325" i="1" s="1"/>
  <c r="T326" i="1" s="1"/>
  <c r="T327" i="1" s="1"/>
  <c r="T328" i="1" s="1"/>
  <c r="T329" i="1" s="1"/>
  <c r="T330" i="1" s="1"/>
  <c r="T331" i="1" s="1"/>
  <c r="T332" i="1" s="1"/>
  <c r="T333" i="1" s="1"/>
  <c r="T334" i="1" s="1"/>
  <c r="T335" i="1" s="1"/>
  <c r="T336" i="1" s="1"/>
  <c r="T337" i="1" s="1"/>
  <c r="T338" i="1" s="1"/>
  <c r="T339" i="1" s="1"/>
  <c r="T340" i="1" s="1"/>
  <c r="T341" i="1" s="1"/>
  <c r="T342" i="1" s="1"/>
  <c r="T343" i="1" s="1"/>
  <c r="T344" i="1" s="1"/>
  <c r="T345" i="1" s="1"/>
  <c r="T346" i="1" s="1"/>
  <c r="T347" i="1" s="1"/>
  <c r="T348" i="1" s="1"/>
  <c r="T349" i="1" s="1"/>
  <c r="T350" i="1" s="1"/>
  <c r="T351" i="1" s="1"/>
  <c r="T352" i="1" s="1"/>
  <c r="T353" i="1" s="1"/>
  <c r="T354" i="1" s="1"/>
  <c r="T355" i="1" s="1"/>
  <c r="T356" i="1" s="1"/>
  <c r="U302" i="1"/>
  <c r="U325" i="1" l="1"/>
  <c r="U323" i="1"/>
  <c r="U327" i="1"/>
</calcChain>
</file>

<file path=xl/sharedStrings.xml><?xml version="1.0" encoding="utf-8"?>
<sst xmlns="http://schemas.openxmlformats.org/spreadsheetml/2006/main" count="334" uniqueCount="61">
  <si>
    <t>Pts de convergence</t>
  </si>
  <si>
    <t>SEMIS MAD14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</si>
  <si>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</si>
  <si>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</si>
  <si>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</si>
  <si>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</si>
  <si>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</si>
  <si>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</si>
  <si>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</si>
  <si>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</si>
  <si>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</si>
  <si>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</si>
  <si>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</si>
  <si>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</si>
  <si>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</si>
  <si>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</si>
  <si>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</si>
  <si>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</si>
  <si>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</si>
  <si>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</si>
  <si>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nbj_vern_opti</t>
  </si>
  <si>
    <t>MONTAISON</t>
  </si>
  <si>
    <t>Montego</t>
  </si>
  <si>
    <t>Aviso</t>
  </si>
  <si>
    <t>Fin FLO</t>
  </si>
  <si>
    <t>RECOLTE</t>
  </si>
  <si>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</si>
  <si>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</si>
  <si>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</si>
  <si>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</si>
  <si>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</si>
  <si>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</si>
  <si>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</si>
  <si>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</si>
  <si>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</si>
  <si>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</si>
  <si>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</si>
  <si>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 (mm)</t>
  </si>
  <si>
    <t>Cumul_P</t>
  </si>
  <si>
    <t>ETP_Q (mm)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</si>
  <si>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</si>
  <si>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</si>
  <si>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</si>
  <si>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</si>
  <si>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</si>
  <si>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</si>
  <si>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</si>
  <si>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</si>
  <si>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</si>
  <si>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</si>
  <si>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Cumul_RG</t>
  </si>
  <si>
    <t>Flo</t>
  </si>
  <si>
    <t>FLO</t>
  </si>
  <si>
    <t>N50</t>
  </si>
  <si>
    <t>N30</t>
  </si>
  <si>
    <t>WSC_I</t>
  </si>
  <si>
    <t>BI</t>
  </si>
  <si>
    <t>DRF</t>
  </si>
  <si>
    <t>TS</t>
  </si>
  <si>
    <t>IRF</t>
  </si>
  <si>
    <t>N60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</si>
</sst>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b/>
      <sz val="11"/>
      <name val="Calibri"/>
      <family val="2"/>
    </font>
    <font>
      <b/>
      <sz val="11"/>
      <color rgb="FFFFFF00"/>
      <name val="Calibri"/>
      <family val="2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CCC0DA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4F81BD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0" borderId="0" xfId="0" applyFont="1" applyFill="1" applyBorder="1"/>
    <xf numFmtId="0" fontId="2" fillId="0" borderId="0" xfId="0" applyFont="1" applyFill="1" applyBorder="1" applyAlignment="1"/>
    <xf numFmtId="14" fontId="2" fillId="2" borderId="0" xfId="0" applyNumberFormat="1" applyFont="1" applyFill="1" applyBorder="1"/>
    <xf numFmtId="0" fontId="2" fillId="0" borderId="0" xfId="0" applyFont="1" applyFill="1" applyBorder="1" applyAlignment="1">
      <alignment horizontal="center"/>
    </xf>
    <xf numFmtId="0" fontId="2" fillId="3" borderId="0" xfId="0" applyFont="1" applyFill="1" applyBorder="1"/>
    <xf numFmtId="0" fontId="2" fillId="4" borderId="0" xfId="0" applyFont="1" applyFill="1" applyBorder="1"/>
    <xf numFmtId="0" fontId="4" fillId="0" borderId="0" xfId="0" applyFont="1" applyFill="1" applyBorder="1" applyAlignment="1">
      <alignment horizontal="center" vertical="center"/>
    </xf>
    <xf numFmtId="0" fontId="4" fillId="6" borderId="0" xfId="0" applyFont="1" applyFill="1" applyBorder="1"/>
    <xf numFmtId="164" fontId="2" fillId="0" borderId="0" xfId="0" applyNumberFormat="1" applyFont="1" applyFill="1" applyBorder="1"/>
    <xf numFmtId="0" fontId="2" fillId="7" borderId="0" xfId="0" applyFont="1" applyFill="1" applyBorder="1"/>
    <xf numFmtId="2" fontId="2" fillId="0" borderId="0" xfId="0" applyNumberFormat="1" applyFont="1" applyFill="1" applyBorder="1"/>
    <xf numFmtId="0" fontId="2" fillId="8" borderId="0" xfId="0" applyFont="1" applyFill="1" applyBorder="1"/>
    <xf numFmtId="0" fontId="5" fillId="0" borderId="0" xfId="0" applyFont="1" applyFill="1" applyBorder="1" applyAlignment="1">
      <alignment horizontal="center" vertical="center"/>
    </xf>
    <xf numFmtId="14" fontId="5" fillId="0" borderId="0" xfId="0" applyNumberFormat="1" applyFont="1" applyFill="1" applyBorder="1"/>
    <xf numFmtId="0" fontId="5" fillId="0" borderId="0" xfId="0" applyFont="1" applyFill="1" applyBorder="1"/>
    <xf numFmtId="164" fontId="5" fillId="0" borderId="0" xfId="0" applyNumberFormat="1" applyFont="1" applyFill="1" applyBorder="1"/>
    <xf numFmtId="0" fontId="4" fillId="9" borderId="0" xfId="0" applyFont="1" applyFill="1" applyBorder="1" applyAlignment="1">
      <alignment horizontal="center" vertical="center"/>
    </xf>
    <xf numFmtId="0" fontId="4" fillId="9" borderId="0" xfId="0" applyFont="1" applyFill="1" applyBorder="1"/>
    <xf numFmtId="0" fontId="2" fillId="10" borderId="0" xfId="0" applyFont="1" applyFill="1" applyBorder="1"/>
    <xf numFmtId="0" fontId="4" fillId="11" borderId="0" xfId="0" applyFont="1" applyFill="1" applyBorder="1" applyAlignment="1">
      <alignment horizontal="center" vertical="center"/>
    </xf>
    <xf numFmtId="0" fontId="4" fillId="12" borderId="0" xfId="0" applyFont="1" applyFill="1" applyBorder="1"/>
    <xf numFmtId="14" fontId="6" fillId="2" borderId="0" xfId="0" applyNumberFormat="1" applyFont="1" applyFill="1" applyBorder="1"/>
    <xf numFmtId="0" fontId="6" fillId="0" borderId="0" xfId="0" applyFont="1" applyFill="1" applyBorder="1"/>
    <xf numFmtId="0" fontId="6" fillId="8" borderId="0" xfId="0" applyFont="1" applyFill="1" applyBorder="1"/>
    <xf numFmtId="0" fontId="6" fillId="3" borderId="0" xfId="0" applyFont="1" applyFill="1" applyBorder="1"/>
    <xf numFmtId="164" fontId="6" fillId="0" borderId="0" xfId="0" applyNumberFormat="1" applyFont="1" applyFill="1" applyBorder="1"/>
    <xf numFmtId="0" fontId="6" fillId="7" borderId="0" xfId="0" applyFont="1" applyFill="1" applyBorder="1"/>
    <xf numFmtId="0" fontId="7" fillId="0" borderId="0" xfId="0" applyFont="1" applyFill="1" applyBorder="1"/>
    <xf numFmtId="14" fontId="2" fillId="0" borderId="0" xfId="0" applyNumberFormat="1" applyFont="1" applyFill="1" applyBorder="1"/>
    <xf numFmtId="0" fontId="4" fillId="13" borderId="0" xfId="0" applyFont="1" applyFill="1" applyBorder="1" applyAlignment="1">
      <alignment horizontal="center" vertical="center"/>
    </xf>
    <xf numFmtId="0" fontId="4" fillId="13" borderId="0" xfId="0" applyFont="1" applyFill="1" applyBorder="1"/>
    <xf numFmtId="0" fontId="8" fillId="13" borderId="0" xfId="0" applyFont="1" applyFill="1" applyBorder="1" applyAlignment="1">
      <alignment horizontal="center" vertical="center"/>
    </xf>
    <xf numFmtId="14" fontId="6" fillId="0" borderId="0" xfId="0" applyNumberFormat="1" applyFont="1" applyFill="1" applyBorder="1"/>
    <xf numFmtId="0" fontId="4" fillId="4" borderId="0" xfId="0" applyFont="1" applyFill="1" applyBorder="1"/>
    <xf numFmtId="0" fontId="8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4" fillId="14" borderId="0" xfId="0" applyFont="1" applyFill="1" applyBorder="1"/>
    <xf numFmtId="0" fontId="6" fillId="0" borderId="0" xfId="0" applyFont="1" applyFill="1" applyBorder="1" applyAlignment="1">
      <alignment horizontal="center" vertical="center"/>
    </xf>
    <xf numFmtId="0" fontId="4" fillId="15" borderId="0" xfId="0" applyFont="1" applyFill="1" applyBorder="1"/>
    <xf numFmtId="0" fontId="2" fillId="0" borderId="0" xfId="0" applyFont="1" applyFill="1" applyBorder="1" applyAlignment="1">
      <alignment horizontal="center" vertical="center" wrapText="1"/>
    </xf>
    <xf numFmtId="0" fontId="2" fillId="6" borderId="0" xfId="0" applyFont="1" applyFill="1" applyBorder="1"/>
    <xf numFmtId="0" fontId="2" fillId="0" borderId="0" xfId="0" applyFont="1" applyFill="1" applyBorder="1" applyAlignment="1">
      <alignment vertical="center" wrapText="1"/>
    </xf>
    <xf numFmtId="0" fontId="0" fillId="0" borderId="0" xfId="0" applyFill="1" applyAlignment="1"/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4" fontId="11" fillId="2" borderId="1" xfId="0" applyNumberFormat="1" applyFont="1" applyFill="1" applyBorder="1"/>
    <xf numFmtId="0" fontId="11" fillId="0" borderId="1" xfId="0" applyFont="1" applyFill="1" applyBorder="1"/>
    <xf numFmtId="2" fontId="11" fillId="0" borderId="1" xfId="0" applyNumberFormat="1" applyFont="1" applyFill="1" applyBorder="1"/>
    <xf numFmtId="164" fontId="11" fillId="0" borderId="1" xfId="0" applyNumberFormat="1" applyFont="1" applyFill="1" applyBorder="1"/>
    <xf numFmtId="0" fontId="11" fillId="0" borderId="1" xfId="0" applyFont="1" applyFill="1" applyBorder="1" applyAlignment="1"/>
    <xf numFmtId="0" fontId="11" fillId="8" borderId="1" xfId="0" applyFont="1" applyFill="1" applyBorder="1"/>
    <xf numFmtId="0" fontId="11" fillId="3" borderId="1" xfId="0" applyFont="1" applyFill="1" applyBorder="1"/>
    <xf numFmtId="0" fontId="11" fillId="0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1" fillId="6" borderId="1" xfId="0" applyFont="1" applyFill="1" applyBorder="1"/>
    <xf numFmtId="0" fontId="6" fillId="4" borderId="0" xfId="0" applyFont="1" applyFill="1" applyBorder="1"/>
    <xf numFmtId="2" fontId="6" fillId="0" borderId="0" xfId="0" applyNumberFormat="1" applyFont="1" applyFill="1" applyBorder="1"/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/>
    <xf numFmtId="0" fontId="8" fillId="0" borderId="1" xfId="0" applyFont="1" applyFill="1" applyBorder="1" applyAlignment="1">
      <alignment horizontal="center" vertical="center"/>
    </xf>
    <xf numFmtId="14" fontId="8" fillId="0" borderId="1" xfId="0" applyNumberFormat="1" applyFont="1" applyFill="1" applyBorder="1"/>
    <xf numFmtId="0" fontId="8" fillId="0" borderId="1" xfId="0" applyFont="1" applyFill="1" applyBorder="1"/>
    <xf numFmtId="164" fontId="8" fillId="0" borderId="1" xfId="0" applyNumberFormat="1" applyFont="1" applyFill="1" applyBorder="1"/>
    <xf numFmtId="0" fontId="8" fillId="0" borderId="1" xfId="0" applyFont="1" applyFill="1" applyBorder="1" applyAlignment="1">
      <alignment horizontal="center" vertical="center" wrapText="1"/>
    </xf>
    <xf numFmtId="14" fontId="8" fillId="2" borderId="1" xfId="0" applyNumberFormat="1" applyFont="1" applyFill="1" applyBorder="1"/>
    <xf numFmtId="2" fontId="8" fillId="0" borderId="1" xfId="0" applyNumberFormat="1" applyFont="1" applyFill="1" applyBorder="1"/>
    <xf numFmtId="0" fontId="8" fillId="7" borderId="1" xfId="0" applyFont="1" applyFill="1" applyBorder="1"/>
    <xf numFmtId="0" fontId="8" fillId="4" borderId="1" xfId="0" applyFont="1" applyFill="1" applyBorder="1"/>
    <xf numFmtId="0" fontId="8" fillId="3" borderId="1" xfId="0" applyFont="1" applyFill="1" applyBorder="1"/>
    <xf numFmtId="0" fontId="8" fillId="13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/>
    <xf numFmtId="0" fontId="8" fillId="8" borderId="1" xfId="0" applyFont="1" applyFill="1" applyBorder="1"/>
    <xf numFmtId="0" fontId="4" fillId="15" borderId="0" xfId="0" applyFont="1" applyFill="1" applyBorder="1" applyAlignment="1">
      <alignment horizontal="center" vertical="center" textRotation="255"/>
    </xf>
    <xf numFmtId="0" fontId="9" fillId="16" borderId="0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5" borderId="0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center" vertical="center" textRotation="255"/>
    </xf>
    <xf numFmtId="0" fontId="4" fillId="9" borderId="0" xfId="0" applyFont="1" applyFill="1" applyBorder="1" applyAlignment="1">
      <alignment horizontal="center" vertical="center" textRotation="255"/>
    </xf>
    <xf numFmtId="0" fontId="4" fillId="12" borderId="0" xfId="0" applyFont="1" applyFill="1" applyBorder="1" applyAlignment="1">
      <alignment horizontal="center" vertical="center" textRotation="255"/>
    </xf>
    <xf numFmtId="0" fontId="4" fillId="4" borderId="0" xfId="0" applyFont="1" applyFill="1" applyBorder="1" applyAlignment="1">
      <alignment horizontal="center" vertical="center" textRotation="255"/>
    </xf>
    <xf numFmtId="0" fontId="4" fillId="14" borderId="0" xfId="0" applyFont="1" applyFill="1" applyBorder="1" applyAlignment="1">
      <alignment horizontal="center" vertical="center" textRotation="255"/>
    </xf>
    <xf numFmtId="0" fontId="4" fillId="13" borderId="0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textRotation="255"/>
    </xf>
    <xf numFmtId="0" fontId="4" fillId="17" borderId="0" xfId="0" applyFont="1" applyFill="1" applyBorder="1" applyAlignment="1">
      <alignment horizontal="center" vertical="center"/>
    </xf>
    <xf numFmtId="14" fontId="2" fillId="18" borderId="0" xfId="0" applyNumberFormat="1" applyFont="1" applyFill="1" applyBorder="1"/>
    <xf numFmtId="0" fontId="2" fillId="17" borderId="0" xfId="0" applyFont="1" applyFill="1" applyBorder="1"/>
    <xf numFmtId="0" fontId="2" fillId="18" borderId="0" xfId="0" applyFont="1" applyFill="1" applyBorder="1"/>
    <xf numFmtId="2" fontId="2" fillId="17" borderId="0" xfId="0" applyNumberFormat="1" applyFont="1" applyFill="1" applyBorder="1"/>
    <xf numFmtId="164" fontId="2" fillId="17" borderId="0" xfId="0" applyNumberFormat="1" applyFont="1" applyFill="1" applyBorder="1"/>
    <xf numFmtId="0" fontId="11" fillId="0" borderId="0" xfId="0" applyFont="1" applyFill="1" applyBorder="1"/>
    <xf numFmtId="0" fontId="2" fillId="19" borderId="0" xfId="0" applyFont="1" applyFill="1" applyBorder="1"/>
    <xf numFmtId="164" fontId="2" fillId="19" borderId="0" xfId="0" applyNumberFormat="1" applyFont="1" applyFill="1" applyBorder="1"/>
    <xf numFmtId="164" fontId="11" fillId="19" borderId="1" xfId="0" applyNumberFormat="1" applyFont="1" applyFill="1" applyBorder="1"/>
    <xf numFmtId="0" fontId="6" fillId="19" borderId="0" xfId="0" applyFont="1" applyFill="1" applyBorder="1"/>
    <xf numFmtId="0" fontId="11" fillId="19" borderId="1" xfId="0" applyFont="1" applyFill="1" applyBorder="1"/>
  </cellXfs>
  <cellStyles count="1">
    <cellStyle name="Normal" xfId="0" builtinId="0"/>
  </cellStyles>
  <dxfs count="10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57"/>
  <sheetViews>
    <sheetView tabSelected="1" zoomScale="85" zoomScaleNormal="85" workbookViewId="0">
      <pane xSplit="3" ySplit="4" topLeftCell="I210" activePane="bottomRight" state="frozen"/>
      <selection pane="topRight" activeCell="D1" sqref="D1"/>
      <selection pane="bottomLeft" activeCell="A5" sqref="A5"/>
      <selection pane="bottomRight" activeCell="W236" sqref="W236"/>
    </sheetView>
  </sheetViews>
  <sheetFormatPr baseColWidth="10" defaultRowHeight="15" x14ac:dyDescent="0.25"/>
  <sheetData>
    <row r="1" spans="1:26" x14ac:dyDescent="0.25">
      <c r="B1" s="43"/>
      <c r="C1" s="44"/>
      <c r="D1" s="76" t="s">
        <v>26</v>
      </c>
      <c r="E1" s="76"/>
      <c r="F1" s="76"/>
      <c r="G1" s="76"/>
      <c r="H1" s="76"/>
      <c r="I1" s="76"/>
      <c r="J1" s="76" t="s">
        <v>27</v>
      </c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 t="s">
        <v>28</v>
      </c>
      <c r="W1" s="76"/>
      <c r="X1" s="76"/>
      <c r="Y1" s="76"/>
      <c r="Z1" s="76"/>
    </row>
    <row r="2" spans="1:26" x14ac:dyDescent="0.25">
      <c r="B2" s="43"/>
      <c r="C2" s="44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26" x14ac:dyDescent="0.25">
      <c r="B3" s="43"/>
      <c r="C3" s="44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76" t="s">
        <v>29</v>
      </c>
      <c r="Q3" s="76"/>
      <c r="R3" s="76"/>
      <c r="S3" s="76"/>
      <c r="T3" s="76"/>
      <c r="U3" s="45"/>
      <c r="V3" s="45"/>
      <c r="W3" s="45"/>
      <c r="X3" s="45"/>
      <c r="Y3" s="45"/>
      <c r="Z3" s="45"/>
    </row>
    <row r="4" spans="1:26" x14ac:dyDescent="0.25">
      <c r="A4" t="s">
        <v>30</v>
      </c>
      <c r="B4" s="43">
        <v>5</v>
      </c>
      <c r="C4" t="s">
        <v>31</v>
      </c>
      <c r="D4" t="s">
        <v>32</v>
      </c>
      <c r="E4" t="s">
        <v>33</v>
      </c>
      <c r="F4" t="s">
        <v>34</v>
      </c>
      <c r="G4" s="77" t="s">
        <v>35</v>
      </c>
      <c r="H4" s="77"/>
      <c r="I4" t="s">
        <v>36</v>
      </c>
      <c r="J4" t="s">
        <v>37</v>
      </c>
      <c r="K4" t="s">
        <v>38</v>
      </c>
      <c r="L4" t="s">
        <v>39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 t="s">
        <v>45</v>
      </c>
      <c r="S4" t="s">
        <v>46</v>
      </c>
      <c r="T4" t="s">
        <v>47</v>
      </c>
      <c r="U4" t="s">
        <v>36</v>
      </c>
      <c r="V4" t="s">
        <v>48</v>
      </c>
      <c r="W4" t="s">
        <v>49</v>
      </c>
      <c r="X4" s="77" t="s">
        <v>50</v>
      </c>
      <c r="Y4" s="77"/>
      <c r="Z4" t="s">
        <v>36</v>
      </c>
    </row>
    <row r="5" spans="1:26" s="1" customFormat="1" x14ac:dyDescent="0.25">
      <c r="B5" s="2"/>
      <c r="C5" s="3">
        <v>41487</v>
      </c>
      <c r="D5" s="1">
        <v>26.5</v>
      </c>
      <c r="E5" s="1">
        <v>16.2</v>
      </c>
      <c r="F5" s="1">
        <v>33.799999999999997</v>
      </c>
      <c r="G5" s="4"/>
      <c r="H5" s="4"/>
      <c r="J5" s="1">
        <v>0</v>
      </c>
      <c r="L5" s="1">
        <v>6.7</v>
      </c>
      <c r="N5" s="5">
        <f t="shared" ref="N5:N38" si="0">J5-L5</f>
        <v>-6.7</v>
      </c>
      <c r="O5" s="1">
        <v>0</v>
      </c>
      <c r="V5" s="1">
        <v>2731.7</v>
      </c>
      <c r="X5" s="4"/>
      <c r="Y5" s="4"/>
    </row>
    <row r="6" spans="1:26" s="1" customFormat="1" x14ac:dyDescent="0.25">
      <c r="B6" s="2"/>
      <c r="C6" s="3">
        <v>41488</v>
      </c>
      <c r="D6" s="1">
        <v>24.6</v>
      </c>
      <c r="E6" s="1">
        <v>20.6</v>
      </c>
      <c r="F6" s="1">
        <v>30.9</v>
      </c>
      <c r="G6" s="4"/>
      <c r="H6" s="4"/>
      <c r="J6" s="1">
        <v>0.8</v>
      </c>
      <c r="L6" s="1">
        <v>6.4</v>
      </c>
      <c r="N6" s="5">
        <f t="shared" si="0"/>
        <v>-5.6000000000000005</v>
      </c>
      <c r="O6" s="1">
        <v>0</v>
      </c>
      <c r="V6" s="1">
        <v>2517.6999999999998</v>
      </c>
      <c r="X6" s="4"/>
      <c r="Y6" s="4"/>
    </row>
    <row r="7" spans="1:26" s="1" customFormat="1" x14ac:dyDescent="0.25">
      <c r="B7" s="2"/>
      <c r="C7" s="3">
        <v>41489</v>
      </c>
      <c r="D7" s="1">
        <v>20.399999999999999</v>
      </c>
      <c r="E7" s="1">
        <v>17.2</v>
      </c>
      <c r="F7" s="1">
        <v>23.8</v>
      </c>
      <c r="G7" s="4"/>
      <c r="H7" s="4"/>
      <c r="J7" s="1">
        <v>0</v>
      </c>
      <c r="L7" s="1">
        <v>2.9</v>
      </c>
      <c r="N7" s="5">
        <f t="shared" si="0"/>
        <v>-2.9</v>
      </c>
      <c r="O7" s="1">
        <v>0</v>
      </c>
      <c r="T7" s="6">
        <v>0</v>
      </c>
      <c r="U7" s="1" t="s">
        <v>0</v>
      </c>
      <c r="V7" s="1">
        <v>1442.1</v>
      </c>
      <c r="X7" s="4"/>
      <c r="Y7" s="4"/>
    </row>
    <row r="8" spans="1:26" s="1" customFormat="1" x14ac:dyDescent="0.25">
      <c r="B8" s="2"/>
      <c r="C8" s="3">
        <v>41490</v>
      </c>
      <c r="D8" s="1">
        <v>19.5</v>
      </c>
      <c r="E8" s="1">
        <v>14.6</v>
      </c>
      <c r="F8" s="1">
        <v>25.5</v>
      </c>
      <c r="G8" s="4"/>
      <c r="H8" s="4"/>
      <c r="J8" s="1">
        <v>0</v>
      </c>
      <c r="L8" s="1">
        <v>5.2</v>
      </c>
      <c r="N8" s="5">
        <f t="shared" si="0"/>
        <v>-5.2</v>
      </c>
      <c r="O8" s="1">
        <v>0</v>
      </c>
      <c r="T8" s="1">
        <v>0</v>
      </c>
      <c r="V8" s="1">
        <v>2559.6999999999998</v>
      </c>
      <c r="X8" s="4"/>
      <c r="Y8" s="4"/>
    </row>
    <row r="9" spans="1:26" s="1" customFormat="1" x14ac:dyDescent="0.25">
      <c r="B9" s="2"/>
      <c r="C9" s="3">
        <v>41491</v>
      </c>
      <c r="D9" s="1">
        <v>21.2</v>
      </c>
      <c r="E9" s="1">
        <v>12.7</v>
      </c>
      <c r="F9" s="1">
        <v>28.3</v>
      </c>
      <c r="G9" s="4"/>
      <c r="H9" s="4"/>
      <c r="J9" s="1">
        <v>0</v>
      </c>
      <c r="L9" s="1">
        <v>3.4</v>
      </c>
      <c r="N9" s="5">
        <f t="shared" si="0"/>
        <v>-3.4</v>
      </c>
      <c r="O9" s="1">
        <v>0</v>
      </c>
      <c r="T9" s="1">
        <v>0</v>
      </c>
      <c r="V9" s="1">
        <v>1494.8</v>
      </c>
      <c r="X9" s="4"/>
      <c r="Y9" s="4"/>
    </row>
    <row r="10" spans="1:26" s="1" customFormat="1" x14ac:dyDescent="0.25">
      <c r="B10" s="2"/>
      <c r="C10" s="3">
        <v>41492</v>
      </c>
      <c r="D10" s="1">
        <v>18.100000000000001</v>
      </c>
      <c r="E10" s="1">
        <v>14.6</v>
      </c>
      <c r="F10" s="1">
        <v>21.7</v>
      </c>
      <c r="G10" s="4"/>
      <c r="H10" s="4"/>
      <c r="J10" s="1">
        <v>22.2</v>
      </c>
      <c r="L10" s="1">
        <v>1.8</v>
      </c>
      <c r="N10" s="1">
        <f t="shared" si="0"/>
        <v>20.399999999999999</v>
      </c>
      <c r="O10" s="1">
        <f>O9+N10</f>
        <v>20.399999999999999</v>
      </c>
      <c r="T10" s="1">
        <v>20.399999999999999</v>
      </c>
      <c r="V10" s="1">
        <v>947.8</v>
      </c>
      <c r="X10" s="4"/>
      <c r="Y10" s="4"/>
    </row>
    <row r="11" spans="1:26" s="1" customFormat="1" x14ac:dyDescent="0.25">
      <c r="B11" s="2"/>
      <c r="C11" s="3">
        <v>41493</v>
      </c>
      <c r="D11" s="1">
        <v>18.7</v>
      </c>
      <c r="E11" s="1">
        <v>16.2</v>
      </c>
      <c r="F11" s="1">
        <v>22.4</v>
      </c>
      <c r="G11" s="4"/>
      <c r="H11" s="4"/>
      <c r="J11" s="1">
        <v>2</v>
      </c>
      <c r="L11" s="1">
        <v>3</v>
      </c>
      <c r="N11" s="5">
        <f t="shared" si="0"/>
        <v>-1</v>
      </c>
      <c r="O11" s="1">
        <f t="shared" ref="O11:O30" si="1">O10+N11</f>
        <v>19.399999999999999</v>
      </c>
      <c r="T11" s="1">
        <v>19.399999999999999</v>
      </c>
      <c r="V11" s="1">
        <v>1628.6</v>
      </c>
      <c r="X11" s="4"/>
      <c r="Y11" s="4"/>
    </row>
    <row r="12" spans="1:26" s="1" customFormat="1" x14ac:dyDescent="0.25">
      <c r="B12" s="2"/>
      <c r="C12" s="3">
        <v>41494</v>
      </c>
      <c r="D12" s="1">
        <v>18.8</v>
      </c>
      <c r="E12" s="1">
        <v>15.7</v>
      </c>
      <c r="F12" s="1">
        <v>22.7</v>
      </c>
      <c r="G12" s="4"/>
      <c r="H12" s="4"/>
      <c r="J12" s="1">
        <v>0</v>
      </c>
      <c r="L12" s="1">
        <v>2.5</v>
      </c>
      <c r="N12" s="5">
        <f t="shared" si="0"/>
        <v>-2.5</v>
      </c>
      <c r="O12" s="1">
        <f t="shared" si="1"/>
        <v>16.899999999999999</v>
      </c>
      <c r="T12" s="1">
        <v>16.899999999999999</v>
      </c>
      <c r="V12" s="1">
        <v>1234.2</v>
      </c>
      <c r="X12" s="4"/>
      <c r="Y12" s="4"/>
    </row>
    <row r="13" spans="1:26" s="1" customFormat="1" x14ac:dyDescent="0.25">
      <c r="B13" s="2"/>
      <c r="C13" s="3">
        <v>41495</v>
      </c>
      <c r="D13" s="1">
        <v>18.2</v>
      </c>
      <c r="E13" s="1">
        <v>14</v>
      </c>
      <c r="F13" s="1">
        <v>21.7</v>
      </c>
      <c r="G13" s="4"/>
      <c r="H13" s="4"/>
      <c r="J13" s="1">
        <v>0.4</v>
      </c>
      <c r="L13" s="1">
        <v>2.2999999999999998</v>
      </c>
      <c r="N13" s="5">
        <f t="shared" si="0"/>
        <v>-1.9</v>
      </c>
      <c r="O13" s="1">
        <f t="shared" si="1"/>
        <v>14.999999999999998</v>
      </c>
      <c r="T13" s="1">
        <v>14.999999999999998</v>
      </c>
      <c r="V13" s="1">
        <v>1126.0999999999999</v>
      </c>
      <c r="X13" s="4"/>
      <c r="Y13" s="4"/>
    </row>
    <row r="14" spans="1:26" s="1" customFormat="1" x14ac:dyDescent="0.25">
      <c r="B14" s="2"/>
      <c r="C14" s="3">
        <v>41496</v>
      </c>
      <c r="D14" s="1">
        <v>17.2</v>
      </c>
      <c r="E14" s="1">
        <v>12.7</v>
      </c>
      <c r="F14" s="1">
        <v>22.1</v>
      </c>
      <c r="G14" s="4"/>
      <c r="H14" s="4"/>
      <c r="J14" s="1">
        <v>0</v>
      </c>
      <c r="L14" s="1">
        <v>3.3</v>
      </c>
      <c r="N14" s="5">
        <f t="shared" si="0"/>
        <v>-3.3</v>
      </c>
      <c r="O14" s="1">
        <f t="shared" si="1"/>
        <v>11.7</v>
      </c>
      <c r="T14" s="1">
        <v>11.7</v>
      </c>
      <c r="V14" s="1">
        <v>1641.2</v>
      </c>
      <c r="X14" s="4"/>
      <c r="Y14" s="4"/>
    </row>
    <row r="15" spans="1:26" s="1" customFormat="1" x14ac:dyDescent="0.25">
      <c r="B15" s="2"/>
      <c r="C15" s="3">
        <v>41497</v>
      </c>
      <c r="D15" s="1">
        <v>19.2</v>
      </c>
      <c r="E15" s="1">
        <v>11.8</v>
      </c>
      <c r="F15" s="1">
        <v>24.6</v>
      </c>
      <c r="G15" s="4"/>
      <c r="H15" s="4"/>
      <c r="J15" s="1">
        <v>0</v>
      </c>
      <c r="L15" s="1">
        <v>2.1</v>
      </c>
      <c r="N15" s="5">
        <f t="shared" si="0"/>
        <v>-2.1</v>
      </c>
      <c r="O15" s="1">
        <f t="shared" si="1"/>
        <v>9.6</v>
      </c>
      <c r="T15" s="1">
        <v>9.6</v>
      </c>
      <c r="V15" s="1">
        <v>955.8</v>
      </c>
      <c r="X15" s="4"/>
      <c r="Y15" s="4"/>
    </row>
    <row r="16" spans="1:26" s="1" customFormat="1" x14ac:dyDescent="0.25">
      <c r="B16" s="2"/>
      <c r="C16" s="3">
        <v>41498</v>
      </c>
      <c r="D16" s="1">
        <v>18.7</v>
      </c>
      <c r="E16" s="1">
        <v>15.2</v>
      </c>
      <c r="F16" s="1">
        <v>23.4</v>
      </c>
      <c r="G16" s="4"/>
      <c r="H16" s="4"/>
      <c r="J16" s="1">
        <v>0</v>
      </c>
      <c r="L16" s="1">
        <v>3.1</v>
      </c>
      <c r="N16" s="5">
        <f t="shared" si="0"/>
        <v>-3.1</v>
      </c>
      <c r="O16" s="1">
        <f t="shared" si="1"/>
        <v>6.5</v>
      </c>
      <c r="T16" s="1">
        <v>6.5</v>
      </c>
      <c r="V16" s="1">
        <v>1408.4</v>
      </c>
      <c r="X16" s="4"/>
      <c r="Y16" s="4"/>
    </row>
    <row r="17" spans="2:25" s="1" customFormat="1" x14ac:dyDescent="0.25">
      <c r="B17" s="2"/>
      <c r="C17" s="3">
        <v>41499</v>
      </c>
      <c r="D17" s="1">
        <v>16.399999999999999</v>
      </c>
      <c r="E17" s="1">
        <v>10.3</v>
      </c>
      <c r="F17" s="1">
        <v>21.9</v>
      </c>
      <c r="G17" s="4"/>
      <c r="H17" s="4"/>
      <c r="J17" s="1">
        <v>0</v>
      </c>
      <c r="L17" s="1">
        <v>3</v>
      </c>
      <c r="N17" s="5">
        <f t="shared" si="0"/>
        <v>-3</v>
      </c>
      <c r="O17" s="1">
        <f t="shared" si="1"/>
        <v>3.5</v>
      </c>
      <c r="T17" s="1">
        <v>3.5</v>
      </c>
      <c r="V17" s="1">
        <v>1698.2</v>
      </c>
      <c r="X17" s="4"/>
      <c r="Y17" s="4"/>
    </row>
    <row r="18" spans="2:25" s="1" customFormat="1" x14ac:dyDescent="0.25">
      <c r="B18" s="2"/>
      <c r="C18" s="3">
        <v>41500</v>
      </c>
      <c r="D18" s="1">
        <v>17</v>
      </c>
      <c r="E18" s="1">
        <v>10.5</v>
      </c>
      <c r="F18" s="1">
        <v>23.6</v>
      </c>
      <c r="G18" s="4"/>
      <c r="H18" s="4"/>
      <c r="J18" s="1">
        <v>0</v>
      </c>
      <c r="L18" s="1">
        <v>5</v>
      </c>
      <c r="N18" s="5">
        <f t="shared" si="0"/>
        <v>-5</v>
      </c>
      <c r="O18" s="1">
        <v>0</v>
      </c>
      <c r="T18" s="1">
        <v>0</v>
      </c>
      <c r="V18" s="1">
        <v>2655</v>
      </c>
      <c r="X18" s="4"/>
      <c r="Y18" s="4"/>
    </row>
    <row r="19" spans="2:25" s="1" customFormat="1" x14ac:dyDescent="0.25">
      <c r="B19" s="2"/>
      <c r="C19" s="3">
        <v>41501</v>
      </c>
      <c r="D19" s="1">
        <v>18.7</v>
      </c>
      <c r="E19" s="1">
        <v>10.6</v>
      </c>
      <c r="F19" s="1">
        <v>25.7</v>
      </c>
      <c r="G19" s="4"/>
      <c r="H19" s="4"/>
      <c r="J19" s="1">
        <v>0</v>
      </c>
      <c r="L19" s="1">
        <v>4.7</v>
      </c>
      <c r="N19" s="5">
        <f t="shared" si="0"/>
        <v>-4.7</v>
      </c>
      <c r="O19" s="1">
        <v>0</v>
      </c>
      <c r="T19" s="1">
        <v>0</v>
      </c>
      <c r="V19" s="1">
        <v>2364.6</v>
      </c>
      <c r="X19" s="4"/>
      <c r="Y19" s="4"/>
    </row>
    <row r="20" spans="2:25" s="1" customFormat="1" x14ac:dyDescent="0.25">
      <c r="B20" s="2"/>
      <c r="C20" s="3">
        <v>41502</v>
      </c>
      <c r="D20" s="1">
        <v>20.3</v>
      </c>
      <c r="E20" s="1">
        <v>12.2</v>
      </c>
      <c r="F20" s="1">
        <v>28.5</v>
      </c>
      <c r="G20" s="4"/>
      <c r="H20" s="4"/>
      <c r="J20" s="1">
        <v>0</v>
      </c>
      <c r="L20" s="1">
        <v>3.9</v>
      </c>
      <c r="N20" s="5">
        <f t="shared" si="0"/>
        <v>-3.9</v>
      </c>
      <c r="O20" s="1">
        <v>0</v>
      </c>
      <c r="T20" s="1">
        <v>0</v>
      </c>
      <c r="V20" s="1">
        <v>1696.7</v>
      </c>
      <c r="X20" s="4"/>
      <c r="Y20" s="4"/>
    </row>
    <row r="21" spans="2:25" s="1" customFormat="1" x14ac:dyDescent="0.25">
      <c r="B21" s="2"/>
      <c r="C21" s="3">
        <v>41503</v>
      </c>
      <c r="D21" s="1">
        <v>20.8</v>
      </c>
      <c r="E21" s="1">
        <v>14.7</v>
      </c>
      <c r="F21" s="1">
        <v>25.7</v>
      </c>
      <c r="G21" s="4"/>
      <c r="H21" s="4"/>
      <c r="J21" s="1">
        <v>0</v>
      </c>
      <c r="L21" s="1">
        <v>3.6</v>
      </c>
      <c r="N21" s="5">
        <f t="shared" si="0"/>
        <v>-3.6</v>
      </c>
      <c r="O21" s="1">
        <v>0</v>
      </c>
      <c r="T21" s="1">
        <v>0</v>
      </c>
      <c r="V21" s="1">
        <v>1783.7</v>
      </c>
      <c r="X21" s="4"/>
      <c r="Y21" s="4"/>
    </row>
    <row r="22" spans="2:25" s="1" customFormat="1" x14ac:dyDescent="0.25">
      <c r="B22" s="2"/>
      <c r="C22" s="3">
        <v>41504</v>
      </c>
      <c r="D22" s="1">
        <v>19.8</v>
      </c>
      <c r="E22" s="1">
        <v>17.8</v>
      </c>
      <c r="F22" s="1">
        <v>22.6</v>
      </c>
      <c r="G22" s="4"/>
      <c r="H22" s="4"/>
      <c r="J22" s="1">
        <v>3.4</v>
      </c>
      <c r="L22" s="1">
        <v>1.8</v>
      </c>
      <c r="N22" s="1">
        <f t="shared" si="0"/>
        <v>1.5999999999999999</v>
      </c>
      <c r="O22" s="1">
        <f t="shared" si="1"/>
        <v>1.5999999999999999</v>
      </c>
      <c r="T22" s="1">
        <v>1.5999999999999999</v>
      </c>
      <c r="V22" s="1">
        <v>682.1</v>
      </c>
      <c r="X22" s="4"/>
      <c r="Y22" s="4"/>
    </row>
    <row r="23" spans="2:25" s="1" customFormat="1" x14ac:dyDescent="0.25">
      <c r="B23" s="2"/>
      <c r="C23" s="3">
        <v>41505</v>
      </c>
      <c r="D23" s="1">
        <v>18.2</v>
      </c>
      <c r="E23" s="1">
        <v>14.9</v>
      </c>
      <c r="F23" s="1">
        <v>22.1</v>
      </c>
      <c r="G23" s="4"/>
      <c r="H23" s="4"/>
      <c r="J23" s="1">
        <v>0</v>
      </c>
      <c r="L23" s="1">
        <v>3.8</v>
      </c>
      <c r="N23" s="5">
        <f t="shared" si="0"/>
        <v>-3.8</v>
      </c>
      <c r="O23" s="1">
        <v>0</v>
      </c>
      <c r="T23" s="1">
        <v>0</v>
      </c>
      <c r="V23" s="1">
        <v>1726.2</v>
      </c>
      <c r="X23" s="4"/>
      <c r="Y23" s="4"/>
    </row>
    <row r="24" spans="2:25" s="1" customFormat="1" x14ac:dyDescent="0.25">
      <c r="B24" s="2"/>
      <c r="C24" s="3">
        <v>41506</v>
      </c>
      <c r="D24" s="1">
        <v>17.2</v>
      </c>
      <c r="E24" s="1">
        <v>9.6999999999999993</v>
      </c>
      <c r="F24" s="1">
        <v>23.6</v>
      </c>
      <c r="G24" s="4"/>
      <c r="H24" s="4"/>
      <c r="J24" s="1">
        <v>0</v>
      </c>
      <c r="L24" s="1">
        <v>4.9000000000000004</v>
      </c>
      <c r="N24" s="5">
        <f t="shared" si="0"/>
        <v>-4.9000000000000004</v>
      </c>
      <c r="O24" s="1">
        <v>0</v>
      </c>
      <c r="T24" s="1">
        <v>0</v>
      </c>
      <c r="V24" s="1">
        <v>2592.9</v>
      </c>
      <c r="X24" s="4"/>
      <c r="Y24" s="4"/>
    </row>
    <row r="25" spans="2:25" s="1" customFormat="1" x14ac:dyDescent="0.25">
      <c r="B25" s="2"/>
      <c r="C25" s="3">
        <v>41507</v>
      </c>
      <c r="D25" s="1">
        <v>19.100000000000001</v>
      </c>
      <c r="E25" s="1">
        <v>11.6</v>
      </c>
      <c r="F25" s="1">
        <v>25.2</v>
      </c>
      <c r="G25" s="4"/>
      <c r="H25" s="4"/>
      <c r="J25" s="1">
        <v>0</v>
      </c>
      <c r="L25" s="1">
        <v>5.3</v>
      </c>
      <c r="N25" s="5">
        <f t="shared" si="0"/>
        <v>-5.3</v>
      </c>
      <c r="O25" s="1">
        <v>0</v>
      </c>
      <c r="T25" s="1">
        <v>0</v>
      </c>
      <c r="V25" s="1">
        <v>2563.1</v>
      </c>
      <c r="X25" s="4"/>
      <c r="Y25" s="4"/>
    </row>
    <row r="26" spans="2:25" s="1" customFormat="1" x14ac:dyDescent="0.25">
      <c r="B26" s="2"/>
      <c r="C26" s="3">
        <v>41508</v>
      </c>
      <c r="D26" s="1">
        <v>20.9</v>
      </c>
      <c r="E26" s="1">
        <v>14.3</v>
      </c>
      <c r="F26" s="1">
        <v>26.8</v>
      </c>
      <c r="G26" s="4"/>
      <c r="H26" s="4"/>
      <c r="J26" s="1">
        <v>0</v>
      </c>
      <c r="L26" s="1">
        <v>4.2</v>
      </c>
      <c r="N26" s="5">
        <f t="shared" si="0"/>
        <v>-4.2</v>
      </c>
      <c r="O26" s="1">
        <v>0</v>
      </c>
      <c r="T26" s="1">
        <v>0</v>
      </c>
      <c r="V26" s="1">
        <v>1885.4</v>
      </c>
      <c r="X26" s="4"/>
      <c r="Y26" s="4"/>
    </row>
    <row r="27" spans="2:25" s="1" customFormat="1" x14ac:dyDescent="0.25">
      <c r="B27" s="2"/>
      <c r="C27" s="3">
        <v>41509</v>
      </c>
      <c r="D27" s="1">
        <v>21.7</v>
      </c>
      <c r="E27" s="1">
        <v>12.3</v>
      </c>
      <c r="F27" s="1">
        <v>29.5</v>
      </c>
      <c r="G27" s="4"/>
      <c r="H27" s="4"/>
      <c r="J27" s="1">
        <v>0</v>
      </c>
      <c r="L27" s="1">
        <v>3.4</v>
      </c>
      <c r="N27" s="5">
        <f t="shared" si="0"/>
        <v>-3.4</v>
      </c>
      <c r="O27" s="1">
        <v>0</v>
      </c>
      <c r="T27" s="1">
        <v>0</v>
      </c>
      <c r="V27" s="1">
        <v>1482.2</v>
      </c>
      <c r="X27" s="4"/>
      <c r="Y27" s="4"/>
    </row>
    <row r="28" spans="2:25" s="1" customFormat="1" x14ac:dyDescent="0.25">
      <c r="B28" s="2"/>
      <c r="C28" s="3">
        <v>41510</v>
      </c>
      <c r="D28" s="1">
        <v>18.3</v>
      </c>
      <c r="E28" s="1">
        <v>16.3</v>
      </c>
      <c r="F28" s="1">
        <v>21.8</v>
      </c>
      <c r="G28" s="4"/>
      <c r="H28" s="4"/>
      <c r="J28" s="1">
        <v>0.1</v>
      </c>
      <c r="L28" s="1">
        <v>3.2</v>
      </c>
      <c r="N28" s="5">
        <f t="shared" si="0"/>
        <v>-3.1</v>
      </c>
      <c r="O28" s="1">
        <v>0</v>
      </c>
      <c r="T28" s="1">
        <v>0</v>
      </c>
      <c r="V28" s="1">
        <v>1383.9</v>
      </c>
      <c r="X28" s="4"/>
      <c r="Y28" s="4"/>
    </row>
    <row r="29" spans="2:25" s="1" customFormat="1" x14ac:dyDescent="0.25">
      <c r="B29" s="2"/>
      <c r="C29" s="3">
        <v>41511</v>
      </c>
      <c r="D29" s="1">
        <v>14.6</v>
      </c>
      <c r="E29" s="1">
        <v>12</v>
      </c>
      <c r="F29" s="1">
        <v>16.7</v>
      </c>
      <c r="G29" s="4"/>
      <c r="H29" s="4"/>
      <c r="J29" s="1">
        <v>4.7</v>
      </c>
      <c r="L29" s="1">
        <v>0.9</v>
      </c>
      <c r="N29" s="1">
        <f t="shared" si="0"/>
        <v>3.8000000000000003</v>
      </c>
      <c r="O29" s="1">
        <f t="shared" si="1"/>
        <v>3.8000000000000003</v>
      </c>
      <c r="T29" s="1">
        <v>3.8000000000000003</v>
      </c>
      <c r="V29" s="1">
        <v>453.3</v>
      </c>
      <c r="X29" s="4"/>
      <c r="Y29" s="4"/>
    </row>
    <row r="30" spans="2:25" s="1" customFormat="1" x14ac:dyDescent="0.25">
      <c r="B30" s="2"/>
      <c r="C30" s="3">
        <v>41512</v>
      </c>
      <c r="D30" s="1">
        <v>16.100000000000001</v>
      </c>
      <c r="E30" s="1">
        <v>14.2</v>
      </c>
      <c r="F30" s="1">
        <v>18.899999999999999</v>
      </c>
      <c r="G30" s="4"/>
      <c r="H30" s="4"/>
      <c r="J30" s="1">
        <v>0</v>
      </c>
      <c r="L30" s="1">
        <v>2.9</v>
      </c>
      <c r="N30" s="5">
        <f t="shared" si="0"/>
        <v>-2.9</v>
      </c>
      <c r="O30" s="1">
        <f t="shared" si="1"/>
        <v>0.90000000000000036</v>
      </c>
      <c r="T30" s="1">
        <v>0.90000000000000036</v>
      </c>
      <c r="V30" s="1">
        <v>1730.4</v>
      </c>
      <c r="X30" s="4"/>
      <c r="Y30" s="4"/>
    </row>
    <row r="31" spans="2:25" s="1" customFormat="1" x14ac:dyDescent="0.25">
      <c r="B31" s="2"/>
      <c r="C31" s="3">
        <v>41513</v>
      </c>
      <c r="D31" s="1">
        <v>16.8</v>
      </c>
      <c r="E31" s="1">
        <v>12.8</v>
      </c>
      <c r="F31" s="1">
        <v>19.899999999999999</v>
      </c>
      <c r="G31" s="4"/>
      <c r="H31" s="4"/>
      <c r="J31" s="1">
        <v>0.5</v>
      </c>
      <c r="L31" s="1">
        <v>2.2999999999999998</v>
      </c>
      <c r="N31" s="5">
        <f t="shared" si="0"/>
        <v>-1.7999999999999998</v>
      </c>
      <c r="O31" s="1">
        <v>0</v>
      </c>
      <c r="T31" s="1">
        <v>0</v>
      </c>
      <c r="V31" s="1">
        <v>1385.9</v>
      </c>
      <c r="X31" s="4"/>
      <c r="Y31" s="4"/>
    </row>
    <row r="32" spans="2:25" s="1" customFormat="1" x14ac:dyDescent="0.25">
      <c r="B32" s="2"/>
      <c r="C32" s="3">
        <v>41514</v>
      </c>
      <c r="D32" s="1">
        <v>17.899999999999999</v>
      </c>
      <c r="E32" s="1">
        <v>12.4</v>
      </c>
      <c r="F32" s="1">
        <v>23.6</v>
      </c>
      <c r="G32" s="4"/>
      <c r="H32" s="4"/>
      <c r="J32" s="1">
        <v>0</v>
      </c>
      <c r="L32" s="1">
        <v>3.4</v>
      </c>
      <c r="N32" s="5">
        <f t="shared" si="0"/>
        <v>-3.4</v>
      </c>
      <c r="O32" s="1">
        <v>0</v>
      </c>
      <c r="T32" s="1">
        <v>0</v>
      </c>
      <c r="V32" s="1">
        <v>1697.8</v>
      </c>
      <c r="X32" s="4"/>
      <c r="Y32" s="4"/>
    </row>
    <row r="33" spans="1:27" s="1" customFormat="1" x14ac:dyDescent="0.25">
      <c r="B33" s="2"/>
      <c r="C33" s="3">
        <v>41515</v>
      </c>
      <c r="D33" s="1">
        <v>17.5</v>
      </c>
      <c r="E33" s="1">
        <v>12.1</v>
      </c>
      <c r="F33" s="1">
        <v>23.9</v>
      </c>
      <c r="G33" s="4"/>
      <c r="H33" s="4"/>
      <c r="J33" s="1">
        <v>0</v>
      </c>
      <c r="L33" s="1">
        <v>3.6</v>
      </c>
      <c r="N33" s="5">
        <f t="shared" si="0"/>
        <v>-3.6</v>
      </c>
      <c r="O33" s="1">
        <v>0</v>
      </c>
      <c r="T33" s="1">
        <v>0</v>
      </c>
      <c r="V33" s="1">
        <v>1676.1</v>
      </c>
      <c r="X33" s="4"/>
      <c r="Y33" s="4"/>
    </row>
    <row r="34" spans="1:27" s="1" customFormat="1" x14ac:dyDescent="0.25">
      <c r="B34" s="2"/>
      <c r="C34" s="3">
        <v>41516</v>
      </c>
      <c r="D34" s="1">
        <v>17.100000000000001</v>
      </c>
      <c r="E34" s="1">
        <v>8.9</v>
      </c>
      <c r="F34" s="1">
        <v>24.5</v>
      </c>
      <c r="G34" s="4"/>
      <c r="H34" s="4"/>
      <c r="J34" s="1">
        <v>0</v>
      </c>
      <c r="L34" s="1">
        <v>3.5</v>
      </c>
      <c r="N34" s="5">
        <f t="shared" si="0"/>
        <v>-3.5</v>
      </c>
      <c r="O34" s="1">
        <v>0</v>
      </c>
      <c r="T34" s="1">
        <v>0</v>
      </c>
      <c r="V34" s="1">
        <v>1803.3</v>
      </c>
      <c r="X34" s="4"/>
      <c r="Y34" s="4"/>
    </row>
    <row r="35" spans="1:27" s="1" customFormat="1" x14ac:dyDescent="0.25">
      <c r="B35" s="2"/>
      <c r="C35" s="3">
        <v>41517</v>
      </c>
      <c r="D35" s="1">
        <v>17.600000000000001</v>
      </c>
      <c r="E35" s="1">
        <v>11.9</v>
      </c>
      <c r="F35" s="1">
        <v>22.4</v>
      </c>
      <c r="G35" s="4"/>
      <c r="H35" s="4"/>
      <c r="J35" s="1">
        <v>0</v>
      </c>
      <c r="L35" s="1">
        <v>1.4</v>
      </c>
      <c r="N35" s="5">
        <f t="shared" si="0"/>
        <v>-1.4</v>
      </c>
      <c r="O35" s="1">
        <v>0</v>
      </c>
      <c r="T35" s="1">
        <v>0</v>
      </c>
      <c r="V35" s="1">
        <v>707.3</v>
      </c>
      <c r="X35" s="4"/>
      <c r="Y35" s="4"/>
    </row>
    <row r="36" spans="1:27" s="1" customFormat="1" x14ac:dyDescent="0.25">
      <c r="B36" s="2"/>
      <c r="C36" s="3">
        <v>41518</v>
      </c>
      <c r="D36" s="1">
        <v>15.9</v>
      </c>
      <c r="E36" s="1">
        <v>12.5</v>
      </c>
      <c r="F36" s="1">
        <v>20.2</v>
      </c>
      <c r="G36" s="4"/>
      <c r="H36" s="4"/>
      <c r="J36" s="1">
        <v>0</v>
      </c>
      <c r="L36" s="1">
        <v>4.3</v>
      </c>
      <c r="N36" s="5">
        <f t="shared" si="0"/>
        <v>-4.3</v>
      </c>
      <c r="O36" s="1">
        <v>0</v>
      </c>
      <c r="T36" s="1">
        <v>0</v>
      </c>
      <c r="V36" s="1">
        <v>2024.3</v>
      </c>
      <c r="X36" s="4"/>
      <c r="Y36" s="4"/>
    </row>
    <row r="37" spans="1:27" s="1" customFormat="1" x14ac:dyDescent="0.25">
      <c r="B37" s="2"/>
      <c r="C37" s="3">
        <v>41519</v>
      </c>
      <c r="D37" s="1">
        <v>16</v>
      </c>
      <c r="E37" s="1">
        <v>7.4</v>
      </c>
      <c r="F37" s="1">
        <v>23.4</v>
      </c>
      <c r="G37" s="4"/>
      <c r="H37" s="4"/>
      <c r="J37" s="1">
        <v>0</v>
      </c>
      <c r="L37" s="1">
        <v>4.4000000000000004</v>
      </c>
      <c r="N37" s="5">
        <f t="shared" si="0"/>
        <v>-4.4000000000000004</v>
      </c>
      <c r="O37" s="1">
        <v>0</v>
      </c>
      <c r="T37" s="1">
        <v>0</v>
      </c>
      <c r="V37" s="1">
        <v>2307.4</v>
      </c>
      <c r="X37" s="4"/>
      <c r="Y37" s="4"/>
    </row>
    <row r="38" spans="1:27" s="1" customFormat="1" x14ac:dyDescent="0.25">
      <c r="B38" s="2"/>
      <c r="C38" s="3">
        <v>41520</v>
      </c>
      <c r="D38" s="1">
        <v>18.899999999999999</v>
      </c>
      <c r="E38" s="1">
        <v>9.9</v>
      </c>
      <c r="F38" s="1">
        <v>25.8</v>
      </c>
      <c r="G38" s="4"/>
      <c r="H38" s="4"/>
      <c r="J38" s="1">
        <v>0</v>
      </c>
      <c r="L38" s="1">
        <v>4.7</v>
      </c>
      <c r="N38" s="5">
        <f t="shared" si="0"/>
        <v>-4.7</v>
      </c>
      <c r="O38" s="1">
        <v>0</v>
      </c>
      <c r="T38" s="1">
        <v>0</v>
      </c>
      <c r="V38" s="1">
        <v>2268</v>
      </c>
      <c r="X38" s="4"/>
      <c r="Y38" s="4"/>
    </row>
    <row r="39" spans="1:27" s="1" customFormat="1" x14ac:dyDescent="0.25">
      <c r="A39" s="78" t="s">
        <v>1</v>
      </c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spans="1:27" s="1" customFormat="1" x14ac:dyDescent="0.25">
      <c r="A40" s="79" t="s">
        <v>2</v>
      </c>
      <c r="B40" s="7"/>
      <c r="C40" s="3">
        <v>41521</v>
      </c>
      <c r="D40" s="1">
        <v>21.6</v>
      </c>
      <c r="E40" s="1">
        <v>13</v>
      </c>
      <c r="F40" s="6">
        <v>29.6</v>
      </c>
      <c r="G40" s="1">
        <f>D40</f>
        <v>21.6</v>
      </c>
      <c r="I40" s="8" t="s">
        <v>3</v>
      </c>
      <c r="J40" s="1">
        <v>0</v>
      </c>
      <c r="K40" s="1">
        <f>J40</f>
        <v>0</v>
      </c>
      <c r="L40" s="1">
        <v>5.0999999999999996</v>
      </c>
      <c r="M40" s="1">
        <f>L40</f>
        <v>5.0999999999999996</v>
      </c>
      <c r="N40" s="5">
        <f>J40-L40</f>
        <v>-5.0999999999999996</v>
      </c>
      <c r="O40" s="1">
        <v>0</v>
      </c>
      <c r="P40" s="1">
        <v>1</v>
      </c>
      <c r="Q40" s="1">
        <v>0.35</v>
      </c>
      <c r="R40" s="9">
        <f t="shared" ref="R40:R103" si="2">Q40*L40</f>
        <v>1.7849999999999997</v>
      </c>
      <c r="S40" s="9">
        <f t="shared" ref="S40:S103" si="3">J40-R40</f>
        <v>-1.7849999999999997</v>
      </c>
      <c r="T40" s="1">
        <v>0</v>
      </c>
      <c r="U40" s="8" t="s">
        <v>4</v>
      </c>
      <c r="V40" s="1">
        <v>2288.4</v>
      </c>
      <c r="W40" s="1">
        <f t="shared" ref="W40:W103" si="4">V40/D40</f>
        <v>105.94444444444444</v>
      </c>
      <c r="X40" s="1">
        <f>V40</f>
        <v>2288.4</v>
      </c>
      <c r="Z40" s="8" t="s">
        <v>5</v>
      </c>
      <c r="AA40" s="1">
        <v>13.2663387096298</v>
      </c>
    </row>
    <row r="41" spans="1:27" s="1" customFormat="1" x14ac:dyDescent="0.25">
      <c r="A41" s="79"/>
      <c r="B41" s="7"/>
      <c r="C41" s="3">
        <v>41522</v>
      </c>
      <c r="D41" s="1">
        <v>22.4</v>
      </c>
      <c r="E41" s="1">
        <v>15.6</v>
      </c>
      <c r="F41" s="6">
        <v>30.7</v>
      </c>
      <c r="G41" s="1">
        <f>G40+D41</f>
        <v>44</v>
      </c>
      <c r="I41" s="1">
        <f>MIN(E40:E112)</f>
        <v>0.4</v>
      </c>
      <c r="J41" s="1">
        <v>0</v>
      </c>
      <c r="K41" s="1">
        <f>K40+J41</f>
        <v>0</v>
      </c>
      <c r="L41" s="1">
        <v>5.5</v>
      </c>
      <c r="M41" s="1">
        <f>M40+L41</f>
        <v>10.6</v>
      </c>
      <c r="N41" s="5">
        <f t="shared" ref="N41:N104" si="5">J41-L41</f>
        <v>-5.5</v>
      </c>
      <c r="O41" s="1">
        <v>0</v>
      </c>
      <c r="P41" s="1">
        <v>2</v>
      </c>
      <c r="Q41" s="1">
        <v>0.35</v>
      </c>
      <c r="R41" s="9">
        <f t="shared" si="2"/>
        <v>1.9249999999999998</v>
      </c>
      <c r="S41" s="9">
        <f t="shared" si="3"/>
        <v>-1.9249999999999998</v>
      </c>
      <c r="T41" s="1">
        <v>0</v>
      </c>
      <c r="U41" s="1">
        <v>39</v>
      </c>
      <c r="V41" s="1">
        <v>2207</v>
      </c>
      <c r="W41" s="1">
        <f t="shared" si="4"/>
        <v>98.526785714285722</v>
      </c>
      <c r="X41" s="1">
        <f>X40+V41</f>
        <v>4495.3999999999996</v>
      </c>
      <c r="Z41" s="1">
        <v>45613.900000000016</v>
      </c>
      <c r="AA41" s="1">
        <v>13.211102106095399</v>
      </c>
    </row>
    <row r="42" spans="1:27" s="1" customFormat="1" x14ac:dyDescent="0.25">
      <c r="A42" s="79"/>
      <c r="B42" s="7"/>
      <c r="C42" s="3">
        <v>41523</v>
      </c>
      <c r="D42" s="1">
        <v>17</v>
      </c>
      <c r="E42" s="1">
        <v>15</v>
      </c>
      <c r="F42" s="1">
        <v>19.600000000000001</v>
      </c>
      <c r="G42" s="1">
        <f t="shared" ref="G42:G105" si="6">G41+D42</f>
        <v>61</v>
      </c>
      <c r="I42" s="8" t="s">
        <v>6</v>
      </c>
      <c r="J42" s="1">
        <v>0.7</v>
      </c>
      <c r="K42" s="1">
        <f t="shared" ref="K42:K105" si="7">K41+J42</f>
        <v>0.7</v>
      </c>
      <c r="L42" s="1">
        <v>1.5</v>
      </c>
      <c r="M42" s="1">
        <f t="shared" ref="M42:M105" si="8">M41+L42</f>
        <v>12.1</v>
      </c>
      <c r="N42" s="5">
        <f t="shared" si="5"/>
        <v>-0.8</v>
      </c>
      <c r="O42" s="1">
        <v>0</v>
      </c>
      <c r="P42" s="1">
        <v>3</v>
      </c>
      <c r="Q42" s="1">
        <v>0.35</v>
      </c>
      <c r="R42" s="9">
        <f t="shared" si="2"/>
        <v>0.52499999999999991</v>
      </c>
      <c r="S42" s="9">
        <f t="shared" si="3"/>
        <v>0.17500000000000004</v>
      </c>
      <c r="T42" s="9">
        <f>MIN(138.9,(T41+S42))</f>
        <v>0.17500000000000004</v>
      </c>
      <c r="U42" s="8" t="s">
        <v>7</v>
      </c>
      <c r="V42" s="10">
        <v>563.29999999999995</v>
      </c>
      <c r="W42" s="1">
        <f t="shared" si="4"/>
        <v>33.135294117647057</v>
      </c>
      <c r="X42" s="1">
        <f t="shared" ref="X42:X105" si="9">X41+V42</f>
        <v>5058.7</v>
      </c>
      <c r="Z42" s="8" t="s">
        <v>8</v>
      </c>
      <c r="AA42" s="1">
        <v>13.155735795728701</v>
      </c>
    </row>
    <row r="43" spans="1:27" s="1" customFormat="1" x14ac:dyDescent="0.25">
      <c r="A43" s="79"/>
      <c r="B43" s="7"/>
      <c r="C43" s="3">
        <v>41524</v>
      </c>
      <c r="D43" s="1">
        <v>14.3</v>
      </c>
      <c r="E43" s="1">
        <v>8.9</v>
      </c>
      <c r="F43" s="1">
        <v>19.2</v>
      </c>
      <c r="G43" s="1">
        <f t="shared" si="6"/>
        <v>75.3</v>
      </c>
      <c r="I43" s="1">
        <f>MAX(F40:F112)</f>
        <v>30.7</v>
      </c>
      <c r="J43" s="1">
        <v>0</v>
      </c>
      <c r="K43" s="1">
        <f t="shared" si="7"/>
        <v>0.7</v>
      </c>
      <c r="L43" s="1">
        <v>1.9</v>
      </c>
      <c r="M43" s="1">
        <f t="shared" si="8"/>
        <v>14</v>
      </c>
      <c r="N43" s="5">
        <f t="shared" si="5"/>
        <v>-1.9</v>
      </c>
      <c r="O43" s="1">
        <v>0</v>
      </c>
      <c r="P43" s="1">
        <v>4</v>
      </c>
      <c r="Q43" s="1">
        <v>0.35</v>
      </c>
      <c r="R43" s="9">
        <f t="shared" si="2"/>
        <v>0.66499999999999992</v>
      </c>
      <c r="S43" s="9">
        <f t="shared" si="3"/>
        <v>-0.66499999999999992</v>
      </c>
      <c r="T43" s="9">
        <v>0</v>
      </c>
      <c r="U43" s="1">
        <v>6</v>
      </c>
      <c r="V43" s="1">
        <v>994.8</v>
      </c>
      <c r="W43" s="1">
        <f t="shared" si="4"/>
        <v>69.56643356643356</v>
      </c>
      <c r="X43" s="1">
        <f t="shared" si="9"/>
        <v>6053.5</v>
      </c>
      <c r="Z43" s="11">
        <f>(Z41/100)/I53</f>
        <v>0.46261561866125778</v>
      </c>
      <c r="AA43" s="1">
        <v>13.1002473725603</v>
      </c>
    </row>
    <row r="44" spans="1:27" s="1" customFormat="1" x14ac:dyDescent="0.25">
      <c r="A44" s="79"/>
      <c r="B44" s="7"/>
      <c r="C44" s="3">
        <v>41525</v>
      </c>
      <c r="D44" s="1">
        <v>14</v>
      </c>
      <c r="E44" s="1">
        <v>7.4</v>
      </c>
      <c r="F44" s="1">
        <v>19.3</v>
      </c>
      <c r="G44" s="1">
        <f t="shared" si="6"/>
        <v>89.3</v>
      </c>
      <c r="I44" s="8" t="s">
        <v>9</v>
      </c>
      <c r="J44" s="1">
        <v>0</v>
      </c>
      <c r="K44" s="1">
        <f t="shared" si="7"/>
        <v>0.7</v>
      </c>
      <c r="L44" s="1">
        <v>2.7</v>
      </c>
      <c r="M44" s="1">
        <f t="shared" si="8"/>
        <v>16.7</v>
      </c>
      <c r="N44" s="5">
        <f t="shared" si="5"/>
        <v>-2.7</v>
      </c>
      <c r="O44" s="1">
        <v>0</v>
      </c>
      <c r="P44" s="1">
        <v>5</v>
      </c>
      <c r="Q44" s="1">
        <v>0.35</v>
      </c>
      <c r="R44" s="9">
        <f t="shared" si="2"/>
        <v>0.94499999999999995</v>
      </c>
      <c r="S44" s="9">
        <f t="shared" si="3"/>
        <v>-0.94499999999999995</v>
      </c>
      <c r="T44" s="9">
        <v>0</v>
      </c>
      <c r="U44" s="8" t="s">
        <v>10</v>
      </c>
      <c r="V44" s="1">
        <v>1471.5</v>
      </c>
      <c r="W44" s="1">
        <f t="shared" si="4"/>
        <v>105.10714285714286</v>
      </c>
      <c r="X44" s="1">
        <f t="shared" si="9"/>
        <v>7525</v>
      </c>
      <c r="Z44" s="8" t="s">
        <v>11</v>
      </c>
      <c r="AA44" s="1">
        <v>13.0446441822443</v>
      </c>
    </row>
    <row r="45" spans="1:27" s="1" customFormat="1" x14ac:dyDescent="0.25">
      <c r="A45" s="79"/>
      <c r="B45" s="7"/>
      <c r="C45" s="3">
        <v>41526</v>
      </c>
      <c r="D45" s="1">
        <v>15</v>
      </c>
      <c r="E45" s="1">
        <v>12</v>
      </c>
      <c r="F45" s="1">
        <v>19.100000000000001</v>
      </c>
      <c r="G45" s="1">
        <f t="shared" si="6"/>
        <v>104.3</v>
      </c>
      <c r="I45" s="9">
        <f>AVERAGE(D40:D112)</f>
        <v>13.506849315068489</v>
      </c>
      <c r="J45" s="1">
        <v>1.4</v>
      </c>
      <c r="K45" s="1">
        <f t="shared" si="7"/>
        <v>2.0999999999999996</v>
      </c>
      <c r="L45" s="1">
        <v>1.4</v>
      </c>
      <c r="M45" s="1">
        <f t="shared" si="8"/>
        <v>18.099999999999998</v>
      </c>
      <c r="N45" s="1">
        <f t="shared" si="5"/>
        <v>0</v>
      </c>
      <c r="O45" s="1">
        <v>0</v>
      </c>
      <c r="P45" s="1">
        <v>6</v>
      </c>
      <c r="Q45" s="1">
        <v>0.35</v>
      </c>
      <c r="R45" s="9">
        <f t="shared" si="2"/>
        <v>0.48999999999999994</v>
      </c>
      <c r="S45" s="9">
        <f t="shared" si="3"/>
        <v>0.90999999999999992</v>
      </c>
      <c r="T45" s="9">
        <f t="shared" ref="T45:T108" si="10">MIN(138.9,(T44+S45))</f>
        <v>0.90999999999999992</v>
      </c>
      <c r="U45" s="1">
        <v>18</v>
      </c>
      <c r="V45" s="10">
        <v>394.7</v>
      </c>
      <c r="W45" s="1">
        <f t="shared" si="4"/>
        <v>26.313333333333333</v>
      </c>
      <c r="X45" s="1">
        <f t="shared" si="9"/>
        <v>7919.7</v>
      </c>
      <c r="Z45" s="1">
        <v>58</v>
      </c>
      <c r="AA45" s="1">
        <v>12.988933336825401</v>
      </c>
    </row>
    <row r="46" spans="1:27" s="1" customFormat="1" x14ac:dyDescent="0.25">
      <c r="A46" s="79"/>
      <c r="B46" s="7"/>
      <c r="C46" s="3">
        <v>41527</v>
      </c>
      <c r="D46" s="1">
        <v>14.2</v>
      </c>
      <c r="E46" s="1">
        <v>11.9</v>
      </c>
      <c r="F46" s="1">
        <v>18.5</v>
      </c>
      <c r="G46" s="1">
        <f t="shared" si="6"/>
        <v>118.5</v>
      </c>
      <c r="I46" s="8" t="s">
        <v>12</v>
      </c>
      <c r="J46" s="1">
        <v>0</v>
      </c>
      <c r="K46" s="1">
        <f t="shared" si="7"/>
        <v>2.0999999999999996</v>
      </c>
      <c r="L46" s="1">
        <v>2.4</v>
      </c>
      <c r="M46" s="1">
        <f t="shared" si="8"/>
        <v>20.499999999999996</v>
      </c>
      <c r="N46" s="5">
        <f t="shared" si="5"/>
        <v>-2.4</v>
      </c>
      <c r="O46" s="1">
        <v>0</v>
      </c>
      <c r="P46" s="1">
        <v>7</v>
      </c>
      <c r="Q46" s="1">
        <v>0.35</v>
      </c>
      <c r="R46" s="9">
        <f t="shared" si="2"/>
        <v>0.84</v>
      </c>
      <c r="S46" s="9">
        <f t="shared" si="3"/>
        <v>-0.84</v>
      </c>
      <c r="T46" s="9">
        <f t="shared" si="10"/>
        <v>6.9999999999999951E-2</v>
      </c>
      <c r="U46" s="8" t="s">
        <v>13</v>
      </c>
      <c r="V46" s="1">
        <v>1140.5</v>
      </c>
      <c r="W46" s="1">
        <f t="shared" si="4"/>
        <v>80.316901408450704</v>
      </c>
      <c r="X46" s="1">
        <f t="shared" si="9"/>
        <v>9060.2000000000007</v>
      </c>
      <c r="AA46" s="1">
        <v>12.933121729611999</v>
      </c>
    </row>
    <row r="47" spans="1:27" s="1" customFormat="1" x14ac:dyDescent="0.25">
      <c r="A47" s="79"/>
      <c r="B47" s="7"/>
      <c r="C47" s="3">
        <v>41528</v>
      </c>
      <c r="D47" s="1">
        <v>13.2</v>
      </c>
      <c r="E47" s="1">
        <v>6.8</v>
      </c>
      <c r="F47" s="1">
        <v>16.3</v>
      </c>
      <c r="G47" s="1">
        <f t="shared" si="6"/>
        <v>131.69999999999999</v>
      </c>
      <c r="I47" s="1">
        <v>0</v>
      </c>
      <c r="J47" s="1">
        <v>0</v>
      </c>
      <c r="K47" s="1">
        <f t="shared" si="7"/>
        <v>2.0999999999999996</v>
      </c>
      <c r="L47" s="1">
        <v>1.2</v>
      </c>
      <c r="M47" s="1">
        <f t="shared" si="8"/>
        <v>21.699999999999996</v>
      </c>
      <c r="N47" s="5">
        <f t="shared" si="5"/>
        <v>-1.2</v>
      </c>
      <c r="O47" s="1">
        <v>0</v>
      </c>
      <c r="P47" s="1">
        <v>8</v>
      </c>
      <c r="Q47" s="1">
        <v>0.35</v>
      </c>
      <c r="R47" s="9">
        <f t="shared" si="2"/>
        <v>0.42</v>
      </c>
      <c r="S47" s="9">
        <f t="shared" si="3"/>
        <v>-0.42</v>
      </c>
      <c r="T47" s="9">
        <v>0</v>
      </c>
      <c r="U47" s="1">
        <v>0</v>
      </c>
      <c r="V47" s="10">
        <v>822.3</v>
      </c>
      <c r="W47" s="1">
        <f t="shared" si="4"/>
        <v>62.295454545454547</v>
      </c>
      <c r="X47" s="1">
        <f t="shared" si="9"/>
        <v>9882.5</v>
      </c>
      <c r="AA47" s="1">
        <v>12.8772160501405</v>
      </c>
    </row>
    <row r="48" spans="1:27" s="1" customFormat="1" x14ac:dyDescent="0.25">
      <c r="A48" s="79"/>
      <c r="B48" s="7"/>
      <c r="C48" s="3">
        <v>41529</v>
      </c>
      <c r="D48" s="1">
        <v>13.9</v>
      </c>
      <c r="E48" s="1">
        <v>11.9</v>
      </c>
      <c r="F48" s="1">
        <v>15.6</v>
      </c>
      <c r="G48" s="1">
        <f t="shared" si="6"/>
        <v>145.6</v>
      </c>
      <c r="I48" s="8" t="s">
        <v>14</v>
      </c>
      <c r="J48" s="1">
        <v>0</v>
      </c>
      <c r="K48" s="1">
        <f t="shared" si="7"/>
        <v>2.0999999999999996</v>
      </c>
      <c r="L48" s="1">
        <v>0.6</v>
      </c>
      <c r="M48" s="1">
        <f t="shared" si="8"/>
        <v>22.299999999999997</v>
      </c>
      <c r="N48" s="5">
        <f t="shared" si="5"/>
        <v>-0.6</v>
      </c>
      <c r="O48" s="1">
        <v>0</v>
      </c>
      <c r="P48" s="1">
        <v>9</v>
      </c>
      <c r="Q48" s="1">
        <v>0.35</v>
      </c>
      <c r="R48" s="9">
        <f t="shared" si="2"/>
        <v>0.21</v>
      </c>
      <c r="S48" s="9">
        <f t="shared" si="3"/>
        <v>-0.21</v>
      </c>
      <c r="T48" s="9">
        <v>0</v>
      </c>
      <c r="U48" s="8" t="s">
        <v>15</v>
      </c>
      <c r="V48" s="10">
        <v>399.3</v>
      </c>
      <c r="W48" s="1">
        <f t="shared" si="4"/>
        <v>28.726618705035971</v>
      </c>
      <c r="X48" s="1">
        <f t="shared" si="9"/>
        <v>10281.799999999999</v>
      </c>
      <c r="AA48" s="1">
        <v>12.8212227992249</v>
      </c>
    </row>
    <row r="49" spans="1:27" s="1" customFormat="1" x14ac:dyDescent="0.25">
      <c r="A49" s="79"/>
      <c r="B49" s="7"/>
      <c r="C49" s="3">
        <v>41530</v>
      </c>
      <c r="D49" s="1">
        <v>16</v>
      </c>
      <c r="E49" s="1">
        <v>13</v>
      </c>
      <c r="F49" s="1">
        <v>18.399999999999999</v>
      </c>
      <c r="G49" s="1">
        <f t="shared" si="6"/>
        <v>161.6</v>
      </c>
      <c r="I49" s="1">
        <v>3</v>
      </c>
      <c r="J49" s="1">
        <v>0.8</v>
      </c>
      <c r="K49" s="1">
        <f t="shared" si="7"/>
        <v>2.8999999999999995</v>
      </c>
      <c r="L49" s="1">
        <v>0.3</v>
      </c>
      <c r="M49" s="1">
        <f t="shared" si="8"/>
        <v>22.599999999999998</v>
      </c>
      <c r="N49" s="1">
        <f t="shared" si="5"/>
        <v>0.5</v>
      </c>
      <c r="O49" s="1">
        <v>0.5</v>
      </c>
      <c r="P49" s="1">
        <v>10</v>
      </c>
      <c r="Q49" s="1">
        <f>0.35+((P49-9)/64)*(1-0.35)</f>
        <v>0.36015624999999996</v>
      </c>
      <c r="R49" s="9">
        <f t="shared" si="2"/>
        <v>0.10804687499999999</v>
      </c>
      <c r="S49" s="9">
        <f t="shared" si="3"/>
        <v>0.69195312500000006</v>
      </c>
      <c r="T49" s="9">
        <f t="shared" si="10"/>
        <v>0.69195312500000006</v>
      </c>
      <c r="U49" s="1">
        <f>MAX(T40:T112)</f>
        <v>138.9</v>
      </c>
      <c r="V49" s="10">
        <v>408.9</v>
      </c>
      <c r="W49" s="1">
        <f t="shared" si="4"/>
        <v>25.556249999999999</v>
      </c>
      <c r="X49" s="1">
        <f t="shared" si="9"/>
        <v>10690.699999999999</v>
      </c>
      <c r="AA49" s="1">
        <v>12.765148304082</v>
      </c>
    </row>
    <row r="50" spans="1:27" s="1" customFormat="1" x14ac:dyDescent="0.25">
      <c r="A50" s="79"/>
      <c r="B50" s="7"/>
      <c r="C50" s="3">
        <v>41531</v>
      </c>
      <c r="D50" s="1">
        <v>14.4</v>
      </c>
      <c r="E50" s="1">
        <v>12.9</v>
      </c>
      <c r="F50" s="1">
        <v>16.5</v>
      </c>
      <c r="G50" s="1">
        <f t="shared" si="6"/>
        <v>176</v>
      </c>
      <c r="I50" s="8" t="s">
        <v>16</v>
      </c>
      <c r="J50" s="1">
        <v>42.5</v>
      </c>
      <c r="K50" s="1">
        <f t="shared" si="7"/>
        <v>45.4</v>
      </c>
      <c r="L50" s="1">
        <v>0.8</v>
      </c>
      <c r="M50" s="1">
        <f t="shared" si="8"/>
        <v>23.4</v>
      </c>
      <c r="N50" s="1">
        <f t="shared" si="5"/>
        <v>41.7</v>
      </c>
      <c r="O50" s="1">
        <v>42.2</v>
      </c>
      <c r="P50" s="1">
        <v>11</v>
      </c>
      <c r="Q50" s="1">
        <f t="shared" ref="Q50:Q112" si="11">0.35+((P50-9)/64)*(1-0.35)</f>
        <v>0.37031249999999999</v>
      </c>
      <c r="R50" s="9">
        <f t="shared" si="2"/>
        <v>0.29625000000000001</v>
      </c>
      <c r="S50" s="9">
        <f t="shared" si="3"/>
        <v>42.203749999999999</v>
      </c>
      <c r="T50" s="9">
        <f t="shared" si="10"/>
        <v>42.895703124999997</v>
      </c>
      <c r="U50" s="8" t="s">
        <v>17</v>
      </c>
      <c r="V50" s="10">
        <v>363.2</v>
      </c>
      <c r="W50" s="1">
        <f t="shared" si="4"/>
        <v>25.222222222222221</v>
      </c>
      <c r="X50" s="1">
        <f t="shared" si="9"/>
        <v>11053.9</v>
      </c>
      <c r="AA50" s="1">
        <v>12.708998733528301</v>
      </c>
    </row>
    <row r="51" spans="1:27" s="1" customFormat="1" x14ac:dyDescent="0.25">
      <c r="A51" s="79"/>
      <c r="B51" s="7"/>
      <c r="C51" s="3">
        <v>41532</v>
      </c>
      <c r="D51" s="1">
        <v>14.4</v>
      </c>
      <c r="E51" s="1">
        <v>10.6</v>
      </c>
      <c r="F51" s="1">
        <v>17.8</v>
      </c>
      <c r="G51" s="1">
        <f t="shared" si="6"/>
        <v>190.4</v>
      </c>
      <c r="I51" s="1">
        <v>7</v>
      </c>
      <c r="J51" s="1">
        <v>1.6</v>
      </c>
      <c r="K51" s="1">
        <f t="shared" si="7"/>
        <v>47</v>
      </c>
      <c r="L51" s="1">
        <v>1.7</v>
      </c>
      <c r="M51" s="1">
        <f t="shared" si="8"/>
        <v>25.099999999999998</v>
      </c>
      <c r="N51" s="5">
        <f t="shared" si="5"/>
        <v>-9.9999999999999867E-2</v>
      </c>
      <c r="O51" s="1">
        <v>42.1</v>
      </c>
      <c r="P51" s="1">
        <v>12</v>
      </c>
      <c r="Q51" s="1">
        <f t="shared" si="11"/>
        <v>0.38046874999999997</v>
      </c>
      <c r="R51" s="9">
        <f t="shared" si="2"/>
        <v>0.64679687499999994</v>
      </c>
      <c r="S51" s="9">
        <f t="shared" si="3"/>
        <v>0.95320312500000015</v>
      </c>
      <c r="T51" s="9">
        <f t="shared" si="10"/>
        <v>43.848906249999999</v>
      </c>
      <c r="U51" s="11">
        <f>AVERAGE(T40:T112)</f>
        <v>79.128220248287647</v>
      </c>
      <c r="V51" s="10">
        <v>762.4</v>
      </c>
      <c r="W51" s="1">
        <f t="shared" si="4"/>
        <v>52.944444444444443</v>
      </c>
      <c r="X51" s="1">
        <f t="shared" si="9"/>
        <v>11816.3</v>
      </c>
      <c r="AA51" s="1">
        <v>12.652780113243701</v>
      </c>
    </row>
    <row r="52" spans="1:27" s="1" customFormat="1" x14ac:dyDescent="0.25">
      <c r="A52" s="79"/>
      <c r="B52" s="7"/>
      <c r="C52" s="3">
        <v>41533</v>
      </c>
      <c r="D52" s="1">
        <v>13.5</v>
      </c>
      <c r="E52" s="1">
        <v>12.6</v>
      </c>
      <c r="F52" s="1">
        <v>16.399999999999999</v>
      </c>
      <c r="G52" s="1">
        <f t="shared" si="6"/>
        <v>203.9</v>
      </c>
      <c r="I52" s="8" t="s">
        <v>18</v>
      </c>
      <c r="J52" s="1">
        <v>0.9</v>
      </c>
      <c r="K52" s="1">
        <f t="shared" si="7"/>
        <v>47.9</v>
      </c>
      <c r="L52" s="1">
        <v>1.8</v>
      </c>
      <c r="M52" s="1">
        <f t="shared" si="8"/>
        <v>26.9</v>
      </c>
      <c r="N52" s="5">
        <f t="shared" si="5"/>
        <v>-0.9</v>
      </c>
      <c r="O52" s="1">
        <v>41.2</v>
      </c>
      <c r="P52" s="1">
        <v>13</v>
      </c>
      <c r="Q52" s="1">
        <f t="shared" si="11"/>
        <v>0.390625</v>
      </c>
      <c r="R52" s="9">
        <f t="shared" si="2"/>
        <v>0.703125</v>
      </c>
      <c r="S52" s="9">
        <f t="shared" si="3"/>
        <v>0.19687500000000002</v>
      </c>
      <c r="T52" s="9">
        <f t="shared" si="10"/>
        <v>44.045781249999997</v>
      </c>
      <c r="V52" s="10">
        <v>661.2</v>
      </c>
      <c r="W52" s="1">
        <f t="shared" si="4"/>
        <v>48.977777777777781</v>
      </c>
      <c r="X52" s="1">
        <f t="shared" si="9"/>
        <v>12477.5</v>
      </c>
      <c r="AA52" s="1">
        <v>12.5964983411</v>
      </c>
    </row>
    <row r="53" spans="1:27" s="1" customFormat="1" x14ac:dyDescent="0.25">
      <c r="A53" s="79"/>
      <c r="B53" s="7"/>
      <c r="C53" s="3">
        <v>41534</v>
      </c>
      <c r="D53" s="1">
        <v>13.6</v>
      </c>
      <c r="E53" s="1">
        <v>10</v>
      </c>
      <c r="F53" s="1">
        <v>16.399999999999999</v>
      </c>
      <c r="G53" s="1">
        <f t="shared" si="6"/>
        <v>217.5</v>
      </c>
      <c r="I53" s="1">
        <v>986</v>
      </c>
      <c r="J53" s="1">
        <v>1.2</v>
      </c>
      <c r="K53" s="1">
        <f t="shared" si="7"/>
        <v>49.1</v>
      </c>
      <c r="L53" s="1">
        <v>1.4</v>
      </c>
      <c r="M53" s="1">
        <f t="shared" si="8"/>
        <v>28.299999999999997</v>
      </c>
      <c r="N53" s="5">
        <f t="shared" si="5"/>
        <v>-0.19999999999999996</v>
      </c>
      <c r="O53" s="1">
        <v>41</v>
      </c>
      <c r="P53" s="1">
        <v>14</v>
      </c>
      <c r="Q53" s="1">
        <f t="shared" si="11"/>
        <v>0.40078124999999998</v>
      </c>
      <c r="R53" s="9">
        <f t="shared" si="2"/>
        <v>0.56109374999999995</v>
      </c>
      <c r="S53" s="9">
        <f t="shared" si="3"/>
        <v>0.63890625000000001</v>
      </c>
      <c r="T53" s="9">
        <f t="shared" si="10"/>
        <v>44.684687499999995</v>
      </c>
      <c r="U53" s="9">
        <f>(U51*100)/138.9</f>
        <v>56.96776115787447</v>
      </c>
      <c r="V53" s="10">
        <v>614.6</v>
      </c>
      <c r="W53" s="1">
        <f t="shared" si="4"/>
        <v>45.191176470588239</v>
      </c>
      <c r="X53" s="1">
        <f t="shared" si="9"/>
        <v>13092.1</v>
      </c>
      <c r="AA53" s="1">
        <v>12.540159202552699</v>
      </c>
    </row>
    <row r="54" spans="1:27" s="1" customFormat="1" x14ac:dyDescent="0.25">
      <c r="A54" s="79"/>
      <c r="B54" s="7"/>
      <c r="C54" s="3">
        <v>41535</v>
      </c>
      <c r="D54" s="1">
        <v>15.9</v>
      </c>
      <c r="E54" s="1">
        <v>15.3</v>
      </c>
      <c r="F54" s="1">
        <v>19.2</v>
      </c>
      <c r="G54" s="1">
        <f t="shared" si="6"/>
        <v>233.4</v>
      </c>
      <c r="J54" s="1">
        <v>0.2</v>
      </c>
      <c r="K54" s="1">
        <f t="shared" si="7"/>
        <v>49.300000000000004</v>
      </c>
      <c r="L54" s="1">
        <v>2.1</v>
      </c>
      <c r="M54" s="1">
        <f t="shared" si="8"/>
        <v>30.4</v>
      </c>
      <c r="N54" s="5">
        <f t="shared" si="5"/>
        <v>-1.9000000000000001</v>
      </c>
      <c r="O54" s="1">
        <v>39.1</v>
      </c>
      <c r="P54" s="1">
        <v>15</v>
      </c>
      <c r="Q54" s="1">
        <f t="shared" si="11"/>
        <v>0.41093749999999996</v>
      </c>
      <c r="R54" s="9">
        <f t="shared" si="2"/>
        <v>0.86296874999999995</v>
      </c>
      <c r="S54" s="9">
        <f t="shared" si="3"/>
        <v>-0.66296874999999988</v>
      </c>
      <c r="T54" s="9">
        <f t="shared" si="10"/>
        <v>44.021718749999998</v>
      </c>
      <c r="V54" s="10">
        <v>620.70000000000005</v>
      </c>
      <c r="W54" s="1">
        <f t="shared" si="4"/>
        <v>39.037735849056602</v>
      </c>
      <c r="X54" s="1">
        <f t="shared" si="9"/>
        <v>13712.800000000001</v>
      </c>
      <c r="AA54" s="1">
        <v>12.4837683860955</v>
      </c>
    </row>
    <row r="55" spans="1:27" s="1" customFormat="1" x14ac:dyDescent="0.25">
      <c r="A55" s="79"/>
      <c r="B55" s="7"/>
      <c r="C55" s="3">
        <v>41536</v>
      </c>
      <c r="D55" s="1">
        <v>12.3</v>
      </c>
      <c r="E55" s="1">
        <v>6.3</v>
      </c>
      <c r="F55" s="1">
        <v>15</v>
      </c>
      <c r="G55" s="1">
        <f t="shared" si="6"/>
        <v>245.70000000000002</v>
      </c>
      <c r="J55" s="1">
        <v>1</v>
      </c>
      <c r="K55" s="1">
        <f t="shared" si="7"/>
        <v>50.300000000000004</v>
      </c>
      <c r="L55" s="1">
        <v>0.9</v>
      </c>
      <c r="M55" s="1">
        <f t="shared" si="8"/>
        <v>31.299999999999997</v>
      </c>
      <c r="N55" s="1">
        <f t="shared" si="5"/>
        <v>9.9999999999999978E-2</v>
      </c>
      <c r="O55" s="1">
        <v>39.200000000000003</v>
      </c>
      <c r="P55" s="1">
        <v>16</v>
      </c>
      <c r="Q55" s="1">
        <f t="shared" si="11"/>
        <v>0.42109374999999999</v>
      </c>
      <c r="R55" s="9">
        <f t="shared" si="2"/>
        <v>0.37898437499999998</v>
      </c>
      <c r="S55" s="9">
        <f t="shared" si="3"/>
        <v>0.62101562500000007</v>
      </c>
      <c r="T55" s="9">
        <f t="shared" si="10"/>
        <v>44.642734374999996</v>
      </c>
      <c r="V55" s="10">
        <v>593.70000000000005</v>
      </c>
      <c r="W55" s="1">
        <f t="shared" si="4"/>
        <v>48.268292682926827</v>
      </c>
      <c r="X55" s="1">
        <f t="shared" si="9"/>
        <v>14306.500000000002</v>
      </c>
      <c r="AA55" s="1">
        <v>12.4273314987796</v>
      </c>
    </row>
    <row r="56" spans="1:27" s="1" customFormat="1" x14ac:dyDescent="0.25">
      <c r="A56" s="79"/>
      <c r="B56" s="7"/>
      <c r="C56" s="3">
        <v>41537</v>
      </c>
      <c r="D56" s="1">
        <v>14.7</v>
      </c>
      <c r="E56" s="1">
        <v>13.7</v>
      </c>
      <c r="F56" s="1">
        <v>18.3</v>
      </c>
      <c r="G56" s="1">
        <f t="shared" si="6"/>
        <v>260.40000000000003</v>
      </c>
      <c r="J56" s="1">
        <v>0.1</v>
      </c>
      <c r="K56" s="1">
        <f t="shared" si="7"/>
        <v>50.400000000000006</v>
      </c>
      <c r="L56" s="1">
        <v>2.5</v>
      </c>
      <c r="M56" s="1">
        <f t="shared" si="8"/>
        <v>33.799999999999997</v>
      </c>
      <c r="N56" s="5">
        <f t="shared" si="5"/>
        <v>-2.4</v>
      </c>
      <c r="O56" s="1">
        <v>36.800000000000004</v>
      </c>
      <c r="P56" s="1">
        <v>17</v>
      </c>
      <c r="Q56" s="1">
        <f t="shared" si="11"/>
        <v>0.43124999999999997</v>
      </c>
      <c r="R56" s="9">
        <f t="shared" si="2"/>
        <v>1.078125</v>
      </c>
      <c r="S56" s="9">
        <f t="shared" si="3"/>
        <v>-0.97812500000000002</v>
      </c>
      <c r="T56" s="9">
        <f t="shared" si="10"/>
        <v>43.664609374999998</v>
      </c>
      <c r="V56" s="1">
        <v>1283.3</v>
      </c>
      <c r="W56" s="1">
        <f t="shared" si="4"/>
        <v>87.299319727891159</v>
      </c>
      <c r="X56" s="1">
        <f t="shared" si="9"/>
        <v>15589.800000000001</v>
      </c>
      <c r="AA56" s="1">
        <v>12.370854081798599</v>
      </c>
    </row>
    <row r="57" spans="1:27" s="1" customFormat="1" x14ac:dyDescent="0.25">
      <c r="A57" s="79"/>
      <c r="B57" s="7"/>
      <c r="C57" s="3">
        <v>41538</v>
      </c>
      <c r="D57" s="1">
        <v>13.9</v>
      </c>
      <c r="E57" s="1">
        <v>7</v>
      </c>
      <c r="F57" s="1">
        <v>20.8</v>
      </c>
      <c r="G57" s="1">
        <f t="shared" si="6"/>
        <v>274.3</v>
      </c>
      <c r="J57" s="1">
        <v>0</v>
      </c>
      <c r="K57" s="1">
        <f t="shared" si="7"/>
        <v>50.400000000000006</v>
      </c>
      <c r="L57" s="1">
        <v>2.6</v>
      </c>
      <c r="M57" s="1">
        <f t="shared" si="8"/>
        <v>36.4</v>
      </c>
      <c r="N57" s="5">
        <f t="shared" si="5"/>
        <v>-2.6</v>
      </c>
      <c r="O57" s="1">
        <v>34.200000000000003</v>
      </c>
      <c r="P57" s="1">
        <v>18</v>
      </c>
      <c r="Q57" s="1">
        <f t="shared" si="11"/>
        <v>0.44140625</v>
      </c>
      <c r="R57" s="9">
        <f t="shared" si="2"/>
        <v>1.14765625</v>
      </c>
      <c r="S57" s="9">
        <f t="shared" si="3"/>
        <v>-1.14765625</v>
      </c>
      <c r="T57" s="9">
        <f t="shared" si="10"/>
        <v>42.516953125000001</v>
      </c>
      <c r="V57" s="1">
        <v>1554.8</v>
      </c>
      <c r="W57" s="1">
        <f t="shared" si="4"/>
        <v>111.85611510791367</v>
      </c>
      <c r="X57" s="1">
        <f t="shared" si="9"/>
        <v>17144.600000000002</v>
      </c>
      <c r="AA57" s="1">
        <v>12.3143416261419</v>
      </c>
    </row>
    <row r="58" spans="1:27" s="1" customFormat="1" x14ac:dyDescent="0.25">
      <c r="A58" s="79"/>
      <c r="B58" s="7"/>
      <c r="C58" s="3">
        <v>41539</v>
      </c>
      <c r="D58" s="1">
        <v>15.6</v>
      </c>
      <c r="E58" s="1">
        <v>9.1999999999999993</v>
      </c>
      <c r="F58" s="1">
        <v>22.6</v>
      </c>
      <c r="G58" s="1">
        <f t="shared" si="6"/>
        <v>289.90000000000003</v>
      </c>
      <c r="J58" s="1">
        <v>0.1</v>
      </c>
      <c r="K58" s="1">
        <f t="shared" si="7"/>
        <v>50.500000000000007</v>
      </c>
      <c r="L58" s="1">
        <v>2.2000000000000002</v>
      </c>
      <c r="M58" s="1">
        <f t="shared" si="8"/>
        <v>38.6</v>
      </c>
      <c r="N58" s="5">
        <f t="shared" si="5"/>
        <v>-2.1</v>
      </c>
      <c r="O58" s="1">
        <v>32.1</v>
      </c>
      <c r="P58" s="1">
        <v>19</v>
      </c>
      <c r="Q58" s="1">
        <f t="shared" si="11"/>
        <v>0.45156249999999998</v>
      </c>
      <c r="R58" s="9">
        <f t="shared" si="2"/>
        <v>0.99343750000000008</v>
      </c>
      <c r="S58" s="9">
        <f t="shared" si="3"/>
        <v>-0.89343750000000011</v>
      </c>
      <c r="T58" s="9">
        <f t="shared" si="10"/>
        <v>41.623515625000003</v>
      </c>
      <c r="V58" s="1">
        <v>1071.9000000000001</v>
      </c>
      <c r="W58" s="1">
        <f t="shared" si="4"/>
        <v>68.711538461538467</v>
      </c>
      <c r="X58" s="1">
        <f t="shared" si="9"/>
        <v>18216.500000000004</v>
      </c>
      <c r="AA58" s="1">
        <v>12.257799588320299</v>
      </c>
    </row>
    <row r="59" spans="1:27" s="1" customFormat="1" x14ac:dyDescent="0.25">
      <c r="A59" s="79"/>
      <c r="B59" s="7"/>
      <c r="C59" s="3">
        <v>41540</v>
      </c>
      <c r="D59" s="1">
        <v>15.6</v>
      </c>
      <c r="E59" s="1">
        <v>12.7</v>
      </c>
      <c r="F59" s="1">
        <v>18.899999999999999</v>
      </c>
      <c r="G59" s="1">
        <f t="shared" si="6"/>
        <v>305.50000000000006</v>
      </c>
      <c r="J59" s="1">
        <v>0.2</v>
      </c>
      <c r="K59" s="1">
        <f t="shared" si="7"/>
        <v>50.70000000000001</v>
      </c>
      <c r="L59" s="1">
        <v>2</v>
      </c>
      <c r="M59" s="1">
        <f t="shared" si="8"/>
        <v>40.6</v>
      </c>
      <c r="N59" s="5">
        <f t="shared" si="5"/>
        <v>-1.8</v>
      </c>
      <c r="O59" s="1">
        <v>30.3</v>
      </c>
      <c r="P59" s="1">
        <v>20</v>
      </c>
      <c r="Q59" s="1">
        <f t="shared" si="11"/>
        <v>0.46171874999999996</v>
      </c>
      <c r="R59" s="9">
        <f t="shared" si="2"/>
        <v>0.92343749999999991</v>
      </c>
      <c r="S59" s="9">
        <f t="shared" si="3"/>
        <v>-0.72343749999999996</v>
      </c>
      <c r="T59" s="9">
        <f t="shared" si="10"/>
        <v>40.900078125</v>
      </c>
      <c r="V59" s="1">
        <v>1149.9000000000001</v>
      </c>
      <c r="W59" s="1">
        <f t="shared" si="4"/>
        <v>73.711538461538467</v>
      </c>
      <c r="X59" s="1">
        <f t="shared" si="9"/>
        <v>19366.400000000005</v>
      </c>
      <c r="AA59" s="1">
        <v>12.2012334061661</v>
      </c>
    </row>
    <row r="60" spans="1:27" s="1" customFormat="1" x14ac:dyDescent="0.25">
      <c r="A60" s="79"/>
      <c r="B60" s="7"/>
      <c r="C60" s="3">
        <v>41541</v>
      </c>
      <c r="D60" s="1">
        <v>15.9</v>
      </c>
      <c r="E60" s="1">
        <v>8.8000000000000007</v>
      </c>
      <c r="F60" s="1">
        <v>23.6</v>
      </c>
      <c r="G60" s="1">
        <f t="shared" si="6"/>
        <v>321.40000000000003</v>
      </c>
      <c r="J60" s="1">
        <v>0</v>
      </c>
      <c r="K60" s="1">
        <f t="shared" si="7"/>
        <v>50.70000000000001</v>
      </c>
      <c r="L60" s="1">
        <v>3.1</v>
      </c>
      <c r="M60" s="1">
        <f t="shared" si="8"/>
        <v>43.7</v>
      </c>
      <c r="N60" s="5">
        <f t="shared" si="5"/>
        <v>-3.1</v>
      </c>
      <c r="O60" s="1">
        <v>27.2</v>
      </c>
      <c r="P60" s="1">
        <v>21</v>
      </c>
      <c r="Q60" s="1">
        <f t="shared" si="11"/>
        <v>0.47187499999999999</v>
      </c>
      <c r="R60" s="9">
        <f t="shared" si="2"/>
        <v>1.4628125000000001</v>
      </c>
      <c r="S60" s="9">
        <f t="shared" si="3"/>
        <v>-1.4628125000000001</v>
      </c>
      <c r="T60" s="9">
        <f t="shared" si="10"/>
        <v>39.437265625000002</v>
      </c>
      <c r="V60" s="1">
        <v>1745.4</v>
      </c>
      <c r="W60" s="1">
        <f t="shared" si="4"/>
        <v>109.77358490566039</v>
      </c>
      <c r="X60" s="1">
        <f t="shared" si="9"/>
        <v>21111.800000000007</v>
      </c>
      <c r="AA60" s="1">
        <v>12.1446485147136</v>
      </c>
    </row>
    <row r="61" spans="1:27" s="1" customFormat="1" x14ac:dyDescent="0.25">
      <c r="A61" s="79"/>
      <c r="B61" s="7"/>
      <c r="C61" s="3">
        <v>41542</v>
      </c>
      <c r="D61" s="1">
        <v>16.399999999999999</v>
      </c>
      <c r="E61" s="1">
        <v>9.6999999999999993</v>
      </c>
      <c r="F61" s="1">
        <v>22.3</v>
      </c>
      <c r="G61" s="1">
        <f t="shared" si="6"/>
        <v>337.8</v>
      </c>
      <c r="J61" s="1">
        <v>0.1</v>
      </c>
      <c r="K61" s="1">
        <f t="shared" si="7"/>
        <v>50.800000000000011</v>
      </c>
      <c r="L61" s="1">
        <v>1.3</v>
      </c>
      <c r="M61" s="1">
        <f t="shared" si="8"/>
        <v>45</v>
      </c>
      <c r="N61" s="5">
        <f t="shared" si="5"/>
        <v>-1.2</v>
      </c>
      <c r="O61" s="1">
        <v>26</v>
      </c>
      <c r="P61" s="1">
        <v>22</v>
      </c>
      <c r="Q61" s="1">
        <f t="shared" si="11"/>
        <v>0.48203125000000002</v>
      </c>
      <c r="R61" s="9">
        <f t="shared" si="2"/>
        <v>0.62664062500000006</v>
      </c>
      <c r="S61" s="9">
        <f t="shared" si="3"/>
        <v>-0.52664062500000008</v>
      </c>
      <c r="T61" s="9">
        <f t="shared" si="10"/>
        <v>38.910625000000003</v>
      </c>
      <c r="V61" s="10">
        <v>859.9</v>
      </c>
      <c r="W61" s="1">
        <f t="shared" si="4"/>
        <v>52.432926829268297</v>
      </c>
      <c r="X61" s="1">
        <f t="shared" si="9"/>
        <v>21971.700000000008</v>
      </c>
      <c r="AA61" s="1">
        <v>12.0880503621631</v>
      </c>
    </row>
    <row r="62" spans="1:27" s="1" customFormat="1" x14ac:dyDescent="0.25">
      <c r="A62" s="79"/>
      <c r="B62" s="7"/>
      <c r="C62" s="3">
        <v>41543</v>
      </c>
      <c r="D62" s="1">
        <v>19.100000000000001</v>
      </c>
      <c r="E62" s="1">
        <v>13.7</v>
      </c>
      <c r="F62" s="1">
        <v>24.7</v>
      </c>
      <c r="G62" s="1">
        <f t="shared" si="6"/>
        <v>356.90000000000003</v>
      </c>
      <c r="J62" s="1">
        <v>0.2</v>
      </c>
      <c r="K62" s="1">
        <f t="shared" si="7"/>
        <v>51.000000000000014</v>
      </c>
      <c r="L62" s="1">
        <v>1.4</v>
      </c>
      <c r="M62" s="1">
        <f t="shared" si="8"/>
        <v>46.4</v>
      </c>
      <c r="N62" s="5">
        <f t="shared" si="5"/>
        <v>-1.2</v>
      </c>
      <c r="O62" s="1">
        <v>24.8</v>
      </c>
      <c r="P62" s="1">
        <v>23</v>
      </c>
      <c r="Q62" s="1">
        <f t="shared" si="11"/>
        <v>0.4921875</v>
      </c>
      <c r="R62" s="9">
        <f t="shared" si="2"/>
        <v>0.68906249999999991</v>
      </c>
      <c r="S62" s="9">
        <f t="shared" si="3"/>
        <v>-0.4890624999999999</v>
      </c>
      <c r="T62" s="9">
        <f t="shared" si="10"/>
        <v>38.4215625</v>
      </c>
      <c r="V62" s="10">
        <v>847</v>
      </c>
      <c r="W62" s="1">
        <f t="shared" si="4"/>
        <v>44.345549738219894</v>
      </c>
      <c r="X62" s="1">
        <f t="shared" si="9"/>
        <v>22818.700000000008</v>
      </c>
      <c r="AA62" s="1">
        <v>12.0314444259325</v>
      </c>
    </row>
    <row r="63" spans="1:27" s="1" customFormat="1" x14ac:dyDescent="0.25">
      <c r="A63" s="79"/>
      <c r="B63" s="7"/>
      <c r="C63" s="3">
        <v>41544</v>
      </c>
      <c r="D63" s="1">
        <v>19.899999999999999</v>
      </c>
      <c r="E63" s="1">
        <v>14.2</v>
      </c>
      <c r="F63" s="6">
        <v>25.1</v>
      </c>
      <c r="G63" s="1">
        <f t="shared" si="6"/>
        <v>376.8</v>
      </c>
      <c r="J63" s="1">
        <v>1.7</v>
      </c>
      <c r="K63" s="1">
        <f t="shared" si="7"/>
        <v>52.700000000000017</v>
      </c>
      <c r="L63" s="1">
        <v>2.5</v>
      </c>
      <c r="M63" s="1">
        <f t="shared" si="8"/>
        <v>48.9</v>
      </c>
      <c r="N63" s="5">
        <f t="shared" si="5"/>
        <v>-0.8</v>
      </c>
      <c r="O63" s="1">
        <v>24</v>
      </c>
      <c r="P63" s="1">
        <v>24</v>
      </c>
      <c r="Q63" s="1">
        <f t="shared" si="11"/>
        <v>0.50234374999999998</v>
      </c>
      <c r="R63" s="9">
        <f t="shared" si="2"/>
        <v>1.255859375</v>
      </c>
      <c r="S63" s="9">
        <f t="shared" si="3"/>
        <v>0.44414062499999996</v>
      </c>
      <c r="T63" s="9">
        <f t="shared" si="10"/>
        <v>38.865703125000003</v>
      </c>
      <c r="V63" s="1">
        <v>1430.9</v>
      </c>
      <c r="W63" s="1">
        <f t="shared" si="4"/>
        <v>71.904522613065339</v>
      </c>
      <c r="X63" s="1">
        <f t="shared" si="9"/>
        <v>24249.600000000009</v>
      </c>
      <c r="AA63" s="1">
        <v>11.9748362288019</v>
      </c>
    </row>
    <row r="64" spans="1:27" s="1" customFormat="1" x14ac:dyDescent="0.25">
      <c r="A64" s="79"/>
      <c r="B64" s="7"/>
      <c r="C64" s="3">
        <v>41545</v>
      </c>
      <c r="D64" s="1">
        <v>18.600000000000001</v>
      </c>
      <c r="E64" s="1">
        <v>17.3</v>
      </c>
      <c r="F64" s="1">
        <v>23.1</v>
      </c>
      <c r="G64" s="1">
        <f t="shared" si="6"/>
        <v>395.40000000000003</v>
      </c>
      <c r="J64" s="1">
        <v>11.7</v>
      </c>
      <c r="K64" s="1">
        <f t="shared" si="7"/>
        <v>64.40000000000002</v>
      </c>
      <c r="L64" s="1">
        <v>1</v>
      </c>
      <c r="M64" s="1">
        <f t="shared" si="8"/>
        <v>49.9</v>
      </c>
      <c r="N64" s="1">
        <f t="shared" si="5"/>
        <v>10.7</v>
      </c>
      <c r="O64" s="1">
        <v>34.700000000000003</v>
      </c>
      <c r="P64" s="1">
        <v>25</v>
      </c>
      <c r="Q64" s="1">
        <f t="shared" si="11"/>
        <v>0.51249999999999996</v>
      </c>
      <c r="R64" s="9">
        <f t="shared" si="2"/>
        <v>0.51249999999999996</v>
      </c>
      <c r="S64" s="9">
        <f t="shared" si="3"/>
        <v>11.1875</v>
      </c>
      <c r="T64" s="9">
        <f t="shared" si="10"/>
        <v>50.053203125000003</v>
      </c>
      <c r="V64" s="10">
        <v>501.3</v>
      </c>
      <c r="W64" s="1">
        <f t="shared" si="4"/>
        <v>26.951612903225804</v>
      </c>
      <c r="X64" s="1">
        <f t="shared" si="9"/>
        <v>24750.900000000009</v>
      </c>
      <c r="AA64" s="1">
        <v>11.9182313551541</v>
      </c>
    </row>
    <row r="65" spans="1:27" s="1" customFormat="1" x14ac:dyDescent="0.25">
      <c r="A65" s="79"/>
      <c r="B65" s="7"/>
      <c r="C65" s="3">
        <v>41546</v>
      </c>
      <c r="D65" s="1">
        <v>16</v>
      </c>
      <c r="E65" s="1">
        <v>15</v>
      </c>
      <c r="F65" s="1">
        <v>16.8</v>
      </c>
      <c r="G65" s="1">
        <f t="shared" si="6"/>
        <v>411.40000000000003</v>
      </c>
      <c r="J65" s="1">
        <v>10.9</v>
      </c>
      <c r="K65" s="1">
        <f t="shared" si="7"/>
        <v>75.300000000000026</v>
      </c>
      <c r="L65" s="1">
        <v>0.6</v>
      </c>
      <c r="M65" s="1">
        <f t="shared" si="8"/>
        <v>50.5</v>
      </c>
      <c r="N65" s="1">
        <f t="shared" si="5"/>
        <v>10.3</v>
      </c>
      <c r="O65" s="1">
        <v>45</v>
      </c>
      <c r="P65" s="1">
        <v>26</v>
      </c>
      <c r="Q65" s="1">
        <f t="shared" si="11"/>
        <v>0.52265625000000004</v>
      </c>
      <c r="R65" s="9">
        <f t="shared" si="2"/>
        <v>0.31359375</v>
      </c>
      <c r="S65" s="9">
        <f t="shared" si="3"/>
        <v>10.58640625</v>
      </c>
      <c r="T65" s="9">
        <f t="shared" si="10"/>
        <v>60.639609375000006</v>
      </c>
      <c r="V65" s="10">
        <v>249.2</v>
      </c>
      <c r="W65" s="1">
        <f t="shared" si="4"/>
        <v>15.574999999999999</v>
      </c>
      <c r="X65" s="1">
        <f t="shared" si="9"/>
        <v>25000.100000000009</v>
      </c>
      <c r="AA65" s="1">
        <v>11.861635467316299</v>
      </c>
    </row>
    <row r="66" spans="1:27" s="1" customFormat="1" x14ac:dyDescent="0.25">
      <c r="A66" s="79"/>
      <c r="B66" s="7"/>
      <c r="C66" s="3">
        <v>41547</v>
      </c>
      <c r="D66" s="1">
        <v>14.7</v>
      </c>
      <c r="E66" s="1">
        <v>14.3</v>
      </c>
      <c r="F66" s="1">
        <v>16.600000000000001</v>
      </c>
      <c r="G66" s="1">
        <f t="shared" si="6"/>
        <v>426.1</v>
      </c>
      <c r="J66" s="1">
        <v>0.3</v>
      </c>
      <c r="K66" s="1">
        <f t="shared" si="7"/>
        <v>75.600000000000023</v>
      </c>
      <c r="L66" s="1">
        <v>0.7</v>
      </c>
      <c r="M66" s="1">
        <f t="shared" si="8"/>
        <v>51.2</v>
      </c>
      <c r="N66" s="5">
        <f t="shared" si="5"/>
        <v>-0.39999999999999997</v>
      </c>
      <c r="O66" s="1">
        <v>44.6</v>
      </c>
      <c r="P66" s="1">
        <v>27</v>
      </c>
      <c r="Q66" s="1">
        <f t="shared" si="11"/>
        <v>0.53281250000000002</v>
      </c>
      <c r="R66" s="9">
        <f t="shared" si="2"/>
        <v>0.37296875000000002</v>
      </c>
      <c r="S66" s="9">
        <f t="shared" si="3"/>
        <v>-7.2968750000000027E-2</v>
      </c>
      <c r="T66" s="9">
        <f t="shared" si="10"/>
        <v>60.566640625000005</v>
      </c>
      <c r="V66" s="10">
        <v>352.7</v>
      </c>
      <c r="W66" s="1">
        <f t="shared" si="4"/>
        <v>23.993197278911566</v>
      </c>
      <c r="X66" s="1">
        <f t="shared" si="9"/>
        <v>25352.80000000001</v>
      </c>
      <c r="AA66" s="1">
        <v>11.8050543220041</v>
      </c>
    </row>
    <row r="67" spans="1:27" s="1" customFormat="1" x14ac:dyDescent="0.25">
      <c r="A67" s="79"/>
      <c r="B67" s="7"/>
      <c r="C67" s="3">
        <v>41548</v>
      </c>
      <c r="D67" s="1">
        <v>15</v>
      </c>
      <c r="E67" s="1">
        <v>11.3</v>
      </c>
      <c r="F67" s="1">
        <v>17.7</v>
      </c>
      <c r="G67" s="1">
        <f t="shared" si="6"/>
        <v>441.1</v>
      </c>
      <c r="J67" s="1">
        <v>0.2</v>
      </c>
      <c r="K67" s="1">
        <f t="shared" si="7"/>
        <v>75.800000000000026</v>
      </c>
      <c r="L67" s="1">
        <v>0.8</v>
      </c>
      <c r="M67" s="1">
        <f t="shared" si="8"/>
        <v>52</v>
      </c>
      <c r="N67" s="5">
        <f t="shared" si="5"/>
        <v>-0.60000000000000009</v>
      </c>
      <c r="O67" s="1">
        <v>44</v>
      </c>
      <c r="P67" s="1">
        <v>28</v>
      </c>
      <c r="Q67" s="1">
        <f t="shared" si="11"/>
        <v>0.54296875</v>
      </c>
      <c r="R67" s="9">
        <f t="shared" si="2"/>
        <v>0.43437500000000001</v>
      </c>
      <c r="S67" s="9">
        <f t="shared" si="3"/>
        <v>-0.234375</v>
      </c>
      <c r="T67" s="9">
        <f t="shared" si="10"/>
        <v>60.332265625000005</v>
      </c>
      <c r="V67" s="10">
        <v>650.29999999999995</v>
      </c>
      <c r="W67" s="1">
        <f t="shared" si="4"/>
        <v>43.353333333333332</v>
      </c>
      <c r="X67" s="1">
        <f t="shared" si="9"/>
        <v>26003.100000000009</v>
      </c>
      <c r="AA67" s="1">
        <v>11.7484937868727</v>
      </c>
    </row>
    <row r="68" spans="1:27" s="1" customFormat="1" x14ac:dyDescent="0.25">
      <c r="A68" s="79"/>
      <c r="B68" s="7"/>
      <c r="C68" s="3">
        <v>41549</v>
      </c>
      <c r="D68" s="1">
        <v>17</v>
      </c>
      <c r="E68" s="1">
        <v>13.5</v>
      </c>
      <c r="F68" s="1">
        <v>19.5</v>
      </c>
      <c r="G68" s="1">
        <f t="shared" si="6"/>
        <v>458.1</v>
      </c>
      <c r="J68" s="1">
        <v>0.1</v>
      </c>
      <c r="K68" s="1">
        <f t="shared" si="7"/>
        <v>75.90000000000002</v>
      </c>
      <c r="L68" s="1">
        <v>1</v>
      </c>
      <c r="M68" s="1">
        <f t="shared" si="8"/>
        <v>53</v>
      </c>
      <c r="N68" s="5">
        <f t="shared" si="5"/>
        <v>-0.9</v>
      </c>
      <c r="O68" s="1">
        <v>43.1</v>
      </c>
      <c r="P68" s="1">
        <v>29</v>
      </c>
      <c r="Q68" s="1">
        <f t="shared" si="11"/>
        <v>0.55312499999999998</v>
      </c>
      <c r="R68" s="9">
        <f t="shared" si="2"/>
        <v>0.55312499999999998</v>
      </c>
      <c r="S68" s="9">
        <f t="shared" si="3"/>
        <v>-0.453125</v>
      </c>
      <c r="T68" s="9">
        <f t="shared" si="10"/>
        <v>59.879140625000005</v>
      </c>
      <c r="V68" s="10">
        <v>722.5</v>
      </c>
      <c r="W68" s="1">
        <f t="shared" si="4"/>
        <v>42.5</v>
      </c>
      <c r="X68" s="1">
        <f t="shared" si="9"/>
        <v>26725.600000000009</v>
      </c>
      <c r="AA68" s="1">
        <v>11.6919598571753</v>
      </c>
    </row>
    <row r="69" spans="1:27" s="1" customFormat="1" x14ac:dyDescent="0.25">
      <c r="A69" s="79"/>
      <c r="B69" s="7"/>
      <c r="C69" s="3">
        <v>41550</v>
      </c>
      <c r="D69" s="1">
        <v>18.8</v>
      </c>
      <c r="E69" s="1">
        <v>15.4</v>
      </c>
      <c r="F69" s="1">
        <v>21.5</v>
      </c>
      <c r="G69" s="1">
        <f t="shared" si="6"/>
        <v>476.90000000000003</v>
      </c>
      <c r="J69" s="1">
        <v>5.2</v>
      </c>
      <c r="K69" s="1">
        <f t="shared" si="7"/>
        <v>81.100000000000023</v>
      </c>
      <c r="L69" s="1">
        <v>0.8</v>
      </c>
      <c r="M69" s="1">
        <f t="shared" si="8"/>
        <v>53.8</v>
      </c>
      <c r="N69" s="1">
        <f t="shared" si="5"/>
        <v>4.4000000000000004</v>
      </c>
      <c r="O69" s="1">
        <v>47.5</v>
      </c>
      <c r="P69" s="1">
        <v>30</v>
      </c>
      <c r="Q69" s="1">
        <f t="shared" si="11"/>
        <v>0.56328124999999996</v>
      </c>
      <c r="R69" s="9">
        <f t="shared" si="2"/>
        <v>0.450625</v>
      </c>
      <c r="S69" s="9">
        <f t="shared" si="3"/>
        <v>4.7493750000000006</v>
      </c>
      <c r="T69" s="9">
        <f t="shared" si="10"/>
        <v>64.628515625000006</v>
      </c>
      <c r="V69" s="10">
        <v>505</v>
      </c>
      <c r="W69" s="1">
        <f t="shared" si="4"/>
        <v>26.861702127659573</v>
      </c>
      <c r="X69" s="1">
        <f t="shared" si="9"/>
        <v>27230.600000000009</v>
      </c>
      <c r="AA69" s="1">
        <v>11.6354586725309</v>
      </c>
    </row>
    <row r="70" spans="1:27" s="1" customFormat="1" x14ac:dyDescent="0.25">
      <c r="A70" s="79"/>
      <c r="B70" s="7"/>
      <c r="C70" s="3">
        <v>41551</v>
      </c>
      <c r="D70" s="1">
        <v>17.3</v>
      </c>
      <c r="E70" s="1">
        <v>16.100000000000001</v>
      </c>
      <c r="F70" s="1">
        <v>20</v>
      </c>
      <c r="G70" s="1">
        <f t="shared" si="6"/>
        <v>494.20000000000005</v>
      </c>
      <c r="J70" s="1">
        <v>9.8000000000000007</v>
      </c>
      <c r="K70" s="1">
        <f t="shared" si="7"/>
        <v>90.90000000000002</v>
      </c>
      <c r="L70" s="1">
        <v>1.4</v>
      </c>
      <c r="M70" s="1">
        <f t="shared" si="8"/>
        <v>55.199999999999996</v>
      </c>
      <c r="N70" s="1">
        <f t="shared" si="5"/>
        <v>8.4</v>
      </c>
      <c r="O70" s="1">
        <v>55.9</v>
      </c>
      <c r="P70" s="1">
        <v>31</v>
      </c>
      <c r="Q70" s="1">
        <f t="shared" si="11"/>
        <v>0.57343750000000004</v>
      </c>
      <c r="R70" s="9">
        <f t="shared" si="2"/>
        <v>0.80281250000000004</v>
      </c>
      <c r="S70" s="9">
        <f t="shared" si="3"/>
        <v>8.9971875000000008</v>
      </c>
      <c r="T70" s="9">
        <f t="shared" si="10"/>
        <v>73.625703125000001</v>
      </c>
      <c r="V70" s="10">
        <v>700</v>
      </c>
      <c r="W70" s="1">
        <f t="shared" si="4"/>
        <v>40.462427745664741</v>
      </c>
      <c r="X70" s="1">
        <f t="shared" si="9"/>
        <v>27930.600000000009</v>
      </c>
      <c r="AA70" s="1">
        <v>11.5789965338003</v>
      </c>
    </row>
    <row r="71" spans="1:27" s="1" customFormat="1" x14ac:dyDescent="0.25">
      <c r="A71" s="79"/>
      <c r="B71" s="7"/>
      <c r="C71" s="3">
        <v>41552</v>
      </c>
      <c r="D71" s="1">
        <v>14.9</v>
      </c>
      <c r="E71" s="1">
        <v>13.8</v>
      </c>
      <c r="F71" s="1">
        <v>18.3</v>
      </c>
      <c r="G71" s="1">
        <f t="shared" si="6"/>
        <v>509.1</v>
      </c>
      <c r="J71" s="1">
        <v>0</v>
      </c>
      <c r="K71" s="1">
        <f t="shared" si="7"/>
        <v>90.90000000000002</v>
      </c>
      <c r="L71" s="1">
        <v>1</v>
      </c>
      <c r="M71" s="1">
        <f t="shared" si="8"/>
        <v>56.199999999999996</v>
      </c>
      <c r="N71" s="5">
        <f t="shared" si="5"/>
        <v>-1</v>
      </c>
      <c r="O71" s="1">
        <v>54.9</v>
      </c>
      <c r="P71" s="1">
        <v>32</v>
      </c>
      <c r="Q71" s="1">
        <f t="shared" si="11"/>
        <v>0.58359375000000002</v>
      </c>
      <c r="R71" s="9">
        <f t="shared" si="2"/>
        <v>0.58359375000000002</v>
      </c>
      <c r="S71" s="9">
        <f t="shared" si="3"/>
        <v>-0.58359375000000002</v>
      </c>
      <c r="T71" s="9">
        <f t="shared" si="10"/>
        <v>73.042109374999995</v>
      </c>
      <c r="V71" s="10">
        <v>569.29999999999995</v>
      </c>
      <c r="W71" s="1">
        <f t="shared" si="4"/>
        <v>38.208053691275161</v>
      </c>
      <c r="X71" s="1">
        <f t="shared" si="9"/>
        <v>28499.900000000009</v>
      </c>
      <c r="AA71" s="1">
        <v>11.522579920069299</v>
      </c>
    </row>
    <row r="72" spans="1:27" s="1" customFormat="1" x14ac:dyDescent="0.25">
      <c r="A72" s="79"/>
      <c r="B72" s="7"/>
      <c r="C72" s="3">
        <v>41553</v>
      </c>
      <c r="D72" s="1">
        <v>13.2</v>
      </c>
      <c r="E72" s="1">
        <v>10.9</v>
      </c>
      <c r="F72" s="1">
        <v>16.2</v>
      </c>
      <c r="G72" s="1">
        <f t="shared" si="6"/>
        <v>522.30000000000007</v>
      </c>
      <c r="J72" s="1">
        <v>0</v>
      </c>
      <c r="K72" s="1">
        <f t="shared" si="7"/>
        <v>90.90000000000002</v>
      </c>
      <c r="L72" s="1">
        <v>0.7</v>
      </c>
      <c r="M72" s="1">
        <f t="shared" si="8"/>
        <v>56.9</v>
      </c>
      <c r="N72" s="5">
        <f t="shared" si="5"/>
        <v>-0.7</v>
      </c>
      <c r="O72" s="1">
        <v>54.199999999999996</v>
      </c>
      <c r="P72" s="1">
        <v>33</v>
      </c>
      <c r="Q72" s="1">
        <f t="shared" si="11"/>
        <v>0.59375</v>
      </c>
      <c r="R72" s="9">
        <f t="shared" si="2"/>
        <v>0.41562499999999997</v>
      </c>
      <c r="S72" s="9">
        <f t="shared" si="3"/>
        <v>-0.41562499999999997</v>
      </c>
      <c r="T72" s="9">
        <f t="shared" si="10"/>
        <v>72.62648437499999</v>
      </c>
      <c r="V72" s="10">
        <v>665.6</v>
      </c>
      <c r="W72" s="1">
        <f t="shared" si="4"/>
        <v>50.424242424242429</v>
      </c>
      <c r="X72" s="1">
        <f t="shared" si="9"/>
        <v>29165.500000000007</v>
      </c>
      <c r="AA72" s="1">
        <v>11.466215505736001</v>
      </c>
    </row>
    <row r="73" spans="1:27" s="1" customFormat="1" x14ac:dyDescent="0.25">
      <c r="A73" s="79"/>
      <c r="B73" s="7"/>
      <c r="C73" s="3">
        <v>41554</v>
      </c>
      <c r="D73" s="1">
        <v>15</v>
      </c>
      <c r="E73" s="1">
        <v>12.1</v>
      </c>
      <c r="F73" s="1">
        <v>18.3</v>
      </c>
      <c r="G73" s="1">
        <f t="shared" si="6"/>
        <v>537.30000000000007</v>
      </c>
      <c r="J73" s="1">
        <v>0</v>
      </c>
      <c r="K73" s="1">
        <f t="shared" si="7"/>
        <v>90.90000000000002</v>
      </c>
      <c r="L73" s="1">
        <v>1</v>
      </c>
      <c r="M73" s="1">
        <f t="shared" si="8"/>
        <v>57.9</v>
      </c>
      <c r="N73" s="5">
        <f t="shared" si="5"/>
        <v>-1</v>
      </c>
      <c r="O73" s="1">
        <v>53.199999999999996</v>
      </c>
      <c r="P73" s="1">
        <v>34</v>
      </c>
      <c r="Q73" s="1">
        <f t="shared" si="11"/>
        <v>0.60390624999999998</v>
      </c>
      <c r="R73" s="9">
        <f t="shared" si="2"/>
        <v>0.60390624999999998</v>
      </c>
      <c r="S73" s="9">
        <f t="shared" si="3"/>
        <v>-0.60390624999999998</v>
      </c>
      <c r="T73" s="9">
        <f t="shared" si="10"/>
        <v>72.022578124999995</v>
      </c>
      <c r="V73" s="10">
        <v>458.3</v>
      </c>
      <c r="W73" s="1">
        <f t="shared" si="4"/>
        <v>30.553333333333335</v>
      </c>
      <c r="X73" s="1">
        <f t="shared" si="9"/>
        <v>29623.800000000007</v>
      </c>
      <c r="AA73" s="1">
        <v>11.409910177696601</v>
      </c>
    </row>
    <row r="74" spans="1:27" s="1" customFormat="1" x14ac:dyDescent="0.25">
      <c r="A74" s="79"/>
      <c r="B74" s="7"/>
      <c r="C74" s="3">
        <v>41555</v>
      </c>
      <c r="D74" s="1">
        <v>15.3</v>
      </c>
      <c r="E74" s="1">
        <v>13.4</v>
      </c>
      <c r="F74" s="1">
        <v>18.8</v>
      </c>
      <c r="G74" s="1">
        <f t="shared" si="6"/>
        <v>552.6</v>
      </c>
      <c r="J74" s="1">
        <v>0</v>
      </c>
      <c r="K74" s="1">
        <f t="shared" si="7"/>
        <v>90.90000000000002</v>
      </c>
      <c r="L74" s="1">
        <v>1.1000000000000001</v>
      </c>
      <c r="M74" s="1">
        <f t="shared" si="8"/>
        <v>59</v>
      </c>
      <c r="N74" s="5">
        <f t="shared" si="5"/>
        <v>-1.1000000000000001</v>
      </c>
      <c r="O74" s="1">
        <v>52.099999999999994</v>
      </c>
      <c r="P74" s="1">
        <v>35</v>
      </c>
      <c r="Q74" s="1">
        <f t="shared" si="11"/>
        <v>0.61406249999999996</v>
      </c>
      <c r="R74" s="9">
        <f t="shared" si="2"/>
        <v>0.67546874999999995</v>
      </c>
      <c r="S74" s="9">
        <f t="shared" si="3"/>
        <v>-0.67546874999999995</v>
      </c>
      <c r="T74" s="9">
        <f t="shared" si="10"/>
        <v>71.347109375000002</v>
      </c>
      <c r="V74" s="10">
        <v>303.2</v>
      </c>
      <c r="W74" s="1">
        <f t="shared" si="4"/>
        <v>19.816993464052285</v>
      </c>
      <c r="X74" s="1">
        <f t="shared" si="9"/>
        <v>29927.000000000007</v>
      </c>
      <c r="AA74" s="1">
        <v>11.353671052625099</v>
      </c>
    </row>
    <row r="75" spans="1:27" s="1" customFormat="1" x14ac:dyDescent="0.25">
      <c r="A75" s="79"/>
      <c r="B75" s="7"/>
      <c r="C75" s="3">
        <v>41556</v>
      </c>
      <c r="D75" s="1">
        <v>15.1</v>
      </c>
      <c r="E75" s="1">
        <v>12.7</v>
      </c>
      <c r="F75" s="1">
        <v>18.2</v>
      </c>
      <c r="G75" s="1">
        <f t="shared" si="6"/>
        <v>567.70000000000005</v>
      </c>
      <c r="J75" s="1">
        <v>0.4</v>
      </c>
      <c r="K75" s="1">
        <f t="shared" si="7"/>
        <v>91.300000000000026</v>
      </c>
      <c r="L75" s="1">
        <v>1.1000000000000001</v>
      </c>
      <c r="M75" s="1">
        <f t="shared" si="8"/>
        <v>60.1</v>
      </c>
      <c r="N75" s="5">
        <f t="shared" si="5"/>
        <v>-0.70000000000000007</v>
      </c>
      <c r="O75" s="1">
        <v>51.399999999999991</v>
      </c>
      <c r="P75" s="1">
        <v>36</v>
      </c>
      <c r="Q75" s="1">
        <f t="shared" si="11"/>
        <v>0.62421875000000004</v>
      </c>
      <c r="R75" s="9">
        <f t="shared" si="2"/>
        <v>0.68664062500000012</v>
      </c>
      <c r="S75" s="9">
        <f t="shared" si="3"/>
        <v>-0.28664062500000009</v>
      </c>
      <c r="T75" s="9">
        <f t="shared" si="10"/>
        <v>71.060468749999998</v>
      </c>
      <c r="V75" s="10">
        <v>314.3</v>
      </c>
      <c r="W75" s="1">
        <f t="shared" si="4"/>
        <v>20.814569536423843</v>
      </c>
      <c r="X75" s="1">
        <f t="shared" si="9"/>
        <v>30241.300000000007</v>
      </c>
      <c r="AA75" s="1">
        <v>11.297505494335701</v>
      </c>
    </row>
    <row r="76" spans="1:27" s="1" customFormat="1" x14ac:dyDescent="0.25">
      <c r="A76" s="79"/>
      <c r="B76" s="7"/>
      <c r="C76" s="3">
        <v>41557</v>
      </c>
      <c r="D76" s="1">
        <v>10.3</v>
      </c>
      <c r="E76" s="1">
        <v>8.5</v>
      </c>
      <c r="F76" s="1">
        <v>13</v>
      </c>
      <c r="G76" s="1">
        <f t="shared" si="6"/>
        <v>578</v>
      </c>
      <c r="J76" s="1">
        <v>0</v>
      </c>
      <c r="K76" s="1">
        <f t="shared" si="7"/>
        <v>91.300000000000026</v>
      </c>
      <c r="L76" s="1">
        <v>1.5</v>
      </c>
      <c r="M76" s="1">
        <f t="shared" si="8"/>
        <v>61.6</v>
      </c>
      <c r="N76" s="5">
        <f t="shared" si="5"/>
        <v>-1.5</v>
      </c>
      <c r="O76" s="1">
        <v>49.899999999999991</v>
      </c>
      <c r="P76" s="1">
        <v>37</v>
      </c>
      <c r="Q76" s="1">
        <f t="shared" si="11"/>
        <v>0.63437499999999991</v>
      </c>
      <c r="R76" s="9">
        <f t="shared" si="2"/>
        <v>0.95156249999999987</v>
      </c>
      <c r="S76" s="9">
        <f t="shared" si="3"/>
        <v>-0.95156249999999987</v>
      </c>
      <c r="T76" s="9">
        <f t="shared" si="10"/>
        <v>70.108906250000004</v>
      </c>
      <c r="V76" s="10">
        <v>512.1</v>
      </c>
      <c r="W76" s="1">
        <f t="shared" si="4"/>
        <v>49.718446601941743</v>
      </c>
      <c r="X76" s="1">
        <f t="shared" si="9"/>
        <v>30753.400000000005</v>
      </c>
      <c r="AA76" s="1">
        <v>11.241421131219001</v>
      </c>
    </row>
    <row r="77" spans="1:27" s="1" customFormat="1" x14ac:dyDescent="0.25">
      <c r="A77" s="79"/>
      <c r="B77" s="7"/>
      <c r="C77" s="3">
        <v>41558</v>
      </c>
      <c r="D77" s="1">
        <v>8</v>
      </c>
      <c r="E77" s="1">
        <v>6.3</v>
      </c>
      <c r="F77" s="1">
        <v>9.5</v>
      </c>
      <c r="G77" s="1">
        <f t="shared" si="6"/>
        <v>586</v>
      </c>
      <c r="J77" s="1">
        <v>5.3</v>
      </c>
      <c r="K77" s="1">
        <f t="shared" si="7"/>
        <v>96.600000000000023</v>
      </c>
      <c r="L77" s="1">
        <v>0.4</v>
      </c>
      <c r="M77" s="1">
        <f t="shared" si="8"/>
        <v>62</v>
      </c>
      <c r="N77" s="1">
        <f t="shared" si="5"/>
        <v>4.8999999999999995</v>
      </c>
      <c r="O77" s="1">
        <v>54.79999999999999</v>
      </c>
      <c r="P77" s="1">
        <v>38</v>
      </c>
      <c r="Q77" s="1">
        <f t="shared" si="11"/>
        <v>0.64453125</v>
      </c>
      <c r="R77" s="9">
        <f t="shared" si="2"/>
        <v>0.2578125</v>
      </c>
      <c r="S77" s="9">
        <f t="shared" si="3"/>
        <v>5.0421874999999998</v>
      </c>
      <c r="T77" s="9">
        <f t="shared" si="10"/>
        <v>75.151093750000001</v>
      </c>
      <c r="V77" s="10">
        <v>259.8</v>
      </c>
      <c r="W77" s="1">
        <f t="shared" si="4"/>
        <v>32.475000000000001</v>
      </c>
      <c r="X77" s="1">
        <f t="shared" si="9"/>
        <v>31013.200000000004</v>
      </c>
      <c r="AA77" s="1">
        <v>11.185425873737699</v>
      </c>
    </row>
    <row r="78" spans="1:27" s="1" customFormat="1" x14ac:dyDescent="0.25">
      <c r="A78" s="79"/>
      <c r="B78" s="7"/>
      <c r="C78" s="3">
        <v>41559</v>
      </c>
      <c r="D78" s="1">
        <v>6.9</v>
      </c>
      <c r="E78" s="1">
        <v>6.3</v>
      </c>
      <c r="F78" s="1">
        <v>9.1999999999999993</v>
      </c>
      <c r="G78" s="1">
        <f t="shared" si="6"/>
        <v>592.9</v>
      </c>
      <c r="J78" s="1">
        <v>1</v>
      </c>
      <c r="K78" s="1">
        <f t="shared" si="7"/>
        <v>97.600000000000023</v>
      </c>
      <c r="L78" s="1">
        <v>0.4</v>
      </c>
      <c r="M78" s="1">
        <f t="shared" si="8"/>
        <v>62.4</v>
      </c>
      <c r="N78" s="1">
        <f t="shared" si="5"/>
        <v>0.6</v>
      </c>
      <c r="O78" s="1">
        <v>55.399999999999991</v>
      </c>
      <c r="P78" s="1">
        <v>39</v>
      </c>
      <c r="Q78" s="1">
        <f t="shared" si="11"/>
        <v>0.65468749999999998</v>
      </c>
      <c r="R78" s="9">
        <f t="shared" si="2"/>
        <v>0.26187500000000002</v>
      </c>
      <c r="S78" s="9">
        <f t="shared" si="3"/>
        <v>0.73812499999999992</v>
      </c>
      <c r="T78" s="9">
        <f t="shared" si="10"/>
        <v>75.889218749999998</v>
      </c>
      <c r="V78" s="10">
        <v>238.2</v>
      </c>
      <c r="W78" s="1">
        <f t="shared" si="4"/>
        <v>34.521739130434781</v>
      </c>
      <c r="X78" s="1">
        <f t="shared" si="9"/>
        <v>31251.400000000005</v>
      </c>
      <c r="AA78" s="1">
        <v>11.1295279319661</v>
      </c>
    </row>
    <row r="79" spans="1:27" s="1" customFormat="1" x14ac:dyDescent="0.25">
      <c r="A79" s="79"/>
      <c r="B79" s="7"/>
      <c r="C79" s="3">
        <v>41560</v>
      </c>
      <c r="D79" s="1">
        <v>5.9</v>
      </c>
      <c r="E79" s="12">
        <v>0.5</v>
      </c>
      <c r="F79" s="1">
        <v>11.3</v>
      </c>
      <c r="G79" s="1">
        <f t="shared" si="6"/>
        <v>598.79999999999995</v>
      </c>
      <c r="J79" s="1">
        <v>0</v>
      </c>
      <c r="K79" s="1">
        <f t="shared" si="7"/>
        <v>97.600000000000023</v>
      </c>
      <c r="L79" s="1">
        <v>0.3</v>
      </c>
      <c r="M79" s="1">
        <f t="shared" si="8"/>
        <v>62.699999999999996</v>
      </c>
      <c r="N79" s="5">
        <f t="shared" si="5"/>
        <v>-0.3</v>
      </c>
      <c r="O79" s="1">
        <v>55.099999999999994</v>
      </c>
      <c r="P79" s="1">
        <v>40</v>
      </c>
      <c r="Q79" s="1">
        <f t="shared" si="11"/>
        <v>0.66484374999999996</v>
      </c>
      <c r="R79" s="9">
        <f t="shared" si="2"/>
        <v>0.19945312499999998</v>
      </c>
      <c r="S79" s="9">
        <f t="shared" si="3"/>
        <v>-0.19945312499999998</v>
      </c>
      <c r="T79" s="9">
        <f t="shared" si="10"/>
        <v>75.689765624999993</v>
      </c>
      <c r="V79" s="10">
        <v>486.1</v>
      </c>
      <c r="W79" s="1">
        <f t="shared" si="4"/>
        <v>82.389830508474574</v>
      </c>
      <c r="X79" s="1">
        <f t="shared" si="9"/>
        <v>31737.500000000004</v>
      </c>
      <c r="AA79" s="1">
        <v>11.0737358331531</v>
      </c>
    </row>
    <row r="80" spans="1:27" s="1" customFormat="1" x14ac:dyDescent="0.25">
      <c r="A80" s="79"/>
      <c r="B80" s="7"/>
      <c r="C80" s="3">
        <v>41561</v>
      </c>
      <c r="D80" s="1">
        <v>12.8</v>
      </c>
      <c r="E80" s="1">
        <v>8.5</v>
      </c>
      <c r="F80" s="1">
        <v>14.6</v>
      </c>
      <c r="G80" s="1">
        <f t="shared" si="6"/>
        <v>611.59999999999991</v>
      </c>
      <c r="J80" s="1">
        <v>12.2</v>
      </c>
      <c r="K80" s="1">
        <f t="shared" si="7"/>
        <v>109.80000000000003</v>
      </c>
      <c r="L80" s="1">
        <v>0</v>
      </c>
      <c r="M80" s="1">
        <f t="shared" si="8"/>
        <v>62.699999999999996</v>
      </c>
      <c r="N80" s="1">
        <f t="shared" si="5"/>
        <v>12.2</v>
      </c>
      <c r="O80" s="1">
        <v>67.3</v>
      </c>
      <c r="P80" s="1">
        <v>41</v>
      </c>
      <c r="Q80" s="1">
        <f t="shared" si="11"/>
        <v>0.67500000000000004</v>
      </c>
      <c r="R80" s="9">
        <f t="shared" si="2"/>
        <v>0</v>
      </c>
      <c r="S80" s="9">
        <f t="shared" si="3"/>
        <v>12.2</v>
      </c>
      <c r="T80" s="9">
        <f t="shared" si="10"/>
        <v>87.889765624999995</v>
      </c>
      <c r="V80" s="10">
        <v>234.2</v>
      </c>
      <c r="W80" s="1">
        <f t="shared" si="4"/>
        <v>18.296874999999996</v>
      </c>
      <c r="X80" s="1">
        <f t="shared" si="9"/>
        <v>31971.700000000004</v>
      </c>
      <c r="AA80" s="1">
        <v>11.0180584392887</v>
      </c>
    </row>
    <row r="81" spans="1:27" s="1" customFormat="1" x14ac:dyDescent="0.25">
      <c r="A81" s="79"/>
      <c r="B81" s="7"/>
      <c r="C81" s="3">
        <v>41562</v>
      </c>
      <c r="D81" s="1">
        <v>13.4</v>
      </c>
      <c r="E81" s="1">
        <v>12.4</v>
      </c>
      <c r="F81" s="1">
        <v>14.9</v>
      </c>
      <c r="G81" s="1">
        <f t="shared" si="6"/>
        <v>624.99999999999989</v>
      </c>
      <c r="J81" s="1">
        <v>15.9</v>
      </c>
      <c r="K81" s="1">
        <f t="shared" si="7"/>
        <v>125.70000000000003</v>
      </c>
      <c r="L81" s="1">
        <v>0.6</v>
      </c>
      <c r="M81" s="1">
        <f t="shared" si="8"/>
        <v>63.3</v>
      </c>
      <c r="N81" s="1">
        <f t="shared" si="5"/>
        <v>15.3</v>
      </c>
      <c r="O81" s="1">
        <v>82.6</v>
      </c>
      <c r="P81" s="1">
        <v>42</v>
      </c>
      <c r="Q81" s="1">
        <f t="shared" si="11"/>
        <v>0.68515624999999991</v>
      </c>
      <c r="R81" s="9">
        <f t="shared" si="2"/>
        <v>0.41109374999999992</v>
      </c>
      <c r="S81" s="9">
        <f t="shared" si="3"/>
        <v>15.488906250000001</v>
      </c>
      <c r="T81" s="9">
        <f t="shared" si="10"/>
        <v>103.37867187499999</v>
      </c>
      <c r="V81" s="10">
        <v>229.9</v>
      </c>
      <c r="W81" s="1">
        <f t="shared" si="4"/>
        <v>17.156716417910449</v>
      </c>
      <c r="X81" s="1">
        <f t="shared" si="9"/>
        <v>32201.600000000006</v>
      </c>
      <c r="AA81" s="1">
        <v>10.9625049646466</v>
      </c>
    </row>
    <row r="82" spans="1:27" s="1" customFormat="1" x14ac:dyDescent="0.25">
      <c r="A82" s="79"/>
      <c r="B82" s="7"/>
      <c r="C82" s="3">
        <v>41563</v>
      </c>
      <c r="D82" s="1">
        <v>13.3</v>
      </c>
      <c r="E82" s="1">
        <v>11.1</v>
      </c>
      <c r="F82" s="1">
        <v>15.6</v>
      </c>
      <c r="G82" s="1">
        <f t="shared" si="6"/>
        <v>638.29999999999984</v>
      </c>
      <c r="J82" s="1">
        <v>2.7</v>
      </c>
      <c r="K82" s="1">
        <f t="shared" si="7"/>
        <v>128.40000000000003</v>
      </c>
      <c r="L82" s="1">
        <v>0.3</v>
      </c>
      <c r="M82" s="1">
        <f t="shared" si="8"/>
        <v>63.599999999999994</v>
      </c>
      <c r="N82" s="1">
        <f t="shared" si="5"/>
        <v>2.4000000000000004</v>
      </c>
      <c r="O82" s="1">
        <v>85</v>
      </c>
      <c r="P82" s="1">
        <v>43</v>
      </c>
      <c r="Q82" s="1">
        <f t="shared" si="11"/>
        <v>0.6953125</v>
      </c>
      <c r="R82" s="9">
        <f t="shared" si="2"/>
        <v>0.20859374999999999</v>
      </c>
      <c r="S82" s="9">
        <f t="shared" si="3"/>
        <v>2.4914062500000003</v>
      </c>
      <c r="T82" s="9">
        <f t="shared" si="10"/>
        <v>105.87007812499999</v>
      </c>
      <c r="V82" s="10">
        <v>226.6</v>
      </c>
      <c r="W82" s="1">
        <f t="shared" si="4"/>
        <v>17.037593984962406</v>
      </c>
      <c r="X82" s="1">
        <f t="shared" si="9"/>
        <v>32428.200000000004</v>
      </c>
      <c r="AA82" s="1">
        <v>10.9070849932738</v>
      </c>
    </row>
    <row r="83" spans="1:27" s="1" customFormat="1" x14ac:dyDescent="0.25">
      <c r="A83" s="79"/>
      <c r="B83" s="7"/>
      <c r="C83" s="3">
        <v>41564</v>
      </c>
      <c r="D83" s="1">
        <v>12.2</v>
      </c>
      <c r="E83" s="1">
        <v>10.9</v>
      </c>
      <c r="F83" s="1">
        <v>15</v>
      </c>
      <c r="G83" s="1">
        <f t="shared" si="6"/>
        <v>650.49999999999989</v>
      </c>
      <c r="J83" s="1">
        <v>0.2</v>
      </c>
      <c r="K83" s="1">
        <f t="shared" si="7"/>
        <v>128.60000000000002</v>
      </c>
      <c r="L83" s="1">
        <v>0.5</v>
      </c>
      <c r="M83" s="1">
        <f t="shared" si="8"/>
        <v>64.099999999999994</v>
      </c>
      <c r="N83" s="5">
        <f t="shared" si="5"/>
        <v>-0.3</v>
      </c>
      <c r="O83" s="1">
        <v>84.7</v>
      </c>
      <c r="P83" s="1">
        <v>44</v>
      </c>
      <c r="Q83" s="1">
        <f t="shared" si="11"/>
        <v>0.70546874999999998</v>
      </c>
      <c r="R83" s="9">
        <f t="shared" si="2"/>
        <v>0.35273437499999999</v>
      </c>
      <c r="S83" s="9">
        <f t="shared" si="3"/>
        <v>-0.15273437499999998</v>
      </c>
      <c r="T83" s="9">
        <f t="shared" si="10"/>
        <v>105.71734375</v>
      </c>
      <c r="V83" s="10">
        <v>268.2</v>
      </c>
      <c r="W83" s="1">
        <f t="shared" si="4"/>
        <v>21.983606557377051</v>
      </c>
      <c r="X83" s="1">
        <f t="shared" si="9"/>
        <v>32696.400000000005</v>
      </c>
      <c r="AA83" s="1">
        <v>10.851808496395099</v>
      </c>
    </row>
    <row r="84" spans="1:27" s="1" customFormat="1" x14ac:dyDescent="0.25">
      <c r="A84" s="79"/>
      <c r="B84" s="7"/>
      <c r="C84" s="3">
        <v>41565</v>
      </c>
      <c r="D84" s="1">
        <v>10.9</v>
      </c>
      <c r="E84" s="1">
        <v>6.7</v>
      </c>
      <c r="F84" s="1">
        <v>15.6</v>
      </c>
      <c r="G84" s="1">
        <f t="shared" si="6"/>
        <v>661.39999999999986</v>
      </c>
      <c r="J84" s="1">
        <v>0.1</v>
      </c>
      <c r="K84" s="1">
        <f t="shared" si="7"/>
        <v>128.70000000000002</v>
      </c>
      <c r="L84" s="1">
        <v>0.9</v>
      </c>
      <c r="M84" s="1">
        <f t="shared" si="8"/>
        <v>65</v>
      </c>
      <c r="N84" s="5">
        <f t="shared" si="5"/>
        <v>-0.8</v>
      </c>
      <c r="O84" s="1">
        <v>83.9</v>
      </c>
      <c r="P84" s="1">
        <v>45</v>
      </c>
      <c r="Q84" s="1">
        <f t="shared" si="11"/>
        <v>0.71562499999999996</v>
      </c>
      <c r="R84" s="9">
        <f t="shared" si="2"/>
        <v>0.64406249999999998</v>
      </c>
      <c r="S84" s="9">
        <f t="shared" si="3"/>
        <v>-0.5440625</v>
      </c>
      <c r="T84" s="9">
        <f t="shared" si="10"/>
        <v>105.17328125</v>
      </c>
      <c r="V84" s="10">
        <v>512.1</v>
      </c>
      <c r="W84" s="1">
        <f t="shared" si="4"/>
        <v>46.981651376146786</v>
      </c>
      <c r="X84" s="1">
        <f t="shared" si="9"/>
        <v>33208.500000000007</v>
      </c>
      <c r="AA84" s="1">
        <v>10.796685849693899</v>
      </c>
    </row>
    <row r="85" spans="1:27" s="1" customFormat="1" x14ac:dyDescent="0.25">
      <c r="A85" s="79"/>
      <c r="B85" s="7"/>
      <c r="C85" s="3">
        <v>41566</v>
      </c>
      <c r="D85" s="1">
        <v>14.3</v>
      </c>
      <c r="E85" s="1">
        <v>9.6999999999999993</v>
      </c>
      <c r="F85" s="1">
        <v>18.8</v>
      </c>
      <c r="G85" s="1">
        <f t="shared" si="6"/>
        <v>675.69999999999982</v>
      </c>
      <c r="J85" s="1">
        <v>0.1</v>
      </c>
      <c r="K85" s="1">
        <f t="shared" si="7"/>
        <v>128.80000000000001</v>
      </c>
      <c r="L85" s="1">
        <v>0.9</v>
      </c>
      <c r="M85" s="1">
        <f t="shared" si="8"/>
        <v>65.900000000000006</v>
      </c>
      <c r="N85" s="5">
        <f t="shared" si="5"/>
        <v>-0.8</v>
      </c>
      <c r="O85" s="1">
        <v>83.100000000000009</v>
      </c>
      <c r="P85" s="1">
        <v>46</v>
      </c>
      <c r="Q85" s="1">
        <f t="shared" si="11"/>
        <v>0.72578125000000004</v>
      </c>
      <c r="R85" s="9">
        <f t="shared" si="2"/>
        <v>0.65320312500000011</v>
      </c>
      <c r="S85" s="9">
        <f t="shared" si="3"/>
        <v>-0.55320312500000013</v>
      </c>
      <c r="T85" s="9">
        <f t="shared" si="10"/>
        <v>104.62007812500001</v>
      </c>
      <c r="V85" s="10">
        <v>597.29999999999995</v>
      </c>
      <c r="W85" s="1">
        <f t="shared" si="4"/>
        <v>41.769230769230766</v>
      </c>
      <c r="X85" s="1">
        <f t="shared" si="9"/>
        <v>33805.80000000001</v>
      </c>
      <c r="AA85" s="1">
        <v>10.741727850428701</v>
      </c>
    </row>
    <row r="86" spans="1:27" s="1" customFormat="1" x14ac:dyDescent="0.25">
      <c r="A86" s="79"/>
      <c r="B86" s="7"/>
      <c r="C86" s="3">
        <v>41567</v>
      </c>
      <c r="D86" s="1">
        <v>15.4</v>
      </c>
      <c r="E86" s="1">
        <v>13.5</v>
      </c>
      <c r="F86" s="1">
        <v>19.7</v>
      </c>
      <c r="G86" s="1">
        <f t="shared" si="6"/>
        <v>691.0999999999998</v>
      </c>
      <c r="J86" s="1">
        <v>3.4</v>
      </c>
      <c r="K86" s="1">
        <f t="shared" si="7"/>
        <v>132.20000000000002</v>
      </c>
      <c r="L86" s="1">
        <v>1.8</v>
      </c>
      <c r="M86" s="1">
        <f t="shared" si="8"/>
        <v>67.7</v>
      </c>
      <c r="N86" s="1">
        <f t="shared" si="5"/>
        <v>1.5999999999999999</v>
      </c>
      <c r="O86" s="1">
        <v>84.7</v>
      </c>
      <c r="P86" s="1">
        <v>47</v>
      </c>
      <c r="Q86" s="1">
        <f t="shared" si="11"/>
        <v>0.73593749999999991</v>
      </c>
      <c r="R86" s="9">
        <f t="shared" si="2"/>
        <v>1.3246874999999998</v>
      </c>
      <c r="S86" s="9">
        <f t="shared" si="3"/>
        <v>2.0753124999999999</v>
      </c>
      <c r="T86" s="9">
        <f t="shared" si="10"/>
        <v>106.695390625</v>
      </c>
      <c r="V86" s="10">
        <v>791.4</v>
      </c>
      <c r="W86" s="1">
        <f t="shared" si="4"/>
        <v>51.38961038961039</v>
      </c>
      <c r="X86" s="1">
        <f t="shared" si="9"/>
        <v>34597.200000000012</v>
      </c>
      <c r="AA86" s="1">
        <v>10.6869457343384</v>
      </c>
    </row>
    <row r="87" spans="1:27" s="1" customFormat="1" x14ac:dyDescent="0.25">
      <c r="A87" s="79"/>
      <c r="B87" s="7"/>
      <c r="C87" s="3">
        <v>41568</v>
      </c>
      <c r="D87" s="1">
        <v>16.100000000000001</v>
      </c>
      <c r="E87" s="1">
        <v>11.8</v>
      </c>
      <c r="F87" s="1">
        <v>21.2</v>
      </c>
      <c r="G87" s="1">
        <f t="shared" si="6"/>
        <v>707.19999999999982</v>
      </c>
      <c r="J87" s="1">
        <v>0.1</v>
      </c>
      <c r="K87" s="1">
        <f t="shared" si="7"/>
        <v>132.30000000000001</v>
      </c>
      <c r="L87" s="1">
        <v>1.6</v>
      </c>
      <c r="M87" s="1">
        <f t="shared" si="8"/>
        <v>69.3</v>
      </c>
      <c r="N87" s="5">
        <f t="shared" si="5"/>
        <v>-1.5</v>
      </c>
      <c r="O87" s="1">
        <v>83.2</v>
      </c>
      <c r="P87" s="1">
        <v>48</v>
      </c>
      <c r="Q87" s="1">
        <f t="shared" si="11"/>
        <v>0.74609375</v>
      </c>
      <c r="R87" s="9">
        <f t="shared" si="2"/>
        <v>1.1937500000000001</v>
      </c>
      <c r="S87" s="9">
        <f t="shared" si="3"/>
        <v>-1.09375</v>
      </c>
      <c r="T87" s="9">
        <f t="shared" si="10"/>
        <v>105.601640625</v>
      </c>
      <c r="V87" s="1">
        <v>932.8</v>
      </c>
      <c r="W87" s="1">
        <f t="shared" si="4"/>
        <v>57.937888198757754</v>
      </c>
      <c r="X87" s="1">
        <f t="shared" si="9"/>
        <v>35530.000000000015</v>
      </c>
      <c r="AA87" s="1">
        <v>10.6323511922853</v>
      </c>
    </row>
    <row r="88" spans="1:27" s="1" customFormat="1" x14ac:dyDescent="0.25">
      <c r="A88" s="79"/>
      <c r="B88" s="7"/>
      <c r="C88" s="3">
        <v>41569</v>
      </c>
      <c r="D88" s="1">
        <v>17</v>
      </c>
      <c r="E88" s="1">
        <v>14.8</v>
      </c>
      <c r="F88" s="1">
        <v>19.7</v>
      </c>
      <c r="G88" s="1">
        <f t="shared" si="6"/>
        <v>724.19999999999982</v>
      </c>
      <c r="J88" s="1">
        <v>1.4</v>
      </c>
      <c r="K88" s="1">
        <f t="shared" si="7"/>
        <v>133.70000000000002</v>
      </c>
      <c r="L88" s="1">
        <v>1.2</v>
      </c>
      <c r="M88" s="1">
        <f t="shared" si="8"/>
        <v>70.5</v>
      </c>
      <c r="N88" s="1">
        <f t="shared" si="5"/>
        <v>0.19999999999999996</v>
      </c>
      <c r="O88" s="1">
        <v>83.4</v>
      </c>
      <c r="P88" s="1">
        <v>49</v>
      </c>
      <c r="Q88" s="1">
        <f t="shared" si="11"/>
        <v>0.75624999999999998</v>
      </c>
      <c r="R88" s="9">
        <f t="shared" si="2"/>
        <v>0.90749999999999997</v>
      </c>
      <c r="S88" s="9">
        <f t="shared" si="3"/>
        <v>0.49249999999999994</v>
      </c>
      <c r="T88" s="9">
        <f t="shared" si="10"/>
        <v>106.09414062500001</v>
      </c>
      <c r="V88" s="10">
        <v>359.1</v>
      </c>
      <c r="W88" s="1">
        <f t="shared" si="4"/>
        <v>21.123529411764707</v>
      </c>
      <c r="X88" s="1">
        <f t="shared" si="9"/>
        <v>35889.100000000013</v>
      </c>
      <c r="AA88" s="1">
        <v>10.577956386579601</v>
      </c>
    </row>
    <row r="89" spans="1:27" s="1" customFormat="1" x14ac:dyDescent="0.25">
      <c r="A89" s="79"/>
      <c r="B89" s="7"/>
      <c r="C89" s="3">
        <v>41570</v>
      </c>
      <c r="D89" s="1">
        <v>15.8</v>
      </c>
      <c r="E89" s="1">
        <v>14.6</v>
      </c>
      <c r="F89" s="1">
        <v>19.600000000000001</v>
      </c>
      <c r="G89" s="1">
        <f t="shared" si="6"/>
        <v>739.99999999999977</v>
      </c>
      <c r="J89" s="1">
        <v>0.8</v>
      </c>
      <c r="K89" s="1">
        <f t="shared" si="7"/>
        <v>134.50000000000003</v>
      </c>
      <c r="L89" s="1">
        <v>2.4</v>
      </c>
      <c r="M89" s="1">
        <f t="shared" si="8"/>
        <v>72.900000000000006</v>
      </c>
      <c r="N89" s="5">
        <f t="shared" si="5"/>
        <v>-1.5999999999999999</v>
      </c>
      <c r="O89" s="1">
        <v>81.800000000000011</v>
      </c>
      <c r="P89" s="1">
        <v>50</v>
      </c>
      <c r="Q89" s="1">
        <f t="shared" si="11"/>
        <v>0.76640624999999996</v>
      </c>
      <c r="R89" s="9">
        <f t="shared" si="2"/>
        <v>1.8393749999999998</v>
      </c>
      <c r="S89" s="9">
        <f t="shared" si="3"/>
        <v>-1.0393749999999997</v>
      </c>
      <c r="T89" s="9">
        <f t="shared" si="10"/>
        <v>105.05476562500002</v>
      </c>
      <c r="V89" s="10">
        <v>899.3</v>
      </c>
      <c r="W89" s="1">
        <f t="shared" si="4"/>
        <v>56.917721518987335</v>
      </c>
      <c r="X89" s="1">
        <f t="shared" si="9"/>
        <v>36788.400000000016</v>
      </c>
      <c r="AA89" s="1">
        <v>10.5237739669244</v>
      </c>
    </row>
    <row r="90" spans="1:27" s="1" customFormat="1" x14ac:dyDescent="0.25">
      <c r="A90" s="79"/>
      <c r="B90" s="7"/>
      <c r="C90" s="3">
        <v>41571</v>
      </c>
      <c r="D90" s="1">
        <v>15.1</v>
      </c>
      <c r="E90" s="1">
        <v>11.8</v>
      </c>
      <c r="F90" s="1">
        <v>19.899999999999999</v>
      </c>
      <c r="G90" s="1">
        <f t="shared" si="6"/>
        <v>755.0999999999998</v>
      </c>
      <c r="J90" s="1">
        <v>0.6</v>
      </c>
      <c r="K90" s="1">
        <f t="shared" si="7"/>
        <v>135.10000000000002</v>
      </c>
      <c r="L90" s="1">
        <v>1.6</v>
      </c>
      <c r="M90" s="1">
        <f t="shared" si="8"/>
        <v>74.5</v>
      </c>
      <c r="N90" s="5">
        <f t="shared" si="5"/>
        <v>-1</v>
      </c>
      <c r="O90" s="1">
        <v>80.800000000000011</v>
      </c>
      <c r="P90" s="1">
        <v>51</v>
      </c>
      <c r="Q90" s="1">
        <f t="shared" si="11"/>
        <v>0.77656250000000004</v>
      </c>
      <c r="R90" s="9">
        <f t="shared" si="2"/>
        <v>1.2425000000000002</v>
      </c>
      <c r="S90" s="9">
        <f t="shared" si="3"/>
        <v>-0.64250000000000018</v>
      </c>
      <c r="T90" s="9">
        <f t="shared" si="10"/>
        <v>104.41226562500002</v>
      </c>
      <c r="V90" s="10">
        <v>768.1</v>
      </c>
      <c r="W90" s="1">
        <f t="shared" si="4"/>
        <v>50.867549668874176</v>
      </c>
      <c r="X90" s="1">
        <f t="shared" si="9"/>
        <v>37556.500000000015</v>
      </c>
      <c r="AA90" s="1">
        <v>10.4698170859131</v>
      </c>
    </row>
    <row r="91" spans="1:27" s="1" customFormat="1" x14ac:dyDescent="0.25">
      <c r="A91" s="79"/>
      <c r="B91" s="7"/>
      <c r="C91" s="3">
        <v>41572</v>
      </c>
      <c r="D91" s="1">
        <v>16.399999999999999</v>
      </c>
      <c r="E91" s="1">
        <v>14.6</v>
      </c>
      <c r="F91" s="1">
        <v>18.600000000000001</v>
      </c>
      <c r="G91" s="1">
        <f t="shared" si="6"/>
        <v>771.49999999999977</v>
      </c>
      <c r="J91" s="1">
        <v>14.1</v>
      </c>
      <c r="K91" s="1">
        <f t="shared" si="7"/>
        <v>149.20000000000002</v>
      </c>
      <c r="L91" s="1">
        <v>0.7</v>
      </c>
      <c r="M91" s="1">
        <f t="shared" si="8"/>
        <v>75.2</v>
      </c>
      <c r="N91" s="1">
        <f t="shared" si="5"/>
        <v>13.4</v>
      </c>
      <c r="O91" s="1">
        <v>94.200000000000017</v>
      </c>
      <c r="P91" s="1">
        <v>52</v>
      </c>
      <c r="Q91" s="1">
        <f t="shared" si="11"/>
        <v>0.78671874999999991</v>
      </c>
      <c r="R91" s="9">
        <f t="shared" si="2"/>
        <v>0.55070312499999985</v>
      </c>
      <c r="S91" s="9">
        <f t="shared" si="3"/>
        <v>13.549296875</v>
      </c>
      <c r="T91" s="9">
        <f t="shared" si="10"/>
        <v>117.96156250000001</v>
      </c>
      <c r="V91" s="10">
        <v>189.9</v>
      </c>
      <c r="W91" s="1">
        <f t="shared" si="4"/>
        <v>11.579268292682928</v>
      </c>
      <c r="X91" s="1">
        <f t="shared" si="9"/>
        <v>37746.400000000016</v>
      </c>
      <c r="AA91" s="1">
        <v>10.4160994140073</v>
      </c>
    </row>
    <row r="92" spans="1:27" s="1" customFormat="1" x14ac:dyDescent="0.25">
      <c r="A92" s="79"/>
      <c r="B92" s="7"/>
      <c r="C92" s="3">
        <v>41573</v>
      </c>
      <c r="D92" s="1">
        <v>16.600000000000001</v>
      </c>
      <c r="E92" s="1">
        <v>14.6</v>
      </c>
      <c r="F92" s="1">
        <v>20.3</v>
      </c>
      <c r="G92" s="1">
        <f t="shared" si="6"/>
        <v>788.0999999999998</v>
      </c>
      <c r="J92" s="1">
        <v>0.1</v>
      </c>
      <c r="K92" s="1">
        <f t="shared" si="7"/>
        <v>149.30000000000001</v>
      </c>
      <c r="L92" s="1">
        <v>1.1000000000000001</v>
      </c>
      <c r="M92" s="1">
        <f t="shared" si="8"/>
        <v>76.3</v>
      </c>
      <c r="N92" s="5">
        <f t="shared" si="5"/>
        <v>-1</v>
      </c>
      <c r="O92" s="1">
        <v>93.200000000000017</v>
      </c>
      <c r="P92" s="1">
        <v>53</v>
      </c>
      <c r="Q92" s="1">
        <f t="shared" si="11"/>
        <v>0.796875</v>
      </c>
      <c r="R92" s="9">
        <f t="shared" si="2"/>
        <v>0.87656250000000002</v>
      </c>
      <c r="S92" s="9">
        <f t="shared" si="3"/>
        <v>-0.77656250000000004</v>
      </c>
      <c r="T92" s="9">
        <f t="shared" si="10"/>
        <v>117.18500000000002</v>
      </c>
      <c r="V92" s="10">
        <v>313.3</v>
      </c>
      <c r="W92" s="1">
        <f t="shared" si="4"/>
        <v>18.873493975903614</v>
      </c>
      <c r="X92" s="1">
        <f t="shared" si="9"/>
        <v>38059.700000000019</v>
      </c>
      <c r="AA92" s="1">
        <v>10.362635153916701</v>
      </c>
    </row>
    <row r="93" spans="1:27" s="1" customFormat="1" x14ac:dyDescent="0.25">
      <c r="A93" s="79"/>
      <c r="B93" s="7"/>
      <c r="C93" s="3">
        <v>41574</v>
      </c>
      <c r="D93" s="1">
        <v>14.9</v>
      </c>
      <c r="E93" s="1">
        <v>14</v>
      </c>
      <c r="F93" s="1">
        <v>16.2</v>
      </c>
      <c r="G93" s="1">
        <f t="shared" si="6"/>
        <v>802.99999999999977</v>
      </c>
      <c r="J93" s="1">
        <v>12.9</v>
      </c>
      <c r="K93" s="1">
        <f t="shared" si="7"/>
        <v>162.20000000000002</v>
      </c>
      <c r="L93" s="1">
        <v>1.6</v>
      </c>
      <c r="M93" s="1">
        <f t="shared" si="8"/>
        <v>77.899999999999991</v>
      </c>
      <c r="N93" s="1">
        <f t="shared" si="5"/>
        <v>11.3</v>
      </c>
      <c r="O93" s="1">
        <v>104.50000000000001</v>
      </c>
      <c r="P93" s="1">
        <v>54</v>
      </c>
      <c r="Q93" s="1">
        <f t="shared" si="11"/>
        <v>0.80703124999999998</v>
      </c>
      <c r="R93" s="9">
        <f t="shared" si="2"/>
        <v>1.29125</v>
      </c>
      <c r="S93" s="9">
        <f t="shared" si="3"/>
        <v>11.608750000000001</v>
      </c>
      <c r="T93" s="9">
        <f t="shared" si="10"/>
        <v>128.79375000000002</v>
      </c>
      <c r="V93" s="10">
        <v>399.4</v>
      </c>
      <c r="W93" s="1">
        <f t="shared" si="4"/>
        <v>26.805369127516776</v>
      </c>
      <c r="X93" s="1">
        <f t="shared" si="9"/>
        <v>38459.10000000002</v>
      </c>
      <c r="AA93" s="1">
        <v>10.309439054295501</v>
      </c>
    </row>
    <row r="94" spans="1:27" s="1" customFormat="1" x14ac:dyDescent="0.25">
      <c r="A94" s="79"/>
      <c r="B94" s="7"/>
      <c r="C94" s="3">
        <v>41575</v>
      </c>
      <c r="D94" s="1">
        <v>13.8</v>
      </c>
      <c r="E94" s="1">
        <v>11.8</v>
      </c>
      <c r="F94" s="1">
        <v>16.2</v>
      </c>
      <c r="G94" s="1">
        <f t="shared" si="6"/>
        <v>816.79999999999973</v>
      </c>
      <c r="J94" s="1">
        <v>2</v>
      </c>
      <c r="K94" s="1">
        <f t="shared" si="7"/>
        <v>164.20000000000002</v>
      </c>
      <c r="L94" s="1">
        <v>1.7</v>
      </c>
      <c r="M94" s="1">
        <f t="shared" si="8"/>
        <v>79.599999999999994</v>
      </c>
      <c r="N94" s="1">
        <f t="shared" si="5"/>
        <v>0.30000000000000004</v>
      </c>
      <c r="O94" s="1">
        <v>104.80000000000001</v>
      </c>
      <c r="P94" s="1">
        <v>55</v>
      </c>
      <c r="Q94" s="1">
        <f t="shared" si="11"/>
        <v>0.81718749999999996</v>
      </c>
      <c r="R94" s="9">
        <f t="shared" si="2"/>
        <v>1.3892187499999999</v>
      </c>
      <c r="S94" s="9">
        <f t="shared" si="3"/>
        <v>0.61078125000000005</v>
      </c>
      <c r="T94" s="9">
        <f t="shared" si="10"/>
        <v>129.40453125000002</v>
      </c>
      <c r="V94" s="10">
        <v>523.5</v>
      </c>
      <c r="W94" s="1">
        <f t="shared" si="4"/>
        <v>37.934782608695649</v>
      </c>
      <c r="X94" s="1">
        <f t="shared" si="9"/>
        <v>38982.60000000002</v>
      </c>
      <c r="AA94" s="1">
        <v>10.2565264226662</v>
      </c>
    </row>
    <row r="95" spans="1:27" s="1" customFormat="1" x14ac:dyDescent="0.25">
      <c r="A95" s="79"/>
      <c r="B95" s="7"/>
      <c r="C95" s="3">
        <v>41576</v>
      </c>
      <c r="D95" s="1">
        <v>8.6</v>
      </c>
      <c r="E95" s="1">
        <v>6.8</v>
      </c>
      <c r="F95" s="1">
        <v>14.2</v>
      </c>
      <c r="G95" s="1">
        <f t="shared" si="6"/>
        <v>825.39999999999975</v>
      </c>
      <c r="J95" s="1">
        <v>0.6</v>
      </c>
      <c r="K95" s="1">
        <f t="shared" si="7"/>
        <v>164.8</v>
      </c>
      <c r="L95" s="1">
        <v>1.4</v>
      </c>
      <c r="M95" s="1">
        <f t="shared" si="8"/>
        <v>81</v>
      </c>
      <c r="N95" s="5">
        <f t="shared" si="5"/>
        <v>-0.79999999999999993</v>
      </c>
      <c r="O95" s="1">
        <v>104.00000000000001</v>
      </c>
      <c r="P95" s="1">
        <v>56</v>
      </c>
      <c r="Q95" s="1">
        <f t="shared" si="11"/>
        <v>0.82734375000000004</v>
      </c>
      <c r="R95" s="9">
        <f t="shared" si="2"/>
        <v>1.1582812499999999</v>
      </c>
      <c r="S95" s="9">
        <f t="shared" si="3"/>
        <v>-0.55828124999999995</v>
      </c>
      <c r="T95" s="9">
        <f t="shared" si="10"/>
        <v>128.84625000000003</v>
      </c>
      <c r="V95" s="10">
        <v>639.5</v>
      </c>
      <c r="W95" s="1">
        <f t="shared" si="4"/>
        <v>74.360465116279073</v>
      </c>
      <c r="X95" s="1">
        <f t="shared" si="9"/>
        <v>39622.10000000002</v>
      </c>
      <c r="AA95" s="1">
        <v>10.2039131374726</v>
      </c>
    </row>
    <row r="96" spans="1:27" s="1" customFormat="1" x14ac:dyDescent="0.25">
      <c r="A96" s="79"/>
      <c r="B96" s="7"/>
      <c r="C96" s="3">
        <v>41577</v>
      </c>
      <c r="D96" s="1">
        <v>6.5</v>
      </c>
      <c r="E96" s="12">
        <v>1.9</v>
      </c>
      <c r="F96" s="1">
        <v>13.5</v>
      </c>
      <c r="G96" s="1">
        <f t="shared" si="6"/>
        <v>831.89999999999975</v>
      </c>
      <c r="J96" s="1">
        <v>0</v>
      </c>
      <c r="K96" s="1">
        <f t="shared" si="7"/>
        <v>164.8</v>
      </c>
      <c r="L96" s="1">
        <v>1.2</v>
      </c>
      <c r="M96" s="1">
        <f t="shared" si="8"/>
        <v>82.2</v>
      </c>
      <c r="N96" s="5">
        <f t="shared" si="5"/>
        <v>-1.2</v>
      </c>
      <c r="O96" s="1">
        <v>102.80000000000001</v>
      </c>
      <c r="P96" s="1">
        <v>57</v>
      </c>
      <c r="Q96" s="1">
        <f t="shared" si="11"/>
        <v>0.83750000000000002</v>
      </c>
      <c r="R96" s="9">
        <f t="shared" si="2"/>
        <v>1.0049999999999999</v>
      </c>
      <c r="S96" s="9">
        <f t="shared" si="3"/>
        <v>-1.0049999999999999</v>
      </c>
      <c r="T96" s="9">
        <f t="shared" si="10"/>
        <v>127.84125000000003</v>
      </c>
      <c r="V96" s="1">
        <v>918.6</v>
      </c>
      <c r="W96" s="1">
        <f t="shared" si="4"/>
        <v>141.32307692307694</v>
      </c>
      <c r="X96" s="1">
        <f t="shared" si="9"/>
        <v>40540.700000000019</v>
      </c>
      <c r="AA96" s="1">
        <v>10.151615659159599</v>
      </c>
    </row>
    <row r="97" spans="1:27" s="1" customFormat="1" x14ac:dyDescent="0.25">
      <c r="A97" s="79"/>
      <c r="B97" s="7"/>
      <c r="C97" s="3">
        <v>41578</v>
      </c>
      <c r="D97" s="1">
        <v>8.3000000000000007</v>
      </c>
      <c r="E97" s="12">
        <v>2</v>
      </c>
      <c r="F97" s="1">
        <v>13.5</v>
      </c>
      <c r="G97" s="1">
        <f t="shared" si="6"/>
        <v>840.1999999999997</v>
      </c>
      <c r="J97" s="1">
        <v>0.2</v>
      </c>
      <c r="K97" s="1">
        <f t="shared" si="7"/>
        <v>165</v>
      </c>
      <c r="L97" s="1">
        <v>1.1000000000000001</v>
      </c>
      <c r="M97" s="1">
        <f t="shared" si="8"/>
        <v>83.3</v>
      </c>
      <c r="N97" s="5">
        <f t="shared" si="5"/>
        <v>-0.90000000000000013</v>
      </c>
      <c r="O97" s="1">
        <v>101.9</v>
      </c>
      <c r="P97" s="1">
        <v>58</v>
      </c>
      <c r="Q97" s="1">
        <f t="shared" si="11"/>
        <v>0.84765625</v>
      </c>
      <c r="R97" s="9">
        <f t="shared" si="2"/>
        <v>0.93242187500000007</v>
      </c>
      <c r="S97" s="9">
        <f t="shared" si="3"/>
        <v>-0.732421875</v>
      </c>
      <c r="T97" s="9">
        <f t="shared" si="10"/>
        <v>127.10882812500003</v>
      </c>
      <c r="V97" s="1">
        <v>1005.7</v>
      </c>
      <c r="W97" s="1">
        <f t="shared" si="4"/>
        <v>121.16867469879517</v>
      </c>
      <c r="X97" s="1">
        <f t="shared" si="9"/>
        <v>41546.400000000016</v>
      </c>
      <c r="AA97" s="1">
        <v>10.0996510401721</v>
      </c>
    </row>
    <row r="98" spans="1:27" s="1" customFormat="1" x14ac:dyDescent="0.25">
      <c r="A98" s="79"/>
      <c r="B98" s="7"/>
      <c r="C98" s="3">
        <v>41579</v>
      </c>
      <c r="D98" s="1">
        <v>9.6</v>
      </c>
      <c r="E98" s="1">
        <v>8.9</v>
      </c>
      <c r="F98" s="1">
        <v>14.8</v>
      </c>
      <c r="G98" s="1">
        <f t="shared" si="6"/>
        <v>849.79999999999973</v>
      </c>
      <c r="J98" s="1">
        <v>17.2</v>
      </c>
      <c r="K98" s="1">
        <f t="shared" si="7"/>
        <v>182.2</v>
      </c>
      <c r="L98" s="1">
        <v>1.5</v>
      </c>
      <c r="M98" s="1">
        <f t="shared" si="8"/>
        <v>84.8</v>
      </c>
      <c r="N98" s="1">
        <f t="shared" si="5"/>
        <v>15.7</v>
      </c>
      <c r="O98" s="1">
        <v>117.60000000000001</v>
      </c>
      <c r="P98" s="1">
        <v>59</v>
      </c>
      <c r="Q98" s="1">
        <f t="shared" si="11"/>
        <v>0.85781249999999998</v>
      </c>
      <c r="R98" s="9">
        <f t="shared" si="2"/>
        <v>1.2867187499999999</v>
      </c>
      <c r="S98" s="9">
        <f t="shared" si="3"/>
        <v>15.913281249999999</v>
      </c>
      <c r="T98" s="9">
        <f t="shared" si="10"/>
        <v>138.9</v>
      </c>
      <c r="V98" s="10">
        <v>163.1</v>
      </c>
      <c r="W98" s="1">
        <f t="shared" si="4"/>
        <v>16.989583333333332</v>
      </c>
      <c r="X98" s="1">
        <f t="shared" si="9"/>
        <v>41709.500000000015</v>
      </c>
      <c r="AA98" s="1">
        <v>10.048036933755901</v>
      </c>
    </row>
    <row r="99" spans="1:27" s="1" customFormat="1" x14ac:dyDescent="0.25">
      <c r="A99" s="79"/>
      <c r="B99" s="7"/>
      <c r="C99" s="3">
        <v>41580</v>
      </c>
      <c r="D99" s="1">
        <v>13.9</v>
      </c>
      <c r="E99" s="1">
        <v>9.6999999999999993</v>
      </c>
      <c r="F99" s="1">
        <v>15.4</v>
      </c>
      <c r="G99" s="1">
        <f t="shared" si="6"/>
        <v>863.6999999999997</v>
      </c>
      <c r="J99" s="1">
        <v>3.2</v>
      </c>
      <c r="K99" s="1">
        <f t="shared" si="7"/>
        <v>185.39999999999998</v>
      </c>
      <c r="L99" s="1">
        <v>0.2</v>
      </c>
      <c r="M99" s="1">
        <f t="shared" si="8"/>
        <v>85</v>
      </c>
      <c r="N99" s="1">
        <f t="shared" si="5"/>
        <v>3</v>
      </c>
      <c r="O99" s="1">
        <v>120.60000000000001</v>
      </c>
      <c r="P99" s="1">
        <v>60</v>
      </c>
      <c r="Q99" s="1">
        <f t="shared" si="11"/>
        <v>0.86796874999999996</v>
      </c>
      <c r="R99" s="9">
        <f t="shared" si="2"/>
        <v>0.17359374999999999</v>
      </c>
      <c r="S99" s="9">
        <f t="shared" si="3"/>
        <v>3.02640625</v>
      </c>
      <c r="T99" s="9">
        <f t="shared" si="10"/>
        <v>138.9</v>
      </c>
      <c r="V99" s="10">
        <v>200.5</v>
      </c>
      <c r="W99" s="1">
        <f t="shared" si="4"/>
        <v>14.424460431654676</v>
      </c>
      <c r="X99" s="1">
        <f t="shared" si="9"/>
        <v>41910.000000000015</v>
      </c>
      <c r="AA99" s="1">
        <v>9.9967916014417408</v>
      </c>
    </row>
    <row r="100" spans="1:27" s="1" customFormat="1" x14ac:dyDescent="0.25">
      <c r="A100" s="79"/>
      <c r="B100" s="7"/>
      <c r="C100" s="3">
        <v>41581</v>
      </c>
      <c r="D100" s="1">
        <v>10.4</v>
      </c>
      <c r="E100" s="1">
        <v>7.3</v>
      </c>
      <c r="F100" s="1">
        <v>12.4</v>
      </c>
      <c r="G100" s="1">
        <f t="shared" si="6"/>
        <v>874.09999999999968</v>
      </c>
      <c r="J100" s="1">
        <v>9.6</v>
      </c>
      <c r="K100" s="1">
        <f t="shared" si="7"/>
        <v>194.99999999999997</v>
      </c>
      <c r="L100" s="1">
        <v>1.4</v>
      </c>
      <c r="M100" s="1">
        <f t="shared" si="8"/>
        <v>86.4</v>
      </c>
      <c r="N100" s="1">
        <f t="shared" si="5"/>
        <v>8.1999999999999993</v>
      </c>
      <c r="O100" s="1">
        <v>128.80000000000001</v>
      </c>
      <c r="P100" s="1">
        <v>61</v>
      </c>
      <c r="Q100" s="1">
        <f t="shared" si="11"/>
        <v>0.87812500000000004</v>
      </c>
      <c r="R100" s="9">
        <f t="shared" si="2"/>
        <v>1.2293749999999999</v>
      </c>
      <c r="S100" s="9">
        <f t="shared" si="3"/>
        <v>8.3706250000000004</v>
      </c>
      <c r="T100" s="9">
        <f t="shared" si="10"/>
        <v>138.9</v>
      </c>
      <c r="V100" s="10">
        <v>817.3</v>
      </c>
      <c r="W100" s="1">
        <f t="shared" si="4"/>
        <v>78.586538461538453</v>
      </c>
      <c r="X100" s="1">
        <f t="shared" si="9"/>
        <v>42727.300000000017</v>
      </c>
      <c r="AA100" s="1">
        <v>9.9459339190856593</v>
      </c>
    </row>
    <row r="101" spans="1:27" s="1" customFormat="1" x14ac:dyDescent="0.25">
      <c r="A101" s="79"/>
      <c r="B101" s="7"/>
      <c r="C101" s="3">
        <v>41582</v>
      </c>
      <c r="D101" s="1">
        <v>10</v>
      </c>
      <c r="E101" s="1">
        <v>7.1</v>
      </c>
      <c r="F101" s="1">
        <v>13.4</v>
      </c>
      <c r="G101" s="1">
        <f t="shared" si="6"/>
        <v>884.09999999999968</v>
      </c>
      <c r="J101" s="1">
        <v>5.0999999999999996</v>
      </c>
      <c r="K101" s="1">
        <f t="shared" si="7"/>
        <v>200.09999999999997</v>
      </c>
      <c r="L101" s="1">
        <v>0.5</v>
      </c>
      <c r="M101" s="1">
        <f t="shared" si="8"/>
        <v>86.9</v>
      </c>
      <c r="N101" s="1">
        <f t="shared" si="5"/>
        <v>4.5999999999999996</v>
      </c>
      <c r="O101" s="1">
        <v>133.4</v>
      </c>
      <c r="P101" s="1">
        <v>62</v>
      </c>
      <c r="Q101" s="1">
        <f t="shared" si="11"/>
        <v>0.88828125000000002</v>
      </c>
      <c r="R101" s="9">
        <f t="shared" si="2"/>
        <v>0.44414062500000001</v>
      </c>
      <c r="S101" s="9">
        <f t="shared" si="3"/>
        <v>4.6558593749999995</v>
      </c>
      <c r="T101" s="9">
        <f t="shared" si="10"/>
        <v>138.9</v>
      </c>
      <c r="V101" s="10">
        <v>215.4</v>
      </c>
      <c r="W101" s="1">
        <f t="shared" si="4"/>
        <v>21.54</v>
      </c>
      <c r="X101" s="1">
        <f t="shared" si="9"/>
        <v>42942.700000000019</v>
      </c>
      <c r="AA101" s="1">
        <v>9.8954833813339693</v>
      </c>
    </row>
    <row r="102" spans="1:27" s="1" customFormat="1" x14ac:dyDescent="0.25">
      <c r="A102" s="79"/>
      <c r="B102" s="7"/>
      <c r="C102" s="3">
        <v>41583</v>
      </c>
      <c r="D102" s="1">
        <v>10.199999999999999</v>
      </c>
      <c r="E102" s="12">
        <v>3.6</v>
      </c>
      <c r="F102" s="1">
        <v>14.1</v>
      </c>
      <c r="G102" s="1">
        <f t="shared" si="6"/>
        <v>894.29999999999973</v>
      </c>
      <c r="J102" s="1">
        <v>4.2</v>
      </c>
      <c r="K102" s="1">
        <f t="shared" si="7"/>
        <v>204.29999999999995</v>
      </c>
      <c r="L102" s="1">
        <v>0.2</v>
      </c>
      <c r="M102" s="1">
        <f t="shared" si="8"/>
        <v>87.100000000000009</v>
      </c>
      <c r="N102" s="1">
        <f t="shared" si="5"/>
        <v>4</v>
      </c>
      <c r="O102" s="1">
        <v>137.4</v>
      </c>
      <c r="P102" s="1">
        <v>63</v>
      </c>
      <c r="Q102" s="1">
        <f t="shared" si="11"/>
        <v>0.8984375</v>
      </c>
      <c r="R102" s="9">
        <f t="shared" si="2"/>
        <v>0.1796875</v>
      </c>
      <c r="S102" s="9">
        <f t="shared" si="3"/>
        <v>4.0203125000000002</v>
      </c>
      <c r="T102" s="9">
        <f t="shared" si="10"/>
        <v>138.9</v>
      </c>
      <c r="V102" s="10">
        <v>224.3</v>
      </c>
      <c r="W102" s="1">
        <f t="shared" si="4"/>
        <v>21.990196078431374</v>
      </c>
      <c r="X102" s="1">
        <f t="shared" si="9"/>
        <v>43167.000000000022</v>
      </c>
      <c r="AA102" s="1">
        <v>9.8454601043774108</v>
      </c>
    </row>
    <row r="103" spans="1:27" s="1" customFormat="1" x14ac:dyDescent="0.25">
      <c r="A103" s="79"/>
      <c r="B103" s="7"/>
      <c r="C103" s="3">
        <v>41584</v>
      </c>
      <c r="D103" s="1">
        <v>14.4</v>
      </c>
      <c r="E103" s="1">
        <v>12.1</v>
      </c>
      <c r="F103" s="1">
        <v>15.3</v>
      </c>
      <c r="G103" s="1">
        <f t="shared" si="6"/>
        <v>908.6999999999997</v>
      </c>
      <c r="J103" s="1">
        <v>1.2</v>
      </c>
      <c r="K103" s="1">
        <f t="shared" si="7"/>
        <v>205.49999999999994</v>
      </c>
      <c r="L103" s="1">
        <v>0.6</v>
      </c>
      <c r="M103" s="1">
        <f t="shared" si="8"/>
        <v>87.7</v>
      </c>
      <c r="N103" s="1">
        <f t="shared" si="5"/>
        <v>0.6</v>
      </c>
      <c r="O103" s="1">
        <v>138</v>
      </c>
      <c r="P103" s="1">
        <v>64</v>
      </c>
      <c r="Q103" s="1">
        <f t="shared" si="11"/>
        <v>0.90859374999999998</v>
      </c>
      <c r="R103" s="9">
        <f t="shared" si="2"/>
        <v>0.54515625000000001</v>
      </c>
      <c r="S103" s="9">
        <f t="shared" si="3"/>
        <v>0.65484374999999995</v>
      </c>
      <c r="T103" s="9">
        <f t="shared" si="10"/>
        <v>138.9</v>
      </c>
      <c r="V103" s="10">
        <v>136.69999999999999</v>
      </c>
      <c r="W103" s="1">
        <f t="shared" si="4"/>
        <v>9.4930555555555554</v>
      </c>
      <c r="X103" s="1">
        <f t="shared" si="9"/>
        <v>43303.700000000019</v>
      </c>
      <c r="AA103" s="1">
        <v>9.7958848268537206</v>
      </c>
    </row>
    <row r="104" spans="1:27" s="1" customFormat="1" x14ac:dyDescent="0.25">
      <c r="A104" s="79"/>
      <c r="B104" s="7"/>
      <c r="C104" s="3">
        <v>41585</v>
      </c>
      <c r="D104" s="1">
        <v>14.7</v>
      </c>
      <c r="E104" s="1">
        <v>13.8</v>
      </c>
      <c r="F104" s="1">
        <v>16.899999999999999</v>
      </c>
      <c r="G104" s="1">
        <f t="shared" si="6"/>
        <v>923.39999999999975</v>
      </c>
      <c r="J104" s="1">
        <v>8.1</v>
      </c>
      <c r="K104" s="1">
        <f t="shared" si="7"/>
        <v>213.59999999999994</v>
      </c>
      <c r="L104" s="1">
        <v>1.1000000000000001</v>
      </c>
      <c r="M104" s="1">
        <f t="shared" si="8"/>
        <v>88.8</v>
      </c>
      <c r="N104" s="1">
        <f t="shared" si="5"/>
        <v>7</v>
      </c>
      <c r="O104" s="1">
        <v>138.9</v>
      </c>
      <c r="P104" s="1">
        <v>65</v>
      </c>
      <c r="Q104" s="1">
        <f t="shared" si="11"/>
        <v>0.91874999999999996</v>
      </c>
      <c r="R104" s="9">
        <f t="shared" ref="R104:R167" si="12">Q104*L104</f>
        <v>1.0106250000000001</v>
      </c>
      <c r="S104" s="9">
        <f t="shared" ref="S104:S167" si="13">J104-R104</f>
        <v>7.0893749999999995</v>
      </c>
      <c r="T104" s="9">
        <f t="shared" si="10"/>
        <v>138.9</v>
      </c>
      <c r="V104" s="10">
        <v>229.2</v>
      </c>
      <c r="W104" s="1">
        <f t="shared" ref="W104:W167" si="14">V104/D104</f>
        <v>15.591836734693878</v>
      </c>
      <c r="X104" s="1">
        <f t="shared" si="9"/>
        <v>43532.900000000016</v>
      </c>
      <c r="AA104" s="1">
        <v>9.7467789087550205</v>
      </c>
    </row>
    <row r="105" spans="1:27" s="1" customFormat="1" x14ac:dyDescent="0.25">
      <c r="A105" s="79"/>
      <c r="B105" s="7"/>
      <c r="C105" s="3">
        <v>41586</v>
      </c>
      <c r="D105" s="1">
        <v>11.7</v>
      </c>
      <c r="E105" s="1">
        <v>11.5</v>
      </c>
      <c r="F105" s="1">
        <v>14</v>
      </c>
      <c r="G105" s="1">
        <f t="shared" si="6"/>
        <v>935.0999999999998</v>
      </c>
      <c r="J105" s="1">
        <v>11.3</v>
      </c>
      <c r="K105" s="1">
        <f t="shared" si="7"/>
        <v>224.89999999999995</v>
      </c>
      <c r="L105" s="1">
        <v>0.7</v>
      </c>
      <c r="M105" s="1">
        <f t="shared" si="8"/>
        <v>89.5</v>
      </c>
      <c r="N105" s="1">
        <f t="shared" ref="N105:N168" si="15">J105-L105</f>
        <v>10.600000000000001</v>
      </c>
      <c r="O105" s="1">
        <v>138.9</v>
      </c>
      <c r="P105" s="1">
        <v>66</v>
      </c>
      <c r="Q105" s="1">
        <f t="shared" si="11"/>
        <v>0.92890625000000004</v>
      </c>
      <c r="R105" s="9">
        <f t="shared" si="12"/>
        <v>0.65023437500000003</v>
      </c>
      <c r="S105" s="9">
        <f t="shared" si="13"/>
        <v>10.649765625000001</v>
      </c>
      <c r="T105" s="9">
        <f t="shared" si="10"/>
        <v>138.9</v>
      </c>
      <c r="V105" s="10">
        <v>149.80000000000001</v>
      </c>
      <c r="W105" s="1">
        <f t="shared" si="14"/>
        <v>12.803418803418806</v>
      </c>
      <c r="X105" s="1">
        <f t="shared" si="9"/>
        <v>43682.700000000019</v>
      </c>
      <c r="AA105" s="1">
        <v>9.6981643281934709</v>
      </c>
    </row>
    <row r="106" spans="1:27" s="1" customFormat="1" x14ac:dyDescent="0.25">
      <c r="A106" s="79"/>
      <c r="B106" s="7"/>
      <c r="C106" s="3">
        <v>41587</v>
      </c>
      <c r="D106" s="1">
        <v>8.4</v>
      </c>
      <c r="E106" s="1">
        <v>5.0999999999999996</v>
      </c>
      <c r="F106" s="1">
        <v>11.2</v>
      </c>
      <c r="G106" s="1">
        <f t="shared" ref="G106:G169" si="16">G105+D106</f>
        <v>943.49999999999977</v>
      </c>
      <c r="J106" s="1">
        <v>18</v>
      </c>
      <c r="K106" s="1">
        <f t="shared" ref="K106:K169" si="17">K105+J106</f>
        <v>242.89999999999995</v>
      </c>
      <c r="L106" s="1">
        <v>0.4</v>
      </c>
      <c r="M106" s="1">
        <f t="shared" ref="M106:M169" si="18">M105+L106</f>
        <v>89.9</v>
      </c>
      <c r="N106" s="1">
        <f t="shared" si="15"/>
        <v>17.600000000000001</v>
      </c>
      <c r="O106" s="1">
        <v>138.9</v>
      </c>
      <c r="P106" s="1">
        <v>67</v>
      </c>
      <c r="Q106" s="1">
        <f t="shared" si="11"/>
        <v>0.93906250000000002</v>
      </c>
      <c r="R106" s="9">
        <f t="shared" si="12"/>
        <v>0.37562500000000004</v>
      </c>
      <c r="S106" s="9">
        <f t="shared" si="13"/>
        <v>17.624375000000001</v>
      </c>
      <c r="T106" s="9">
        <f t="shared" si="10"/>
        <v>138.9</v>
      </c>
      <c r="V106" s="10">
        <v>223.2</v>
      </c>
      <c r="W106" s="1">
        <f t="shared" si="14"/>
        <v>26.571428571428569</v>
      </c>
      <c r="X106" s="1">
        <f t="shared" ref="X106:X169" si="19">X105+V106</f>
        <v>43905.900000000016</v>
      </c>
      <c r="AA106" s="1">
        <v>9.6500636758766998</v>
      </c>
    </row>
    <row r="107" spans="1:27" s="1" customFormat="1" x14ac:dyDescent="0.25">
      <c r="A107" s="79"/>
      <c r="B107" s="7"/>
      <c r="C107" s="3">
        <v>41588</v>
      </c>
      <c r="D107" s="1">
        <v>8.1999999999999993</v>
      </c>
      <c r="E107" s="1">
        <v>5.9</v>
      </c>
      <c r="F107" s="1">
        <v>11.1</v>
      </c>
      <c r="G107" s="1">
        <f t="shared" si="16"/>
        <v>951.69999999999982</v>
      </c>
      <c r="J107" s="1">
        <v>0.4</v>
      </c>
      <c r="K107" s="1">
        <f t="shared" si="17"/>
        <v>243.29999999999995</v>
      </c>
      <c r="L107" s="1">
        <v>0.9</v>
      </c>
      <c r="M107" s="1">
        <f t="shared" si="18"/>
        <v>90.800000000000011</v>
      </c>
      <c r="N107" s="5">
        <f t="shared" si="15"/>
        <v>-0.5</v>
      </c>
      <c r="O107" s="1">
        <v>138.4</v>
      </c>
      <c r="P107" s="1">
        <v>68</v>
      </c>
      <c r="Q107" s="1">
        <f t="shared" si="11"/>
        <v>0.94921875</v>
      </c>
      <c r="R107" s="9">
        <f t="shared" si="12"/>
        <v>0.85429687500000007</v>
      </c>
      <c r="S107" s="9">
        <f t="shared" si="13"/>
        <v>-0.45429687500000004</v>
      </c>
      <c r="T107" s="9">
        <f t="shared" si="10"/>
        <v>138.44570312499999</v>
      </c>
      <c r="V107" s="10">
        <v>301.5</v>
      </c>
      <c r="W107" s="1">
        <f t="shared" si="14"/>
        <v>36.768292682926834</v>
      </c>
      <c r="X107" s="1">
        <f t="shared" si="19"/>
        <v>44207.400000000016</v>
      </c>
      <c r="AA107" s="1">
        <v>9.6025001471440703</v>
      </c>
    </row>
    <row r="108" spans="1:27" s="1" customFormat="1" x14ac:dyDescent="0.25">
      <c r="A108" s="79"/>
      <c r="B108" s="7"/>
      <c r="C108" s="3">
        <v>41589</v>
      </c>
      <c r="D108" s="1">
        <v>6</v>
      </c>
      <c r="E108" s="12">
        <v>0.4</v>
      </c>
      <c r="F108" s="1">
        <v>9.6</v>
      </c>
      <c r="G108" s="1">
        <f t="shared" si="16"/>
        <v>957.69999999999982</v>
      </c>
      <c r="J108" s="1">
        <v>0</v>
      </c>
      <c r="K108" s="1">
        <f t="shared" si="17"/>
        <v>243.29999999999995</v>
      </c>
      <c r="L108" s="1">
        <v>0.5</v>
      </c>
      <c r="M108" s="1">
        <f t="shared" si="18"/>
        <v>91.300000000000011</v>
      </c>
      <c r="N108" s="5">
        <f t="shared" si="15"/>
        <v>-0.5</v>
      </c>
      <c r="O108" s="1">
        <v>137.9</v>
      </c>
      <c r="P108" s="1">
        <v>69</v>
      </c>
      <c r="Q108" s="1">
        <f t="shared" si="11"/>
        <v>0.95937499999999998</v>
      </c>
      <c r="R108" s="9">
        <f t="shared" si="12"/>
        <v>0.47968749999999999</v>
      </c>
      <c r="S108" s="9">
        <f t="shared" si="13"/>
        <v>-0.47968749999999999</v>
      </c>
      <c r="T108" s="9">
        <f t="shared" si="10"/>
        <v>137.96601562499998</v>
      </c>
      <c r="V108" s="10">
        <v>238.5</v>
      </c>
      <c r="W108" s="1">
        <f t="shared" si="14"/>
        <v>39.75</v>
      </c>
      <c r="X108" s="1">
        <f t="shared" si="19"/>
        <v>44445.900000000016</v>
      </c>
      <c r="AA108" s="1">
        <v>9.5554975314147406</v>
      </c>
    </row>
    <row r="109" spans="1:27" s="1" customFormat="1" x14ac:dyDescent="0.25">
      <c r="A109" s="79"/>
      <c r="B109" s="7"/>
      <c r="C109" s="3">
        <v>41590</v>
      </c>
      <c r="D109" s="1">
        <v>9.3000000000000007</v>
      </c>
      <c r="E109" s="1">
        <v>7.9</v>
      </c>
      <c r="F109" s="1">
        <v>10.4</v>
      </c>
      <c r="G109" s="1">
        <f t="shared" si="16"/>
        <v>966.99999999999977</v>
      </c>
      <c r="J109" s="1">
        <v>2.2000000000000002</v>
      </c>
      <c r="K109" s="1">
        <f t="shared" si="17"/>
        <v>245.49999999999994</v>
      </c>
      <c r="L109" s="1">
        <v>0.5</v>
      </c>
      <c r="M109" s="1">
        <f t="shared" si="18"/>
        <v>91.800000000000011</v>
      </c>
      <c r="N109" s="1">
        <f t="shared" si="15"/>
        <v>1.7000000000000002</v>
      </c>
      <c r="O109" s="1">
        <v>138.9</v>
      </c>
      <c r="P109" s="1">
        <v>70</v>
      </c>
      <c r="Q109" s="1">
        <f t="shared" si="11"/>
        <v>0.96953124999999996</v>
      </c>
      <c r="R109" s="9">
        <f t="shared" si="12"/>
        <v>0.48476562499999998</v>
      </c>
      <c r="S109" s="9">
        <f t="shared" si="13"/>
        <v>1.7152343750000001</v>
      </c>
      <c r="T109" s="9">
        <f t="shared" ref="T109:T172" si="20">MIN(138.9,(T108+S109))</f>
        <v>138.9</v>
      </c>
      <c r="V109" s="10">
        <v>208.5</v>
      </c>
      <c r="W109" s="1">
        <f t="shared" si="14"/>
        <v>22.419354838709676</v>
      </c>
      <c r="X109" s="1">
        <f t="shared" si="19"/>
        <v>44654.400000000016</v>
      </c>
      <c r="AA109" s="1">
        <v>9.5090801989006994</v>
      </c>
    </row>
    <row r="110" spans="1:27" s="1" customFormat="1" x14ac:dyDescent="0.25">
      <c r="A110" s="79"/>
      <c r="B110" s="7"/>
      <c r="C110" s="3">
        <v>41591</v>
      </c>
      <c r="D110" s="1">
        <v>7.8</v>
      </c>
      <c r="E110" s="1">
        <v>5.3</v>
      </c>
      <c r="F110" s="1">
        <v>10.9</v>
      </c>
      <c r="G110" s="1">
        <f t="shared" si="16"/>
        <v>974.79999999999973</v>
      </c>
      <c r="J110" s="1">
        <v>0.1</v>
      </c>
      <c r="K110" s="1">
        <f t="shared" si="17"/>
        <v>245.59999999999994</v>
      </c>
      <c r="L110" s="1">
        <v>0.5</v>
      </c>
      <c r="M110" s="1">
        <f t="shared" si="18"/>
        <v>92.300000000000011</v>
      </c>
      <c r="N110" s="5">
        <f t="shared" si="15"/>
        <v>-0.4</v>
      </c>
      <c r="O110" s="1">
        <v>138.5</v>
      </c>
      <c r="P110" s="1">
        <v>71</v>
      </c>
      <c r="Q110" s="1">
        <f t="shared" si="11"/>
        <v>0.97968750000000004</v>
      </c>
      <c r="R110" s="9">
        <f t="shared" si="12"/>
        <v>0.48984375000000002</v>
      </c>
      <c r="S110" s="9">
        <f t="shared" si="13"/>
        <v>-0.38984375000000004</v>
      </c>
      <c r="T110" s="9">
        <f t="shared" si="20"/>
        <v>138.51015624999999</v>
      </c>
      <c r="V110" s="10">
        <v>351</v>
      </c>
      <c r="W110" s="1">
        <f t="shared" si="14"/>
        <v>45</v>
      </c>
      <c r="X110" s="1">
        <f t="shared" si="19"/>
        <v>45005.400000000016</v>
      </c>
      <c r="AA110" s="1">
        <v>9.4632730844407895</v>
      </c>
    </row>
    <row r="111" spans="1:27" s="1" customFormat="1" x14ac:dyDescent="0.25">
      <c r="A111" s="79"/>
      <c r="B111" s="7"/>
      <c r="C111" s="3">
        <v>41592</v>
      </c>
      <c r="D111" s="1">
        <v>5.0999999999999996</v>
      </c>
      <c r="E111" s="12">
        <v>1.6</v>
      </c>
      <c r="F111" s="1">
        <v>9.5</v>
      </c>
      <c r="G111" s="1">
        <f t="shared" si="16"/>
        <v>979.89999999999975</v>
      </c>
      <c r="J111" s="1">
        <v>3.2</v>
      </c>
      <c r="K111" s="1">
        <f t="shared" si="17"/>
        <v>248.79999999999993</v>
      </c>
      <c r="L111" s="1">
        <v>0.5</v>
      </c>
      <c r="M111" s="1">
        <f t="shared" si="18"/>
        <v>92.800000000000011</v>
      </c>
      <c r="N111" s="1">
        <f t="shared" si="15"/>
        <v>2.7</v>
      </c>
      <c r="O111" s="1">
        <v>138.9</v>
      </c>
      <c r="P111" s="1">
        <v>72</v>
      </c>
      <c r="Q111" s="1">
        <f t="shared" si="11"/>
        <v>0.98984375000000002</v>
      </c>
      <c r="R111" s="9">
        <f t="shared" si="12"/>
        <v>0.49492187500000001</v>
      </c>
      <c r="S111" s="9">
        <f t="shared" si="13"/>
        <v>2.705078125</v>
      </c>
      <c r="T111" s="9">
        <f t="shared" si="20"/>
        <v>138.9</v>
      </c>
      <c r="V111" s="10">
        <v>324.7</v>
      </c>
      <c r="W111" s="1">
        <f t="shared" si="14"/>
        <v>63.666666666666671</v>
      </c>
      <c r="X111" s="1">
        <f t="shared" si="19"/>
        <v>45330.100000000013</v>
      </c>
      <c r="AA111" s="1">
        <v>9.4181016683168792</v>
      </c>
    </row>
    <row r="112" spans="1:27" s="15" customFormat="1" x14ac:dyDescent="0.25">
      <c r="A112" s="79"/>
      <c r="B112" s="13"/>
      <c r="C112" s="14">
        <v>41593</v>
      </c>
      <c r="D112" s="15">
        <v>6.1</v>
      </c>
      <c r="E112" s="15">
        <v>4</v>
      </c>
      <c r="F112" s="15">
        <v>8.1999999999999993</v>
      </c>
      <c r="G112" s="15">
        <f t="shared" si="16"/>
        <v>985.99999999999977</v>
      </c>
      <c r="J112" s="15">
        <v>0.6</v>
      </c>
      <c r="K112" s="15">
        <f t="shared" si="17"/>
        <v>249.39999999999992</v>
      </c>
      <c r="L112" s="15">
        <v>0.6</v>
      </c>
      <c r="M112" s="15">
        <f t="shared" si="18"/>
        <v>93.4</v>
      </c>
      <c r="N112" s="15">
        <f t="shared" si="15"/>
        <v>0</v>
      </c>
      <c r="O112" s="15">
        <v>138.9</v>
      </c>
      <c r="P112" s="15">
        <v>73</v>
      </c>
      <c r="Q112" s="1">
        <f t="shared" si="11"/>
        <v>1</v>
      </c>
      <c r="R112" s="16">
        <f t="shared" si="12"/>
        <v>0.6</v>
      </c>
      <c r="S112" s="16">
        <f t="shared" si="13"/>
        <v>0</v>
      </c>
      <c r="T112" s="9">
        <f t="shared" si="20"/>
        <v>138.9</v>
      </c>
      <c r="V112" s="15">
        <v>283.8</v>
      </c>
      <c r="W112" s="15">
        <f t="shared" si="14"/>
        <v>46.524590163934434</v>
      </c>
      <c r="X112" s="15">
        <f t="shared" si="19"/>
        <v>45613.900000000016</v>
      </c>
      <c r="AA112" s="1">
        <v>9.3735919539195294</v>
      </c>
    </row>
    <row r="113" spans="1:27" s="1" customFormat="1" x14ac:dyDescent="0.25">
      <c r="A113" s="80" t="s">
        <v>19</v>
      </c>
      <c r="B113" s="17"/>
      <c r="C113" s="3">
        <v>41594</v>
      </c>
      <c r="D113" s="12">
        <v>3.4</v>
      </c>
      <c r="E113" s="12">
        <v>0.7</v>
      </c>
      <c r="F113" s="1">
        <v>5.9</v>
      </c>
      <c r="G113" s="1">
        <f t="shared" si="16"/>
        <v>989.39999999999975</v>
      </c>
      <c r="H113" s="1">
        <f>D113</f>
        <v>3.4</v>
      </c>
      <c r="I113" s="18" t="s">
        <v>3</v>
      </c>
      <c r="J113" s="1">
        <v>0</v>
      </c>
      <c r="K113" s="1">
        <f t="shared" si="17"/>
        <v>249.39999999999992</v>
      </c>
      <c r="L113" s="1">
        <v>0.5</v>
      </c>
      <c r="M113" s="1">
        <f t="shared" si="18"/>
        <v>93.9</v>
      </c>
      <c r="N113" s="5">
        <f t="shared" si="15"/>
        <v>-0.5</v>
      </c>
      <c r="O113" s="1">
        <v>138.4</v>
      </c>
      <c r="P113" s="1">
        <v>74</v>
      </c>
      <c r="Q113" s="1">
        <v>1</v>
      </c>
      <c r="R113" s="9">
        <f t="shared" si="12"/>
        <v>0.5</v>
      </c>
      <c r="S113" s="9">
        <f t="shared" si="13"/>
        <v>-0.5</v>
      </c>
      <c r="T113" s="9">
        <f t="shared" si="20"/>
        <v>138.4</v>
      </c>
      <c r="U113" s="18" t="s">
        <v>4</v>
      </c>
      <c r="V113" s="10">
        <v>242.1</v>
      </c>
      <c r="W113" s="1">
        <f t="shared" si="14"/>
        <v>71.205882352941174</v>
      </c>
      <c r="X113" s="1">
        <f t="shared" si="19"/>
        <v>45856.000000000015</v>
      </c>
      <c r="Y113" s="1">
        <f>V113</f>
        <v>242.1</v>
      </c>
      <c r="Z113" s="18" t="s">
        <v>5</v>
      </c>
      <c r="AA113" s="1">
        <v>9.3297704421394307</v>
      </c>
    </row>
    <row r="114" spans="1:27" s="1" customFormat="1" x14ac:dyDescent="0.25">
      <c r="A114" s="80"/>
      <c r="B114" s="7"/>
      <c r="C114" s="3">
        <v>41595</v>
      </c>
      <c r="D114" s="12">
        <v>4.5999999999999996</v>
      </c>
      <c r="E114" s="12">
        <v>3.3</v>
      </c>
      <c r="F114" s="1">
        <v>5.3</v>
      </c>
      <c r="G114" s="1">
        <f t="shared" si="16"/>
        <v>993.99999999999977</v>
      </c>
      <c r="H114" s="1">
        <f>H113+D114</f>
        <v>8</v>
      </c>
      <c r="I114" s="1">
        <f>MIN(E113:E149)</f>
        <v>-4</v>
      </c>
      <c r="J114" s="1">
        <v>0</v>
      </c>
      <c r="K114" s="1">
        <f t="shared" si="17"/>
        <v>249.39999999999992</v>
      </c>
      <c r="L114" s="1">
        <v>0.3</v>
      </c>
      <c r="M114" s="1">
        <f t="shared" si="18"/>
        <v>94.2</v>
      </c>
      <c r="N114" s="5">
        <f t="shared" si="15"/>
        <v>-0.3</v>
      </c>
      <c r="O114" s="1">
        <v>138.1</v>
      </c>
      <c r="P114" s="1">
        <v>75</v>
      </c>
      <c r="Q114" s="1">
        <v>1</v>
      </c>
      <c r="R114" s="9">
        <f t="shared" si="12"/>
        <v>0.3</v>
      </c>
      <c r="S114" s="9">
        <f t="shared" si="13"/>
        <v>-0.3</v>
      </c>
      <c r="T114" s="9">
        <f t="shared" si="20"/>
        <v>138.1</v>
      </c>
      <c r="U114" s="1">
        <v>30</v>
      </c>
      <c r="V114" s="10">
        <v>181.2</v>
      </c>
      <c r="W114" s="1">
        <f t="shared" si="14"/>
        <v>39.391304347826086</v>
      </c>
      <c r="X114" s="1">
        <f t="shared" si="19"/>
        <v>46037.200000000012</v>
      </c>
      <c r="Y114" s="1">
        <f>Y113+V114</f>
        <v>423.29999999999995</v>
      </c>
      <c r="Z114" s="1">
        <v>13136.5</v>
      </c>
      <c r="AA114" s="1">
        <v>9.2866641023712209</v>
      </c>
    </row>
    <row r="115" spans="1:27" s="1" customFormat="1" x14ac:dyDescent="0.25">
      <c r="A115" s="80"/>
      <c r="B115" s="7"/>
      <c r="C115" s="3">
        <v>41596</v>
      </c>
      <c r="D115" s="12">
        <v>3.9</v>
      </c>
      <c r="E115" s="12">
        <v>4</v>
      </c>
      <c r="F115" s="12">
        <v>4.5999999999999996</v>
      </c>
      <c r="G115" s="1">
        <f t="shared" si="16"/>
        <v>997.89999999999975</v>
      </c>
      <c r="H115" s="1">
        <f t="shared" ref="H115:H178" si="21">H114+D115</f>
        <v>11.9</v>
      </c>
      <c r="I115" s="18" t="s">
        <v>6</v>
      </c>
      <c r="J115" s="1">
        <v>0</v>
      </c>
      <c r="K115" s="1">
        <f t="shared" si="17"/>
        <v>249.39999999999992</v>
      </c>
      <c r="L115" s="1">
        <v>0.5</v>
      </c>
      <c r="M115" s="1">
        <f t="shared" si="18"/>
        <v>94.7</v>
      </c>
      <c r="N115" s="5">
        <f t="shared" si="15"/>
        <v>-0.5</v>
      </c>
      <c r="O115" s="1">
        <v>137.6</v>
      </c>
      <c r="P115" s="1">
        <v>76</v>
      </c>
      <c r="Q115" s="1">
        <v>1</v>
      </c>
      <c r="R115" s="9">
        <f t="shared" si="12"/>
        <v>0.5</v>
      </c>
      <c r="S115" s="9">
        <f t="shared" si="13"/>
        <v>-0.5</v>
      </c>
      <c r="T115" s="9">
        <f t="shared" si="20"/>
        <v>137.6</v>
      </c>
      <c r="U115" s="18" t="s">
        <v>7</v>
      </c>
      <c r="V115" s="10">
        <v>201.2</v>
      </c>
      <c r="W115" s="1">
        <f t="shared" si="14"/>
        <v>51.589743589743591</v>
      </c>
      <c r="X115" s="1">
        <f t="shared" si="19"/>
        <v>46238.400000000009</v>
      </c>
      <c r="Y115" s="1">
        <f t="shared" ref="Y115:Y178" si="22">Y114+V115</f>
        <v>624.5</v>
      </c>
      <c r="Z115" s="18" t="s">
        <v>8</v>
      </c>
      <c r="AA115" s="1">
        <v>9.2443003400289498</v>
      </c>
    </row>
    <row r="116" spans="1:27" s="1" customFormat="1" x14ac:dyDescent="0.25">
      <c r="A116" s="80"/>
      <c r="B116" s="7"/>
      <c r="C116" s="3">
        <v>41597</v>
      </c>
      <c r="D116" s="12">
        <v>3.6</v>
      </c>
      <c r="E116" s="12">
        <v>0.9</v>
      </c>
      <c r="F116" s="1">
        <v>6.8</v>
      </c>
      <c r="G116" s="1">
        <f t="shared" si="16"/>
        <v>1001.4999999999998</v>
      </c>
      <c r="H116" s="1">
        <f t="shared" si="21"/>
        <v>15.5</v>
      </c>
      <c r="I116" s="1">
        <f>MAX(F113:F149)</f>
        <v>11.4</v>
      </c>
      <c r="J116" s="1">
        <v>2.2000000000000002</v>
      </c>
      <c r="K116" s="1">
        <f t="shared" si="17"/>
        <v>251.59999999999991</v>
      </c>
      <c r="L116" s="1">
        <v>0.4</v>
      </c>
      <c r="M116" s="1">
        <f t="shared" si="18"/>
        <v>95.100000000000009</v>
      </c>
      <c r="N116" s="1">
        <f t="shared" si="15"/>
        <v>1.8000000000000003</v>
      </c>
      <c r="O116" s="1">
        <v>138.9</v>
      </c>
      <c r="P116" s="1">
        <v>77</v>
      </c>
      <c r="Q116" s="1">
        <v>1</v>
      </c>
      <c r="R116" s="9">
        <f t="shared" si="12"/>
        <v>0.4</v>
      </c>
      <c r="S116" s="9">
        <f t="shared" si="13"/>
        <v>1.8000000000000003</v>
      </c>
      <c r="T116" s="9">
        <f t="shared" si="20"/>
        <v>138.9</v>
      </c>
      <c r="U116" s="1">
        <v>0</v>
      </c>
      <c r="V116" s="10">
        <v>278.89999999999998</v>
      </c>
      <c r="W116" s="1">
        <f t="shared" si="14"/>
        <v>77.472222222222214</v>
      </c>
      <c r="X116" s="1">
        <f t="shared" si="19"/>
        <v>46517.30000000001</v>
      </c>
      <c r="Y116" s="1">
        <f t="shared" si="22"/>
        <v>903.4</v>
      </c>
      <c r="Z116" s="11">
        <f>(Z114/100)/I126</f>
        <v>0.8722775564409031</v>
      </c>
      <c r="AA116" s="1">
        <v>9.2027069604874896</v>
      </c>
    </row>
    <row r="117" spans="1:27" s="1" customFormat="1" x14ac:dyDescent="0.25">
      <c r="A117" s="80"/>
      <c r="B117" s="7"/>
      <c r="C117" s="3">
        <v>41598</v>
      </c>
      <c r="D117" s="12">
        <v>2.5</v>
      </c>
      <c r="E117" s="19">
        <v>-0.4</v>
      </c>
      <c r="F117" s="12">
        <v>4.5</v>
      </c>
      <c r="G117" s="1">
        <f t="shared" si="16"/>
        <v>1003.9999999999998</v>
      </c>
      <c r="H117" s="1">
        <f t="shared" si="21"/>
        <v>18</v>
      </c>
      <c r="I117" s="18" t="s">
        <v>9</v>
      </c>
      <c r="J117" s="1">
        <v>7.3</v>
      </c>
      <c r="K117" s="1">
        <f t="shared" si="17"/>
        <v>258.89999999999992</v>
      </c>
      <c r="L117" s="1">
        <v>0.5</v>
      </c>
      <c r="M117" s="1">
        <f t="shared" si="18"/>
        <v>95.600000000000009</v>
      </c>
      <c r="N117" s="1">
        <f t="shared" si="15"/>
        <v>6.8</v>
      </c>
      <c r="O117" s="1">
        <v>138.9</v>
      </c>
      <c r="P117" s="1">
        <v>78</v>
      </c>
      <c r="Q117" s="1">
        <v>1</v>
      </c>
      <c r="R117" s="9">
        <f t="shared" si="12"/>
        <v>0.5</v>
      </c>
      <c r="S117" s="9">
        <f t="shared" si="13"/>
        <v>6.8</v>
      </c>
      <c r="T117" s="9">
        <f t="shared" si="20"/>
        <v>138.9</v>
      </c>
      <c r="U117" s="18" t="s">
        <v>10</v>
      </c>
      <c r="V117" s="10">
        <v>585.6</v>
      </c>
      <c r="W117" s="1">
        <f t="shared" si="14"/>
        <v>234.24</v>
      </c>
      <c r="X117" s="1">
        <f t="shared" si="19"/>
        <v>47102.900000000009</v>
      </c>
      <c r="Y117" s="1">
        <f t="shared" si="22"/>
        <v>1489</v>
      </c>
      <c r="Z117" s="18" t="s">
        <v>11</v>
      </c>
      <c r="AA117" s="1">
        <v>9.1619121293816601</v>
      </c>
    </row>
    <row r="118" spans="1:27" s="1" customFormat="1" x14ac:dyDescent="0.25">
      <c r="A118" s="80"/>
      <c r="B118" s="7"/>
      <c r="C118" s="3">
        <v>41599</v>
      </c>
      <c r="D118" s="12">
        <v>3.2</v>
      </c>
      <c r="E118" s="12">
        <v>2.7</v>
      </c>
      <c r="F118" s="12">
        <v>3.9</v>
      </c>
      <c r="G118" s="1">
        <f t="shared" si="16"/>
        <v>1007.1999999999998</v>
      </c>
      <c r="H118" s="1">
        <f t="shared" si="21"/>
        <v>21.2</v>
      </c>
      <c r="I118" s="9">
        <f>AVERAGE(D113:D149)</f>
        <v>4.0378378378378361</v>
      </c>
      <c r="J118" s="1">
        <v>2.2999999999999998</v>
      </c>
      <c r="K118" s="1">
        <f t="shared" si="17"/>
        <v>261.19999999999993</v>
      </c>
      <c r="L118" s="1">
        <v>0.3</v>
      </c>
      <c r="M118" s="1">
        <f t="shared" si="18"/>
        <v>95.9</v>
      </c>
      <c r="N118" s="1">
        <f t="shared" si="15"/>
        <v>1.9999999999999998</v>
      </c>
      <c r="O118" s="1">
        <v>138.9</v>
      </c>
      <c r="P118" s="1">
        <v>79</v>
      </c>
      <c r="Q118" s="1">
        <v>1</v>
      </c>
      <c r="R118" s="9">
        <f t="shared" si="12"/>
        <v>0.3</v>
      </c>
      <c r="S118" s="9">
        <f t="shared" si="13"/>
        <v>1.9999999999999998</v>
      </c>
      <c r="T118" s="9">
        <f t="shared" si="20"/>
        <v>138.9</v>
      </c>
      <c r="U118" s="1">
        <v>0</v>
      </c>
      <c r="V118" s="10">
        <v>173</v>
      </c>
      <c r="W118" s="1">
        <f t="shared" si="14"/>
        <v>54.0625</v>
      </c>
      <c r="X118" s="1">
        <f t="shared" si="19"/>
        <v>47275.900000000009</v>
      </c>
      <c r="Y118" s="1">
        <f t="shared" si="22"/>
        <v>1662</v>
      </c>
      <c r="Z118" s="1">
        <v>37</v>
      </c>
      <c r="AA118" s="1">
        <v>9.1219443292142106</v>
      </c>
    </row>
    <row r="119" spans="1:27" s="1" customFormat="1" x14ac:dyDescent="0.25">
      <c r="A119" s="80"/>
      <c r="B119" s="7"/>
      <c r="C119" s="3">
        <v>41600</v>
      </c>
      <c r="D119" s="12">
        <v>3.7</v>
      </c>
      <c r="E119" s="12">
        <v>2.2999999999999998</v>
      </c>
      <c r="F119" s="12">
        <v>4.7</v>
      </c>
      <c r="G119" s="1">
        <f t="shared" si="16"/>
        <v>1010.8999999999999</v>
      </c>
      <c r="H119" s="1">
        <f t="shared" si="21"/>
        <v>24.9</v>
      </c>
      <c r="I119" s="18" t="s">
        <v>12</v>
      </c>
      <c r="J119" s="1">
        <v>0.2</v>
      </c>
      <c r="K119" s="1">
        <f t="shared" si="17"/>
        <v>261.39999999999992</v>
      </c>
      <c r="L119" s="1">
        <v>0.6</v>
      </c>
      <c r="M119" s="1">
        <f t="shared" si="18"/>
        <v>96.5</v>
      </c>
      <c r="N119" s="5">
        <f t="shared" si="15"/>
        <v>-0.39999999999999997</v>
      </c>
      <c r="O119" s="1">
        <v>138.5</v>
      </c>
      <c r="P119" s="1">
        <v>80</v>
      </c>
      <c r="Q119" s="1">
        <v>1</v>
      </c>
      <c r="R119" s="9">
        <f t="shared" si="12"/>
        <v>0.6</v>
      </c>
      <c r="S119" s="9">
        <f t="shared" si="13"/>
        <v>-0.39999999999999997</v>
      </c>
      <c r="T119" s="9">
        <f t="shared" si="20"/>
        <v>138.5</v>
      </c>
      <c r="U119" s="18" t="s">
        <v>13</v>
      </c>
      <c r="V119" s="10">
        <v>189</v>
      </c>
      <c r="W119" s="1">
        <f t="shared" si="14"/>
        <v>51.081081081081081</v>
      </c>
      <c r="X119" s="1">
        <f t="shared" si="19"/>
        <v>47464.900000000009</v>
      </c>
      <c r="Y119" s="1">
        <f t="shared" si="22"/>
        <v>1851</v>
      </c>
      <c r="AA119" s="1">
        <v>9.08283231224625</v>
      </c>
    </row>
    <row r="120" spans="1:27" s="1" customFormat="1" x14ac:dyDescent="0.25">
      <c r="A120" s="80"/>
      <c r="B120" s="7"/>
      <c r="C120" s="3">
        <v>41601</v>
      </c>
      <c r="D120" s="1">
        <v>5.0999999999999996</v>
      </c>
      <c r="E120" s="12">
        <v>4.5999999999999996</v>
      </c>
      <c r="F120" s="1">
        <v>5.8</v>
      </c>
      <c r="G120" s="1">
        <f t="shared" si="16"/>
        <v>1015.9999999999999</v>
      </c>
      <c r="H120" s="1">
        <f t="shared" si="21"/>
        <v>30</v>
      </c>
      <c r="I120" s="1">
        <v>13</v>
      </c>
      <c r="J120" s="1">
        <v>0</v>
      </c>
      <c r="K120" s="1">
        <f t="shared" si="17"/>
        <v>261.39999999999992</v>
      </c>
      <c r="L120" s="1">
        <v>0.7</v>
      </c>
      <c r="M120" s="1">
        <f t="shared" si="18"/>
        <v>97.2</v>
      </c>
      <c r="N120" s="5">
        <f t="shared" si="15"/>
        <v>-0.7</v>
      </c>
      <c r="O120" s="1">
        <v>137.80000000000001</v>
      </c>
      <c r="P120" s="1">
        <v>81</v>
      </c>
      <c r="Q120" s="1">
        <v>1</v>
      </c>
      <c r="R120" s="9">
        <f t="shared" si="12"/>
        <v>0.7</v>
      </c>
      <c r="S120" s="9">
        <f t="shared" si="13"/>
        <v>-0.7</v>
      </c>
      <c r="T120" s="9">
        <f t="shared" si="20"/>
        <v>137.80000000000001</v>
      </c>
      <c r="U120" s="9">
        <f>MIN(T113:T149)</f>
        <v>127.69999999999996</v>
      </c>
      <c r="V120" s="10">
        <v>126.4</v>
      </c>
      <c r="W120" s="1">
        <f t="shared" si="14"/>
        <v>24.7843137254902</v>
      </c>
      <c r="X120" s="1">
        <f t="shared" si="19"/>
        <v>47591.30000000001</v>
      </c>
      <c r="Y120" s="1">
        <f t="shared" si="22"/>
        <v>1977.4</v>
      </c>
      <c r="AA120" s="1">
        <v>9.0446050496683004</v>
      </c>
    </row>
    <row r="121" spans="1:27" s="1" customFormat="1" x14ac:dyDescent="0.25">
      <c r="A121" s="80"/>
      <c r="B121" s="7"/>
      <c r="C121" s="3">
        <v>41602</v>
      </c>
      <c r="D121" s="1">
        <v>5.5</v>
      </c>
      <c r="E121" s="12">
        <v>2.4</v>
      </c>
      <c r="F121" s="1">
        <v>7.4</v>
      </c>
      <c r="G121" s="1">
        <f t="shared" si="16"/>
        <v>1021.4999999999999</v>
      </c>
      <c r="H121" s="1">
        <f t="shared" si="21"/>
        <v>35.5</v>
      </c>
      <c r="I121" s="18" t="s">
        <v>14</v>
      </c>
      <c r="J121" s="1">
        <v>0</v>
      </c>
      <c r="K121" s="1">
        <f t="shared" si="17"/>
        <v>261.39999999999992</v>
      </c>
      <c r="L121" s="1">
        <v>0.8</v>
      </c>
      <c r="M121" s="1">
        <f t="shared" si="18"/>
        <v>98</v>
      </c>
      <c r="N121" s="5">
        <f t="shared" si="15"/>
        <v>-0.8</v>
      </c>
      <c r="O121" s="1">
        <v>137</v>
      </c>
      <c r="P121" s="1">
        <v>82</v>
      </c>
      <c r="Q121" s="1">
        <v>1</v>
      </c>
      <c r="R121" s="9">
        <f t="shared" si="12"/>
        <v>0.8</v>
      </c>
      <c r="S121" s="9">
        <f t="shared" si="13"/>
        <v>-0.8</v>
      </c>
      <c r="T121" s="9">
        <f t="shared" si="20"/>
        <v>137</v>
      </c>
      <c r="U121" s="18" t="s">
        <v>15</v>
      </c>
      <c r="V121" s="10">
        <v>384.4</v>
      </c>
      <c r="W121" s="1">
        <f t="shared" si="14"/>
        <v>69.890909090909091</v>
      </c>
      <c r="X121" s="1">
        <f t="shared" si="19"/>
        <v>47975.700000000012</v>
      </c>
      <c r="Y121" s="1">
        <f t="shared" si="22"/>
        <v>2361.8000000000002</v>
      </c>
      <c r="AA121" s="1">
        <v>9.0072916770767009</v>
      </c>
    </row>
    <row r="122" spans="1:27" s="1" customFormat="1" x14ac:dyDescent="0.25">
      <c r="A122" s="80"/>
      <c r="B122" s="20"/>
      <c r="C122" s="3">
        <v>41603</v>
      </c>
      <c r="D122" s="12">
        <v>5</v>
      </c>
      <c r="E122" s="12">
        <v>3.5</v>
      </c>
      <c r="F122" s="1">
        <v>7</v>
      </c>
      <c r="G122" s="1">
        <f t="shared" si="16"/>
        <v>1026.5</v>
      </c>
      <c r="H122" s="1">
        <f t="shared" si="21"/>
        <v>40.5</v>
      </c>
      <c r="I122" s="1">
        <v>0</v>
      </c>
      <c r="J122" s="1">
        <v>0</v>
      </c>
      <c r="K122" s="1">
        <f t="shared" si="17"/>
        <v>261.39999999999992</v>
      </c>
      <c r="L122" s="1">
        <v>0.8</v>
      </c>
      <c r="M122" s="1">
        <f t="shared" si="18"/>
        <v>98.8</v>
      </c>
      <c r="N122" s="5">
        <f t="shared" si="15"/>
        <v>-0.8</v>
      </c>
      <c r="O122" s="1">
        <v>136.19999999999999</v>
      </c>
      <c r="P122" s="1">
        <v>83</v>
      </c>
      <c r="Q122" s="1">
        <v>1</v>
      </c>
      <c r="R122" s="9">
        <f t="shared" si="12"/>
        <v>0.8</v>
      </c>
      <c r="S122" s="9">
        <f t="shared" si="13"/>
        <v>-0.8</v>
      </c>
      <c r="T122" s="9">
        <f t="shared" si="20"/>
        <v>136.19999999999999</v>
      </c>
      <c r="U122" s="9">
        <f>MAX(T113:T149)</f>
        <v>138.9</v>
      </c>
      <c r="V122" s="10">
        <v>245.8</v>
      </c>
      <c r="W122" s="1">
        <f t="shared" si="14"/>
        <v>49.160000000000004</v>
      </c>
      <c r="X122" s="1">
        <f t="shared" si="19"/>
        <v>48221.500000000015</v>
      </c>
      <c r="Y122" s="1">
        <f t="shared" si="22"/>
        <v>2607.6000000000004</v>
      </c>
      <c r="AA122" s="1">
        <v>8.9709214363099505</v>
      </c>
    </row>
    <row r="123" spans="1:27" s="1" customFormat="1" x14ac:dyDescent="0.25">
      <c r="A123" s="80"/>
      <c r="B123" s="7"/>
      <c r="C123" s="3">
        <v>41604</v>
      </c>
      <c r="D123" s="1">
        <v>5.0999999999999996</v>
      </c>
      <c r="E123" s="12">
        <v>3.4</v>
      </c>
      <c r="F123" s="1">
        <v>7.2</v>
      </c>
      <c r="G123" s="1">
        <f t="shared" si="16"/>
        <v>1031.5999999999999</v>
      </c>
      <c r="H123" s="1">
        <f t="shared" si="21"/>
        <v>45.6</v>
      </c>
      <c r="I123" s="18" t="s">
        <v>16</v>
      </c>
      <c r="J123" s="1">
        <v>0</v>
      </c>
      <c r="K123" s="1">
        <f t="shared" si="17"/>
        <v>261.39999999999992</v>
      </c>
      <c r="L123" s="1">
        <v>0.9</v>
      </c>
      <c r="M123" s="1">
        <f t="shared" si="18"/>
        <v>99.7</v>
      </c>
      <c r="N123" s="5">
        <f t="shared" si="15"/>
        <v>-0.9</v>
      </c>
      <c r="O123" s="1">
        <v>135.29999999999998</v>
      </c>
      <c r="P123" s="1">
        <v>84</v>
      </c>
      <c r="Q123" s="1">
        <v>1</v>
      </c>
      <c r="R123" s="9">
        <f t="shared" si="12"/>
        <v>0.9</v>
      </c>
      <c r="S123" s="9">
        <f t="shared" si="13"/>
        <v>-0.9</v>
      </c>
      <c r="T123" s="9">
        <f t="shared" si="20"/>
        <v>135.29999999999998</v>
      </c>
      <c r="U123" s="18" t="s">
        <v>17</v>
      </c>
      <c r="V123" s="10">
        <v>523.6</v>
      </c>
      <c r="W123" s="1">
        <f t="shared" si="14"/>
        <v>102.66666666666667</v>
      </c>
      <c r="X123" s="1">
        <f t="shared" si="19"/>
        <v>48745.100000000013</v>
      </c>
      <c r="Y123" s="1">
        <f t="shared" si="22"/>
        <v>3131.2000000000003</v>
      </c>
      <c r="AA123" s="1">
        <v>8.9355236137305099</v>
      </c>
    </row>
    <row r="124" spans="1:27" s="1" customFormat="1" x14ac:dyDescent="0.25">
      <c r="A124" s="80"/>
      <c r="B124" s="20"/>
      <c r="C124" s="3">
        <v>41605</v>
      </c>
      <c r="D124" s="12">
        <v>3.6</v>
      </c>
      <c r="E124" s="12">
        <v>1.8</v>
      </c>
      <c r="F124" s="1">
        <v>6.5</v>
      </c>
      <c r="G124" s="1">
        <f t="shared" si="16"/>
        <v>1035.1999999999998</v>
      </c>
      <c r="H124" s="1">
        <f t="shared" si="21"/>
        <v>49.2</v>
      </c>
      <c r="I124" s="1">
        <v>22</v>
      </c>
      <c r="J124" s="1">
        <v>0</v>
      </c>
      <c r="K124" s="1">
        <f t="shared" si="17"/>
        <v>261.39999999999992</v>
      </c>
      <c r="L124" s="1">
        <v>0.5</v>
      </c>
      <c r="M124" s="1">
        <f t="shared" si="18"/>
        <v>100.2</v>
      </c>
      <c r="N124" s="5">
        <f t="shared" si="15"/>
        <v>-0.5</v>
      </c>
      <c r="O124" s="1">
        <v>134.79999999999998</v>
      </c>
      <c r="P124" s="1">
        <v>85</v>
      </c>
      <c r="Q124" s="1">
        <v>1</v>
      </c>
      <c r="R124" s="9">
        <f t="shared" si="12"/>
        <v>0.5</v>
      </c>
      <c r="S124" s="9">
        <f t="shared" si="13"/>
        <v>-0.5</v>
      </c>
      <c r="T124" s="9">
        <f t="shared" si="20"/>
        <v>134.79999999999998</v>
      </c>
      <c r="U124" s="11">
        <f>AVERAGE(T113:T149)</f>
        <v>133.78648648648644</v>
      </c>
      <c r="V124" s="10">
        <v>155.30000000000001</v>
      </c>
      <c r="W124" s="1">
        <f t="shared" si="14"/>
        <v>43.138888888888893</v>
      </c>
      <c r="X124" s="1">
        <f t="shared" si="19"/>
        <v>48900.400000000016</v>
      </c>
      <c r="Y124" s="1">
        <f t="shared" si="22"/>
        <v>3286.5000000000005</v>
      </c>
      <c r="AA124" s="1">
        <v>8.9011274750711706</v>
      </c>
    </row>
    <row r="125" spans="1:27" s="1" customFormat="1" x14ac:dyDescent="0.25">
      <c r="A125" s="80"/>
      <c r="B125" s="20"/>
      <c r="C125" s="3">
        <v>41606</v>
      </c>
      <c r="D125" s="12">
        <v>1.9</v>
      </c>
      <c r="E125" s="19">
        <v>-1.6</v>
      </c>
      <c r="F125" s="1">
        <v>5.3</v>
      </c>
      <c r="G125" s="1">
        <f t="shared" si="16"/>
        <v>1037.0999999999999</v>
      </c>
      <c r="H125" s="1">
        <f t="shared" si="21"/>
        <v>51.1</v>
      </c>
      <c r="I125" s="18" t="s">
        <v>18</v>
      </c>
      <c r="J125" s="1">
        <v>0</v>
      </c>
      <c r="K125" s="1">
        <f t="shared" si="17"/>
        <v>261.39999999999992</v>
      </c>
      <c r="L125" s="1">
        <v>0.3</v>
      </c>
      <c r="M125" s="1">
        <f t="shared" si="18"/>
        <v>100.5</v>
      </c>
      <c r="N125" s="5">
        <f t="shared" si="15"/>
        <v>-0.3</v>
      </c>
      <c r="O125" s="1">
        <v>134.49999999999997</v>
      </c>
      <c r="P125" s="1">
        <v>86</v>
      </c>
      <c r="Q125" s="1">
        <v>1</v>
      </c>
      <c r="R125" s="9">
        <f t="shared" si="12"/>
        <v>0.3</v>
      </c>
      <c r="S125" s="9">
        <f t="shared" si="13"/>
        <v>-0.3</v>
      </c>
      <c r="T125" s="9">
        <f t="shared" si="20"/>
        <v>134.49999999999997</v>
      </c>
      <c r="U125" s="18" t="s">
        <v>20</v>
      </c>
      <c r="V125" s="10">
        <v>145.19999999999999</v>
      </c>
      <c r="W125" s="1">
        <f t="shared" si="14"/>
        <v>76.421052631578945</v>
      </c>
      <c r="X125" s="1">
        <f t="shared" si="19"/>
        <v>49045.600000000013</v>
      </c>
      <c r="Y125" s="1">
        <f t="shared" si="22"/>
        <v>3431.7000000000003</v>
      </c>
      <c r="AA125" s="1">
        <v>8.8677621969999993</v>
      </c>
    </row>
    <row r="126" spans="1:27" s="1" customFormat="1" x14ac:dyDescent="0.25">
      <c r="A126" s="80"/>
      <c r="B126" s="7"/>
      <c r="C126" s="3">
        <v>41607</v>
      </c>
      <c r="D126" s="1">
        <v>6.8</v>
      </c>
      <c r="E126" s="12">
        <v>4.2</v>
      </c>
      <c r="F126" s="1">
        <v>8.3000000000000007</v>
      </c>
      <c r="G126" s="1">
        <f t="shared" si="16"/>
        <v>1043.8999999999999</v>
      </c>
      <c r="H126" s="1">
        <f t="shared" si="21"/>
        <v>57.9</v>
      </c>
      <c r="I126" s="1">
        <v>150.6</v>
      </c>
      <c r="J126" s="1">
        <v>0.1</v>
      </c>
      <c r="K126" s="1">
        <f t="shared" si="17"/>
        <v>261.49999999999994</v>
      </c>
      <c r="L126" s="1">
        <v>0.3</v>
      </c>
      <c r="M126" s="1">
        <f t="shared" si="18"/>
        <v>100.8</v>
      </c>
      <c r="N126" s="5">
        <f t="shared" si="15"/>
        <v>-0.19999999999999998</v>
      </c>
      <c r="O126" s="1">
        <v>134.29999999999998</v>
      </c>
      <c r="P126" s="1">
        <v>87</v>
      </c>
      <c r="Q126" s="1">
        <v>1</v>
      </c>
      <c r="R126" s="9">
        <f t="shared" si="12"/>
        <v>0.3</v>
      </c>
      <c r="S126" s="9">
        <f t="shared" si="13"/>
        <v>-0.19999999999999998</v>
      </c>
      <c r="T126" s="9">
        <f t="shared" si="20"/>
        <v>134.29999999999998</v>
      </c>
      <c r="U126" s="9">
        <v>20</v>
      </c>
      <c r="V126" s="10">
        <v>333.3</v>
      </c>
      <c r="W126" s="1">
        <f t="shared" si="14"/>
        <v>49.014705882352942</v>
      </c>
      <c r="X126" s="1">
        <f t="shared" si="19"/>
        <v>49378.900000000016</v>
      </c>
      <c r="Y126" s="1">
        <f t="shared" si="22"/>
        <v>3765.0000000000005</v>
      </c>
      <c r="AA126" s="1">
        <v>8.8354567955948298</v>
      </c>
    </row>
    <row r="127" spans="1:27" s="1" customFormat="1" x14ac:dyDescent="0.25">
      <c r="A127" s="80"/>
      <c r="B127" s="7"/>
      <c r="C127" s="3">
        <v>41608</v>
      </c>
      <c r="D127" s="1">
        <v>6.4</v>
      </c>
      <c r="E127" s="12">
        <v>4.4000000000000004</v>
      </c>
      <c r="F127" s="1">
        <v>8.1999999999999993</v>
      </c>
      <c r="G127" s="1">
        <f t="shared" si="16"/>
        <v>1050.3</v>
      </c>
      <c r="H127" s="1">
        <f t="shared" si="21"/>
        <v>64.3</v>
      </c>
      <c r="J127" s="1">
        <v>0.5</v>
      </c>
      <c r="K127" s="1">
        <f t="shared" si="17"/>
        <v>261.99999999999994</v>
      </c>
      <c r="L127" s="1">
        <v>0.6</v>
      </c>
      <c r="M127" s="1">
        <f t="shared" si="18"/>
        <v>101.39999999999999</v>
      </c>
      <c r="N127" s="5">
        <f t="shared" si="15"/>
        <v>-9.9999999999999978E-2</v>
      </c>
      <c r="O127" s="1">
        <v>134.19999999999999</v>
      </c>
      <c r="P127" s="1">
        <v>88</v>
      </c>
      <c r="Q127" s="1">
        <v>1</v>
      </c>
      <c r="R127" s="9">
        <f t="shared" si="12"/>
        <v>0.6</v>
      </c>
      <c r="S127" s="9">
        <f t="shared" si="13"/>
        <v>-9.9999999999999978E-2</v>
      </c>
      <c r="T127" s="9">
        <f t="shared" si="20"/>
        <v>134.19999999999999</v>
      </c>
      <c r="V127" s="10">
        <v>193</v>
      </c>
      <c r="W127" s="1">
        <f t="shared" si="14"/>
        <v>30.15625</v>
      </c>
      <c r="X127" s="1">
        <f t="shared" si="19"/>
        <v>49571.900000000016</v>
      </c>
      <c r="Y127" s="1">
        <f t="shared" si="22"/>
        <v>3958.0000000000005</v>
      </c>
      <c r="AA127" s="1">
        <v>8.8042400519551496</v>
      </c>
    </row>
    <row r="128" spans="1:27" s="1" customFormat="1" x14ac:dyDescent="0.25">
      <c r="A128" s="80"/>
      <c r="B128" s="20"/>
      <c r="C128" s="3">
        <v>41609</v>
      </c>
      <c r="D128" s="12">
        <v>4.8</v>
      </c>
      <c r="E128" s="12">
        <v>3.9</v>
      </c>
      <c r="F128" s="1">
        <v>5.8</v>
      </c>
      <c r="G128" s="1">
        <f t="shared" si="16"/>
        <v>1055.0999999999999</v>
      </c>
      <c r="H128" s="1">
        <f t="shared" si="21"/>
        <v>69.099999999999994</v>
      </c>
      <c r="J128" s="1">
        <v>0.1</v>
      </c>
      <c r="K128" s="1">
        <f t="shared" si="17"/>
        <v>262.09999999999997</v>
      </c>
      <c r="L128" s="1">
        <v>0.4</v>
      </c>
      <c r="M128" s="1">
        <f t="shared" si="18"/>
        <v>101.8</v>
      </c>
      <c r="N128" s="5">
        <f t="shared" si="15"/>
        <v>-0.30000000000000004</v>
      </c>
      <c r="O128" s="1">
        <v>133.89999999999998</v>
      </c>
      <c r="P128" s="1">
        <v>89</v>
      </c>
      <c r="Q128" s="1">
        <v>1</v>
      </c>
      <c r="R128" s="9">
        <f t="shared" si="12"/>
        <v>0.4</v>
      </c>
      <c r="S128" s="9">
        <f t="shared" si="13"/>
        <v>-0.30000000000000004</v>
      </c>
      <c r="T128" s="9">
        <f t="shared" si="20"/>
        <v>133.89999999999998</v>
      </c>
      <c r="U128" s="9">
        <f>(U124*100)/138.9</f>
        <v>96.318564785087432</v>
      </c>
      <c r="V128" s="10">
        <v>214.4</v>
      </c>
      <c r="W128" s="1">
        <f t="shared" si="14"/>
        <v>44.666666666666671</v>
      </c>
      <c r="X128" s="1">
        <f t="shared" si="19"/>
        <v>49786.300000000017</v>
      </c>
      <c r="Y128" s="1">
        <f t="shared" si="22"/>
        <v>4172.4000000000005</v>
      </c>
      <c r="AA128" s="1">
        <v>8.77414043521817</v>
      </c>
    </row>
    <row r="129" spans="1:27" s="1" customFormat="1" x14ac:dyDescent="0.25">
      <c r="A129" s="80"/>
      <c r="B129" s="7"/>
      <c r="C129" s="3">
        <v>41610</v>
      </c>
      <c r="D129" s="1">
        <v>5.5</v>
      </c>
      <c r="E129" s="12">
        <v>4</v>
      </c>
      <c r="F129" s="1">
        <v>7.7</v>
      </c>
      <c r="G129" s="1">
        <f t="shared" si="16"/>
        <v>1060.5999999999999</v>
      </c>
      <c r="H129" s="1">
        <f t="shared" si="21"/>
        <v>74.599999999999994</v>
      </c>
      <c r="J129" s="1">
        <v>0</v>
      </c>
      <c r="K129" s="1">
        <f t="shared" si="17"/>
        <v>262.09999999999997</v>
      </c>
      <c r="L129" s="1">
        <v>0.9</v>
      </c>
      <c r="M129" s="1">
        <f t="shared" si="18"/>
        <v>102.7</v>
      </c>
      <c r="N129" s="5">
        <f t="shared" si="15"/>
        <v>-0.9</v>
      </c>
      <c r="O129" s="1">
        <v>132.99999999999997</v>
      </c>
      <c r="P129" s="1">
        <v>90</v>
      </c>
      <c r="Q129" s="1">
        <v>1</v>
      </c>
      <c r="R129" s="9">
        <f t="shared" si="12"/>
        <v>0.9</v>
      </c>
      <c r="S129" s="9">
        <f t="shared" si="13"/>
        <v>-0.9</v>
      </c>
      <c r="T129" s="9">
        <f t="shared" si="20"/>
        <v>132.99999999999997</v>
      </c>
      <c r="V129" s="10">
        <v>170.7</v>
      </c>
      <c r="W129" s="1">
        <f t="shared" si="14"/>
        <v>31.036363636363635</v>
      </c>
      <c r="X129" s="1">
        <f t="shared" si="19"/>
        <v>49957.000000000015</v>
      </c>
      <c r="Y129" s="1">
        <f t="shared" si="22"/>
        <v>4343.1000000000004</v>
      </c>
      <c r="AA129" s="1">
        <v>8.7451860232837699</v>
      </c>
    </row>
    <row r="130" spans="1:27" s="1" customFormat="1" x14ac:dyDescent="0.25">
      <c r="A130" s="80"/>
      <c r="B130" s="20"/>
      <c r="C130" s="3">
        <v>41611</v>
      </c>
      <c r="D130" s="12">
        <v>1.2</v>
      </c>
      <c r="E130" s="19">
        <v>-2.2999999999999998</v>
      </c>
      <c r="F130" s="1">
        <v>6.4</v>
      </c>
      <c r="G130" s="1">
        <f t="shared" si="16"/>
        <v>1061.8</v>
      </c>
      <c r="H130" s="1">
        <f t="shared" si="21"/>
        <v>75.8</v>
      </c>
      <c r="J130" s="1">
        <v>0</v>
      </c>
      <c r="K130" s="1">
        <f t="shared" si="17"/>
        <v>262.09999999999997</v>
      </c>
      <c r="L130" s="1">
        <v>0.8</v>
      </c>
      <c r="M130" s="1">
        <f t="shared" si="18"/>
        <v>103.5</v>
      </c>
      <c r="N130" s="5">
        <f t="shared" si="15"/>
        <v>-0.8</v>
      </c>
      <c r="O130" s="1">
        <v>132.19999999999996</v>
      </c>
      <c r="P130" s="1">
        <v>91</v>
      </c>
      <c r="Q130" s="1">
        <v>1</v>
      </c>
      <c r="R130" s="9">
        <f t="shared" si="12"/>
        <v>0.8</v>
      </c>
      <c r="S130" s="9">
        <f t="shared" si="13"/>
        <v>-0.8</v>
      </c>
      <c r="T130" s="9">
        <f t="shared" si="20"/>
        <v>132.19999999999996</v>
      </c>
      <c r="V130" s="10">
        <v>654.6</v>
      </c>
      <c r="W130" s="1">
        <f t="shared" si="14"/>
        <v>545.5</v>
      </c>
      <c r="X130" s="1">
        <f t="shared" si="19"/>
        <v>50611.600000000013</v>
      </c>
      <c r="Y130" s="1">
        <f t="shared" si="22"/>
        <v>4997.7000000000007</v>
      </c>
      <c r="AA130" s="1">
        <v>8.7174044215913895</v>
      </c>
    </row>
    <row r="131" spans="1:27" s="1" customFormat="1" x14ac:dyDescent="0.25">
      <c r="A131" s="80"/>
      <c r="B131" s="20"/>
      <c r="C131" s="3">
        <v>41612</v>
      </c>
      <c r="D131" s="12">
        <v>1.8</v>
      </c>
      <c r="E131" s="19">
        <v>-2</v>
      </c>
      <c r="F131" s="12">
        <v>4.2</v>
      </c>
      <c r="G131" s="1">
        <f t="shared" si="16"/>
        <v>1063.5999999999999</v>
      </c>
      <c r="H131" s="1">
        <f t="shared" si="21"/>
        <v>77.599999999999994</v>
      </c>
      <c r="J131" s="1">
        <v>0</v>
      </c>
      <c r="K131" s="1">
        <f t="shared" si="17"/>
        <v>262.09999999999997</v>
      </c>
      <c r="L131" s="1">
        <v>0.4</v>
      </c>
      <c r="M131" s="1">
        <f t="shared" si="18"/>
        <v>103.9</v>
      </c>
      <c r="N131" s="5">
        <f t="shared" si="15"/>
        <v>-0.4</v>
      </c>
      <c r="O131" s="1">
        <v>131.79999999999995</v>
      </c>
      <c r="P131" s="1">
        <v>92</v>
      </c>
      <c r="Q131" s="1">
        <v>1</v>
      </c>
      <c r="R131" s="9">
        <f t="shared" si="12"/>
        <v>0.4</v>
      </c>
      <c r="S131" s="9">
        <f t="shared" si="13"/>
        <v>-0.4</v>
      </c>
      <c r="T131" s="9">
        <f t="shared" si="20"/>
        <v>131.79999999999995</v>
      </c>
      <c r="V131" s="10">
        <v>332.9</v>
      </c>
      <c r="W131" s="1">
        <f t="shared" si="14"/>
        <v>184.94444444444443</v>
      </c>
      <c r="X131" s="1">
        <f t="shared" si="19"/>
        <v>50944.500000000015</v>
      </c>
      <c r="Y131" s="1">
        <f t="shared" si="22"/>
        <v>5330.6</v>
      </c>
      <c r="AA131" s="1">
        <v>8.6908226803288606</v>
      </c>
    </row>
    <row r="132" spans="1:27" s="1" customFormat="1" x14ac:dyDescent="0.25">
      <c r="A132" s="80"/>
      <c r="B132" s="7"/>
      <c r="C132" s="3">
        <v>41613</v>
      </c>
      <c r="D132" s="1">
        <v>5.0999999999999996</v>
      </c>
      <c r="E132" s="12">
        <v>4.0999999999999996</v>
      </c>
      <c r="F132" s="1">
        <v>7</v>
      </c>
      <c r="G132" s="1">
        <f t="shared" si="16"/>
        <v>1068.6999999999998</v>
      </c>
      <c r="H132" s="1">
        <f t="shared" si="21"/>
        <v>82.699999999999989</v>
      </c>
      <c r="J132" s="1">
        <v>0.1</v>
      </c>
      <c r="K132" s="1">
        <f t="shared" si="17"/>
        <v>262.2</v>
      </c>
      <c r="L132" s="1">
        <v>0.5</v>
      </c>
      <c r="M132" s="1">
        <f t="shared" si="18"/>
        <v>104.4</v>
      </c>
      <c r="N132" s="5">
        <f t="shared" si="15"/>
        <v>-0.4</v>
      </c>
      <c r="O132" s="1">
        <v>131.39999999999995</v>
      </c>
      <c r="P132" s="1">
        <v>93</v>
      </c>
      <c r="Q132" s="1">
        <v>1</v>
      </c>
      <c r="R132" s="9">
        <f t="shared" si="12"/>
        <v>0.5</v>
      </c>
      <c r="S132" s="9">
        <f t="shared" si="13"/>
        <v>-0.4</v>
      </c>
      <c r="T132" s="9">
        <f t="shared" si="20"/>
        <v>131.39999999999995</v>
      </c>
      <c r="V132" s="10">
        <v>295.5</v>
      </c>
      <c r="W132" s="1">
        <f t="shared" si="14"/>
        <v>57.941176470588239</v>
      </c>
      <c r="X132" s="1">
        <f t="shared" si="19"/>
        <v>51240.000000000015</v>
      </c>
      <c r="Y132" s="1">
        <f t="shared" si="22"/>
        <v>5626.1</v>
      </c>
      <c r="AA132" s="1">
        <v>8.6654672104890906</v>
      </c>
    </row>
    <row r="133" spans="1:27" s="1" customFormat="1" x14ac:dyDescent="0.25">
      <c r="A133" s="80"/>
      <c r="B133" s="20"/>
      <c r="C133" s="3">
        <v>41614</v>
      </c>
      <c r="D133" s="12">
        <v>4.8</v>
      </c>
      <c r="E133" s="12">
        <v>2.8</v>
      </c>
      <c r="F133" s="1">
        <v>8.6</v>
      </c>
      <c r="G133" s="1">
        <f t="shared" si="16"/>
        <v>1073.4999999999998</v>
      </c>
      <c r="H133" s="1">
        <f t="shared" si="21"/>
        <v>87.499999999999986</v>
      </c>
      <c r="J133" s="1">
        <v>0.6</v>
      </c>
      <c r="K133" s="1">
        <f t="shared" si="17"/>
        <v>262.8</v>
      </c>
      <c r="L133" s="1">
        <v>0.6</v>
      </c>
      <c r="M133" s="1">
        <f t="shared" si="18"/>
        <v>105</v>
      </c>
      <c r="N133" s="1">
        <f t="shared" si="15"/>
        <v>0</v>
      </c>
      <c r="O133" s="1">
        <v>131.39999999999995</v>
      </c>
      <c r="P133" s="1">
        <v>94</v>
      </c>
      <c r="Q133" s="1">
        <v>1</v>
      </c>
      <c r="R133" s="9">
        <f t="shared" si="12"/>
        <v>0.6</v>
      </c>
      <c r="S133" s="9">
        <f t="shared" si="13"/>
        <v>0</v>
      </c>
      <c r="T133" s="9">
        <f t="shared" si="20"/>
        <v>131.39999999999995</v>
      </c>
      <c r="V133" s="10">
        <v>197.4</v>
      </c>
      <c r="W133" s="1">
        <f t="shared" si="14"/>
        <v>41.125</v>
      </c>
      <c r="X133" s="1">
        <f t="shared" si="19"/>
        <v>51437.400000000016</v>
      </c>
      <c r="Y133" s="1">
        <f t="shared" si="22"/>
        <v>5823.5</v>
      </c>
      <c r="AA133" s="1">
        <v>8.6413636992238096</v>
      </c>
    </row>
    <row r="134" spans="1:27" s="1" customFormat="1" x14ac:dyDescent="0.25">
      <c r="A134" s="80"/>
      <c r="B134" s="20"/>
      <c r="C134" s="3">
        <v>41615</v>
      </c>
      <c r="D134" s="12">
        <v>3</v>
      </c>
      <c r="E134" s="19">
        <v>-0.9</v>
      </c>
      <c r="F134" s="1">
        <v>6.6</v>
      </c>
      <c r="G134" s="1">
        <f t="shared" si="16"/>
        <v>1076.4999999999998</v>
      </c>
      <c r="H134" s="1">
        <f t="shared" si="21"/>
        <v>90.499999999999986</v>
      </c>
      <c r="J134" s="1">
        <v>0</v>
      </c>
      <c r="K134" s="1">
        <f t="shared" si="17"/>
        <v>262.8</v>
      </c>
      <c r="L134" s="1">
        <v>0.2</v>
      </c>
      <c r="M134" s="1">
        <f t="shared" si="18"/>
        <v>105.2</v>
      </c>
      <c r="N134" s="5">
        <f t="shared" si="15"/>
        <v>-0.2</v>
      </c>
      <c r="O134" s="1">
        <v>131.19999999999996</v>
      </c>
      <c r="P134" s="1">
        <v>95</v>
      </c>
      <c r="Q134" s="1">
        <v>1</v>
      </c>
      <c r="R134" s="9">
        <f t="shared" si="12"/>
        <v>0.2</v>
      </c>
      <c r="S134" s="9">
        <f t="shared" si="13"/>
        <v>-0.2</v>
      </c>
      <c r="T134" s="9">
        <f t="shared" si="20"/>
        <v>131.19999999999996</v>
      </c>
      <c r="V134" s="10">
        <v>205.5</v>
      </c>
      <c r="W134" s="1">
        <f t="shared" si="14"/>
        <v>68.5</v>
      </c>
      <c r="X134" s="1">
        <f t="shared" si="19"/>
        <v>51642.900000000016</v>
      </c>
      <c r="Y134" s="1">
        <f t="shared" si="22"/>
        <v>6029</v>
      </c>
      <c r="AA134" s="1">
        <v>8.6185370249744206</v>
      </c>
    </row>
    <row r="135" spans="1:27" s="1" customFormat="1" x14ac:dyDescent="0.25">
      <c r="A135" s="80"/>
      <c r="B135" s="20"/>
      <c r="C135" s="3">
        <v>41616</v>
      </c>
      <c r="D135" s="12">
        <v>1.3</v>
      </c>
      <c r="E135" s="19">
        <v>-3.2</v>
      </c>
      <c r="F135" s="1">
        <v>6.7</v>
      </c>
      <c r="G135" s="1">
        <f t="shared" si="16"/>
        <v>1077.7999999999997</v>
      </c>
      <c r="H135" s="1">
        <f t="shared" si="21"/>
        <v>91.799999999999983</v>
      </c>
      <c r="J135" s="1">
        <v>0</v>
      </c>
      <c r="K135" s="1">
        <f t="shared" si="17"/>
        <v>262.8</v>
      </c>
      <c r="L135" s="1">
        <v>0.6</v>
      </c>
      <c r="M135" s="1">
        <f t="shared" si="18"/>
        <v>105.8</v>
      </c>
      <c r="N135" s="5">
        <f t="shared" si="15"/>
        <v>-0.6</v>
      </c>
      <c r="O135" s="1">
        <v>130.59999999999997</v>
      </c>
      <c r="P135" s="1">
        <v>96</v>
      </c>
      <c r="Q135" s="1">
        <v>1</v>
      </c>
      <c r="R135" s="9">
        <f t="shared" si="12"/>
        <v>0.6</v>
      </c>
      <c r="S135" s="9">
        <f t="shared" si="13"/>
        <v>-0.6</v>
      </c>
      <c r="T135" s="9">
        <f t="shared" si="20"/>
        <v>130.59999999999997</v>
      </c>
      <c r="V135" s="10">
        <v>677</v>
      </c>
      <c r="W135" s="1">
        <f t="shared" si="14"/>
        <v>520.76923076923072</v>
      </c>
      <c r="X135" s="1">
        <f t="shared" si="19"/>
        <v>52319.900000000016</v>
      </c>
      <c r="Y135" s="1">
        <f t="shared" si="22"/>
        <v>6706</v>
      </c>
      <c r="AA135" s="1">
        <v>8.5970111728871892</v>
      </c>
    </row>
    <row r="136" spans="1:27" s="1" customFormat="1" x14ac:dyDescent="0.25">
      <c r="A136" s="80"/>
      <c r="B136" s="20"/>
      <c r="C136" s="3">
        <v>41617</v>
      </c>
      <c r="D136" s="12">
        <v>0</v>
      </c>
      <c r="E136" s="19">
        <v>-3.5</v>
      </c>
      <c r="F136" s="1">
        <v>5.2</v>
      </c>
      <c r="G136" s="1">
        <f t="shared" si="16"/>
        <v>1077.7999999999997</v>
      </c>
      <c r="H136" s="1">
        <f t="shared" si="21"/>
        <v>91.799999999999983</v>
      </c>
      <c r="J136" s="1">
        <v>0</v>
      </c>
      <c r="K136" s="1">
        <f t="shared" si="17"/>
        <v>262.8</v>
      </c>
      <c r="L136" s="1">
        <v>0.8</v>
      </c>
      <c r="M136" s="1">
        <f t="shared" si="18"/>
        <v>106.6</v>
      </c>
      <c r="N136" s="5">
        <f t="shared" si="15"/>
        <v>-0.8</v>
      </c>
      <c r="O136" s="1">
        <v>129.79999999999995</v>
      </c>
      <c r="P136" s="1">
        <v>97</v>
      </c>
      <c r="Q136" s="1">
        <v>1</v>
      </c>
      <c r="R136" s="9">
        <f t="shared" si="12"/>
        <v>0.8</v>
      </c>
      <c r="S136" s="9">
        <f t="shared" si="13"/>
        <v>-0.8</v>
      </c>
      <c r="T136" s="9">
        <f t="shared" si="20"/>
        <v>129.79999999999995</v>
      </c>
      <c r="V136" s="10">
        <v>634.5</v>
      </c>
      <c r="W136" s="1" t="e">
        <f t="shared" si="14"/>
        <v>#DIV/0!</v>
      </c>
      <c r="X136" s="1">
        <f t="shared" si="19"/>
        <v>52954.400000000016</v>
      </c>
      <c r="Y136" s="1">
        <f t="shared" si="22"/>
        <v>7340.5</v>
      </c>
      <c r="AA136" s="1">
        <v>8.5768091510434008</v>
      </c>
    </row>
    <row r="137" spans="1:27" s="1" customFormat="1" x14ac:dyDescent="0.25">
      <c r="A137" s="80"/>
      <c r="B137" s="20"/>
      <c r="C137" s="3">
        <v>41618</v>
      </c>
      <c r="D137" s="19">
        <v>-0.4</v>
      </c>
      <c r="E137" s="19">
        <v>-3.4</v>
      </c>
      <c r="F137" s="12">
        <v>4.8</v>
      </c>
      <c r="G137" s="1">
        <v>1077.8</v>
      </c>
      <c r="H137" s="1">
        <v>91.8</v>
      </c>
      <c r="J137" s="1">
        <v>0</v>
      </c>
      <c r="K137" s="1">
        <f t="shared" si="17"/>
        <v>262.8</v>
      </c>
      <c r="L137" s="1">
        <v>0.8</v>
      </c>
      <c r="M137" s="1">
        <f t="shared" si="18"/>
        <v>107.39999999999999</v>
      </c>
      <c r="N137" s="5">
        <f t="shared" si="15"/>
        <v>-0.8</v>
      </c>
      <c r="O137" s="1">
        <v>128.99999999999994</v>
      </c>
      <c r="P137" s="1">
        <v>98</v>
      </c>
      <c r="Q137" s="1">
        <v>1</v>
      </c>
      <c r="R137" s="9">
        <f t="shared" si="12"/>
        <v>0.8</v>
      </c>
      <c r="S137" s="9">
        <f t="shared" si="13"/>
        <v>-0.8</v>
      </c>
      <c r="T137" s="9">
        <f t="shared" si="20"/>
        <v>128.99999999999994</v>
      </c>
      <c r="V137" s="10">
        <v>655.9</v>
      </c>
      <c r="W137" s="1">
        <f t="shared" si="14"/>
        <v>-1639.7499999999998</v>
      </c>
      <c r="X137" s="1">
        <f t="shared" si="19"/>
        <v>53610.300000000017</v>
      </c>
      <c r="Y137" s="1">
        <f t="shared" si="22"/>
        <v>7996.4</v>
      </c>
      <c r="AA137" s="1">
        <v>8.5579529080532897</v>
      </c>
    </row>
    <row r="138" spans="1:27" s="1" customFormat="1" x14ac:dyDescent="0.25">
      <c r="A138" s="80"/>
      <c r="B138" s="20"/>
      <c r="C138" s="3">
        <v>41619</v>
      </c>
      <c r="D138" s="19">
        <v>-0.8</v>
      </c>
      <c r="E138" s="19">
        <v>-4</v>
      </c>
      <c r="F138" s="12">
        <v>4.5</v>
      </c>
      <c r="G138" s="1">
        <v>1077.8</v>
      </c>
      <c r="H138" s="1">
        <v>91.8</v>
      </c>
      <c r="J138" s="1">
        <v>0</v>
      </c>
      <c r="K138" s="1">
        <f t="shared" si="17"/>
        <v>262.8</v>
      </c>
      <c r="L138" s="1">
        <v>0.7</v>
      </c>
      <c r="M138" s="1">
        <f t="shared" si="18"/>
        <v>108.1</v>
      </c>
      <c r="N138" s="5">
        <f t="shared" si="15"/>
        <v>-0.7</v>
      </c>
      <c r="O138" s="1">
        <v>128.29999999999995</v>
      </c>
      <c r="P138" s="1">
        <v>99</v>
      </c>
      <c r="Q138" s="1">
        <v>1</v>
      </c>
      <c r="R138" s="9">
        <f t="shared" si="12"/>
        <v>0.7</v>
      </c>
      <c r="S138" s="9">
        <f t="shared" si="13"/>
        <v>-0.7</v>
      </c>
      <c r="T138" s="9">
        <f t="shared" si="20"/>
        <v>128.29999999999995</v>
      </c>
      <c r="V138" s="10">
        <v>679.5</v>
      </c>
      <c r="W138" s="1">
        <f t="shared" si="14"/>
        <v>-849.375</v>
      </c>
      <c r="X138" s="1">
        <f t="shared" si="19"/>
        <v>54289.800000000017</v>
      </c>
      <c r="Y138" s="1">
        <f t="shared" si="22"/>
        <v>8675.9</v>
      </c>
      <c r="AA138" s="1">
        <v>8.5404632525758704</v>
      </c>
    </row>
    <row r="139" spans="1:27" s="1" customFormat="1" x14ac:dyDescent="0.25">
      <c r="A139" s="80"/>
      <c r="B139" s="20"/>
      <c r="C139" s="3">
        <v>41620</v>
      </c>
      <c r="D139" s="12">
        <v>0.1</v>
      </c>
      <c r="E139" s="19">
        <v>-3.7</v>
      </c>
      <c r="F139" s="1">
        <v>5.5</v>
      </c>
      <c r="G139" s="1">
        <f t="shared" si="16"/>
        <v>1077.8999999999999</v>
      </c>
      <c r="H139" s="1">
        <f t="shared" si="21"/>
        <v>91.899999999999991</v>
      </c>
      <c r="J139" s="1">
        <v>0</v>
      </c>
      <c r="K139" s="1">
        <f t="shared" si="17"/>
        <v>262.8</v>
      </c>
      <c r="L139" s="1">
        <v>0.6</v>
      </c>
      <c r="M139" s="1">
        <f t="shared" si="18"/>
        <v>108.69999999999999</v>
      </c>
      <c r="N139" s="5">
        <f t="shared" si="15"/>
        <v>-0.6</v>
      </c>
      <c r="O139" s="1">
        <v>127.69999999999996</v>
      </c>
      <c r="P139" s="1">
        <v>100</v>
      </c>
      <c r="Q139" s="1">
        <v>1</v>
      </c>
      <c r="R139" s="9">
        <f t="shared" si="12"/>
        <v>0.6</v>
      </c>
      <c r="S139" s="9">
        <f t="shared" si="13"/>
        <v>-0.6</v>
      </c>
      <c r="T139" s="9">
        <f t="shared" si="20"/>
        <v>127.69999999999996</v>
      </c>
      <c r="V139" s="10">
        <v>564.79999999999995</v>
      </c>
      <c r="W139" s="1">
        <f t="shared" si="14"/>
        <v>5647.9999999999991</v>
      </c>
      <c r="X139" s="1">
        <f t="shared" si="19"/>
        <v>54854.60000000002</v>
      </c>
      <c r="Y139" s="1">
        <f t="shared" si="22"/>
        <v>9240.6999999999989</v>
      </c>
      <c r="AA139" s="1">
        <v>8.5243597753343607</v>
      </c>
    </row>
    <row r="140" spans="1:27" s="1" customFormat="1" x14ac:dyDescent="0.25">
      <c r="A140" s="80"/>
      <c r="B140" s="20"/>
      <c r="C140" s="3">
        <v>41621</v>
      </c>
      <c r="D140" s="12">
        <v>3</v>
      </c>
      <c r="E140" s="19">
        <v>-3</v>
      </c>
      <c r="F140" s="1">
        <v>7</v>
      </c>
      <c r="G140" s="1">
        <f t="shared" si="16"/>
        <v>1080.8999999999999</v>
      </c>
      <c r="H140" s="1">
        <f t="shared" si="21"/>
        <v>94.899999999999991</v>
      </c>
      <c r="J140" s="1">
        <v>3.9</v>
      </c>
      <c r="K140" s="1">
        <f t="shared" si="17"/>
        <v>266.7</v>
      </c>
      <c r="L140" s="1">
        <v>0.3</v>
      </c>
      <c r="M140" s="1">
        <f t="shared" si="18"/>
        <v>108.99999999999999</v>
      </c>
      <c r="N140" s="1">
        <f t="shared" si="15"/>
        <v>3.6</v>
      </c>
      <c r="O140" s="1">
        <v>131.29999999999995</v>
      </c>
      <c r="P140" s="1">
        <v>101</v>
      </c>
      <c r="Q140" s="1">
        <v>1</v>
      </c>
      <c r="R140" s="9">
        <f t="shared" si="12"/>
        <v>0.3</v>
      </c>
      <c r="S140" s="9">
        <f t="shared" si="13"/>
        <v>3.6</v>
      </c>
      <c r="T140" s="9">
        <f t="shared" si="20"/>
        <v>131.29999999999995</v>
      </c>
      <c r="V140" s="10">
        <v>416.1</v>
      </c>
      <c r="W140" s="1">
        <f t="shared" si="14"/>
        <v>138.70000000000002</v>
      </c>
      <c r="X140" s="1">
        <f t="shared" si="19"/>
        <v>55270.700000000019</v>
      </c>
      <c r="Y140" s="1">
        <f t="shared" si="22"/>
        <v>9656.7999999999993</v>
      </c>
      <c r="AA140" s="1">
        <v>8.5096607741975703</v>
      </c>
    </row>
    <row r="141" spans="1:27" s="1" customFormat="1" x14ac:dyDescent="0.25">
      <c r="A141" s="80"/>
      <c r="B141" s="7"/>
      <c r="C141" s="3">
        <v>41622</v>
      </c>
      <c r="D141" s="1">
        <v>5.3</v>
      </c>
      <c r="E141" s="12">
        <v>4.8</v>
      </c>
      <c r="F141" s="1">
        <v>5.6</v>
      </c>
      <c r="G141" s="1">
        <f t="shared" si="16"/>
        <v>1086.1999999999998</v>
      </c>
      <c r="H141" s="1">
        <f t="shared" si="21"/>
        <v>100.19999999999999</v>
      </c>
      <c r="J141" s="1">
        <v>0.1</v>
      </c>
      <c r="K141" s="1">
        <f t="shared" si="17"/>
        <v>266.8</v>
      </c>
      <c r="L141" s="1">
        <v>0.2</v>
      </c>
      <c r="M141" s="1">
        <f t="shared" si="18"/>
        <v>109.19999999999999</v>
      </c>
      <c r="N141" s="5">
        <f t="shared" si="15"/>
        <v>-0.1</v>
      </c>
      <c r="O141" s="1">
        <v>131.19999999999996</v>
      </c>
      <c r="P141" s="1">
        <v>102</v>
      </c>
      <c r="Q141" s="1">
        <v>1</v>
      </c>
      <c r="R141" s="9">
        <f t="shared" si="12"/>
        <v>0.2</v>
      </c>
      <c r="S141" s="9">
        <f t="shared" si="13"/>
        <v>-0.1</v>
      </c>
      <c r="T141" s="9">
        <f t="shared" si="20"/>
        <v>131.19999999999996</v>
      </c>
      <c r="V141" s="10">
        <v>299.60000000000002</v>
      </c>
      <c r="W141" s="1">
        <f t="shared" si="14"/>
        <v>56.528301886792462</v>
      </c>
      <c r="X141" s="1">
        <f t="shared" si="19"/>
        <v>55570.300000000017</v>
      </c>
      <c r="Y141" s="1">
        <f t="shared" si="22"/>
        <v>9956.4</v>
      </c>
      <c r="AA141" s="1">
        <v>8.4963831828926306</v>
      </c>
    </row>
    <row r="142" spans="1:27" s="1" customFormat="1" x14ac:dyDescent="0.25">
      <c r="A142" s="80"/>
      <c r="B142" s="20"/>
      <c r="C142" s="3">
        <v>41623</v>
      </c>
      <c r="D142" s="12">
        <v>5</v>
      </c>
      <c r="E142" s="12">
        <v>2.4</v>
      </c>
      <c r="F142" s="1">
        <v>8.6</v>
      </c>
      <c r="G142" s="1">
        <f t="shared" si="16"/>
        <v>1091.1999999999998</v>
      </c>
      <c r="H142" s="1">
        <f t="shared" si="21"/>
        <v>105.19999999999999</v>
      </c>
      <c r="J142" s="1">
        <v>0</v>
      </c>
      <c r="K142" s="1">
        <f t="shared" si="17"/>
        <v>266.8</v>
      </c>
      <c r="L142" s="1">
        <v>0.7</v>
      </c>
      <c r="M142" s="1">
        <f t="shared" si="18"/>
        <v>109.89999999999999</v>
      </c>
      <c r="N142" s="5">
        <f t="shared" si="15"/>
        <v>-0.7</v>
      </c>
      <c r="O142" s="1">
        <v>130.49999999999997</v>
      </c>
      <c r="P142" s="1">
        <v>103</v>
      </c>
      <c r="Q142" s="1">
        <v>1</v>
      </c>
      <c r="R142" s="9">
        <f t="shared" si="12"/>
        <v>0.7</v>
      </c>
      <c r="S142" s="9">
        <f t="shared" si="13"/>
        <v>-0.7</v>
      </c>
      <c r="T142" s="9">
        <f t="shared" si="20"/>
        <v>130.49999999999997</v>
      </c>
      <c r="V142" s="10">
        <v>553.79999999999995</v>
      </c>
      <c r="W142" s="1">
        <f t="shared" si="14"/>
        <v>110.75999999999999</v>
      </c>
      <c r="X142" s="1">
        <f t="shared" si="19"/>
        <v>56124.10000000002</v>
      </c>
      <c r="Y142" s="1">
        <f t="shared" si="22"/>
        <v>10510.199999999999</v>
      </c>
      <c r="AA142" s="1">
        <v>8.4845425039016593</v>
      </c>
    </row>
    <row r="143" spans="1:27" s="1" customFormat="1" x14ac:dyDescent="0.25">
      <c r="A143" s="80"/>
      <c r="B143" s="7"/>
      <c r="C143" s="3">
        <v>41624</v>
      </c>
      <c r="D143" s="1">
        <v>5.0999999999999996</v>
      </c>
      <c r="E143" s="19">
        <v>-0.1</v>
      </c>
      <c r="F143" s="1">
        <v>11.2</v>
      </c>
      <c r="G143" s="1">
        <f t="shared" si="16"/>
        <v>1096.2999999999997</v>
      </c>
      <c r="H143" s="1">
        <f t="shared" si="21"/>
        <v>110.29999999999998</v>
      </c>
      <c r="J143" s="1">
        <v>0.2</v>
      </c>
      <c r="K143" s="1">
        <f t="shared" si="17"/>
        <v>267</v>
      </c>
      <c r="L143" s="1">
        <v>1</v>
      </c>
      <c r="M143" s="1">
        <f t="shared" si="18"/>
        <v>110.89999999999999</v>
      </c>
      <c r="N143" s="5">
        <f t="shared" si="15"/>
        <v>-0.8</v>
      </c>
      <c r="O143" s="1">
        <v>129.69999999999996</v>
      </c>
      <c r="P143" s="1">
        <v>104</v>
      </c>
      <c r="Q143" s="1">
        <v>1</v>
      </c>
      <c r="R143" s="9">
        <f t="shared" si="12"/>
        <v>1</v>
      </c>
      <c r="S143" s="9">
        <f t="shared" si="13"/>
        <v>-0.8</v>
      </c>
      <c r="T143" s="9">
        <f t="shared" si="20"/>
        <v>129.69999999999996</v>
      </c>
      <c r="V143" s="10">
        <v>698.9</v>
      </c>
      <c r="W143" s="1">
        <f t="shared" si="14"/>
        <v>137.0392156862745</v>
      </c>
      <c r="X143" s="1">
        <f t="shared" si="19"/>
        <v>56823.000000000022</v>
      </c>
      <c r="Y143" s="1">
        <f t="shared" si="22"/>
        <v>11209.099999999999</v>
      </c>
      <c r="AA143" s="1">
        <v>8.4741527460759496</v>
      </c>
    </row>
    <row r="144" spans="1:27" s="1" customFormat="1" x14ac:dyDescent="0.25">
      <c r="A144" s="80"/>
      <c r="B144" s="7"/>
      <c r="C144" s="3">
        <v>41625</v>
      </c>
      <c r="D144" s="1">
        <v>6.6</v>
      </c>
      <c r="E144" s="19">
        <v>-0.9</v>
      </c>
      <c r="F144" s="1">
        <v>11.4</v>
      </c>
      <c r="G144" s="1">
        <f t="shared" si="16"/>
        <v>1102.8999999999996</v>
      </c>
      <c r="H144" s="1">
        <f t="shared" si="21"/>
        <v>116.89999999999998</v>
      </c>
      <c r="J144" s="1">
        <v>0.4</v>
      </c>
      <c r="K144" s="1">
        <f t="shared" si="17"/>
        <v>267.39999999999998</v>
      </c>
      <c r="L144" s="1">
        <v>0.4</v>
      </c>
      <c r="M144" s="1">
        <f t="shared" si="18"/>
        <v>111.3</v>
      </c>
      <c r="N144" s="1">
        <f t="shared" si="15"/>
        <v>0</v>
      </c>
      <c r="O144" s="1">
        <v>129.69999999999996</v>
      </c>
      <c r="P144" s="1">
        <v>105</v>
      </c>
      <c r="Q144" s="1">
        <v>1</v>
      </c>
      <c r="R144" s="9">
        <f t="shared" si="12"/>
        <v>0.4</v>
      </c>
      <c r="S144" s="9">
        <f t="shared" si="13"/>
        <v>0</v>
      </c>
      <c r="T144" s="9">
        <f t="shared" si="20"/>
        <v>129.69999999999996</v>
      </c>
      <c r="V144" s="10">
        <v>567.6</v>
      </c>
      <c r="W144" s="1">
        <f t="shared" si="14"/>
        <v>86.000000000000014</v>
      </c>
      <c r="X144" s="1">
        <f t="shared" si="19"/>
        <v>57390.60000000002</v>
      </c>
      <c r="Y144" s="1">
        <f t="shared" si="22"/>
        <v>11776.699999999999</v>
      </c>
      <c r="AA144" s="1">
        <v>8.4652263674748607</v>
      </c>
    </row>
    <row r="145" spans="1:27" s="1" customFormat="1" x14ac:dyDescent="0.25">
      <c r="A145" s="80"/>
      <c r="B145" s="7"/>
      <c r="C145" s="3">
        <v>41626</v>
      </c>
      <c r="D145" s="1">
        <v>9</v>
      </c>
      <c r="E145" s="1">
        <v>7.6</v>
      </c>
      <c r="F145" s="1">
        <v>10.1</v>
      </c>
      <c r="G145" s="1">
        <f t="shared" si="16"/>
        <v>1111.8999999999996</v>
      </c>
      <c r="H145" s="1">
        <f t="shared" si="21"/>
        <v>125.89999999999998</v>
      </c>
      <c r="J145" s="1">
        <v>5.3</v>
      </c>
      <c r="K145" s="1">
        <f t="shared" si="17"/>
        <v>272.7</v>
      </c>
      <c r="L145" s="1">
        <v>0.6</v>
      </c>
      <c r="M145" s="1">
        <f t="shared" si="18"/>
        <v>111.89999999999999</v>
      </c>
      <c r="N145" s="1">
        <f t="shared" si="15"/>
        <v>4.7</v>
      </c>
      <c r="O145" s="1">
        <v>134.39999999999995</v>
      </c>
      <c r="P145" s="1">
        <v>106</v>
      </c>
      <c r="Q145" s="1">
        <v>1</v>
      </c>
      <c r="R145" s="9">
        <f t="shared" si="12"/>
        <v>0.6</v>
      </c>
      <c r="S145" s="9">
        <f t="shared" si="13"/>
        <v>4.7</v>
      </c>
      <c r="T145" s="9">
        <f t="shared" si="20"/>
        <v>134.39999999999995</v>
      </c>
      <c r="V145" s="10">
        <v>133.1</v>
      </c>
      <c r="W145" s="1">
        <f t="shared" si="14"/>
        <v>14.788888888888888</v>
      </c>
      <c r="X145" s="1">
        <f t="shared" si="19"/>
        <v>57523.700000000019</v>
      </c>
      <c r="Y145" s="1">
        <f t="shared" si="22"/>
        <v>11909.8</v>
      </c>
      <c r="AA145" s="1">
        <v>8.4577742239032006</v>
      </c>
    </row>
    <row r="146" spans="1:27" s="1" customFormat="1" x14ac:dyDescent="0.25">
      <c r="A146" s="80"/>
      <c r="B146" s="7"/>
      <c r="C146" s="3">
        <v>41627</v>
      </c>
      <c r="D146" s="1">
        <v>7.5</v>
      </c>
      <c r="E146" s="12">
        <v>4.5</v>
      </c>
      <c r="F146" s="1">
        <v>9.5</v>
      </c>
      <c r="G146" s="1">
        <f t="shared" si="16"/>
        <v>1119.3999999999996</v>
      </c>
      <c r="H146" s="1">
        <f t="shared" si="21"/>
        <v>133.39999999999998</v>
      </c>
      <c r="J146" s="1">
        <v>1.2</v>
      </c>
      <c r="K146" s="1">
        <f t="shared" si="17"/>
        <v>273.89999999999998</v>
      </c>
      <c r="L146" s="1">
        <v>0.6</v>
      </c>
      <c r="M146" s="1">
        <f t="shared" si="18"/>
        <v>112.49999999999999</v>
      </c>
      <c r="N146" s="1">
        <f t="shared" si="15"/>
        <v>0.6</v>
      </c>
      <c r="O146" s="1">
        <v>134.99999999999994</v>
      </c>
      <c r="P146" s="1">
        <v>107</v>
      </c>
      <c r="Q146" s="1">
        <v>1</v>
      </c>
      <c r="R146" s="9">
        <f t="shared" si="12"/>
        <v>0.6</v>
      </c>
      <c r="S146" s="9">
        <f t="shared" si="13"/>
        <v>0.6</v>
      </c>
      <c r="T146" s="9">
        <f t="shared" si="20"/>
        <v>134.99999999999994</v>
      </c>
      <c r="V146" s="10">
        <v>437.9</v>
      </c>
      <c r="W146" s="1">
        <f t="shared" si="14"/>
        <v>58.386666666666663</v>
      </c>
      <c r="X146" s="1">
        <f t="shared" si="19"/>
        <v>57961.60000000002</v>
      </c>
      <c r="Y146" s="1">
        <f t="shared" si="22"/>
        <v>12347.699999999999</v>
      </c>
      <c r="AA146" s="1">
        <v>8.4518055235815392</v>
      </c>
    </row>
    <row r="147" spans="1:27" s="1" customFormat="1" x14ac:dyDescent="0.25">
      <c r="A147" s="80"/>
      <c r="B147" s="20"/>
      <c r="C147" s="3">
        <v>41628</v>
      </c>
      <c r="D147" s="12">
        <v>4.0999999999999996</v>
      </c>
      <c r="E147" s="12">
        <v>2.4</v>
      </c>
      <c r="F147" s="1">
        <v>7</v>
      </c>
      <c r="G147" s="1">
        <f t="shared" si="16"/>
        <v>1123.4999999999995</v>
      </c>
      <c r="H147" s="1">
        <f t="shared" si="21"/>
        <v>137.49999999999997</v>
      </c>
      <c r="J147" s="1">
        <v>0.2</v>
      </c>
      <c r="K147" s="1">
        <f t="shared" si="17"/>
        <v>274.09999999999997</v>
      </c>
      <c r="L147" s="1">
        <v>0.6</v>
      </c>
      <c r="M147" s="1">
        <f t="shared" si="18"/>
        <v>113.09999999999998</v>
      </c>
      <c r="N147" s="5">
        <f t="shared" si="15"/>
        <v>-0.39999999999999997</v>
      </c>
      <c r="O147" s="1">
        <v>134.59999999999994</v>
      </c>
      <c r="P147" s="1">
        <v>108</v>
      </c>
      <c r="Q147" s="1">
        <v>1</v>
      </c>
      <c r="R147" s="9">
        <f t="shared" si="12"/>
        <v>0.6</v>
      </c>
      <c r="S147" s="9">
        <f t="shared" si="13"/>
        <v>-0.39999999999999997</v>
      </c>
      <c r="T147" s="9">
        <f t="shared" si="20"/>
        <v>134.59999999999994</v>
      </c>
      <c r="V147" s="10">
        <v>565.6</v>
      </c>
      <c r="W147" s="1">
        <f t="shared" si="14"/>
        <v>137.95121951219514</v>
      </c>
      <c r="X147" s="1">
        <f t="shared" si="19"/>
        <v>58527.200000000019</v>
      </c>
      <c r="Y147" s="1">
        <f t="shared" si="22"/>
        <v>12913.3</v>
      </c>
      <c r="AA147" s="1">
        <v>8.4473277883374998</v>
      </c>
    </row>
    <row r="148" spans="1:27" s="1" customFormat="1" x14ac:dyDescent="0.25">
      <c r="A148" s="80"/>
      <c r="B148" s="20"/>
      <c r="C148" s="3">
        <v>41629</v>
      </c>
      <c r="D148" s="12">
        <v>4.5</v>
      </c>
      <c r="E148" s="12">
        <v>2.2000000000000002</v>
      </c>
      <c r="F148" s="1">
        <v>7.4</v>
      </c>
      <c r="G148" s="1">
        <f t="shared" si="16"/>
        <v>1127.9999999999995</v>
      </c>
      <c r="H148" s="1">
        <f t="shared" si="21"/>
        <v>141.99999999999997</v>
      </c>
      <c r="J148" s="1">
        <v>0.8</v>
      </c>
      <c r="K148" s="1">
        <f t="shared" si="17"/>
        <v>274.89999999999998</v>
      </c>
      <c r="L148" s="1">
        <v>0.8</v>
      </c>
      <c r="M148" s="1">
        <f t="shared" si="18"/>
        <v>113.89999999999998</v>
      </c>
      <c r="N148" s="1">
        <f t="shared" si="15"/>
        <v>0</v>
      </c>
      <c r="O148" s="1">
        <v>134.59999999999994</v>
      </c>
      <c r="P148" s="1">
        <v>109</v>
      </c>
      <c r="Q148" s="1">
        <v>1</v>
      </c>
      <c r="R148" s="9">
        <f t="shared" si="12"/>
        <v>0.8</v>
      </c>
      <c r="S148" s="9">
        <f t="shared" si="13"/>
        <v>0</v>
      </c>
      <c r="T148" s="9">
        <f t="shared" si="20"/>
        <v>134.59999999999994</v>
      </c>
      <c r="V148" s="10">
        <v>142</v>
      </c>
      <c r="W148" s="1">
        <f t="shared" si="14"/>
        <v>31.555555555555557</v>
      </c>
      <c r="X148" s="1">
        <f t="shared" si="19"/>
        <v>58669.200000000019</v>
      </c>
      <c r="Y148" s="1">
        <f t="shared" si="22"/>
        <v>13055.3</v>
      </c>
      <c r="AA148" s="1">
        <v>8.4443468216548592</v>
      </c>
    </row>
    <row r="149" spans="1:27" s="63" customFormat="1" ht="15.75" thickBot="1" x14ac:dyDescent="0.3">
      <c r="A149" s="80"/>
      <c r="B149" s="61"/>
      <c r="C149" s="62">
        <v>41630</v>
      </c>
      <c r="D149" s="63">
        <v>8.6</v>
      </c>
      <c r="E149" s="63">
        <v>5.4</v>
      </c>
      <c r="F149" s="63">
        <v>10</v>
      </c>
      <c r="G149" s="63">
        <f t="shared" si="16"/>
        <v>1136.5999999999995</v>
      </c>
      <c r="H149" s="63">
        <f t="shared" si="21"/>
        <v>150.59999999999997</v>
      </c>
      <c r="J149" s="63">
        <v>0.9</v>
      </c>
      <c r="K149" s="63">
        <f t="shared" si="17"/>
        <v>275.79999999999995</v>
      </c>
      <c r="L149" s="63">
        <v>0.1</v>
      </c>
      <c r="M149" s="63">
        <f t="shared" si="18"/>
        <v>113.99999999999997</v>
      </c>
      <c r="N149" s="63">
        <f t="shared" si="15"/>
        <v>0.8</v>
      </c>
      <c r="O149" s="63">
        <v>135.39999999999995</v>
      </c>
      <c r="P149" s="63">
        <v>110</v>
      </c>
      <c r="Q149" s="63">
        <v>1</v>
      </c>
      <c r="R149" s="64">
        <f t="shared" si="12"/>
        <v>0.1</v>
      </c>
      <c r="S149" s="64">
        <f t="shared" si="13"/>
        <v>0.8</v>
      </c>
      <c r="T149" s="64">
        <f t="shared" si="20"/>
        <v>135.39999999999995</v>
      </c>
      <c r="V149" s="63">
        <v>81.2</v>
      </c>
      <c r="W149" s="63">
        <f t="shared" si="14"/>
        <v>9.4418604651162799</v>
      </c>
      <c r="X149" s="63">
        <f t="shared" si="19"/>
        <v>58750.400000000016</v>
      </c>
      <c r="Y149" s="63">
        <f t="shared" si="22"/>
        <v>13136.5</v>
      </c>
      <c r="AA149" s="63">
        <v>8.4428666838604691</v>
      </c>
    </row>
    <row r="150" spans="1:27" s="1" customFormat="1" ht="15" customHeight="1" x14ac:dyDescent="0.25">
      <c r="A150" s="81" t="s">
        <v>21</v>
      </c>
      <c r="B150" s="7"/>
      <c r="C150" s="3">
        <v>41631</v>
      </c>
      <c r="D150" s="1">
        <v>10.5</v>
      </c>
      <c r="E150" s="1">
        <v>9</v>
      </c>
      <c r="F150" s="1">
        <v>11.9</v>
      </c>
      <c r="G150" s="1">
        <f t="shared" si="16"/>
        <v>1147.0999999999995</v>
      </c>
      <c r="H150" s="1">
        <v>10.5</v>
      </c>
      <c r="I150" s="21" t="s">
        <v>3</v>
      </c>
      <c r="J150" s="1">
        <v>3</v>
      </c>
      <c r="K150" s="1">
        <f t="shared" si="17"/>
        <v>278.79999999999995</v>
      </c>
      <c r="L150" s="1">
        <v>1.4</v>
      </c>
      <c r="M150" s="1">
        <f t="shared" si="18"/>
        <v>115.39999999999998</v>
      </c>
      <c r="N150" s="1">
        <f t="shared" si="15"/>
        <v>1.6</v>
      </c>
      <c r="O150" s="1">
        <v>136.99999999999994</v>
      </c>
      <c r="P150" s="1">
        <v>111</v>
      </c>
      <c r="Q150" s="11">
        <f>1+((P150-110)/98)*(1.15-1)</f>
        <v>1.0015306122448979</v>
      </c>
      <c r="R150" s="9">
        <f t="shared" si="12"/>
        <v>1.4021428571428569</v>
      </c>
      <c r="S150" s="9">
        <f t="shared" si="13"/>
        <v>1.5978571428571431</v>
      </c>
      <c r="T150" s="9">
        <f t="shared" si="20"/>
        <v>136.9978571428571</v>
      </c>
      <c r="U150" s="21" t="s">
        <v>4</v>
      </c>
      <c r="V150" s="10">
        <v>170</v>
      </c>
      <c r="W150" s="1">
        <f t="shared" si="14"/>
        <v>16.19047619047619</v>
      </c>
      <c r="X150" s="1">
        <f t="shared" si="19"/>
        <v>58920.400000000016</v>
      </c>
      <c r="Y150" s="1">
        <v>170</v>
      </c>
      <c r="Z150" s="21" t="s">
        <v>5</v>
      </c>
      <c r="AA150" s="1">
        <v>8.4428896746684305</v>
      </c>
    </row>
    <row r="151" spans="1:27" s="1" customFormat="1" x14ac:dyDescent="0.25">
      <c r="A151" s="81"/>
      <c r="B151" s="7"/>
      <c r="C151" s="3">
        <v>41632</v>
      </c>
      <c r="D151" s="1">
        <v>9.9</v>
      </c>
      <c r="E151" s="1">
        <v>9.4</v>
      </c>
      <c r="F151" s="1">
        <v>11</v>
      </c>
      <c r="G151" s="1">
        <f t="shared" si="16"/>
        <v>1156.9999999999995</v>
      </c>
      <c r="H151" s="1">
        <f t="shared" si="21"/>
        <v>20.399999999999999</v>
      </c>
      <c r="I151" s="1">
        <f>MIN(E150:E247)</f>
        <v>-1.5</v>
      </c>
      <c r="J151" s="1">
        <v>14.1</v>
      </c>
      <c r="K151" s="1">
        <f t="shared" si="17"/>
        <v>292.89999999999998</v>
      </c>
      <c r="L151" s="1">
        <v>1.3</v>
      </c>
      <c r="M151" s="1">
        <f t="shared" si="18"/>
        <v>116.69999999999997</v>
      </c>
      <c r="N151" s="1">
        <f t="shared" si="15"/>
        <v>12.799999999999999</v>
      </c>
      <c r="O151" s="1">
        <v>138.9</v>
      </c>
      <c r="P151" s="1">
        <v>112</v>
      </c>
      <c r="Q151" s="11">
        <f t="shared" ref="Q151:Q214" si="23">1+((P151-110)/98)*(1.15-1)</f>
        <v>1.0030612244897958</v>
      </c>
      <c r="R151" s="9">
        <f t="shared" si="12"/>
        <v>1.3039795918367347</v>
      </c>
      <c r="S151" s="9">
        <f t="shared" si="13"/>
        <v>12.796020408163265</v>
      </c>
      <c r="T151" s="9">
        <f t="shared" si="20"/>
        <v>138.9</v>
      </c>
      <c r="U151" s="1">
        <v>46</v>
      </c>
      <c r="V151" s="10">
        <v>93.6</v>
      </c>
      <c r="W151" s="1">
        <f t="shared" si="14"/>
        <v>9.4545454545454533</v>
      </c>
      <c r="X151" s="1">
        <f t="shared" si="19"/>
        <v>59014.000000000015</v>
      </c>
      <c r="Y151" s="1">
        <f t="shared" si="22"/>
        <v>263.60000000000002</v>
      </c>
      <c r="Z151" s="1">
        <v>61951.399999999994</v>
      </c>
      <c r="AA151" s="1">
        <v>8.4444163232367497</v>
      </c>
    </row>
    <row r="152" spans="1:27" s="1" customFormat="1" x14ac:dyDescent="0.25">
      <c r="A152" s="81"/>
      <c r="B152" s="7"/>
      <c r="C152" s="3">
        <v>41633</v>
      </c>
      <c r="D152" s="1">
        <v>6.4</v>
      </c>
      <c r="E152" s="1">
        <v>5.5</v>
      </c>
      <c r="F152" s="1">
        <v>8.5</v>
      </c>
      <c r="G152" s="1">
        <f t="shared" si="16"/>
        <v>1163.3999999999996</v>
      </c>
      <c r="H152" s="1">
        <f t="shared" si="21"/>
        <v>26.799999999999997</v>
      </c>
      <c r="I152" s="21" t="s">
        <v>6</v>
      </c>
      <c r="J152" s="1">
        <v>2.2000000000000002</v>
      </c>
      <c r="K152" s="1">
        <f t="shared" si="17"/>
        <v>295.09999999999997</v>
      </c>
      <c r="L152" s="1">
        <v>0.6</v>
      </c>
      <c r="M152" s="1">
        <f t="shared" si="18"/>
        <v>117.29999999999997</v>
      </c>
      <c r="N152" s="1">
        <f t="shared" si="15"/>
        <v>1.6</v>
      </c>
      <c r="O152" s="1">
        <v>138.9</v>
      </c>
      <c r="P152" s="1">
        <v>113</v>
      </c>
      <c r="Q152" s="11">
        <f t="shared" si="23"/>
        <v>1.0045918367346938</v>
      </c>
      <c r="R152" s="9">
        <f t="shared" si="12"/>
        <v>0.60275510204081628</v>
      </c>
      <c r="S152" s="9">
        <f t="shared" si="13"/>
        <v>1.5972448979591838</v>
      </c>
      <c r="T152" s="9">
        <f t="shared" si="20"/>
        <v>138.9</v>
      </c>
      <c r="U152" s="21" t="s">
        <v>7</v>
      </c>
      <c r="V152" s="10">
        <v>228</v>
      </c>
      <c r="W152" s="1">
        <f t="shared" si="14"/>
        <v>35.625</v>
      </c>
      <c r="X152" s="1">
        <f t="shared" si="19"/>
        <v>59242.000000000015</v>
      </c>
      <c r="Y152" s="1">
        <f t="shared" si="22"/>
        <v>491.6</v>
      </c>
      <c r="Z152" s="21" t="s">
        <v>8</v>
      </c>
      <c r="AA152" s="1">
        <v>8.4474453858254002</v>
      </c>
    </row>
    <row r="153" spans="1:27" s="1" customFormat="1" x14ac:dyDescent="0.25">
      <c r="A153" s="81"/>
      <c r="B153" s="20"/>
      <c r="C153" s="3">
        <v>41634</v>
      </c>
      <c r="D153" s="12">
        <v>5</v>
      </c>
      <c r="E153" s="12">
        <v>3.5</v>
      </c>
      <c r="F153" s="1">
        <v>7.4</v>
      </c>
      <c r="G153" s="1">
        <f t="shared" si="16"/>
        <v>1168.3999999999996</v>
      </c>
      <c r="H153" s="1">
        <f t="shared" si="21"/>
        <v>31.799999999999997</v>
      </c>
      <c r="I153" s="1">
        <f>MAX(F150:F247)</f>
        <v>19.399999999999999</v>
      </c>
      <c r="J153" s="1">
        <v>1</v>
      </c>
      <c r="K153" s="1">
        <f t="shared" si="17"/>
        <v>296.09999999999997</v>
      </c>
      <c r="L153" s="1">
        <v>0.5</v>
      </c>
      <c r="M153" s="1">
        <f t="shared" si="18"/>
        <v>117.79999999999997</v>
      </c>
      <c r="N153" s="1">
        <f t="shared" si="15"/>
        <v>0.5</v>
      </c>
      <c r="O153" s="1">
        <v>138.9</v>
      </c>
      <c r="P153" s="1">
        <v>114</v>
      </c>
      <c r="Q153" s="11">
        <f t="shared" si="23"/>
        <v>1.0061224489795919</v>
      </c>
      <c r="R153" s="9">
        <f t="shared" si="12"/>
        <v>0.50306122448979596</v>
      </c>
      <c r="S153" s="9">
        <f t="shared" si="13"/>
        <v>0.49693877551020404</v>
      </c>
      <c r="T153" s="9">
        <f t="shared" si="20"/>
        <v>138.9</v>
      </c>
      <c r="U153" s="1">
        <v>0</v>
      </c>
      <c r="V153" s="10">
        <v>375.3</v>
      </c>
      <c r="W153" s="1">
        <f t="shared" si="14"/>
        <v>75.06</v>
      </c>
      <c r="X153" s="1">
        <f t="shared" si="19"/>
        <v>59617.300000000017</v>
      </c>
      <c r="Y153" s="1">
        <f t="shared" si="22"/>
        <v>866.90000000000009</v>
      </c>
      <c r="Z153" s="11">
        <f>(Z151/100)/I163</f>
        <v>0.86766666666666648</v>
      </c>
      <c r="AA153" s="1">
        <v>8.4519738510766391</v>
      </c>
    </row>
    <row r="154" spans="1:27" s="1" customFormat="1" x14ac:dyDescent="0.25">
      <c r="A154" s="81"/>
      <c r="B154" s="7"/>
      <c r="C154" s="3">
        <v>41635</v>
      </c>
      <c r="D154" s="1">
        <v>9.8000000000000007</v>
      </c>
      <c r="E154" s="12">
        <v>4</v>
      </c>
      <c r="F154" s="1">
        <v>12.7</v>
      </c>
      <c r="G154" s="1">
        <f t="shared" si="16"/>
        <v>1178.1999999999996</v>
      </c>
      <c r="H154" s="1">
        <f t="shared" si="21"/>
        <v>41.599999999999994</v>
      </c>
      <c r="I154" s="21" t="s">
        <v>9</v>
      </c>
      <c r="J154" s="1">
        <v>5.9</v>
      </c>
      <c r="K154" s="1">
        <f t="shared" si="17"/>
        <v>301.99999999999994</v>
      </c>
      <c r="L154" s="1">
        <v>0.1</v>
      </c>
      <c r="M154" s="1">
        <f t="shared" si="18"/>
        <v>117.89999999999996</v>
      </c>
      <c r="N154" s="1">
        <f t="shared" si="15"/>
        <v>5.8000000000000007</v>
      </c>
      <c r="O154" s="1">
        <v>138.9</v>
      </c>
      <c r="P154" s="1">
        <v>115</v>
      </c>
      <c r="Q154" s="11">
        <f t="shared" si="23"/>
        <v>1.0076530612244898</v>
      </c>
      <c r="R154" s="9">
        <f t="shared" si="12"/>
        <v>0.10076530612244899</v>
      </c>
      <c r="S154" s="9">
        <f t="shared" si="13"/>
        <v>5.7992346938775512</v>
      </c>
      <c r="T154" s="9">
        <f t="shared" si="20"/>
        <v>138.9</v>
      </c>
      <c r="U154" s="21" t="s">
        <v>10</v>
      </c>
      <c r="V154" s="10">
        <v>89.6</v>
      </c>
      <c r="W154" s="1">
        <f t="shared" si="14"/>
        <v>9.1428571428571423</v>
      </c>
      <c r="X154" s="1">
        <f t="shared" si="19"/>
        <v>59706.900000000016</v>
      </c>
      <c r="Y154" s="1">
        <f t="shared" si="22"/>
        <v>956.50000000000011</v>
      </c>
      <c r="Z154" s="21" t="s">
        <v>11</v>
      </c>
      <c r="AA154" s="1">
        <v>8.4579969528707295</v>
      </c>
    </row>
    <row r="155" spans="1:27" s="1" customFormat="1" x14ac:dyDescent="0.25">
      <c r="A155" s="81"/>
      <c r="B155" s="7"/>
      <c r="C155" s="3">
        <v>41636</v>
      </c>
      <c r="D155" s="1">
        <v>7</v>
      </c>
      <c r="E155" s="12">
        <v>4.9000000000000004</v>
      </c>
      <c r="F155" s="1">
        <v>8.6</v>
      </c>
      <c r="G155" s="1">
        <f t="shared" si="16"/>
        <v>1185.1999999999996</v>
      </c>
      <c r="H155" s="1">
        <f t="shared" si="21"/>
        <v>48.599999999999994</v>
      </c>
      <c r="I155" s="9">
        <f>AVERAGE(D150:D247)</f>
        <v>7.2857142857142865</v>
      </c>
      <c r="J155" s="1">
        <v>5</v>
      </c>
      <c r="K155" s="1">
        <f t="shared" si="17"/>
        <v>306.99999999999994</v>
      </c>
      <c r="L155" s="1">
        <v>0.1</v>
      </c>
      <c r="M155" s="1">
        <f t="shared" si="18"/>
        <v>117.99999999999996</v>
      </c>
      <c r="N155" s="1">
        <f t="shared" si="15"/>
        <v>4.9000000000000004</v>
      </c>
      <c r="O155" s="1">
        <v>138.9</v>
      </c>
      <c r="P155" s="1">
        <v>116</v>
      </c>
      <c r="Q155" s="11">
        <f t="shared" si="23"/>
        <v>1.0091836734693878</v>
      </c>
      <c r="R155" s="9">
        <f t="shared" si="12"/>
        <v>0.10091836734693878</v>
      </c>
      <c r="S155" s="9">
        <f t="shared" si="13"/>
        <v>4.8990816326530613</v>
      </c>
      <c r="T155" s="9">
        <f t="shared" si="20"/>
        <v>138.9</v>
      </c>
      <c r="U155" s="1">
        <v>0</v>
      </c>
      <c r="V155" s="10">
        <v>106.9</v>
      </c>
      <c r="W155" s="1">
        <f t="shared" si="14"/>
        <v>15.271428571428572</v>
      </c>
      <c r="X155" s="1">
        <f t="shared" si="19"/>
        <v>59813.800000000017</v>
      </c>
      <c r="Y155" s="1">
        <f t="shared" si="22"/>
        <v>1063.4000000000001</v>
      </c>
      <c r="Z155" s="1">
        <v>71</v>
      </c>
      <c r="AA155" s="1">
        <v>8.4655081906423604</v>
      </c>
    </row>
    <row r="156" spans="1:27" s="1" customFormat="1" x14ac:dyDescent="0.25">
      <c r="A156" s="81"/>
      <c r="B156" s="20"/>
      <c r="C156" s="3">
        <v>41637</v>
      </c>
      <c r="D156" s="12">
        <v>4.0999999999999996</v>
      </c>
      <c r="E156" s="12">
        <v>3.5</v>
      </c>
      <c r="F156" s="1">
        <v>6.3</v>
      </c>
      <c r="G156" s="1">
        <f t="shared" si="16"/>
        <v>1189.2999999999995</v>
      </c>
      <c r="H156" s="1">
        <f t="shared" si="21"/>
        <v>52.699999999999996</v>
      </c>
      <c r="I156" s="21" t="s">
        <v>12</v>
      </c>
      <c r="J156" s="1">
        <v>0.1</v>
      </c>
      <c r="K156" s="1">
        <f t="shared" si="17"/>
        <v>307.09999999999997</v>
      </c>
      <c r="L156" s="1">
        <v>0.5</v>
      </c>
      <c r="M156" s="1">
        <f t="shared" si="18"/>
        <v>118.49999999999996</v>
      </c>
      <c r="N156" s="5">
        <f t="shared" si="15"/>
        <v>-0.4</v>
      </c>
      <c r="O156" s="1">
        <v>138.5</v>
      </c>
      <c r="P156" s="1">
        <v>117</v>
      </c>
      <c r="Q156" s="11">
        <f t="shared" si="23"/>
        <v>1.0107142857142857</v>
      </c>
      <c r="R156" s="9">
        <f t="shared" si="12"/>
        <v>0.50535714285714284</v>
      </c>
      <c r="S156" s="9">
        <f t="shared" si="13"/>
        <v>-0.40535714285714286</v>
      </c>
      <c r="T156" s="9">
        <f t="shared" si="20"/>
        <v>138.49464285714285</v>
      </c>
      <c r="U156" s="21" t="s">
        <v>13</v>
      </c>
      <c r="V156" s="10">
        <v>376.7</v>
      </c>
      <c r="W156" s="1">
        <f t="shared" si="14"/>
        <v>91.878048780487816</v>
      </c>
      <c r="X156" s="1">
        <f t="shared" si="19"/>
        <v>60190.500000000015</v>
      </c>
      <c r="Y156" s="1">
        <f t="shared" si="22"/>
        <v>1440.1000000000001</v>
      </c>
      <c r="AA156" s="1">
        <v>8.4744993569777094</v>
      </c>
    </row>
    <row r="157" spans="1:27" s="1" customFormat="1" x14ac:dyDescent="0.25">
      <c r="A157" s="81"/>
      <c r="B157" s="7"/>
      <c r="C157" s="3">
        <v>41638</v>
      </c>
      <c r="D157" s="1">
        <v>5.3</v>
      </c>
      <c r="E157" s="12">
        <v>1.7</v>
      </c>
      <c r="F157" s="1">
        <v>7</v>
      </c>
      <c r="G157" s="1">
        <f t="shared" si="16"/>
        <v>1194.5999999999995</v>
      </c>
      <c r="H157" s="1">
        <f t="shared" si="21"/>
        <v>57.999999999999993</v>
      </c>
      <c r="I157" s="1">
        <v>4</v>
      </c>
      <c r="J157" s="1">
        <v>0.7</v>
      </c>
      <c r="K157" s="1">
        <f t="shared" si="17"/>
        <v>307.79999999999995</v>
      </c>
      <c r="L157" s="1">
        <v>0.3</v>
      </c>
      <c r="M157" s="1">
        <f t="shared" si="18"/>
        <v>118.79999999999995</v>
      </c>
      <c r="N157" s="1">
        <f t="shared" si="15"/>
        <v>0.39999999999999997</v>
      </c>
      <c r="O157" s="1">
        <v>138.9</v>
      </c>
      <c r="P157" s="1">
        <v>118</v>
      </c>
      <c r="Q157" s="11">
        <f t="shared" si="23"/>
        <v>1.0122448979591836</v>
      </c>
      <c r="R157" s="9">
        <f t="shared" si="12"/>
        <v>0.30367346938775508</v>
      </c>
      <c r="S157" s="9">
        <f t="shared" si="13"/>
        <v>0.39632653061224488</v>
      </c>
      <c r="T157" s="9">
        <f t="shared" si="20"/>
        <v>138.89096938775509</v>
      </c>
      <c r="U157" s="9">
        <f>MIN(T150:T247)</f>
        <v>92.290561224489807</v>
      </c>
      <c r="V157" s="10">
        <v>187.2</v>
      </c>
      <c r="W157" s="1">
        <f t="shared" si="14"/>
        <v>35.320754716981128</v>
      </c>
      <c r="X157" s="1">
        <f t="shared" si="19"/>
        <v>60377.700000000012</v>
      </c>
      <c r="Y157" s="1">
        <f t="shared" si="22"/>
        <v>1627.3000000000002</v>
      </c>
      <c r="AA157" s="1">
        <v>8.4849605722490296</v>
      </c>
    </row>
    <row r="158" spans="1:27" s="1" customFormat="1" x14ac:dyDescent="0.25">
      <c r="A158" s="81"/>
      <c r="B158" s="7"/>
      <c r="C158" s="3">
        <v>41639</v>
      </c>
      <c r="D158" s="1">
        <v>7.3</v>
      </c>
      <c r="E158" s="1">
        <v>6.2</v>
      </c>
      <c r="F158" s="1">
        <v>9.4</v>
      </c>
      <c r="G158" s="1">
        <f t="shared" si="16"/>
        <v>1201.8999999999994</v>
      </c>
      <c r="H158" s="1">
        <f t="shared" si="21"/>
        <v>65.3</v>
      </c>
      <c r="I158" s="21" t="s">
        <v>14</v>
      </c>
      <c r="J158" s="1">
        <v>2.5</v>
      </c>
      <c r="K158" s="1">
        <f t="shared" si="17"/>
        <v>310.29999999999995</v>
      </c>
      <c r="L158" s="1">
        <v>1.4</v>
      </c>
      <c r="M158" s="1">
        <f t="shared" si="18"/>
        <v>120.19999999999996</v>
      </c>
      <c r="N158" s="1">
        <f t="shared" si="15"/>
        <v>1.1000000000000001</v>
      </c>
      <c r="O158" s="1">
        <v>138.9</v>
      </c>
      <c r="P158" s="1">
        <v>119</v>
      </c>
      <c r="Q158" s="11">
        <f t="shared" si="23"/>
        <v>1.0137755102040815</v>
      </c>
      <c r="R158" s="9">
        <f t="shared" si="12"/>
        <v>1.419285714285714</v>
      </c>
      <c r="S158" s="9">
        <f t="shared" si="13"/>
        <v>1.080714285714286</v>
      </c>
      <c r="T158" s="9">
        <f t="shared" si="20"/>
        <v>138.9</v>
      </c>
      <c r="U158" s="21" t="s">
        <v>15</v>
      </c>
      <c r="V158" s="10">
        <v>305.10000000000002</v>
      </c>
      <c r="W158" s="1">
        <f t="shared" si="14"/>
        <v>41.794520547945211</v>
      </c>
      <c r="X158" s="1">
        <f t="shared" si="19"/>
        <v>60682.80000000001</v>
      </c>
      <c r="Y158" s="1">
        <f t="shared" si="22"/>
        <v>1932.4</v>
      </c>
      <c r="AA158" s="1">
        <v>8.4968803259845895</v>
      </c>
    </row>
    <row r="159" spans="1:27" s="1" customFormat="1" x14ac:dyDescent="0.25">
      <c r="A159" s="81"/>
      <c r="B159" s="7"/>
      <c r="C159" s="3">
        <v>41640</v>
      </c>
      <c r="D159" s="1">
        <v>9</v>
      </c>
      <c r="E159" s="1">
        <v>7</v>
      </c>
      <c r="F159" s="1">
        <v>10.1</v>
      </c>
      <c r="G159" s="1">
        <f t="shared" si="16"/>
        <v>1210.8999999999994</v>
      </c>
      <c r="H159" s="1">
        <f t="shared" si="21"/>
        <v>74.3</v>
      </c>
      <c r="I159" s="1">
        <v>0</v>
      </c>
      <c r="J159" s="1">
        <v>8.6999999999999993</v>
      </c>
      <c r="K159" s="1">
        <f t="shared" si="17"/>
        <v>318.99999999999994</v>
      </c>
      <c r="L159" s="1">
        <v>0.7</v>
      </c>
      <c r="M159" s="1">
        <f t="shared" si="18"/>
        <v>120.89999999999996</v>
      </c>
      <c r="N159" s="1">
        <f t="shared" si="15"/>
        <v>7.9999999999999991</v>
      </c>
      <c r="O159" s="1">
        <v>138.9</v>
      </c>
      <c r="P159" s="1">
        <v>120</v>
      </c>
      <c r="Q159" s="11">
        <f t="shared" si="23"/>
        <v>1.0153061224489797</v>
      </c>
      <c r="R159" s="9">
        <f t="shared" si="12"/>
        <v>0.71071428571428574</v>
      </c>
      <c r="S159" s="9">
        <f t="shared" si="13"/>
        <v>7.9892857142857139</v>
      </c>
      <c r="T159" s="9">
        <f t="shared" si="20"/>
        <v>138.9</v>
      </c>
      <c r="U159" s="9">
        <f>MAX(T150:T247)</f>
        <v>138.9</v>
      </c>
      <c r="V159" s="10">
        <v>98.9</v>
      </c>
      <c r="W159" s="1">
        <f t="shared" si="14"/>
        <v>10.988888888888889</v>
      </c>
      <c r="X159" s="1">
        <f t="shared" si="19"/>
        <v>60781.700000000012</v>
      </c>
      <c r="Y159" s="1">
        <f t="shared" si="22"/>
        <v>2031.3000000000002</v>
      </c>
      <c r="AA159" s="1">
        <v>8.5145561522284297</v>
      </c>
    </row>
    <row r="160" spans="1:27" s="1" customFormat="1" x14ac:dyDescent="0.25">
      <c r="A160" s="81"/>
      <c r="B160" s="7"/>
      <c r="C160" s="3">
        <v>41641</v>
      </c>
      <c r="D160" s="1">
        <v>10</v>
      </c>
      <c r="E160" s="1">
        <v>9.5</v>
      </c>
      <c r="F160" s="1">
        <v>11.4</v>
      </c>
      <c r="G160" s="1">
        <f t="shared" si="16"/>
        <v>1220.8999999999994</v>
      </c>
      <c r="H160" s="1">
        <f t="shared" si="21"/>
        <v>84.3</v>
      </c>
      <c r="I160" s="21" t="s">
        <v>16</v>
      </c>
      <c r="J160" s="1">
        <v>0</v>
      </c>
      <c r="K160" s="1">
        <f t="shared" si="17"/>
        <v>318.99999999999994</v>
      </c>
      <c r="L160" s="1">
        <v>1.2</v>
      </c>
      <c r="M160" s="1">
        <f t="shared" si="18"/>
        <v>122.09999999999997</v>
      </c>
      <c r="N160" s="5">
        <f t="shared" si="15"/>
        <v>-1.2</v>
      </c>
      <c r="O160" s="1">
        <v>137.70000000000002</v>
      </c>
      <c r="P160" s="1">
        <v>121</v>
      </c>
      <c r="Q160" s="11">
        <f t="shared" si="23"/>
        <v>1.0168367346938776</v>
      </c>
      <c r="R160" s="9">
        <f t="shared" si="12"/>
        <v>1.2202040816326531</v>
      </c>
      <c r="S160" s="9">
        <f t="shared" si="13"/>
        <v>-1.2202040816326531</v>
      </c>
      <c r="T160" s="9">
        <f t="shared" si="20"/>
        <v>137.67979591836735</v>
      </c>
      <c r="U160" s="21" t="s">
        <v>17</v>
      </c>
      <c r="V160" s="10">
        <v>378.4</v>
      </c>
      <c r="W160" s="1">
        <f t="shared" si="14"/>
        <v>37.839999999999996</v>
      </c>
      <c r="X160" s="1">
        <f t="shared" si="19"/>
        <v>61160.100000000013</v>
      </c>
      <c r="Y160" s="1">
        <f t="shared" si="22"/>
        <v>2409.7000000000003</v>
      </c>
      <c r="AA160" s="1">
        <v>8.5297804330323395</v>
      </c>
    </row>
    <row r="161" spans="1:27" s="1" customFormat="1" x14ac:dyDescent="0.25">
      <c r="A161" s="81"/>
      <c r="B161" s="7"/>
      <c r="C161" s="3">
        <v>41642</v>
      </c>
      <c r="D161" s="1">
        <v>10.5</v>
      </c>
      <c r="E161" s="1">
        <v>9.4</v>
      </c>
      <c r="F161" s="1">
        <v>12.9</v>
      </c>
      <c r="G161" s="1">
        <f t="shared" si="16"/>
        <v>1231.3999999999994</v>
      </c>
      <c r="H161" s="1">
        <f t="shared" si="21"/>
        <v>94.8</v>
      </c>
      <c r="I161" s="1">
        <v>61</v>
      </c>
      <c r="J161" s="1">
        <v>1.7</v>
      </c>
      <c r="K161" s="1">
        <f t="shared" si="17"/>
        <v>320.69999999999993</v>
      </c>
      <c r="L161" s="1">
        <v>1.4</v>
      </c>
      <c r="M161" s="1">
        <f t="shared" si="18"/>
        <v>123.49999999999997</v>
      </c>
      <c r="N161" s="1">
        <f t="shared" si="15"/>
        <v>0.30000000000000004</v>
      </c>
      <c r="O161" s="1">
        <v>138.00000000000003</v>
      </c>
      <c r="P161" s="1">
        <v>122</v>
      </c>
      <c r="Q161" s="11">
        <f t="shared" si="23"/>
        <v>1.0183673469387755</v>
      </c>
      <c r="R161" s="9">
        <f t="shared" si="12"/>
        <v>1.4257142857142857</v>
      </c>
      <c r="S161" s="9">
        <f t="shared" si="13"/>
        <v>0.27428571428571424</v>
      </c>
      <c r="T161" s="9">
        <f t="shared" si="20"/>
        <v>137.95408163265307</v>
      </c>
      <c r="U161" s="11">
        <f>AVERAGE(T150:T247)</f>
        <v>131.02579810495615</v>
      </c>
      <c r="V161" s="10">
        <v>122.2</v>
      </c>
      <c r="W161" s="1">
        <f t="shared" si="14"/>
        <v>11.638095238095238</v>
      </c>
      <c r="X161" s="1">
        <f t="shared" si="19"/>
        <v>61282.30000000001</v>
      </c>
      <c r="Y161" s="1">
        <f t="shared" si="22"/>
        <v>2531.9</v>
      </c>
      <c r="AA161" s="1">
        <v>8.5464143122505796</v>
      </c>
    </row>
    <row r="162" spans="1:27" s="1" customFormat="1" x14ac:dyDescent="0.25">
      <c r="A162" s="81"/>
      <c r="B162" s="7"/>
      <c r="C162" s="3">
        <v>41643</v>
      </c>
      <c r="D162" s="1">
        <v>8.4</v>
      </c>
      <c r="E162" s="1">
        <v>7.1</v>
      </c>
      <c r="F162" s="1">
        <v>12.9</v>
      </c>
      <c r="G162" s="1">
        <f t="shared" si="16"/>
        <v>1239.7999999999995</v>
      </c>
      <c r="H162" s="1">
        <f t="shared" si="21"/>
        <v>103.2</v>
      </c>
      <c r="I162" s="21" t="s">
        <v>18</v>
      </c>
      <c r="J162" s="1">
        <v>2</v>
      </c>
      <c r="K162" s="1">
        <f t="shared" si="17"/>
        <v>322.69999999999993</v>
      </c>
      <c r="L162" s="1">
        <v>1.5</v>
      </c>
      <c r="M162" s="1">
        <f t="shared" si="18"/>
        <v>124.99999999999997</v>
      </c>
      <c r="N162" s="1">
        <f t="shared" si="15"/>
        <v>0.5</v>
      </c>
      <c r="O162" s="1">
        <v>138.50000000000003</v>
      </c>
      <c r="P162" s="1">
        <v>123</v>
      </c>
      <c r="Q162" s="11">
        <f t="shared" si="23"/>
        <v>1.0198979591836734</v>
      </c>
      <c r="R162" s="9">
        <f t="shared" si="12"/>
        <v>1.5298469387755103</v>
      </c>
      <c r="S162" s="9">
        <f t="shared" si="13"/>
        <v>0.47015306122448974</v>
      </c>
      <c r="T162" s="9">
        <f t="shared" si="20"/>
        <v>138.42423469387757</v>
      </c>
      <c r="V162" s="10">
        <v>388.4</v>
      </c>
      <c r="W162" s="1">
        <f t="shared" si="14"/>
        <v>46.238095238095234</v>
      </c>
      <c r="X162" s="1">
        <f t="shared" si="19"/>
        <v>61670.700000000012</v>
      </c>
      <c r="Y162" s="1">
        <f t="shared" si="22"/>
        <v>2920.3</v>
      </c>
      <c r="AA162" s="1">
        <v>8.5644398804229098</v>
      </c>
    </row>
    <row r="163" spans="1:27" s="1" customFormat="1" x14ac:dyDescent="0.25">
      <c r="A163" s="81"/>
      <c r="B163" s="7"/>
      <c r="C163" s="3">
        <v>41644</v>
      </c>
      <c r="D163" s="1">
        <v>7.3</v>
      </c>
      <c r="E163" s="12">
        <v>4.3</v>
      </c>
      <c r="F163" s="1">
        <v>10.7</v>
      </c>
      <c r="G163" s="1">
        <f t="shared" si="16"/>
        <v>1247.0999999999995</v>
      </c>
      <c r="H163" s="1">
        <f t="shared" si="21"/>
        <v>110.5</v>
      </c>
      <c r="I163" s="1">
        <v>714</v>
      </c>
      <c r="J163" s="1">
        <v>1.1000000000000001</v>
      </c>
      <c r="K163" s="1">
        <f t="shared" si="17"/>
        <v>323.79999999999995</v>
      </c>
      <c r="L163" s="1">
        <v>0.8</v>
      </c>
      <c r="M163" s="1">
        <f t="shared" si="18"/>
        <v>125.79999999999997</v>
      </c>
      <c r="N163" s="1">
        <f t="shared" si="15"/>
        <v>0.30000000000000004</v>
      </c>
      <c r="O163" s="1">
        <v>138.80000000000004</v>
      </c>
      <c r="P163" s="1">
        <v>124</v>
      </c>
      <c r="Q163" s="11">
        <f t="shared" si="23"/>
        <v>1.0214285714285714</v>
      </c>
      <c r="R163" s="9">
        <f t="shared" si="12"/>
        <v>0.81714285714285717</v>
      </c>
      <c r="S163" s="9">
        <f t="shared" si="13"/>
        <v>0.28285714285714292</v>
      </c>
      <c r="T163" s="9">
        <f t="shared" si="20"/>
        <v>138.70709183673472</v>
      </c>
      <c r="U163" s="9">
        <f>(U161*100)/138.9</f>
        <v>94.331028153316169</v>
      </c>
      <c r="V163" s="10">
        <v>376.6</v>
      </c>
      <c r="W163" s="1">
        <f t="shared" si="14"/>
        <v>51.589041095890416</v>
      </c>
      <c r="X163" s="1">
        <f t="shared" si="19"/>
        <v>62047.30000000001</v>
      </c>
      <c r="Y163" s="1">
        <f t="shared" si="22"/>
        <v>3296.9</v>
      </c>
      <c r="AA163" s="1">
        <v>8.5838379125656008</v>
      </c>
    </row>
    <row r="164" spans="1:27" s="1" customFormat="1" x14ac:dyDescent="0.25">
      <c r="A164" s="81"/>
      <c r="B164" s="7"/>
      <c r="C164" s="3">
        <v>41645</v>
      </c>
      <c r="D164" s="1">
        <v>11.1</v>
      </c>
      <c r="E164" s="1">
        <v>8.3000000000000007</v>
      </c>
      <c r="F164" s="1">
        <v>12.6</v>
      </c>
      <c r="G164" s="1">
        <f t="shared" si="16"/>
        <v>1258.1999999999994</v>
      </c>
      <c r="H164" s="1">
        <f t="shared" si="21"/>
        <v>121.6</v>
      </c>
      <c r="J164" s="1">
        <v>4.2</v>
      </c>
      <c r="K164" s="1">
        <f t="shared" si="17"/>
        <v>327.99999999999994</v>
      </c>
      <c r="L164" s="1">
        <v>0.7</v>
      </c>
      <c r="M164" s="1">
        <f t="shared" si="18"/>
        <v>126.49999999999997</v>
      </c>
      <c r="N164" s="1">
        <f t="shared" si="15"/>
        <v>3.5</v>
      </c>
      <c r="O164" s="1">
        <v>138.9</v>
      </c>
      <c r="P164" s="1">
        <v>125</v>
      </c>
      <c r="Q164" s="11">
        <f t="shared" si="23"/>
        <v>1.0229591836734693</v>
      </c>
      <c r="R164" s="9">
        <f t="shared" si="12"/>
        <v>0.71607142857142847</v>
      </c>
      <c r="S164" s="9">
        <f t="shared" si="13"/>
        <v>3.4839285714285717</v>
      </c>
      <c r="T164" s="9">
        <f t="shared" si="20"/>
        <v>138.9</v>
      </c>
      <c r="V164" s="10">
        <v>92.9</v>
      </c>
      <c r="W164" s="1">
        <f t="shared" si="14"/>
        <v>8.3693693693693696</v>
      </c>
      <c r="X164" s="1">
        <f t="shared" si="19"/>
        <v>62140.200000000012</v>
      </c>
      <c r="Y164" s="1">
        <f t="shared" si="22"/>
        <v>3389.8</v>
      </c>
      <c r="AA164" s="1">
        <v>8.6045879420270204</v>
      </c>
    </row>
    <row r="165" spans="1:27" s="1" customFormat="1" x14ac:dyDescent="0.25">
      <c r="A165" s="81"/>
      <c r="B165" s="7"/>
      <c r="C165" s="3">
        <v>41646</v>
      </c>
      <c r="D165" s="1">
        <v>10.4</v>
      </c>
      <c r="E165" s="1">
        <v>9.1</v>
      </c>
      <c r="F165" s="1">
        <v>11.1</v>
      </c>
      <c r="G165" s="1">
        <f t="shared" si="16"/>
        <v>1268.5999999999995</v>
      </c>
      <c r="H165" s="1">
        <f t="shared" si="21"/>
        <v>132</v>
      </c>
      <c r="J165" s="1">
        <v>1.4</v>
      </c>
      <c r="K165" s="1">
        <f t="shared" si="17"/>
        <v>329.39999999999992</v>
      </c>
      <c r="L165" s="1">
        <v>0.5</v>
      </c>
      <c r="M165" s="1">
        <f t="shared" si="18"/>
        <v>126.99999999999997</v>
      </c>
      <c r="N165" s="1">
        <f t="shared" si="15"/>
        <v>0.89999999999999991</v>
      </c>
      <c r="O165" s="1">
        <v>138.9</v>
      </c>
      <c r="P165" s="1">
        <v>126</v>
      </c>
      <c r="Q165" s="11">
        <f t="shared" si="23"/>
        <v>1.0244897959183674</v>
      </c>
      <c r="R165" s="9">
        <f t="shared" si="12"/>
        <v>0.51224489795918371</v>
      </c>
      <c r="S165" s="9">
        <f t="shared" si="13"/>
        <v>0.8877551020408162</v>
      </c>
      <c r="T165" s="9">
        <f t="shared" si="20"/>
        <v>138.9</v>
      </c>
      <c r="V165" s="10">
        <v>153.80000000000001</v>
      </c>
      <c r="W165" s="1">
        <f t="shared" si="14"/>
        <v>14.788461538461538</v>
      </c>
      <c r="X165" s="1">
        <f t="shared" si="19"/>
        <v>62294.000000000015</v>
      </c>
      <c r="Y165" s="1">
        <f t="shared" si="22"/>
        <v>3543.6000000000004</v>
      </c>
      <c r="AA165" s="1">
        <v>8.6266683375888604</v>
      </c>
    </row>
    <row r="166" spans="1:27" s="1" customFormat="1" x14ac:dyDescent="0.25">
      <c r="A166" s="81"/>
      <c r="B166" s="7"/>
      <c r="C166" s="3">
        <v>41647</v>
      </c>
      <c r="D166" s="1">
        <v>10.8</v>
      </c>
      <c r="E166" s="1">
        <v>8.9</v>
      </c>
      <c r="F166" s="1">
        <v>13.5</v>
      </c>
      <c r="G166" s="1">
        <f t="shared" si="16"/>
        <v>1279.3999999999994</v>
      </c>
      <c r="H166" s="1">
        <f t="shared" si="21"/>
        <v>142.80000000000001</v>
      </c>
      <c r="J166" s="1">
        <v>0</v>
      </c>
      <c r="K166" s="1">
        <f t="shared" si="17"/>
        <v>329.39999999999992</v>
      </c>
      <c r="L166" s="1">
        <v>0.7</v>
      </c>
      <c r="M166" s="1">
        <f t="shared" si="18"/>
        <v>127.69999999999997</v>
      </c>
      <c r="N166" s="5">
        <f t="shared" si="15"/>
        <v>-0.7</v>
      </c>
      <c r="O166" s="1">
        <v>138.20000000000002</v>
      </c>
      <c r="P166" s="1">
        <v>127</v>
      </c>
      <c r="Q166" s="11">
        <f t="shared" si="23"/>
        <v>1.0260204081632653</v>
      </c>
      <c r="R166" s="9">
        <f t="shared" si="12"/>
        <v>0.71821428571428569</v>
      </c>
      <c r="S166" s="9">
        <f t="shared" si="13"/>
        <v>-0.71821428571428569</v>
      </c>
      <c r="T166" s="9">
        <f t="shared" si="20"/>
        <v>138.18178571428572</v>
      </c>
      <c r="V166" s="10">
        <v>352</v>
      </c>
      <c r="W166" s="1">
        <f t="shared" si="14"/>
        <v>32.592592592592588</v>
      </c>
      <c r="X166" s="1">
        <f t="shared" si="19"/>
        <v>62646.000000000015</v>
      </c>
      <c r="Y166" s="1">
        <f t="shared" si="22"/>
        <v>3895.6000000000004</v>
      </c>
      <c r="AA166" s="1">
        <v>8.6500563832433404</v>
      </c>
    </row>
    <row r="167" spans="1:27" s="1" customFormat="1" x14ac:dyDescent="0.25">
      <c r="A167" s="81"/>
      <c r="B167" s="7"/>
      <c r="C167" s="3">
        <v>41648</v>
      </c>
      <c r="D167" s="1">
        <v>8.9</v>
      </c>
      <c r="E167" s="1">
        <v>8.5</v>
      </c>
      <c r="F167" s="1">
        <v>10.4</v>
      </c>
      <c r="G167" s="1">
        <f t="shared" si="16"/>
        <v>1288.2999999999995</v>
      </c>
      <c r="H167" s="1">
        <f t="shared" si="21"/>
        <v>151.70000000000002</v>
      </c>
      <c r="J167" s="1">
        <v>0.2</v>
      </c>
      <c r="K167" s="1">
        <f t="shared" si="17"/>
        <v>329.59999999999991</v>
      </c>
      <c r="L167" s="1">
        <v>0.9</v>
      </c>
      <c r="M167" s="1">
        <f t="shared" si="18"/>
        <v>128.59999999999997</v>
      </c>
      <c r="N167" s="5">
        <f t="shared" si="15"/>
        <v>-0.7</v>
      </c>
      <c r="O167" s="1">
        <v>137.50000000000003</v>
      </c>
      <c r="P167" s="1">
        <v>128</v>
      </c>
      <c r="Q167" s="11">
        <f t="shared" si="23"/>
        <v>1.0275510204081633</v>
      </c>
      <c r="R167" s="9">
        <f t="shared" si="12"/>
        <v>0.92479591836734698</v>
      </c>
      <c r="S167" s="9">
        <f t="shared" si="13"/>
        <v>-0.72479591836734691</v>
      </c>
      <c r="T167" s="9">
        <f t="shared" si="20"/>
        <v>137.45698979591839</v>
      </c>
      <c r="V167" s="10">
        <v>112.8</v>
      </c>
      <c r="W167" s="1">
        <f t="shared" si="14"/>
        <v>12.674157303370785</v>
      </c>
      <c r="X167" s="1">
        <f t="shared" si="19"/>
        <v>62758.800000000017</v>
      </c>
      <c r="Y167" s="1">
        <f t="shared" si="22"/>
        <v>4008.4000000000005</v>
      </c>
      <c r="AA167" s="1">
        <v>8.6747283600759602</v>
      </c>
    </row>
    <row r="168" spans="1:27" s="1" customFormat="1" x14ac:dyDescent="0.25">
      <c r="A168" s="81"/>
      <c r="B168" s="7"/>
      <c r="C168" s="3">
        <v>41649</v>
      </c>
      <c r="D168" s="1">
        <v>5.8</v>
      </c>
      <c r="E168" s="12">
        <v>4.5</v>
      </c>
      <c r="F168" s="1">
        <v>6.7</v>
      </c>
      <c r="G168" s="1">
        <f t="shared" si="16"/>
        <v>1294.0999999999995</v>
      </c>
      <c r="H168" s="1">
        <f t="shared" si="21"/>
        <v>157.50000000000003</v>
      </c>
      <c r="J168" s="1">
        <v>0.5</v>
      </c>
      <c r="K168" s="1">
        <f t="shared" si="17"/>
        <v>330.09999999999991</v>
      </c>
      <c r="L168" s="1">
        <v>0.3</v>
      </c>
      <c r="M168" s="1">
        <f t="shared" si="18"/>
        <v>128.89999999999998</v>
      </c>
      <c r="N168" s="1">
        <f t="shared" si="15"/>
        <v>0.2</v>
      </c>
      <c r="O168" s="1">
        <v>137.70000000000002</v>
      </c>
      <c r="P168" s="1">
        <v>129</v>
      </c>
      <c r="Q168" s="11">
        <f t="shared" si="23"/>
        <v>1.0290816326530612</v>
      </c>
      <c r="R168" s="9">
        <f t="shared" ref="R168:R231" si="24">Q168*L168</f>
        <v>0.30872448979591832</v>
      </c>
      <c r="S168" s="9">
        <f t="shared" ref="S168:S231" si="25">J168-R168</f>
        <v>0.19127551020408168</v>
      </c>
      <c r="T168" s="9">
        <f t="shared" si="20"/>
        <v>137.64826530612248</v>
      </c>
      <c r="V168" s="10">
        <v>123.2</v>
      </c>
      <c r="W168" s="1">
        <f t="shared" ref="W168:W231" si="26">V168/D168</f>
        <v>21.241379310344829</v>
      </c>
      <c r="X168" s="1">
        <f t="shared" si="19"/>
        <v>62882.000000000015</v>
      </c>
      <c r="Y168" s="1">
        <f t="shared" si="22"/>
        <v>4131.6000000000004</v>
      </c>
      <c r="AA168" s="1">
        <v>8.7006596296884506</v>
      </c>
    </row>
    <row r="169" spans="1:27" s="1" customFormat="1" x14ac:dyDescent="0.25">
      <c r="A169" s="81"/>
      <c r="B169" s="7"/>
      <c r="C169" s="3">
        <v>41650</v>
      </c>
      <c r="D169" s="1">
        <v>5.5</v>
      </c>
      <c r="E169" s="12">
        <v>4.3</v>
      </c>
      <c r="F169" s="1">
        <v>6.6</v>
      </c>
      <c r="G169" s="1">
        <f t="shared" si="16"/>
        <v>1299.5999999999995</v>
      </c>
      <c r="H169" s="1">
        <f t="shared" si="21"/>
        <v>163.00000000000003</v>
      </c>
      <c r="J169" s="1">
        <v>0</v>
      </c>
      <c r="K169" s="1">
        <f t="shared" si="17"/>
        <v>330.09999999999991</v>
      </c>
      <c r="L169" s="1">
        <v>0.2</v>
      </c>
      <c r="M169" s="1">
        <f t="shared" si="18"/>
        <v>129.09999999999997</v>
      </c>
      <c r="N169" s="5">
        <f t="shared" ref="N169:N232" si="27">J169-L169</f>
        <v>-0.2</v>
      </c>
      <c r="O169" s="1">
        <v>137.50000000000003</v>
      </c>
      <c r="P169" s="1">
        <v>130</v>
      </c>
      <c r="Q169" s="11">
        <f t="shared" si="23"/>
        <v>1.0306122448979591</v>
      </c>
      <c r="R169" s="9">
        <f t="shared" si="24"/>
        <v>0.20612244897959184</v>
      </c>
      <c r="S169" s="9">
        <f t="shared" si="25"/>
        <v>-0.20612244897959184</v>
      </c>
      <c r="T169" s="9">
        <f t="shared" si="20"/>
        <v>137.4421428571429</v>
      </c>
      <c r="V169" s="10">
        <v>132.4</v>
      </c>
      <c r="W169" s="1">
        <f t="shared" si="26"/>
        <v>24.072727272727274</v>
      </c>
      <c r="X169" s="1">
        <f t="shared" si="19"/>
        <v>63014.400000000016</v>
      </c>
      <c r="Y169" s="1">
        <f t="shared" si="22"/>
        <v>4264</v>
      </c>
      <c r="AA169" s="1">
        <v>8.7278247186081295</v>
      </c>
    </row>
    <row r="170" spans="1:27" s="1" customFormat="1" x14ac:dyDescent="0.25">
      <c r="A170" s="81"/>
      <c r="B170" s="7"/>
      <c r="C170" s="3">
        <v>41651</v>
      </c>
      <c r="D170" s="1">
        <v>6.4</v>
      </c>
      <c r="E170" s="12">
        <v>4.3</v>
      </c>
      <c r="F170" s="1">
        <v>8.6999999999999993</v>
      </c>
      <c r="G170" s="1">
        <f t="shared" ref="G170:G233" si="28">G169+D170</f>
        <v>1305.9999999999995</v>
      </c>
      <c r="H170" s="1">
        <f t="shared" si="21"/>
        <v>169.40000000000003</v>
      </c>
      <c r="J170" s="1">
        <v>0.2</v>
      </c>
      <c r="K170" s="1">
        <f t="shared" ref="K170:K233" si="29">K169+J170</f>
        <v>330.2999999999999</v>
      </c>
      <c r="L170" s="1">
        <v>0.3</v>
      </c>
      <c r="M170" s="1">
        <f t="shared" ref="M170:M233" si="30">M169+L170</f>
        <v>129.39999999999998</v>
      </c>
      <c r="N170" s="5">
        <f t="shared" si="27"/>
        <v>-9.9999999999999978E-2</v>
      </c>
      <c r="O170" s="1">
        <v>137.40000000000003</v>
      </c>
      <c r="P170" s="1">
        <v>131</v>
      </c>
      <c r="Q170" s="11">
        <f t="shared" si="23"/>
        <v>1.032142857142857</v>
      </c>
      <c r="R170" s="9">
        <f t="shared" si="24"/>
        <v>0.30964285714285711</v>
      </c>
      <c r="S170" s="9">
        <f t="shared" si="25"/>
        <v>-0.1096428571428571</v>
      </c>
      <c r="T170" s="9">
        <f t="shared" si="20"/>
        <v>137.33250000000004</v>
      </c>
      <c r="V170" s="10">
        <v>136.4</v>
      </c>
      <c r="W170" s="1">
        <f t="shared" si="26"/>
        <v>21.3125</v>
      </c>
      <c r="X170" s="1">
        <f t="shared" ref="X170:X233" si="31">X169+V170</f>
        <v>63150.800000000017</v>
      </c>
      <c r="Y170" s="1">
        <f t="shared" si="22"/>
        <v>4400.3999999999996</v>
      </c>
      <c r="AA170" s="1">
        <v>8.7561974031467305</v>
      </c>
    </row>
    <row r="171" spans="1:27" s="1" customFormat="1" x14ac:dyDescent="0.25">
      <c r="A171" s="81"/>
      <c r="B171" s="7"/>
      <c r="C171" s="3">
        <v>41652</v>
      </c>
      <c r="D171" s="1">
        <v>7.7</v>
      </c>
      <c r="E171" s="1">
        <v>6.5</v>
      </c>
      <c r="F171" s="1">
        <v>10.1</v>
      </c>
      <c r="G171" s="1">
        <f t="shared" si="28"/>
        <v>1313.6999999999996</v>
      </c>
      <c r="H171" s="1">
        <f t="shared" si="21"/>
        <v>177.10000000000002</v>
      </c>
      <c r="J171" s="1">
        <v>2.1</v>
      </c>
      <c r="K171" s="1">
        <f t="shared" si="29"/>
        <v>332.39999999999992</v>
      </c>
      <c r="L171" s="1">
        <v>0.7</v>
      </c>
      <c r="M171" s="1">
        <f t="shared" si="30"/>
        <v>130.09999999999997</v>
      </c>
      <c r="N171" s="1">
        <f t="shared" si="27"/>
        <v>1.4000000000000001</v>
      </c>
      <c r="O171" s="1">
        <v>138.80000000000004</v>
      </c>
      <c r="P171" s="1">
        <v>132</v>
      </c>
      <c r="Q171" s="11">
        <f t="shared" si="23"/>
        <v>1.0336734693877552</v>
      </c>
      <c r="R171" s="9">
        <f t="shared" si="24"/>
        <v>0.72357142857142853</v>
      </c>
      <c r="S171" s="9">
        <f t="shared" si="25"/>
        <v>1.3764285714285716</v>
      </c>
      <c r="T171" s="9">
        <f t="shared" si="20"/>
        <v>138.7089285714286</v>
      </c>
      <c r="V171" s="10">
        <v>373.3</v>
      </c>
      <c r="W171" s="1">
        <f t="shared" si="26"/>
        <v>48.480519480519483</v>
      </c>
      <c r="X171" s="1">
        <f t="shared" si="31"/>
        <v>63524.10000000002</v>
      </c>
      <c r="Y171" s="1">
        <f t="shared" si="22"/>
        <v>4773.7</v>
      </c>
      <c r="AA171" s="1">
        <v>8.7857507941933104</v>
      </c>
    </row>
    <row r="172" spans="1:27" s="1" customFormat="1" x14ac:dyDescent="0.25">
      <c r="A172" s="81"/>
      <c r="B172" s="20"/>
      <c r="C172" s="3">
        <v>41653</v>
      </c>
      <c r="D172" s="12">
        <v>4.8</v>
      </c>
      <c r="E172" s="12">
        <v>2.6</v>
      </c>
      <c r="F172" s="1">
        <v>6.7</v>
      </c>
      <c r="G172" s="1">
        <f t="shared" si="28"/>
        <v>1318.4999999999995</v>
      </c>
      <c r="H172" s="1">
        <f t="shared" si="21"/>
        <v>181.90000000000003</v>
      </c>
      <c r="J172" s="1">
        <v>0.6</v>
      </c>
      <c r="K172" s="1">
        <f t="shared" si="29"/>
        <v>332.99999999999994</v>
      </c>
      <c r="L172" s="1">
        <v>0.5</v>
      </c>
      <c r="M172" s="1">
        <f t="shared" si="30"/>
        <v>130.59999999999997</v>
      </c>
      <c r="N172" s="1">
        <f t="shared" si="27"/>
        <v>9.9999999999999978E-2</v>
      </c>
      <c r="O172" s="1">
        <v>138.90000000000003</v>
      </c>
      <c r="P172" s="1">
        <v>133</v>
      </c>
      <c r="Q172" s="11">
        <f t="shared" si="23"/>
        <v>1.0352040816326531</v>
      </c>
      <c r="R172" s="9">
        <f t="shared" si="24"/>
        <v>0.51760204081632655</v>
      </c>
      <c r="S172" s="9">
        <f t="shared" si="25"/>
        <v>8.239795918367343E-2</v>
      </c>
      <c r="T172" s="9">
        <f t="shared" si="20"/>
        <v>138.79132653061228</v>
      </c>
      <c r="V172" s="10">
        <v>326.10000000000002</v>
      </c>
      <c r="W172" s="1">
        <f t="shared" si="26"/>
        <v>67.937500000000014</v>
      </c>
      <c r="X172" s="1">
        <f t="shared" si="31"/>
        <v>63850.200000000019</v>
      </c>
      <c r="Y172" s="1">
        <f t="shared" si="22"/>
        <v>5099.8</v>
      </c>
      <c r="AA172" s="1">
        <v>8.8164574214519202</v>
      </c>
    </row>
    <row r="173" spans="1:27" s="1" customFormat="1" x14ac:dyDescent="0.25">
      <c r="A173" s="81"/>
      <c r="B173" s="7"/>
      <c r="C173" s="3">
        <v>41654</v>
      </c>
      <c r="D173" s="1">
        <v>6.1</v>
      </c>
      <c r="E173" s="12">
        <v>2.5</v>
      </c>
      <c r="F173" s="1">
        <v>8</v>
      </c>
      <c r="G173" s="1">
        <f t="shared" si="28"/>
        <v>1324.5999999999995</v>
      </c>
      <c r="H173" s="1">
        <f t="shared" si="21"/>
        <v>188.00000000000003</v>
      </c>
      <c r="J173" s="1">
        <v>5.0999999999999996</v>
      </c>
      <c r="K173" s="1">
        <f t="shared" si="29"/>
        <v>338.09999999999997</v>
      </c>
      <c r="L173" s="1">
        <v>0.1</v>
      </c>
      <c r="M173" s="1">
        <f t="shared" si="30"/>
        <v>130.69999999999996</v>
      </c>
      <c r="N173" s="1">
        <f t="shared" si="27"/>
        <v>5</v>
      </c>
      <c r="O173" s="1">
        <v>138.9</v>
      </c>
      <c r="P173" s="1">
        <v>134</v>
      </c>
      <c r="Q173" s="11">
        <f t="shared" si="23"/>
        <v>1.036734693877551</v>
      </c>
      <c r="R173" s="9">
        <f t="shared" si="24"/>
        <v>0.10367346938775511</v>
      </c>
      <c r="S173" s="9">
        <f t="shared" si="25"/>
        <v>4.9963265306122446</v>
      </c>
      <c r="T173" s="9">
        <f t="shared" ref="T173:T236" si="32">MIN(138.9,(T172+S173))</f>
        <v>138.9</v>
      </c>
      <c r="V173" s="10">
        <v>101.1</v>
      </c>
      <c r="W173" s="1">
        <f t="shared" si="26"/>
        <v>16.57377049180328</v>
      </c>
      <c r="X173" s="1">
        <f t="shared" si="31"/>
        <v>63951.300000000017</v>
      </c>
      <c r="Y173" s="1">
        <f t="shared" si="22"/>
        <v>5200.9000000000005</v>
      </c>
      <c r="AA173" s="1">
        <v>8.8482893166644701</v>
      </c>
    </row>
    <row r="174" spans="1:27" s="1" customFormat="1" x14ac:dyDescent="0.25">
      <c r="A174" s="81"/>
      <c r="B174" s="7"/>
      <c r="C174" s="3">
        <v>41655</v>
      </c>
      <c r="D174" s="1">
        <v>8</v>
      </c>
      <c r="E174" s="1">
        <v>7.5</v>
      </c>
      <c r="F174" s="1">
        <v>9.6999999999999993</v>
      </c>
      <c r="G174" s="1">
        <f t="shared" si="28"/>
        <v>1332.5999999999995</v>
      </c>
      <c r="H174" s="1">
        <f t="shared" si="21"/>
        <v>196.00000000000003</v>
      </c>
      <c r="J174" s="1">
        <v>5.7</v>
      </c>
      <c r="K174" s="1">
        <f t="shared" si="29"/>
        <v>343.79999999999995</v>
      </c>
      <c r="L174" s="1">
        <v>0.8</v>
      </c>
      <c r="M174" s="1">
        <f t="shared" si="30"/>
        <v>131.49999999999997</v>
      </c>
      <c r="N174" s="1">
        <f t="shared" si="27"/>
        <v>4.9000000000000004</v>
      </c>
      <c r="O174" s="1">
        <v>138.9</v>
      </c>
      <c r="P174" s="1">
        <v>135</v>
      </c>
      <c r="Q174" s="11">
        <f t="shared" si="23"/>
        <v>1.0382653061224489</v>
      </c>
      <c r="R174" s="9">
        <f t="shared" si="24"/>
        <v>0.83061224489795915</v>
      </c>
      <c r="S174" s="9">
        <f t="shared" si="25"/>
        <v>4.869387755102041</v>
      </c>
      <c r="T174" s="9">
        <f t="shared" si="32"/>
        <v>138.9</v>
      </c>
      <c r="V174" s="10">
        <v>304</v>
      </c>
      <c r="W174" s="1">
        <f t="shared" si="26"/>
        <v>38</v>
      </c>
      <c r="X174" s="1">
        <f t="shared" si="31"/>
        <v>64255.300000000017</v>
      </c>
      <c r="Y174" s="1">
        <f t="shared" si="22"/>
        <v>5504.9000000000005</v>
      </c>
      <c r="AA174" s="1">
        <v>8.8812180953916293</v>
      </c>
    </row>
    <row r="175" spans="1:27" s="1" customFormat="1" x14ac:dyDescent="0.25">
      <c r="A175" s="81"/>
      <c r="B175" s="7"/>
      <c r="C175" s="3">
        <v>41656</v>
      </c>
      <c r="D175" s="1">
        <v>7</v>
      </c>
      <c r="E175" s="1">
        <v>6</v>
      </c>
      <c r="F175" s="1">
        <v>10.8</v>
      </c>
      <c r="G175" s="1">
        <f t="shared" si="28"/>
        <v>1339.5999999999995</v>
      </c>
      <c r="H175" s="1">
        <f t="shared" si="21"/>
        <v>203.00000000000003</v>
      </c>
      <c r="J175" s="1">
        <v>0</v>
      </c>
      <c r="K175" s="1">
        <f t="shared" si="29"/>
        <v>343.79999999999995</v>
      </c>
      <c r="L175" s="1">
        <v>1.4</v>
      </c>
      <c r="M175" s="1">
        <f t="shared" si="30"/>
        <v>132.89999999999998</v>
      </c>
      <c r="N175" s="5">
        <f t="shared" si="27"/>
        <v>-1.4</v>
      </c>
      <c r="O175" s="1">
        <v>137.5</v>
      </c>
      <c r="P175" s="1">
        <v>136</v>
      </c>
      <c r="Q175" s="11">
        <f t="shared" si="23"/>
        <v>1.0397959183673469</v>
      </c>
      <c r="R175" s="9">
        <f t="shared" si="24"/>
        <v>1.4557142857142855</v>
      </c>
      <c r="S175" s="9">
        <f t="shared" si="25"/>
        <v>-1.4557142857142855</v>
      </c>
      <c r="T175" s="9">
        <f t="shared" si="32"/>
        <v>137.44428571428571</v>
      </c>
      <c r="V175" s="10">
        <v>728.7</v>
      </c>
      <c r="W175" s="1">
        <f t="shared" si="26"/>
        <v>104.10000000000001</v>
      </c>
      <c r="X175" s="1">
        <f t="shared" si="31"/>
        <v>64984.000000000015</v>
      </c>
      <c r="Y175" s="1">
        <f t="shared" si="22"/>
        <v>6233.6</v>
      </c>
      <c r="AA175" s="1">
        <v>8.9152150369598697</v>
      </c>
    </row>
    <row r="176" spans="1:27" s="1" customFormat="1" x14ac:dyDescent="0.25">
      <c r="A176" s="81"/>
      <c r="B176" s="7"/>
      <c r="C176" s="3">
        <v>41657</v>
      </c>
      <c r="D176" s="1">
        <v>6.3</v>
      </c>
      <c r="E176" s="12">
        <v>2.2000000000000002</v>
      </c>
      <c r="F176" s="1">
        <v>9.3000000000000007</v>
      </c>
      <c r="G176" s="1">
        <f t="shared" si="28"/>
        <v>1345.8999999999994</v>
      </c>
      <c r="H176" s="1">
        <f t="shared" si="21"/>
        <v>209.30000000000004</v>
      </c>
      <c r="J176" s="1">
        <v>6.2</v>
      </c>
      <c r="K176" s="1">
        <f t="shared" si="29"/>
        <v>349.99999999999994</v>
      </c>
      <c r="L176" s="1">
        <v>0.6</v>
      </c>
      <c r="M176" s="1">
        <f t="shared" si="30"/>
        <v>133.49999999999997</v>
      </c>
      <c r="N176" s="1">
        <f t="shared" si="27"/>
        <v>5.6000000000000005</v>
      </c>
      <c r="O176" s="1">
        <v>138.9</v>
      </c>
      <c r="P176" s="1">
        <v>137</v>
      </c>
      <c r="Q176" s="11">
        <f t="shared" si="23"/>
        <v>1.0413265306122448</v>
      </c>
      <c r="R176" s="9">
        <f t="shared" si="24"/>
        <v>0.62479591836734683</v>
      </c>
      <c r="S176" s="9">
        <f t="shared" si="25"/>
        <v>5.5752040816326538</v>
      </c>
      <c r="T176" s="9">
        <f t="shared" si="32"/>
        <v>138.9</v>
      </c>
      <c r="V176" s="10">
        <v>311.89999999999998</v>
      </c>
      <c r="W176" s="1">
        <f t="shared" si="26"/>
        <v>49.507936507936506</v>
      </c>
      <c r="X176" s="1">
        <f t="shared" si="31"/>
        <v>65295.900000000016</v>
      </c>
      <c r="Y176" s="1">
        <f t="shared" si="22"/>
        <v>6545.5</v>
      </c>
      <c r="AA176" s="1">
        <v>8.9502511622191392</v>
      </c>
    </row>
    <row r="177" spans="1:27" s="1" customFormat="1" x14ac:dyDescent="0.25">
      <c r="A177" s="81"/>
      <c r="B177" s="7"/>
      <c r="C177" s="3">
        <v>41658</v>
      </c>
      <c r="D177" s="1">
        <v>5.8</v>
      </c>
      <c r="E177" s="12">
        <v>4.5999999999999996</v>
      </c>
      <c r="F177" s="1">
        <v>7.9</v>
      </c>
      <c r="G177" s="1">
        <f t="shared" si="28"/>
        <v>1351.6999999999994</v>
      </c>
      <c r="H177" s="1">
        <f t="shared" si="21"/>
        <v>215.10000000000005</v>
      </c>
      <c r="J177" s="1">
        <v>0</v>
      </c>
      <c r="K177" s="1">
        <f t="shared" si="29"/>
        <v>349.99999999999994</v>
      </c>
      <c r="L177" s="1">
        <v>0.3</v>
      </c>
      <c r="M177" s="1">
        <f t="shared" si="30"/>
        <v>133.79999999999998</v>
      </c>
      <c r="N177" s="5">
        <f t="shared" si="27"/>
        <v>-0.3</v>
      </c>
      <c r="O177" s="1">
        <v>138.6</v>
      </c>
      <c r="P177" s="1">
        <v>138</v>
      </c>
      <c r="Q177" s="11">
        <f t="shared" si="23"/>
        <v>1.0428571428571429</v>
      </c>
      <c r="R177" s="9">
        <f t="shared" si="24"/>
        <v>0.31285714285714289</v>
      </c>
      <c r="S177" s="9">
        <f t="shared" si="25"/>
        <v>-0.31285714285714289</v>
      </c>
      <c r="T177" s="9">
        <f t="shared" si="32"/>
        <v>138.58714285714285</v>
      </c>
      <c r="V177" s="10">
        <v>378</v>
      </c>
      <c r="W177" s="1">
        <f t="shared" si="26"/>
        <v>65.172413793103445</v>
      </c>
      <c r="X177" s="1">
        <f t="shared" si="31"/>
        <v>65673.900000000023</v>
      </c>
      <c r="Y177" s="1">
        <f t="shared" si="22"/>
        <v>6923.5</v>
      </c>
      <c r="AA177" s="1">
        <v>8.98629730879391</v>
      </c>
    </row>
    <row r="178" spans="1:27" s="1" customFormat="1" x14ac:dyDescent="0.25">
      <c r="A178" s="81"/>
      <c r="B178" s="7">
        <v>9</v>
      </c>
      <c r="C178" s="3">
        <v>41659</v>
      </c>
      <c r="D178" s="12">
        <v>2.9</v>
      </c>
      <c r="E178" s="12">
        <v>2.6</v>
      </c>
      <c r="F178" s="12">
        <v>3.3</v>
      </c>
      <c r="G178" s="1">
        <f t="shared" si="28"/>
        <v>1354.5999999999995</v>
      </c>
      <c r="H178" s="1">
        <f t="shared" si="21"/>
        <v>218.00000000000006</v>
      </c>
      <c r="J178" s="1">
        <v>0.1</v>
      </c>
      <c r="K178" s="1">
        <f t="shared" si="29"/>
        <v>350.09999999999997</v>
      </c>
      <c r="L178" s="1">
        <v>0.1</v>
      </c>
      <c r="M178" s="1">
        <f t="shared" si="30"/>
        <v>133.89999999999998</v>
      </c>
      <c r="N178" s="1">
        <f t="shared" si="27"/>
        <v>0</v>
      </c>
      <c r="O178" s="1">
        <v>138.6</v>
      </c>
      <c r="P178" s="1">
        <v>139</v>
      </c>
      <c r="Q178" s="11">
        <f t="shared" si="23"/>
        <v>1.0443877551020408</v>
      </c>
      <c r="R178" s="9">
        <f t="shared" si="24"/>
        <v>0.10443877551020408</v>
      </c>
      <c r="S178" s="9">
        <f t="shared" si="25"/>
        <v>-4.4387755102040793E-3</v>
      </c>
      <c r="T178" s="9">
        <f t="shared" si="32"/>
        <v>138.58270408163264</v>
      </c>
      <c r="V178" s="10">
        <v>181.4</v>
      </c>
      <c r="W178" s="1">
        <f t="shared" si="26"/>
        <v>62.551724137931039</v>
      </c>
      <c r="X178" s="1">
        <f t="shared" si="31"/>
        <v>65855.300000000017</v>
      </c>
      <c r="Y178" s="1">
        <f t="shared" si="22"/>
        <v>7104.9</v>
      </c>
      <c r="AA178" s="1">
        <v>9.0233242035480394</v>
      </c>
    </row>
    <row r="179" spans="1:27" s="1" customFormat="1" x14ac:dyDescent="0.25">
      <c r="A179" s="81"/>
      <c r="B179" s="7"/>
      <c r="C179" s="3">
        <v>41660</v>
      </c>
      <c r="D179" s="12">
        <v>2.9</v>
      </c>
      <c r="E179" s="12">
        <v>2.2000000000000002</v>
      </c>
      <c r="F179" s="12">
        <v>4.9000000000000004</v>
      </c>
      <c r="G179" s="1">
        <f t="shared" si="28"/>
        <v>1357.4999999999995</v>
      </c>
      <c r="H179" s="1">
        <f t="shared" ref="H179:H242" si="33">H178+D179</f>
        <v>220.90000000000006</v>
      </c>
      <c r="J179" s="1">
        <v>0.1</v>
      </c>
      <c r="K179" s="1">
        <f t="shared" si="29"/>
        <v>350.2</v>
      </c>
      <c r="L179" s="1">
        <v>0.3</v>
      </c>
      <c r="M179" s="1">
        <f t="shared" si="30"/>
        <v>134.19999999999999</v>
      </c>
      <c r="N179" s="5">
        <f t="shared" si="27"/>
        <v>-0.19999999999999998</v>
      </c>
      <c r="O179" s="1">
        <v>138.4</v>
      </c>
      <c r="P179" s="1">
        <v>140</v>
      </c>
      <c r="Q179" s="11">
        <f t="shared" si="23"/>
        <v>1.0459183673469388</v>
      </c>
      <c r="R179" s="9">
        <f t="shared" si="24"/>
        <v>0.31377551020408162</v>
      </c>
      <c r="S179" s="9">
        <f t="shared" si="25"/>
        <v>-0.21377551020408161</v>
      </c>
      <c r="T179" s="9">
        <f t="shared" si="32"/>
        <v>138.36892857142857</v>
      </c>
      <c r="V179" s="10">
        <v>259.10000000000002</v>
      </c>
      <c r="W179" s="1">
        <f t="shared" si="26"/>
        <v>89.344827586206904</v>
      </c>
      <c r="X179" s="1">
        <f t="shared" si="31"/>
        <v>66114.400000000023</v>
      </c>
      <c r="Y179" s="1">
        <f t="shared" ref="Y179:Y242" si="34">Y178+V179</f>
        <v>7364</v>
      </c>
      <c r="AA179" s="1">
        <v>9.0613025320228697</v>
      </c>
    </row>
    <row r="180" spans="1:27" s="1" customFormat="1" x14ac:dyDescent="0.25">
      <c r="A180" s="81"/>
      <c r="B180" s="7"/>
      <c r="C180" s="3">
        <v>41661</v>
      </c>
      <c r="D180" s="12">
        <v>2.9</v>
      </c>
      <c r="E180" s="12">
        <v>1</v>
      </c>
      <c r="F180" s="1">
        <v>5.7</v>
      </c>
      <c r="G180" s="1">
        <f t="shared" si="28"/>
        <v>1360.3999999999996</v>
      </c>
      <c r="H180" s="1">
        <f t="shared" si="33"/>
        <v>223.80000000000007</v>
      </c>
      <c r="J180" s="1">
        <v>7.5</v>
      </c>
      <c r="K180" s="1">
        <f t="shared" si="29"/>
        <v>357.7</v>
      </c>
      <c r="L180" s="1">
        <v>0.3</v>
      </c>
      <c r="M180" s="1">
        <f t="shared" si="30"/>
        <v>134.5</v>
      </c>
      <c r="N180" s="1">
        <f t="shared" si="27"/>
        <v>7.2</v>
      </c>
      <c r="O180" s="1">
        <v>138.9</v>
      </c>
      <c r="P180" s="1">
        <v>141</v>
      </c>
      <c r="Q180" s="11">
        <f t="shared" si="23"/>
        <v>1.0474489795918367</v>
      </c>
      <c r="R180" s="9">
        <f t="shared" si="24"/>
        <v>0.31423469387755099</v>
      </c>
      <c r="S180" s="9">
        <f t="shared" si="25"/>
        <v>7.1857653061224491</v>
      </c>
      <c r="T180" s="9">
        <f t="shared" si="32"/>
        <v>138.9</v>
      </c>
      <c r="V180" s="10">
        <v>128.19999999999999</v>
      </c>
      <c r="W180" s="1">
        <f t="shared" si="26"/>
        <v>44.206896551724135</v>
      </c>
      <c r="X180" s="1">
        <f t="shared" si="31"/>
        <v>66242.60000000002</v>
      </c>
      <c r="Y180" s="1">
        <f t="shared" si="34"/>
        <v>7492.2</v>
      </c>
      <c r="AA180" s="1">
        <v>9.1002030046451203</v>
      </c>
    </row>
    <row r="181" spans="1:27" s="1" customFormat="1" x14ac:dyDescent="0.25">
      <c r="A181" s="81"/>
      <c r="B181" s="7"/>
      <c r="C181" s="3">
        <v>41662</v>
      </c>
      <c r="D181" s="1">
        <v>6.1</v>
      </c>
      <c r="E181" s="12">
        <v>4</v>
      </c>
      <c r="F181" s="1">
        <v>7.3</v>
      </c>
      <c r="G181" s="1">
        <f t="shared" si="28"/>
        <v>1366.4999999999995</v>
      </c>
      <c r="H181" s="1">
        <f t="shared" si="33"/>
        <v>229.90000000000006</v>
      </c>
      <c r="J181" s="1">
        <v>1.2</v>
      </c>
      <c r="K181" s="1">
        <f t="shared" si="29"/>
        <v>358.9</v>
      </c>
      <c r="L181" s="1">
        <v>0.1</v>
      </c>
      <c r="M181" s="1">
        <f t="shared" si="30"/>
        <v>134.6</v>
      </c>
      <c r="N181" s="1">
        <f t="shared" si="27"/>
        <v>1.0999999999999999</v>
      </c>
      <c r="O181" s="1">
        <v>138.9</v>
      </c>
      <c r="P181" s="1">
        <v>142</v>
      </c>
      <c r="Q181" s="11">
        <f t="shared" si="23"/>
        <v>1.0489795918367346</v>
      </c>
      <c r="R181" s="9">
        <f t="shared" si="24"/>
        <v>0.10489795918367346</v>
      </c>
      <c r="S181" s="9">
        <f t="shared" si="25"/>
        <v>1.0951020408163266</v>
      </c>
      <c r="T181" s="9">
        <f t="shared" si="32"/>
        <v>138.9</v>
      </c>
      <c r="V181" s="10">
        <v>221.2</v>
      </c>
      <c r="W181" s="1">
        <f t="shared" si="26"/>
        <v>36.26229508196721</v>
      </c>
      <c r="X181" s="1">
        <f t="shared" si="31"/>
        <v>66463.800000000017</v>
      </c>
      <c r="Y181" s="1">
        <f t="shared" si="34"/>
        <v>7713.4</v>
      </c>
      <c r="AA181" s="1">
        <v>9.1399964195386101</v>
      </c>
    </row>
    <row r="182" spans="1:27" s="1" customFormat="1" x14ac:dyDescent="0.25">
      <c r="A182" s="81"/>
      <c r="B182" s="7"/>
      <c r="C182" s="3">
        <v>41663</v>
      </c>
      <c r="D182" s="1">
        <v>5.5</v>
      </c>
      <c r="E182" s="1">
        <v>5.4</v>
      </c>
      <c r="F182" s="1">
        <v>5.9</v>
      </c>
      <c r="G182" s="1">
        <f t="shared" si="28"/>
        <v>1371.9999999999995</v>
      </c>
      <c r="H182" s="1">
        <f t="shared" si="33"/>
        <v>235.40000000000006</v>
      </c>
      <c r="J182" s="1">
        <v>7.9</v>
      </c>
      <c r="K182" s="1">
        <f t="shared" si="29"/>
        <v>366.79999999999995</v>
      </c>
      <c r="L182" s="1">
        <v>0.4</v>
      </c>
      <c r="M182" s="1">
        <f t="shared" si="30"/>
        <v>135</v>
      </c>
      <c r="N182" s="1">
        <f t="shared" si="27"/>
        <v>7.5</v>
      </c>
      <c r="O182" s="1">
        <v>138.9</v>
      </c>
      <c r="P182" s="1">
        <v>143</v>
      </c>
      <c r="Q182" s="11">
        <f t="shared" si="23"/>
        <v>1.0505102040816325</v>
      </c>
      <c r="R182" s="9">
        <f t="shared" si="24"/>
        <v>0.42020408163265305</v>
      </c>
      <c r="S182" s="9">
        <f t="shared" si="25"/>
        <v>7.4797959183673477</v>
      </c>
      <c r="T182" s="9">
        <f t="shared" si="32"/>
        <v>138.9</v>
      </c>
      <c r="V182" s="10">
        <v>144.4</v>
      </c>
      <c r="W182" s="1">
        <f t="shared" si="26"/>
        <v>26.254545454545454</v>
      </c>
      <c r="X182" s="1">
        <f t="shared" si="31"/>
        <v>66608.200000000012</v>
      </c>
      <c r="Y182" s="1">
        <f t="shared" si="34"/>
        <v>7857.7999999999993</v>
      </c>
      <c r="AA182" s="1">
        <v>9.1806537218089002</v>
      </c>
    </row>
    <row r="183" spans="1:27" s="1" customFormat="1" x14ac:dyDescent="0.25">
      <c r="A183" s="81"/>
      <c r="B183" s="7"/>
      <c r="C183" s="3">
        <v>41664</v>
      </c>
      <c r="D183" s="1">
        <v>5.3</v>
      </c>
      <c r="E183" s="12">
        <v>3.5</v>
      </c>
      <c r="F183" s="1">
        <v>7.1</v>
      </c>
      <c r="G183" s="1">
        <f t="shared" si="28"/>
        <v>1377.2999999999995</v>
      </c>
      <c r="H183" s="1">
        <f t="shared" si="33"/>
        <v>240.70000000000007</v>
      </c>
      <c r="J183" s="1">
        <v>1</v>
      </c>
      <c r="K183" s="1">
        <f t="shared" si="29"/>
        <v>367.79999999999995</v>
      </c>
      <c r="L183" s="1">
        <v>0.2</v>
      </c>
      <c r="M183" s="1">
        <f t="shared" si="30"/>
        <v>135.19999999999999</v>
      </c>
      <c r="N183" s="1">
        <f t="shared" si="27"/>
        <v>0.8</v>
      </c>
      <c r="O183" s="1">
        <v>138.9</v>
      </c>
      <c r="P183" s="1">
        <v>144</v>
      </c>
      <c r="Q183" s="11">
        <f t="shared" si="23"/>
        <v>1.0520408163265307</v>
      </c>
      <c r="R183" s="9">
        <f t="shared" si="24"/>
        <v>0.21040816326530615</v>
      </c>
      <c r="S183" s="9">
        <f t="shared" si="25"/>
        <v>0.78959183673469391</v>
      </c>
      <c r="T183" s="9">
        <f t="shared" si="32"/>
        <v>138.9</v>
      </c>
      <c r="V183" s="10">
        <v>116.7</v>
      </c>
      <c r="W183" s="1">
        <f t="shared" si="26"/>
        <v>22.018867924528305</v>
      </c>
      <c r="X183" s="1">
        <f t="shared" si="31"/>
        <v>66724.900000000009</v>
      </c>
      <c r="Y183" s="1">
        <f t="shared" si="34"/>
        <v>7974.4999999999991</v>
      </c>
      <c r="AA183" s="1">
        <v>9.2221460592042295</v>
      </c>
    </row>
    <row r="184" spans="1:27" s="1" customFormat="1" x14ac:dyDescent="0.25">
      <c r="A184" s="81"/>
      <c r="B184" s="7"/>
      <c r="C184" s="3">
        <v>41665</v>
      </c>
      <c r="D184" s="1">
        <v>7.5</v>
      </c>
      <c r="E184" s="1">
        <v>5.8</v>
      </c>
      <c r="F184" s="1">
        <v>10.199999999999999</v>
      </c>
      <c r="G184" s="1">
        <f t="shared" si="28"/>
        <v>1384.7999999999995</v>
      </c>
      <c r="H184" s="1">
        <f t="shared" si="33"/>
        <v>248.20000000000007</v>
      </c>
      <c r="J184" s="1">
        <v>6.2</v>
      </c>
      <c r="K184" s="1">
        <f t="shared" si="29"/>
        <v>373.99999999999994</v>
      </c>
      <c r="L184" s="1">
        <v>0.5</v>
      </c>
      <c r="M184" s="1">
        <f t="shared" si="30"/>
        <v>135.69999999999999</v>
      </c>
      <c r="N184" s="1">
        <f t="shared" si="27"/>
        <v>5.7</v>
      </c>
      <c r="O184" s="1">
        <v>138.9</v>
      </c>
      <c r="P184" s="1">
        <v>145</v>
      </c>
      <c r="Q184" s="11">
        <f t="shared" si="23"/>
        <v>1.0535714285714286</v>
      </c>
      <c r="R184" s="9">
        <f t="shared" si="24"/>
        <v>0.5267857142857143</v>
      </c>
      <c r="S184" s="9">
        <f t="shared" si="25"/>
        <v>5.6732142857142858</v>
      </c>
      <c r="T184" s="9">
        <f t="shared" si="32"/>
        <v>138.9</v>
      </c>
      <c r="V184" s="10">
        <v>156.4</v>
      </c>
      <c r="W184" s="1">
        <f t="shared" si="26"/>
        <v>20.853333333333335</v>
      </c>
      <c r="X184" s="1">
        <f t="shared" si="31"/>
        <v>66881.3</v>
      </c>
      <c r="Y184" s="1">
        <f t="shared" si="34"/>
        <v>8130.8999999999987</v>
      </c>
      <c r="AA184" s="1">
        <v>9.2644448340879606</v>
      </c>
    </row>
    <row r="185" spans="1:27" s="1" customFormat="1" x14ac:dyDescent="0.25">
      <c r="A185" s="81"/>
      <c r="B185" s="7">
        <v>10</v>
      </c>
      <c r="C185" s="3">
        <v>41666</v>
      </c>
      <c r="D185" s="12">
        <v>4.5999999999999996</v>
      </c>
      <c r="E185" s="12">
        <v>3</v>
      </c>
      <c r="F185" s="1">
        <v>7.5</v>
      </c>
      <c r="G185" s="1">
        <f t="shared" si="28"/>
        <v>1389.3999999999994</v>
      </c>
      <c r="H185" s="1">
        <f t="shared" si="33"/>
        <v>252.80000000000007</v>
      </c>
      <c r="J185" s="1">
        <v>0.5</v>
      </c>
      <c r="K185" s="1">
        <f t="shared" si="29"/>
        <v>374.49999999999994</v>
      </c>
      <c r="L185" s="1">
        <v>1.1000000000000001</v>
      </c>
      <c r="M185" s="1">
        <f t="shared" si="30"/>
        <v>136.79999999999998</v>
      </c>
      <c r="N185" s="5">
        <f t="shared" si="27"/>
        <v>-0.60000000000000009</v>
      </c>
      <c r="O185" s="1">
        <v>138.30000000000001</v>
      </c>
      <c r="P185" s="1">
        <v>146</v>
      </c>
      <c r="Q185" s="11">
        <f t="shared" si="23"/>
        <v>1.0551020408163265</v>
      </c>
      <c r="R185" s="9">
        <f t="shared" si="24"/>
        <v>1.1606122448979592</v>
      </c>
      <c r="S185" s="9">
        <f t="shared" si="25"/>
        <v>-0.66061224489795922</v>
      </c>
      <c r="T185" s="9">
        <f t="shared" si="32"/>
        <v>138.23938775510206</v>
      </c>
      <c r="V185" s="10">
        <v>564</v>
      </c>
      <c r="W185" s="1">
        <f t="shared" si="26"/>
        <v>122.60869565217392</v>
      </c>
      <c r="X185" s="1">
        <f t="shared" si="31"/>
        <v>67445.3</v>
      </c>
      <c r="Y185" s="1">
        <f t="shared" si="34"/>
        <v>8694.8999999999978</v>
      </c>
      <c r="AA185" s="1">
        <v>9.3075217516878492</v>
      </c>
    </row>
    <row r="186" spans="1:27" s="1" customFormat="1" x14ac:dyDescent="0.25">
      <c r="A186" s="81"/>
      <c r="B186" s="7"/>
      <c r="C186" s="3">
        <v>41667</v>
      </c>
      <c r="D186" s="12">
        <v>4.7</v>
      </c>
      <c r="E186" s="12">
        <v>2</v>
      </c>
      <c r="F186" s="1">
        <v>6.2</v>
      </c>
      <c r="G186" s="1">
        <f t="shared" si="28"/>
        <v>1394.0999999999995</v>
      </c>
      <c r="H186" s="1">
        <f t="shared" si="33"/>
        <v>257.50000000000006</v>
      </c>
      <c r="J186" s="1">
        <v>3.8</v>
      </c>
      <c r="K186" s="1">
        <f t="shared" si="29"/>
        <v>378.29999999999995</v>
      </c>
      <c r="L186" s="1">
        <v>0.2</v>
      </c>
      <c r="M186" s="1">
        <f t="shared" si="30"/>
        <v>136.99999999999997</v>
      </c>
      <c r="N186" s="1">
        <f t="shared" si="27"/>
        <v>3.5999999999999996</v>
      </c>
      <c r="O186" s="1">
        <v>138.9</v>
      </c>
      <c r="P186" s="1">
        <v>147</v>
      </c>
      <c r="Q186" s="11">
        <f t="shared" si="23"/>
        <v>1.0566326530612244</v>
      </c>
      <c r="R186" s="9">
        <f t="shared" si="24"/>
        <v>0.21132653061224491</v>
      </c>
      <c r="S186" s="9">
        <f t="shared" si="25"/>
        <v>3.5886734693877549</v>
      </c>
      <c r="T186" s="9">
        <f t="shared" si="32"/>
        <v>138.9</v>
      </c>
      <c r="V186" s="10">
        <v>115.6</v>
      </c>
      <c r="W186" s="1">
        <f t="shared" si="26"/>
        <v>24.595744680851062</v>
      </c>
      <c r="X186" s="1">
        <f t="shared" si="31"/>
        <v>67560.900000000009</v>
      </c>
      <c r="Y186" s="1">
        <f t="shared" si="34"/>
        <v>8810.4999999999982</v>
      </c>
      <c r="AA186" s="1">
        <v>9.3513488646149803</v>
      </c>
    </row>
    <row r="187" spans="1:27" s="1" customFormat="1" x14ac:dyDescent="0.25">
      <c r="A187" s="81"/>
      <c r="B187" s="7"/>
      <c r="C187" s="3">
        <v>41668</v>
      </c>
      <c r="D187" s="12">
        <v>4.7</v>
      </c>
      <c r="E187" s="12">
        <v>4.4000000000000004</v>
      </c>
      <c r="F187" s="1">
        <v>5.4</v>
      </c>
      <c r="G187" s="1">
        <f t="shared" si="28"/>
        <v>1398.7999999999995</v>
      </c>
      <c r="H187" s="1">
        <f t="shared" si="33"/>
        <v>262.20000000000005</v>
      </c>
      <c r="J187" s="1">
        <v>1</v>
      </c>
      <c r="K187" s="1">
        <f t="shared" si="29"/>
        <v>379.29999999999995</v>
      </c>
      <c r="L187" s="1">
        <v>0.3</v>
      </c>
      <c r="M187" s="1">
        <f t="shared" si="30"/>
        <v>137.29999999999998</v>
      </c>
      <c r="N187" s="1">
        <f t="shared" si="27"/>
        <v>0.7</v>
      </c>
      <c r="O187" s="1">
        <v>138.9</v>
      </c>
      <c r="P187" s="1">
        <v>148</v>
      </c>
      <c r="Q187" s="11">
        <f t="shared" si="23"/>
        <v>1.0581632653061224</v>
      </c>
      <c r="R187" s="9">
        <f t="shared" si="24"/>
        <v>0.31744897959183671</v>
      </c>
      <c r="S187" s="9">
        <f t="shared" si="25"/>
        <v>0.68255102040816329</v>
      </c>
      <c r="T187" s="9">
        <f t="shared" si="32"/>
        <v>138.9</v>
      </c>
      <c r="V187" s="10">
        <v>197.3</v>
      </c>
      <c r="W187" s="1">
        <f t="shared" si="26"/>
        <v>41.978723404255319</v>
      </c>
      <c r="X187" s="1">
        <f t="shared" si="31"/>
        <v>67758.200000000012</v>
      </c>
      <c r="Y187" s="1">
        <f t="shared" si="34"/>
        <v>9007.7999999999975</v>
      </c>
      <c r="AA187" s="1">
        <v>9.3958986136708909</v>
      </c>
    </row>
    <row r="188" spans="1:27" s="1" customFormat="1" x14ac:dyDescent="0.25">
      <c r="A188" s="81"/>
      <c r="B188" s="7"/>
      <c r="C188" s="3">
        <v>41669</v>
      </c>
      <c r="D188" s="12">
        <v>4</v>
      </c>
      <c r="E188" s="12">
        <v>3.3</v>
      </c>
      <c r="F188" s="1">
        <v>6.1</v>
      </c>
      <c r="G188" s="1">
        <f t="shared" si="28"/>
        <v>1402.7999999999995</v>
      </c>
      <c r="H188" s="1">
        <f t="shared" si="33"/>
        <v>266.20000000000005</v>
      </c>
      <c r="J188" s="1">
        <v>0.7</v>
      </c>
      <c r="K188" s="1">
        <f t="shared" si="29"/>
        <v>379.99999999999994</v>
      </c>
      <c r="L188" s="1">
        <v>0.2</v>
      </c>
      <c r="M188" s="1">
        <f t="shared" si="30"/>
        <v>137.49999999999997</v>
      </c>
      <c r="N188" s="1">
        <f t="shared" si="27"/>
        <v>0.49999999999999994</v>
      </c>
      <c r="O188" s="1">
        <v>138.9</v>
      </c>
      <c r="P188" s="1">
        <v>149</v>
      </c>
      <c r="Q188" s="11">
        <f t="shared" si="23"/>
        <v>1.0596938775510203</v>
      </c>
      <c r="R188" s="9">
        <f t="shared" si="24"/>
        <v>0.21193877551020407</v>
      </c>
      <c r="S188" s="9">
        <f t="shared" si="25"/>
        <v>0.48806122448979589</v>
      </c>
      <c r="T188" s="9">
        <f t="shared" si="32"/>
        <v>138.9</v>
      </c>
      <c r="V188" s="10">
        <v>240.1</v>
      </c>
      <c r="W188" s="1">
        <f t="shared" si="26"/>
        <v>60.024999999999999</v>
      </c>
      <c r="X188" s="1">
        <f t="shared" si="31"/>
        <v>67998.300000000017</v>
      </c>
      <c r="Y188" s="1">
        <f t="shared" si="34"/>
        <v>9247.8999999999978</v>
      </c>
      <c r="AA188" s="1">
        <v>9.4411438649839408</v>
      </c>
    </row>
    <row r="189" spans="1:27" s="1" customFormat="1" x14ac:dyDescent="0.25">
      <c r="A189" s="81"/>
      <c r="B189" s="7"/>
      <c r="C189" s="3">
        <v>41670</v>
      </c>
      <c r="D189" s="12">
        <v>4.8</v>
      </c>
      <c r="E189" s="19">
        <v>-0.1</v>
      </c>
      <c r="F189" s="1">
        <v>7.9</v>
      </c>
      <c r="G189" s="1">
        <f t="shared" si="28"/>
        <v>1407.5999999999995</v>
      </c>
      <c r="H189" s="1">
        <f t="shared" si="33"/>
        <v>271.00000000000006</v>
      </c>
      <c r="J189" s="1">
        <v>5.4</v>
      </c>
      <c r="K189" s="1">
        <f t="shared" si="29"/>
        <v>385.39999999999992</v>
      </c>
      <c r="L189" s="1">
        <v>0.4</v>
      </c>
      <c r="M189" s="1">
        <f t="shared" si="30"/>
        <v>137.89999999999998</v>
      </c>
      <c r="N189" s="1">
        <f t="shared" si="27"/>
        <v>5</v>
      </c>
      <c r="O189" s="1">
        <v>138.9</v>
      </c>
      <c r="P189" s="1">
        <v>150</v>
      </c>
      <c r="Q189" s="11">
        <f t="shared" si="23"/>
        <v>1.0612244897959184</v>
      </c>
      <c r="R189" s="9">
        <f t="shared" si="24"/>
        <v>0.42448979591836739</v>
      </c>
      <c r="S189" s="9">
        <f t="shared" si="25"/>
        <v>4.9755102040816332</v>
      </c>
      <c r="T189" s="9">
        <f t="shared" si="32"/>
        <v>138.9</v>
      </c>
      <c r="V189" s="10">
        <v>486</v>
      </c>
      <c r="W189" s="1">
        <f t="shared" si="26"/>
        <v>101.25</v>
      </c>
      <c r="X189" s="1">
        <f t="shared" si="31"/>
        <v>68484.300000000017</v>
      </c>
      <c r="Y189" s="1">
        <f t="shared" si="34"/>
        <v>9733.8999999999978</v>
      </c>
      <c r="AA189" s="1">
        <v>9.4870579435367901</v>
      </c>
    </row>
    <row r="190" spans="1:27" s="1" customFormat="1" x14ac:dyDescent="0.25">
      <c r="A190" s="81"/>
      <c r="B190" s="7"/>
      <c r="C190" s="3">
        <v>41671</v>
      </c>
      <c r="D190" s="1">
        <v>6.3</v>
      </c>
      <c r="E190" s="12">
        <v>4.9000000000000004</v>
      </c>
      <c r="F190" s="1">
        <v>8.1999999999999993</v>
      </c>
      <c r="G190" s="1">
        <f t="shared" si="28"/>
        <v>1413.8999999999994</v>
      </c>
      <c r="H190" s="1">
        <f t="shared" si="33"/>
        <v>277.30000000000007</v>
      </c>
      <c r="J190" s="1">
        <v>2.5</v>
      </c>
      <c r="K190" s="1">
        <f t="shared" si="29"/>
        <v>387.89999999999992</v>
      </c>
      <c r="L190" s="1">
        <v>0.9</v>
      </c>
      <c r="M190" s="1">
        <f t="shared" si="30"/>
        <v>138.79999999999998</v>
      </c>
      <c r="N190" s="1">
        <f t="shared" si="27"/>
        <v>1.6</v>
      </c>
      <c r="O190" s="1">
        <v>138.9</v>
      </c>
      <c r="P190" s="1">
        <v>151</v>
      </c>
      <c r="Q190" s="11">
        <f t="shared" si="23"/>
        <v>1.0627551020408164</v>
      </c>
      <c r="R190" s="9">
        <f t="shared" si="24"/>
        <v>0.9564795918367347</v>
      </c>
      <c r="S190" s="9">
        <f t="shared" si="25"/>
        <v>1.5435204081632654</v>
      </c>
      <c r="T190" s="9">
        <f t="shared" si="32"/>
        <v>138.9</v>
      </c>
      <c r="V190" s="10">
        <v>688.7</v>
      </c>
      <c r="W190" s="1">
        <f t="shared" si="26"/>
        <v>109.31746031746033</v>
      </c>
      <c r="X190" s="1">
        <f t="shared" si="31"/>
        <v>69173.000000000015</v>
      </c>
      <c r="Y190" s="1">
        <f t="shared" si="34"/>
        <v>10422.599999999999</v>
      </c>
      <c r="AA190" s="1">
        <v>9.5336146631650198</v>
      </c>
    </row>
    <row r="191" spans="1:27" s="1" customFormat="1" x14ac:dyDescent="0.25">
      <c r="A191" s="81"/>
      <c r="B191" s="7"/>
      <c r="C191" s="3">
        <v>41672</v>
      </c>
      <c r="D191" s="12">
        <v>4.7</v>
      </c>
      <c r="E191" s="12">
        <v>1.2</v>
      </c>
      <c r="F191" s="1">
        <v>8.1999999999999993</v>
      </c>
      <c r="G191" s="1">
        <f t="shared" si="28"/>
        <v>1418.5999999999995</v>
      </c>
      <c r="H191" s="1">
        <f t="shared" si="33"/>
        <v>282.00000000000006</v>
      </c>
      <c r="J191" s="1">
        <v>0.2</v>
      </c>
      <c r="K191" s="1">
        <f t="shared" si="29"/>
        <v>388.09999999999991</v>
      </c>
      <c r="L191" s="1">
        <v>0.8</v>
      </c>
      <c r="M191" s="1">
        <f t="shared" si="30"/>
        <v>139.6</v>
      </c>
      <c r="N191" s="5">
        <f t="shared" si="27"/>
        <v>-0.60000000000000009</v>
      </c>
      <c r="O191" s="1">
        <v>138.30000000000001</v>
      </c>
      <c r="P191" s="1">
        <v>152</v>
      </c>
      <c r="Q191" s="11">
        <f t="shared" si="23"/>
        <v>1.0642857142857143</v>
      </c>
      <c r="R191" s="9">
        <f t="shared" si="24"/>
        <v>0.85142857142857142</v>
      </c>
      <c r="S191" s="9">
        <f t="shared" si="25"/>
        <v>-0.65142857142857147</v>
      </c>
      <c r="T191" s="9">
        <f t="shared" si="32"/>
        <v>138.24857142857144</v>
      </c>
      <c r="V191" s="10">
        <v>853</v>
      </c>
      <c r="W191" s="1">
        <f t="shared" si="26"/>
        <v>181.48936170212767</v>
      </c>
      <c r="X191" s="1">
        <f t="shared" si="31"/>
        <v>70026.000000000015</v>
      </c>
      <c r="Y191" s="1">
        <f t="shared" si="34"/>
        <v>11275.599999999999</v>
      </c>
      <c r="AA191" s="1">
        <v>9.5807883531223297</v>
      </c>
    </row>
    <row r="192" spans="1:27" s="1" customFormat="1" x14ac:dyDescent="0.25">
      <c r="A192" s="81"/>
      <c r="B192" s="7"/>
      <c r="C192" s="3">
        <v>41673</v>
      </c>
      <c r="D192" s="1">
        <v>5.0999999999999996</v>
      </c>
      <c r="E192" s="12">
        <v>0.2</v>
      </c>
      <c r="F192" s="1">
        <v>8</v>
      </c>
      <c r="G192" s="1">
        <f t="shared" si="28"/>
        <v>1423.6999999999994</v>
      </c>
      <c r="H192" s="1">
        <f t="shared" si="33"/>
        <v>287.10000000000008</v>
      </c>
      <c r="J192" s="1">
        <v>0.2</v>
      </c>
      <c r="K192" s="1">
        <f t="shared" si="29"/>
        <v>388.2999999999999</v>
      </c>
      <c r="L192" s="1">
        <v>0.8</v>
      </c>
      <c r="M192" s="1">
        <f t="shared" si="30"/>
        <v>140.4</v>
      </c>
      <c r="N192" s="5">
        <f t="shared" si="27"/>
        <v>-0.60000000000000009</v>
      </c>
      <c r="O192" s="1">
        <v>137.70000000000002</v>
      </c>
      <c r="P192" s="1">
        <v>153</v>
      </c>
      <c r="Q192" s="11">
        <f t="shared" si="23"/>
        <v>1.0658163265306122</v>
      </c>
      <c r="R192" s="9">
        <f t="shared" si="24"/>
        <v>0.85265306122448981</v>
      </c>
      <c r="S192" s="9">
        <f t="shared" si="25"/>
        <v>-0.65265306122448985</v>
      </c>
      <c r="T192" s="9">
        <f t="shared" si="32"/>
        <v>137.59591836734694</v>
      </c>
      <c r="V192" s="1">
        <v>968.6</v>
      </c>
      <c r="W192" s="1">
        <f t="shared" si="26"/>
        <v>189.92156862745099</v>
      </c>
      <c r="X192" s="1">
        <f t="shared" si="31"/>
        <v>70994.60000000002</v>
      </c>
      <c r="Y192" s="1">
        <f t="shared" si="34"/>
        <v>12244.199999999999</v>
      </c>
      <c r="AA192" s="1">
        <v>9.6285538813215705</v>
      </c>
    </row>
    <row r="193" spans="1:28" s="1" customFormat="1" x14ac:dyDescent="0.25">
      <c r="A193" s="81"/>
      <c r="B193" s="7"/>
      <c r="C193" s="3">
        <v>41674</v>
      </c>
      <c r="D193" s="1">
        <v>6.5</v>
      </c>
      <c r="E193" s="12">
        <v>4</v>
      </c>
      <c r="F193" s="1">
        <v>8.6999999999999993</v>
      </c>
      <c r="G193" s="1">
        <f t="shared" si="28"/>
        <v>1430.1999999999994</v>
      </c>
      <c r="H193" s="1">
        <f t="shared" si="33"/>
        <v>293.60000000000008</v>
      </c>
      <c r="J193" s="1">
        <v>1.3</v>
      </c>
      <c r="K193" s="1">
        <f t="shared" si="29"/>
        <v>389.59999999999991</v>
      </c>
      <c r="L193" s="1">
        <v>1.1000000000000001</v>
      </c>
      <c r="M193" s="1">
        <f t="shared" si="30"/>
        <v>141.5</v>
      </c>
      <c r="N193" s="1">
        <f t="shared" si="27"/>
        <v>0.19999999999999996</v>
      </c>
      <c r="O193" s="1">
        <v>137.9</v>
      </c>
      <c r="P193" s="1">
        <v>154</v>
      </c>
      <c r="Q193" s="11">
        <f t="shared" si="23"/>
        <v>1.0673469387755101</v>
      </c>
      <c r="R193" s="9">
        <f t="shared" si="24"/>
        <v>1.1740816326530612</v>
      </c>
      <c r="S193" s="9">
        <f t="shared" si="25"/>
        <v>0.12591836734693884</v>
      </c>
      <c r="T193" s="9">
        <f t="shared" si="32"/>
        <v>137.72183673469388</v>
      </c>
      <c r="V193" s="10">
        <v>457.8</v>
      </c>
      <c r="W193" s="1">
        <f t="shared" si="26"/>
        <v>70.430769230769229</v>
      </c>
      <c r="X193" s="1">
        <f t="shared" si="31"/>
        <v>71452.400000000023</v>
      </c>
      <c r="Y193" s="1">
        <f t="shared" si="34"/>
        <v>12701.999999999998</v>
      </c>
      <c r="AA193" s="1">
        <v>9.6768866743718895</v>
      </c>
    </row>
    <row r="194" spans="1:28" s="1" customFormat="1" x14ac:dyDescent="0.25">
      <c r="A194" s="81"/>
      <c r="B194" s="7"/>
      <c r="C194" s="3">
        <v>41675</v>
      </c>
      <c r="D194" s="1">
        <v>7.5</v>
      </c>
      <c r="E194" s="1">
        <v>5.9</v>
      </c>
      <c r="F194" s="1">
        <v>8.6999999999999993</v>
      </c>
      <c r="G194" s="1">
        <f t="shared" si="28"/>
        <v>1437.6999999999994</v>
      </c>
      <c r="H194" s="1">
        <f t="shared" si="33"/>
        <v>301.10000000000008</v>
      </c>
      <c r="J194" s="1">
        <v>2.2999999999999998</v>
      </c>
      <c r="K194" s="1">
        <f t="shared" si="29"/>
        <v>391.89999999999992</v>
      </c>
      <c r="L194" s="1">
        <v>1.2</v>
      </c>
      <c r="M194" s="1">
        <f t="shared" si="30"/>
        <v>142.69999999999999</v>
      </c>
      <c r="N194" s="1">
        <f t="shared" si="27"/>
        <v>1.0999999999999999</v>
      </c>
      <c r="O194" s="1">
        <v>138.9</v>
      </c>
      <c r="P194" s="1">
        <v>155</v>
      </c>
      <c r="Q194" s="11">
        <f t="shared" si="23"/>
        <v>1.068877551020408</v>
      </c>
      <c r="R194" s="9">
        <f t="shared" si="24"/>
        <v>1.2826530612244895</v>
      </c>
      <c r="S194" s="9">
        <f t="shared" si="25"/>
        <v>1.0173469387755103</v>
      </c>
      <c r="T194" s="9">
        <f t="shared" si="32"/>
        <v>138.7391836734694</v>
      </c>
      <c r="V194" s="10">
        <v>300.7</v>
      </c>
      <c r="W194" s="1">
        <f t="shared" si="26"/>
        <v>40.093333333333334</v>
      </c>
      <c r="X194" s="1">
        <f t="shared" si="31"/>
        <v>71753.10000000002</v>
      </c>
      <c r="Y194" s="1">
        <f t="shared" si="34"/>
        <v>13002.699999999999</v>
      </c>
      <c r="AA194" s="1">
        <v>9.7257627345416804</v>
      </c>
    </row>
    <row r="195" spans="1:28" s="1" customFormat="1" x14ac:dyDescent="0.25">
      <c r="A195" s="81"/>
      <c r="B195" s="7"/>
      <c r="C195" s="3">
        <v>41676</v>
      </c>
      <c r="D195" s="1">
        <v>8.9</v>
      </c>
      <c r="E195" s="12">
        <v>4.8</v>
      </c>
      <c r="F195" s="1">
        <v>13.1</v>
      </c>
      <c r="G195" s="1">
        <f t="shared" si="28"/>
        <v>1446.5999999999995</v>
      </c>
      <c r="H195" s="1">
        <f t="shared" si="33"/>
        <v>310.00000000000006</v>
      </c>
      <c r="J195" s="1">
        <v>1.4</v>
      </c>
      <c r="K195" s="1">
        <f t="shared" si="29"/>
        <v>393.2999999999999</v>
      </c>
      <c r="L195" s="1">
        <v>1.5</v>
      </c>
      <c r="M195" s="1">
        <f t="shared" si="30"/>
        <v>144.19999999999999</v>
      </c>
      <c r="N195" s="5">
        <f t="shared" si="27"/>
        <v>-0.10000000000000009</v>
      </c>
      <c r="O195" s="1">
        <v>138.80000000000001</v>
      </c>
      <c r="P195" s="1">
        <v>156</v>
      </c>
      <c r="Q195" s="11">
        <f t="shared" si="23"/>
        <v>1.0704081632653062</v>
      </c>
      <c r="R195" s="9">
        <f t="shared" si="24"/>
        <v>1.6056122448979593</v>
      </c>
      <c r="S195" s="9">
        <f t="shared" si="25"/>
        <v>-0.20561224489795937</v>
      </c>
      <c r="T195" s="9">
        <f t="shared" si="32"/>
        <v>138.53357142857143</v>
      </c>
      <c r="V195" s="10">
        <v>579.20000000000005</v>
      </c>
      <c r="W195" s="1">
        <f t="shared" si="26"/>
        <v>65.078651685393254</v>
      </c>
      <c r="X195" s="1">
        <f t="shared" si="31"/>
        <v>72332.300000000017</v>
      </c>
      <c r="Y195" s="1">
        <f t="shared" si="34"/>
        <v>13581.9</v>
      </c>
      <c r="AA195" s="1">
        <v>9.7751586537838993</v>
      </c>
    </row>
    <row r="196" spans="1:28" s="1" customFormat="1" x14ac:dyDescent="0.25">
      <c r="A196" s="81"/>
      <c r="B196" s="7"/>
      <c r="C196" s="3">
        <v>41677</v>
      </c>
      <c r="D196" s="1">
        <v>9.4</v>
      </c>
      <c r="E196" s="1">
        <v>8.6</v>
      </c>
      <c r="F196" s="1">
        <v>10.1</v>
      </c>
      <c r="G196" s="1">
        <f t="shared" si="28"/>
        <v>1455.9999999999995</v>
      </c>
      <c r="H196" s="1">
        <f t="shared" si="33"/>
        <v>319.40000000000003</v>
      </c>
      <c r="J196" s="1">
        <v>2.4</v>
      </c>
      <c r="K196" s="1">
        <f t="shared" si="29"/>
        <v>395.69999999999987</v>
      </c>
      <c r="L196" s="1">
        <v>2.2000000000000002</v>
      </c>
      <c r="M196" s="1">
        <f t="shared" si="30"/>
        <v>146.39999999999998</v>
      </c>
      <c r="N196" s="1">
        <f t="shared" si="27"/>
        <v>0.19999999999999973</v>
      </c>
      <c r="O196" s="1">
        <v>138.9</v>
      </c>
      <c r="P196" s="1">
        <v>157</v>
      </c>
      <c r="Q196" s="11">
        <f t="shared" si="23"/>
        <v>1.0719387755102041</v>
      </c>
      <c r="R196" s="9">
        <f t="shared" si="24"/>
        <v>2.3582653061224494</v>
      </c>
      <c r="S196" s="9">
        <f t="shared" si="25"/>
        <v>4.1734693877550466E-2</v>
      </c>
      <c r="T196" s="9">
        <f t="shared" si="32"/>
        <v>138.57530612244898</v>
      </c>
      <c r="V196" s="10">
        <v>462.7</v>
      </c>
      <c r="W196" s="1">
        <f t="shared" si="26"/>
        <v>49.223404255319146</v>
      </c>
      <c r="X196" s="1">
        <f t="shared" si="31"/>
        <v>72795.000000000015</v>
      </c>
      <c r="Y196" s="1">
        <f t="shared" si="34"/>
        <v>14044.6</v>
      </c>
      <c r="AA196" s="1">
        <v>9.8250516249662798</v>
      </c>
    </row>
    <row r="197" spans="1:28" s="1" customFormat="1" x14ac:dyDescent="0.25">
      <c r="A197" s="81"/>
      <c r="B197" s="7"/>
      <c r="C197" s="3">
        <v>41678</v>
      </c>
      <c r="D197" s="1">
        <v>7.1</v>
      </c>
      <c r="E197" s="1">
        <v>7.1</v>
      </c>
      <c r="F197" s="1">
        <v>8.3000000000000007</v>
      </c>
      <c r="G197" s="1">
        <f t="shared" si="28"/>
        <v>1463.0999999999995</v>
      </c>
      <c r="H197" s="1">
        <f t="shared" si="33"/>
        <v>326.50000000000006</v>
      </c>
      <c r="J197" s="1">
        <v>2.7</v>
      </c>
      <c r="K197" s="1">
        <f t="shared" si="29"/>
        <v>398.39999999999986</v>
      </c>
      <c r="L197" s="1">
        <v>1.3</v>
      </c>
      <c r="M197" s="1">
        <f t="shared" si="30"/>
        <v>147.69999999999999</v>
      </c>
      <c r="N197" s="1">
        <f t="shared" si="27"/>
        <v>1.4000000000000001</v>
      </c>
      <c r="O197" s="1">
        <v>138.9</v>
      </c>
      <c r="P197" s="1">
        <v>158</v>
      </c>
      <c r="Q197" s="11">
        <f t="shared" si="23"/>
        <v>1.073469387755102</v>
      </c>
      <c r="R197" s="9">
        <f t="shared" si="24"/>
        <v>1.3955102040816327</v>
      </c>
      <c r="S197" s="9">
        <f t="shared" si="25"/>
        <v>1.3044897959183674</v>
      </c>
      <c r="T197" s="9">
        <f t="shared" si="32"/>
        <v>138.9</v>
      </c>
      <c r="V197" s="10">
        <v>447.3</v>
      </c>
      <c r="W197" s="1">
        <f t="shared" si="26"/>
        <v>63.000000000000007</v>
      </c>
      <c r="X197" s="1">
        <f t="shared" si="31"/>
        <v>73242.300000000017</v>
      </c>
      <c r="Y197" s="1">
        <f t="shared" si="34"/>
        <v>14491.9</v>
      </c>
      <c r="AA197" s="1">
        <v>9.8754194504520605</v>
      </c>
    </row>
    <row r="198" spans="1:28" s="1" customFormat="1" x14ac:dyDescent="0.25">
      <c r="A198" s="81"/>
      <c r="B198" s="7"/>
      <c r="C198" s="3">
        <v>41679</v>
      </c>
      <c r="D198" s="1">
        <v>5.6</v>
      </c>
      <c r="E198" s="12">
        <v>3.8</v>
      </c>
      <c r="F198" s="1">
        <v>7.7</v>
      </c>
      <c r="G198" s="1">
        <f t="shared" si="28"/>
        <v>1468.6999999999994</v>
      </c>
      <c r="H198" s="1">
        <f t="shared" si="33"/>
        <v>332.10000000000008</v>
      </c>
      <c r="J198" s="1">
        <v>1.6</v>
      </c>
      <c r="K198" s="1">
        <f t="shared" si="29"/>
        <v>399.99999999999989</v>
      </c>
      <c r="L198" s="1">
        <v>1.1000000000000001</v>
      </c>
      <c r="M198" s="1">
        <f t="shared" si="30"/>
        <v>148.79999999999998</v>
      </c>
      <c r="N198" s="1">
        <f t="shared" si="27"/>
        <v>0.5</v>
      </c>
      <c r="O198" s="1">
        <v>138.9</v>
      </c>
      <c r="P198" s="1">
        <v>159</v>
      </c>
      <c r="Q198" s="11">
        <f t="shared" si="23"/>
        <v>1.075</v>
      </c>
      <c r="R198" s="9">
        <f t="shared" si="24"/>
        <v>1.1825000000000001</v>
      </c>
      <c r="S198" s="9">
        <f t="shared" si="25"/>
        <v>0.41749999999999998</v>
      </c>
      <c r="T198" s="9">
        <f t="shared" si="32"/>
        <v>138.9</v>
      </c>
      <c r="V198" s="10">
        <v>734.4</v>
      </c>
      <c r="W198" s="1">
        <f t="shared" si="26"/>
        <v>131.14285714285714</v>
      </c>
      <c r="X198" s="1">
        <f t="shared" si="31"/>
        <v>73976.700000000012</v>
      </c>
      <c r="Y198" s="1">
        <f t="shared" si="34"/>
        <v>15226.3</v>
      </c>
      <c r="AA198" s="1">
        <v>9.92624054817969</v>
      </c>
    </row>
    <row r="199" spans="1:28" s="1" customFormat="1" x14ac:dyDescent="0.25">
      <c r="A199" s="81"/>
      <c r="B199" s="7"/>
      <c r="C199" s="3">
        <v>41680</v>
      </c>
      <c r="D199" s="1">
        <v>5.4</v>
      </c>
      <c r="E199" s="12">
        <v>4</v>
      </c>
      <c r="F199" s="1">
        <v>6.7</v>
      </c>
      <c r="G199" s="1">
        <f t="shared" si="28"/>
        <v>1474.0999999999995</v>
      </c>
      <c r="H199" s="1">
        <f t="shared" si="33"/>
        <v>337.50000000000006</v>
      </c>
      <c r="J199" s="1">
        <v>1.1000000000000001</v>
      </c>
      <c r="K199" s="1">
        <f t="shared" si="29"/>
        <v>401.09999999999991</v>
      </c>
      <c r="L199" s="1">
        <v>0.6</v>
      </c>
      <c r="M199" s="1">
        <f t="shared" si="30"/>
        <v>149.39999999999998</v>
      </c>
      <c r="N199" s="1">
        <f t="shared" si="27"/>
        <v>0.50000000000000011</v>
      </c>
      <c r="O199" s="1">
        <v>138.9</v>
      </c>
      <c r="P199" s="1">
        <v>160</v>
      </c>
      <c r="Q199" s="11">
        <f t="shared" si="23"/>
        <v>1.0765306122448979</v>
      </c>
      <c r="R199" s="9">
        <f t="shared" si="24"/>
        <v>0.64591836734693875</v>
      </c>
      <c r="S199" s="9">
        <f t="shared" si="25"/>
        <v>0.45408163265306134</v>
      </c>
      <c r="T199" s="9">
        <f t="shared" si="32"/>
        <v>138.9</v>
      </c>
      <c r="V199" s="10">
        <v>465.4</v>
      </c>
      <c r="W199" s="1">
        <f t="shared" si="26"/>
        <v>86.185185185185176</v>
      </c>
      <c r="X199" s="1">
        <f t="shared" si="31"/>
        <v>74442.100000000006</v>
      </c>
      <c r="Y199" s="1">
        <f t="shared" si="34"/>
        <v>15691.699999999999</v>
      </c>
      <c r="AA199" s="1">
        <v>9.9774939553903295</v>
      </c>
    </row>
    <row r="200" spans="1:28" s="1" customFormat="1" x14ac:dyDescent="0.25">
      <c r="A200" s="81"/>
      <c r="B200" s="7"/>
      <c r="C200" s="3">
        <v>41681</v>
      </c>
      <c r="D200" s="1">
        <v>4.0999999999999996</v>
      </c>
      <c r="E200" s="12">
        <v>0.9</v>
      </c>
      <c r="F200" s="1">
        <v>6.8</v>
      </c>
      <c r="G200" s="1">
        <f t="shared" si="28"/>
        <v>1478.1999999999994</v>
      </c>
      <c r="H200" s="1">
        <f t="shared" si="33"/>
        <v>341.60000000000008</v>
      </c>
      <c r="J200" s="1">
        <v>2.2000000000000002</v>
      </c>
      <c r="K200" s="1">
        <f t="shared" si="29"/>
        <v>403.2999999999999</v>
      </c>
      <c r="L200" s="1">
        <v>0.5</v>
      </c>
      <c r="M200" s="1">
        <f t="shared" si="30"/>
        <v>149.89999999999998</v>
      </c>
      <c r="N200" s="1">
        <f t="shared" si="27"/>
        <v>1.7000000000000002</v>
      </c>
      <c r="O200" s="1">
        <v>138.9</v>
      </c>
      <c r="P200" s="1">
        <v>161</v>
      </c>
      <c r="Q200" s="11">
        <f t="shared" si="23"/>
        <v>1.0780612244897958</v>
      </c>
      <c r="R200" s="9">
        <f t="shared" si="24"/>
        <v>0.5390306122448979</v>
      </c>
      <c r="S200" s="9">
        <f t="shared" si="25"/>
        <v>1.6609693877551024</v>
      </c>
      <c r="T200" s="9">
        <f t="shared" si="32"/>
        <v>138.9</v>
      </c>
      <c r="V200" s="10">
        <v>618.6</v>
      </c>
      <c r="W200" s="1">
        <f t="shared" si="26"/>
        <v>150.87804878048783</v>
      </c>
      <c r="X200" s="1">
        <f t="shared" si="31"/>
        <v>75060.700000000012</v>
      </c>
      <c r="Y200" s="1">
        <f t="shared" si="34"/>
        <v>16310.3</v>
      </c>
      <c r="AA200" s="1">
        <v>10.029159330152</v>
      </c>
    </row>
    <row r="201" spans="1:28" s="1" customFormat="1" x14ac:dyDescent="0.25">
      <c r="A201" s="81"/>
      <c r="B201" s="7"/>
      <c r="C201" s="3">
        <v>41682</v>
      </c>
      <c r="D201" s="1">
        <v>5.7</v>
      </c>
      <c r="E201" s="12">
        <v>0.9</v>
      </c>
      <c r="F201" s="1">
        <v>8.6</v>
      </c>
      <c r="G201" s="1">
        <f t="shared" si="28"/>
        <v>1483.8999999999994</v>
      </c>
      <c r="H201" s="1">
        <f t="shared" si="33"/>
        <v>347.30000000000007</v>
      </c>
      <c r="J201" s="1">
        <v>11.8</v>
      </c>
      <c r="K201" s="1">
        <f t="shared" si="29"/>
        <v>415.09999999999991</v>
      </c>
      <c r="L201" s="1">
        <v>0.7</v>
      </c>
      <c r="M201" s="1">
        <f t="shared" si="30"/>
        <v>150.59999999999997</v>
      </c>
      <c r="N201" s="1">
        <f t="shared" si="27"/>
        <v>11.100000000000001</v>
      </c>
      <c r="O201" s="1">
        <v>138.9</v>
      </c>
      <c r="P201" s="1">
        <v>162</v>
      </c>
      <c r="Q201" s="11">
        <f t="shared" si="23"/>
        <v>1.0795918367346937</v>
      </c>
      <c r="R201" s="9">
        <f t="shared" si="24"/>
        <v>0.75571428571428556</v>
      </c>
      <c r="S201" s="9">
        <f t="shared" si="25"/>
        <v>11.044285714285715</v>
      </c>
      <c r="T201" s="9">
        <f t="shared" si="32"/>
        <v>138.9</v>
      </c>
      <c r="V201" s="10">
        <v>727.6</v>
      </c>
      <c r="W201" s="1">
        <f t="shared" si="26"/>
        <v>127.64912280701755</v>
      </c>
      <c r="X201" s="1">
        <f t="shared" si="31"/>
        <v>75788.300000000017</v>
      </c>
      <c r="Y201" s="1">
        <f t="shared" si="34"/>
        <v>17037.899999999998</v>
      </c>
      <c r="AA201" s="1">
        <v>10.081216950827301</v>
      </c>
    </row>
    <row r="202" spans="1:28" s="1" customFormat="1" x14ac:dyDescent="0.25">
      <c r="A202" s="81"/>
      <c r="B202" s="7"/>
      <c r="C202" s="3">
        <v>41683</v>
      </c>
      <c r="D202" s="1">
        <v>6.6</v>
      </c>
      <c r="E202" s="1">
        <v>5.0999999999999996</v>
      </c>
      <c r="F202" s="1">
        <v>8.8000000000000007</v>
      </c>
      <c r="G202" s="1">
        <f t="shared" si="28"/>
        <v>1490.4999999999993</v>
      </c>
      <c r="H202" s="1">
        <f t="shared" si="33"/>
        <v>353.90000000000009</v>
      </c>
      <c r="J202" s="1">
        <v>11.6</v>
      </c>
      <c r="K202" s="1">
        <f t="shared" si="29"/>
        <v>426.69999999999993</v>
      </c>
      <c r="L202" s="1">
        <v>0.8</v>
      </c>
      <c r="M202" s="1">
        <f t="shared" si="30"/>
        <v>151.39999999999998</v>
      </c>
      <c r="N202" s="1">
        <f t="shared" si="27"/>
        <v>10.799999999999999</v>
      </c>
      <c r="O202" s="1">
        <v>138.9</v>
      </c>
      <c r="P202" s="1">
        <v>163</v>
      </c>
      <c r="Q202" s="11">
        <f t="shared" si="23"/>
        <v>1.0811224489795919</v>
      </c>
      <c r="R202" s="9">
        <f t="shared" si="24"/>
        <v>0.86489795918367351</v>
      </c>
      <c r="S202" s="9">
        <f t="shared" si="25"/>
        <v>10.735102040816326</v>
      </c>
      <c r="T202" s="9">
        <f t="shared" si="32"/>
        <v>138.9</v>
      </c>
      <c r="V202" s="10">
        <v>226.9</v>
      </c>
      <c r="W202" s="1">
        <f t="shared" si="26"/>
        <v>34.378787878787882</v>
      </c>
      <c r="X202" s="1">
        <f t="shared" si="31"/>
        <v>76015.200000000012</v>
      </c>
      <c r="Y202" s="1">
        <f t="shared" si="34"/>
        <v>17264.8</v>
      </c>
      <c r="AA202" s="1">
        <v>10.1336477136298</v>
      </c>
    </row>
    <row r="203" spans="1:28" s="1" customFormat="1" x14ac:dyDescent="0.25">
      <c r="A203" s="81"/>
      <c r="B203" s="7"/>
      <c r="C203" s="3">
        <v>41684</v>
      </c>
      <c r="D203" s="1">
        <v>9.8000000000000007</v>
      </c>
      <c r="E203" s="12">
        <v>4.8</v>
      </c>
      <c r="F203" s="1">
        <v>14.5</v>
      </c>
      <c r="G203" s="1">
        <f t="shared" si="28"/>
        <v>1500.2999999999993</v>
      </c>
      <c r="H203" s="1">
        <f t="shared" si="33"/>
        <v>363.7000000000001</v>
      </c>
      <c r="J203" s="1">
        <v>4.4000000000000004</v>
      </c>
      <c r="K203" s="1">
        <f t="shared" si="29"/>
        <v>431.09999999999991</v>
      </c>
      <c r="L203" s="1">
        <v>1</v>
      </c>
      <c r="M203" s="1">
        <f t="shared" si="30"/>
        <v>152.39999999999998</v>
      </c>
      <c r="N203" s="1">
        <f t="shared" si="27"/>
        <v>3.4000000000000004</v>
      </c>
      <c r="O203" s="1">
        <v>138.9</v>
      </c>
      <c r="P203" s="1">
        <v>164</v>
      </c>
      <c r="Q203" s="11">
        <f t="shared" si="23"/>
        <v>1.0826530612244898</v>
      </c>
      <c r="R203" s="9">
        <f t="shared" si="24"/>
        <v>1.0826530612244898</v>
      </c>
      <c r="S203" s="9">
        <f t="shared" si="25"/>
        <v>3.3173469387755103</v>
      </c>
      <c r="T203" s="9">
        <f t="shared" si="32"/>
        <v>138.9</v>
      </c>
      <c r="V203" s="10">
        <v>340.1</v>
      </c>
      <c r="W203" s="1">
        <f t="shared" si="26"/>
        <v>34.704081632653065</v>
      </c>
      <c r="X203" s="1">
        <f t="shared" si="31"/>
        <v>76355.300000000017</v>
      </c>
      <c r="Y203" s="1">
        <f t="shared" si="34"/>
        <v>17604.899999999998</v>
      </c>
      <c r="AA203" s="1">
        <v>10.186433128409501</v>
      </c>
    </row>
    <row r="204" spans="1:28" s="1" customFormat="1" x14ac:dyDescent="0.25">
      <c r="A204" s="81"/>
      <c r="B204" s="7"/>
      <c r="C204" s="3">
        <v>41685</v>
      </c>
      <c r="D204" s="1">
        <v>8.1999999999999993</v>
      </c>
      <c r="E204" s="1">
        <v>7.9</v>
      </c>
      <c r="F204" s="1">
        <v>8.6999999999999993</v>
      </c>
      <c r="G204" s="1">
        <f t="shared" si="28"/>
        <v>1508.4999999999993</v>
      </c>
      <c r="H204" s="1">
        <f t="shared" si="33"/>
        <v>371.90000000000009</v>
      </c>
      <c r="J204" s="1">
        <v>0.7</v>
      </c>
      <c r="K204" s="1">
        <f t="shared" si="29"/>
        <v>431.7999999999999</v>
      </c>
      <c r="L204" s="1">
        <v>1.3</v>
      </c>
      <c r="M204" s="1">
        <f t="shared" si="30"/>
        <v>153.69999999999999</v>
      </c>
      <c r="N204" s="5">
        <f t="shared" si="27"/>
        <v>-0.60000000000000009</v>
      </c>
      <c r="O204" s="1">
        <v>138.30000000000001</v>
      </c>
      <c r="P204" s="1">
        <v>165</v>
      </c>
      <c r="Q204" s="11">
        <f t="shared" si="23"/>
        <v>1.0841836734693877</v>
      </c>
      <c r="R204" s="9">
        <f t="shared" si="24"/>
        <v>1.409438775510204</v>
      </c>
      <c r="S204" s="9">
        <f t="shared" si="25"/>
        <v>-0.70943877551020407</v>
      </c>
      <c r="T204" s="9">
        <f t="shared" si="32"/>
        <v>138.19056122448981</v>
      </c>
      <c r="V204" s="10">
        <v>556.79999999999995</v>
      </c>
      <c r="W204" s="1">
        <f t="shared" si="26"/>
        <v>67.902439024390247</v>
      </c>
      <c r="X204" s="1">
        <f t="shared" si="31"/>
        <v>76912.10000000002</v>
      </c>
      <c r="Y204" s="1">
        <f t="shared" si="34"/>
        <v>18161.699999999997</v>
      </c>
      <c r="AA204" s="1">
        <v>10.2395553128072</v>
      </c>
    </row>
    <row r="205" spans="1:28" s="1" customFormat="1" x14ac:dyDescent="0.25">
      <c r="A205" s="81"/>
      <c r="B205" s="7"/>
      <c r="C205" s="3">
        <v>41686</v>
      </c>
      <c r="D205" s="1">
        <v>7</v>
      </c>
      <c r="E205" s="12">
        <v>4</v>
      </c>
      <c r="F205" s="1">
        <v>10.7</v>
      </c>
      <c r="G205" s="1">
        <f t="shared" si="28"/>
        <v>1515.4999999999993</v>
      </c>
      <c r="H205" s="1">
        <f t="shared" si="33"/>
        <v>378.90000000000009</v>
      </c>
      <c r="J205" s="1">
        <v>0.6</v>
      </c>
      <c r="K205" s="1">
        <f t="shared" si="29"/>
        <v>432.39999999999992</v>
      </c>
      <c r="L205" s="1">
        <v>0.9</v>
      </c>
      <c r="M205" s="1">
        <f t="shared" si="30"/>
        <v>154.6</v>
      </c>
      <c r="N205" s="5">
        <f t="shared" si="27"/>
        <v>-0.30000000000000004</v>
      </c>
      <c r="O205" s="1">
        <v>138</v>
      </c>
      <c r="P205" s="1">
        <v>166</v>
      </c>
      <c r="Q205" s="11">
        <f t="shared" si="23"/>
        <v>1.0857142857142856</v>
      </c>
      <c r="R205" s="9">
        <f t="shared" si="24"/>
        <v>0.97714285714285709</v>
      </c>
      <c r="S205" s="9">
        <f t="shared" si="25"/>
        <v>-0.37714285714285711</v>
      </c>
      <c r="T205" s="9">
        <f t="shared" si="32"/>
        <v>137.81341836734697</v>
      </c>
      <c r="V205" s="10">
        <v>402.7</v>
      </c>
      <c r="W205" s="1">
        <f t="shared" si="26"/>
        <v>57.528571428571425</v>
      </c>
      <c r="X205" s="1">
        <f t="shared" si="31"/>
        <v>77314.800000000017</v>
      </c>
      <c r="Y205" s="1">
        <f t="shared" si="34"/>
        <v>18564.399999999998</v>
      </c>
      <c r="AA205" s="1">
        <v>10.292996984907401</v>
      </c>
    </row>
    <row r="206" spans="1:28" s="1" customFormat="1" x14ac:dyDescent="0.25">
      <c r="A206" s="81"/>
      <c r="B206" s="7"/>
      <c r="C206" s="3">
        <v>41687</v>
      </c>
      <c r="D206" s="1">
        <v>6.9</v>
      </c>
      <c r="E206" s="12">
        <v>3.5</v>
      </c>
      <c r="F206" s="1">
        <v>11.3</v>
      </c>
      <c r="G206" s="1">
        <f t="shared" si="28"/>
        <v>1522.3999999999994</v>
      </c>
      <c r="H206" s="1">
        <f t="shared" si="33"/>
        <v>385.80000000000007</v>
      </c>
      <c r="J206" s="94">
        <v>0.2</v>
      </c>
      <c r="K206" s="1">
        <f t="shared" si="29"/>
        <v>432.59999999999991</v>
      </c>
      <c r="L206" s="1">
        <v>1.7</v>
      </c>
      <c r="M206" s="1">
        <f t="shared" si="30"/>
        <v>156.29999999999998</v>
      </c>
      <c r="N206" s="5">
        <f t="shared" si="27"/>
        <v>-1.5</v>
      </c>
      <c r="O206" s="1">
        <v>136.5</v>
      </c>
      <c r="P206" s="1">
        <v>167</v>
      </c>
      <c r="Q206" s="11">
        <f t="shared" si="23"/>
        <v>1.0872448979591836</v>
      </c>
      <c r="R206" s="9">
        <f t="shared" si="24"/>
        <v>1.848316326530612</v>
      </c>
      <c r="S206" s="9">
        <f t="shared" si="25"/>
        <v>-1.648316326530612</v>
      </c>
      <c r="T206" s="9">
        <f t="shared" si="32"/>
        <v>136.16510204081635</v>
      </c>
      <c r="V206" s="1">
        <v>1117.2</v>
      </c>
      <c r="W206" s="1">
        <f t="shared" si="26"/>
        <v>161.91304347826087</v>
      </c>
      <c r="X206" s="1">
        <f t="shared" si="31"/>
        <v>78432.000000000015</v>
      </c>
      <c r="Y206" s="1">
        <f t="shared" si="34"/>
        <v>19681.599999999999</v>
      </c>
      <c r="AA206" s="1">
        <v>10.346741454520799</v>
      </c>
      <c r="AB206" s="93" t="s">
        <v>55</v>
      </c>
    </row>
    <row r="207" spans="1:28" s="1" customFormat="1" x14ac:dyDescent="0.25">
      <c r="A207" s="81"/>
      <c r="B207" s="7"/>
      <c r="C207" s="3">
        <v>41688</v>
      </c>
      <c r="D207" s="1">
        <v>6.7</v>
      </c>
      <c r="E207" s="12">
        <v>4.5</v>
      </c>
      <c r="F207" s="1">
        <v>9</v>
      </c>
      <c r="G207" s="1">
        <f t="shared" si="28"/>
        <v>1529.0999999999995</v>
      </c>
      <c r="H207" s="1">
        <f t="shared" si="33"/>
        <v>392.50000000000006</v>
      </c>
      <c r="J207" s="94">
        <v>1.5</v>
      </c>
      <c r="K207" s="1">
        <f t="shared" si="29"/>
        <v>434.09999999999991</v>
      </c>
      <c r="L207" s="1">
        <v>0.8</v>
      </c>
      <c r="M207" s="1">
        <f t="shared" si="30"/>
        <v>157.1</v>
      </c>
      <c r="N207" s="1">
        <f t="shared" si="27"/>
        <v>0.7</v>
      </c>
      <c r="O207" s="1">
        <v>137.19999999999999</v>
      </c>
      <c r="P207" s="1">
        <v>168</v>
      </c>
      <c r="Q207" s="11">
        <f t="shared" si="23"/>
        <v>1.0887755102040815</v>
      </c>
      <c r="R207" s="9">
        <f t="shared" si="24"/>
        <v>0.8710204081632652</v>
      </c>
      <c r="S207" s="9">
        <f t="shared" si="25"/>
        <v>0.6289795918367348</v>
      </c>
      <c r="T207" s="9">
        <f t="shared" si="32"/>
        <v>136.79408163265308</v>
      </c>
      <c r="V207" s="10">
        <v>647.29999999999995</v>
      </c>
      <c r="W207" s="1">
        <f t="shared" si="26"/>
        <v>96.611940298507449</v>
      </c>
      <c r="X207" s="1">
        <f t="shared" si="31"/>
        <v>79079.300000000017</v>
      </c>
      <c r="Y207" s="1">
        <f t="shared" si="34"/>
        <v>20328.899999999998</v>
      </c>
      <c r="AA207" s="1">
        <v>10.400772613217001</v>
      </c>
      <c r="AB207" s="9">
        <f>AVERAGE(T213:T226)</f>
        <v>135.51795918367347</v>
      </c>
    </row>
    <row r="208" spans="1:28" s="1" customFormat="1" x14ac:dyDescent="0.25">
      <c r="A208" s="81"/>
      <c r="B208" s="7"/>
      <c r="C208" s="3">
        <v>41689</v>
      </c>
      <c r="D208" s="1">
        <v>8.3000000000000007</v>
      </c>
      <c r="E208" s="12">
        <v>4.5</v>
      </c>
      <c r="F208" s="1">
        <v>10.6</v>
      </c>
      <c r="G208" s="1">
        <f t="shared" si="28"/>
        <v>1537.3999999999994</v>
      </c>
      <c r="H208" s="1">
        <f t="shared" si="33"/>
        <v>400.80000000000007</v>
      </c>
      <c r="J208" s="94">
        <v>1</v>
      </c>
      <c r="K208" s="1">
        <f t="shared" si="29"/>
        <v>435.09999999999991</v>
      </c>
      <c r="L208" s="1">
        <v>0.4</v>
      </c>
      <c r="M208" s="1">
        <f t="shared" si="30"/>
        <v>157.5</v>
      </c>
      <c r="N208" s="1">
        <f t="shared" si="27"/>
        <v>0.6</v>
      </c>
      <c r="O208" s="1">
        <v>137.79999999999998</v>
      </c>
      <c r="P208" s="1">
        <v>169</v>
      </c>
      <c r="Q208" s="11">
        <f t="shared" si="23"/>
        <v>1.0903061224489796</v>
      </c>
      <c r="R208" s="9">
        <f t="shared" si="24"/>
        <v>0.43612244897959185</v>
      </c>
      <c r="S208" s="9">
        <f t="shared" si="25"/>
        <v>0.56387755102040815</v>
      </c>
      <c r="T208" s="9">
        <f t="shared" si="32"/>
        <v>137.35795918367347</v>
      </c>
      <c r="V208" s="10">
        <v>265.39999999999998</v>
      </c>
      <c r="W208" s="1">
        <f t="shared" si="26"/>
        <v>31.975903614457827</v>
      </c>
      <c r="X208" s="1">
        <f t="shared" si="31"/>
        <v>79344.700000000012</v>
      </c>
      <c r="Y208" s="1">
        <f t="shared" si="34"/>
        <v>20594.3</v>
      </c>
      <c r="AA208" s="1">
        <v>10.4550749232247</v>
      </c>
      <c r="AB208" s="93" t="s">
        <v>56</v>
      </c>
    </row>
    <row r="209" spans="1:28" s="1" customFormat="1" x14ac:dyDescent="0.25">
      <c r="A209" s="81"/>
      <c r="B209" s="7"/>
      <c r="C209" s="3">
        <v>41690</v>
      </c>
      <c r="D209" s="1">
        <v>9.4</v>
      </c>
      <c r="E209" s="1">
        <v>8.5</v>
      </c>
      <c r="F209" s="1">
        <v>11.1</v>
      </c>
      <c r="G209" s="1">
        <f t="shared" si="28"/>
        <v>1546.7999999999995</v>
      </c>
      <c r="H209" s="1">
        <f t="shared" si="33"/>
        <v>410.20000000000005</v>
      </c>
      <c r="J209" s="94">
        <v>2.2000000000000002</v>
      </c>
      <c r="K209" s="1">
        <f t="shared" si="29"/>
        <v>437.2999999999999</v>
      </c>
      <c r="L209" s="1">
        <v>0.7</v>
      </c>
      <c r="M209" s="1">
        <f t="shared" si="30"/>
        <v>158.19999999999999</v>
      </c>
      <c r="N209" s="1">
        <f t="shared" si="27"/>
        <v>1.5000000000000002</v>
      </c>
      <c r="O209" s="1">
        <v>138.9</v>
      </c>
      <c r="P209" s="1">
        <v>170</v>
      </c>
      <c r="Q209" s="11">
        <f t="shared" si="23"/>
        <v>1.0918367346938775</v>
      </c>
      <c r="R209" s="9">
        <f t="shared" si="24"/>
        <v>0.76428571428571423</v>
      </c>
      <c r="S209" s="9">
        <f t="shared" si="25"/>
        <v>1.4357142857142859</v>
      </c>
      <c r="T209" s="9">
        <f t="shared" si="32"/>
        <v>138.79367346938776</v>
      </c>
      <c r="V209" s="10">
        <v>248.2</v>
      </c>
      <c r="W209" s="1">
        <f t="shared" si="26"/>
        <v>26.404255319148934</v>
      </c>
      <c r="X209" s="1">
        <f t="shared" si="31"/>
        <v>79592.900000000009</v>
      </c>
      <c r="Y209" s="1">
        <f t="shared" si="34"/>
        <v>20842.5</v>
      </c>
      <c r="AA209" s="1">
        <v>10.509633405310799</v>
      </c>
      <c r="AB209" s="1">
        <v>1</v>
      </c>
    </row>
    <row r="210" spans="1:28" s="1" customFormat="1" x14ac:dyDescent="0.25">
      <c r="A210" s="81"/>
      <c r="B210" s="7"/>
      <c r="C210" s="3">
        <v>41691</v>
      </c>
      <c r="D210" s="1">
        <v>6.4</v>
      </c>
      <c r="E210" s="12">
        <v>4.7</v>
      </c>
      <c r="F210" s="1">
        <v>9.1999999999999993</v>
      </c>
      <c r="G210" s="1">
        <f t="shared" si="28"/>
        <v>1553.1999999999996</v>
      </c>
      <c r="H210" s="1">
        <f t="shared" si="33"/>
        <v>416.6</v>
      </c>
      <c r="J210" s="94">
        <v>0.4</v>
      </c>
      <c r="K210" s="1">
        <f t="shared" si="29"/>
        <v>437.69999999999987</v>
      </c>
      <c r="L210" s="1">
        <v>1.3</v>
      </c>
      <c r="M210" s="1">
        <f t="shared" si="30"/>
        <v>159.5</v>
      </c>
      <c r="N210" s="5">
        <f t="shared" si="27"/>
        <v>-0.9</v>
      </c>
      <c r="O210" s="1">
        <v>138</v>
      </c>
      <c r="P210" s="1">
        <v>171</v>
      </c>
      <c r="Q210" s="11">
        <f t="shared" si="23"/>
        <v>1.0933673469387755</v>
      </c>
      <c r="R210" s="9">
        <f t="shared" si="24"/>
        <v>1.4213775510204081</v>
      </c>
      <c r="S210" s="9">
        <f t="shared" si="25"/>
        <v>-1.0213775510204082</v>
      </c>
      <c r="T210" s="9">
        <f t="shared" si="32"/>
        <v>137.77229591836735</v>
      </c>
      <c r="V210" s="10">
        <v>897.5</v>
      </c>
      <c r="W210" s="1">
        <f t="shared" si="26"/>
        <v>140.234375</v>
      </c>
      <c r="X210" s="1">
        <f t="shared" si="31"/>
        <v>80490.400000000009</v>
      </c>
      <c r="Y210" s="1">
        <f t="shared" si="34"/>
        <v>21740</v>
      </c>
      <c r="AA210" s="1">
        <v>10.564433625742801</v>
      </c>
      <c r="AB210" s="93" t="s">
        <v>57</v>
      </c>
    </row>
    <row r="211" spans="1:28" s="1" customFormat="1" x14ac:dyDescent="0.25">
      <c r="A211" s="81"/>
      <c r="B211" s="7"/>
      <c r="C211" s="3">
        <v>41692</v>
      </c>
      <c r="D211" s="1">
        <v>7.1</v>
      </c>
      <c r="E211" s="12">
        <v>4</v>
      </c>
      <c r="F211" s="1">
        <v>8.8000000000000007</v>
      </c>
      <c r="G211" s="1">
        <f t="shared" si="28"/>
        <v>1560.2999999999995</v>
      </c>
      <c r="H211" s="1">
        <f t="shared" si="33"/>
        <v>423.70000000000005</v>
      </c>
      <c r="J211" s="94">
        <v>5.6</v>
      </c>
      <c r="K211" s="1">
        <f t="shared" si="29"/>
        <v>443.2999999999999</v>
      </c>
      <c r="L211" s="1">
        <v>0.2</v>
      </c>
      <c r="M211" s="1">
        <f t="shared" si="30"/>
        <v>159.69999999999999</v>
      </c>
      <c r="N211" s="1">
        <f t="shared" si="27"/>
        <v>5.3999999999999995</v>
      </c>
      <c r="O211" s="1">
        <v>138.9</v>
      </c>
      <c r="P211" s="1">
        <v>172</v>
      </c>
      <c r="Q211" s="11">
        <f t="shared" si="23"/>
        <v>1.0948979591836734</v>
      </c>
      <c r="R211" s="9">
        <f t="shared" si="24"/>
        <v>0.21897959183673468</v>
      </c>
      <c r="S211" s="9">
        <f t="shared" si="25"/>
        <v>5.3810204081632653</v>
      </c>
      <c r="T211" s="9">
        <f t="shared" si="32"/>
        <v>138.9</v>
      </c>
      <c r="V211" s="10">
        <v>177.7</v>
      </c>
      <c r="W211" s="1">
        <f t="shared" si="26"/>
        <v>25.028169014084508</v>
      </c>
      <c r="X211" s="1">
        <f t="shared" si="31"/>
        <v>80668.100000000006</v>
      </c>
      <c r="Y211" s="1">
        <f t="shared" si="34"/>
        <v>21917.7</v>
      </c>
      <c r="AA211" s="1">
        <v>10.619461682432901</v>
      </c>
      <c r="AB211" s="1">
        <v>5</v>
      </c>
    </row>
    <row r="212" spans="1:28" s="1" customFormat="1" x14ac:dyDescent="0.25">
      <c r="A212" s="81"/>
      <c r="B212" s="7"/>
      <c r="C212" s="3">
        <v>41693</v>
      </c>
      <c r="D212" s="1">
        <v>8.4</v>
      </c>
      <c r="E212" s="1">
        <v>6.1</v>
      </c>
      <c r="F212" s="1">
        <v>11.8</v>
      </c>
      <c r="G212" s="1">
        <f t="shared" si="28"/>
        <v>1568.6999999999996</v>
      </c>
      <c r="H212" s="1">
        <f t="shared" si="33"/>
        <v>432.1</v>
      </c>
      <c r="J212" s="94">
        <v>0</v>
      </c>
      <c r="K212" s="1">
        <f t="shared" si="29"/>
        <v>443.2999999999999</v>
      </c>
      <c r="L212" s="1">
        <v>1.1000000000000001</v>
      </c>
      <c r="M212" s="1">
        <f t="shared" si="30"/>
        <v>160.79999999999998</v>
      </c>
      <c r="N212" s="5">
        <f t="shared" si="27"/>
        <v>-1.1000000000000001</v>
      </c>
      <c r="O212" s="1">
        <v>137.80000000000001</v>
      </c>
      <c r="P212" s="1">
        <v>173</v>
      </c>
      <c r="Q212" s="11">
        <f t="shared" si="23"/>
        <v>1.0964285714285713</v>
      </c>
      <c r="R212" s="9">
        <f t="shared" si="24"/>
        <v>1.2060714285714285</v>
      </c>
      <c r="S212" s="9">
        <f t="shared" si="25"/>
        <v>-1.2060714285714285</v>
      </c>
      <c r="T212" s="9">
        <f t="shared" si="32"/>
        <v>137.69392857142859</v>
      </c>
      <c r="V212" s="10">
        <v>826.7</v>
      </c>
      <c r="W212" s="1">
        <f t="shared" si="26"/>
        <v>98.416666666666671</v>
      </c>
      <c r="X212" s="1">
        <f t="shared" si="31"/>
        <v>81494.8</v>
      </c>
      <c r="Y212" s="1">
        <f t="shared" si="34"/>
        <v>22744.400000000001</v>
      </c>
      <c r="AA212" s="1">
        <v>10.674704190357399</v>
      </c>
      <c r="AB212" s="93" t="s">
        <v>58</v>
      </c>
    </row>
    <row r="213" spans="1:28" s="1" customFormat="1" x14ac:dyDescent="0.25">
      <c r="A213" s="81"/>
      <c r="B213" s="7"/>
      <c r="C213" s="3">
        <v>41694</v>
      </c>
      <c r="D213" s="1">
        <v>9.9</v>
      </c>
      <c r="E213" s="12">
        <v>3.3</v>
      </c>
      <c r="F213" s="1">
        <v>14.6</v>
      </c>
      <c r="G213" s="1">
        <f t="shared" si="28"/>
        <v>1578.5999999999997</v>
      </c>
      <c r="H213" s="1">
        <f t="shared" si="33"/>
        <v>442</v>
      </c>
      <c r="J213" s="94">
        <v>0.4</v>
      </c>
      <c r="K213" s="1">
        <f t="shared" si="29"/>
        <v>443.69999999999987</v>
      </c>
      <c r="L213" s="1">
        <v>2.1</v>
      </c>
      <c r="M213" s="1">
        <f t="shared" si="30"/>
        <v>162.89999999999998</v>
      </c>
      <c r="N213" s="5">
        <f t="shared" si="27"/>
        <v>-1.7000000000000002</v>
      </c>
      <c r="O213" s="1">
        <v>136.10000000000002</v>
      </c>
      <c r="P213" s="1">
        <v>174</v>
      </c>
      <c r="Q213" s="11">
        <f t="shared" si="23"/>
        <v>1.0979591836734692</v>
      </c>
      <c r="R213" s="9">
        <f t="shared" si="24"/>
        <v>2.3057142857142856</v>
      </c>
      <c r="S213" s="9">
        <f t="shared" si="25"/>
        <v>-1.9057142857142857</v>
      </c>
      <c r="T213" s="95">
        <f t="shared" si="32"/>
        <v>135.7882142857143</v>
      </c>
      <c r="V213" s="1">
        <v>1190.5999999999999</v>
      </c>
      <c r="W213" s="1">
        <f t="shared" si="26"/>
        <v>120.26262626262626</v>
      </c>
      <c r="X213" s="1">
        <f t="shared" si="31"/>
        <v>82685.400000000009</v>
      </c>
      <c r="Y213" s="1">
        <f t="shared" si="34"/>
        <v>23935</v>
      </c>
      <c r="AA213" s="1">
        <v>10.730148266337199</v>
      </c>
      <c r="AB213" s="1">
        <v>4</v>
      </c>
    </row>
    <row r="214" spans="1:28" s="1" customFormat="1" x14ac:dyDescent="0.25">
      <c r="A214" s="81"/>
      <c r="B214" s="7"/>
      <c r="C214" s="3">
        <v>41695</v>
      </c>
      <c r="D214" s="1">
        <v>8.6999999999999993</v>
      </c>
      <c r="E214" s="1">
        <v>7.5</v>
      </c>
      <c r="F214" s="1">
        <v>11</v>
      </c>
      <c r="G214" s="1">
        <f t="shared" si="28"/>
        <v>1587.2999999999997</v>
      </c>
      <c r="H214" s="1">
        <f t="shared" si="33"/>
        <v>450.7</v>
      </c>
      <c r="J214" s="94">
        <v>2.1</v>
      </c>
      <c r="K214" s="1">
        <f t="shared" si="29"/>
        <v>445.7999999999999</v>
      </c>
      <c r="L214" s="1">
        <v>1.4</v>
      </c>
      <c r="M214" s="1">
        <f t="shared" si="30"/>
        <v>164.29999999999998</v>
      </c>
      <c r="N214" s="1">
        <f t="shared" si="27"/>
        <v>0.70000000000000018</v>
      </c>
      <c r="O214" s="1">
        <v>136.80000000000001</v>
      </c>
      <c r="P214" s="1">
        <v>175</v>
      </c>
      <c r="Q214" s="11">
        <f t="shared" si="23"/>
        <v>1.0994897959183674</v>
      </c>
      <c r="R214" s="9">
        <f t="shared" si="24"/>
        <v>1.5392857142857141</v>
      </c>
      <c r="S214" s="9">
        <f t="shared" si="25"/>
        <v>0.56071428571428594</v>
      </c>
      <c r="T214" s="95">
        <f t="shared" si="32"/>
        <v>136.34892857142859</v>
      </c>
      <c r="V214" s="10">
        <v>587.70000000000005</v>
      </c>
      <c r="W214" s="1">
        <f t="shared" si="26"/>
        <v>67.551724137931046</v>
      </c>
      <c r="X214" s="1">
        <f t="shared" si="31"/>
        <v>83273.100000000006</v>
      </c>
      <c r="Y214" s="1">
        <f t="shared" si="34"/>
        <v>24522.7</v>
      </c>
      <c r="AA214" s="1">
        <v>10.7857815132604</v>
      </c>
      <c r="AB214" s="93" t="s">
        <v>59</v>
      </c>
    </row>
    <row r="215" spans="1:28" s="1" customFormat="1" x14ac:dyDescent="0.25">
      <c r="A215" s="81"/>
      <c r="B215" s="7"/>
      <c r="C215" s="3">
        <v>41696</v>
      </c>
      <c r="D215" s="1">
        <v>5.9</v>
      </c>
      <c r="E215" s="12">
        <v>3.9</v>
      </c>
      <c r="F215" s="1">
        <v>9.5</v>
      </c>
      <c r="G215" s="1">
        <f t="shared" si="28"/>
        <v>1593.1999999999998</v>
      </c>
      <c r="H215" s="1">
        <f t="shared" si="33"/>
        <v>456.59999999999997</v>
      </c>
      <c r="J215" s="94">
        <v>0.5</v>
      </c>
      <c r="K215" s="1">
        <f t="shared" si="29"/>
        <v>446.2999999999999</v>
      </c>
      <c r="L215" s="1">
        <v>1.1000000000000001</v>
      </c>
      <c r="M215" s="1">
        <f t="shared" si="30"/>
        <v>165.39999999999998</v>
      </c>
      <c r="N215" s="5">
        <f t="shared" si="27"/>
        <v>-0.60000000000000009</v>
      </c>
      <c r="O215" s="1">
        <v>136.20000000000002</v>
      </c>
      <c r="P215" s="1">
        <v>176</v>
      </c>
      <c r="Q215" s="11">
        <f t="shared" ref="Q215:Q247" si="35">1+((P215-110)/98)*(1.15-1)</f>
        <v>1.1010204081632653</v>
      </c>
      <c r="R215" s="9">
        <f t="shared" si="24"/>
        <v>1.211122448979592</v>
      </c>
      <c r="S215" s="9">
        <f t="shared" si="25"/>
        <v>-0.71112244897959198</v>
      </c>
      <c r="T215" s="95">
        <f t="shared" si="32"/>
        <v>135.63780612244901</v>
      </c>
      <c r="V215" s="1">
        <v>943</v>
      </c>
      <c r="W215" s="1">
        <f t="shared" si="26"/>
        <v>159.83050847457625</v>
      </c>
      <c r="X215" s="1">
        <f t="shared" si="31"/>
        <v>84216.1</v>
      </c>
      <c r="Y215" s="1">
        <f t="shared" si="34"/>
        <v>25465.7</v>
      </c>
      <c r="AA215" s="1">
        <v>10.8415920038211</v>
      </c>
      <c r="AB215" s="1">
        <f>SUM(J217:J226)</f>
        <v>18.100000000000001</v>
      </c>
    </row>
    <row r="216" spans="1:28" s="89" customFormat="1" x14ac:dyDescent="0.25">
      <c r="A216" s="81"/>
      <c r="B216" s="87" t="s">
        <v>53</v>
      </c>
      <c r="C216" s="88">
        <v>41697</v>
      </c>
      <c r="D216" s="89">
        <v>6</v>
      </c>
      <c r="E216" s="90">
        <v>2.7</v>
      </c>
      <c r="F216" s="89">
        <v>7.6</v>
      </c>
      <c r="G216" s="89">
        <f t="shared" si="28"/>
        <v>1599.1999999999998</v>
      </c>
      <c r="H216" s="89">
        <f t="shared" si="33"/>
        <v>462.59999999999997</v>
      </c>
      <c r="J216" s="89">
        <v>13.3</v>
      </c>
      <c r="K216" s="89">
        <f t="shared" si="29"/>
        <v>459.59999999999991</v>
      </c>
      <c r="L216" s="89">
        <v>0.3</v>
      </c>
      <c r="M216" s="89">
        <f t="shared" si="30"/>
        <v>165.7</v>
      </c>
      <c r="N216" s="89">
        <f t="shared" si="27"/>
        <v>13</v>
      </c>
      <c r="O216" s="89">
        <v>138.9</v>
      </c>
      <c r="P216" s="89">
        <v>177</v>
      </c>
      <c r="Q216" s="91">
        <f t="shared" si="35"/>
        <v>1.1025510204081632</v>
      </c>
      <c r="R216" s="92">
        <f t="shared" si="24"/>
        <v>0.33076530612244898</v>
      </c>
      <c r="S216" s="92">
        <f t="shared" si="25"/>
        <v>12.969234693877551</v>
      </c>
      <c r="T216" s="92">
        <f t="shared" si="32"/>
        <v>138.9</v>
      </c>
      <c r="V216" s="90">
        <v>278.7</v>
      </c>
      <c r="W216" s="89">
        <f t="shared" si="26"/>
        <v>46.449999999999996</v>
      </c>
      <c r="X216" s="89">
        <f t="shared" si="31"/>
        <v>84494.8</v>
      </c>
      <c r="Y216" s="89">
        <f t="shared" si="34"/>
        <v>25744.400000000001</v>
      </c>
      <c r="AA216" s="89">
        <v>10.8975682638437</v>
      </c>
    </row>
    <row r="217" spans="1:28" s="1" customFormat="1" x14ac:dyDescent="0.25">
      <c r="A217" s="81"/>
      <c r="B217" s="7"/>
      <c r="C217" s="3">
        <v>41698</v>
      </c>
      <c r="D217" s="1">
        <v>6.6</v>
      </c>
      <c r="E217" s="1">
        <v>5.7</v>
      </c>
      <c r="F217" s="1">
        <v>8.9</v>
      </c>
      <c r="G217" s="1">
        <f t="shared" si="28"/>
        <v>1605.7999999999997</v>
      </c>
      <c r="H217" s="1">
        <f t="shared" si="33"/>
        <v>469.2</v>
      </c>
      <c r="J217" s="94">
        <v>8.4</v>
      </c>
      <c r="K217" s="1">
        <f t="shared" si="29"/>
        <v>467.99999999999989</v>
      </c>
      <c r="L217" s="1">
        <v>1.3</v>
      </c>
      <c r="M217" s="1">
        <f t="shared" si="30"/>
        <v>167</v>
      </c>
      <c r="N217" s="1">
        <f t="shared" si="27"/>
        <v>7.1000000000000005</v>
      </c>
      <c r="O217" s="1">
        <v>138.9</v>
      </c>
      <c r="P217" s="1">
        <v>178</v>
      </c>
      <c r="Q217" s="11">
        <f t="shared" si="35"/>
        <v>1.1040816326530611</v>
      </c>
      <c r="R217" s="9">
        <f t="shared" si="24"/>
        <v>1.4353061224489796</v>
      </c>
      <c r="S217" s="9">
        <f t="shared" si="25"/>
        <v>6.9646938775510208</v>
      </c>
      <c r="T217" s="95">
        <f t="shared" si="32"/>
        <v>138.9</v>
      </c>
      <c r="V217" s="10">
        <v>222</v>
      </c>
      <c r="W217" s="1">
        <f t="shared" si="26"/>
        <v>33.63636363636364</v>
      </c>
      <c r="X217" s="1">
        <f t="shared" si="31"/>
        <v>84716.800000000003</v>
      </c>
      <c r="Y217" s="1">
        <f t="shared" si="34"/>
        <v>25966.400000000001</v>
      </c>
      <c r="AA217" s="1">
        <v>10.953699255256501</v>
      </c>
      <c r="AB217" s="93" t="s">
        <v>55</v>
      </c>
    </row>
    <row r="218" spans="1:28" s="1" customFormat="1" x14ac:dyDescent="0.25">
      <c r="A218" s="81"/>
      <c r="B218" s="7"/>
      <c r="C218" s="3">
        <v>41699</v>
      </c>
      <c r="D218" s="1">
        <v>5.4</v>
      </c>
      <c r="E218" s="12">
        <v>4.5</v>
      </c>
      <c r="F218" s="1">
        <v>8.4</v>
      </c>
      <c r="G218" s="1">
        <f t="shared" si="28"/>
        <v>1611.1999999999998</v>
      </c>
      <c r="H218" s="1">
        <f t="shared" si="33"/>
        <v>474.59999999999997</v>
      </c>
      <c r="J218" s="94">
        <v>0</v>
      </c>
      <c r="K218" s="1">
        <f t="shared" si="29"/>
        <v>467.99999999999989</v>
      </c>
      <c r="L218" s="1">
        <v>1</v>
      </c>
      <c r="M218" s="1">
        <f t="shared" si="30"/>
        <v>168</v>
      </c>
      <c r="N218" s="5">
        <f t="shared" si="27"/>
        <v>-1</v>
      </c>
      <c r="O218" s="1">
        <v>137.9</v>
      </c>
      <c r="P218" s="1">
        <v>179</v>
      </c>
      <c r="Q218" s="11">
        <f t="shared" si="35"/>
        <v>1.1056122448979591</v>
      </c>
      <c r="R218" s="9">
        <f t="shared" si="24"/>
        <v>1.1056122448979591</v>
      </c>
      <c r="S218" s="9">
        <f t="shared" si="25"/>
        <v>-1.1056122448979591</v>
      </c>
      <c r="T218" s="95">
        <f t="shared" si="32"/>
        <v>137.79438775510204</v>
      </c>
      <c r="V218" s="10">
        <v>453.3</v>
      </c>
      <c r="W218" s="1">
        <f t="shared" si="26"/>
        <v>83.944444444444443</v>
      </c>
      <c r="X218" s="1">
        <f t="shared" si="31"/>
        <v>85170.1</v>
      </c>
      <c r="Y218" s="1">
        <f t="shared" si="34"/>
        <v>26419.7</v>
      </c>
      <c r="AA218" s="1">
        <v>11.0099743587711</v>
      </c>
      <c r="AB218" s="9">
        <f>AVERAGE(T221:T234)</f>
        <v>122.08337099125367</v>
      </c>
    </row>
    <row r="219" spans="1:28" s="1" customFormat="1" x14ac:dyDescent="0.25">
      <c r="A219" s="81"/>
      <c r="B219" s="7"/>
      <c r="C219" s="3">
        <v>41700</v>
      </c>
      <c r="D219" s="1">
        <v>5.3</v>
      </c>
      <c r="E219" s="19">
        <v>-1.5</v>
      </c>
      <c r="F219" s="1">
        <v>10.199999999999999</v>
      </c>
      <c r="G219" s="1">
        <f t="shared" si="28"/>
        <v>1616.4999999999998</v>
      </c>
      <c r="H219" s="1">
        <f t="shared" si="33"/>
        <v>479.9</v>
      </c>
      <c r="J219" s="94">
        <v>3.8</v>
      </c>
      <c r="K219" s="1">
        <f t="shared" si="29"/>
        <v>471.7999999999999</v>
      </c>
      <c r="L219" s="1">
        <v>1.1000000000000001</v>
      </c>
      <c r="M219" s="1">
        <f t="shared" si="30"/>
        <v>169.1</v>
      </c>
      <c r="N219" s="1">
        <f t="shared" si="27"/>
        <v>2.6999999999999997</v>
      </c>
      <c r="O219" s="1">
        <v>138.9</v>
      </c>
      <c r="P219" s="1">
        <v>180</v>
      </c>
      <c r="Q219" s="11">
        <f t="shared" si="35"/>
        <v>1.107142857142857</v>
      </c>
      <c r="R219" s="9">
        <f t="shared" si="24"/>
        <v>1.2178571428571427</v>
      </c>
      <c r="S219" s="9">
        <f t="shared" si="25"/>
        <v>2.5821428571428573</v>
      </c>
      <c r="T219" s="95">
        <f t="shared" si="32"/>
        <v>138.9</v>
      </c>
      <c r="V219" s="1">
        <v>991.6</v>
      </c>
      <c r="W219" s="1">
        <f t="shared" si="26"/>
        <v>187.09433962264151</v>
      </c>
      <c r="X219" s="1">
        <f t="shared" si="31"/>
        <v>86161.700000000012</v>
      </c>
      <c r="Y219" s="1">
        <f t="shared" si="34"/>
        <v>27411.3</v>
      </c>
      <c r="AA219" s="1">
        <v>11.0663833563225</v>
      </c>
      <c r="AB219" s="93" t="s">
        <v>56</v>
      </c>
    </row>
    <row r="220" spans="1:28" s="1" customFormat="1" x14ac:dyDescent="0.25">
      <c r="A220" s="81"/>
      <c r="B220" s="7"/>
      <c r="C220" s="3">
        <v>41701</v>
      </c>
      <c r="D220" s="1">
        <v>5.8</v>
      </c>
      <c r="E220" s="12">
        <v>3.8</v>
      </c>
      <c r="F220" s="1">
        <v>7.3</v>
      </c>
      <c r="G220" s="1">
        <f t="shared" si="28"/>
        <v>1622.2999999999997</v>
      </c>
      <c r="H220" s="1">
        <f t="shared" si="33"/>
        <v>485.7</v>
      </c>
      <c r="J220" s="94">
        <v>5.7</v>
      </c>
      <c r="K220" s="1">
        <f t="shared" si="29"/>
        <v>477.49999999999989</v>
      </c>
      <c r="L220" s="1">
        <v>0.6</v>
      </c>
      <c r="M220" s="1">
        <f t="shared" si="30"/>
        <v>169.7</v>
      </c>
      <c r="N220" s="1">
        <f t="shared" si="27"/>
        <v>5.1000000000000005</v>
      </c>
      <c r="O220" s="1">
        <v>138.9</v>
      </c>
      <c r="P220" s="1">
        <v>181</v>
      </c>
      <c r="Q220" s="11">
        <f t="shared" si="35"/>
        <v>1.1086734693877551</v>
      </c>
      <c r="R220" s="9">
        <f t="shared" si="24"/>
        <v>0.6652040816326531</v>
      </c>
      <c r="S220" s="9">
        <f t="shared" si="25"/>
        <v>5.0347959183673474</v>
      </c>
      <c r="T220" s="95">
        <f t="shared" si="32"/>
        <v>138.9</v>
      </c>
      <c r="V220" s="10">
        <v>379.6</v>
      </c>
      <c r="W220" s="1">
        <f t="shared" si="26"/>
        <v>65.448275862068968</v>
      </c>
      <c r="X220" s="1">
        <f t="shared" si="31"/>
        <v>86541.300000000017</v>
      </c>
      <c r="Y220" s="1">
        <f t="shared" si="34"/>
        <v>27790.899999999998</v>
      </c>
      <c r="AA220" s="1">
        <v>11.122916413316</v>
      </c>
      <c r="AB220" s="1">
        <v>1</v>
      </c>
    </row>
    <row r="221" spans="1:28" s="1" customFormat="1" x14ac:dyDescent="0.25">
      <c r="A221" s="81"/>
      <c r="B221" s="7"/>
      <c r="C221" s="3">
        <v>41702</v>
      </c>
      <c r="D221" s="1">
        <v>6.1</v>
      </c>
      <c r="E221" s="12">
        <v>3.2</v>
      </c>
      <c r="F221" s="1">
        <v>9.6</v>
      </c>
      <c r="G221" s="1">
        <f t="shared" si="28"/>
        <v>1628.3999999999996</v>
      </c>
      <c r="H221" s="1">
        <f t="shared" si="33"/>
        <v>491.8</v>
      </c>
      <c r="J221" s="94">
        <v>0.1</v>
      </c>
      <c r="K221" s="1">
        <f t="shared" si="29"/>
        <v>477.59999999999991</v>
      </c>
      <c r="L221" s="1">
        <v>0.9</v>
      </c>
      <c r="M221" s="1">
        <f t="shared" si="30"/>
        <v>170.6</v>
      </c>
      <c r="N221" s="5">
        <f t="shared" si="27"/>
        <v>-0.8</v>
      </c>
      <c r="O221" s="1">
        <v>138.1</v>
      </c>
      <c r="P221" s="1">
        <v>182</v>
      </c>
      <c r="Q221" s="11">
        <f t="shared" si="35"/>
        <v>1.1102040816326531</v>
      </c>
      <c r="R221" s="9">
        <f t="shared" si="24"/>
        <v>0.99918367346938775</v>
      </c>
      <c r="S221" s="9">
        <f t="shared" si="25"/>
        <v>-0.89918367346938777</v>
      </c>
      <c r="T221" s="95">
        <f t="shared" si="32"/>
        <v>138.00081632653061</v>
      </c>
      <c r="V221" s="10">
        <v>741.2</v>
      </c>
      <c r="W221" s="1">
        <f t="shared" si="26"/>
        <v>121.50819672131149</v>
      </c>
      <c r="X221" s="1">
        <f t="shared" si="31"/>
        <v>87282.500000000015</v>
      </c>
      <c r="Y221" s="1">
        <f t="shared" si="34"/>
        <v>28532.1</v>
      </c>
      <c r="AA221" s="1">
        <v>11.1795640607248</v>
      </c>
      <c r="AB221" s="93" t="s">
        <v>57</v>
      </c>
    </row>
    <row r="222" spans="1:28" s="1" customFormat="1" x14ac:dyDescent="0.25">
      <c r="A222" s="81"/>
      <c r="B222" s="7"/>
      <c r="C222" s="3">
        <v>41703</v>
      </c>
      <c r="D222" s="1">
        <v>5.9</v>
      </c>
      <c r="E222" s="12">
        <v>0.3</v>
      </c>
      <c r="F222" s="1">
        <v>12.4</v>
      </c>
      <c r="G222" s="1">
        <f t="shared" si="28"/>
        <v>1634.2999999999997</v>
      </c>
      <c r="H222" s="1">
        <f t="shared" si="33"/>
        <v>497.7</v>
      </c>
      <c r="J222" s="94">
        <v>0.1</v>
      </c>
      <c r="K222" s="1">
        <f t="shared" si="29"/>
        <v>477.69999999999993</v>
      </c>
      <c r="L222" s="1">
        <v>1.4</v>
      </c>
      <c r="M222" s="1">
        <f t="shared" si="30"/>
        <v>172</v>
      </c>
      <c r="N222" s="5">
        <f t="shared" si="27"/>
        <v>-1.2999999999999998</v>
      </c>
      <c r="O222" s="1">
        <v>136.79999999999998</v>
      </c>
      <c r="P222" s="1">
        <v>183</v>
      </c>
      <c r="Q222" s="11">
        <f t="shared" si="35"/>
        <v>1.111734693877551</v>
      </c>
      <c r="R222" s="9">
        <f t="shared" si="24"/>
        <v>1.5564285714285713</v>
      </c>
      <c r="S222" s="9">
        <f t="shared" si="25"/>
        <v>-1.4564285714285712</v>
      </c>
      <c r="T222" s="95">
        <f t="shared" si="32"/>
        <v>136.54438775510204</v>
      </c>
      <c r="V222" s="1">
        <v>1133.3</v>
      </c>
      <c r="W222" s="1">
        <f t="shared" si="26"/>
        <v>192.08474576271183</v>
      </c>
      <c r="X222" s="1">
        <f t="shared" si="31"/>
        <v>88415.800000000017</v>
      </c>
      <c r="Y222" s="1">
        <f t="shared" si="34"/>
        <v>29665.399999999998</v>
      </c>
      <c r="AA222" s="1">
        <v>11.2363171770773</v>
      </c>
      <c r="AB222" s="1">
        <v>8</v>
      </c>
    </row>
    <row r="223" spans="1:28" s="1" customFormat="1" x14ac:dyDescent="0.25">
      <c r="A223" s="81"/>
      <c r="B223" s="7"/>
      <c r="C223" s="3">
        <v>41704</v>
      </c>
      <c r="D223" s="1">
        <v>6.1</v>
      </c>
      <c r="E223" s="19">
        <v>-0.8</v>
      </c>
      <c r="F223" s="1">
        <v>12.6</v>
      </c>
      <c r="G223" s="1">
        <f t="shared" si="28"/>
        <v>1640.3999999999996</v>
      </c>
      <c r="H223" s="1">
        <f t="shared" si="33"/>
        <v>503.8</v>
      </c>
      <c r="J223" s="94">
        <v>0</v>
      </c>
      <c r="K223" s="1">
        <f t="shared" si="29"/>
        <v>477.69999999999993</v>
      </c>
      <c r="L223" s="1">
        <v>2.1</v>
      </c>
      <c r="M223" s="1">
        <f t="shared" si="30"/>
        <v>174.1</v>
      </c>
      <c r="N223" s="5">
        <f t="shared" si="27"/>
        <v>-2.1</v>
      </c>
      <c r="O223" s="1">
        <v>134.69999999999999</v>
      </c>
      <c r="P223" s="1">
        <v>184</v>
      </c>
      <c r="Q223" s="11">
        <f t="shared" si="35"/>
        <v>1.1132653061224489</v>
      </c>
      <c r="R223" s="9">
        <f t="shared" si="24"/>
        <v>2.3378571428571426</v>
      </c>
      <c r="S223" s="9">
        <f t="shared" si="25"/>
        <v>-2.3378571428571426</v>
      </c>
      <c r="T223" s="95">
        <f t="shared" si="32"/>
        <v>134.2065306122449</v>
      </c>
      <c r="V223" s="1">
        <v>1626.2</v>
      </c>
      <c r="W223" s="1">
        <f t="shared" si="26"/>
        <v>266.59016393442624</v>
      </c>
      <c r="X223" s="1">
        <f t="shared" si="31"/>
        <v>90042.000000000015</v>
      </c>
      <c r="Y223" s="1">
        <f t="shared" si="34"/>
        <v>31291.599999999999</v>
      </c>
      <c r="AA223" s="1">
        <v>11.2931669703688</v>
      </c>
      <c r="AB223" s="93" t="s">
        <v>58</v>
      </c>
    </row>
    <row r="224" spans="1:28" s="89" customFormat="1" x14ac:dyDescent="0.25">
      <c r="A224" s="81"/>
      <c r="B224" s="87" t="s">
        <v>53</v>
      </c>
      <c r="C224" s="88">
        <v>41705</v>
      </c>
      <c r="D224" s="89">
        <v>7.5</v>
      </c>
      <c r="E224" s="90">
        <v>0.5</v>
      </c>
      <c r="F224" s="89">
        <v>14.5</v>
      </c>
      <c r="G224" s="89">
        <f t="shared" si="28"/>
        <v>1647.8999999999996</v>
      </c>
      <c r="H224" s="89">
        <f t="shared" si="33"/>
        <v>511.3</v>
      </c>
      <c r="J224" s="94">
        <v>0</v>
      </c>
      <c r="K224" s="89">
        <f t="shared" si="29"/>
        <v>477.69999999999993</v>
      </c>
      <c r="L224" s="89">
        <v>2</v>
      </c>
      <c r="M224" s="89">
        <f t="shared" si="30"/>
        <v>176.1</v>
      </c>
      <c r="N224" s="90">
        <f t="shared" si="27"/>
        <v>-2</v>
      </c>
      <c r="O224" s="89">
        <v>132.69999999999999</v>
      </c>
      <c r="P224" s="89">
        <v>185</v>
      </c>
      <c r="Q224" s="91">
        <f t="shared" si="35"/>
        <v>1.1147959183673468</v>
      </c>
      <c r="R224" s="92">
        <f t="shared" si="24"/>
        <v>2.2295918367346936</v>
      </c>
      <c r="S224" s="92">
        <f t="shared" si="25"/>
        <v>-2.2295918367346936</v>
      </c>
      <c r="T224" s="95">
        <f t="shared" si="32"/>
        <v>131.97693877551021</v>
      </c>
      <c r="V224" s="89">
        <v>1477.4</v>
      </c>
      <c r="W224" s="89">
        <f t="shared" si="26"/>
        <v>196.98666666666668</v>
      </c>
      <c r="X224" s="89">
        <f t="shared" si="31"/>
        <v>91519.400000000009</v>
      </c>
      <c r="Y224" s="89">
        <f t="shared" si="34"/>
        <v>32769</v>
      </c>
      <c r="AA224" s="89">
        <v>11.350104959926799</v>
      </c>
      <c r="AB224" s="89">
        <v>0</v>
      </c>
    </row>
    <row r="225" spans="1:30" s="1" customFormat="1" x14ac:dyDescent="0.25">
      <c r="A225" s="81"/>
      <c r="B225" s="7"/>
      <c r="C225" s="3">
        <v>41706</v>
      </c>
      <c r="D225" s="1">
        <v>9.5</v>
      </c>
      <c r="E225" s="12">
        <v>1.8</v>
      </c>
      <c r="F225" s="1">
        <v>15.4</v>
      </c>
      <c r="G225" s="1">
        <f t="shared" si="28"/>
        <v>1657.3999999999996</v>
      </c>
      <c r="H225" s="1">
        <f t="shared" si="33"/>
        <v>520.79999999999995</v>
      </c>
      <c r="J225" s="94">
        <v>0</v>
      </c>
      <c r="K225" s="1">
        <f t="shared" si="29"/>
        <v>477.69999999999993</v>
      </c>
      <c r="L225" s="1">
        <v>2.2999999999999998</v>
      </c>
      <c r="M225" s="1">
        <f t="shared" si="30"/>
        <v>178.4</v>
      </c>
      <c r="N225" s="5">
        <f t="shared" si="27"/>
        <v>-2.2999999999999998</v>
      </c>
      <c r="O225" s="1">
        <v>130.39999999999998</v>
      </c>
      <c r="P225" s="1">
        <v>186</v>
      </c>
      <c r="Q225" s="11">
        <f t="shared" si="35"/>
        <v>1.1163265306122447</v>
      </c>
      <c r="R225" s="9">
        <f t="shared" si="24"/>
        <v>2.5675510204081626</v>
      </c>
      <c r="S225" s="9">
        <f t="shared" si="25"/>
        <v>-2.5675510204081626</v>
      </c>
      <c r="T225" s="95">
        <f t="shared" si="32"/>
        <v>129.40938775510205</v>
      </c>
      <c r="V225" s="1">
        <v>1638</v>
      </c>
      <c r="W225" s="1">
        <f t="shared" si="26"/>
        <v>172.42105263157896</v>
      </c>
      <c r="X225" s="1">
        <f t="shared" si="31"/>
        <v>93157.400000000009</v>
      </c>
      <c r="Y225" s="1">
        <f t="shared" si="34"/>
        <v>34407</v>
      </c>
      <c r="AA225" s="1">
        <v>11.407122958259199</v>
      </c>
      <c r="AB225" s="93" t="s">
        <v>59</v>
      </c>
    </row>
    <row r="226" spans="1:30" s="1" customFormat="1" x14ac:dyDescent="0.25">
      <c r="A226" s="81"/>
      <c r="B226" s="7"/>
      <c r="C226" s="3">
        <v>41707</v>
      </c>
      <c r="D226" s="1">
        <v>10.7</v>
      </c>
      <c r="E226" s="12">
        <v>1.8</v>
      </c>
      <c r="F226" s="1">
        <v>19.399999999999999</v>
      </c>
      <c r="G226" s="1">
        <f t="shared" si="28"/>
        <v>1668.0999999999997</v>
      </c>
      <c r="H226" s="1">
        <f t="shared" si="33"/>
        <v>531.5</v>
      </c>
      <c r="J226" s="94">
        <v>0</v>
      </c>
      <c r="K226" s="1">
        <f t="shared" si="29"/>
        <v>477.69999999999993</v>
      </c>
      <c r="L226" s="1">
        <v>3.1</v>
      </c>
      <c r="M226" s="1">
        <f t="shared" si="30"/>
        <v>181.5</v>
      </c>
      <c r="N226" s="5">
        <f t="shared" si="27"/>
        <v>-3.1</v>
      </c>
      <c r="O226" s="1">
        <v>127.29999999999998</v>
      </c>
      <c r="P226" s="1">
        <v>187</v>
      </c>
      <c r="Q226" s="11">
        <f t="shared" si="35"/>
        <v>1.1178571428571429</v>
      </c>
      <c r="R226" s="9">
        <f t="shared" si="24"/>
        <v>3.465357142857143</v>
      </c>
      <c r="S226" s="9">
        <f t="shared" si="25"/>
        <v>-3.465357142857143</v>
      </c>
      <c r="T226" s="95">
        <f t="shared" si="32"/>
        <v>125.9440306122449</v>
      </c>
      <c r="V226" s="1">
        <v>1636.4</v>
      </c>
      <c r="W226" s="1">
        <f t="shared" si="26"/>
        <v>152.93457943925236</v>
      </c>
      <c r="X226" s="1">
        <f t="shared" si="31"/>
        <v>94793.8</v>
      </c>
      <c r="Y226" s="1">
        <f t="shared" si="34"/>
        <v>36043.4</v>
      </c>
      <c r="AA226" s="1">
        <v>11.464213052906</v>
      </c>
      <c r="AB226" s="1">
        <f>SUM(J225:J234)</f>
        <v>0.30000000000000004</v>
      </c>
    </row>
    <row r="227" spans="1:30" s="1" customFormat="1" x14ac:dyDescent="0.25">
      <c r="A227" s="81"/>
      <c r="B227" s="7"/>
      <c r="C227" s="3">
        <v>41708</v>
      </c>
      <c r="D227" s="1">
        <v>10.8</v>
      </c>
      <c r="E227" s="12">
        <v>1.2</v>
      </c>
      <c r="F227" s="1">
        <v>18.600000000000001</v>
      </c>
      <c r="G227" s="1">
        <f t="shared" si="28"/>
        <v>1678.8999999999996</v>
      </c>
      <c r="H227" s="1">
        <f t="shared" si="33"/>
        <v>542.29999999999995</v>
      </c>
      <c r="J227" s="94">
        <v>0</v>
      </c>
      <c r="K227" s="1">
        <f t="shared" si="29"/>
        <v>477.69999999999993</v>
      </c>
      <c r="L227" s="1">
        <v>2.6</v>
      </c>
      <c r="M227" s="1">
        <f t="shared" si="30"/>
        <v>184.1</v>
      </c>
      <c r="N227" s="5">
        <f t="shared" si="27"/>
        <v>-2.6</v>
      </c>
      <c r="O227" s="1">
        <v>124.69999999999999</v>
      </c>
      <c r="P227" s="1">
        <v>188</v>
      </c>
      <c r="Q227" s="11">
        <f t="shared" si="35"/>
        <v>1.1193877551020408</v>
      </c>
      <c r="R227" s="9">
        <f t="shared" si="24"/>
        <v>2.910408163265306</v>
      </c>
      <c r="S227" s="9">
        <f t="shared" si="25"/>
        <v>-2.910408163265306</v>
      </c>
      <c r="T227" s="95">
        <f t="shared" si="32"/>
        <v>123.0336224489796</v>
      </c>
      <c r="V227" s="1">
        <v>1709.4</v>
      </c>
      <c r="W227" s="1">
        <f t="shared" si="26"/>
        <v>158.27777777777777</v>
      </c>
      <c r="X227" s="1">
        <f t="shared" si="31"/>
        <v>96503.2</v>
      </c>
      <c r="Y227" s="1">
        <f t="shared" si="34"/>
        <v>37752.800000000003</v>
      </c>
      <c r="AA227" s="1">
        <v>11.521367588318</v>
      </c>
    </row>
    <row r="228" spans="1:30" s="1" customFormat="1" x14ac:dyDescent="0.25">
      <c r="A228" s="81"/>
      <c r="B228" s="7"/>
      <c r="C228" s="3">
        <v>41709</v>
      </c>
      <c r="D228" s="1">
        <v>10.6</v>
      </c>
      <c r="E228" s="1">
        <v>6</v>
      </c>
      <c r="F228" s="1">
        <v>14.6</v>
      </c>
      <c r="G228" s="1">
        <f t="shared" si="28"/>
        <v>1689.4999999999995</v>
      </c>
      <c r="H228" s="1">
        <f t="shared" si="33"/>
        <v>552.9</v>
      </c>
      <c r="J228" s="94">
        <v>0</v>
      </c>
      <c r="K228" s="1">
        <f t="shared" si="29"/>
        <v>477.69999999999993</v>
      </c>
      <c r="L228" s="1">
        <v>2.4</v>
      </c>
      <c r="M228" s="1">
        <f t="shared" si="30"/>
        <v>186.5</v>
      </c>
      <c r="N228" s="5">
        <f t="shared" si="27"/>
        <v>-2.4</v>
      </c>
      <c r="O228" s="1">
        <v>122.29999999999998</v>
      </c>
      <c r="P228" s="1">
        <v>189</v>
      </c>
      <c r="Q228" s="11">
        <f t="shared" si="35"/>
        <v>1.1209183673469387</v>
      </c>
      <c r="R228" s="9">
        <f t="shared" si="24"/>
        <v>2.6902040816326527</v>
      </c>
      <c r="S228" s="9">
        <f t="shared" si="25"/>
        <v>-2.6902040816326527</v>
      </c>
      <c r="T228" s="95">
        <f t="shared" si="32"/>
        <v>120.34341836734694</v>
      </c>
      <c r="V228" s="1">
        <v>1533.3</v>
      </c>
      <c r="W228" s="1">
        <f t="shared" si="26"/>
        <v>144.65094339622641</v>
      </c>
      <c r="X228" s="1">
        <f t="shared" si="31"/>
        <v>98036.5</v>
      </c>
      <c r="Y228" s="1">
        <f t="shared" si="34"/>
        <v>39286.100000000006</v>
      </c>
      <c r="AA228" s="1">
        <v>11.5785791477761</v>
      </c>
    </row>
    <row r="229" spans="1:30" s="1" customFormat="1" x14ac:dyDescent="0.25">
      <c r="A229" s="81"/>
      <c r="B229" s="7"/>
      <c r="C229" s="3">
        <v>41710</v>
      </c>
      <c r="D229" s="1">
        <v>9.6999999999999993</v>
      </c>
      <c r="E229" s="12">
        <v>3.5</v>
      </c>
      <c r="F229" s="1">
        <v>15.7</v>
      </c>
      <c r="G229" s="1">
        <f t="shared" si="28"/>
        <v>1699.1999999999996</v>
      </c>
      <c r="H229" s="1">
        <f t="shared" si="33"/>
        <v>562.6</v>
      </c>
      <c r="J229" s="94">
        <v>0</v>
      </c>
      <c r="K229" s="1">
        <f t="shared" si="29"/>
        <v>477.69999999999993</v>
      </c>
      <c r="L229" s="1">
        <v>2.7</v>
      </c>
      <c r="M229" s="1">
        <f t="shared" si="30"/>
        <v>189.2</v>
      </c>
      <c r="N229" s="5">
        <f t="shared" si="27"/>
        <v>-2.7</v>
      </c>
      <c r="O229" s="1">
        <v>119.59999999999998</v>
      </c>
      <c r="P229" s="1">
        <v>190</v>
      </c>
      <c r="Q229" s="11">
        <f t="shared" si="35"/>
        <v>1.1224489795918366</v>
      </c>
      <c r="R229" s="9">
        <f t="shared" si="24"/>
        <v>3.0306122448979593</v>
      </c>
      <c r="S229" s="9">
        <f t="shared" si="25"/>
        <v>-3.0306122448979593</v>
      </c>
      <c r="T229" s="95">
        <f t="shared" si="32"/>
        <v>117.31280612244899</v>
      </c>
      <c r="V229" s="1">
        <v>1542.7</v>
      </c>
      <c r="W229" s="1">
        <f t="shared" si="26"/>
        <v>159.04123711340208</v>
      </c>
      <c r="X229" s="1">
        <f t="shared" si="31"/>
        <v>99579.199999999997</v>
      </c>
      <c r="Y229" s="1">
        <f t="shared" si="34"/>
        <v>40828.800000000003</v>
      </c>
      <c r="AA229" s="1">
        <v>11.6358405353695</v>
      </c>
    </row>
    <row r="230" spans="1:30" s="1" customFormat="1" x14ac:dyDescent="0.25">
      <c r="A230" s="81"/>
      <c r="B230" s="7"/>
      <c r="C230" s="3">
        <v>41711</v>
      </c>
      <c r="D230" s="1">
        <v>9</v>
      </c>
      <c r="E230" s="12">
        <v>0.4</v>
      </c>
      <c r="F230" s="1">
        <v>16.5</v>
      </c>
      <c r="G230" s="1">
        <f t="shared" si="28"/>
        <v>1708.1999999999996</v>
      </c>
      <c r="H230" s="1">
        <f t="shared" si="33"/>
        <v>571.6</v>
      </c>
      <c r="J230" s="94">
        <v>0</v>
      </c>
      <c r="K230" s="1">
        <f t="shared" si="29"/>
        <v>477.69999999999993</v>
      </c>
      <c r="L230" s="1">
        <v>2.4</v>
      </c>
      <c r="M230" s="1">
        <f t="shared" si="30"/>
        <v>191.6</v>
      </c>
      <c r="N230" s="5">
        <f t="shared" si="27"/>
        <v>-2.4</v>
      </c>
      <c r="O230" s="1">
        <v>117.19999999999997</v>
      </c>
      <c r="P230" s="1">
        <v>191</v>
      </c>
      <c r="Q230" s="11">
        <f t="shared" si="35"/>
        <v>1.1239795918367346</v>
      </c>
      <c r="R230" s="9">
        <f t="shared" si="24"/>
        <v>2.697551020408163</v>
      </c>
      <c r="S230" s="9">
        <f t="shared" si="25"/>
        <v>-2.697551020408163</v>
      </c>
      <c r="T230" s="95">
        <f t="shared" si="32"/>
        <v>114.61525510204083</v>
      </c>
      <c r="V230" s="1">
        <v>1538.7</v>
      </c>
      <c r="W230" s="1">
        <f t="shared" si="26"/>
        <v>170.96666666666667</v>
      </c>
      <c r="X230" s="1">
        <f t="shared" si="31"/>
        <v>101117.9</v>
      </c>
      <c r="Y230" s="1">
        <f t="shared" si="34"/>
        <v>42367.5</v>
      </c>
      <c r="AA230" s="1">
        <v>11.693144758041599</v>
      </c>
    </row>
    <row r="231" spans="1:30" s="1" customFormat="1" x14ac:dyDescent="0.25">
      <c r="A231" s="81"/>
      <c r="B231" s="7"/>
      <c r="C231" s="3">
        <v>41712</v>
      </c>
      <c r="D231" s="1">
        <v>9.3000000000000007</v>
      </c>
      <c r="E231" s="12">
        <v>0.8</v>
      </c>
      <c r="F231" s="1">
        <v>16.100000000000001</v>
      </c>
      <c r="G231" s="1">
        <f t="shared" si="28"/>
        <v>1717.4999999999995</v>
      </c>
      <c r="H231" s="1">
        <f t="shared" si="33"/>
        <v>580.9</v>
      </c>
      <c r="J231" s="94">
        <v>0</v>
      </c>
      <c r="K231" s="1">
        <f t="shared" si="29"/>
        <v>477.69999999999993</v>
      </c>
      <c r="L231" s="1">
        <v>2.4</v>
      </c>
      <c r="M231" s="1">
        <f t="shared" si="30"/>
        <v>194</v>
      </c>
      <c r="N231" s="5">
        <f t="shared" si="27"/>
        <v>-2.4</v>
      </c>
      <c r="O231" s="1">
        <v>114.79999999999997</v>
      </c>
      <c r="P231" s="1">
        <v>192</v>
      </c>
      <c r="Q231" s="11">
        <f t="shared" si="35"/>
        <v>1.1255102040816325</v>
      </c>
      <c r="R231" s="9">
        <f t="shared" si="24"/>
        <v>2.7012244897959179</v>
      </c>
      <c r="S231" s="9">
        <f t="shared" si="25"/>
        <v>-2.7012244897959179</v>
      </c>
      <c r="T231" s="95">
        <f t="shared" si="32"/>
        <v>111.91403061224491</v>
      </c>
      <c r="V231" s="1">
        <v>1546.2</v>
      </c>
      <c r="W231" s="1">
        <f t="shared" si="26"/>
        <v>166.25806451612902</v>
      </c>
      <c r="X231" s="1">
        <f t="shared" si="31"/>
        <v>102664.09999999999</v>
      </c>
      <c r="Y231" s="1">
        <f t="shared" si="34"/>
        <v>43913.7</v>
      </c>
      <c r="AA231" s="1">
        <v>11.750485007715501</v>
      </c>
    </row>
    <row r="232" spans="1:30" s="89" customFormat="1" x14ac:dyDescent="0.25">
      <c r="A232" s="81"/>
      <c r="B232" s="87" t="s">
        <v>60</v>
      </c>
      <c r="C232" s="88">
        <v>41713</v>
      </c>
      <c r="D232" s="89">
        <v>8.9</v>
      </c>
      <c r="E232" s="89">
        <v>5.5</v>
      </c>
      <c r="F232" s="89">
        <v>13.2</v>
      </c>
      <c r="G232" s="89">
        <f t="shared" si="28"/>
        <v>1726.3999999999996</v>
      </c>
      <c r="H232" s="89">
        <f t="shared" si="33"/>
        <v>589.79999999999995</v>
      </c>
      <c r="J232" s="94">
        <v>0</v>
      </c>
      <c r="K232" s="89">
        <f t="shared" si="29"/>
        <v>477.69999999999993</v>
      </c>
      <c r="L232" s="89">
        <v>1.7</v>
      </c>
      <c r="M232" s="89">
        <f t="shared" si="30"/>
        <v>195.7</v>
      </c>
      <c r="N232" s="90">
        <f t="shared" si="27"/>
        <v>-1.7</v>
      </c>
      <c r="O232" s="89">
        <v>113.09999999999997</v>
      </c>
      <c r="P232" s="89">
        <v>193</v>
      </c>
      <c r="Q232" s="91">
        <f t="shared" si="35"/>
        <v>1.1270408163265306</v>
      </c>
      <c r="R232" s="92">
        <f t="shared" ref="R232:R295" si="36">Q232*L232</f>
        <v>1.9159693877551021</v>
      </c>
      <c r="S232" s="92">
        <f t="shared" ref="S232:S295" si="37">J232-R232</f>
        <v>-1.9159693877551021</v>
      </c>
      <c r="T232" s="95">
        <f t="shared" si="32"/>
        <v>109.99806122448982</v>
      </c>
      <c r="V232" s="89">
        <v>1187.4000000000001</v>
      </c>
      <c r="W232" s="89">
        <f t="shared" ref="W232:W295" si="38">V232/D232</f>
        <v>133.41573033707866</v>
      </c>
      <c r="X232" s="89">
        <f t="shared" si="31"/>
        <v>103851.49999999999</v>
      </c>
      <c r="Y232" s="89">
        <f t="shared" si="34"/>
        <v>45101.1</v>
      </c>
      <c r="AA232" s="89">
        <v>11.8078546435056</v>
      </c>
    </row>
    <row r="233" spans="1:30" s="1" customFormat="1" x14ac:dyDescent="0.25">
      <c r="A233" s="81"/>
      <c r="B233" s="7"/>
      <c r="C233" s="3">
        <v>41714</v>
      </c>
      <c r="D233" s="1">
        <v>8.1</v>
      </c>
      <c r="E233" s="12">
        <v>2.1</v>
      </c>
      <c r="F233" s="1">
        <v>13.2</v>
      </c>
      <c r="G233" s="1">
        <f t="shared" si="28"/>
        <v>1734.4999999999995</v>
      </c>
      <c r="H233" s="1">
        <f t="shared" si="33"/>
        <v>597.9</v>
      </c>
      <c r="J233" s="94">
        <v>0.2</v>
      </c>
      <c r="K233" s="1">
        <f t="shared" si="29"/>
        <v>477.89999999999992</v>
      </c>
      <c r="L233" s="1">
        <v>1.7</v>
      </c>
      <c r="M233" s="1">
        <f t="shared" si="30"/>
        <v>197.39999999999998</v>
      </c>
      <c r="N233" s="5">
        <f t="shared" ref="N233:N296" si="39">J233-L233</f>
        <v>-1.5</v>
      </c>
      <c r="O233" s="1">
        <v>111.59999999999997</v>
      </c>
      <c r="P233" s="1">
        <v>194</v>
      </c>
      <c r="Q233" s="11">
        <f t="shared" si="35"/>
        <v>1.1285714285714286</v>
      </c>
      <c r="R233" s="9">
        <f t="shared" si="36"/>
        <v>1.9185714285714286</v>
      </c>
      <c r="S233" s="9">
        <f t="shared" si="37"/>
        <v>-1.7185714285714286</v>
      </c>
      <c r="T233" s="95">
        <f t="shared" si="32"/>
        <v>108.27948979591839</v>
      </c>
      <c r="V233" s="1">
        <v>1422.4</v>
      </c>
      <c r="W233" s="1">
        <f t="shared" si="38"/>
        <v>175.60493827160496</v>
      </c>
      <c r="X233" s="1">
        <f t="shared" si="31"/>
        <v>105273.89999999998</v>
      </c>
      <c r="Y233" s="1">
        <f t="shared" si="34"/>
        <v>46523.5</v>
      </c>
      <c r="AA233" s="1">
        <v>11.865247174022199</v>
      </c>
      <c r="AB233" s="93" t="s">
        <v>55</v>
      </c>
      <c r="AD233" s="93" t="s">
        <v>55</v>
      </c>
    </row>
    <row r="234" spans="1:30" s="1" customFormat="1" x14ac:dyDescent="0.25">
      <c r="A234" s="81"/>
      <c r="B234" s="7"/>
      <c r="C234" s="3">
        <v>41715</v>
      </c>
      <c r="D234" s="1">
        <v>5.7</v>
      </c>
      <c r="E234" s="12">
        <v>3.2</v>
      </c>
      <c r="F234" s="1">
        <v>10.199999999999999</v>
      </c>
      <c r="G234" s="1">
        <f t="shared" ref="G234:G297" si="40">G233+D234</f>
        <v>1740.1999999999996</v>
      </c>
      <c r="H234" s="1">
        <f t="shared" si="33"/>
        <v>603.6</v>
      </c>
      <c r="J234" s="94">
        <v>0.1</v>
      </c>
      <c r="K234" s="1">
        <f t="shared" ref="K234:K297" si="41">K233+J234</f>
        <v>477.99999999999994</v>
      </c>
      <c r="L234" s="1">
        <v>0.7</v>
      </c>
      <c r="M234" s="1">
        <f t="shared" ref="M234:M297" si="42">M233+L234</f>
        <v>198.09999999999997</v>
      </c>
      <c r="N234" s="5">
        <f t="shared" si="39"/>
        <v>-0.6</v>
      </c>
      <c r="O234" s="1">
        <v>110.99999999999997</v>
      </c>
      <c r="P234" s="1">
        <v>195</v>
      </c>
      <c r="Q234" s="11">
        <f t="shared" si="35"/>
        <v>1.1301020408163265</v>
      </c>
      <c r="R234" s="9">
        <f t="shared" si="36"/>
        <v>0.79107142857142854</v>
      </c>
      <c r="S234" s="9">
        <f t="shared" si="37"/>
        <v>-0.69107142857142856</v>
      </c>
      <c r="T234" s="95">
        <f t="shared" si="32"/>
        <v>107.58841836734696</v>
      </c>
      <c r="V234" s="10">
        <v>570</v>
      </c>
      <c r="W234" s="1">
        <f t="shared" si="38"/>
        <v>100</v>
      </c>
      <c r="X234" s="1">
        <f t="shared" ref="X234:X297" si="43">X233+V234</f>
        <v>105843.89999999998</v>
      </c>
      <c r="Y234" s="1">
        <f t="shared" si="34"/>
        <v>47093.5</v>
      </c>
      <c r="AA234" s="1">
        <v>11.922656239771401</v>
      </c>
      <c r="AB234" s="9">
        <f>AVERAGE(T229:T242)</f>
        <v>106.51686224489798</v>
      </c>
      <c r="AD234" s="11">
        <f>(AB207*(50/160))+(AB218*(50/160))+(AB234*(60/160))</f>
        <v>120.44423902150149</v>
      </c>
    </row>
    <row r="235" spans="1:30" s="28" customFormat="1" x14ac:dyDescent="0.25">
      <c r="A235" s="81"/>
      <c r="B235" s="7"/>
      <c r="C235" s="22">
        <v>41716</v>
      </c>
      <c r="D235" s="23">
        <v>6.6</v>
      </c>
      <c r="E235" s="24">
        <v>1.6</v>
      </c>
      <c r="F235" s="23">
        <v>10.3</v>
      </c>
      <c r="G235" s="23">
        <f t="shared" si="40"/>
        <v>1746.7999999999995</v>
      </c>
      <c r="H235" s="23">
        <f t="shared" si="33"/>
        <v>610.20000000000005</v>
      </c>
      <c r="I235" s="23"/>
      <c r="J235" s="97">
        <v>0</v>
      </c>
      <c r="K235" s="23">
        <f t="shared" si="41"/>
        <v>477.99999999999994</v>
      </c>
      <c r="L235" s="23">
        <v>0.7</v>
      </c>
      <c r="M235" s="23">
        <f t="shared" si="42"/>
        <v>198.79999999999995</v>
      </c>
      <c r="N235" s="25">
        <f t="shared" si="39"/>
        <v>-0.7</v>
      </c>
      <c r="O235" s="23">
        <v>110.29999999999997</v>
      </c>
      <c r="P235" s="23">
        <v>196</v>
      </c>
      <c r="Q235" s="11">
        <f t="shared" si="35"/>
        <v>1.1316326530612244</v>
      </c>
      <c r="R235" s="26">
        <f t="shared" si="36"/>
        <v>0.79214285714285704</v>
      </c>
      <c r="S235" s="26">
        <f t="shared" si="37"/>
        <v>-0.79214285714285704</v>
      </c>
      <c r="T235" s="95">
        <f t="shared" si="32"/>
        <v>106.7962755102041</v>
      </c>
      <c r="U235" s="23"/>
      <c r="V235" s="27">
        <v>787.1</v>
      </c>
      <c r="W235" s="23">
        <f t="shared" si="38"/>
        <v>119.25757575757576</v>
      </c>
      <c r="X235" s="23">
        <f t="shared" si="43"/>
        <v>106630.99999999999</v>
      </c>
      <c r="Y235" s="1">
        <f t="shared" si="34"/>
        <v>47880.6</v>
      </c>
      <c r="AA235" s="1">
        <v>11.980075595655601</v>
      </c>
      <c r="AB235" s="15" t="s">
        <v>56</v>
      </c>
      <c r="AD235" s="15" t="s">
        <v>56</v>
      </c>
    </row>
    <row r="236" spans="1:30" s="1" customFormat="1" ht="15" customHeight="1" x14ac:dyDescent="0.25">
      <c r="A236" s="81"/>
      <c r="B236" s="7"/>
      <c r="C236" s="29">
        <v>41717</v>
      </c>
      <c r="D236" s="1">
        <v>8.8000000000000007</v>
      </c>
      <c r="E236" s="1">
        <v>2.2999999999999998</v>
      </c>
      <c r="F236" s="1">
        <v>14</v>
      </c>
      <c r="G236" s="1">
        <f t="shared" si="40"/>
        <v>1755.5999999999995</v>
      </c>
      <c r="H236" s="1">
        <f t="shared" si="33"/>
        <v>619</v>
      </c>
      <c r="J236" s="94">
        <v>0</v>
      </c>
      <c r="K236" s="1">
        <f t="shared" si="41"/>
        <v>477.99999999999994</v>
      </c>
      <c r="L236" s="1">
        <v>2.1</v>
      </c>
      <c r="M236" s="1">
        <f t="shared" si="42"/>
        <v>200.89999999999995</v>
      </c>
      <c r="N236" s="1">
        <f t="shared" si="39"/>
        <v>-2.1</v>
      </c>
      <c r="O236" s="1">
        <v>108.19999999999997</v>
      </c>
      <c r="P236" s="1">
        <v>197</v>
      </c>
      <c r="Q236" s="11">
        <f t="shared" si="35"/>
        <v>1.1331632653061223</v>
      </c>
      <c r="R236" s="9">
        <f t="shared" si="36"/>
        <v>2.3796428571428572</v>
      </c>
      <c r="S236" s="9">
        <f t="shared" si="37"/>
        <v>-2.3796428571428572</v>
      </c>
      <c r="T236" s="95">
        <f t="shared" si="32"/>
        <v>104.41663265306124</v>
      </c>
      <c r="V236" s="1">
        <v>1574.3</v>
      </c>
      <c r="W236" s="1">
        <f t="shared" si="38"/>
        <v>178.89772727272725</v>
      </c>
      <c r="X236" s="1">
        <f t="shared" si="43"/>
        <v>108205.29999999999</v>
      </c>
      <c r="Y236" s="1">
        <f t="shared" si="34"/>
        <v>49454.9</v>
      </c>
      <c r="AA236" s="1">
        <v>12.037499093573899</v>
      </c>
      <c r="AB236" s="1">
        <v>9</v>
      </c>
      <c r="AD236" s="9">
        <f>(AB209*(50/160))+(AB220*(50/160))+(AB236*(60/160))</f>
        <v>4</v>
      </c>
    </row>
    <row r="237" spans="1:30" s="1" customFormat="1" x14ac:dyDescent="0.25">
      <c r="A237" s="81"/>
      <c r="B237" s="7"/>
      <c r="C237" s="3">
        <v>41718</v>
      </c>
      <c r="D237" s="1">
        <v>11.6</v>
      </c>
      <c r="E237" s="12">
        <v>3.5</v>
      </c>
      <c r="F237" s="1">
        <v>18.5</v>
      </c>
      <c r="G237" s="1">
        <f t="shared" si="40"/>
        <v>1767.1999999999994</v>
      </c>
      <c r="H237" s="1">
        <f t="shared" si="33"/>
        <v>630.6</v>
      </c>
      <c r="J237" s="94">
        <v>0</v>
      </c>
      <c r="K237" s="1">
        <f t="shared" si="41"/>
        <v>477.99999999999994</v>
      </c>
      <c r="L237" s="1">
        <v>3</v>
      </c>
      <c r="M237" s="1">
        <f t="shared" si="42"/>
        <v>203.89999999999995</v>
      </c>
      <c r="N237" s="5">
        <f t="shared" si="39"/>
        <v>-3</v>
      </c>
      <c r="O237" s="1">
        <v>105.19999999999997</v>
      </c>
      <c r="P237" s="1">
        <v>198</v>
      </c>
      <c r="Q237" s="11">
        <f t="shared" si="35"/>
        <v>1.1346938775510202</v>
      </c>
      <c r="R237" s="9">
        <f t="shared" si="36"/>
        <v>3.4040816326530607</v>
      </c>
      <c r="S237" s="9">
        <f t="shared" si="37"/>
        <v>-3.4040816326530607</v>
      </c>
      <c r="T237" s="95">
        <f t="shared" ref="T237:T300" si="44">MIN(138.9,(T236+S237))</f>
        <v>101.01255102040818</v>
      </c>
      <c r="V237" s="1">
        <v>1883.6</v>
      </c>
      <c r="W237" s="1">
        <f t="shared" si="38"/>
        <v>162.37931034482759</v>
      </c>
      <c r="X237" s="1">
        <f t="shared" si="43"/>
        <v>110088.9</v>
      </c>
      <c r="Y237" s="1">
        <f t="shared" si="34"/>
        <v>51338.5</v>
      </c>
      <c r="AA237" s="1">
        <v>12.0949206651238</v>
      </c>
      <c r="AB237" s="93" t="s">
        <v>57</v>
      </c>
      <c r="AD237" s="93" t="s">
        <v>57</v>
      </c>
    </row>
    <row r="238" spans="1:30" s="1" customFormat="1" x14ac:dyDescent="0.25">
      <c r="A238" s="81"/>
      <c r="B238" s="7"/>
      <c r="C238" s="3">
        <v>41719</v>
      </c>
      <c r="D238" s="1">
        <v>10.8</v>
      </c>
      <c r="E238" s="1">
        <v>9.1999999999999993</v>
      </c>
      <c r="F238" s="1">
        <v>12.4</v>
      </c>
      <c r="G238" s="1">
        <f t="shared" si="40"/>
        <v>1777.9999999999993</v>
      </c>
      <c r="H238" s="1">
        <f t="shared" si="33"/>
        <v>641.4</v>
      </c>
      <c r="J238" s="94">
        <v>1.1000000000000001</v>
      </c>
      <c r="K238" s="1">
        <f t="shared" si="41"/>
        <v>479.09999999999997</v>
      </c>
      <c r="L238" s="1">
        <v>1.3</v>
      </c>
      <c r="M238" s="1">
        <f t="shared" si="42"/>
        <v>205.19999999999996</v>
      </c>
      <c r="N238" s="5">
        <f t="shared" si="39"/>
        <v>-0.19999999999999996</v>
      </c>
      <c r="O238" s="1">
        <v>104.99999999999997</v>
      </c>
      <c r="P238" s="1">
        <v>199</v>
      </c>
      <c r="Q238" s="11">
        <f t="shared" si="35"/>
        <v>1.1362244897959184</v>
      </c>
      <c r="R238" s="9">
        <f t="shared" si="36"/>
        <v>1.4770918367346939</v>
      </c>
      <c r="S238" s="9">
        <f t="shared" si="37"/>
        <v>-0.37709183673469382</v>
      </c>
      <c r="T238" s="95">
        <f t="shared" si="44"/>
        <v>100.63545918367349</v>
      </c>
      <c r="V238" s="10">
        <v>413.6</v>
      </c>
      <c r="W238" s="1">
        <f t="shared" si="38"/>
        <v>38.296296296296298</v>
      </c>
      <c r="X238" s="1">
        <f t="shared" si="43"/>
        <v>110502.5</v>
      </c>
      <c r="Y238" s="1">
        <f t="shared" si="34"/>
        <v>51752.1</v>
      </c>
      <c r="AA238" s="1">
        <v>12.1523343044034</v>
      </c>
      <c r="AB238" s="1">
        <v>3</v>
      </c>
      <c r="AD238" s="9">
        <f>(AB211*(50/160))+(AB222*(50/160))+(AB238*(60/160))</f>
        <v>5.1875</v>
      </c>
    </row>
    <row r="239" spans="1:30" s="1" customFormat="1" x14ac:dyDescent="0.25">
      <c r="A239" s="81"/>
      <c r="B239" s="7"/>
      <c r="C239" s="3">
        <v>41720</v>
      </c>
      <c r="D239" s="1">
        <v>7.7</v>
      </c>
      <c r="E239" s="1">
        <v>7.2</v>
      </c>
      <c r="F239" s="1">
        <v>9.3000000000000007</v>
      </c>
      <c r="G239" s="1">
        <f t="shared" si="40"/>
        <v>1785.6999999999994</v>
      </c>
      <c r="H239" s="1">
        <f t="shared" si="33"/>
        <v>649.1</v>
      </c>
      <c r="J239" s="94">
        <v>2.2000000000000002</v>
      </c>
      <c r="K239" s="1">
        <f t="shared" si="41"/>
        <v>481.29999999999995</v>
      </c>
      <c r="L239" s="1">
        <v>1.5</v>
      </c>
      <c r="M239" s="1">
        <f t="shared" si="42"/>
        <v>206.69999999999996</v>
      </c>
      <c r="N239" s="1">
        <f t="shared" si="39"/>
        <v>0.70000000000000018</v>
      </c>
      <c r="O239" s="1">
        <v>105.69999999999997</v>
      </c>
      <c r="P239" s="1">
        <v>200</v>
      </c>
      <c r="Q239" s="11">
        <f t="shared" si="35"/>
        <v>1.1377551020408163</v>
      </c>
      <c r="R239" s="9">
        <f t="shared" si="36"/>
        <v>1.7066326530612246</v>
      </c>
      <c r="S239" s="9">
        <f t="shared" si="37"/>
        <v>0.4933673469387756</v>
      </c>
      <c r="T239" s="95">
        <f t="shared" si="44"/>
        <v>101.12882653061226</v>
      </c>
      <c r="V239" s="10">
        <v>572.29999999999995</v>
      </c>
      <c r="W239" s="1">
        <f t="shared" si="38"/>
        <v>74.324675324675312</v>
      </c>
      <c r="X239" s="1">
        <f t="shared" si="43"/>
        <v>111074.8</v>
      </c>
      <c r="Y239" s="1">
        <f t="shared" si="34"/>
        <v>52324.4</v>
      </c>
      <c r="AA239" s="1">
        <v>12.209734050913401</v>
      </c>
      <c r="AB239" s="93" t="s">
        <v>58</v>
      </c>
      <c r="AD239" s="93" t="s">
        <v>58</v>
      </c>
    </row>
    <row r="240" spans="1:30" s="1" customFormat="1" x14ac:dyDescent="0.25">
      <c r="A240" s="81"/>
      <c r="B240" s="7"/>
      <c r="C240" s="3">
        <v>41721</v>
      </c>
      <c r="D240" s="1">
        <v>5.5</v>
      </c>
      <c r="E240" s="12">
        <v>1.8</v>
      </c>
      <c r="F240" s="1">
        <v>10.5</v>
      </c>
      <c r="G240" s="1">
        <f t="shared" si="40"/>
        <v>1791.1999999999994</v>
      </c>
      <c r="H240" s="1">
        <f t="shared" si="33"/>
        <v>654.6</v>
      </c>
      <c r="J240" s="94">
        <v>1.1000000000000001</v>
      </c>
      <c r="K240" s="1">
        <f t="shared" si="41"/>
        <v>482.4</v>
      </c>
      <c r="L240" s="1">
        <v>1.6</v>
      </c>
      <c r="M240" s="1">
        <f t="shared" si="42"/>
        <v>208.29999999999995</v>
      </c>
      <c r="N240" s="5">
        <f t="shared" si="39"/>
        <v>-0.5</v>
      </c>
      <c r="O240" s="1">
        <v>105.19999999999997</v>
      </c>
      <c r="P240" s="1">
        <v>201</v>
      </c>
      <c r="Q240" s="11">
        <f t="shared" si="35"/>
        <v>1.1392857142857142</v>
      </c>
      <c r="R240" s="9">
        <f t="shared" si="36"/>
        <v>1.822857142857143</v>
      </c>
      <c r="S240" s="9">
        <f t="shared" si="37"/>
        <v>-0.72285714285714286</v>
      </c>
      <c r="T240" s="95">
        <f t="shared" si="44"/>
        <v>100.40596938775512</v>
      </c>
      <c r="V240" s="1">
        <v>959.5</v>
      </c>
      <c r="W240" s="1">
        <f t="shared" si="38"/>
        <v>174.45454545454547</v>
      </c>
      <c r="X240" s="1">
        <f t="shared" si="43"/>
        <v>112034.3</v>
      </c>
      <c r="Y240" s="1">
        <f t="shared" si="34"/>
        <v>53283.9</v>
      </c>
      <c r="AA240" s="1">
        <v>12.2671139725558</v>
      </c>
      <c r="AB240" s="1">
        <v>0</v>
      </c>
      <c r="AD240" s="9">
        <f>(AB213*(50/160))+(AB224*(50/160))+(AB240*(60/160))</f>
        <v>1.25</v>
      </c>
    </row>
    <row r="241" spans="1:30" s="1" customFormat="1" x14ac:dyDescent="0.25">
      <c r="A241" s="81"/>
      <c r="B241" s="7"/>
      <c r="C241" s="3">
        <v>41722</v>
      </c>
      <c r="D241" s="1">
        <v>6</v>
      </c>
      <c r="E241" s="19">
        <v>-0.2</v>
      </c>
      <c r="F241" s="1">
        <v>10.9</v>
      </c>
      <c r="G241" s="1">
        <f t="shared" si="40"/>
        <v>1797.1999999999994</v>
      </c>
      <c r="H241" s="1">
        <f t="shared" si="33"/>
        <v>660.6</v>
      </c>
      <c r="J241" s="94">
        <v>4.5999999999999996</v>
      </c>
      <c r="K241" s="1">
        <f t="shared" si="41"/>
        <v>487</v>
      </c>
      <c r="L241" s="1">
        <v>1.3</v>
      </c>
      <c r="M241" s="1">
        <f t="shared" si="42"/>
        <v>209.59999999999997</v>
      </c>
      <c r="N241" s="1">
        <f t="shared" si="39"/>
        <v>3.3</v>
      </c>
      <c r="O241" s="1">
        <v>108.49999999999997</v>
      </c>
      <c r="P241" s="1">
        <v>202</v>
      </c>
      <c r="Q241" s="11">
        <f t="shared" si="35"/>
        <v>1.1408163265306122</v>
      </c>
      <c r="R241" s="9">
        <f t="shared" si="36"/>
        <v>1.4830612244897958</v>
      </c>
      <c r="S241" s="9">
        <f t="shared" si="37"/>
        <v>3.1169387755102038</v>
      </c>
      <c r="T241" s="95">
        <f t="shared" si="44"/>
        <v>103.52290816326533</v>
      </c>
      <c r="V241" s="1">
        <v>1080.7</v>
      </c>
      <c r="W241" s="1">
        <f t="shared" si="38"/>
        <v>180.11666666666667</v>
      </c>
      <c r="X241" s="1">
        <f t="shared" si="43"/>
        <v>113115</v>
      </c>
      <c r="Y241" s="1">
        <f t="shared" si="34"/>
        <v>54364.6</v>
      </c>
      <c r="AA241" s="1">
        <v>12.324468148729499</v>
      </c>
      <c r="AB241" s="93" t="s">
        <v>59</v>
      </c>
      <c r="AD241" s="93" t="s">
        <v>59</v>
      </c>
    </row>
    <row r="242" spans="1:30" s="1" customFormat="1" x14ac:dyDescent="0.25">
      <c r="A242" s="81"/>
      <c r="B242" s="7"/>
      <c r="C242" s="3">
        <v>41723</v>
      </c>
      <c r="D242" s="1">
        <v>7.8</v>
      </c>
      <c r="E242" s="1">
        <v>5.0999999999999996</v>
      </c>
      <c r="F242" s="1">
        <v>11.1</v>
      </c>
      <c r="G242" s="1">
        <f t="shared" si="40"/>
        <v>1804.9999999999993</v>
      </c>
      <c r="H242" s="1">
        <f t="shared" si="33"/>
        <v>668.4</v>
      </c>
      <c r="J242" s="94">
        <v>1.8</v>
      </c>
      <c r="K242" s="1">
        <f t="shared" si="41"/>
        <v>488.8</v>
      </c>
      <c r="L242" s="1">
        <v>1.5</v>
      </c>
      <c r="M242" s="1">
        <f t="shared" si="42"/>
        <v>211.09999999999997</v>
      </c>
      <c r="N242" s="1">
        <f t="shared" si="39"/>
        <v>0.30000000000000004</v>
      </c>
      <c r="O242" s="1">
        <v>108.79999999999997</v>
      </c>
      <c r="P242" s="1">
        <v>203</v>
      </c>
      <c r="Q242" s="11">
        <f t="shared" si="35"/>
        <v>1.1423469387755101</v>
      </c>
      <c r="R242" s="9">
        <f t="shared" si="36"/>
        <v>1.7135204081632651</v>
      </c>
      <c r="S242" s="9">
        <f t="shared" si="37"/>
        <v>8.6479591836734926E-2</v>
      </c>
      <c r="T242" s="95">
        <f t="shared" si="44"/>
        <v>103.60938775510206</v>
      </c>
      <c r="V242" s="1">
        <v>1226.9000000000001</v>
      </c>
      <c r="W242" s="1">
        <f t="shared" si="38"/>
        <v>157.29487179487182</v>
      </c>
      <c r="X242" s="1">
        <f t="shared" si="43"/>
        <v>114341.9</v>
      </c>
      <c r="Y242" s="1">
        <f t="shared" si="34"/>
        <v>55591.5</v>
      </c>
      <c r="AA242" s="1">
        <v>12.3817906535172</v>
      </c>
      <c r="AB242" s="1">
        <f>SUM(J233:J242)</f>
        <v>11.100000000000001</v>
      </c>
      <c r="AD242" s="9">
        <f>(AB215*(50/160))+(AB226*(50/160))+(AB242*(60/160))</f>
        <v>9.9125000000000014</v>
      </c>
    </row>
    <row r="243" spans="1:30" s="1" customFormat="1" x14ac:dyDescent="0.25">
      <c r="A243" s="81"/>
      <c r="B243" s="7"/>
      <c r="C243" s="3">
        <v>41724</v>
      </c>
      <c r="D243" s="1">
        <v>6.6</v>
      </c>
      <c r="E243" s="12">
        <v>3.6</v>
      </c>
      <c r="F243" s="1">
        <v>11</v>
      </c>
      <c r="G243" s="1">
        <f t="shared" si="40"/>
        <v>1811.5999999999992</v>
      </c>
      <c r="H243" s="1">
        <f t="shared" ref="H243:H306" si="45">H242+D243</f>
        <v>675</v>
      </c>
      <c r="J243" s="1">
        <v>0</v>
      </c>
      <c r="K243" s="1">
        <f t="shared" si="41"/>
        <v>488.8</v>
      </c>
      <c r="L243" s="1">
        <v>1.6</v>
      </c>
      <c r="M243" s="1">
        <f t="shared" si="42"/>
        <v>212.69999999999996</v>
      </c>
      <c r="N243" s="5">
        <f t="shared" si="39"/>
        <v>-1.6</v>
      </c>
      <c r="O243" s="1">
        <v>107.19999999999997</v>
      </c>
      <c r="P243" s="1">
        <v>204</v>
      </c>
      <c r="Q243" s="11">
        <f t="shared" si="35"/>
        <v>1.143877551020408</v>
      </c>
      <c r="R243" s="9">
        <f t="shared" si="36"/>
        <v>1.8302040816326528</v>
      </c>
      <c r="S243" s="9">
        <f t="shared" si="37"/>
        <v>-1.8302040816326528</v>
      </c>
      <c r="T243" s="9">
        <f t="shared" si="44"/>
        <v>101.7791836734694</v>
      </c>
      <c r="V243" s="1">
        <v>1038.2</v>
      </c>
      <c r="W243" s="1">
        <f t="shared" si="38"/>
        <v>157.30303030303031</v>
      </c>
      <c r="X243" s="1">
        <f t="shared" si="43"/>
        <v>115380.09999999999</v>
      </c>
      <c r="Y243" s="1">
        <f t="shared" ref="Y243:Y306" si="46">Y242+V243</f>
        <v>56629.7</v>
      </c>
      <c r="AA243" s="1">
        <v>12.4390755389645</v>
      </c>
    </row>
    <row r="244" spans="1:30" s="1" customFormat="1" x14ac:dyDescent="0.25">
      <c r="A244" s="81"/>
      <c r="B244" s="7"/>
      <c r="C244" s="3">
        <v>41725</v>
      </c>
      <c r="D244" s="1">
        <v>6.4</v>
      </c>
      <c r="E244" s="12">
        <v>2.2000000000000002</v>
      </c>
      <c r="F244" s="1">
        <v>10.7</v>
      </c>
      <c r="G244" s="1">
        <f t="shared" si="40"/>
        <v>1817.9999999999993</v>
      </c>
      <c r="H244" s="1">
        <f t="shared" si="45"/>
        <v>681.4</v>
      </c>
      <c r="J244" s="1">
        <v>0.2</v>
      </c>
      <c r="K244" s="1">
        <f t="shared" si="41"/>
        <v>489</v>
      </c>
      <c r="L244" s="1">
        <v>1.1000000000000001</v>
      </c>
      <c r="M244" s="1">
        <f t="shared" si="42"/>
        <v>213.79999999999995</v>
      </c>
      <c r="N244" s="5">
        <f t="shared" si="39"/>
        <v>-0.90000000000000013</v>
      </c>
      <c r="O244" s="1">
        <v>106.29999999999997</v>
      </c>
      <c r="P244" s="1">
        <v>205</v>
      </c>
      <c r="Q244" s="11">
        <f t="shared" si="35"/>
        <v>1.1454081632653059</v>
      </c>
      <c r="R244" s="9">
        <f t="shared" si="36"/>
        <v>1.2599489795918366</v>
      </c>
      <c r="S244" s="9">
        <f t="shared" si="37"/>
        <v>-1.0599489795918366</v>
      </c>
      <c r="T244" s="9">
        <f t="shared" si="44"/>
        <v>100.71923469387757</v>
      </c>
      <c r="V244" s="1">
        <v>944.6</v>
      </c>
      <c r="W244" s="1">
        <f t="shared" si="38"/>
        <v>147.59375</v>
      </c>
      <c r="X244" s="1">
        <f t="shared" si="43"/>
        <v>116324.7</v>
      </c>
      <c r="Y244" s="1">
        <f t="shared" si="46"/>
        <v>57574.299999999996</v>
      </c>
      <c r="AA244" s="1">
        <v>12.4963168184469</v>
      </c>
    </row>
    <row r="245" spans="1:30" s="1" customFormat="1" x14ac:dyDescent="0.25">
      <c r="A245" s="81"/>
      <c r="B245" s="7"/>
      <c r="C245" s="3">
        <v>41726</v>
      </c>
      <c r="D245" s="1">
        <v>9.1999999999999993</v>
      </c>
      <c r="E245" s="12">
        <v>3.4</v>
      </c>
      <c r="F245" s="1">
        <v>13.9</v>
      </c>
      <c r="G245" s="1">
        <f t="shared" si="40"/>
        <v>1827.1999999999994</v>
      </c>
      <c r="H245" s="1">
        <f t="shared" si="45"/>
        <v>690.6</v>
      </c>
      <c r="J245" s="1">
        <v>0</v>
      </c>
      <c r="K245" s="1">
        <f t="shared" si="41"/>
        <v>489</v>
      </c>
      <c r="L245" s="1">
        <v>2.1</v>
      </c>
      <c r="M245" s="1">
        <f t="shared" si="42"/>
        <v>215.89999999999995</v>
      </c>
      <c r="N245" s="5">
        <f t="shared" si="39"/>
        <v>-2.1</v>
      </c>
      <c r="O245" s="1">
        <v>104.19999999999997</v>
      </c>
      <c r="P245" s="1">
        <v>206</v>
      </c>
      <c r="Q245" s="11">
        <f t="shared" si="35"/>
        <v>1.1469387755102041</v>
      </c>
      <c r="R245" s="9">
        <f t="shared" si="36"/>
        <v>2.4085714285714288</v>
      </c>
      <c r="S245" s="9">
        <f t="shared" si="37"/>
        <v>-2.4085714285714288</v>
      </c>
      <c r="T245" s="9">
        <f t="shared" si="44"/>
        <v>98.310663265306133</v>
      </c>
      <c r="V245" s="1">
        <v>1222.7</v>
      </c>
      <c r="W245" s="1">
        <f t="shared" si="38"/>
        <v>132.9021739130435</v>
      </c>
      <c r="X245" s="1">
        <f t="shared" si="43"/>
        <v>117547.4</v>
      </c>
      <c r="Y245" s="1">
        <f t="shared" si="46"/>
        <v>58796.999999999993</v>
      </c>
      <c r="AA245" s="1">
        <v>12.553508450122401</v>
      </c>
    </row>
    <row r="246" spans="1:30" s="1" customFormat="1" x14ac:dyDescent="0.25">
      <c r="A246" s="81"/>
      <c r="B246" s="7"/>
      <c r="C246" s="3">
        <v>41727</v>
      </c>
      <c r="D246" s="1">
        <v>12.2</v>
      </c>
      <c r="E246" s="12">
        <v>4</v>
      </c>
      <c r="F246" s="1">
        <v>18.7</v>
      </c>
      <c r="G246" s="1">
        <f t="shared" si="40"/>
        <v>1839.3999999999994</v>
      </c>
      <c r="H246" s="1">
        <f t="shared" si="45"/>
        <v>702.80000000000007</v>
      </c>
      <c r="J246" s="1">
        <v>0</v>
      </c>
      <c r="K246" s="1">
        <f t="shared" si="41"/>
        <v>489</v>
      </c>
      <c r="L246" s="1">
        <v>3.2</v>
      </c>
      <c r="M246" s="1">
        <f t="shared" si="42"/>
        <v>219.09999999999994</v>
      </c>
      <c r="N246" s="5">
        <f t="shared" si="39"/>
        <v>-3.2</v>
      </c>
      <c r="O246" s="1">
        <v>100.99999999999997</v>
      </c>
      <c r="P246" s="1">
        <v>207</v>
      </c>
      <c r="Q246" s="11">
        <f t="shared" si="35"/>
        <v>1.148469387755102</v>
      </c>
      <c r="R246" s="9">
        <f t="shared" si="36"/>
        <v>3.6751020408163266</v>
      </c>
      <c r="S246" s="9">
        <f t="shared" si="37"/>
        <v>-3.6751020408163266</v>
      </c>
      <c r="T246" s="9">
        <f t="shared" si="44"/>
        <v>94.635561224489805</v>
      </c>
      <c r="V246" s="1">
        <v>1631.1</v>
      </c>
      <c r="W246" s="1">
        <f t="shared" si="38"/>
        <v>133.69672131147541</v>
      </c>
      <c r="X246" s="1">
        <f t="shared" si="43"/>
        <v>119178.5</v>
      </c>
      <c r="Y246" s="1">
        <f t="shared" si="46"/>
        <v>60428.099999999991</v>
      </c>
      <c r="AA246" s="1">
        <v>12.6106443204696</v>
      </c>
    </row>
    <row r="247" spans="1:30" s="63" customFormat="1" ht="15.75" thickBot="1" x14ac:dyDescent="0.3">
      <c r="A247" s="81"/>
      <c r="B247" s="61"/>
      <c r="C247" s="66">
        <v>41728</v>
      </c>
      <c r="D247" s="63">
        <v>11.2</v>
      </c>
      <c r="E247" s="63">
        <v>5.4</v>
      </c>
      <c r="F247" s="63">
        <v>18</v>
      </c>
      <c r="G247" s="63">
        <f t="shared" si="40"/>
        <v>1850.5999999999995</v>
      </c>
      <c r="H247" s="63">
        <f t="shared" si="45"/>
        <v>714.00000000000011</v>
      </c>
      <c r="J247" s="63">
        <v>0.3</v>
      </c>
      <c r="K247" s="63">
        <f t="shared" si="41"/>
        <v>489.3</v>
      </c>
      <c r="L247" s="63">
        <v>2.2999999999999998</v>
      </c>
      <c r="M247" s="63">
        <f t="shared" si="42"/>
        <v>221.39999999999995</v>
      </c>
      <c r="N247" s="70">
        <f t="shared" si="39"/>
        <v>-1.9999999999999998</v>
      </c>
      <c r="O247" s="63">
        <v>98.999999999999972</v>
      </c>
      <c r="P247" s="63">
        <v>208</v>
      </c>
      <c r="Q247" s="67">
        <f t="shared" si="35"/>
        <v>1.1499999999999999</v>
      </c>
      <c r="R247" s="64">
        <f t="shared" si="36"/>
        <v>2.6449999999999996</v>
      </c>
      <c r="S247" s="64">
        <f t="shared" si="37"/>
        <v>-2.3449999999999998</v>
      </c>
      <c r="T247" s="64">
        <f t="shared" si="44"/>
        <v>92.290561224489807</v>
      </c>
      <c r="V247" s="63">
        <v>1523.3</v>
      </c>
      <c r="W247" s="63">
        <f t="shared" si="38"/>
        <v>136.00892857142858</v>
      </c>
      <c r="X247" s="63">
        <f t="shared" si="43"/>
        <v>120701.8</v>
      </c>
      <c r="Y247" s="63">
        <f t="shared" si="46"/>
        <v>61951.399999999994</v>
      </c>
      <c r="AA247" s="63">
        <v>12.6677182279088</v>
      </c>
    </row>
    <row r="248" spans="1:30" s="1" customFormat="1" x14ac:dyDescent="0.25">
      <c r="A248" s="30" t="s">
        <v>22</v>
      </c>
      <c r="B248" s="2"/>
      <c r="C248" s="3">
        <v>41729</v>
      </c>
      <c r="D248" s="1">
        <v>11.6</v>
      </c>
      <c r="E248" s="1">
        <v>6.1</v>
      </c>
      <c r="F248" s="1">
        <v>15.9</v>
      </c>
      <c r="G248" s="1">
        <f t="shared" si="40"/>
        <v>1862.1999999999994</v>
      </c>
      <c r="H248" s="1">
        <v>11.6</v>
      </c>
      <c r="I248" s="31" t="s">
        <v>3</v>
      </c>
      <c r="J248" s="1">
        <v>0</v>
      </c>
      <c r="K248" s="1">
        <f t="shared" si="41"/>
        <v>489.3</v>
      </c>
      <c r="L248" s="1">
        <v>1.7</v>
      </c>
      <c r="M248" s="1">
        <f t="shared" si="42"/>
        <v>223.09999999999994</v>
      </c>
      <c r="N248" s="5">
        <f t="shared" si="39"/>
        <v>-1.7</v>
      </c>
      <c r="O248" s="1">
        <v>97.299999999999969</v>
      </c>
      <c r="P248" s="1">
        <v>209</v>
      </c>
      <c r="Q248" s="1">
        <v>1.1499999999999999</v>
      </c>
      <c r="R248" s="9">
        <f t="shared" si="36"/>
        <v>1.9549999999999998</v>
      </c>
      <c r="S248" s="9">
        <f t="shared" si="37"/>
        <v>-1.9549999999999998</v>
      </c>
      <c r="T248" s="9">
        <f t="shared" si="44"/>
        <v>90.335561224489808</v>
      </c>
      <c r="U248" s="31" t="s">
        <v>4</v>
      </c>
      <c r="V248" s="1">
        <v>1371.1</v>
      </c>
      <c r="W248" s="1">
        <f t="shared" si="38"/>
        <v>118.19827586206897</v>
      </c>
      <c r="X248" s="1">
        <f t="shared" si="43"/>
        <v>122072.90000000001</v>
      </c>
      <c r="Y248" s="1">
        <v>1371.1</v>
      </c>
      <c r="Z248" s="31" t="s">
        <v>5</v>
      </c>
      <c r="AA248" s="1">
        <v>12.7247238665067</v>
      </c>
    </row>
    <row r="249" spans="1:30" s="1" customFormat="1" x14ac:dyDescent="0.25">
      <c r="A249" s="30"/>
      <c r="B249" s="2"/>
      <c r="C249" s="3">
        <v>41730</v>
      </c>
      <c r="D249" s="1">
        <v>12.9</v>
      </c>
      <c r="E249" s="1">
        <v>6.4</v>
      </c>
      <c r="F249" s="1">
        <v>18.600000000000001</v>
      </c>
      <c r="G249" s="1">
        <f t="shared" si="40"/>
        <v>1875.0999999999995</v>
      </c>
      <c r="H249" s="1">
        <f t="shared" si="45"/>
        <v>24.5</v>
      </c>
      <c r="I249" s="1">
        <f>MIN(E248:E268)</f>
        <v>1.9</v>
      </c>
      <c r="J249" s="1">
        <v>0</v>
      </c>
      <c r="K249" s="1">
        <f t="shared" si="41"/>
        <v>489.3</v>
      </c>
      <c r="L249" s="1">
        <v>2.2999999999999998</v>
      </c>
      <c r="M249" s="1">
        <f t="shared" si="42"/>
        <v>225.39999999999995</v>
      </c>
      <c r="N249" s="5">
        <f t="shared" si="39"/>
        <v>-2.2999999999999998</v>
      </c>
      <c r="O249" s="1">
        <v>94.999999999999972</v>
      </c>
      <c r="P249" s="1">
        <v>210</v>
      </c>
      <c r="Q249" s="1">
        <v>1.1499999999999999</v>
      </c>
      <c r="R249" s="9">
        <f t="shared" si="36"/>
        <v>2.6449999999999996</v>
      </c>
      <c r="S249" s="9">
        <f t="shared" si="37"/>
        <v>-2.6449999999999996</v>
      </c>
      <c r="T249" s="9">
        <f t="shared" si="44"/>
        <v>87.690561224489812</v>
      </c>
      <c r="U249" s="1">
        <v>20</v>
      </c>
      <c r="V249" s="1">
        <v>1503.7</v>
      </c>
      <c r="W249" s="1">
        <f t="shared" si="38"/>
        <v>116.56589147286822</v>
      </c>
      <c r="X249" s="1">
        <f t="shared" si="43"/>
        <v>123576.6</v>
      </c>
      <c r="Y249" s="1">
        <f t="shared" si="46"/>
        <v>2874.8</v>
      </c>
      <c r="Z249" s="1">
        <v>31409.500000000004</v>
      </c>
      <c r="AA249" s="1">
        <v>12.781654809763401</v>
      </c>
    </row>
    <row r="250" spans="1:30" s="1" customFormat="1" x14ac:dyDescent="0.25">
      <c r="A250" s="30"/>
      <c r="B250" s="2"/>
      <c r="C250" s="3">
        <v>41731</v>
      </c>
      <c r="D250" s="1">
        <v>14.6</v>
      </c>
      <c r="E250" s="1">
        <v>8.6999999999999993</v>
      </c>
      <c r="F250" s="1">
        <v>19.5</v>
      </c>
      <c r="G250" s="1">
        <f t="shared" si="40"/>
        <v>1889.6999999999994</v>
      </c>
      <c r="H250" s="1">
        <f t="shared" si="45"/>
        <v>39.1</v>
      </c>
      <c r="I250" s="31" t="s">
        <v>6</v>
      </c>
      <c r="J250" s="1">
        <v>0</v>
      </c>
      <c r="K250" s="1">
        <f t="shared" si="41"/>
        <v>489.3</v>
      </c>
      <c r="L250" s="1">
        <v>2</v>
      </c>
      <c r="M250" s="1">
        <f t="shared" si="42"/>
        <v>227.39999999999995</v>
      </c>
      <c r="N250" s="5">
        <f t="shared" si="39"/>
        <v>-2</v>
      </c>
      <c r="O250" s="1">
        <v>92.999999999999972</v>
      </c>
      <c r="P250" s="1">
        <v>211</v>
      </c>
      <c r="Q250" s="1">
        <v>1.1499999999999999</v>
      </c>
      <c r="R250" s="9">
        <f t="shared" si="36"/>
        <v>2.2999999999999998</v>
      </c>
      <c r="S250" s="9">
        <f t="shared" si="37"/>
        <v>-2.2999999999999998</v>
      </c>
      <c r="T250" s="9">
        <f t="shared" si="44"/>
        <v>85.390561224489815</v>
      </c>
      <c r="U250" s="31" t="s">
        <v>7</v>
      </c>
      <c r="V250" s="1">
        <v>1110.7</v>
      </c>
      <c r="W250" s="1">
        <f t="shared" si="38"/>
        <v>76.075342465753437</v>
      </c>
      <c r="X250" s="1">
        <f t="shared" si="43"/>
        <v>124687.3</v>
      </c>
      <c r="Y250" s="1">
        <f t="shared" si="46"/>
        <v>3985.5</v>
      </c>
      <c r="Z250" s="31" t="s">
        <v>8</v>
      </c>
      <c r="AA250" s="1">
        <v>12.8385044944861</v>
      </c>
    </row>
    <row r="251" spans="1:30" s="1" customFormat="1" x14ac:dyDescent="0.25">
      <c r="A251" s="30"/>
      <c r="B251" s="2"/>
      <c r="C251" s="3">
        <v>41732</v>
      </c>
      <c r="D251" s="1">
        <v>13.2</v>
      </c>
      <c r="E251" s="1">
        <v>11.9</v>
      </c>
      <c r="F251" s="1">
        <v>15</v>
      </c>
      <c r="G251" s="1">
        <f t="shared" si="40"/>
        <v>1902.8999999999994</v>
      </c>
      <c r="H251" s="1">
        <f t="shared" si="45"/>
        <v>52.3</v>
      </c>
      <c r="I251" s="1">
        <f>MAX(E248:E268)</f>
        <v>12.5</v>
      </c>
      <c r="J251" s="1">
        <v>5.5</v>
      </c>
      <c r="K251" s="1">
        <f t="shared" si="41"/>
        <v>494.8</v>
      </c>
      <c r="L251" s="1">
        <v>0.9</v>
      </c>
      <c r="M251" s="1">
        <f t="shared" si="42"/>
        <v>228.29999999999995</v>
      </c>
      <c r="N251" s="1">
        <f t="shared" si="39"/>
        <v>4.5999999999999996</v>
      </c>
      <c r="O251" s="1">
        <v>97.599999999999966</v>
      </c>
      <c r="P251" s="1">
        <v>212</v>
      </c>
      <c r="Q251" s="1">
        <v>1.1499999999999999</v>
      </c>
      <c r="R251" s="9">
        <f t="shared" si="36"/>
        <v>1.0349999999999999</v>
      </c>
      <c r="S251" s="9">
        <f t="shared" si="37"/>
        <v>4.4649999999999999</v>
      </c>
      <c r="T251" s="9">
        <f t="shared" si="44"/>
        <v>89.855561224489819</v>
      </c>
      <c r="U251" s="1">
        <v>0</v>
      </c>
      <c r="V251" s="10">
        <v>444.2</v>
      </c>
      <c r="W251" s="1">
        <f t="shared" si="38"/>
        <v>33.651515151515156</v>
      </c>
      <c r="X251" s="1">
        <f t="shared" si="43"/>
        <v>125131.5</v>
      </c>
      <c r="Y251" s="1">
        <f t="shared" si="46"/>
        <v>4429.7</v>
      </c>
      <c r="Z251" s="11">
        <f>(Z249/100)/I261</f>
        <v>1.2893883415435141</v>
      </c>
      <c r="AA251" s="1">
        <v>12.8952662047489</v>
      </c>
    </row>
    <row r="252" spans="1:30" s="1" customFormat="1" x14ac:dyDescent="0.25">
      <c r="A252" s="30" t="s">
        <v>23</v>
      </c>
      <c r="B252" s="2"/>
      <c r="C252" s="3">
        <v>41733</v>
      </c>
      <c r="D252" s="1">
        <v>11.4</v>
      </c>
      <c r="E252" s="1">
        <v>11</v>
      </c>
      <c r="F252" s="1">
        <v>12.9</v>
      </c>
      <c r="G252" s="1">
        <f t="shared" si="40"/>
        <v>1914.2999999999995</v>
      </c>
      <c r="H252" s="1">
        <f t="shared" si="45"/>
        <v>63.699999999999996</v>
      </c>
      <c r="I252" s="31" t="s">
        <v>9</v>
      </c>
      <c r="J252" s="1">
        <v>0.4</v>
      </c>
      <c r="K252" s="1">
        <f t="shared" si="41"/>
        <v>495.2</v>
      </c>
      <c r="L252" s="1">
        <v>0.9</v>
      </c>
      <c r="M252" s="1">
        <f t="shared" si="42"/>
        <v>229.19999999999996</v>
      </c>
      <c r="N252" s="5">
        <f t="shared" si="39"/>
        <v>-0.5</v>
      </c>
      <c r="O252" s="1">
        <v>97.099999999999966</v>
      </c>
      <c r="P252" s="1">
        <v>213</v>
      </c>
      <c r="Q252" s="1">
        <v>1.1499999999999999</v>
      </c>
      <c r="R252" s="9">
        <f t="shared" si="36"/>
        <v>1.0349999999999999</v>
      </c>
      <c r="S252" s="9">
        <f t="shared" si="37"/>
        <v>-0.6349999999999999</v>
      </c>
      <c r="T252" s="9">
        <f t="shared" si="44"/>
        <v>89.220561224489813</v>
      </c>
      <c r="U252" s="31" t="s">
        <v>10</v>
      </c>
      <c r="V252" s="10">
        <v>639</v>
      </c>
      <c r="W252" s="1">
        <f t="shared" si="38"/>
        <v>56.05263157894737</v>
      </c>
      <c r="X252" s="1">
        <f t="shared" si="43"/>
        <v>125770.5</v>
      </c>
      <c r="Y252" s="1">
        <f t="shared" si="46"/>
        <v>5068.7</v>
      </c>
      <c r="Z252" s="31" t="s">
        <v>11</v>
      </c>
      <c r="AA252" s="1">
        <v>12.951933055944499</v>
      </c>
    </row>
    <row r="253" spans="1:30" s="1" customFormat="1" x14ac:dyDescent="0.25">
      <c r="A253" s="30"/>
      <c r="B253" s="2"/>
      <c r="C253" s="3">
        <v>41734</v>
      </c>
      <c r="D253" s="1">
        <v>11.6</v>
      </c>
      <c r="E253" s="12">
        <v>4.7</v>
      </c>
      <c r="F253" s="1">
        <v>16.100000000000001</v>
      </c>
      <c r="G253" s="1">
        <f t="shared" si="40"/>
        <v>1925.8999999999994</v>
      </c>
      <c r="H253" s="1">
        <f t="shared" si="45"/>
        <v>75.3</v>
      </c>
      <c r="I253" s="9">
        <f>AVERAGE(D248:D268)</f>
        <v>11.6</v>
      </c>
      <c r="J253" s="1">
        <v>0</v>
      </c>
      <c r="K253" s="1">
        <f t="shared" si="41"/>
        <v>495.2</v>
      </c>
      <c r="L253" s="1">
        <v>2</v>
      </c>
      <c r="M253" s="1">
        <f t="shared" si="42"/>
        <v>231.19999999999996</v>
      </c>
      <c r="N253" s="5">
        <f t="shared" si="39"/>
        <v>-2</v>
      </c>
      <c r="O253" s="1">
        <v>95.099999999999966</v>
      </c>
      <c r="P253" s="1">
        <v>214</v>
      </c>
      <c r="Q253" s="1">
        <v>1.1499999999999999</v>
      </c>
      <c r="R253" s="9">
        <f t="shared" si="36"/>
        <v>2.2999999999999998</v>
      </c>
      <c r="S253" s="9">
        <f t="shared" si="37"/>
        <v>-2.2999999999999998</v>
      </c>
      <c r="T253" s="9">
        <f t="shared" si="44"/>
        <v>86.920561224489816</v>
      </c>
      <c r="U253" s="1">
        <v>3</v>
      </c>
      <c r="V253" s="1">
        <v>1340.8</v>
      </c>
      <c r="W253" s="1">
        <f t="shared" si="38"/>
        <v>115.58620689655173</v>
      </c>
      <c r="X253" s="1">
        <f t="shared" si="43"/>
        <v>127111.3</v>
      </c>
      <c r="Y253" s="1">
        <f t="shared" si="46"/>
        <v>6409.5</v>
      </c>
      <c r="Z253" s="1">
        <v>3</v>
      </c>
      <c r="AA253" s="1">
        <v>13.008497978933301</v>
      </c>
    </row>
    <row r="254" spans="1:30" s="23" customFormat="1" x14ac:dyDescent="0.25">
      <c r="A254" s="32"/>
      <c r="C254" s="33">
        <v>41735</v>
      </c>
      <c r="D254" s="23">
        <v>14.2</v>
      </c>
      <c r="E254" s="23">
        <v>12.5</v>
      </c>
      <c r="F254" s="23">
        <v>17.2</v>
      </c>
      <c r="G254" s="23">
        <f t="shared" si="40"/>
        <v>1940.0999999999995</v>
      </c>
      <c r="H254" s="23">
        <f t="shared" si="45"/>
        <v>89.5</v>
      </c>
      <c r="I254" s="31" t="s">
        <v>12</v>
      </c>
      <c r="J254" s="23">
        <v>0.2</v>
      </c>
      <c r="K254" s="23">
        <f t="shared" si="41"/>
        <v>495.4</v>
      </c>
      <c r="L254" s="23">
        <v>0.7</v>
      </c>
      <c r="M254" s="23">
        <f t="shared" si="42"/>
        <v>231.89999999999995</v>
      </c>
      <c r="N254" s="23">
        <f t="shared" si="39"/>
        <v>-0.49999999999999994</v>
      </c>
      <c r="O254" s="23">
        <v>94.599999999999966</v>
      </c>
      <c r="P254" s="23">
        <v>215</v>
      </c>
      <c r="Q254" s="1">
        <v>1.1499999999999999</v>
      </c>
      <c r="R254" s="26">
        <f t="shared" si="36"/>
        <v>0.80499999999999994</v>
      </c>
      <c r="S254" s="26">
        <f t="shared" si="37"/>
        <v>-0.60499999999999998</v>
      </c>
      <c r="T254" s="9">
        <f t="shared" si="44"/>
        <v>86.315561224489812</v>
      </c>
      <c r="U254" s="31" t="s">
        <v>13</v>
      </c>
      <c r="V254" s="23">
        <v>447.3</v>
      </c>
      <c r="W254" s="23">
        <f t="shared" si="38"/>
        <v>31.500000000000004</v>
      </c>
      <c r="X254" s="23">
        <f t="shared" si="43"/>
        <v>127558.6</v>
      </c>
      <c r="Y254" s="1">
        <f t="shared" si="46"/>
        <v>6856.8</v>
      </c>
      <c r="AA254" s="1">
        <v>13.064953704295</v>
      </c>
    </row>
    <row r="255" spans="1:30" s="1" customFormat="1" ht="15" customHeight="1" x14ac:dyDescent="0.25">
      <c r="A255" s="30"/>
      <c r="B255" s="2"/>
      <c r="C255" s="3">
        <v>41736</v>
      </c>
      <c r="D255" s="1">
        <v>15.4</v>
      </c>
      <c r="E255" s="1">
        <v>9.9</v>
      </c>
      <c r="F255" s="1">
        <v>22</v>
      </c>
      <c r="G255" s="1">
        <f t="shared" si="40"/>
        <v>1955.4999999999995</v>
      </c>
      <c r="H255" s="1">
        <f t="shared" si="45"/>
        <v>104.9</v>
      </c>
      <c r="I255" s="1">
        <v>0</v>
      </c>
      <c r="J255" s="1">
        <v>0</v>
      </c>
      <c r="K255" s="1">
        <f t="shared" si="41"/>
        <v>495.4</v>
      </c>
      <c r="L255" s="1">
        <v>3.2</v>
      </c>
      <c r="M255" s="1">
        <f t="shared" si="42"/>
        <v>235.09999999999994</v>
      </c>
      <c r="N255" s="5">
        <f t="shared" si="39"/>
        <v>-3.2</v>
      </c>
      <c r="O255" s="1">
        <v>91.399999999999963</v>
      </c>
      <c r="P255" s="1">
        <v>216</v>
      </c>
      <c r="Q255" s="1">
        <v>1.1499999999999999</v>
      </c>
      <c r="R255" s="9">
        <f t="shared" si="36"/>
        <v>3.6799999999999997</v>
      </c>
      <c r="S255" s="9">
        <f t="shared" si="37"/>
        <v>-3.6799999999999997</v>
      </c>
      <c r="T255" s="9">
        <f t="shared" si="44"/>
        <v>82.635561224489805</v>
      </c>
      <c r="U255" s="9">
        <f>MIN(T248:T268)</f>
        <v>41.645561224489811</v>
      </c>
      <c r="V255" s="1">
        <v>1620.1</v>
      </c>
      <c r="W255" s="1">
        <f t="shared" si="38"/>
        <v>105.2012987012987</v>
      </c>
      <c r="X255" s="1">
        <f t="shared" si="43"/>
        <v>129178.70000000001</v>
      </c>
      <c r="Y255" s="1">
        <f t="shared" si="46"/>
        <v>8476.9</v>
      </c>
      <c r="AA255" s="1">
        <v>13.121292746693801</v>
      </c>
    </row>
    <row r="256" spans="1:30" s="1" customFormat="1" x14ac:dyDescent="0.25">
      <c r="A256" s="30"/>
      <c r="B256" s="2"/>
      <c r="C256" s="3">
        <v>41737</v>
      </c>
      <c r="D256" s="1">
        <v>9.8000000000000007</v>
      </c>
      <c r="E256" s="1">
        <v>7.1</v>
      </c>
      <c r="F256" s="1">
        <v>12.7</v>
      </c>
      <c r="G256" s="1">
        <f t="shared" si="40"/>
        <v>1965.2999999999995</v>
      </c>
      <c r="H256" s="1">
        <f t="shared" si="45"/>
        <v>114.7</v>
      </c>
      <c r="I256" s="31" t="s">
        <v>14</v>
      </c>
      <c r="J256" s="1">
        <v>0</v>
      </c>
      <c r="K256" s="1">
        <f t="shared" si="41"/>
        <v>495.4</v>
      </c>
      <c r="L256" s="1">
        <v>1.8</v>
      </c>
      <c r="M256" s="1">
        <f t="shared" si="42"/>
        <v>236.89999999999995</v>
      </c>
      <c r="N256" s="5">
        <f t="shared" si="39"/>
        <v>-1.8</v>
      </c>
      <c r="O256" s="1">
        <v>89.599999999999966</v>
      </c>
      <c r="P256" s="1">
        <v>217</v>
      </c>
      <c r="Q256" s="1">
        <v>1.1499999999999999</v>
      </c>
      <c r="R256" s="9">
        <f t="shared" si="36"/>
        <v>2.0699999999999998</v>
      </c>
      <c r="S256" s="9">
        <f t="shared" si="37"/>
        <v>-2.0699999999999998</v>
      </c>
      <c r="T256" s="9">
        <f t="shared" si="44"/>
        <v>80.565561224489812</v>
      </c>
      <c r="U256" s="31" t="s">
        <v>15</v>
      </c>
      <c r="V256" s="1">
        <v>1094.5999999999999</v>
      </c>
      <c r="W256" s="1">
        <f t="shared" si="38"/>
        <v>111.69387755102039</v>
      </c>
      <c r="X256" s="1">
        <f t="shared" si="43"/>
        <v>130273.30000000002</v>
      </c>
      <c r="Y256" s="1">
        <f t="shared" si="46"/>
        <v>9571.5</v>
      </c>
      <c r="AA256" s="1">
        <v>13.1775073893659</v>
      </c>
    </row>
    <row r="257" spans="1:27" s="1" customFormat="1" x14ac:dyDescent="0.25">
      <c r="A257" s="30"/>
      <c r="B257" s="2"/>
      <c r="C257" s="3">
        <v>41738</v>
      </c>
      <c r="D257" s="1">
        <v>8.9</v>
      </c>
      <c r="E257" s="12">
        <v>1.9</v>
      </c>
      <c r="F257" s="1">
        <v>14.3</v>
      </c>
      <c r="G257" s="1">
        <f t="shared" si="40"/>
        <v>1974.1999999999996</v>
      </c>
      <c r="H257" s="1">
        <f t="shared" si="45"/>
        <v>123.60000000000001</v>
      </c>
      <c r="I257" s="1">
        <v>0</v>
      </c>
      <c r="J257" s="1">
        <v>0</v>
      </c>
      <c r="K257" s="1">
        <f t="shared" si="41"/>
        <v>495.4</v>
      </c>
      <c r="L257" s="1">
        <v>2.7</v>
      </c>
      <c r="M257" s="1">
        <f t="shared" si="42"/>
        <v>239.59999999999994</v>
      </c>
      <c r="N257" s="5">
        <f t="shared" si="39"/>
        <v>-2.7</v>
      </c>
      <c r="O257" s="1">
        <v>86.899999999999963</v>
      </c>
      <c r="P257" s="1">
        <v>218</v>
      </c>
      <c r="Q257" s="1">
        <v>1.1499999999999999</v>
      </c>
      <c r="R257" s="9">
        <f t="shared" si="36"/>
        <v>3.105</v>
      </c>
      <c r="S257" s="9">
        <f t="shared" si="37"/>
        <v>-3.105</v>
      </c>
      <c r="T257" s="9">
        <f t="shared" si="44"/>
        <v>77.460561224489808</v>
      </c>
      <c r="U257" s="9">
        <f>MAX(T248:T268)</f>
        <v>90.335561224489808</v>
      </c>
      <c r="V257" s="1">
        <v>2078.6999999999998</v>
      </c>
      <c r="W257" s="1">
        <f t="shared" si="38"/>
        <v>233.56179775280896</v>
      </c>
      <c r="X257" s="1">
        <f t="shared" si="43"/>
        <v>132352.00000000003</v>
      </c>
      <c r="Y257" s="1">
        <f t="shared" si="46"/>
        <v>11650.2</v>
      </c>
      <c r="AA257" s="1">
        <v>13.2335896687428</v>
      </c>
    </row>
    <row r="258" spans="1:27" s="1" customFormat="1" x14ac:dyDescent="0.25">
      <c r="A258" s="30"/>
      <c r="B258" s="2"/>
      <c r="C258" s="3">
        <v>41739</v>
      </c>
      <c r="D258" s="1">
        <v>12.3</v>
      </c>
      <c r="E258" s="1">
        <v>5.0999999999999996</v>
      </c>
      <c r="F258" s="1">
        <v>18.7</v>
      </c>
      <c r="G258" s="1">
        <f t="shared" si="40"/>
        <v>1986.4999999999995</v>
      </c>
      <c r="H258" s="1">
        <f t="shared" si="45"/>
        <v>135.9</v>
      </c>
      <c r="I258" s="31" t="s">
        <v>16</v>
      </c>
      <c r="J258" s="1">
        <v>0</v>
      </c>
      <c r="K258" s="1">
        <f t="shared" si="41"/>
        <v>495.4</v>
      </c>
      <c r="L258" s="1">
        <v>3.4</v>
      </c>
      <c r="M258" s="1">
        <f t="shared" si="42"/>
        <v>242.99999999999994</v>
      </c>
      <c r="N258" s="5">
        <f t="shared" si="39"/>
        <v>-3.4</v>
      </c>
      <c r="O258" s="1">
        <v>83.499999999999957</v>
      </c>
      <c r="P258" s="1">
        <v>219</v>
      </c>
      <c r="Q258" s="1">
        <v>1.1499999999999999</v>
      </c>
      <c r="R258" s="9">
        <f t="shared" si="36"/>
        <v>3.9099999999999997</v>
      </c>
      <c r="S258" s="9">
        <f t="shared" si="37"/>
        <v>-3.9099999999999997</v>
      </c>
      <c r="T258" s="9">
        <f t="shared" si="44"/>
        <v>73.550561224489812</v>
      </c>
      <c r="U258" s="31" t="s">
        <v>17</v>
      </c>
      <c r="V258" s="1">
        <v>2057.6</v>
      </c>
      <c r="W258" s="1">
        <f t="shared" si="38"/>
        <v>167.28455284552845</v>
      </c>
      <c r="X258" s="1">
        <f t="shared" si="43"/>
        <v>134409.60000000003</v>
      </c>
      <c r="Y258" s="1">
        <f t="shared" si="46"/>
        <v>13707.800000000001</v>
      </c>
      <c r="AA258" s="1">
        <v>13.289531359225199</v>
      </c>
    </row>
    <row r="259" spans="1:27" s="1" customFormat="1" x14ac:dyDescent="0.25">
      <c r="A259" s="30"/>
      <c r="B259" s="2"/>
      <c r="C259" s="3">
        <v>41740</v>
      </c>
      <c r="D259" s="1">
        <v>12.1</v>
      </c>
      <c r="E259" s="1">
        <v>7.6</v>
      </c>
      <c r="F259" s="1">
        <v>16.7</v>
      </c>
      <c r="G259" s="1">
        <f t="shared" si="40"/>
        <v>1998.5999999999995</v>
      </c>
      <c r="H259" s="1">
        <f t="shared" si="45"/>
        <v>148</v>
      </c>
      <c r="I259" s="1">
        <v>8</v>
      </c>
      <c r="J259" s="1">
        <v>0</v>
      </c>
      <c r="K259" s="1">
        <f t="shared" si="41"/>
        <v>495.4</v>
      </c>
      <c r="L259" s="1">
        <v>1.5</v>
      </c>
      <c r="M259" s="1">
        <f t="shared" si="42"/>
        <v>244.49999999999994</v>
      </c>
      <c r="N259" s="5">
        <f t="shared" si="39"/>
        <v>-1.5</v>
      </c>
      <c r="O259" s="1">
        <v>81.999999999999957</v>
      </c>
      <c r="P259" s="1">
        <v>220</v>
      </c>
      <c r="Q259" s="1">
        <v>1.1499999999999999</v>
      </c>
      <c r="R259" s="9">
        <f t="shared" si="36"/>
        <v>1.7249999999999999</v>
      </c>
      <c r="S259" s="9">
        <f t="shared" si="37"/>
        <v>-1.7249999999999999</v>
      </c>
      <c r="T259" s="9">
        <f t="shared" si="44"/>
        <v>71.825561224489817</v>
      </c>
      <c r="U259" s="11">
        <f>AVERAGE(T248:T268)</f>
        <v>71.062942176870749</v>
      </c>
      <c r="V259" s="10">
        <v>663.8</v>
      </c>
      <c r="W259" s="1">
        <f t="shared" si="38"/>
        <v>54.8595041322314</v>
      </c>
      <c r="X259" s="1">
        <f t="shared" si="43"/>
        <v>135073.40000000002</v>
      </c>
      <c r="Y259" s="1">
        <f t="shared" si="46"/>
        <v>14371.6</v>
      </c>
      <c r="AA259" s="1">
        <v>13.345323958124199</v>
      </c>
    </row>
    <row r="260" spans="1:27" s="1" customFormat="1" x14ac:dyDescent="0.25">
      <c r="A260" s="30"/>
      <c r="B260" s="2"/>
      <c r="C260" s="3">
        <v>41741</v>
      </c>
      <c r="D260" s="1">
        <v>11.9</v>
      </c>
      <c r="E260" s="1">
        <v>5.4</v>
      </c>
      <c r="F260" s="1">
        <v>17.100000000000001</v>
      </c>
      <c r="G260" s="1">
        <f t="shared" si="40"/>
        <v>2010.4999999999995</v>
      </c>
      <c r="H260" s="1">
        <f t="shared" si="45"/>
        <v>159.9</v>
      </c>
      <c r="I260" s="31" t="s">
        <v>18</v>
      </c>
      <c r="J260" s="1">
        <v>0</v>
      </c>
      <c r="K260" s="1">
        <f t="shared" si="41"/>
        <v>495.4</v>
      </c>
      <c r="L260" s="1">
        <v>2.7</v>
      </c>
      <c r="M260" s="1">
        <f t="shared" si="42"/>
        <v>247.19999999999993</v>
      </c>
      <c r="N260" s="5">
        <f t="shared" si="39"/>
        <v>-2.7</v>
      </c>
      <c r="O260" s="1">
        <v>79.299999999999955</v>
      </c>
      <c r="P260" s="1">
        <v>221</v>
      </c>
      <c r="Q260" s="1">
        <v>1.1499999999999999</v>
      </c>
      <c r="R260" s="9">
        <f t="shared" si="36"/>
        <v>3.105</v>
      </c>
      <c r="S260" s="9">
        <f t="shared" si="37"/>
        <v>-3.105</v>
      </c>
      <c r="T260" s="9">
        <f t="shared" si="44"/>
        <v>68.720561224489813</v>
      </c>
      <c r="V260" s="1">
        <v>1727.1</v>
      </c>
      <c r="W260" s="1">
        <f t="shared" si="38"/>
        <v>145.1344537815126</v>
      </c>
      <c r="X260" s="1">
        <f t="shared" si="43"/>
        <v>136800.50000000003</v>
      </c>
      <c r="Y260" s="1">
        <f t="shared" si="46"/>
        <v>16098.7</v>
      </c>
      <c r="AA260" s="1">
        <v>13.400958670790301</v>
      </c>
    </row>
    <row r="261" spans="1:27" s="1" customFormat="1" x14ac:dyDescent="0.25">
      <c r="A261" s="30"/>
      <c r="B261" s="2"/>
      <c r="C261" s="3">
        <v>41742</v>
      </c>
      <c r="D261" s="1">
        <v>10.6</v>
      </c>
      <c r="E261" s="1">
        <v>6.2</v>
      </c>
      <c r="F261" s="1">
        <v>14.9</v>
      </c>
      <c r="G261" s="1">
        <f t="shared" si="40"/>
        <v>2021.0999999999995</v>
      </c>
      <c r="H261" s="1">
        <f t="shared" si="45"/>
        <v>170.5</v>
      </c>
      <c r="I261" s="1">
        <v>243.6</v>
      </c>
      <c r="J261" s="1">
        <v>0</v>
      </c>
      <c r="K261" s="1">
        <f t="shared" si="41"/>
        <v>495.4</v>
      </c>
      <c r="L261" s="1">
        <v>2.2000000000000002</v>
      </c>
      <c r="M261" s="1">
        <f t="shared" si="42"/>
        <v>249.39999999999992</v>
      </c>
      <c r="N261" s="5">
        <f t="shared" si="39"/>
        <v>-2.2000000000000002</v>
      </c>
      <c r="O261" s="1">
        <v>77.099999999999952</v>
      </c>
      <c r="P261" s="1">
        <v>222</v>
      </c>
      <c r="Q261" s="1">
        <v>1.1499999999999999</v>
      </c>
      <c r="R261" s="9">
        <f t="shared" si="36"/>
        <v>2.5299999999999998</v>
      </c>
      <c r="S261" s="9">
        <f t="shared" si="37"/>
        <v>-2.5299999999999998</v>
      </c>
      <c r="T261" s="9">
        <f t="shared" si="44"/>
        <v>66.190561224489812</v>
      </c>
      <c r="U261" s="9">
        <f>(U259*100)/138.9</f>
        <v>51.161225469309393</v>
      </c>
      <c r="V261" s="1">
        <v>1392.9</v>
      </c>
      <c r="W261" s="1">
        <f t="shared" si="38"/>
        <v>131.40566037735852</v>
      </c>
      <c r="X261" s="1">
        <f t="shared" si="43"/>
        <v>138193.40000000002</v>
      </c>
      <c r="Y261" s="1">
        <f t="shared" si="46"/>
        <v>17491.600000000002</v>
      </c>
      <c r="AA261" s="1">
        <v>13.456426395952001</v>
      </c>
    </row>
    <row r="262" spans="1:27" s="1" customFormat="1" x14ac:dyDescent="0.25">
      <c r="A262" s="30"/>
      <c r="B262" s="2"/>
      <c r="C262" s="3">
        <v>41743</v>
      </c>
      <c r="D262" s="1">
        <v>10.4</v>
      </c>
      <c r="E262" s="12">
        <v>3.5</v>
      </c>
      <c r="F262" s="1">
        <v>15.8</v>
      </c>
      <c r="G262" s="1">
        <f t="shared" si="40"/>
        <v>2031.4999999999995</v>
      </c>
      <c r="H262" s="1">
        <f t="shared" si="45"/>
        <v>180.9</v>
      </c>
      <c r="J262" s="1">
        <v>0</v>
      </c>
      <c r="K262" s="1">
        <f t="shared" si="41"/>
        <v>495.4</v>
      </c>
      <c r="L262" s="1">
        <v>3</v>
      </c>
      <c r="M262" s="1">
        <f t="shared" si="42"/>
        <v>252.39999999999992</v>
      </c>
      <c r="N262" s="5">
        <f t="shared" si="39"/>
        <v>-3</v>
      </c>
      <c r="O262" s="1">
        <v>74.099999999999952</v>
      </c>
      <c r="P262" s="1">
        <v>223</v>
      </c>
      <c r="Q262" s="1">
        <v>1.1499999999999999</v>
      </c>
      <c r="R262" s="9">
        <f t="shared" si="36"/>
        <v>3.4499999999999997</v>
      </c>
      <c r="S262" s="9">
        <f t="shared" si="37"/>
        <v>-3.4499999999999997</v>
      </c>
      <c r="T262" s="9">
        <f t="shared" si="44"/>
        <v>62.740561224489809</v>
      </c>
      <c r="V262" s="1">
        <v>2185.6</v>
      </c>
      <c r="W262" s="1">
        <f t="shared" si="38"/>
        <v>210.15384615384613</v>
      </c>
      <c r="X262" s="1">
        <f t="shared" si="43"/>
        <v>140379.00000000003</v>
      </c>
      <c r="Y262" s="1">
        <f t="shared" si="46"/>
        <v>19677.2</v>
      </c>
      <c r="AA262" s="1">
        <v>13.5117177112891</v>
      </c>
    </row>
    <row r="263" spans="1:27" s="1" customFormat="1" x14ac:dyDescent="0.25">
      <c r="A263" s="30"/>
      <c r="B263" s="2"/>
      <c r="C263" s="3">
        <v>41744</v>
      </c>
      <c r="D263" s="1">
        <v>9.5</v>
      </c>
      <c r="E263" s="12">
        <v>4.9000000000000004</v>
      </c>
      <c r="F263" s="1">
        <v>13.6</v>
      </c>
      <c r="G263" s="1">
        <f t="shared" si="40"/>
        <v>2040.9999999999995</v>
      </c>
      <c r="H263" s="1">
        <f t="shared" si="45"/>
        <v>190.4</v>
      </c>
      <c r="J263" s="1">
        <v>0</v>
      </c>
      <c r="K263" s="1">
        <f t="shared" si="41"/>
        <v>495.4</v>
      </c>
      <c r="L263" s="1">
        <v>3.8</v>
      </c>
      <c r="M263" s="1">
        <f t="shared" si="42"/>
        <v>256.19999999999993</v>
      </c>
      <c r="N263" s="5">
        <f t="shared" si="39"/>
        <v>-3.8</v>
      </c>
      <c r="O263" s="1">
        <v>70.299999999999955</v>
      </c>
      <c r="P263" s="1">
        <v>224</v>
      </c>
      <c r="Q263" s="1">
        <v>1.1499999999999999</v>
      </c>
      <c r="R263" s="9">
        <f t="shared" si="36"/>
        <v>4.3699999999999992</v>
      </c>
      <c r="S263" s="9">
        <f t="shared" si="37"/>
        <v>-4.3699999999999992</v>
      </c>
      <c r="T263" s="9">
        <f t="shared" si="44"/>
        <v>58.370561224489812</v>
      </c>
      <c r="V263" s="1">
        <v>2466.6999999999998</v>
      </c>
      <c r="W263" s="1">
        <f t="shared" si="38"/>
        <v>259.65263157894736</v>
      </c>
      <c r="X263" s="1">
        <f t="shared" si="43"/>
        <v>142845.70000000004</v>
      </c>
      <c r="Y263" s="1">
        <f t="shared" si="46"/>
        <v>22143.9</v>
      </c>
      <c r="AA263" s="1">
        <v>13.5668228592686</v>
      </c>
    </row>
    <row r="264" spans="1:27" s="1" customFormat="1" x14ac:dyDescent="0.25">
      <c r="A264" s="30"/>
      <c r="B264" s="2"/>
      <c r="C264" s="3">
        <v>41745</v>
      </c>
      <c r="D264" s="1">
        <v>10.1</v>
      </c>
      <c r="E264" s="12">
        <v>3.9</v>
      </c>
      <c r="F264" s="1">
        <v>15.4</v>
      </c>
      <c r="G264" s="1">
        <f t="shared" si="40"/>
        <v>2051.0999999999995</v>
      </c>
      <c r="H264" s="1">
        <f t="shared" si="45"/>
        <v>200.5</v>
      </c>
      <c r="J264" s="1">
        <v>0</v>
      </c>
      <c r="K264" s="1">
        <f t="shared" si="41"/>
        <v>495.4</v>
      </c>
      <c r="L264" s="1">
        <v>4.0999999999999996</v>
      </c>
      <c r="M264" s="1">
        <f t="shared" si="42"/>
        <v>260.29999999999995</v>
      </c>
      <c r="N264" s="5">
        <f t="shared" si="39"/>
        <v>-4.0999999999999996</v>
      </c>
      <c r="O264" s="1">
        <v>66.19999999999996</v>
      </c>
      <c r="P264" s="1">
        <v>225</v>
      </c>
      <c r="Q264" s="1">
        <v>1.1499999999999999</v>
      </c>
      <c r="R264" s="9">
        <f t="shared" si="36"/>
        <v>4.714999999999999</v>
      </c>
      <c r="S264" s="9">
        <f t="shared" si="37"/>
        <v>-4.714999999999999</v>
      </c>
      <c r="T264" s="9">
        <f t="shared" si="44"/>
        <v>53.655561224489816</v>
      </c>
      <c r="V264" s="1">
        <v>2557.1999999999998</v>
      </c>
      <c r="W264" s="1">
        <f t="shared" si="38"/>
        <v>253.18811881188117</v>
      </c>
      <c r="X264" s="1">
        <f t="shared" si="43"/>
        <v>145402.90000000005</v>
      </c>
      <c r="Y264" s="1">
        <f t="shared" si="46"/>
        <v>24701.100000000002</v>
      </c>
      <c r="AA264" s="1">
        <v>13.621731733275899</v>
      </c>
    </row>
    <row r="265" spans="1:27" s="1" customFormat="1" x14ac:dyDescent="0.25">
      <c r="A265" s="30"/>
      <c r="B265" s="2"/>
      <c r="C265" s="3">
        <v>41746</v>
      </c>
      <c r="D265" s="1">
        <v>12</v>
      </c>
      <c r="E265" s="12">
        <v>3.8</v>
      </c>
      <c r="F265" s="1">
        <v>18.2</v>
      </c>
      <c r="G265" s="1">
        <f t="shared" si="40"/>
        <v>2063.0999999999995</v>
      </c>
      <c r="H265" s="1">
        <f t="shared" si="45"/>
        <v>212.5</v>
      </c>
      <c r="J265" s="1">
        <v>0</v>
      </c>
      <c r="K265" s="1">
        <f t="shared" si="41"/>
        <v>495.4</v>
      </c>
      <c r="L265" s="1">
        <v>3.6</v>
      </c>
      <c r="M265" s="1">
        <f t="shared" si="42"/>
        <v>263.89999999999998</v>
      </c>
      <c r="N265" s="5">
        <f t="shared" si="39"/>
        <v>-3.6</v>
      </c>
      <c r="O265" s="1">
        <v>62.599999999999959</v>
      </c>
      <c r="P265" s="1">
        <v>226</v>
      </c>
      <c r="Q265" s="1">
        <v>1.1499999999999999</v>
      </c>
      <c r="R265" s="9">
        <f t="shared" si="36"/>
        <v>4.1399999999999997</v>
      </c>
      <c r="S265" s="9">
        <f t="shared" si="37"/>
        <v>-4.1399999999999997</v>
      </c>
      <c r="T265" s="9">
        <f t="shared" si="44"/>
        <v>49.515561224489815</v>
      </c>
      <c r="V265" s="1">
        <v>2302.3000000000002</v>
      </c>
      <c r="W265" s="1">
        <f t="shared" si="38"/>
        <v>191.85833333333335</v>
      </c>
      <c r="X265" s="1">
        <f t="shared" si="43"/>
        <v>147705.20000000004</v>
      </c>
      <c r="Y265" s="1">
        <f t="shared" si="46"/>
        <v>27003.4</v>
      </c>
      <c r="AA265" s="1">
        <v>13.6764338640728</v>
      </c>
    </row>
    <row r="266" spans="1:27" s="1" customFormat="1" x14ac:dyDescent="0.25">
      <c r="A266" s="30"/>
      <c r="B266" s="2"/>
      <c r="C266" s="3">
        <v>41747</v>
      </c>
      <c r="D266" s="1">
        <v>11.4</v>
      </c>
      <c r="E266" s="1">
        <v>9.1</v>
      </c>
      <c r="F266" s="1">
        <v>15.8</v>
      </c>
      <c r="G266" s="1">
        <f t="shared" si="40"/>
        <v>2074.4999999999995</v>
      </c>
      <c r="H266" s="1">
        <f t="shared" si="45"/>
        <v>223.9</v>
      </c>
      <c r="J266" s="1">
        <v>0</v>
      </c>
      <c r="K266" s="1">
        <f t="shared" si="41"/>
        <v>495.4</v>
      </c>
      <c r="L266" s="1">
        <v>2.9</v>
      </c>
      <c r="M266" s="1">
        <f t="shared" si="42"/>
        <v>266.79999999999995</v>
      </c>
      <c r="N266" s="5">
        <f t="shared" si="39"/>
        <v>-2.9</v>
      </c>
      <c r="O266" s="1">
        <v>59.69999999999996</v>
      </c>
      <c r="P266" s="1">
        <v>227</v>
      </c>
      <c r="Q266" s="1">
        <v>1.1499999999999999</v>
      </c>
      <c r="R266" s="9">
        <f t="shared" si="36"/>
        <v>3.3349999999999995</v>
      </c>
      <c r="S266" s="9">
        <f t="shared" si="37"/>
        <v>-3.3349999999999995</v>
      </c>
      <c r="T266" s="9">
        <f t="shared" si="44"/>
        <v>46.180561224489814</v>
      </c>
      <c r="V266" s="1">
        <v>1335</v>
      </c>
      <c r="W266" s="1">
        <f t="shared" si="38"/>
        <v>117.10526315789474</v>
      </c>
      <c r="X266" s="1">
        <f t="shared" si="43"/>
        <v>149040.20000000004</v>
      </c>
      <c r="Y266" s="1">
        <f t="shared" si="46"/>
        <v>28338.400000000001</v>
      </c>
      <c r="AA266" s="1">
        <v>13.7309184066232</v>
      </c>
    </row>
    <row r="267" spans="1:27" s="1" customFormat="1" x14ac:dyDescent="0.25">
      <c r="A267" s="30"/>
      <c r="B267" s="2"/>
      <c r="C267" s="3">
        <v>41748</v>
      </c>
      <c r="D267" s="1">
        <v>8.6</v>
      </c>
      <c r="E267" s="12">
        <v>3.7</v>
      </c>
      <c r="F267" s="1">
        <v>12.8</v>
      </c>
      <c r="G267" s="1">
        <f t="shared" si="40"/>
        <v>2083.0999999999995</v>
      </c>
      <c r="H267" s="1">
        <f t="shared" si="45"/>
        <v>232.5</v>
      </c>
      <c r="J267" s="1">
        <v>0</v>
      </c>
      <c r="K267" s="1">
        <f t="shared" si="41"/>
        <v>495.4</v>
      </c>
      <c r="L267" s="1">
        <v>2.2999999999999998</v>
      </c>
      <c r="M267" s="1">
        <f t="shared" si="42"/>
        <v>269.09999999999997</v>
      </c>
      <c r="N267" s="5">
        <f t="shared" si="39"/>
        <v>-2.2999999999999998</v>
      </c>
      <c r="O267" s="1">
        <v>57.399999999999963</v>
      </c>
      <c r="P267" s="1">
        <v>228</v>
      </c>
      <c r="Q267" s="1">
        <v>1.1499999999999999</v>
      </c>
      <c r="R267" s="9">
        <f t="shared" si="36"/>
        <v>2.6449999999999996</v>
      </c>
      <c r="S267" s="9">
        <f t="shared" si="37"/>
        <v>-2.6449999999999996</v>
      </c>
      <c r="T267" s="9">
        <f t="shared" si="44"/>
        <v>43.535561224489811</v>
      </c>
      <c r="V267" s="1">
        <v>1264.7</v>
      </c>
      <c r="W267" s="1">
        <f t="shared" si="38"/>
        <v>147.05813953488374</v>
      </c>
      <c r="X267" s="1">
        <f t="shared" si="43"/>
        <v>150304.90000000005</v>
      </c>
      <c r="Y267" s="1">
        <f t="shared" si="46"/>
        <v>29603.100000000002</v>
      </c>
      <c r="AA267" s="1">
        <v>13.785174127325201</v>
      </c>
    </row>
    <row r="268" spans="1:27" s="63" customFormat="1" ht="15.75" thickBot="1" x14ac:dyDescent="0.3">
      <c r="A268" s="71" t="s">
        <v>24</v>
      </c>
      <c r="B268" s="72"/>
      <c r="C268" s="66">
        <v>41749</v>
      </c>
      <c r="D268" s="63">
        <v>11.1</v>
      </c>
      <c r="E268" s="73">
        <v>3.5</v>
      </c>
      <c r="F268" s="63">
        <v>16.600000000000001</v>
      </c>
      <c r="G268" s="63">
        <f t="shared" si="40"/>
        <v>2094.1999999999994</v>
      </c>
      <c r="H268" s="63">
        <f t="shared" si="45"/>
        <v>243.6</v>
      </c>
      <c r="J268" s="63">
        <v>1.1000000000000001</v>
      </c>
      <c r="K268" s="63">
        <f t="shared" si="41"/>
        <v>496.5</v>
      </c>
      <c r="L268" s="63">
        <v>2.6</v>
      </c>
      <c r="M268" s="63">
        <f t="shared" si="42"/>
        <v>271.7</v>
      </c>
      <c r="N268" s="70">
        <f t="shared" si="39"/>
        <v>-1.5</v>
      </c>
      <c r="O268" s="63">
        <v>55.899999999999963</v>
      </c>
      <c r="P268" s="63">
        <v>229</v>
      </c>
      <c r="Q268" s="63">
        <v>1.1499999999999999</v>
      </c>
      <c r="R268" s="64">
        <f t="shared" si="36"/>
        <v>2.9899999999999998</v>
      </c>
      <c r="S268" s="64">
        <f t="shared" si="37"/>
        <v>-1.8899999999999997</v>
      </c>
      <c r="T268" s="64">
        <f t="shared" si="44"/>
        <v>41.645561224489811</v>
      </c>
      <c r="U268" s="64"/>
      <c r="V268" s="63">
        <v>1806.4</v>
      </c>
      <c r="W268" s="63">
        <f t="shared" si="38"/>
        <v>162.73873873873876</v>
      </c>
      <c r="X268" s="63">
        <f t="shared" si="43"/>
        <v>152111.30000000005</v>
      </c>
      <c r="Y268" s="63">
        <f t="shared" si="46"/>
        <v>31409.500000000004</v>
      </c>
      <c r="AA268" s="63">
        <v>13.8391893916956</v>
      </c>
    </row>
    <row r="269" spans="1:27" s="1" customFormat="1" x14ac:dyDescent="0.25">
      <c r="A269" s="82">
        <v>300</v>
      </c>
      <c r="B269" s="7"/>
      <c r="C269" s="3">
        <v>41750</v>
      </c>
      <c r="D269" s="1">
        <v>11.3</v>
      </c>
      <c r="E269" s="1">
        <v>9.6</v>
      </c>
      <c r="F269" s="1">
        <v>13.9</v>
      </c>
      <c r="G269" s="1">
        <f t="shared" si="40"/>
        <v>2105.4999999999995</v>
      </c>
      <c r="H269" s="1">
        <v>11.3</v>
      </c>
      <c r="I269" s="34" t="s">
        <v>3</v>
      </c>
      <c r="J269" s="1">
        <v>3</v>
      </c>
      <c r="K269" s="1">
        <f t="shared" si="41"/>
        <v>499.5</v>
      </c>
      <c r="L269" s="1">
        <v>0.9</v>
      </c>
      <c r="M269" s="1">
        <f t="shared" si="42"/>
        <v>272.59999999999997</v>
      </c>
      <c r="N269" s="1">
        <f t="shared" si="39"/>
        <v>2.1</v>
      </c>
      <c r="O269" s="1">
        <v>57.999999999999964</v>
      </c>
      <c r="P269" s="1">
        <v>230</v>
      </c>
      <c r="Q269" s="1">
        <v>1.1499999999999999</v>
      </c>
      <c r="R269" s="9">
        <f t="shared" si="36"/>
        <v>1.0349999999999999</v>
      </c>
      <c r="S269" s="9">
        <f t="shared" si="37"/>
        <v>1.9650000000000001</v>
      </c>
      <c r="T269" s="9">
        <f t="shared" si="44"/>
        <v>43.610561224489814</v>
      </c>
      <c r="U269" s="34" t="s">
        <v>4</v>
      </c>
      <c r="V269" s="10">
        <v>599.4</v>
      </c>
      <c r="W269" s="1">
        <f t="shared" si="38"/>
        <v>53.044247787610615</v>
      </c>
      <c r="X269" s="1">
        <f t="shared" si="43"/>
        <v>152710.70000000004</v>
      </c>
      <c r="Y269" s="1">
        <v>599.4</v>
      </c>
      <c r="Z269" s="34" t="s">
        <v>5</v>
      </c>
      <c r="AA269" s="1">
        <v>13.8929521525551</v>
      </c>
    </row>
    <row r="270" spans="1:27" s="1" customFormat="1" x14ac:dyDescent="0.25">
      <c r="A270" s="82"/>
      <c r="B270" s="7"/>
      <c r="C270" s="3">
        <v>41751</v>
      </c>
      <c r="D270" s="1">
        <v>11.9</v>
      </c>
      <c r="E270" s="1">
        <v>6.4</v>
      </c>
      <c r="F270" s="1">
        <v>17.899999999999999</v>
      </c>
      <c r="G270" s="1">
        <f t="shared" si="40"/>
        <v>2117.3999999999996</v>
      </c>
      <c r="H270" s="1">
        <f t="shared" si="45"/>
        <v>23.200000000000003</v>
      </c>
      <c r="I270" s="1">
        <f>MIN(E269:E294)</f>
        <v>4.4000000000000004</v>
      </c>
      <c r="J270" s="1">
        <v>1</v>
      </c>
      <c r="K270" s="1">
        <f t="shared" si="41"/>
        <v>500.5</v>
      </c>
      <c r="L270" s="1">
        <v>2.4</v>
      </c>
      <c r="M270" s="1">
        <f t="shared" si="42"/>
        <v>274.99999999999994</v>
      </c>
      <c r="N270" s="5">
        <f t="shared" si="39"/>
        <v>-1.4</v>
      </c>
      <c r="O270" s="1">
        <v>56.599999999999966</v>
      </c>
      <c r="P270" s="1">
        <v>231</v>
      </c>
      <c r="Q270" s="1">
        <v>1.1499999999999999</v>
      </c>
      <c r="R270" s="9">
        <f t="shared" si="36"/>
        <v>2.76</v>
      </c>
      <c r="S270" s="9">
        <f t="shared" si="37"/>
        <v>-1.7599999999999998</v>
      </c>
      <c r="T270" s="9">
        <f t="shared" si="44"/>
        <v>41.850561224489816</v>
      </c>
      <c r="U270" s="1">
        <v>15</v>
      </c>
      <c r="V270" s="1">
        <v>1502.9</v>
      </c>
      <c r="W270" s="1">
        <f t="shared" si="38"/>
        <v>126.29411764705883</v>
      </c>
      <c r="X270" s="1">
        <f t="shared" si="43"/>
        <v>154213.60000000003</v>
      </c>
      <c r="Y270" s="1">
        <f t="shared" si="46"/>
        <v>2102.3000000000002</v>
      </c>
      <c r="Z270" s="1">
        <v>33207.699999999997</v>
      </c>
      <c r="AA270" s="1">
        <v>13.946449938765401</v>
      </c>
    </row>
    <row r="271" spans="1:27" s="1" customFormat="1" x14ac:dyDescent="0.25">
      <c r="A271" s="82"/>
      <c r="B271" s="7"/>
      <c r="C271" s="3">
        <v>41752</v>
      </c>
      <c r="D271" s="1">
        <v>12.5</v>
      </c>
      <c r="E271" s="1">
        <v>6.6</v>
      </c>
      <c r="F271" s="1">
        <v>18.600000000000001</v>
      </c>
      <c r="G271" s="1">
        <f t="shared" si="40"/>
        <v>2129.8999999999996</v>
      </c>
      <c r="H271" s="1">
        <f t="shared" si="45"/>
        <v>35.700000000000003</v>
      </c>
      <c r="I271" s="34" t="s">
        <v>6</v>
      </c>
      <c r="J271" s="1">
        <v>0.6</v>
      </c>
      <c r="K271" s="1">
        <f t="shared" si="41"/>
        <v>501.1</v>
      </c>
      <c r="L271" s="1">
        <v>1.9</v>
      </c>
      <c r="M271" s="1">
        <f t="shared" si="42"/>
        <v>276.89999999999992</v>
      </c>
      <c r="N271" s="5">
        <f t="shared" si="39"/>
        <v>-1.2999999999999998</v>
      </c>
      <c r="O271" s="1">
        <v>55.299999999999969</v>
      </c>
      <c r="P271" s="1">
        <v>232</v>
      </c>
      <c r="Q271" s="1">
        <v>1.1499999999999999</v>
      </c>
      <c r="R271" s="9">
        <f t="shared" si="36"/>
        <v>2.1849999999999996</v>
      </c>
      <c r="S271" s="9">
        <f t="shared" si="37"/>
        <v>-1.5849999999999995</v>
      </c>
      <c r="T271" s="9">
        <f t="shared" si="44"/>
        <v>40.265561224489815</v>
      </c>
      <c r="U271" s="34" t="s">
        <v>7</v>
      </c>
      <c r="V271" s="1">
        <v>1170.7</v>
      </c>
      <c r="W271" s="1">
        <f t="shared" si="38"/>
        <v>93.656000000000006</v>
      </c>
      <c r="X271" s="1">
        <f t="shared" si="43"/>
        <v>155384.30000000005</v>
      </c>
      <c r="Y271" s="1">
        <f t="shared" si="46"/>
        <v>3273</v>
      </c>
      <c r="Z271" s="34" t="s">
        <v>8</v>
      </c>
      <c r="AA271" s="1">
        <v>13.999669844575299</v>
      </c>
    </row>
    <row r="272" spans="1:27" s="1" customFormat="1" x14ac:dyDescent="0.25">
      <c r="A272" s="82"/>
      <c r="B272" s="7"/>
      <c r="C272" s="3">
        <v>41753</v>
      </c>
      <c r="D272" s="1">
        <v>13.9</v>
      </c>
      <c r="E272" s="1">
        <v>8.6999999999999993</v>
      </c>
      <c r="F272" s="1">
        <v>19.3</v>
      </c>
      <c r="G272" s="1">
        <f t="shared" si="40"/>
        <v>2143.7999999999997</v>
      </c>
      <c r="H272" s="1">
        <f t="shared" si="45"/>
        <v>49.6</v>
      </c>
      <c r="I272" s="1">
        <f>MAX(F269:F294)</f>
        <v>20.399999999999999</v>
      </c>
      <c r="J272" s="1">
        <v>11.9</v>
      </c>
      <c r="K272" s="1">
        <f t="shared" si="41"/>
        <v>513</v>
      </c>
      <c r="L272" s="1">
        <v>2</v>
      </c>
      <c r="M272" s="1">
        <f t="shared" si="42"/>
        <v>278.89999999999992</v>
      </c>
      <c r="N272" s="1">
        <f t="shared" si="39"/>
        <v>9.9</v>
      </c>
      <c r="O272" s="1">
        <v>65.199999999999974</v>
      </c>
      <c r="P272" s="1">
        <v>233</v>
      </c>
      <c r="Q272" s="1">
        <v>1.1499999999999999</v>
      </c>
      <c r="R272" s="9">
        <f t="shared" si="36"/>
        <v>2.2999999999999998</v>
      </c>
      <c r="S272" s="9">
        <f t="shared" si="37"/>
        <v>9.6000000000000014</v>
      </c>
      <c r="T272" s="9">
        <f t="shared" si="44"/>
        <v>49.865561224489817</v>
      </c>
      <c r="U272" s="1">
        <v>0</v>
      </c>
      <c r="V272" s="1">
        <v>1266.5</v>
      </c>
      <c r="W272" s="1">
        <f t="shared" si="38"/>
        <v>91.115107913669064</v>
      </c>
      <c r="X272" s="1">
        <f t="shared" si="43"/>
        <v>156650.80000000005</v>
      </c>
      <c r="Y272" s="1">
        <f t="shared" si="46"/>
        <v>4539.5</v>
      </c>
      <c r="Z272" s="11">
        <f>(Z270/100)/I282</f>
        <v>1.0708706868752014</v>
      </c>
      <c r="AA272" s="1">
        <v>14.052598519635</v>
      </c>
    </row>
    <row r="273" spans="1:27" s="1" customFormat="1" x14ac:dyDescent="0.25">
      <c r="A273" s="82"/>
      <c r="B273" s="7"/>
      <c r="C273" s="3">
        <v>41754</v>
      </c>
      <c r="D273" s="1">
        <v>12.1</v>
      </c>
      <c r="E273" s="1">
        <v>11.3</v>
      </c>
      <c r="F273" s="1">
        <v>14.1</v>
      </c>
      <c r="G273" s="1">
        <f t="shared" si="40"/>
        <v>2155.8999999999996</v>
      </c>
      <c r="H273" s="1">
        <f t="shared" si="45"/>
        <v>61.7</v>
      </c>
      <c r="I273" s="34" t="s">
        <v>9</v>
      </c>
      <c r="J273" s="1">
        <v>0.9</v>
      </c>
      <c r="K273" s="1">
        <f t="shared" si="41"/>
        <v>513.9</v>
      </c>
      <c r="L273" s="1">
        <v>1.3</v>
      </c>
      <c r="M273" s="1">
        <f t="shared" si="42"/>
        <v>280.19999999999993</v>
      </c>
      <c r="N273" s="5">
        <f t="shared" si="39"/>
        <v>-0.4</v>
      </c>
      <c r="O273" s="1">
        <v>64.799999999999969</v>
      </c>
      <c r="P273" s="1">
        <v>234</v>
      </c>
      <c r="Q273" s="1">
        <v>1.1499999999999999</v>
      </c>
      <c r="R273" s="9">
        <f t="shared" si="36"/>
        <v>1.4949999999999999</v>
      </c>
      <c r="S273" s="9">
        <f t="shared" si="37"/>
        <v>-0.59499999999999986</v>
      </c>
      <c r="T273" s="9">
        <f t="shared" si="44"/>
        <v>49.270561224489818</v>
      </c>
      <c r="U273" s="34" t="s">
        <v>10</v>
      </c>
      <c r="V273" s="10">
        <v>833.9</v>
      </c>
      <c r="W273" s="1">
        <f t="shared" si="38"/>
        <v>68.917355371900825</v>
      </c>
      <c r="X273" s="1">
        <f t="shared" si="43"/>
        <v>157484.70000000004</v>
      </c>
      <c r="Y273" s="1">
        <f t="shared" si="46"/>
        <v>5373.4</v>
      </c>
      <c r="Z273" s="34" t="s">
        <v>11</v>
      </c>
      <c r="AA273" s="1">
        <v>14.105222159741199</v>
      </c>
    </row>
    <row r="274" spans="1:27" s="1" customFormat="1" x14ac:dyDescent="0.25">
      <c r="A274" s="82"/>
      <c r="B274" s="7"/>
      <c r="C274" s="3">
        <v>41755</v>
      </c>
      <c r="D274" s="1">
        <v>10.9</v>
      </c>
      <c r="E274" s="1">
        <v>8</v>
      </c>
      <c r="F274" s="1">
        <v>13.7</v>
      </c>
      <c r="G274" s="1">
        <f t="shared" si="40"/>
        <v>2166.7999999999997</v>
      </c>
      <c r="H274" s="1">
        <f t="shared" si="45"/>
        <v>72.600000000000009</v>
      </c>
      <c r="I274" s="9">
        <f>AVERAGE(D269:D294)</f>
        <v>11.92692307692308</v>
      </c>
      <c r="J274" s="1">
        <v>2.9</v>
      </c>
      <c r="K274" s="1">
        <f t="shared" si="41"/>
        <v>516.79999999999995</v>
      </c>
      <c r="L274" s="1">
        <v>1</v>
      </c>
      <c r="M274" s="1">
        <f t="shared" si="42"/>
        <v>281.19999999999993</v>
      </c>
      <c r="N274" s="1">
        <f t="shared" si="39"/>
        <v>1.9</v>
      </c>
      <c r="O274" s="1">
        <v>66.699999999999974</v>
      </c>
      <c r="P274" s="1">
        <v>235</v>
      </c>
      <c r="Q274" s="1">
        <v>1.1499999999999999</v>
      </c>
      <c r="R274" s="9">
        <f t="shared" si="36"/>
        <v>1.1499999999999999</v>
      </c>
      <c r="S274" s="9">
        <f t="shared" si="37"/>
        <v>1.75</v>
      </c>
      <c r="T274" s="9">
        <f t="shared" si="44"/>
        <v>51.020561224489818</v>
      </c>
      <c r="U274" s="1">
        <v>3</v>
      </c>
      <c r="V274" s="10">
        <v>809.5</v>
      </c>
      <c r="W274" s="1">
        <f t="shared" si="38"/>
        <v>74.266055045871553</v>
      </c>
      <c r="X274" s="1">
        <f t="shared" si="43"/>
        <v>158294.20000000004</v>
      </c>
      <c r="Y274" s="1">
        <f t="shared" si="46"/>
        <v>6182.9</v>
      </c>
      <c r="Z274" s="1">
        <v>9</v>
      </c>
      <c r="AA274" s="1">
        <v>14.157526498382101</v>
      </c>
    </row>
    <row r="275" spans="1:27" s="1" customFormat="1" x14ac:dyDescent="0.25">
      <c r="A275" s="82"/>
      <c r="B275" s="7"/>
      <c r="C275" s="3">
        <v>41756</v>
      </c>
      <c r="D275" s="1">
        <v>9.6999999999999993</v>
      </c>
      <c r="E275" s="1">
        <v>8.1</v>
      </c>
      <c r="F275" s="1">
        <v>10.199999999999999</v>
      </c>
      <c r="G275" s="1">
        <f t="shared" si="40"/>
        <v>2176.4999999999995</v>
      </c>
      <c r="H275" s="1">
        <f t="shared" si="45"/>
        <v>82.300000000000011</v>
      </c>
      <c r="I275" s="34" t="s">
        <v>12</v>
      </c>
      <c r="J275" s="1">
        <v>18.600000000000001</v>
      </c>
      <c r="K275" s="1">
        <f t="shared" si="41"/>
        <v>535.4</v>
      </c>
      <c r="L275" s="1">
        <v>0.8</v>
      </c>
      <c r="M275" s="1">
        <f t="shared" si="42"/>
        <v>281.99999999999994</v>
      </c>
      <c r="N275" s="1">
        <f t="shared" si="39"/>
        <v>17.8</v>
      </c>
      <c r="O275" s="1">
        <v>84.499999999999972</v>
      </c>
      <c r="P275" s="1">
        <v>236</v>
      </c>
      <c r="Q275" s="1">
        <v>1.1499999999999999</v>
      </c>
      <c r="R275" s="9">
        <f t="shared" si="36"/>
        <v>0.91999999999999993</v>
      </c>
      <c r="S275" s="9">
        <f t="shared" si="37"/>
        <v>17.68</v>
      </c>
      <c r="T275" s="9">
        <f t="shared" si="44"/>
        <v>68.700561224489817</v>
      </c>
      <c r="U275" s="34" t="s">
        <v>13</v>
      </c>
      <c r="V275" s="10">
        <v>586.6</v>
      </c>
      <c r="W275" s="1">
        <f t="shared" si="38"/>
        <v>60.474226804123717</v>
      </c>
      <c r="X275" s="1">
        <f t="shared" si="43"/>
        <v>158880.80000000005</v>
      </c>
      <c r="Y275" s="1">
        <f t="shared" si="46"/>
        <v>6769.5</v>
      </c>
      <c r="AA275" s="1">
        <v>14.209496799151999</v>
      </c>
    </row>
    <row r="276" spans="1:27" s="1" customFormat="1" x14ac:dyDescent="0.25">
      <c r="A276" s="82"/>
      <c r="B276" s="7"/>
      <c r="C276" s="3">
        <v>41757</v>
      </c>
      <c r="D276" s="1">
        <v>10.6</v>
      </c>
      <c r="E276" s="1">
        <v>8.9</v>
      </c>
      <c r="F276" s="1">
        <v>13</v>
      </c>
      <c r="G276" s="1">
        <f t="shared" si="40"/>
        <v>2187.0999999999995</v>
      </c>
      <c r="H276" s="1">
        <f t="shared" si="45"/>
        <v>92.9</v>
      </c>
      <c r="I276" s="1">
        <v>0</v>
      </c>
      <c r="J276" s="1">
        <v>1.3</v>
      </c>
      <c r="K276" s="1">
        <f t="shared" si="41"/>
        <v>536.69999999999993</v>
      </c>
      <c r="L276" s="1">
        <v>1.1000000000000001</v>
      </c>
      <c r="M276" s="1">
        <f t="shared" si="42"/>
        <v>283.09999999999997</v>
      </c>
      <c r="N276" s="1">
        <f t="shared" si="39"/>
        <v>0.19999999999999996</v>
      </c>
      <c r="O276" s="1">
        <v>84.699999999999974</v>
      </c>
      <c r="P276" s="1">
        <v>237</v>
      </c>
      <c r="Q276" s="1">
        <v>1.1499999999999999</v>
      </c>
      <c r="R276" s="9">
        <f t="shared" si="36"/>
        <v>1.2649999999999999</v>
      </c>
      <c r="S276" s="9">
        <f t="shared" si="37"/>
        <v>3.5000000000000142E-2</v>
      </c>
      <c r="T276" s="9">
        <f t="shared" si="44"/>
        <v>68.735561224489814</v>
      </c>
      <c r="U276" s="9">
        <v>40.299999999999997</v>
      </c>
      <c r="V276" s="10">
        <v>750.5</v>
      </c>
      <c r="W276" s="1">
        <f t="shared" si="38"/>
        <v>70.801886792452834</v>
      </c>
      <c r="X276" s="1">
        <f t="shared" si="43"/>
        <v>159631.30000000005</v>
      </c>
      <c r="Y276" s="1">
        <f t="shared" si="46"/>
        <v>7520</v>
      </c>
      <c r="AA276" s="1">
        <v>14.2611178491108</v>
      </c>
    </row>
    <row r="277" spans="1:27" s="1" customFormat="1" x14ac:dyDescent="0.25">
      <c r="A277" s="82"/>
      <c r="B277" s="7"/>
      <c r="C277" s="3">
        <v>41758</v>
      </c>
      <c r="D277" s="1">
        <v>9.9</v>
      </c>
      <c r="E277" s="1">
        <v>6.9</v>
      </c>
      <c r="F277" s="1">
        <v>11.5</v>
      </c>
      <c r="G277" s="1">
        <f t="shared" si="40"/>
        <v>2196.9999999999995</v>
      </c>
      <c r="H277" s="1">
        <f t="shared" si="45"/>
        <v>102.80000000000001</v>
      </c>
      <c r="I277" s="34" t="s">
        <v>14</v>
      </c>
      <c r="J277" s="1">
        <v>17.600000000000001</v>
      </c>
      <c r="K277" s="1">
        <f t="shared" si="41"/>
        <v>554.29999999999995</v>
      </c>
      <c r="L277" s="1">
        <v>0.7</v>
      </c>
      <c r="M277" s="1">
        <f t="shared" si="42"/>
        <v>283.79999999999995</v>
      </c>
      <c r="N277" s="1">
        <f t="shared" si="39"/>
        <v>16.900000000000002</v>
      </c>
      <c r="O277" s="1">
        <v>101.59999999999998</v>
      </c>
      <c r="P277" s="1">
        <v>238</v>
      </c>
      <c r="Q277" s="1">
        <v>1.1499999999999999</v>
      </c>
      <c r="R277" s="9">
        <f t="shared" si="36"/>
        <v>0.80499999999999994</v>
      </c>
      <c r="S277" s="9">
        <f t="shared" si="37"/>
        <v>16.795000000000002</v>
      </c>
      <c r="T277" s="9">
        <f t="shared" si="44"/>
        <v>85.530561224489816</v>
      </c>
      <c r="U277" s="34" t="s">
        <v>15</v>
      </c>
      <c r="V277" s="10">
        <v>581</v>
      </c>
      <c r="W277" s="1">
        <f t="shared" si="38"/>
        <v>58.686868686868685</v>
      </c>
      <c r="X277" s="1">
        <f t="shared" si="43"/>
        <v>160212.30000000005</v>
      </c>
      <c r="Y277" s="1">
        <f t="shared" si="46"/>
        <v>8101</v>
      </c>
      <c r="AA277" s="1">
        <v>14.3123739531664</v>
      </c>
    </row>
    <row r="278" spans="1:27" s="1" customFormat="1" x14ac:dyDescent="0.25">
      <c r="A278" s="82"/>
      <c r="B278" s="7"/>
      <c r="C278" s="3">
        <v>41759</v>
      </c>
      <c r="D278" s="1">
        <v>11.5</v>
      </c>
      <c r="E278" s="1">
        <v>9.4</v>
      </c>
      <c r="F278" s="1">
        <v>15.2</v>
      </c>
      <c r="G278" s="1">
        <f t="shared" si="40"/>
        <v>2208.4999999999995</v>
      </c>
      <c r="H278" s="1">
        <f t="shared" si="45"/>
        <v>114.30000000000001</v>
      </c>
      <c r="I278" s="1">
        <v>0</v>
      </c>
      <c r="J278" s="1">
        <v>0.1</v>
      </c>
      <c r="K278" s="1">
        <f t="shared" si="41"/>
        <v>554.4</v>
      </c>
      <c r="L278" s="1">
        <v>1.4</v>
      </c>
      <c r="M278" s="1">
        <f t="shared" si="42"/>
        <v>285.19999999999993</v>
      </c>
      <c r="N278" s="5">
        <f t="shared" si="39"/>
        <v>-1.2999999999999998</v>
      </c>
      <c r="O278" s="1">
        <v>100.29999999999998</v>
      </c>
      <c r="P278" s="1">
        <v>239</v>
      </c>
      <c r="Q278" s="1">
        <v>1.1499999999999999</v>
      </c>
      <c r="R278" s="9">
        <f t="shared" si="36"/>
        <v>1.6099999999999999</v>
      </c>
      <c r="S278" s="9">
        <f t="shared" si="37"/>
        <v>-1.5099999999999998</v>
      </c>
      <c r="T278" s="9">
        <f t="shared" si="44"/>
        <v>84.020561224489811</v>
      </c>
      <c r="U278" s="9">
        <f>MAX(T269:T294)</f>
        <v>92.810561224489817</v>
      </c>
      <c r="V278" s="10">
        <v>809.6</v>
      </c>
      <c r="W278" s="1">
        <f t="shared" si="38"/>
        <v>70.400000000000006</v>
      </c>
      <c r="X278" s="1">
        <f t="shared" si="43"/>
        <v>161021.90000000005</v>
      </c>
      <c r="Y278" s="1">
        <f t="shared" si="46"/>
        <v>8910.6</v>
      </c>
      <c r="AA278" s="1">
        <v>14.3632489295623</v>
      </c>
    </row>
    <row r="279" spans="1:27" s="1" customFormat="1" x14ac:dyDescent="0.25">
      <c r="A279" s="82"/>
      <c r="B279" s="7"/>
      <c r="C279" s="3">
        <v>41760</v>
      </c>
      <c r="D279" s="1">
        <v>11.4</v>
      </c>
      <c r="E279" s="1">
        <v>7.6</v>
      </c>
      <c r="F279" s="1">
        <v>14.9</v>
      </c>
      <c r="G279" s="1">
        <f t="shared" si="40"/>
        <v>2219.8999999999996</v>
      </c>
      <c r="H279" s="1">
        <f t="shared" si="45"/>
        <v>125.70000000000002</v>
      </c>
      <c r="I279" s="34" t="s">
        <v>16</v>
      </c>
      <c r="J279" s="1">
        <v>10.4</v>
      </c>
      <c r="K279" s="1">
        <f t="shared" si="41"/>
        <v>564.79999999999995</v>
      </c>
      <c r="L279" s="1">
        <v>1.4</v>
      </c>
      <c r="M279" s="1">
        <f t="shared" si="42"/>
        <v>286.59999999999991</v>
      </c>
      <c r="N279" s="1">
        <f t="shared" si="39"/>
        <v>9</v>
      </c>
      <c r="O279" s="1">
        <v>109.29999999999998</v>
      </c>
      <c r="P279" s="1">
        <v>240</v>
      </c>
      <c r="Q279" s="1">
        <v>1.1499999999999999</v>
      </c>
      <c r="R279" s="9">
        <f t="shared" si="36"/>
        <v>1.6099999999999999</v>
      </c>
      <c r="S279" s="9">
        <f t="shared" si="37"/>
        <v>8.7900000000000009</v>
      </c>
      <c r="T279" s="9">
        <f t="shared" si="44"/>
        <v>92.810561224489817</v>
      </c>
      <c r="U279" s="34" t="s">
        <v>17</v>
      </c>
      <c r="V279" s="1">
        <v>972.2</v>
      </c>
      <c r="W279" s="1">
        <f t="shared" si="38"/>
        <v>85.280701754385973</v>
      </c>
      <c r="X279" s="1">
        <f t="shared" si="43"/>
        <v>161994.10000000006</v>
      </c>
      <c r="Y279" s="1">
        <f t="shared" si="46"/>
        <v>9882.8000000000011</v>
      </c>
      <c r="AA279" s="1">
        <v>14.413726106554501</v>
      </c>
    </row>
    <row r="280" spans="1:27" s="1" customFormat="1" x14ac:dyDescent="0.25">
      <c r="A280" s="82"/>
      <c r="B280" s="7"/>
      <c r="C280" s="3">
        <v>41761</v>
      </c>
      <c r="D280" s="1">
        <v>12.1</v>
      </c>
      <c r="E280" s="1">
        <v>10.1</v>
      </c>
      <c r="F280" s="1">
        <v>15.3</v>
      </c>
      <c r="G280" s="1">
        <f t="shared" si="40"/>
        <v>2231.9999999999995</v>
      </c>
      <c r="H280" s="1">
        <f t="shared" si="45"/>
        <v>137.80000000000001</v>
      </c>
      <c r="I280" s="1">
        <v>1</v>
      </c>
      <c r="J280" s="1">
        <v>0.1</v>
      </c>
      <c r="K280" s="1">
        <f t="shared" si="41"/>
        <v>564.9</v>
      </c>
      <c r="L280" s="1">
        <v>1.7</v>
      </c>
      <c r="M280" s="1">
        <f t="shared" si="42"/>
        <v>288.2999999999999</v>
      </c>
      <c r="N280" s="5">
        <f t="shared" si="39"/>
        <v>-1.5999999999999999</v>
      </c>
      <c r="O280" s="1">
        <v>107.69999999999999</v>
      </c>
      <c r="P280" s="1">
        <v>241</v>
      </c>
      <c r="Q280" s="1">
        <v>1.1499999999999999</v>
      </c>
      <c r="R280" s="9">
        <f t="shared" si="36"/>
        <v>1.9549999999999998</v>
      </c>
      <c r="S280" s="9">
        <f t="shared" si="37"/>
        <v>-1.8549999999999998</v>
      </c>
      <c r="T280" s="9">
        <f t="shared" si="44"/>
        <v>90.955561224489813</v>
      </c>
      <c r="U280" s="11">
        <f>AVERAGE(T269:T294)</f>
        <v>70.960561224489794</v>
      </c>
      <c r="V280" s="1">
        <v>983.4</v>
      </c>
      <c r="W280" s="1">
        <f t="shared" si="38"/>
        <v>81.272727272727266</v>
      </c>
      <c r="X280" s="1">
        <f t="shared" si="43"/>
        <v>162977.50000000006</v>
      </c>
      <c r="Y280" s="1">
        <f t="shared" si="46"/>
        <v>10866.2</v>
      </c>
      <c r="AA280" s="1">
        <v>14.463788320365399</v>
      </c>
    </row>
    <row r="281" spans="1:27" s="23" customFormat="1" x14ac:dyDescent="0.25">
      <c r="A281" s="82"/>
      <c r="B281" s="35"/>
      <c r="C281" s="22">
        <v>41762</v>
      </c>
      <c r="D281" s="23">
        <v>9.3000000000000007</v>
      </c>
      <c r="E281" s="23">
        <v>6.3</v>
      </c>
      <c r="F281" s="23">
        <v>12.3</v>
      </c>
      <c r="G281" s="23">
        <f t="shared" si="40"/>
        <v>2241.2999999999997</v>
      </c>
      <c r="H281" s="23">
        <f t="shared" si="45"/>
        <v>147.10000000000002</v>
      </c>
      <c r="I281" s="34" t="s">
        <v>18</v>
      </c>
      <c r="J281" s="23">
        <v>0</v>
      </c>
      <c r="K281" s="23">
        <f t="shared" si="41"/>
        <v>564.9</v>
      </c>
      <c r="L281" s="23">
        <v>2.1</v>
      </c>
      <c r="M281" s="23">
        <f t="shared" si="42"/>
        <v>290.39999999999992</v>
      </c>
      <c r="N281" s="25">
        <f t="shared" si="39"/>
        <v>-2.1</v>
      </c>
      <c r="O281" s="23">
        <v>105.6</v>
      </c>
      <c r="P281" s="23">
        <v>242</v>
      </c>
      <c r="Q281" s="1">
        <v>1.1499999999999999</v>
      </c>
      <c r="R281" s="26">
        <f t="shared" si="36"/>
        <v>2.415</v>
      </c>
      <c r="S281" s="26">
        <f t="shared" si="37"/>
        <v>-2.415</v>
      </c>
      <c r="T281" s="9">
        <f t="shared" si="44"/>
        <v>88.540561224489807</v>
      </c>
      <c r="V281" s="23">
        <v>1182.3</v>
      </c>
      <c r="W281" s="23">
        <f t="shared" si="38"/>
        <v>127.1290322580645</v>
      </c>
      <c r="X281" s="23">
        <f t="shared" si="43"/>
        <v>164159.80000000005</v>
      </c>
      <c r="Y281" s="1">
        <f t="shared" si="46"/>
        <v>12048.5</v>
      </c>
      <c r="AA281" s="1">
        <v>14.5134179145061</v>
      </c>
    </row>
    <row r="282" spans="1:27" s="1" customFormat="1" x14ac:dyDescent="0.25">
      <c r="A282" s="82"/>
      <c r="B282" s="36"/>
      <c r="C282" s="3">
        <v>41763</v>
      </c>
      <c r="D282" s="1">
        <v>10.4</v>
      </c>
      <c r="E282" s="12">
        <v>4.4000000000000004</v>
      </c>
      <c r="F282" s="1">
        <v>15.7</v>
      </c>
      <c r="G282" s="1">
        <f t="shared" si="40"/>
        <v>2251.6999999999998</v>
      </c>
      <c r="H282" s="1">
        <f t="shared" si="45"/>
        <v>157.50000000000003</v>
      </c>
      <c r="I282" s="1">
        <v>310.10000000000002</v>
      </c>
      <c r="J282" s="1">
        <v>0</v>
      </c>
      <c r="K282" s="1">
        <f t="shared" si="41"/>
        <v>564.9</v>
      </c>
      <c r="L282" s="1">
        <v>3.3</v>
      </c>
      <c r="M282" s="1">
        <f t="shared" si="42"/>
        <v>293.69999999999993</v>
      </c>
      <c r="N282" s="5">
        <f t="shared" si="39"/>
        <v>-3.3</v>
      </c>
      <c r="O282" s="1">
        <v>102.3</v>
      </c>
      <c r="P282" s="1">
        <v>243</v>
      </c>
      <c r="Q282" s="1">
        <v>1.1499999999999999</v>
      </c>
      <c r="R282" s="9">
        <f t="shared" si="36"/>
        <v>3.7949999999999995</v>
      </c>
      <c r="S282" s="9">
        <f t="shared" si="37"/>
        <v>-3.7949999999999995</v>
      </c>
      <c r="T282" s="9">
        <f t="shared" si="44"/>
        <v>84.745561224489805</v>
      </c>
      <c r="U282" s="9">
        <f>(U280*100)/138.9</f>
        <v>51.087517080266231</v>
      </c>
      <c r="V282" s="1">
        <v>2342.4</v>
      </c>
      <c r="W282" s="1">
        <f t="shared" si="38"/>
        <v>225.23076923076923</v>
      </c>
      <c r="X282" s="1">
        <f t="shared" si="43"/>
        <v>166502.20000000004</v>
      </c>
      <c r="Y282" s="1">
        <f t="shared" si="46"/>
        <v>14390.9</v>
      </c>
      <c r="AA282" s="1">
        <v>14.562596740558</v>
      </c>
    </row>
    <row r="283" spans="1:27" s="1" customFormat="1" x14ac:dyDescent="0.25">
      <c r="A283" s="82"/>
      <c r="B283" s="36"/>
      <c r="C283" s="3">
        <v>41764</v>
      </c>
      <c r="D283" s="1">
        <v>13.8</v>
      </c>
      <c r="E283" s="1">
        <v>6.2</v>
      </c>
      <c r="F283" s="1">
        <v>20.399999999999999</v>
      </c>
      <c r="G283" s="1">
        <f t="shared" si="40"/>
        <v>2265.5</v>
      </c>
      <c r="H283" s="1">
        <f t="shared" si="45"/>
        <v>171.30000000000004</v>
      </c>
      <c r="J283" s="1">
        <v>0.4</v>
      </c>
      <c r="K283" s="1">
        <f t="shared" si="41"/>
        <v>565.29999999999995</v>
      </c>
      <c r="L283" s="1">
        <v>3.8</v>
      </c>
      <c r="M283" s="1">
        <f t="shared" si="42"/>
        <v>297.49999999999994</v>
      </c>
      <c r="N283" s="5">
        <f t="shared" si="39"/>
        <v>-3.4</v>
      </c>
      <c r="O283" s="1">
        <v>98.899999999999991</v>
      </c>
      <c r="P283" s="1">
        <v>244</v>
      </c>
      <c r="Q283" s="1">
        <v>1.1499999999999999</v>
      </c>
      <c r="R283" s="9">
        <f t="shared" si="36"/>
        <v>4.3699999999999992</v>
      </c>
      <c r="S283" s="9">
        <f t="shared" si="37"/>
        <v>-3.9699999999999993</v>
      </c>
      <c r="T283" s="9">
        <f t="shared" si="44"/>
        <v>80.775561224489806</v>
      </c>
      <c r="V283" s="1">
        <v>2409.4</v>
      </c>
      <c r="W283" s="1">
        <f t="shared" si="38"/>
        <v>174.59420289855072</v>
      </c>
      <c r="X283" s="1">
        <f t="shared" si="43"/>
        <v>168911.60000000003</v>
      </c>
      <c r="Y283" s="1">
        <f t="shared" si="46"/>
        <v>16800.3</v>
      </c>
      <c r="AA283" s="1">
        <v>14.6113061605088</v>
      </c>
    </row>
    <row r="284" spans="1:27" s="1" customFormat="1" x14ac:dyDescent="0.25">
      <c r="A284" s="82"/>
      <c r="B284" s="36"/>
      <c r="C284" s="3">
        <v>41765</v>
      </c>
      <c r="D284" s="1">
        <v>15.5</v>
      </c>
      <c r="E284" s="1">
        <v>11.6</v>
      </c>
      <c r="F284" s="1">
        <v>19.399999999999999</v>
      </c>
      <c r="G284" s="1">
        <f t="shared" si="40"/>
        <v>2281</v>
      </c>
      <c r="H284" s="1">
        <f t="shared" si="45"/>
        <v>186.80000000000004</v>
      </c>
      <c r="J284" s="1">
        <v>0</v>
      </c>
      <c r="K284" s="1">
        <f t="shared" si="41"/>
        <v>565.29999999999995</v>
      </c>
      <c r="L284" s="1">
        <v>2.1</v>
      </c>
      <c r="M284" s="1">
        <f t="shared" si="42"/>
        <v>299.59999999999997</v>
      </c>
      <c r="N284" s="5">
        <f t="shared" si="39"/>
        <v>-2.1</v>
      </c>
      <c r="O284" s="1">
        <v>96.8</v>
      </c>
      <c r="P284" s="1">
        <v>245</v>
      </c>
      <c r="Q284" s="1">
        <v>1.1499999999999999</v>
      </c>
      <c r="R284" s="9">
        <f t="shared" si="36"/>
        <v>2.415</v>
      </c>
      <c r="S284" s="9">
        <f t="shared" si="37"/>
        <v>-2.415</v>
      </c>
      <c r="T284" s="9">
        <f t="shared" si="44"/>
        <v>78.3605612244898</v>
      </c>
      <c r="V284" s="1">
        <v>1080.3</v>
      </c>
      <c r="W284" s="1">
        <f t="shared" si="38"/>
        <v>69.696774193548379</v>
      </c>
      <c r="X284" s="1">
        <f t="shared" si="43"/>
        <v>169991.90000000002</v>
      </c>
      <c r="Y284" s="1">
        <f t="shared" si="46"/>
        <v>17880.599999999999</v>
      </c>
      <c r="AA284" s="1">
        <v>14.659527050737999</v>
      </c>
    </row>
    <row r="285" spans="1:27" s="1" customFormat="1" x14ac:dyDescent="0.25">
      <c r="A285" s="82"/>
      <c r="B285" s="36"/>
      <c r="C285" s="3">
        <v>41766</v>
      </c>
      <c r="D285" s="1">
        <v>14</v>
      </c>
      <c r="E285" s="1">
        <v>10.7</v>
      </c>
      <c r="F285" s="1">
        <v>17.2</v>
      </c>
      <c r="G285" s="1">
        <f t="shared" si="40"/>
        <v>2295</v>
      </c>
      <c r="H285" s="1">
        <f t="shared" si="45"/>
        <v>200.80000000000004</v>
      </c>
      <c r="J285" s="1">
        <v>1.7</v>
      </c>
      <c r="K285" s="1">
        <f t="shared" si="41"/>
        <v>567</v>
      </c>
      <c r="L285" s="1">
        <v>2.2000000000000002</v>
      </c>
      <c r="M285" s="1">
        <f t="shared" si="42"/>
        <v>301.79999999999995</v>
      </c>
      <c r="N285" s="5">
        <f t="shared" si="39"/>
        <v>-0.50000000000000022</v>
      </c>
      <c r="O285" s="1">
        <v>96.3</v>
      </c>
      <c r="P285" s="1">
        <v>246</v>
      </c>
      <c r="Q285" s="1">
        <v>1.1499999999999999</v>
      </c>
      <c r="R285" s="9">
        <f t="shared" si="36"/>
        <v>2.5299999999999998</v>
      </c>
      <c r="S285" s="9">
        <f t="shared" si="37"/>
        <v>-0.82999999999999985</v>
      </c>
      <c r="T285" s="9">
        <f t="shared" si="44"/>
        <v>77.530561224489801</v>
      </c>
      <c r="V285" s="1">
        <v>1234.5999999999999</v>
      </c>
      <c r="W285" s="1">
        <f t="shared" si="38"/>
        <v>88.185714285714283</v>
      </c>
      <c r="X285" s="1">
        <f t="shared" si="43"/>
        <v>171226.50000000003</v>
      </c>
      <c r="Y285" s="1">
        <f t="shared" si="46"/>
        <v>19115.199999999997</v>
      </c>
      <c r="AA285" s="1">
        <v>14.707239807747399</v>
      </c>
    </row>
    <row r="286" spans="1:27" s="1" customFormat="1" x14ac:dyDescent="0.25">
      <c r="A286" s="82"/>
      <c r="B286" s="36"/>
      <c r="C286" s="3">
        <v>41767</v>
      </c>
      <c r="D286" s="1">
        <v>13.1</v>
      </c>
      <c r="E286" s="1">
        <v>9.9</v>
      </c>
      <c r="F286" s="1">
        <v>15.8</v>
      </c>
      <c r="G286" s="1">
        <f t="shared" si="40"/>
        <v>2308.1</v>
      </c>
      <c r="H286" s="1">
        <f t="shared" si="45"/>
        <v>213.90000000000003</v>
      </c>
      <c r="J286" s="1">
        <v>1.8</v>
      </c>
      <c r="K286" s="1">
        <f t="shared" si="41"/>
        <v>568.79999999999995</v>
      </c>
      <c r="L286" s="1">
        <v>1.4</v>
      </c>
      <c r="M286" s="1">
        <f t="shared" si="42"/>
        <v>303.19999999999993</v>
      </c>
      <c r="N286" s="1">
        <f t="shared" si="39"/>
        <v>0.40000000000000013</v>
      </c>
      <c r="O286" s="1">
        <v>96.7</v>
      </c>
      <c r="P286" s="1">
        <v>247</v>
      </c>
      <c r="Q286" s="1">
        <v>1.1499999999999999</v>
      </c>
      <c r="R286" s="9">
        <f t="shared" si="36"/>
        <v>1.6099999999999999</v>
      </c>
      <c r="S286" s="9">
        <f t="shared" si="37"/>
        <v>0.19000000000000017</v>
      </c>
      <c r="T286" s="9">
        <f t="shared" si="44"/>
        <v>77.720561224489799</v>
      </c>
      <c r="V286" s="10">
        <v>469.1</v>
      </c>
      <c r="W286" s="1">
        <f t="shared" si="38"/>
        <v>35.809160305343511</v>
      </c>
      <c r="X286" s="1">
        <f t="shared" si="43"/>
        <v>171695.60000000003</v>
      </c>
      <c r="Y286" s="1">
        <f t="shared" si="46"/>
        <v>19584.299999999996</v>
      </c>
      <c r="AA286" s="1">
        <v>14.7544243557327</v>
      </c>
    </row>
    <row r="287" spans="1:27" s="1" customFormat="1" x14ac:dyDescent="0.25">
      <c r="A287" s="82"/>
      <c r="B287" s="36"/>
      <c r="C287" s="3">
        <v>41768</v>
      </c>
      <c r="D287" s="1">
        <v>14.9</v>
      </c>
      <c r="E287" s="1">
        <v>12.7</v>
      </c>
      <c r="F287" s="1">
        <v>17.3</v>
      </c>
      <c r="G287" s="1">
        <f t="shared" si="40"/>
        <v>2323</v>
      </c>
      <c r="H287" s="1">
        <f t="shared" si="45"/>
        <v>228.80000000000004</v>
      </c>
      <c r="J287" s="1">
        <v>0</v>
      </c>
      <c r="K287" s="1">
        <f t="shared" si="41"/>
        <v>568.79999999999995</v>
      </c>
      <c r="L287" s="1">
        <v>2.1</v>
      </c>
      <c r="M287" s="1">
        <f t="shared" si="42"/>
        <v>305.29999999999995</v>
      </c>
      <c r="N287" s="5">
        <f t="shared" si="39"/>
        <v>-2.1</v>
      </c>
      <c r="O287" s="1">
        <v>94.600000000000009</v>
      </c>
      <c r="P287" s="1">
        <v>248</v>
      </c>
      <c r="Q287" s="1">
        <v>1.1499999999999999</v>
      </c>
      <c r="R287" s="9">
        <f t="shared" si="36"/>
        <v>2.415</v>
      </c>
      <c r="S287" s="9">
        <f t="shared" si="37"/>
        <v>-2.415</v>
      </c>
      <c r="T287" s="9">
        <f t="shared" si="44"/>
        <v>75.305561224489793</v>
      </c>
      <c r="V287" s="1">
        <v>1006.1</v>
      </c>
      <c r="W287" s="1">
        <f t="shared" si="38"/>
        <v>67.523489932885909</v>
      </c>
      <c r="X287" s="1">
        <f t="shared" si="43"/>
        <v>172701.70000000004</v>
      </c>
      <c r="Y287" s="1">
        <f t="shared" si="46"/>
        <v>20590.399999999994</v>
      </c>
      <c r="AA287" s="1">
        <v>14.8010601560915</v>
      </c>
    </row>
    <row r="288" spans="1:27" s="1" customFormat="1" x14ac:dyDescent="0.25">
      <c r="A288" s="82"/>
      <c r="B288" s="36"/>
      <c r="C288" s="3">
        <v>41769</v>
      </c>
      <c r="D288" s="1">
        <v>13.5</v>
      </c>
      <c r="E288" s="1">
        <v>10.7</v>
      </c>
      <c r="F288" s="1">
        <v>16.100000000000001</v>
      </c>
      <c r="G288" s="1">
        <f t="shared" si="40"/>
        <v>2336.5</v>
      </c>
      <c r="H288" s="1">
        <f t="shared" si="45"/>
        <v>242.30000000000004</v>
      </c>
      <c r="J288" s="1">
        <v>2</v>
      </c>
      <c r="K288" s="1">
        <f t="shared" si="41"/>
        <v>570.79999999999995</v>
      </c>
      <c r="L288" s="1">
        <v>1.3</v>
      </c>
      <c r="M288" s="1">
        <f t="shared" si="42"/>
        <v>306.59999999999997</v>
      </c>
      <c r="N288" s="1">
        <f t="shared" si="39"/>
        <v>0.7</v>
      </c>
      <c r="O288" s="1">
        <v>95.300000000000011</v>
      </c>
      <c r="P288" s="1">
        <v>249</v>
      </c>
      <c r="Q288" s="1">
        <v>1.1499999999999999</v>
      </c>
      <c r="R288" s="9">
        <f t="shared" si="36"/>
        <v>1.4949999999999999</v>
      </c>
      <c r="S288" s="9">
        <f t="shared" si="37"/>
        <v>0.50500000000000012</v>
      </c>
      <c r="T288" s="9">
        <f t="shared" si="44"/>
        <v>75.810561224489788</v>
      </c>
      <c r="V288" s="10">
        <v>688.7</v>
      </c>
      <c r="W288" s="1">
        <f t="shared" si="38"/>
        <v>51.014814814814819</v>
      </c>
      <c r="X288" s="1">
        <f t="shared" si="43"/>
        <v>173390.40000000005</v>
      </c>
      <c r="Y288" s="1">
        <f t="shared" si="46"/>
        <v>21279.099999999995</v>
      </c>
      <c r="AA288" s="1">
        <v>14.8471262189599</v>
      </c>
    </row>
    <row r="289" spans="1:27" s="1" customFormat="1" x14ac:dyDescent="0.25">
      <c r="A289" s="82"/>
      <c r="B289" s="36"/>
      <c r="C289" s="3">
        <v>41770</v>
      </c>
      <c r="D289" s="1">
        <v>11.9</v>
      </c>
      <c r="E289" s="1">
        <v>10.3</v>
      </c>
      <c r="F289" s="1">
        <v>15.1</v>
      </c>
      <c r="G289" s="1">
        <f t="shared" si="40"/>
        <v>2348.4</v>
      </c>
      <c r="H289" s="1">
        <f t="shared" si="45"/>
        <v>254.20000000000005</v>
      </c>
      <c r="J289" s="1">
        <v>2.1</v>
      </c>
      <c r="K289" s="1">
        <f t="shared" si="41"/>
        <v>572.9</v>
      </c>
      <c r="L289" s="1">
        <v>2.7</v>
      </c>
      <c r="M289" s="1">
        <f t="shared" si="42"/>
        <v>309.29999999999995</v>
      </c>
      <c r="N289" s="5">
        <f t="shared" si="39"/>
        <v>-0.60000000000000009</v>
      </c>
      <c r="O289" s="1">
        <v>94.700000000000017</v>
      </c>
      <c r="P289" s="1">
        <v>250</v>
      </c>
      <c r="Q289" s="1">
        <v>1.1499999999999999</v>
      </c>
      <c r="R289" s="9">
        <f t="shared" si="36"/>
        <v>3.105</v>
      </c>
      <c r="S289" s="9">
        <f t="shared" si="37"/>
        <v>-1.0049999999999999</v>
      </c>
      <c r="T289" s="9">
        <f t="shared" si="44"/>
        <v>74.805561224489793</v>
      </c>
      <c r="V289" s="1">
        <v>1344.5</v>
      </c>
      <c r="W289" s="1">
        <f t="shared" si="38"/>
        <v>112.98319327731092</v>
      </c>
      <c r="X289" s="1">
        <f t="shared" si="43"/>
        <v>174734.90000000005</v>
      </c>
      <c r="Y289" s="1">
        <f t="shared" si="46"/>
        <v>22623.599999999995</v>
      </c>
      <c r="AA289" s="1">
        <v>14.892601116868899</v>
      </c>
    </row>
    <row r="290" spans="1:27" s="1" customFormat="1" x14ac:dyDescent="0.25">
      <c r="A290" s="82"/>
      <c r="B290" s="36"/>
      <c r="C290" s="3">
        <v>41771</v>
      </c>
      <c r="D290" s="1">
        <v>9.6999999999999993</v>
      </c>
      <c r="E290" s="1">
        <v>7.9</v>
      </c>
      <c r="F290" s="1">
        <v>12.5</v>
      </c>
      <c r="G290" s="1">
        <f t="shared" si="40"/>
        <v>2358.1</v>
      </c>
      <c r="H290" s="1">
        <f t="shared" si="45"/>
        <v>263.90000000000003</v>
      </c>
      <c r="J290" s="1">
        <v>3.6</v>
      </c>
      <c r="K290" s="1">
        <f t="shared" si="41"/>
        <v>576.5</v>
      </c>
      <c r="L290" s="1">
        <v>2.2999999999999998</v>
      </c>
      <c r="M290" s="1">
        <f t="shared" si="42"/>
        <v>311.59999999999997</v>
      </c>
      <c r="N290" s="1">
        <f t="shared" si="39"/>
        <v>1.3000000000000003</v>
      </c>
      <c r="O290" s="1">
        <v>96.000000000000014</v>
      </c>
      <c r="P290" s="1">
        <v>251</v>
      </c>
      <c r="Q290" s="1">
        <v>1.1499999999999999</v>
      </c>
      <c r="R290" s="9">
        <f t="shared" si="36"/>
        <v>2.6449999999999996</v>
      </c>
      <c r="S290" s="9">
        <f t="shared" si="37"/>
        <v>0.95500000000000052</v>
      </c>
      <c r="T290" s="9">
        <f t="shared" si="44"/>
        <v>75.760561224489791</v>
      </c>
      <c r="V290" s="1">
        <v>1722.1</v>
      </c>
      <c r="W290" s="1">
        <f t="shared" si="38"/>
        <v>177.53608247422682</v>
      </c>
      <c r="X290" s="1">
        <f t="shared" si="43"/>
        <v>176457.00000000006</v>
      </c>
      <c r="Y290" s="1">
        <f t="shared" si="46"/>
        <v>24345.699999999993</v>
      </c>
      <c r="AA290" s="1">
        <v>14.937463000607799</v>
      </c>
    </row>
    <row r="291" spans="1:27" s="1" customFormat="1" x14ac:dyDescent="0.25">
      <c r="A291" s="82"/>
      <c r="B291" s="36"/>
      <c r="C291" s="3">
        <v>41772</v>
      </c>
      <c r="D291" s="1">
        <v>10</v>
      </c>
      <c r="E291" s="1">
        <v>6.4</v>
      </c>
      <c r="F291" s="1">
        <v>14.2</v>
      </c>
      <c r="G291" s="1">
        <f t="shared" si="40"/>
        <v>2368.1</v>
      </c>
      <c r="H291" s="1">
        <f t="shared" si="45"/>
        <v>273.90000000000003</v>
      </c>
      <c r="J291" s="1">
        <v>3.9</v>
      </c>
      <c r="K291" s="1">
        <f t="shared" si="41"/>
        <v>580.4</v>
      </c>
      <c r="L291" s="1">
        <v>2.2000000000000002</v>
      </c>
      <c r="M291" s="1">
        <f t="shared" si="42"/>
        <v>313.79999999999995</v>
      </c>
      <c r="N291" s="1">
        <f t="shared" si="39"/>
        <v>1.6999999999999997</v>
      </c>
      <c r="O291" s="1">
        <v>97.700000000000017</v>
      </c>
      <c r="P291" s="1">
        <v>252</v>
      </c>
      <c r="Q291" s="1">
        <v>1.1499999999999999</v>
      </c>
      <c r="R291" s="9">
        <f t="shared" si="36"/>
        <v>2.5299999999999998</v>
      </c>
      <c r="S291" s="9">
        <f t="shared" si="37"/>
        <v>1.37</v>
      </c>
      <c r="T291" s="9">
        <f t="shared" si="44"/>
        <v>77.130561224489796</v>
      </c>
      <c r="V291" s="1">
        <v>1394.4</v>
      </c>
      <c r="W291" s="1">
        <f t="shared" si="38"/>
        <v>139.44</v>
      </c>
      <c r="X291" s="1">
        <f t="shared" si="43"/>
        <v>177851.40000000005</v>
      </c>
      <c r="Y291" s="1">
        <f t="shared" si="46"/>
        <v>25740.099999999995</v>
      </c>
      <c r="AA291" s="1">
        <v>14.9816896173754</v>
      </c>
    </row>
    <row r="292" spans="1:27" s="1" customFormat="1" x14ac:dyDescent="0.25">
      <c r="A292" s="82"/>
      <c r="B292" s="36"/>
      <c r="C292" s="3">
        <v>41773</v>
      </c>
      <c r="D292" s="1">
        <v>11.6</v>
      </c>
      <c r="E292" s="1">
        <v>5.0999999999999996</v>
      </c>
      <c r="F292" s="1">
        <v>16.2</v>
      </c>
      <c r="G292" s="1">
        <f t="shared" si="40"/>
        <v>2379.6999999999998</v>
      </c>
      <c r="H292" s="1">
        <f t="shared" si="45"/>
        <v>285.50000000000006</v>
      </c>
      <c r="J292" s="1">
        <v>1</v>
      </c>
      <c r="K292" s="1">
        <f t="shared" si="41"/>
        <v>581.4</v>
      </c>
      <c r="L292" s="1">
        <v>2.2000000000000002</v>
      </c>
      <c r="M292" s="1">
        <f t="shared" si="42"/>
        <v>315.99999999999994</v>
      </c>
      <c r="N292" s="5">
        <f t="shared" si="39"/>
        <v>-1.2000000000000002</v>
      </c>
      <c r="O292" s="1">
        <v>96.500000000000014</v>
      </c>
      <c r="P292" s="1">
        <v>253</v>
      </c>
      <c r="Q292" s="1">
        <v>1.1499999999999999</v>
      </c>
      <c r="R292" s="9">
        <f t="shared" si="36"/>
        <v>2.5299999999999998</v>
      </c>
      <c r="S292" s="9">
        <f t="shared" si="37"/>
        <v>-1.5299999999999998</v>
      </c>
      <c r="T292" s="9">
        <f t="shared" si="44"/>
        <v>75.600561224489795</v>
      </c>
      <c r="V292" s="1">
        <v>1683.6</v>
      </c>
      <c r="W292" s="1">
        <f t="shared" si="38"/>
        <v>145.13793103448276</v>
      </c>
      <c r="X292" s="1">
        <f t="shared" si="43"/>
        <v>179535.00000000006</v>
      </c>
      <c r="Y292" s="1">
        <f t="shared" si="46"/>
        <v>27423.699999999993</v>
      </c>
      <c r="AA292" s="1">
        <v>15.025258331298</v>
      </c>
    </row>
    <row r="293" spans="1:27" s="1" customFormat="1" x14ac:dyDescent="0.25">
      <c r="A293" s="82"/>
      <c r="B293" s="36"/>
      <c r="C293" s="3">
        <v>41774</v>
      </c>
      <c r="D293" s="1">
        <v>11.6</v>
      </c>
      <c r="E293" s="1">
        <v>7.9</v>
      </c>
      <c r="F293" s="1">
        <v>15.6</v>
      </c>
      <c r="G293" s="1">
        <f t="shared" si="40"/>
        <v>2391.2999999999997</v>
      </c>
      <c r="H293" s="1">
        <f t="shared" si="45"/>
        <v>297.10000000000008</v>
      </c>
      <c r="J293" s="1">
        <v>0</v>
      </c>
      <c r="K293" s="1">
        <f t="shared" si="41"/>
        <v>581.4</v>
      </c>
      <c r="L293" s="1">
        <v>4.4000000000000004</v>
      </c>
      <c r="M293" s="1">
        <f t="shared" si="42"/>
        <v>320.39999999999992</v>
      </c>
      <c r="N293" s="5">
        <f t="shared" si="39"/>
        <v>-4.4000000000000004</v>
      </c>
      <c r="O293" s="1">
        <v>92.100000000000009</v>
      </c>
      <c r="P293" s="1">
        <v>254</v>
      </c>
      <c r="Q293" s="1">
        <v>1.1499999999999999</v>
      </c>
      <c r="R293" s="9">
        <f t="shared" si="36"/>
        <v>5.0599999999999996</v>
      </c>
      <c r="S293" s="9">
        <f t="shared" si="37"/>
        <v>-5.0599999999999996</v>
      </c>
      <c r="T293" s="9">
        <f t="shared" si="44"/>
        <v>70.540561224489792</v>
      </c>
      <c r="V293" s="1">
        <v>3017</v>
      </c>
      <c r="W293" s="1">
        <f t="shared" si="38"/>
        <v>260.08620689655174</v>
      </c>
      <c r="X293" s="1">
        <f t="shared" si="43"/>
        <v>182552.00000000006</v>
      </c>
      <c r="Y293" s="1">
        <f t="shared" si="46"/>
        <v>30440.699999999993</v>
      </c>
      <c r="AA293" s="1">
        <v>15.06814614638</v>
      </c>
    </row>
    <row r="294" spans="1:27" s="63" customFormat="1" ht="15.75" thickBot="1" x14ac:dyDescent="0.3">
      <c r="A294" s="82"/>
      <c r="B294" s="61">
        <v>300</v>
      </c>
      <c r="C294" s="66">
        <v>41775</v>
      </c>
      <c r="D294" s="63">
        <v>13</v>
      </c>
      <c r="E294" s="63">
        <v>6.9</v>
      </c>
      <c r="F294" s="63">
        <v>18</v>
      </c>
      <c r="G294" s="63">
        <f t="shared" si="40"/>
        <v>2404.2999999999997</v>
      </c>
      <c r="H294" s="63">
        <f t="shared" si="45"/>
        <v>310.10000000000008</v>
      </c>
      <c r="J294" s="63">
        <v>0</v>
      </c>
      <c r="K294" s="63">
        <f t="shared" si="41"/>
        <v>581.4</v>
      </c>
      <c r="L294" s="63">
        <v>4.2</v>
      </c>
      <c r="M294" s="63">
        <f t="shared" si="42"/>
        <v>324.59999999999991</v>
      </c>
      <c r="N294" s="70">
        <f t="shared" si="39"/>
        <v>-4.2</v>
      </c>
      <c r="O294" s="63">
        <v>87.9</v>
      </c>
      <c r="P294" s="63">
        <v>255</v>
      </c>
      <c r="Q294" s="63">
        <v>1.1499999999999999</v>
      </c>
      <c r="R294" s="64">
        <f t="shared" si="36"/>
        <v>4.83</v>
      </c>
      <c r="S294" s="64">
        <f t="shared" si="37"/>
        <v>-4.83</v>
      </c>
      <c r="T294" s="64">
        <f t="shared" si="44"/>
        <v>65.710561224489794</v>
      </c>
      <c r="V294" s="63">
        <v>2767</v>
      </c>
      <c r="W294" s="63">
        <f t="shared" si="38"/>
        <v>212.84615384615384</v>
      </c>
      <c r="X294" s="63">
        <f t="shared" si="43"/>
        <v>185319.00000000006</v>
      </c>
      <c r="Y294" s="63">
        <f t="shared" si="46"/>
        <v>33207.699999999997</v>
      </c>
      <c r="AA294" s="63">
        <v>15.1103297319513</v>
      </c>
    </row>
    <row r="295" spans="1:27" s="1" customFormat="1" x14ac:dyDescent="0.25">
      <c r="A295" s="83">
        <v>600</v>
      </c>
      <c r="B295" s="36"/>
      <c r="C295" s="3">
        <v>41776</v>
      </c>
      <c r="D295" s="1">
        <v>15</v>
      </c>
      <c r="E295" s="1">
        <v>9.4</v>
      </c>
      <c r="F295" s="1">
        <v>20.100000000000001</v>
      </c>
      <c r="G295" s="1">
        <f t="shared" si="40"/>
        <v>2419.2999999999997</v>
      </c>
      <c r="H295" s="1">
        <v>15</v>
      </c>
      <c r="I295" s="37" t="s">
        <v>3</v>
      </c>
      <c r="J295" s="1">
        <v>0</v>
      </c>
      <c r="K295" s="1">
        <f t="shared" si="41"/>
        <v>581.4</v>
      </c>
      <c r="L295" s="1">
        <v>5</v>
      </c>
      <c r="M295" s="1">
        <f t="shared" si="42"/>
        <v>329.59999999999991</v>
      </c>
      <c r="N295" s="5">
        <f t="shared" si="39"/>
        <v>-5</v>
      </c>
      <c r="O295" s="1">
        <v>82.9</v>
      </c>
      <c r="P295" s="1">
        <v>256</v>
      </c>
      <c r="Q295" s="11">
        <f>1.15+((P295-255)/62)*(0.35-1.15)</f>
        <v>1.1370967741935483</v>
      </c>
      <c r="R295" s="9">
        <f t="shared" si="36"/>
        <v>5.6854838709677411</v>
      </c>
      <c r="S295" s="9">
        <f t="shared" si="37"/>
        <v>-5.6854838709677411</v>
      </c>
      <c r="T295" s="9">
        <f t="shared" si="44"/>
        <v>60.02507735352205</v>
      </c>
      <c r="U295" s="37" t="s">
        <v>4</v>
      </c>
      <c r="V295" s="1">
        <v>2978.6</v>
      </c>
      <c r="W295" s="1">
        <f t="shared" si="38"/>
        <v>198.57333333333332</v>
      </c>
      <c r="X295" s="1">
        <f t="shared" si="43"/>
        <v>188297.60000000006</v>
      </c>
      <c r="Y295" s="1">
        <v>2978.6</v>
      </c>
      <c r="Z295" s="37" t="s">
        <v>5</v>
      </c>
      <c r="AA295" s="1">
        <v>15.151785450659901</v>
      </c>
    </row>
    <row r="296" spans="1:27" s="1" customFormat="1" x14ac:dyDescent="0.25">
      <c r="A296" s="83"/>
      <c r="B296" s="36"/>
      <c r="C296" s="3">
        <v>41777</v>
      </c>
      <c r="D296" s="1">
        <v>16.899999999999999</v>
      </c>
      <c r="E296" s="1">
        <v>9.6</v>
      </c>
      <c r="F296" s="1">
        <v>23.2</v>
      </c>
      <c r="G296" s="1">
        <f t="shared" si="40"/>
        <v>2436.1999999999998</v>
      </c>
      <c r="H296" s="1">
        <f t="shared" si="45"/>
        <v>31.9</v>
      </c>
      <c r="I296" s="1">
        <f>MIN(E295:E315)</f>
        <v>8</v>
      </c>
      <c r="J296" s="1">
        <v>0</v>
      </c>
      <c r="K296" s="1">
        <f t="shared" si="41"/>
        <v>581.4</v>
      </c>
      <c r="L296" s="1">
        <v>5.0999999999999996</v>
      </c>
      <c r="M296" s="1">
        <f t="shared" si="42"/>
        <v>334.69999999999993</v>
      </c>
      <c r="N296" s="5">
        <f t="shared" si="39"/>
        <v>-5.0999999999999996</v>
      </c>
      <c r="O296" s="1">
        <v>77.800000000000011</v>
      </c>
      <c r="P296" s="1">
        <v>257</v>
      </c>
      <c r="Q296" s="11">
        <f t="shared" ref="Q296:Q356" si="47">1.15+((P296-255)/62)*(0.35-1.15)</f>
        <v>1.1241935483870966</v>
      </c>
      <c r="R296" s="9">
        <f t="shared" ref="R296:R356" si="48">Q296*L296</f>
        <v>5.7333870967741927</v>
      </c>
      <c r="S296" s="9">
        <f t="shared" ref="S296:S356" si="49">J296-R296</f>
        <v>-5.7333870967741927</v>
      </c>
      <c r="T296" s="9">
        <f t="shared" si="44"/>
        <v>54.291690256747856</v>
      </c>
      <c r="U296" s="1">
        <v>14</v>
      </c>
      <c r="V296" s="1">
        <v>2957.3</v>
      </c>
      <c r="W296" s="1">
        <f t="shared" ref="W296:W356" si="50">V296/D296</f>
        <v>174.9881656804734</v>
      </c>
      <c r="X296" s="1">
        <f t="shared" si="43"/>
        <v>191254.90000000005</v>
      </c>
      <c r="Y296" s="1">
        <f t="shared" si="46"/>
        <v>5935.9</v>
      </c>
      <c r="Z296" s="1">
        <v>34796.6</v>
      </c>
      <c r="AA296" s="1">
        <v>15.192489389051699</v>
      </c>
    </row>
    <row r="297" spans="1:27" s="1" customFormat="1" x14ac:dyDescent="0.25">
      <c r="A297" s="83"/>
      <c r="B297" s="36"/>
      <c r="C297" s="3">
        <v>41778</v>
      </c>
      <c r="D297" s="1">
        <v>17.899999999999999</v>
      </c>
      <c r="E297" s="1">
        <v>10.9</v>
      </c>
      <c r="F297" s="1">
        <v>23.3</v>
      </c>
      <c r="G297" s="1">
        <f t="shared" si="40"/>
        <v>2454.1</v>
      </c>
      <c r="H297" s="1">
        <f t="shared" si="45"/>
        <v>49.8</v>
      </c>
      <c r="I297" s="37" t="s">
        <v>6</v>
      </c>
      <c r="J297" s="1">
        <v>0.1</v>
      </c>
      <c r="K297" s="1">
        <f t="shared" si="41"/>
        <v>581.5</v>
      </c>
      <c r="L297" s="1">
        <v>4.7</v>
      </c>
      <c r="M297" s="1">
        <f t="shared" si="42"/>
        <v>339.39999999999992</v>
      </c>
      <c r="N297" s="5">
        <f t="shared" ref="N297:N356" si="51">J297-L297</f>
        <v>-4.6000000000000005</v>
      </c>
      <c r="O297" s="1">
        <v>73.200000000000017</v>
      </c>
      <c r="P297" s="1">
        <v>258</v>
      </c>
      <c r="Q297" s="11">
        <f t="shared" si="47"/>
        <v>1.111290322580645</v>
      </c>
      <c r="R297" s="9">
        <f t="shared" si="48"/>
        <v>5.2230645161290319</v>
      </c>
      <c r="S297" s="9">
        <f t="shared" si="49"/>
        <v>-5.1230645161290322</v>
      </c>
      <c r="T297" s="9">
        <f t="shared" si="44"/>
        <v>49.168625740618822</v>
      </c>
      <c r="U297" s="37" t="s">
        <v>7</v>
      </c>
      <c r="V297" s="1">
        <v>2548.1</v>
      </c>
      <c r="W297" s="1">
        <f t="shared" si="50"/>
        <v>142.35195530726259</v>
      </c>
      <c r="X297" s="1">
        <f t="shared" si="43"/>
        <v>193803.00000000006</v>
      </c>
      <c r="Y297" s="1">
        <f t="shared" si="46"/>
        <v>8484</v>
      </c>
      <c r="Z297" s="37" t="s">
        <v>8</v>
      </c>
      <c r="AA297" s="1">
        <v>15.2324173907634</v>
      </c>
    </row>
    <row r="298" spans="1:27" s="1" customFormat="1" x14ac:dyDescent="0.25">
      <c r="A298" s="83"/>
      <c r="B298" s="36"/>
      <c r="C298" s="3">
        <v>41779</v>
      </c>
      <c r="D298" s="1">
        <v>13.8</v>
      </c>
      <c r="E298" s="1">
        <v>12.8</v>
      </c>
      <c r="F298" s="1">
        <v>15.1</v>
      </c>
      <c r="G298" s="1">
        <f t="shared" ref="G298:G356" si="52">G297+D298</f>
        <v>2467.9</v>
      </c>
      <c r="H298" s="1">
        <f t="shared" si="45"/>
        <v>63.599999999999994</v>
      </c>
      <c r="I298" s="1">
        <f>MAX(F295:F315)</f>
        <v>26.7</v>
      </c>
      <c r="J298" s="1">
        <v>16.100000000000001</v>
      </c>
      <c r="K298" s="1">
        <f t="shared" ref="K298:K356" si="53">K297+J298</f>
        <v>597.6</v>
      </c>
      <c r="L298" s="1">
        <v>1.2</v>
      </c>
      <c r="M298" s="1">
        <f t="shared" ref="M298:M356" si="54">M297+L298</f>
        <v>340.59999999999991</v>
      </c>
      <c r="N298" s="1">
        <f t="shared" si="51"/>
        <v>14.900000000000002</v>
      </c>
      <c r="O298" s="1">
        <v>88.100000000000023</v>
      </c>
      <c r="P298" s="1">
        <v>259</v>
      </c>
      <c r="Q298" s="11">
        <f t="shared" si="47"/>
        <v>1.0983870967741935</v>
      </c>
      <c r="R298" s="9">
        <f t="shared" si="48"/>
        <v>1.3180645161290323</v>
      </c>
      <c r="S298" s="9">
        <f t="shared" si="49"/>
        <v>14.781935483870969</v>
      </c>
      <c r="T298" s="9">
        <f t="shared" si="44"/>
        <v>63.950561224489789</v>
      </c>
      <c r="U298" s="1">
        <v>0</v>
      </c>
      <c r="V298" s="1">
        <v>1064.3</v>
      </c>
      <c r="W298" s="1">
        <f t="shared" si="50"/>
        <v>77.123188405797094</v>
      </c>
      <c r="X298" s="1">
        <f t="shared" ref="X298:X356" si="55">X297+V298</f>
        <v>194867.30000000005</v>
      </c>
      <c r="Y298" s="1">
        <f t="shared" si="46"/>
        <v>9548.2999999999993</v>
      </c>
      <c r="Z298" s="11">
        <f>(Z296/100)/I308</f>
        <v>1.1503008264462811</v>
      </c>
      <c r="AA298" s="1">
        <v>15.2715450923428</v>
      </c>
    </row>
    <row r="299" spans="1:27" s="1" customFormat="1" x14ac:dyDescent="0.25">
      <c r="A299" s="83"/>
      <c r="B299" s="36"/>
      <c r="C299" s="3">
        <v>41780</v>
      </c>
      <c r="D299" s="1">
        <v>12.7</v>
      </c>
      <c r="E299" s="1">
        <v>11.8</v>
      </c>
      <c r="F299" s="1">
        <v>14.4</v>
      </c>
      <c r="G299" s="1">
        <f t="shared" si="52"/>
        <v>2480.6</v>
      </c>
      <c r="H299" s="1">
        <f t="shared" si="45"/>
        <v>76.3</v>
      </c>
      <c r="I299" s="37" t="s">
        <v>9</v>
      </c>
      <c r="J299" s="1">
        <v>16.100000000000001</v>
      </c>
      <c r="K299" s="1">
        <f t="shared" si="53"/>
        <v>613.70000000000005</v>
      </c>
      <c r="L299" s="1">
        <v>1.4</v>
      </c>
      <c r="M299" s="1">
        <f t="shared" si="54"/>
        <v>341.99999999999989</v>
      </c>
      <c r="N299" s="1">
        <f t="shared" si="51"/>
        <v>14.700000000000001</v>
      </c>
      <c r="O299" s="1">
        <v>102.80000000000003</v>
      </c>
      <c r="P299" s="1">
        <v>260</v>
      </c>
      <c r="Q299" s="11">
        <f t="shared" si="47"/>
        <v>1.0854838709677419</v>
      </c>
      <c r="R299" s="9">
        <f t="shared" si="48"/>
        <v>1.5196774193548386</v>
      </c>
      <c r="S299" s="9">
        <f t="shared" si="49"/>
        <v>14.580322580645163</v>
      </c>
      <c r="T299" s="9">
        <f t="shared" si="44"/>
        <v>78.530883805134948</v>
      </c>
      <c r="U299" s="37" t="s">
        <v>10</v>
      </c>
      <c r="V299" s="10">
        <v>867.6</v>
      </c>
      <c r="W299" s="1">
        <f t="shared" si="50"/>
        <v>68.314960629921259</v>
      </c>
      <c r="X299" s="1">
        <f t="shared" si="55"/>
        <v>195734.90000000005</v>
      </c>
      <c r="Y299" s="1">
        <f t="shared" si="46"/>
        <v>10415.9</v>
      </c>
      <c r="Z299" s="37" t="s">
        <v>11</v>
      </c>
      <c r="AA299" s="1">
        <v>15.3098479616944</v>
      </c>
    </row>
    <row r="300" spans="1:27" s="1" customFormat="1" x14ac:dyDescent="0.25">
      <c r="A300" s="83"/>
      <c r="B300" s="36"/>
      <c r="C300" s="3">
        <v>41781</v>
      </c>
      <c r="D300" s="1">
        <v>13.7</v>
      </c>
      <c r="E300" s="1">
        <v>10</v>
      </c>
      <c r="F300" s="1">
        <v>18.899999999999999</v>
      </c>
      <c r="G300" s="1">
        <f t="shared" si="52"/>
        <v>2494.2999999999997</v>
      </c>
      <c r="H300" s="1">
        <f t="shared" si="45"/>
        <v>90</v>
      </c>
      <c r="I300" s="9">
        <f>AVERAGE(D295:D315)</f>
        <v>14.404761904761905</v>
      </c>
      <c r="J300" s="1">
        <v>0.1</v>
      </c>
      <c r="K300" s="1">
        <f t="shared" si="53"/>
        <v>613.80000000000007</v>
      </c>
      <c r="L300" s="1">
        <v>3.6</v>
      </c>
      <c r="M300" s="1">
        <f t="shared" si="54"/>
        <v>345.59999999999991</v>
      </c>
      <c r="N300" s="5">
        <f t="shared" si="51"/>
        <v>-3.5</v>
      </c>
      <c r="O300" s="1">
        <v>99.300000000000026</v>
      </c>
      <c r="P300" s="1">
        <v>261</v>
      </c>
      <c r="Q300" s="11">
        <f t="shared" si="47"/>
        <v>1.0725806451612903</v>
      </c>
      <c r="R300" s="9">
        <f t="shared" si="48"/>
        <v>3.8612903225806452</v>
      </c>
      <c r="S300" s="9">
        <f t="shared" si="49"/>
        <v>-3.7612903225806451</v>
      </c>
      <c r="T300" s="9">
        <f t="shared" si="44"/>
        <v>74.769593482554299</v>
      </c>
      <c r="U300" s="1">
        <v>0</v>
      </c>
      <c r="V300" s="1">
        <v>1967.5</v>
      </c>
      <c r="W300" s="1">
        <f t="shared" si="50"/>
        <v>143.61313868613141</v>
      </c>
      <c r="X300" s="1">
        <f t="shared" si="55"/>
        <v>197702.40000000005</v>
      </c>
      <c r="Y300" s="1">
        <f t="shared" si="46"/>
        <v>12383.4</v>
      </c>
      <c r="Z300" s="1">
        <v>2</v>
      </c>
      <c r="AA300" s="1">
        <v>15.347301339131</v>
      </c>
    </row>
    <row r="301" spans="1:27" s="1" customFormat="1" x14ac:dyDescent="0.25">
      <c r="A301" s="83"/>
      <c r="B301" s="36"/>
      <c r="C301" s="3">
        <v>41782</v>
      </c>
      <c r="D301" s="1">
        <v>11.9</v>
      </c>
      <c r="E301" s="1">
        <v>10.8</v>
      </c>
      <c r="F301" s="1">
        <v>14.5</v>
      </c>
      <c r="G301" s="1">
        <f t="shared" si="52"/>
        <v>2506.1999999999998</v>
      </c>
      <c r="H301" s="1">
        <f t="shared" si="45"/>
        <v>101.9</v>
      </c>
      <c r="I301" s="37" t="s">
        <v>12</v>
      </c>
      <c r="J301" s="1">
        <v>2.2000000000000002</v>
      </c>
      <c r="K301" s="1">
        <f t="shared" si="53"/>
        <v>616.00000000000011</v>
      </c>
      <c r="L301" s="1">
        <v>2</v>
      </c>
      <c r="M301" s="1">
        <f t="shared" si="54"/>
        <v>347.59999999999991</v>
      </c>
      <c r="N301" s="1">
        <f t="shared" si="51"/>
        <v>0.20000000000000018</v>
      </c>
      <c r="O301" s="1">
        <v>99.500000000000028</v>
      </c>
      <c r="P301" s="1">
        <v>262</v>
      </c>
      <c r="Q301" s="11">
        <f t="shared" si="47"/>
        <v>1.0596774193548386</v>
      </c>
      <c r="R301" s="9">
        <f t="shared" si="48"/>
        <v>2.1193548387096772</v>
      </c>
      <c r="S301" s="9">
        <f t="shared" si="49"/>
        <v>8.0645161290322953E-2</v>
      </c>
      <c r="T301" s="9">
        <f t="shared" ref="T301:T356" si="56">MIN(138.9,(T300+S301))</f>
        <v>74.850238643844619</v>
      </c>
      <c r="U301" s="37" t="s">
        <v>13</v>
      </c>
      <c r="V301" s="1">
        <v>1322.4</v>
      </c>
      <c r="W301" s="1">
        <f t="shared" si="50"/>
        <v>111.12605042016807</v>
      </c>
      <c r="X301" s="1">
        <f t="shared" si="55"/>
        <v>199024.80000000005</v>
      </c>
      <c r="Y301" s="1">
        <f t="shared" si="46"/>
        <v>13705.8</v>
      </c>
      <c r="AA301" s="1">
        <v>15.3838804809943</v>
      </c>
    </row>
    <row r="302" spans="1:27" s="1" customFormat="1" x14ac:dyDescent="0.25">
      <c r="A302" s="83"/>
      <c r="B302" s="36"/>
      <c r="C302" s="3">
        <v>41783</v>
      </c>
      <c r="D302" s="1">
        <v>12.2</v>
      </c>
      <c r="E302" s="1">
        <v>8.3000000000000007</v>
      </c>
      <c r="F302" s="1">
        <v>15.4</v>
      </c>
      <c r="G302" s="1">
        <f t="shared" si="52"/>
        <v>2518.3999999999996</v>
      </c>
      <c r="H302" s="1">
        <f t="shared" si="45"/>
        <v>114.10000000000001</v>
      </c>
      <c r="I302" s="1">
        <v>0</v>
      </c>
      <c r="J302" s="1">
        <v>4.4000000000000004</v>
      </c>
      <c r="K302" s="1">
        <f t="shared" si="53"/>
        <v>620.40000000000009</v>
      </c>
      <c r="L302" s="1">
        <v>1.8</v>
      </c>
      <c r="M302" s="1">
        <f t="shared" si="54"/>
        <v>349.39999999999992</v>
      </c>
      <c r="N302" s="1">
        <f t="shared" si="51"/>
        <v>2.6000000000000005</v>
      </c>
      <c r="O302" s="1">
        <v>102.10000000000002</v>
      </c>
      <c r="P302" s="1">
        <v>263</v>
      </c>
      <c r="Q302" s="11">
        <f t="shared" si="47"/>
        <v>1.046774193548387</v>
      </c>
      <c r="R302" s="9">
        <f t="shared" si="48"/>
        <v>1.8841935483870966</v>
      </c>
      <c r="S302" s="9">
        <f t="shared" si="49"/>
        <v>2.5158064516129039</v>
      </c>
      <c r="T302" s="9">
        <f t="shared" si="56"/>
        <v>77.366045095457523</v>
      </c>
      <c r="U302" s="9">
        <f>MIN(T295:T315)</f>
        <v>49.168625740618822</v>
      </c>
      <c r="V302" s="1">
        <v>1486.7</v>
      </c>
      <c r="W302" s="1">
        <f t="shared" si="50"/>
        <v>121.86065573770493</v>
      </c>
      <c r="X302" s="1">
        <f t="shared" si="55"/>
        <v>200511.50000000006</v>
      </c>
      <c r="Y302" s="1">
        <f t="shared" si="46"/>
        <v>15192.5</v>
      </c>
      <c r="AA302" s="1">
        <v>15.419560605788201</v>
      </c>
    </row>
    <row r="303" spans="1:27" s="1" customFormat="1" x14ac:dyDescent="0.25">
      <c r="A303" s="83"/>
      <c r="B303" s="36"/>
      <c r="C303" s="3">
        <v>41784</v>
      </c>
      <c r="D303" s="1">
        <v>12.2</v>
      </c>
      <c r="E303" s="1">
        <v>8</v>
      </c>
      <c r="F303" s="1">
        <v>15.7</v>
      </c>
      <c r="G303" s="1">
        <f t="shared" si="52"/>
        <v>2530.5999999999995</v>
      </c>
      <c r="H303" s="1">
        <f t="shared" si="45"/>
        <v>126.30000000000001</v>
      </c>
      <c r="I303" s="37" t="s">
        <v>14</v>
      </c>
      <c r="J303" s="1">
        <v>2.6</v>
      </c>
      <c r="K303" s="1">
        <f t="shared" si="53"/>
        <v>623.00000000000011</v>
      </c>
      <c r="L303" s="1">
        <v>1.3</v>
      </c>
      <c r="M303" s="1">
        <f t="shared" si="54"/>
        <v>350.69999999999993</v>
      </c>
      <c r="N303" s="1">
        <f t="shared" si="51"/>
        <v>1.3</v>
      </c>
      <c r="O303" s="1">
        <v>103.40000000000002</v>
      </c>
      <c r="P303" s="1">
        <v>264</v>
      </c>
      <c r="Q303" s="11">
        <f t="shared" si="47"/>
        <v>1.0338709677419353</v>
      </c>
      <c r="R303" s="9">
        <f t="shared" si="48"/>
        <v>1.3440322580645159</v>
      </c>
      <c r="S303" s="9">
        <f t="shared" si="49"/>
        <v>1.2559677419354842</v>
      </c>
      <c r="T303" s="9">
        <f t="shared" si="56"/>
        <v>78.622012837393001</v>
      </c>
      <c r="U303" s="37" t="s">
        <v>15</v>
      </c>
      <c r="V303" s="1">
        <v>1116.8</v>
      </c>
      <c r="W303" s="1">
        <f t="shared" si="50"/>
        <v>91.540983606557376</v>
      </c>
      <c r="X303" s="1">
        <f t="shared" si="55"/>
        <v>201628.30000000005</v>
      </c>
      <c r="Y303" s="1">
        <f t="shared" si="46"/>
        <v>16309.3</v>
      </c>
      <c r="AA303" s="1">
        <v>15.454316942747701</v>
      </c>
    </row>
    <row r="304" spans="1:27" s="23" customFormat="1" x14ac:dyDescent="0.25">
      <c r="A304" s="83"/>
      <c r="B304" s="38"/>
      <c r="C304" s="22">
        <v>41785</v>
      </c>
      <c r="D304" s="23">
        <v>13.5</v>
      </c>
      <c r="E304" s="23">
        <v>11.3</v>
      </c>
      <c r="F304" s="23">
        <v>17.2</v>
      </c>
      <c r="G304" s="23">
        <f t="shared" si="52"/>
        <v>2544.0999999999995</v>
      </c>
      <c r="H304" s="23">
        <f t="shared" si="45"/>
        <v>139.80000000000001</v>
      </c>
      <c r="I304" s="23">
        <v>1</v>
      </c>
      <c r="J304" s="23">
        <v>0.7</v>
      </c>
      <c r="K304" s="23">
        <f t="shared" si="53"/>
        <v>623.70000000000016</v>
      </c>
      <c r="L304" s="23">
        <v>1.8</v>
      </c>
      <c r="M304" s="23">
        <f t="shared" si="54"/>
        <v>352.49999999999994</v>
      </c>
      <c r="N304" s="25">
        <f t="shared" si="51"/>
        <v>-1.1000000000000001</v>
      </c>
      <c r="O304" s="23">
        <v>102.30000000000003</v>
      </c>
      <c r="P304" s="23">
        <v>265</v>
      </c>
      <c r="Q304" s="11">
        <f t="shared" si="47"/>
        <v>1.0209677419354839</v>
      </c>
      <c r="R304" s="26">
        <f t="shared" si="48"/>
        <v>1.8377419354838711</v>
      </c>
      <c r="S304" s="26">
        <f t="shared" si="49"/>
        <v>-1.1377419354838711</v>
      </c>
      <c r="T304" s="9">
        <f t="shared" si="56"/>
        <v>77.484270901909127</v>
      </c>
      <c r="U304" s="9">
        <f>MAX(T295:T315)</f>
        <v>78.622012837393001</v>
      </c>
      <c r="V304" s="23">
        <v>1163.5</v>
      </c>
      <c r="W304" s="23">
        <f t="shared" si="50"/>
        <v>86.18518518518519</v>
      </c>
      <c r="X304" s="23">
        <f t="shared" si="55"/>
        <v>202791.80000000005</v>
      </c>
      <c r="Y304" s="1">
        <f t="shared" si="46"/>
        <v>17472.8</v>
      </c>
      <c r="AA304" s="1">
        <v>15.488124782742901</v>
      </c>
    </row>
    <row r="305" spans="1:27" s="1" customFormat="1" x14ac:dyDescent="0.25">
      <c r="A305" s="83"/>
      <c r="B305" s="36"/>
      <c r="C305" s="3">
        <v>41786</v>
      </c>
      <c r="D305" s="1">
        <v>12.7</v>
      </c>
      <c r="E305" s="1">
        <v>11.4</v>
      </c>
      <c r="F305" s="1">
        <v>14.6</v>
      </c>
      <c r="G305" s="1">
        <f t="shared" si="52"/>
        <v>2556.7999999999993</v>
      </c>
      <c r="H305" s="1">
        <f t="shared" si="45"/>
        <v>152.5</v>
      </c>
      <c r="I305" s="37" t="s">
        <v>16</v>
      </c>
      <c r="J305" s="1">
        <v>0.6</v>
      </c>
      <c r="K305" s="1">
        <f t="shared" si="53"/>
        <v>624.30000000000018</v>
      </c>
      <c r="L305" s="1">
        <v>1.5</v>
      </c>
      <c r="M305" s="1">
        <f t="shared" si="54"/>
        <v>353.99999999999994</v>
      </c>
      <c r="N305" s="5">
        <f t="shared" si="51"/>
        <v>-0.9</v>
      </c>
      <c r="O305" s="1">
        <v>101.40000000000002</v>
      </c>
      <c r="P305" s="1">
        <v>266</v>
      </c>
      <c r="Q305" s="11">
        <f t="shared" si="47"/>
        <v>1.0080645161290323</v>
      </c>
      <c r="R305" s="9">
        <f t="shared" si="48"/>
        <v>1.5120967741935485</v>
      </c>
      <c r="S305" s="9">
        <f t="shared" si="49"/>
        <v>-0.91209677419354851</v>
      </c>
      <c r="T305" s="9">
        <f t="shared" si="56"/>
        <v>76.572174127715584</v>
      </c>
      <c r="U305" s="37" t="s">
        <v>17</v>
      </c>
      <c r="V305" s="1">
        <v>1080.7</v>
      </c>
      <c r="W305" s="1">
        <f t="shared" si="50"/>
        <v>85.094488188976385</v>
      </c>
      <c r="X305" s="1">
        <f t="shared" si="55"/>
        <v>203872.50000000006</v>
      </c>
      <c r="Y305" s="1">
        <f t="shared" si="46"/>
        <v>18553.5</v>
      </c>
      <c r="AA305" s="1">
        <v>15.5209595313988</v>
      </c>
    </row>
    <row r="306" spans="1:27" s="1" customFormat="1" x14ac:dyDescent="0.25">
      <c r="A306" s="83"/>
      <c r="B306" s="36"/>
      <c r="C306" s="3">
        <v>41787</v>
      </c>
      <c r="D306" s="1">
        <v>12.6</v>
      </c>
      <c r="E306" s="1">
        <v>9.6999999999999993</v>
      </c>
      <c r="F306" s="1">
        <v>14.9</v>
      </c>
      <c r="G306" s="1">
        <f t="shared" si="52"/>
        <v>2569.3999999999992</v>
      </c>
      <c r="H306" s="1">
        <f t="shared" si="45"/>
        <v>165.1</v>
      </c>
      <c r="I306" s="1">
        <v>0</v>
      </c>
      <c r="J306" s="1">
        <v>0.7</v>
      </c>
      <c r="K306" s="1">
        <f t="shared" si="53"/>
        <v>625.00000000000023</v>
      </c>
      <c r="L306" s="1">
        <v>1.2</v>
      </c>
      <c r="M306" s="1">
        <f t="shared" si="54"/>
        <v>355.19999999999993</v>
      </c>
      <c r="N306" s="5">
        <f t="shared" si="51"/>
        <v>-0.5</v>
      </c>
      <c r="O306" s="1">
        <v>100.90000000000002</v>
      </c>
      <c r="P306" s="1">
        <v>267</v>
      </c>
      <c r="Q306" s="11">
        <f t="shared" si="47"/>
        <v>0.99516129032258061</v>
      </c>
      <c r="R306" s="9">
        <f t="shared" si="48"/>
        <v>1.1941935483870967</v>
      </c>
      <c r="S306" s="9">
        <f t="shared" si="49"/>
        <v>-0.49419354838709673</v>
      </c>
      <c r="T306" s="9">
        <f t="shared" si="56"/>
        <v>76.077980579328482</v>
      </c>
      <c r="U306" s="11">
        <f>AVERAGE(T295:T315)</f>
        <v>69.440991332016665</v>
      </c>
      <c r="V306" s="1">
        <v>908.6</v>
      </c>
      <c r="W306" s="1">
        <f t="shared" si="50"/>
        <v>72.111111111111114</v>
      </c>
      <c r="X306" s="1">
        <f t="shared" si="55"/>
        <v>204781.10000000006</v>
      </c>
      <c r="Y306" s="1">
        <f t="shared" si="46"/>
        <v>19462.099999999999</v>
      </c>
      <c r="AA306" s="1">
        <v>15.5527967642831</v>
      </c>
    </row>
    <row r="307" spans="1:27" s="1" customFormat="1" x14ac:dyDescent="0.25">
      <c r="A307" s="83"/>
      <c r="B307" s="36"/>
      <c r="C307" s="3">
        <v>41788</v>
      </c>
      <c r="D307" s="1">
        <v>13.9</v>
      </c>
      <c r="E307" s="1">
        <v>10.9</v>
      </c>
      <c r="F307" s="1">
        <v>17.399999999999999</v>
      </c>
      <c r="G307" s="1">
        <f t="shared" si="52"/>
        <v>2583.2999999999993</v>
      </c>
      <c r="H307" s="1">
        <f t="shared" ref="H307:H356" si="57">H306+D307</f>
        <v>179</v>
      </c>
      <c r="I307" s="37" t="s">
        <v>18</v>
      </c>
      <c r="J307" s="1">
        <v>0.2</v>
      </c>
      <c r="K307" s="1">
        <f t="shared" si="53"/>
        <v>625.20000000000027</v>
      </c>
      <c r="L307" s="1">
        <v>3.2</v>
      </c>
      <c r="M307" s="1">
        <f t="shared" si="54"/>
        <v>358.39999999999992</v>
      </c>
      <c r="N307" s="5">
        <f t="shared" si="51"/>
        <v>-3</v>
      </c>
      <c r="O307" s="1">
        <v>97.90000000000002</v>
      </c>
      <c r="P307" s="1">
        <v>268</v>
      </c>
      <c r="Q307" s="11">
        <f t="shared" si="47"/>
        <v>0.98225806451612896</v>
      </c>
      <c r="R307" s="9">
        <f t="shared" si="48"/>
        <v>3.1432258064516128</v>
      </c>
      <c r="S307" s="9">
        <f t="shared" si="49"/>
        <v>-2.9432258064516126</v>
      </c>
      <c r="T307" s="9">
        <f t="shared" si="56"/>
        <v>73.134754772876875</v>
      </c>
      <c r="V307" s="1">
        <v>2122.6999999999998</v>
      </c>
      <c r="W307" s="1">
        <f t="shared" si="50"/>
        <v>152.71223021582733</v>
      </c>
      <c r="X307" s="1">
        <f t="shared" si="55"/>
        <v>206903.80000000008</v>
      </c>
      <c r="Y307" s="1">
        <f t="shared" ref="Y307:Y356" si="58">Y306+V307</f>
        <v>21584.799999999999</v>
      </c>
      <c r="AA307" s="1">
        <v>15.583612283995301</v>
      </c>
    </row>
    <row r="308" spans="1:27" s="1" customFormat="1" x14ac:dyDescent="0.25">
      <c r="A308" s="83"/>
      <c r="B308" s="36"/>
      <c r="C308" s="3">
        <v>41789</v>
      </c>
      <c r="D308" s="1">
        <v>14.4</v>
      </c>
      <c r="E308" s="1">
        <v>8.4</v>
      </c>
      <c r="F308" s="1">
        <v>17.899999999999999</v>
      </c>
      <c r="G308" s="1">
        <f t="shared" si="52"/>
        <v>2597.6999999999994</v>
      </c>
      <c r="H308" s="1">
        <f t="shared" si="57"/>
        <v>193.4</v>
      </c>
      <c r="I308" s="1">
        <v>302.5</v>
      </c>
      <c r="J308" s="1">
        <v>0.9</v>
      </c>
      <c r="K308" s="1">
        <f t="shared" si="53"/>
        <v>626.10000000000025</v>
      </c>
      <c r="L308" s="1">
        <v>1.9</v>
      </c>
      <c r="M308" s="1">
        <f t="shared" si="54"/>
        <v>360.2999999999999</v>
      </c>
      <c r="N308" s="5">
        <f t="shared" si="51"/>
        <v>-0.99999999999999989</v>
      </c>
      <c r="O308" s="1">
        <v>96.90000000000002</v>
      </c>
      <c r="P308" s="1">
        <v>269</v>
      </c>
      <c r="Q308" s="11">
        <f t="shared" si="47"/>
        <v>0.96935483870967731</v>
      </c>
      <c r="R308" s="9">
        <f t="shared" si="48"/>
        <v>1.8417741935483869</v>
      </c>
      <c r="S308" s="9">
        <f t="shared" si="49"/>
        <v>-0.94177419354838687</v>
      </c>
      <c r="T308" s="9">
        <f t="shared" si="56"/>
        <v>72.192980579328491</v>
      </c>
      <c r="U308" s="9">
        <f>(U306*100)/138.9</f>
        <v>49.993514277909767</v>
      </c>
      <c r="V308" s="1">
        <v>1297.2</v>
      </c>
      <c r="W308" s="1">
        <f t="shared" si="50"/>
        <v>90.083333333333329</v>
      </c>
      <c r="X308" s="1">
        <f t="shared" si="55"/>
        <v>208201.00000000009</v>
      </c>
      <c r="Y308" s="1">
        <f t="shared" si="58"/>
        <v>22882</v>
      </c>
      <c r="AA308" s="1">
        <v>15.613382178962199</v>
      </c>
    </row>
    <row r="309" spans="1:27" s="1" customFormat="1" x14ac:dyDescent="0.25">
      <c r="A309" s="83"/>
      <c r="B309" s="36"/>
      <c r="C309" s="3">
        <v>41790</v>
      </c>
      <c r="D309" s="1">
        <v>16</v>
      </c>
      <c r="E309" s="1">
        <v>12.2</v>
      </c>
      <c r="F309" s="1">
        <v>20</v>
      </c>
      <c r="G309" s="1">
        <f t="shared" si="52"/>
        <v>2613.6999999999994</v>
      </c>
      <c r="H309" s="1">
        <f t="shared" si="57"/>
        <v>209.4</v>
      </c>
      <c r="J309" s="1">
        <v>0</v>
      </c>
      <c r="K309" s="1">
        <f t="shared" si="53"/>
        <v>626.10000000000025</v>
      </c>
      <c r="L309" s="1">
        <v>3.3</v>
      </c>
      <c r="M309" s="1">
        <f t="shared" si="54"/>
        <v>363.59999999999991</v>
      </c>
      <c r="N309" s="5">
        <f t="shared" si="51"/>
        <v>-3.3</v>
      </c>
      <c r="O309" s="1">
        <v>93.600000000000023</v>
      </c>
      <c r="P309" s="1">
        <v>270</v>
      </c>
      <c r="Q309" s="11">
        <f t="shared" si="47"/>
        <v>0.95645161290322567</v>
      </c>
      <c r="R309" s="9">
        <f t="shared" si="48"/>
        <v>3.1562903225806447</v>
      </c>
      <c r="S309" s="9">
        <f t="shared" si="49"/>
        <v>-3.1562903225806447</v>
      </c>
      <c r="T309" s="9">
        <f t="shared" si="56"/>
        <v>69.036690256747846</v>
      </c>
      <c r="V309" s="1">
        <v>1825.7</v>
      </c>
      <c r="W309" s="1">
        <f t="shared" si="50"/>
        <v>114.10625</v>
      </c>
      <c r="X309" s="1">
        <f t="shared" si="55"/>
        <v>210026.7000000001</v>
      </c>
      <c r="Y309" s="1">
        <f t="shared" si="58"/>
        <v>24707.7</v>
      </c>
      <c r="AA309" s="1">
        <v>15.642082883723599</v>
      </c>
    </row>
    <row r="310" spans="1:27" s="1" customFormat="1" x14ac:dyDescent="0.25">
      <c r="A310" s="83"/>
      <c r="B310" s="36"/>
      <c r="C310" s="3">
        <v>41791</v>
      </c>
      <c r="D310" s="1">
        <v>14.4</v>
      </c>
      <c r="E310" s="1">
        <v>10.9</v>
      </c>
      <c r="F310" s="1">
        <v>18.3</v>
      </c>
      <c r="G310" s="1">
        <f t="shared" si="52"/>
        <v>2628.0999999999995</v>
      </c>
      <c r="H310" s="1">
        <f t="shared" si="57"/>
        <v>223.8</v>
      </c>
      <c r="J310" s="1">
        <v>0</v>
      </c>
      <c r="K310" s="1">
        <f t="shared" si="53"/>
        <v>626.10000000000025</v>
      </c>
      <c r="L310" s="1">
        <v>2</v>
      </c>
      <c r="M310" s="1">
        <f t="shared" si="54"/>
        <v>365.59999999999991</v>
      </c>
      <c r="N310" s="5">
        <f t="shared" si="51"/>
        <v>-2</v>
      </c>
      <c r="O310" s="1">
        <v>91.600000000000023</v>
      </c>
      <c r="P310" s="1">
        <v>271</v>
      </c>
      <c r="Q310" s="11">
        <f t="shared" si="47"/>
        <v>0.94354838709677413</v>
      </c>
      <c r="R310" s="9">
        <f t="shared" si="48"/>
        <v>1.8870967741935483</v>
      </c>
      <c r="S310" s="9">
        <f t="shared" si="49"/>
        <v>-1.8870967741935483</v>
      </c>
      <c r="T310" s="9">
        <f t="shared" si="56"/>
        <v>67.149593482554295</v>
      </c>
      <c r="V310" s="1">
        <v>1064.9000000000001</v>
      </c>
      <c r="W310" s="1">
        <f t="shared" si="50"/>
        <v>73.9513888888889</v>
      </c>
      <c r="X310" s="1">
        <f t="shared" si="55"/>
        <v>211091.60000000009</v>
      </c>
      <c r="Y310" s="1">
        <f t="shared" si="58"/>
        <v>25772.600000000002</v>
      </c>
      <c r="AA310" s="1">
        <v>15.6696912404673</v>
      </c>
    </row>
    <row r="311" spans="1:27" s="1" customFormat="1" x14ac:dyDescent="0.25">
      <c r="A311" s="83"/>
      <c r="B311" s="36"/>
      <c r="C311" s="3">
        <v>41792</v>
      </c>
      <c r="D311" s="1">
        <v>15.7</v>
      </c>
      <c r="E311" s="1">
        <v>12.5</v>
      </c>
      <c r="F311" s="1">
        <v>18.600000000000001</v>
      </c>
      <c r="G311" s="1">
        <f t="shared" si="52"/>
        <v>2643.7999999999993</v>
      </c>
      <c r="H311" s="1">
        <f t="shared" si="57"/>
        <v>239.5</v>
      </c>
      <c r="J311" s="1">
        <v>0</v>
      </c>
      <c r="K311" s="1">
        <f t="shared" si="53"/>
        <v>626.10000000000025</v>
      </c>
      <c r="L311" s="1">
        <v>2.6</v>
      </c>
      <c r="M311" s="1">
        <f t="shared" si="54"/>
        <v>368.19999999999993</v>
      </c>
      <c r="N311" s="5">
        <f t="shared" si="51"/>
        <v>-2.6</v>
      </c>
      <c r="O311" s="1">
        <v>89.000000000000028</v>
      </c>
      <c r="P311" s="1">
        <v>272</v>
      </c>
      <c r="Q311" s="11">
        <f t="shared" si="47"/>
        <v>0.93064516129032249</v>
      </c>
      <c r="R311" s="9">
        <f t="shared" si="48"/>
        <v>2.4196774193548385</v>
      </c>
      <c r="S311" s="9">
        <f t="shared" si="49"/>
        <v>-2.4196774193548385</v>
      </c>
      <c r="T311" s="9">
        <f t="shared" si="56"/>
        <v>64.729916063199454</v>
      </c>
      <c r="V311" s="1">
        <v>1625</v>
      </c>
      <c r="W311" s="1">
        <f t="shared" si="50"/>
        <v>103.5031847133758</v>
      </c>
      <c r="X311" s="1">
        <f t="shared" si="55"/>
        <v>212716.60000000009</v>
      </c>
      <c r="Y311" s="1">
        <f t="shared" si="58"/>
        <v>27397.600000000002</v>
      </c>
      <c r="AA311" s="1">
        <v>15.696184561548201</v>
      </c>
    </row>
    <row r="312" spans="1:27" s="1" customFormat="1" x14ac:dyDescent="0.25">
      <c r="A312" s="83"/>
      <c r="B312" s="36"/>
      <c r="C312" s="3">
        <v>41793</v>
      </c>
      <c r="D312" s="1">
        <v>15.5</v>
      </c>
      <c r="E312" s="1">
        <v>13.1</v>
      </c>
      <c r="F312" s="1">
        <v>17.899999999999999</v>
      </c>
      <c r="G312" s="1">
        <f t="shared" si="52"/>
        <v>2659.2999999999993</v>
      </c>
      <c r="H312" s="1">
        <f t="shared" si="57"/>
        <v>255</v>
      </c>
      <c r="J312" s="1">
        <v>4.0999999999999996</v>
      </c>
      <c r="K312" s="1">
        <f t="shared" si="53"/>
        <v>630.20000000000027</v>
      </c>
      <c r="L312" s="1">
        <v>1.7</v>
      </c>
      <c r="M312" s="1">
        <f t="shared" si="54"/>
        <v>369.89999999999992</v>
      </c>
      <c r="N312" s="1">
        <f t="shared" si="51"/>
        <v>2.3999999999999995</v>
      </c>
      <c r="O312" s="1">
        <v>91.400000000000034</v>
      </c>
      <c r="P312" s="1">
        <v>273</v>
      </c>
      <c r="Q312" s="11">
        <f t="shared" si="47"/>
        <v>0.91774193548387084</v>
      </c>
      <c r="R312" s="9">
        <f t="shared" si="48"/>
        <v>1.5601612903225803</v>
      </c>
      <c r="S312" s="9">
        <f t="shared" si="49"/>
        <v>2.5398387096774195</v>
      </c>
      <c r="T312" s="9">
        <f t="shared" si="56"/>
        <v>67.26975477287688</v>
      </c>
      <c r="V312" s="1">
        <v>1105.8</v>
      </c>
      <c r="W312" s="1">
        <f t="shared" si="50"/>
        <v>71.341935483870969</v>
      </c>
      <c r="X312" s="1">
        <f t="shared" si="55"/>
        <v>213822.40000000008</v>
      </c>
      <c r="Y312" s="1">
        <f t="shared" si="58"/>
        <v>28503.4</v>
      </c>
      <c r="AA312" s="1">
        <v>15.7215406927068</v>
      </c>
    </row>
    <row r="313" spans="1:27" s="1" customFormat="1" x14ac:dyDescent="0.25">
      <c r="A313" s="83"/>
      <c r="B313" s="36"/>
      <c r="C313" s="3">
        <v>41794</v>
      </c>
      <c r="D313" s="1">
        <v>13</v>
      </c>
      <c r="E313" s="1">
        <v>12</v>
      </c>
      <c r="F313" s="1">
        <v>15.9</v>
      </c>
      <c r="G313" s="1">
        <f t="shared" si="52"/>
        <v>2672.2999999999993</v>
      </c>
      <c r="H313" s="1">
        <f t="shared" si="57"/>
        <v>268</v>
      </c>
      <c r="J313" s="1">
        <v>5.7</v>
      </c>
      <c r="K313" s="1">
        <f t="shared" si="53"/>
        <v>635.90000000000032</v>
      </c>
      <c r="L313" s="1">
        <v>1.5</v>
      </c>
      <c r="M313" s="1">
        <f t="shared" si="54"/>
        <v>371.39999999999992</v>
      </c>
      <c r="N313" s="1">
        <f t="shared" si="51"/>
        <v>4.2</v>
      </c>
      <c r="O313" s="1">
        <v>95.600000000000037</v>
      </c>
      <c r="P313" s="1">
        <v>274</v>
      </c>
      <c r="Q313" s="11">
        <f t="shared" si="47"/>
        <v>0.90483870967741931</v>
      </c>
      <c r="R313" s="9">
        <f t="shared" si="48"/>
        <v>1.357258064516129</v>
      </c>
      <c r="S313" s="9">
        <f t="shared" si="49"/>
        <v>4.342741935483871</v>
      </c>
      <c r="T313" s="9">
        <f t="shared" si="56"/>
        <v>71.612496708360752</v>
      </c>
      <c r="V313" s="10">
        <v>767.3</v>
      </c>
      <c r="W313" s="1">
        <f t="shared" si="50"/>
        <v>59.023076923076921</v>
      </c>
      <c r="X313" s="1">
        <f t="shared" si="55"/>
        <v>214589.70000000007</v>
      </c>
      <c r="Y313" s="1">
        <f t="shared" si="58"/>
        <v>29270.7</v>
      </c>
      <c r="AA313" s="1">
        <v>15.745738076679499</v>
      </c>
    </row>
    <row r="314" spans="1:27" s="1" customFormat="1" x14ac:dyDescent="0.25">
      <c r="A314" s="83"/>
      <c r="B314" s="36"/>
      <c r="C314" s="3">
        <v>41795</v>
      </c>
      <c r="D314" s="1">
        <v>14.2</v>
      </c>
      <c r="E314" s="1">
        <v>9.3000000000000007</v>
      </c>
      <c r="F314" s="1">
        <v>19</v>
      </c>
      <c r="G314" s="1">
        <f t="shared" si="52"/>
        <v>2686.4999999999991</v>
      </c>
      <c r="H314" s="1">
        <f t="shared" si="57"/>
        <v>282.2</v>
      </c>
      <c r="J314" s="1">
        <v>0</v>
      </c>
      <c r="K314" s="1">
        <f t="shared" si="53"/>
        <v>635.90000000000032</v>
      </c>
      <c r="L314" s="1">
        <v>4.2</v>
      </c>
      <c r="M314" s="1">
        <f t="shared" si="54"/>
        <v>375.59999999999991</v>
      </c>
      <c r="N314" s="5">
        <f t="shared" si="51"/>
        <v>-4.2</v>
      </c>
      <c r="O314" s="1">
        <v>91.400000000000034</v>
      </c>
      <c r="P314" s="1">
        <v>275</v>
      </c>
      <c r="Q314" s="11">
        <f t="shared" si="47"/>
        <v>0.89193548387096766</v>
      </c>
      <c r="R314" s="9">
        <f t="shared" si="48"/>
        <v>3.7461290322580645</v>
      </c>
      <c r="S314" s="9">
        <f t="shared" si="49"/>
        <v>-3.7461290322580645</v>
      </c>
      <c r="T314" s="9">
        <f t="shared" si="56"/>
        <v>67.866367676102684</v>
      </c>
      <c r="V314" s="1">
        <v>2779.5</v>
      </c>
      <c r="W314" s="1">
        <f t="shared" si="50"/>
        <v>195.73943661971833</v>
      </c>
      <c r="X314" s="1">
        <f t="shared" si="55"/>
        <v>217369.20000000007</v>
      </c>
      <c r="Y314" s="1">
        <f t="shared" si="58"/>
        <v>32050.2</v>
      </c>
      <c r="AA314" s="1">
        <v>15.7687558168754</v>
      </c>
    </row>
    <row r="315" spans="1:27" s="63" customFormat="1" ht="15.75" thickBot="1" x14ac:dyDescent="0.3">
      <c r="A315" s="83"/>
      <c r="B315" s="61">
        <v>600</v>
      </c>
      <c r="C315" s="66">
        <v>41796</v>
      </c>
      <c r="D315" s="63">
        <v>20.3</v>
      </c>
      <c r="E315" s="63">
        <v>10.5</v>
      </c>
      <c r="F315" s="69">
        <v>26.7</v>
      </c>
      <c r="G315" s="63">
        <f t="shared" si="52"/>
        <v>2706.7999999999993</v>
      </c>
      <c r="H315" s="63">
        <f t="shared" si="57"/>
        <v>302.5</v>
      </c>
      <c r="J315" s="63">
        <v>0</v>
      </c>
      <c r="K315" s="63">
        <f t="shared" si="53"/>
        <v>635.90000000000032</v>
      </c>
      <c r="L315" s="63">
        <v>4.9000000000000004</v>
      </c>
      <c r="M315" s="63">
        <f t="shared" si="54"/>
        <v>380.49999999999989</v>
      </c>
      <c r="N315" s="70">
        <f t="shared" si="51"/>
        <v>-4.9000000000000004</v>
      </c>
      <c r="O315" s="63">
        <v>86.500000000000028</v>
      </c>
      <c r="P315" s="63">
        <v>276</v>
      </c>
      <c r="Q315" s="67">
        <f t="shared" si="47"/>
        <v>0.87903225806451601</v>
      </c>
      <c r="R315" s="64">
        <f t="shared" si="48"/>
        <v>4.3072580645161285</v>
      </c>
      <c r="S315" s="64">
        <f t="shared" si="49"/>
        <v>-4.3072580645161285</v>
      </c>
      <c r="T315" s="64">
        <f t="shared" si="56"/>
        <v>63.559109611586557</v>
      </c>
      <c r="V315" s="63">
        <v>2746.4</v>
      </c>
      <c r="W315" s="63">
        <f t="shared" si="50"/>
        <v>135.29064039408868</v>
      </c>
      <c r="X315" s="63">
        <f t="shared" si="55"/>
        <v>220115.60000000006</v>
      </c>
      <c r="Y315" s="63">
        <f t="shared" si="58"/>
        <v>34796.6</v>
      </c>
      <c r="AA315" s="63">
        <v>15.7905737407762</v>
      </c>
    </row>
    <row r="316" spans="1:27" s="1" customFormat="1" x14ac:dyDescent="0.25">
      <c r="A316" s="74">
        <v>1000</v>
      </c>
      <c r="B316" s="36"/>
      <c r="C316" s="3">
        <v>41797</v>
      </c>
      <c r="D316" s="1">
        <v>22.2</v>
      </c>
      <c r="E316" s="1">
        <v>18.5</v>
      </c>
      <c r="F316" s="6">
        <v>26.4</v>
      </c>
      <c r="G316" s="1">
        <f t="shared" si="52"/>
        <v>2728.9999999999991</v>
      </c>
      <c r="H316" s="1">
        <v>22.2</v>
      </c>
      <c r="I316" s="39" t="s">
        <v>3</v>
      </c>
      <c r="J316" s="1">
        <v>4.2</v>
      </c>
      <c r="K316" s="1">
        <f t="shared" si="53"/>
        <v>640.10000000000036</v>
      </c>
      <c r="L316" s="1">
        <v>3.4</v>
      </c>
      <c r="M316" s="1">
        <f t="shared" si="54"/>
        <v>383.89999999999986</v>
      </c>
      <c r="N316" s="1">
        <f t="shared" si="51"/>
        <v>0.80000000000000027</v>
      </c>
      <c r="O316" s="1">
        <v>87.300000000000026</v>
      </c>
      <c r="P316" s="1">
        <v>277</v>
      </c>
      <c r="Q316" s="11">
        <f t="shared" si="47"/>
        <v>0.86612903225806437</v>
      </c>
      <c r="R316" s="9">
        <f t="shared" si="48"/>
        <v>2.9448387096774189</v>
      </c>
      <c r="S316" s="9">
        <f t="shared" si="49"/>
        <v>1.2551612903225813</v>
      </c>
      <c r="T316" s="9">
        <f t="shared" si="56"/>
        <v>64.81427090190914</v>
      </c>
      <c r="U316" s="39" t="s">
        <v>4</v>
      </c>
      <c r="V316" s="1">
        <v>1800.2</v>
      </c>
      <c r="W316" s="1">
        <f t="shared" si="50"/>
        <v>81.090090090090101</v>
      </c>
      <c r="X316" s="1">
        <f t="shared" si="55"/>
        <v>221915.80000000008</v>
      </c>
      <c r="Y316" s="1">
        <v>1800.2</v>
      </c>
      <c r="Z316" s="39" t="s">
        <v>5</v>
      </c>
      <c r="AA316" s="1">
        <v>15.8111724627038</v>
      </c>
    </row>
    <row r="317" spans="1:27" s="1" customFormat="1" x14ac:dyDescent="0.25">
      <c r="A317" s="74"/>
      <c r="B317" s="36"/>
      <c r="C317" s="3">
        <v>41798</v>
      </c>
      <c r="D317" s="1">
        <v>23</v>
      </c>
      <c r="E317" s="1">
        <v>18.5</v>
      </c>
      <c r="F317" s="6">
        <v>27.9</v>
      </c>
      <c r="G317" s="1">
        <f t="shared" si="52"/>
        <v>2751.9999999999991</v>
      </c>
      <c r="H317" s="1">
        <f t="shared" si="57"/>
        <v>45.2</v>
      </c>
      <c r="I317" s="1">
        <f>MIN(E316:E337)</f>
        <v>11.9</v>
      </c>
      <c r="J317" s="1">
        <v>2.7</v>
      </c>
      <c r="K317" s="1">
        <f t="shared" si="53"/>
        <v>642.80000000000041</v>
      </c>
      <c r="L317" s="1">
        <v>3.1</v>
      </c>
      <c r="M317" s="1">
        <f t="shared" si="54"/>
        <v>386.99999999999989</v>
      </c>
      <c r="N317" s="5">
        <f t="shared" si="51"/>
        <v>-0.39999999999999991</v>
      </c>
      <c r="O317" s="1">
        <v>86.90000000000002</v>
      </c>
      <c r="P317" s="1">
        <v>278</v>
      </c>
      <c r="Q317" s="11">
        <f t="shared" si="47"/>
        <v>0.85322580645161283</v>
      </c>
      <c r="R317" s="9">
        <f t="shared" si="48"/>
        <v>2.645</v>
      </c>
      <c r="S317" s="9">
        <f t="shared" si="49"/>
        <v>5.500000000000016E-2</v>
      </c>
      <c r="T317" s="9">
        <f t="shared" si="56"/>
        <v>64.869270901909147</v>
      </c>
      <c r="U317" s="1">
        <v>15</v>
      </c>
      <c r="V317" s="1">
        <v>1464</v>
      </c>
      <c r="W317" s="1">
        <f t="shared" si="50"/>
        <v>63.652173913043477</v>
      </c>
      <c r="X317" s="1">
        <f t="shared" si="55"/>
        <v>223379.80000000008</v>
      </c>
      <c r="Y317" s="1">
        <f t="shared" si="58"/>
        <v>3264.2</v>
      </c>
      <c r="Z317" s="1">
        <v>42975.8</v>
      </c>
      <c r="AA317" s="1">
        <v>15.830533445586701</v>
      </c>
    </row>
    <row r="318" spans="1:27" s="1" customFormat="1" x14ac:dyDescent="0.25">
      <c r="A318" s="74"/>
      <c r="B318" s="36"/>
      <c r="C318" s="3">
        <v>41799</v>
      </c>
      <c r="D318" s="1">
        <v>20.8</v>
      </c>
      <c r="E318" s="1">
        <v>18.100000000000001</v>
      </c>
      <c r="F318" s="1">
        <v>24.7</v>
      </c>
      <c r="G318" s="1">
        <f t="shared" si="52"/>
        <v>2772.7999999999993</v>
      </c>
      <c r="H318" s="1">
        <f t="shared" si="57"/>
        <v>66</v>
      </c>
      <c r="I318" s="39" t="s">
        <v>6</v>
      </c>
      <c r="J318" s="1">
        <v>17.399999999999999</v>
      </c>
      <c r="K318" s="1">
        <f t="shared" si="53"/>
        <v>660.20000000000039</v>
      </c>
      <c r="L318" s="1">
        <v>1.7</v>
      </c>
      <c r="M318" s="1">
        <f t="shared" si="54"/>
        <v>388.69999999999987</v>
      </c>
      <c r="N318" s="1">
        <f t="shared" si="51"/>
        <v>15.7</v>
      </c>
      <c r="O318" s="1">
        <v>102.60000000000002</v>
      </c>
      <c r="P318" s="1">
        <v>279</v>
      </c>
      <c r="Q318" s="11">
        <f t="shared" si="47"/>
        <v>0.8403225806451613</v>
      </c>
      <c r="R318" s="9">
        <f t="shared" si="48"/>
        <v>1.4285483870967741</v>
      </c>
      <c r="S318" s="9">
        <f t="shared" si="49"/>
        <v>15.971451612903225</v>
      </c>
      <c r="T318" s="9">
        <f t="shared" si="56"/>
        <v>80.84072251481237</v>
      </c>
      <c r="U318" s="39" t="s">
        <v>7</v>
      </c>
      <c r="V318" s="10">
        <v>776.8</v>
      </c>
      <c r="W318" s="1">
        <f t="shared" si="50"/>
        <v>37.34615384615384</v>
      </c>
      <c r="X318" s="1">
        <f t="shared" si="55"/>
        <v>224156.60000000006</v>
      </c>
      <c r="Y318" s="1">
        <f t="shared" si="58"/>
        <v>4041</v>
      </c>
      <c r="Z318" s="39" t="s">
        <v>8</v>
      </c>
      <c r="AA318" s="1">
        <v>15.848639061348299</v>
      </c>
    </row>
    <row r="319" spans="1:27" s="1" customFormat="1" x14ac:dyDescent="0.25">
      <c r="A319" s="74"/>
      <c r="B319" s="36"/>
      <c r="C319" s="3">
        <v>41800</v>
      </c>
      <c r="D319" s="1">
        <v>18.3</v>
      </c>
      <c r="E319" s="1">
        <v>17.899999999999999</v>
      </c>
      <c r="F319" s="1">
        <v>20.7</v>
      </c>
      <c r="G319" s="1">
        <f t="shared" si="52"/>
        <v>2791.0999999999995</v>
      </c>
      <c r="H319" s="1">
        <f t="shared" si="57"/>
        <v>84.3</v>
      </c>
      <c r="I319" s="1">
        <f>MAX(F316:F337)</f>
        <v>27.9</v>
      </c>
      <c r="J319" s="1">
        <v>7.2</v>
      </c>
      <c r="K319" s="1">
        <f t="shared" si="53"/>
        <v>667.40000000000043</v>
      </c>
      <c r="L319" s="1">
        <v>2.2999999999999998</v>
      </c>
      <c r="M319" s="1">
        <f t="shared" si="54"/>
        <v>390.99999999999989</v>
      </c>
      <c r="N319" s="1">
        <f t="shared" si="51"/>
        <v>4.9000000000000004</v>
      </c>
      <c r="O319" s="1">
        <v>107.50000000000003</v>
      </c>
      <c r="P319" s="1">
        <v>280</v>
      </c>
      <c r="Q319" s="11">
        <f t="shared" si="47"/>
        <v>0.82741935483870965</v>
      </c>
      <c r="R319" s="9">
        <f t="shared" si="48"/>
        <v>1.903064516129032</v>
      </c>
      <c r="S319" s="9">
        <f t="shared" si="49"/>
        <v>5.2969354838709677</v>
      </c>
      <c r="T319" s="9">
        <f t="shared" si="56"/>
        <v>86.137657998683338</v>
      </c>
      <c r="U319" s="1">
        <v>0</v>
      </c>
      <c r="V319" s="1">
        <v>1200.7</v>
      </c>
      <c r="W319" s="1">
        <f t="shared" si="50"/>
        <v>65.612021857923494</v>
      </c>
      <c r="X319" s="1">
        <f t="shared" si="55"/>
        <v>225357.30000000008</v>
      </c>
      <c r="Y319" s="1">
        <f t="shared" si="58"/>
        <v>5241.7</v>
      </c>
      <c r="Z319" s="11">
        <f>(Z317/100)/I329</f>
        <v>1.0512671232876714</v>
      </c>
      <c r="AA319" s="1">
        <v>15.8654726495367</v>
      </c>
    </row>
    <row r="320" spans="1:27" s="1" customFormat="1" x14ac:dyDescent="0.25">
      <c r="A320" s="74"/>
      <c r="B320" s="36"/>
      <c r="C320" s="3">
        <v>41801</v>
      </c>
      <c r="D320" s="1">
        <v>19.8</v>
      </c>
      <c r="E320" s="1">
        <v>14.3</v>
      </c>
      <c r="F320" s="1">
        <v>24</v>
      </c>
      <c r="G320" s="1">
        <f t="shared" si="52"/>
        <v>2810.8999999999996</v>
      </c>
      <c r="H320" s="1">
        <f t="shared" si="57"/>
        <v>104.1</v>
      </c>
      <c r="I320" s="39" t="s">
        <v>9</v>
      </c>
      <c r="J320" s="1">
        <v>0</v>
      </c>
      <c r="K320" s="1">
        <f t="shared" si="53"/>
        <v>667.40000000000043</v>
      </c>
      <c r="L320" s="1">
        <v>3.9</v>
      </c>
      <c r="M320" s="1">
        <f t="shared" si="54"/>
        <v>394.89999999999986</v>
      </c>
      <c r="N320" s="5">
        <f t="shared" si="51"/>
        <v>-3.9</v>
      </c>
      <c r="O320" s="1">
        <v>103.60000000000002</v>
      </c>
      <c r="P320" s="1">
        <v>281</v>
      </c>
      <c r="Q320" s="11">
        <f t="shared" si="47"/>
        <v>0.81451612903225801</v>
      </c>
      <c r="R320" s="9">
        <f t="shared" si="48"/>
        <v>3.1766129032258061</v>
      </c>
      <c r="S320" s="9">
        <f t="shared" si="49"/>
        <v>-3.1766129032258061</v>
      </c>
      <c r="T320" s="9">
        <f t="shared" si="56"/>
        <v>82.961045095457536</v>
      </c>
      <c r="U320" s="39" t="s">
        <v>10</v>
      </c>
      <c r="V320" s="1">
        <v>1992.3</v>
      </c>
      <c r="W320" s="1">
        <f t="shared" si="50"/>
        <v>100.62121212121211</v>
      </c>
      <c r="X320" s="1">
        <f t="shared" si="55"/>
        <v>227349.60000000006</v>
      </c>
      <c r="Y320" s="1">
        <f t="shared" si="58"/>
        <v>7234</v>
      </c>
      <c r="Z320" s="39" t="s">
        <v>11</v>
      </c>
      <c r="AA320" s="1">
        <v>15.881018573813099</v>
      </c>
    </row>
    <row r="321" spans="1:27" s="1" customFormat="1" x14ac:dyDescent="0.25">
      <c r="A321" s="74"/>
      <c r="B321" s="36"/>
      <c r="C321" s="3">
        <v>41802</v>
      </c>
      <c r="D321" s="1">
        <v>20.3</v>
      </c>
      <c r="E321" s="1">
        <v>16.5</v>
      </c>
      <c r="F321" s="1">
        <v>24.6</v>
      </c>
      <c r="G321" s="1">
        <f t="shared" si="52"/>
        <v>2831.2</v>
      </c>
      <c r="H321" s="1">
        <f t="shared" si="57"/>
        <v>124.39999999999999</v>
      </c>
      <c r="I321" s="9">
        <f>AVERAGE(D316:D337)</f>
        <v>18.581818181818186</v>
      </c>
      <c r="J321" s="1">
        <v>0</v>
      </c>
      <c r="K321" s="1">
        <f t="shared" si="53"/>
        <v>667.40000000000043</v>
      </c>
      <c r="L321" s="1">
        <v>5.9</v>
      </c>
      <c r="M321" s="1">
        <f t="shared" si="54"/>
        <v>400.79999999999984</v>
      </c>
      <c r="N321" s="5">
        <f t="shared" si="51"/>
        <v>-5.9</v>
      </c>
      <c r="O321" s="1">
        <v>97.700000000000017</v>
      </c>
      <c r="P321" s="1">
        <v>282</v>
      </c>
      <c r="Q321" s="11">
        <f t="shared" si="47"/>
        <v>0.80161290322580636</v>
      </c>
      <c r="R321" s="9">
        <f t="shared" si="48"/>
        <v>4.729516129032258</v>
      </c>
      <c r="S321" s="9">
        <f t="shared" si="49"/>
        <v>-4.729516129032258</v>
      </c>
      <c r="T321" s="9">
        <f t="shared" si="56"/>
        <v>78.231528966425273</v>
      </c>
      <c r="U321" s="1">
        <v>4</v>
      </c>
      <c r="V321" s="1">
        <v>3141.4</v>
      </c>
      <c r="W321" s="1">
        <f t="shared" si="50"/>
        <v>154.74876847290639</v>
      </c>
      <c r="X321" s="1">
        <f t="shared" si="55"/>
        <v>230491.00000000006</v>
      </c>
      <c r="Y321" s="1">
        <f t="shared" si="58"/>
        <v>10375.4</v>
      </c>
      <c r="Z321" s="1">
        <v>2</v>
      </c>
      <c r="AA321" s="1">
        <v>15.8952622759194</v>
      </c>
    </row>
    <row r="322" spans="1:27" s="1" customFormat="1" x14ac:dyDescent="0.25">
      <c r="A322" s="74"/>
      <c r="B322" s="36"/>
      <c r="C322" s="3">
        <v>41803</v>
      </c>
      <c r="D322" s="1">
        <v>19.600000000000001</v>
      </c>
      <c r="E322" s="1">
        <v>15.3</v>
      </c>
      <c r="F322" s="1">
        <v>24.3</v>
      </c>
      <c r="G322" s="1">
        <f t="shared" si="52"/>
        <v>2850.7999999999997</v>
      </c>
      <c r="H322" s="1">
        <f t="shared" si="57"/>
        <v>144</v>
      </c>
      <c r="I322" s="39" t="s">
        <v>12</v>
      </c>
      <c r="J322" s="1">
        <v>0</v>
      </c>
      <c r="K322" s="1">
        <f t="shared" si="53"/>
        <v>667.40000000000043</v>
      </c>
      <c r="L322" s="1">
        <v>5.6</v>
      </c>
      <c r="M322" s="1">
        <f t="shared" si="54"/>
        <v>406.39999999999986</v>
      </c>
      <c r="N322" s="5">
        <f t="shared" si="51"/>
        <v>-5.6</v>
      </c>
      <c r="O322" s="1">
        <v>92.100000000000023</v>
      </c>
      <c r="P322" s="1">
        <v>283</v>
      </c>
      <c r="Q322" s="11">
        <f t="shared" si="47"/>
        <v>0.78870967741935472</v>
      </c>
      <c r="R322" s="9">
        <f t="shared" si="48"/>
        <v>4.4167741935483864</v>
      </c>
      <c r="S322" s="9">
        <f t="shared" si="49"/>
        <v>-4.4167741935483864</v>
      </c>
      <c r="T322" s="9">
        <f t="shared" si="56"/>
        <v>73.814754772876881</v>
      </c>
      <c r="U322" s="39" t="s">
        <v>13</v>
      </c>
      <c r="V322" s="1">
        <v>3020.1</v>
      </c>
      <c r="W322" s="1">
        <f t="shared" si="50"/>
        <v>154.08673469387753</v>
      </c>
      <c r="X322" s="1">
        <f t="shared" si="55"/>
        <v>233511.10000000006</v>
      </c>
      <c r="Y322" s="1">
        <f t="shared" si="58"/>
        <v>13395.5</v>
      </c>
      <c r="AA322" s="1">
        <v>15.908190326753701</v>
      </c>
    </row>
    <row r="323" spans="1:27" s="1" customFormat="1" x14ac:dyDescent="0.25">
      <c r="A323" s="74"/>
      <c r="B323" s="36"/>
      <c r="C323" s="3">
        <v>41804</v>
      </c>
      <c r="D323" s="1">
        <v>18.100000000000001</v>
      </c>
      <c r="E323" s="1">
        <v>14.7</v>
      </c>
      <c r="F323" s="1">
        <v>21.9</v>
      </c>
      <c r="G323" s="1">
        <f t="shared" si="52"/>
        <v>2868.8999999999996</v>
      </c>
      <c r="H323" s="1">
        <f t="shared" si="57"/>
        <v>162.1</v>
      </c>
      <c r="I323" s="1">
        <v>0</v>
      </c>
      <c r="J323" s="1">
        <v>0</v>
      </c>
      <c r="K323" s="1">
        <f t="shared" si="53"/>
        <v>667.40000000000043</v>
      </c>
      <c r="L323" s="1">
        <v>4</v>
      </c>
      <c r="M323" s="1">
        <f t="shared" si="54"/>
        <v>410.39999999999986</v>
      </c>
      <c r="N323" s="5">
        <f t="shared" si="51"/>
        <v>-4</v>
      </c>
      <c r="O323" s="1">
        <v>88.100000000000023</v>
      </c>
      <c r="P323" s="1">
        <v>284</v>
      </c>
      <c r="Q323" s="11">
        <f t="shared" si="47"/>
        <v>0.77580645161290318</v>
      </c>
      <c r="R323" s="9">
        <f t="shared" si="48"/>
        <v>3.1032258064516127</v>
      </c>
      <c r="S323" s="9">
        <f t="shared" si="49"/>
        <v>-3.1032258064516127</v>
      </c>
      <c r="T323" s="9">
        <f t="shared" si="56"/>
        <v>70.711528966425263</v>
      </c>
      <c r="U323" s="9">
        <f>MIN(T316:T337)</f>
        <v>40.107012837392993</v>
      </c>
      <c r="V323" s="1">
        <v>1969.3</v>
      </c>
      <c r="W323" s="1">
        <f t="shared" si="50"/>
        <v>108.80110497237568</v>
      </c>
      <c r="X323" s="1">
        <f t="shared" si="55"/>
        <v>235480.40000000005</v>
      </c>
      <c r="Y323" s="1">
        <f t="shared" si="58"/>
        <v>15364.8</v>
      </c>
      <c r="AA323" s="1">
        <v>15.9197904741906</v>
      </c>
    </row>
    <row r="324" spans="1:27" s="1" customFormat="1" x14ac:dyDescent="0.25">
      <c r="A324" s="74"/>
      <c r="B324" s="36"/>
      <c r="C324" s="3">
        <v>41805</v>
      </c>
      <c r="D324" s="1">
        <v>16</v>
      </c>
      <c r="E324" s="1">
        <v>12.5</v>
      </c>
      <c r="F324" s="1">
        <v>19.5</v>
      </c>
      <c r="G324" s="1">
        <f t="shared" si="52"/>
        <v>2884.8999999999996</v>
      </c>
      <c r="H324" s="1">
        <f t="shared" si="57"/>
        <v>178.1</v>
      </c>
      <c r="I324" s="39" t="s">
        <v>14</v>
      </c>
      <c r="J324" s="1">
        <v>0</v>
      </c>
      <c r="K324" s="1">
        <f t="shared" si="53"/>
        <v>667.40000000000043</v>
      </c>
      <c r="L324" s="1">
        <v>4</v>
      </c>
      <c r="M324" s="1">
        <f t="shared" si="54"/>
        <v>414.39999999999986</v>
      </c>
      <c r="N324" s="5">
        <f t="shared" si="51"/>
        <v>-4</v>
      </c>
      <c r="O324" s="1">
        <v>84.100000000000023</v>
      </c>
      <c r="P324" s="1">
        <v>285</v>
      </c>
      <c r="Q324" s="11">
        <f t="shared" si="47"/>
        <v>0.76290322580645153</v>
      </c>
      <c r="R324" s="9">
        <f t="shared" si="48"/>
        <v>3.0516129032258061</v>
      </c>
      <c r="S324" s="9">
        <f t="shared" si="49"/>
        <v>-3.0516129032258061</v>
      </c>
      <c r="T324" s="9">
        <f t="shared" si="56"/>
        <v>67.659916063199461</v>
      </c>
      <c r="U324" s="39" t="s">
        <v>15</v>
      </c>
      <c r="V324" s="1">
        <v>2145.5</v>
      </c>
      <c r="W324" s="1">
        <f t="shared" si="50"/>
        <v>134.09375</v>
      </c>
      <c r="X324" s="1">
        <f t="shared" si="55"/>
        <v>237625.90000000005</v>
      </c>
      <c r="Y324" s="1">
        <f t="shared" si="58"/>
        <v>17510.3</v>
      </c>
      <c r="AA324" s="1">
        <v>15.9300516873031</v>
      </c>
    </row>
    <row r="325" spans="1:27" s="1" customFormat="1" x14ac:dyDescent="0.25">
      <c r="A325" s="74"/>
      <c r="B325" s="36"/>
      <c r="C325" s="3">
        <v>41806</v>
      </c>
      <c r="D325" s="1">
        <v>16</v>
      </c>
      <c r="E325" s="1">
        <v>11.9</v>
      </c>
      <c r="F325" s="1">
        <v>21</v>
      </c>
      <c r="G325" s="1">
        <f t="shared" si="52"/>
        <v>2900.8999999999996</v>
      </c>
      <c r="H325" s="1">
        <f t="shared" si="57"/>
        <v>194.1</v>
      </c>
      <c r="I325" s="1">
        <v>4</v>
      </c>
      <c r="J325" s="1">
        <v>0</v>
      </c>
      <c r="K325" s="1">
        <f t="shared" si="53"/>
        <v>667.40000000000043</v>
      </c>
      <c r="L325" s="1">
        <v>4.5999999999999996</v>
      </c>
      <c r="M325" s="1">
        <f t="shared" si="54"/>
        <v>418.99999999999989</v>
      </c>
      <c r="N325" s="5">
        <f t="shared" si="51"/>
        <v>-4.5999999999999996</v>
      </c>
      <c r="O325" s="1">
        <v>79.500000000000028</v>
      </c>
      <c r="P325" s="1">
        <v>286</v>
      </c>
      <c r="Q325" s="11">
        <f t="shared" si="47"/>
        <v>0.75</v>
      </c>
      <c r="R325" s="9">
        <f t="shared" si="48"/>
        <v>3.4499999999999997</v>
      </c>
      <c r="S325" s="9">
        <f t="shared" si="49"/>
        <v>-3.4499999999999997</v>
      </c>
      <c r="T325" s="9">
        <f t="shared" si="56"/>
        <v>64.209916063199458</v>
      </c>
      <c r="U325" s="9">
        <f>MAX(T316:T337)</f>
        <v>86.137657998683338</v>
      </c>
      <c r="V325" s="1">
        <v>2357</v>
      </c>
      <c r="W325" s="1">
        <f t="shared" si="50"/>
        <v>147.3125</v>
      </c>
      <c r="X325" s="1">
        <f t="shared" si="55"/>
        <v>239982.90000000005</v>
      </c>
      <c r="Y325" s="1">
        <f t="shared" si="58"/>
        <v>19867.3</v>
      </c>
      <c r="AA325" s="1">
        <v>15.938964196657301</v>
      </c>
    </row>
    <row r="326" spans="1:27" s="1" customFormat="1" x14ac:dyDescent="0.25">
      <c r="A326" s="74"/>
      <c r="B326" s="36"/>
      <c r="C326" s="3">
        <v>41807</v>
      </c>
      <c r="D326" s="1">
        <v>14.9</v>
      </c>
      <c r="E326" s="1">
        <v>12.2</v>
      </c>
      <c r="F326" s="1">
        <v>18</v>
      </c>
      <c r="G326" s="1">
        <f t="shared" si="52"/>
        <v>2915.7999999999997</v>
      </c>
      <c r="H326" s="1">
        <f t="shared" si="57"/>
        <v>209</v>
      </c>
      <c r="I326" s="39" t="s">
        <v>16</v>
      </c>
      <c r="J326" s="1">
        <v>0</v>
      </c>
      <c r="K326" s="1">
        <f t="shared" si="53"/>
        <v>667.40000000000043</v>
      </c>
      <c r="L326" s="1">
        <v>2.4</v>
      </c>
      <c r="M326" s="1">
        <f t="shared" si="54"/>
        <v>421.39999999999986</v>
      </c>
      <c r="N326" s="5">
        <f t="shared" si="51"/>
        <v>-2.4</v>
      </c>
      <c r="O326" s="1">
        <v>77.100000000000023</v>
      </c>
      <c r="P326" s="1">
        <v>287</v>
      </c>
      <c r="Q326" s="11">
        <f t="shared" si="47"/>
        <v>0.73709677419354835</v>
      </c>
      <c r="R326" s="9">
        <f t="shared" si="48"/>
        <v>1.7690322580645159</v>
      </c>
      <c r="S326" s="9">
        <f t="shared" si="49"/>
        <v>-1.7690322580645159</v>
      </c>
      <c r="T326" s="9">
        <f t="shared" si="56"/>
        <v>62.440883805134945</v>
      </c>
      <c r="U326" s="39" t="s">
        <v>17</v>
      </c>
      <c r="V326" s="1">
        <v>1085.4000000000001</v>
      </c>
      <c r="W326" s="1">
        <f t="shared" si="50"/>
        <v>72.845637583892625</v>
      </c>
      <c r="X326" s="1">
        <f t="shared" si="55"/>
        <v>241068.30000000005</v>
      </c>
      <c r="Y326" s="1">
        <f t="shared" si="58"/>
        <v>20952.7</v>
      </c>
      <c r="AA326" s="1">
        <v>15.9465195303799</v>
      </c>
    </row>
    <row r="327" spans="1:27" s="1" customFormat="1" x14ac:dyDescent="0.25">
      <c r="A327" s="74"/>
      <c r="B327" s="36"/>
      <c r="C327" s="3">
        <v>41808</v>
      </c>
      <c r="D327" s="1">
        <v>17.100000000000001</v>
      </c>
      <c r="E327" s="1">
        <v>12.8</v>
      </c>
      <c r="F327" s="1">
        <v>21.2</v>
      </c>
      <c r="G327" s="1">
        <f t="shared" si="52"/>
        <v>2932.8999999999996</v>
      </c>
      <c r="H327" s="1">
        <f t="shared" si="57"/>
        <v>226.1</v>
      </c>
      <c r="I327" s="1">
        <v>0</v>
      </c>
      <c r="J327" s="1">
        <v>0</v>
      </c>
      <c r="K327" s="1">
        <f t="shared" si="53"/>
        <v>667.40000000000043</v>
      </c>
      <c r="L327" s="1">
        <v>2.8</v>
      </c>
      <c r="M327" s="1">
        <f t="shared" si="54"/>
        <v>424.19999999999987</v>
      </c>
      <c r="N327" s="5">
        <f t="shared" si="51"/>
        <v>-2.8</v>
      </c>
      <c r="O327" s="1">
        <v>74.300000000000026</v>
      </c>
      <c r="P327" s="1">
        <v>288</v>
      </c>
      <c r="Q327" s="11">
        <f t="shared" si="47"/>
        <v>0.72419354838709671</v>
      </c>
      <c r="R327" s="9">
        <f t="shared" si="48"/>
        <v>2.0277419354838706</v>
      </c>
      <c r="S327" s="9">
        <f t="shared" si="49"/>
        <v>-2.0277419354838706</v>
      </c>
      <c r="T327" s="9">
        <f t="shared" si="56"/>
        <v>60.413141869651071</v>
      </c>
      <c r="U327" s="11">
        <f>AVERAGE(T316:T337)</f>
        <v>60.759344215692153</v>
      </c>
      <c r="V327" s="1">
        <v>1340.6</v>
      </c>
      <c r="W327" s="1">
        <f t="shared" si="50"/>
        <v>78.397660818713433</v>
      </c>
      <c r="X327" s="1">
        <f t="shared" si="55"/>
        <v>242408.90000000005</v>
      </c>
      <c r="Y327" s="1">
        <f t="shared" si="58"/>
        <v>22293.3</v>
      </c>
      <c r="AA327" s="1">
        <v>15.9527105457221</v>
      </c>
    </row>
    <row r="328" spans="1:27" s="23" customFormat="1" x14ac:dyDescent="0.25">
      <c r="A328" s="74"/>
      <c r="B328" s="38"/>
      <c r="C328" s="22">
        <v>41809</v>
      </c>
      <c r="D328" s="23">
        <v>17.399999999999999</v>
      </c>
      <c r="E328" s="23">
        <v>13.5</v>
      </c>
      <c r="F328" s="23">
        <v>21.9</v>
      </c>
      <c r="G328" s="23">
        <f t="shared" si="52"/>
        <v>2950.2999999999997</v>
      </c>
      <c r="H328" s="23">
        <f t="shared" si="57"/>
        <v>243.5</v>
      </c>
      <c r="I328" s="39" t="s">
        <v>18</v>
      </c>
      <c r="J328" s="23">
        <v>0</v>
      </c>
      <c r="K328" s="23">
        <f t="shared" si="53"/>
        <v>667.40000000000043</v>
      </c>
      <c r="L328" s="23">
        <v>3.5</v>
      </c>
      <c r="M328" s="23">
        <f t="shared" si="54"/>
        <v>427.69999999999987</v>
      </c>
      <c r="N328" s="25">
        <f t="shared" si="51"/>
        <v>-3.5</v>
      </c>
      <c r="O328" s="23">
        <v>70.800000000000026</v>
      </c>
      <c r="P328" s="23">
        <v>289</v>
      </c>
      <c r="Q328" s="11">
        <f t="shared" si="47"/>
        <v>0.71129032258064506</v>
      </c>
      <c r="R328" s="26">
        <f t="shared" si="48"/>
        <v>2.4895161290322578</v>
      </c>
      <c r="S328" s="26">
        <f t="shared" si="49"/>
        <v>-2.4895161290322578</v>
      </c>
      <c r="T328" s="9">
        <f t="shared" si="56"/>
        <v>57.92362574061881</v>
      </c>
      <c r="V328" s="23">
        <v>1920.5</v>
      </c>
      <c r="W328" s="23">
        <f t="shared" si="50"/>
        <v>110.37356321839081</v>
      </c>
      <c r="X328" s="23">
        <f t="shared" si="55"/>
        <v>244329.40000000005</v>
      </c>
      <c r="Y328" s="1">
        <f t="shared" si="58"/>
        <v>24213.8</v>
      </c>
      <c r="AA328" s="1">
        <v>15.9575314558762</v>
      </c>
    </row>
    <row r="329" spans="1:27" s="1" customFormat="1" ht="15" customHeight="1" x14ac:dyDescent="0.25">
      <c r="A329" s="74"/>
      <c r="B329" s="40"/>
      <c r="C329" s="3">
        <v>41810</v>
      </c>
      <c r="D329" s="1">
        <v>17.3</v>
      </c>
      <c r="E329" s="1">
        <v>11.9</v>
      </c>
      <c r="F329" s="1">
        <v>21.5</v>
      </c>
      <c r="G329" s="1">
        <f t="shared" si="52"/>
        <v>2967.6</v>
      </c>
      <c r="H329" s="1">
        <f t="shared" si="57"/>
        <v>260.8</v>
      </c>
      <c r="I329" s="1">
        <v>408.8</v>
      </c>
      <c r="J329" s="1">
        <v>0</v>
      </c>
      <c r="K329" s="1">
        <f t="shared" si="53"/>
        <v>667.40000000000043</v>
      </c>
      <c r="L329" s="1">
        <v>3.4</v>
      </c>
      <c r="M329" s="1">
        <f t="shared" si="54"/>
        <v>431.09999999999985</v>
      </c>
      <c r="N329" s="5">
        <f t="shared" si="51"/>
        <v>-3.4</v>
      </c>
      <c r="O329" s="1">
        <v>67.40000000000002</v>
      </c>
      <c r="P329" s="1">
        <v>290</v>
      </c>
      <c r="Q329" s="11">
        <f t="shared" si="47"/>
        <v>0.69838709677419342</v>
      </c>
      <c r="R329" s="9">
        <f t="shared" si="48"/>
        <v>2.3745161290322576</v>
      </c>
      <c r="S329" s="9">
        <f t="shared" si="49"/>
        <v>-2.3745161290322576</v>
      </c>
      <c r="T329" s="9">
        <f t="shared" si="56"/>
        <v>55.549109611586552</v>
      </c>
      <c r="U329" s="9">
        <f>(U327*100)/138.9</f>
        <v>43.743228377028188</v>
      </c>
      <c r="V329" s="1">
        <v>2047.1</v>
      </c>
      <c r="W329" s="1">
        <f t="shared" si="50"/>
        <v>118.32947976878611</v>
      </c>
      <c r="X329" s="1">
        <f t="shared" si="55"/>
        <v>246376.50000000006</v>
      </c>
      <c r="Y329" s="1">
        <f t="shared" si="58"/>
        <v>26260.899999999998</v>
      </c>
      <c r="AA329" s="1">
        <v>15.9609778518367</v>
      </c>
    </row>
    <row r="330" spans="1:27" s="1" customFormat="1" x14ac:dyDescent="0.25">
      <c r="A330" s="74"/>
      <c r="B330" s="40"/>
      <c r="C330" s="3">
        <v>41811</v>
      </c>
      <c r="D330" s="1">
        <v>19.100000000000001</v>
      </c>
      <c r="E330" s="1">
        <v>13.5</v>
      </c>
      <c r="F330" s="1">
        <v>24.4</v>
      </c>
      <c r="G330" s="1">
        <f t="shared" si="52"/>
        <v>2986.7</v>
      </c>
      <c r="H330" s="1">
        <f t="shared" si="57"/>
        <v>279.90000000000003</v>
      </c>
      <c r="J330" s="1">
        <v>0</v>
      </c>
      <c r="K330" s="1">
        <f t="shared" si="53"/>
        <v>667.40000000000043</v>
      </c>
      <c r="L330" s="1">
        <v>6.2</v>
      </c>
      <c r="M330" s="1">
        <f t="shared" si="54"/>
        <v>437.29999999999984</v>
      </c>
      <c r="N330" s="5">
        <f t="shared" si="51"/>
        <v>-6.2</v>
      </c>
      <c r="O330" s="1">
        <v>61.200000000000017</v>
      </c>
      <c r="P330" s="1">
        <v>291</v>
      </c>
      <c r="Q330" s="11">
        <f t="shared" si="47"/>
        <v>0.68548387096774177</v>
      </c>
      <c r="R330" s="9">
        <f t="shared" si="48"/>
        <v>4.2499999999999991</v>
      </c>
      <c r="S330" s="9">
        <f t="shared" si="49"/>
        <v>-4.2499999999999991</v>
      </c>
      <c r="T330" s="9">
        <f t="shared" si="56"/>
        <v>51.299109611586552</v>
      </c>
      <c r="V330" s="1">
        <v>3236.4</v>
      </c>
      <c r="W330" s="1">
        <f t="shared" si="50"/>
        <v>169.44502617801047</v>
      </c>
      <c r="X330" s="1">
        <f t="shared" si="55"/>
        <v>249612.90000000005</v>
      </c>
      <c r="Y330" s="1">
        <f t="shared" si="58"/>
        <v>29497.3</v>
      </c>
      <c r="AA330" s="1">
        <v>15.963046719130899</v>
      </c>
    </row>
    <row r="331" spans="1:27" s="1" customFormat="1" x14ac:dyDescent="0.25">
      <c r="A331" s="74"/>
      <c r="B331" s="40"/>
      <c r="C331" s="3">
        <v>41812</v>
      </c>
      <c r="D331" s="1">
        <v>21</v>
      </c>
      <c r="E331" s="1">
        <v>14.7</v>
      </c>
      <c r="F331" s="6">
        <v>26.8</v>
      </c>
      <c r="G331" s="1">
        <f t="shared" si="52"/>
        <v>3007.7</v>
      </c>
      <c r="H331" s="1">
        <f t="shared" si="57"/>
        <v>300.90000000000003</v>
      </c>
      <c r="J331" s="1">
        <v>0</v>
      </c>
      <c r="K331" s="1">
        <f t="shared" si="53"/>
        <v>667.40000000000043</v>
      </c>
      <c r="L331" s="1">
        <v>5.7</v>
      </c>
      <c r="M331" s="1">
        <f t="shared" si="54"/>
        <v>442.99999999999983</v>
      </c>
      <c r="N331" s="5">
        <f t="shared" si="51"/>
        <v>-5.7</v>
      </c>
      <c r="O331" s="1">
        <v>55.500000000000014</v>
      </c>
      <c r="P331" s="1">
        <v>292</v>
      </c>
      <c r="Q331" s="11">
        <f t="shared" si="47"/>
        <v>0.67258064516129024</v>
      </c>
      <c r="R331" s="9">
        <f t="shared" si="48"/>
        <v>3.8337096774193546</v>
      </c>
      <c r="S331" s="9">
        <f t="shared" si="49"/>
        <v>-3.8337096774193546</v>
      </c>
      <c r="T331" s="9">
        <f t="shared" si="56"/>
        <v>47.465399934167195</v>
      </c>
      <c r="V331" s="1">
        <v>2627.1</v>
      </c>
      <c r="W331" s="1">
        <f t="shared" si="50"/>
        <v>125.1</v>
      </c>
      <c r="X331" s="1">
        <f t="shared" si="55"/>
        <v>252240.00000000006</v>
      </c>
      <c r="Y331" s="1">
        <f t="shared" si="58"/>
        <v>32124.399999999998</v>
      </c>
      <c r="AA331" s="1">
        <v>15.963736449289</v>
      </c>
    </row>
    <row r="332" spans="1:27" s="1" customFormat="1" x14ac:dyDescent="0.25">
      <c r="A332" s="74"/>
      <c r="B332" s="40"/>
      <c r="C332" s="3">
        <v>41813</v>
      </c>
      <c r="D332" s="1">
        <v>17.2</v>
      </c>
      <c r="E332" s="1">
        <v>14.9</v>
      </c>
      <c r="F332" s="1">
        <v>20.5</v>
      </c>
      <c r="G332" s="1">
        <f t="shared" si="52"/>
        <v>3024.8999999999996</v>
      </c>
      <c r="H332" s="1">
        <f t="shared" si="57"/>
        <v>318.10000000000002</v>
      </c>
      <c r="J332" s="1">
        <v>0.5</v>
      </c>
      <c r="K332" s="1">
        <f t="shared" si="53"/>
        <v>667.90000000000043</v>
      </c>
      <c r="L332" s="1">
        <v>2.4</v>
      </c>
      <c r="M332" s="1">
        <f t="shared" si="54"/>
        <v>445.39999999999981</v>
      </c>
      <c r="N332" s="5">
        <f t="shared" si="51"/>
        <v>-1.9</v>
      </c>
      <c r="O332" s="1">
        <v>53.600000000000016</v>
      </c>
      <c r="P332" s="1">
        <v>293</v>
      </c>
      <c r="Q332" s="11">
        <f t="shared" si="47"/>
        <v>0.6596774193548387</v>
      </c>
      <c r="R332" s="9">
        <f t="shared" si="48"/>
        <v>1.5832258064516129</v>
      </c>
      <c r="S332" s="9">
        <f t="shared" si="49"/>
        <v>-1.0832258064516129</v>
      </c>
      <c r="T332" s="9">
        <f t="shared" si="56"/>
        <v>46.382174127715579</v>
      </c>
      <c r="V332" s="1">
        <v>1290.8</v>
      </c>
      <c r="W332" s="1">
        <f t="shared" si="50"/>
        <v>75.04651162790698</v>
      </c>
      <c r="X332" s="1">
        <f t="shared" si="55"/>
        <v>253530.80000000005</v>
      </c>
      <c r="Y332" s="1">
        <f t="shared" si="58"/>
        <v>33415.199999999997</v>
      </c>
      <c r="AA332" s="1">
        <v>15.9630468459601</v>
      </c>
    </row>
    <row r="333" spans="1:27" s="1" customFormat="1" x14ac:dyDescent="0.25">
      <c r="A333" s="74"/>
      <c r="B333" s="40"/>
      <c r="C333" s="3">
        <v>41814</v>
      </c>
      <c r="D333" s="1">
        <v>19.7</v>
      </c>
      <c r="E333" s="1">
        <v>13</v>
      </c>
      <c r="F333" s="1">
        <v>24.8</v>
      </c>
      <c r="G333" s="1">
        <f t="shared" si="52"/>
        <v>3044.5999999999995</v>
      </c>
      <c r="H333" s="1">
        <f t="shared" si="57"/>
        <v>337.8</v>
      </c>
      <c r="J333" s="1">
        <v>0</v>
      </c>
      <c r="K333" s="1">
        <f t="shared" si="53"/>
        <v>667.90000000000043</v>
      </c>
      <c r="L333" s="1">
        <v>4.9000000000000004</v>
      </c>
      <c r="M333" s="1">
        <f t="shared" si="54"/>
        <v>450.29999999999978</v>
      </c>
      <c r="N333" s="5">
        <f t="shared" si="51"/>
        <v>-4.9000000000000004</v>
      </c>
      <c r="O333" s="1">
        <v>48.700000000000017</v>
      </c>
      <c r="P333" s="1">
        <v>294</v>
      </c>
      <c r="Q333" s="11">
        <f t="shared" si="47"/>
        <v>0.64677419354838706</v>
      </c>
      <c r="R333" s="9">
        <f t="shared" si="48"/>
        <v>3.169193548387097</v>
      </c>
      <c r="S333" s="9">
        <f t="shared" si="49"/>
        <v>-3.169193548387097</v>
      </c>
      <c r="T333" s="9">
        <f t="shared" si="56"/>
        <v>43.21298057932848</v>
      </c>
      <c r="V333" s="1">
        <v>2549.9</v>
      </c>
      <c r="W333" s="1">
        <f t="shared" si="50"/>
        <v>129.43654822335026</v>
      </c>
      <c r="X333" s="1">
        <f t="shared" si="55"/>
        <v>256080.70000000004</v>
      </c>
      <c r="Y333" s="1">
        <f t="shared" si="58"/>
        <v>35965.1</v>
      </c>
      <c r="AA333" s="1">
        <v>15.9609791256254</v>
      </c>
    </row>
    <row r="334" spans="1:27" s="1" customFormat="1" x14ac:dyDescent="0.25">
      <c r="A334" s="74"/>
      <c r="B334" s="40"/>
      <c r="C334" s="3">
        <v>41815</v>
      </c>
      <c r="D334" s="1">
        <v>19.3</v>
      </c>
      <c r="E334" s="1">
        <v>15.6</v>
      </c>
      <c r="F334" s="1">
        <v>24</v>
      </c>
      <c r="G334" s="1">
        <f t="shared" si="52"/>
        <v>3063.8999999999996</v>
      </c>
      <c r="H334" s="1">
        <f t="shared" si="57"/>
        <v>357.1</v>
      </c>
      <c r="J334" s="1">
        <v>0</v>
      </c>
      <c r="K334" s="1">
        <f t="shared" si="53"/>
        <v>667.90000000000043</v>
      </c>
      <c r="L334" s="1">
        <v>4.9000000000000004</v>
      </c>
      <c r="M334" s="1">
        <f t="shared" si="54"/>
        <v>455.19999999999976</v>
      </c>
      <c r="N334" s="5">
        <f t="shared" si="51"/>
        <v>-4.9000000000000004</v>
      </c>
      <c r="O334" s="41">
        <v>43.800000000000018</v>
      </c>
      <c r="P334" s="1">
        <v>295</v>
      </c>
      <c r="Q334" s="11">
        <f t="shared" si="47"/>
        <v>0.63387096774193541</v>
      </c>
      <c r="R334" s="9">
        <f t="shared" si="48"/>
        <v>3.1059677419354839</v>
      </c>
      <c r="S334" s="9">
        <f t="shared" si="49"/>
        <v>-3.1059677419354839</v>
      </c>
      <c r="T334" s="9">
        <f t="shared" si="56"/>
        <v>40.107012837392993</v>
      </c>
      <c r="V334" s="1">
        <v>2289.8000000000002</v>
      </c>
      <c r="W334" s="1">
        <f t="shared" si="50"/>
        <v>118.64248704663213</v>
      </c>
      <c r="X334" s="1">
        <f t="shared" si="55"/>
        <v>258370.50000000003</v>
      </c>
      <c r="Y334" s="1">
        <f t="shared" si="58"/>
        <v>38254.9</v>
      </c>
      <c r="AA334" s="1">
        <v>15.957535912903101</v>
      </c>
    </row>
    <row r="335" spans="1:27" s="1" customFormat="1" x14ac:dyDescent="0.25">
      <c r="A335" s="74"/>
      <c r="B335" s="40"/>
      <c r="C335" s="3">
        <v>41816</v>
      </c>
      <c r="D335" s="1">
        <v>18.600000000000001</v>
      </c>
      <c r="E335" s="1">
        <v>14.3</v>
      </c>
      <c r="F335" s="6">
        <v>25.4</v>
      </c>
      <c r="G335" s="1">
        <f t="shared" si="52"/>
        <v>3082.4999999999995</v>
      </c>
      <c r="H335" s="1">
        <f t="shared" si="57"/>
        <v>375.70000000000005</v>
      </c>
      <c r="J335" s="1">
        <v>3.9</v>
      </c>
      <c r="K335" s="1">
        <f t="shared" si="53"/>
        <v>671.80000000000041</v>
      </c>
      <c r="L335" s="1">
        <v>4.4000000000000004</v>
      </c>
      <c r="M335" s="1">
        <f t="shared" si="54"/>
        <v>459.59999999999974</v>
      </c>
      <c r="N335" s="5">
        <f t="shared" si="51"/>
        <v>-0.50000000000000044</v>
      </c>
      <c r="O335" s="41">
        <v>43.300000000000018</v>
      </c>
      <c r="P335" s="1">
        <v>296</v>
      </c>
      <c r="Q335" s="11">
        <f t="shared" si="47"/>
        <v>0.62096774193548387</v>
      </c>
      <c r="R335" s="9">
        <f t="shared" si="48"/>
        <v>2.7322580645161292</v>
      </c>
      <c r="S335" s="9">
        <f t="shared" si="49"/>
        <v>1.1677419354838707</v>
      </c>
      <c r="T335" s="9">
        <f t="shared" si="56"/>
        <v>41.274754772876861</v>
      </c>
      <c r="V335" s="1">
        <v>2093</v>
      </c>
      <c r="W335" s="1">
        <f t="shared" si="50"/>
        <v>112.5268817204301</v>
      </c>
      <c r="X335" s="1">
        <f t="shared" si="55"/>
        <v>260463.50000000003</v>
      </c>
      <c r="Y335" s="1">
        <f t="shared" si="58"/>
        <v>40347.9</v>
      </c>
      <c r="AA335" s="1">
        <v>15.9527212304833</v>
      </c>
    </row>
    <row r="336" spans="1:27" s="1" customFormat="1" x14ac:dyDescent="0.25">
      <c r="A336" s="74"/>
      <c r="B336" s="40"/>
      <c r="C336" s="3">
        <v>41817</v>
      </c>
      <c r="D336" s="1">
        <v>18.3</v>
      </c>
      <c r="E336" s="1">
        <v>13.6</v>
      </c>
      <c r="F336" s="1">
        <v>22.6</v>
      </c>
      <c r="G336" s="1">
        <f t="shared" si="52"/>
        <v>3100.7999999999997</v>
      </c>
      <c r="H336" s="1">
        <f t="shared" si="57"/>
        <v>394.00000000000006</v>
      </c>
      <c r="J336" s="1">
        <v>2.9</v>
      </c>
      <c r="K336" s="1">
        <f t="shared" si="53"/>
        <v>674.70000000000039</v>
      </c>
      <c r="L336" s="1">
        <v>3.1</v>
      </c>
      <c r="M336" s="1">
        <f t="shared" si="54"/>
        <v>462.69999999999976</v>
      </c>
      <c r="N336" s="5">
        <f t="shared" si="51"/>
        <v>-0.20000000000000018</v>
      </c>
      <c r="O336" s="41">
        <v>43.100000000000016</v>
      </c>
      <c r="P336" s="1">
        <v>297</v>
      </c>
      <c r="Q336" s="11">
        <f t="shared" si="47"/>
        <v>0.60806451612903223</v>
      </c>
      <c r="R336" s="9">
        <f t="shared" si="48"/>
        <v>1.885</v>
      </c>
      <c r="S336" s="9">
        <f t="shared" si="49"/>
        <v>1.0149999999999999</v>
      </c>
      <c r="T336" s="9">
        <f t="shared" si="56"/>
        <v>42.289754772876861</v>
      </c>
      <c r="V336" s="1">
        <v>1840.3</v>
      </c>
      <c r="W336" s="1">
        <f t="shared" si="50"/>
        <v>100.56284153005464</v>
      </c>
      <c r="X336" s="1">
        <f t="shared" si="55"/>
        <v>262303.80000000005</v>
      </c>
      <c r="Y336" s="1">
        <f t="shared" si="58"/>
        <v>42188.200000000004</v>
      </c>
      <c r="AA336" s="1">
        <v>15.946540483770599</v>
      </c>
    </row>
    <row r="337" spans="1:27" s="63" customFormat="1" ht="15.75" thickBot="1" x14ac:dyDescent="0.3">
      <c r="A337" s="74"/>
      <c r="B337" s="65">
        <v>1000</v>
      </c>
      <c r="C337" s="66">
        <v>41818</v>
      </c>
      <c r="D337" s="63">
        <v>14.8</v>
      </c>
      <c r="E337" s="63">
        <v>14.3</v>
      </c>
      <c r="F337" s="63">
        <v>16.8</v>
      </c>
      <c r="G337" s="63">
        <f t="shared" si="52"/>
        <v>3115.6</v>
      </c>
      <c r="H337" s="63">
        <f t="shared" si="57"/>
        <v>408.80000000000007</v>
      </c>
      <c r="J337" s="63">
        <v>12.7</v>
      </c>
      <c r="K337" s="63">
        <f t="shared" si="53"/>
        <v>687.40000000000043</v>
      </c>
      <c r="L337" s="63">
        <v>1.5</v>
      </c>
      <c r="M337" s="63">
        <f t="shared" si="54"/>
        <v>464.19999999999976</v>
      </c>
      <c r="N337" s="63">
        <f t="shared" si="51"/>
        <v>11.2</v>
      </c>
      <c r="O337" s="63">
        <v>54.300000000000011</v>
      </c>
      <c r="P337" s="63">
        <v>298</v>
      </c>
      <c r="Q337" s="67">
        <f t="shared" si="47"/>
        <v>0.59516129032258058</v>
      </c>
      <c r="R337" s="64">
        <f t="shared" si="48"/>
        <v>0.89274193548387082</v>
      </c>
      <c r="S337" s="64">
        <f t="shared" si="49"/>
        <v>11.807258064516128</v>
      </c>
      <c r="T337" s="64">
        <f t="shared" si="56"/>
        <v>54.097012837392988</v>
      </c>
      <c r="V337" s="68">
        <v>787.6</v>
      </c>
      <c r="W337" s="63">
        <f t="shared" si="50"/>
        <v>53.216216216216218</v>
      </c>
      <c r="X337" s="63">
        <f t="shared" si="55"/>
        <v>263091.40000000002</v>
      </c>
      <c r="Y337" s="63">
        <f t="shared" si="58"/>
        <v>42975.8</v>
      </c>
      <c r="AA337" s="63">
        <v>15.939000440360401</v>
      </c>
    </row>
    <row r="338" spans="1:27" s="1" customFormat="1" x14ac:dyDescent="0.25">
      <c r="A338" s="42"/>
      <c r="B338" s="40"/>
      <c r="C338" s="3">
        <v>41819</v>
      </c>
      <c r="D338" s="1">
        <v>15.3</v>
      </c>
      <c r="E338" s="1">
        <v>13.3</v>
      </c>
      <c r="F338" s="1">
        <v>18</v>
      </c>
      <c r="G338" s="1">
        <f t="shared" si="52"/>
        <v>3130.9</v>
      </c>
      <c r="H338" s="1">
        <v>15.3</v>
      </c>
      <c r="J338" s="1">
        <v>2.9</v>
      </c>
      <c r="K338" s="1">
        <f t="shared" si="53"/>
        <v>690.30000000000041</v>
      </c>
      <c r="L338" s="1">
        <v>3.4</v>
      </c>
      <c r="M338" s="1">
        <f t="shared" si="54"/>
        <v>467.59999999999974</v>
      </c>
      <c r="N338" s="5">
        <f t="shared" si="51"/>
        <v>-0.5</v>
      </c>
      <c r="O338" s="1">
        <v>53.800000000000011</v>
      </c>
      <c r="P338" s="1">
        <v>299</v>
      </c>
      <c r="Q338" s="11">
        <f t="shared" si="47"/>
        <v>0.58225806451612894</v>
      </c>
      <c r="R338" s="9">
        <f t="shared" si="48"/>
        <v>1.9796774193548383</v>
      </c>
      <c r="S338" s="9">
        <f t="shared" si="49"/>
        <v>0.92032258064516159</v>
      </c>
      <c r="T338" s="9">
        <f t="shared" si="56"/>
        <v>55.017335418038151</v>
      </c>
      <c r="V338" s="1">
        <v>1992.8</v>
      </c>
      <c r="W338" s="1">
        <f t="shared" si="50"/>
        <v>130.24836601307189</v>
      </c>
      <c r="X338" s="1">
        <f t="shared" si="55"/>
        <v>265084.2</v>
      </c>
      <c r="Y338" s="1">
        <f t="shared" si="58"/>
        <v>44968.600000000006</v>
      </c>
      <c r="AA338" s="1">
        <v>15.9301092045072</v>
      </c>
    </row>
    <row r="339" spans="1:27" s="1" customFormat="1" x14ac:dyDescent="0.25">
      <c r="A339" s="42"/>
      <c r="B339" s="40"/>
      <c r="C339" s="3">
        <v>41820</v>
      </c>
      <c r="D339" s="1">
        <v>16.2</v>
      </c>
      <c r="E339" s="1">
        <v>10.9</v>
      </c>
      <c r="F339" s="1">
        <v>20.3</v>
      </c>
      <c r="G339" s="1">
        <f t="shared" si="52"/>
        <v>3147.1</v>
      </c>
      <c r="H339" s="1">
        <f t="shared" si="57"/>
        <v>31.5</v>
      </c>
      <c r="J339" s="1">
        <v>0</v>
      </c>
      <c r="K339" s="1">
        <f t="shared" si="53"/>
        <v>690.30000000000041</v>
      </c>
      <c r="L339" s="1">
        <v>3.3</v>
      </c>
      <c r="M339" s="1">
        <f t="shared" si="54"/>
        <v>470.89999999999975</v>
      </c>
      <c r="N339" s="5">
        <f t="shared" si="51"/>
        <v>-3.3</v>
      </c>
      <c r="O339" s="1">
        <v>50.500000000000014</v>
      </c>
      <c r="P339" s="1">
        <v>300</v>
      </c>
      <c r="Q339" s="11">
        <f t="shared" si="47"/>
        <v>0.5693548387096774</v>
      </c>
      <c r="R339" s="9">
        <f t="shared" si="48"/>
        <v>1.8788709677419353</v>
      </c>
      <c r="S339" s="9">
        <f t="shared" si="49"/>
        <v>-1.8788709677419353</v>
      </c>
      <c r="T339" s="9">
        <f t="shared" si="56"/>
        <v>53.138464450296219</v>
      </c>
      <c r="V339" s="1">
        <v>1853.1</v>
      </c>
      <c r="W339" s="1">
        <f t="shared" si="50"/>
        <v>114.38888888888889</v>
      </c>
      <c r="X339" s="1">
        <f t="shared" si="55"/>
        <v>266937.3</v>
      </c>
      <c r="Y339" s="1">
        <f t="shared" si="58"/>
        <v>46821.700000000004</v>
      </c>
      <c r="AA339" s="1">
        <v>15.919876186786899</v>
      </c>
    </row>
    <row r="340" spans="1:27" s="1" customFormat="1" x14ac:dyDescent="0.25">
      <c r="A340" s="42"/>
      <c r="B340" s="40"/>
      <c r="C340" s="3">
        <v>41821</v>
      </c>
      <c r="D340" s="1">
        <v>19.7</v>
      </c>
      <c r="E340" s="1">
        <v>12.7</v>
      </c>
      <c r="F340" s="6">
        <v>25.3</v>
      </c>
      <c r="G340" s="1">
        <f t="shared" si="52"/>
        <v>3166.7999999999997</v>
      </c>
      <c r="H340" s="1">
        <f t="shared" si="57"/>
        <v>51.2</v>
      </c>
      <c r="J340" s="1">
        <v>0</v>
      </c>
      <c r="K340" s="1">
        <f t="shared" si="53"/>
        <v>690.30000000000041</v>
      </c>
      <c r="L340" s="1">
        <v>3.4</v>
      </c>
      <c r="M340" s="1">
        <f t="shared" si="54"/>
        <v>474.29999999999973</v>
      </c>
      <c r="N340" s="5">
        <f t="shared" si="51"/>
        <v>-3.4</v>
      </c>
      <c r="O340" s="1">
        <v>47.100000000000016</v>
      </c>
      <c r="P340" s="1">
        <v>301</v>
      </c>
      <c r="Q340" s="11">
        <f t="shared" si="47"/>
        <v>0.55645161290322576</v>
      </c>
      <c r="R340" s="9">
        <f t="shared" si="48"/>
        <v>1.8919354838709674</v>
      </c>
      <c r="S340" s="9">
        <f t="shared" si="49"/>
        <v>-1.8919354838709674</v>
      </c>
      <c r="T340" s="9">
        <f t="shared" si="56"/>
        <v>51.246528966425252</v>
      </c>
      <c r="V340" s="1">
        <v>1288.9000000000001</v>
      </c>
      <c r="W340" s="1">
        <f t="shared" si="50"/>
        <v>65.426395939086305</v>
      </c>
      <c r="X340" s="1">
        <f t="shared" si="55"/>
        <v>268226.2</v>
      </c>
      <c r="Y340" s="1">
        <f t="shared" si="58"/>
        <v>48110.600000000006</v>
      </c>
      <c r="AA340" s="1">
        <v>15.908312069188501</v>
      </c>
    </row>
    <row r="341" spans="1:27" s="1" customFormat="1" x14ac:dyDescent="0.25">
      <c r="A341" s="42"/>
      <c r="B341" s="40"/>
      <c r="C341" s="3">
        <v>41822</v>
      </c>
      <c r="D341" s="1">
        <v>20.7</v>
      </c>
      <c r="E341" s="1">
        <v>15.4</v>
      </c>
      <c r="F341" s="6">
        <v>25.8</v>
      </c>
      <c r="G341" s="1">
        <f t="shared" si="52"/>
        <v>3187.4999999999995</v>
      </c>
      <c r="H341" s="1">
        <f t="shared" si="57"/>
        <v>71.900000000000006</v>
      </c>
      <c r="J341" s="1">
        <v>0</v>
      </c>
      <c r="K341" s="1">
        <f t="shared" si="53"/>
        <v>690.30000000000041</v>
      </c>
      <c r="L341" s="1">
        <v>5.8</v>
      </c>
      <c r="M341" s="1">
        <f t="shared" si="54"/>
        <v>480.09999999999974</v>
      </c>
      <c r="N341" s="5">
        <f t="shared" si="51"/>
        <v>-5.8</v>
      </c>
      <c r="O341" s="41">
        <v>41.300000000000018</v>
      </c>
      <c r="P341" s="1">
        <v>302</v>
      </c>
      <c r="Q341" s="11">
        <f t="shared" si="47"/>
        <v>0.54354838709677411</v>
      </c>
      <c r="R341" s="9">
        <f t="shared" si="48"/>
        <v>3.1525806451612897</v>
      </c>
      <c r="S341" s="9">
        <f t="shared" si="49"/>
        <v>-3.1525806451612897</v>
      </c>
      <c r="T341" s="9">
        <f t="shared" si="56"/>
        <v>48.093948321263966</v>
      </c>
      <c r="V341" s="1">
        <v>2600.1999999999998</v>
      </c>
      <c r="W341" s="1">
        <f t="shared" si="50"/>
        <v>125.61352657004831</v>
      </c>
      <c r="X341" s="1">
        <f t="shared" si="55"/>
        <v>270826.40000000002</v>
      </c>
      <c r="Y341" s="1">
        <f t="shared" si="58"/>
        <v>50710.8</v>
      </c>
      <c r="AA341" s="1">
        <v>15.8954287659003</v>
      </c>
    </row>
    <row r="342" spans="1:27" s="1" customFormat="1" x14ac:dyDescent="0.25">
      <c r="A342" s="42"/>
      <c r="B342" s="40"/>
      <c r="C342" s="3">
        <v>41823</v>
      </c>
      <c r="D342" s="1">
        <v>22.9</v>
      </c>
      <c r="E342" s="1">
        <v>15</v>
      </c>
      <c r="F342" s="6">
        <v>28.6</v>
      </c>
      <c r="G342" s="1">
        <f t="shared" si="52"/>
        <v>3210.3999999999996</v>
      </c>
      <c r="H342" s="1">
        <f t="shared" si="57"/>
        <v>94.800000000000011</v>
      </c>
      <c r="J342" s="1">
        <v>0.2</v>
      </c>
      <c r="K342" s="1">
        <f t="shared" si="53"/>
        <v>690.50000000000045</v>
      </c>
      <c r="L342" s="1">
        <v>5.3</v>
      </c>
      <c r="M342" s="1">
        <f t="shared" si="54"/>
        <v>485.39999999999975</v>
      </c>
      <c r="N342" s="5">
        <f t="shared" si="51"/>
        <v>-5.0999999999999996</v>
      </c>
      <c r="O342" s="41">
        <v>36.200000000000017</v>
      </c>
      <c r="P342" s="1">
        <v>303</v>
      </c>
      <c r="Q342" s="11">
        <f t="shared" si="47"/>
        <v>0.53064516129032258</v>
      </c>
      <c r="R342" s="9">
        <f t="shared" si="48"/>
        <v>2.8124193548387098</v>
      </c>
      <c r="S342" s="9">
        <f t="shared" si="49"/>
        <v>-2.6124193548387096</v>
      </c>
      <c r="T342" s="9">
        <f t="shared" si="56"/>
        <v>45.481528966425259</v>
      </c>
      <c r="V342" s="1">
        <v>2467.3000000000002</v>
      </c>
      <c r="W342" s="1">
        <f t="shared" si="50"/>
        <v>107.74235807860263</v>
      </c>
      <c r="X342" s="1">
        <f t="shared" si="55"/>
        <v>273293.7</v>
      </c>
      <c r="Y342" s="1">
        <f t="shared" si="58"/>
        <v>53178.100000000006</v>
      </c>
      <c r="AA342" s="1">
        <v>15.8812393800885</v>
      </c>
    </row>
    <row r="343" spans="1:27" s="1" customFormat="1" x14ac:dyDescent="0.25">
      <c r="A343" s="42"/>
      <c r="B343" s="40"/>
      <c r="C343" s="3">
        <v>41824</v>
      </c>
      <c r="D343" s="1">
        <v>19.600000000000001</v>
      </c>
      <c r="E343" s="1">
        <v>18.100000000000001</v>
      </c>
      <c r="F343" s="1">
        <v>22.3</v>
      </c>
      <c r="G343" s="1">
        <f t="shared" si="52"/>
        <v>3229.9999999999995</v>
      </c>
      <c r="H343" s="1">
        <f t="shared" si="57"/>
        <v>114.4</v>
      </c>
      <c r="J343" s="1">
        <v>2.5</v>
      </c>
      <c r="K343" s="1">
        <f t="shared" si="53"/>
        <v>693.00000000000045</v>
      </c>
      <c r="L343" s="1">
        <v>1.6</v>
      </c>
      <c r="M343" s="1">
        <f t="shared" si="54"/>
        <v>486.99999999999977</v>
      </c>
      <c r="N343" s="1">
        <f t="shared" si="51"/>
        <v>0.89999999999999991</v>
      </c>
      <c r="O343" s="41">
        <v>37.100000000000016</v>
      </c>
      <c r="P343" s="1">
        <v>304</v>
      </c>
      <c r="Q343" s="11">
        <f t="shared" si="47"/>
        <v>0.51774193548387093</v>
      </c>
      <c r="R343" s="9">
        <f t="shared" si="48"/>
        <v>0.82838709677419353</v>
      </c>
      <c r="S343" s="9">
        <f t="shared" si="49"/>
        <v>1.6716129032258065</v>
      </c>
      <c r="T343" s="9">
        <f t="shared" si="56"/>
        <v>47.153141869651066</v>
      </c>
      <c r="V343" s="10">
        <v>720.7</v>
      </c>
      <c r="W343" s="1">
        <f t="shared" si="50"/>
        <v>36.770408163265309</v>
      </c>
      <c r="X343" s="1">
        <f t="shared" si="55"/>
        <v>274014.40000000002</v>
      </c>
      <c r="Y343" s="1">
        <f t="shared" si="58"/>
        <v>53898.8</v>
      </c>
      <c r="AA343" s="1">
        <v>15.865758156986301</v>
      </c>
    </row>
    <row r="344" spans="1:27" s="1" customFormat="1" x14ac:dyDescent="0.25">
      <c r="A344" s="42"/>
      <c r="B344" s="40"/>
      <c r="C344" s="3">
        <v>41825</v>
      </c>
      <c r="D344" s="1">
        <v>19.899999999999999</v>
      </c>
      <c r="E344" s="1">
        <v>17.2</v>
      </c>
      <c r="F344" s="1">
        <v>22.3</v>
      </c>
      <c r="G344" s="1">
        <f t="shared" si="52"/>
        <v>3249.8999999999996</v>
      </c>
      <c r="H344" s="1">
        <f t="shared" si="57"/>
        <v>134.30000000000001</v>
      </c>
      <c r="J344" s="1">
        <v>1.4</v>
      </c>
      <c r="K344" s="1">
        <f t="shared" si="53"/>
        <v>694.40000000000043</v>
      </c>
      <c r="L344" s="1">
        <v>2.4</v>
      </c>
      <c r="M344" s="1">
        <f t="shared" si="54"/>
        <v>489.39999999999975</v>
      </c>
      <c r="N344" s="5">
        <f t="shared" si="51"/>
        <v>-1</v>
      </c>
      <c r="O344" s="41">
        <v>36.100000000000016</v>
      </c>
      <c r="P344" s="1">
        <v>305</v>
      </c>
      <c r="Q344" s="11">
        <f t="shared" si="47"/>
        <v>0.50483870967741939</v>
      </c>
      <c r="R344" s="9">
        <f t="shared" si="48"/>
        <v>1.2116129032258065</v>
      </c>
      <c r="S344" s="9">
        <f t="shared" si="49"/>
        <v>0.18838709677419341</v>
      </c>
      <c r="T344" s="9">
        <f t="shared" si="56"/>
        <v>47.341528966425258</v>
      </c>
      <c r="V344" s="10">
        <v>880.7</v>
      </c>
      <c r="W344" s="1">
        <f t="shared" si="50"/>
        <v>44.256281407035182</v>
      </c>
      <c r="X344" s="1">
        <f t="shared" si="55"/>
        <v>274895.10000000003</v>
      </c>
      <c r="Y344" s="1">
        <f t="shared" si="58"/>
        <v>54779.5</v>
      </c>
      <c r="AA344" s="1">
        <v>15.849000433636499</v>
      </c>
    </row>
    <row r="345" spans="1:27" s="1" customFormat="1" x14ac:dyDescent="0.25">
      <c r="A345" s="42"/>
      <c r="B345" s="40"/>
      <c r="C345" s="3">
        <v>41826</v>
      </c>
      <c r="D345" s="1">
        <v>16.899999999999999</v>
      </c>
      <c r="E345" s="1">
        <v>16.899999999999999</v>
      </c>
      <c r="F345" s="1">
        <v>19.3</v>
      </c>
      <c r="G345" s="1">
        <f t="shared" si="52"/>
        <v>3266.7999999999997</v>
      </c>
      <c r="H345" s="1">
        <f t="shared" si="57"/>
        <v>151.20000000000002</v>
      </c>
      <c r="J345" s="1">
        <v>8.5</v>
      </c>
      <c r="K345" s="1">
        <f t="shared" si="53"/>
        <v>702.90000000000043</v>
      </c>
      <c r="L345" s="1">
        <v>1.9</v>
      </c>
      <c r="M345" s="1">
        <f t="shared" si="54"/>
        <v>491.29999999999973</v>
      </c>
      <c r="N345" s="1">
        <f t="shared" si="51"/>
        <v>6.6</v>
      </c>
      <c r="O345" s="41">
        <v>42.700000000000017</v>
      </c>
      <c r="P345" s="1">
        <v>306</v>
      </c>
      <c r="Q345" s="11">
        <f t="shared" si="47"/>
        <v>0.49193548387096764</v>
      </c>
      <c r="R345" s="9">
        <f t="shared" si="48"/>
        <v>0.9346774193548385</v>
      </c>
      <c r="S345" s="9">
        <f t="shared" si="49"/>
        <v>7.5653225806451614</v>
      </c>
      <c r="T345" s="9">
        <f t="shared" si="56"/>
        <v>54.906851547070417</v>
      </c>
      <c r="V345" s="10">
        <v>811.3</v>
      </c>
      <c r="W345" s="1">
        <f t="shared" si="50"/>
        <v>48.005917159763314</v>
      </c>
      <c r="X345" s="1">
        <f t="shared" si="55"/>
        <v>275706.40000000002</v>
      </c>
      <c r="Y345" s="1">
        <f t="shared" si="58"/>
        <v>55590.8</v>
      </c>
      <c r="AA345" s="1">
        <v>15.830982585643801</v>
      </c>
    </row>
    <row r="346" spans="1:27" s="1" customFormat="1" x14ac:dyDescent="0.25">
      <c r="A346" s="42"/>
      <c r="B346" s="40"/>
      <c r="C346" s="3">
        <v>41827</v>
      </c>
      <c r="D346" s="1">
        <v>15.6</v>
      </c>
      <c r="E346" s="1">
        <v>11.5</v>
      </c>
      <c r="F346" s="1">
        <v>20.3</v>
      </c>
      <c r="G346" s="1">
        <f t="shared" si="52"/>
        <v>3282.3999999999996</v>
      </c>
      <c r="H346" s="1">
        <f t="shared" si="57"/>
        <v>166.8</v>
      </c>
      <c r="J346" s="1">
        <v>1</v>
      </c>
      <c r="K346" s="1">
        <f t="shared" si="53"/>
        <v>703.90000000000043</v>
      </c>
      <c r="L346" s="1">
        <v>1.2</v>
      </c>
      <c r="M346" s="1">
        <f t="shared" si="54"/>
        <v>492.49999999999972</v>
      </c>
      <c r="N346" s="5">
        <f t="shared" si="51"/>
        <v>-0.19999999999999996</v>
      </c>
      <c r="O346" s="41">
        <v>42.500000000000014</v>
      </c>
      <c r="P346" s="1">
        <v>307</v>
      </c>
      <c r="Q346" s="11">
        <f t="shared" si="47"/>
        <v>0.4790322580645161</v>
      </c>
      <c r="R346" s="9">
        <f t="shared" si="48"/>
        <v>0.57483870967741935</v>
      </c>
      <c r="S346" s="9">
        <f t="shared" si="49"/>
        <v>0.42516129032258065</v>
      </c>
      <c r="T346" s="9">
        <f t="shared" si="56"/>
        <v>55.332012837392995</v>
      </c>
      <c r="V346" s="10">
        <v>753.8</v>
      </c>
      <c r="W346" s="1">
        <f t="shared" si="50"/>
        <v>48.320512820512818</v>
      </c>
      <c r="X346" s="1">
        <f t="shared" si="55"/>
        <v>276460.2</v>
      </c>
      <c r="Y346" s="1">
        <f t="shared" si="58"/>
        <v>56344.600000000006</v>
      </c>
      <c r="AA346" s="1">
        <v>15.8117219713073</v>
      </c>
    </row>
    <row r="347" spans="1:27" s="1" customFormat="1" x14ac:dyDescent="0.25">
      <c r="A347" s="42"/>
      <c r="B347" s="40"/>
      <c r="C347" s="3">
        <v>41828</v>
      </c>
      <c r="D347" s="1">
        <v>15.9</v>
      </c>
      <c r="E347" s="1">
        <v>13.4</v>
      </c>
      <c r="F347" s="1">
        <v>19</v>
      </c>
      <c r="G347" s="1">
        <f t="shared" si="52"/>
        <v>3298.2999999999997</v>
      </c>
      <c r="H347" s="1">
        <f t="shared" si="57"/>
        <v>182.70000000000002</v>
      </c>
      <c r="J347" s="1">
        <v>1.7</v>
      </c>
      <c r="K347" s="1">
        <f t="shared" si="53"/>
        <v>705.60000000000048</v>
      </c>
      <c r="L347" s="1">
        <v>2.9</v>
      </c>
      <c r="M347" s="1">
        <f t="shared" si="54"/>
        <v>495.39999999999969</v>
      </c>
      <c r="N347" s="5">
        <f t="shared" si="51"/>
        <v>-1.2</v>
      </c>
      <c r="O347" s="41">
        <v>41.300000000000011</v>
      </c>
      <c r="P347" s="1">
        <v>308</v>
      </c>
      <c r="Q347" s="11">
        <f t="shared" si="47"/>
        <v>0.46612903225806446</v>
      </c>
      <c r="R347" s="9">
        <f t="shared" si="48"/>
        <v>1.3517741935483869</v>
      </c>
      <c r="S347" s="9">
        <f t="shared" si="49"/>
        <v>0.34822580645161305</v>
      </c>
      <c r="T347" s="9">
        <f t="shared" si="56"/>
        <v>55.680238643844611</v>
      </c>
      <c r="V347" s="1">
        <v>1674.3</v>
      </c>
      <c r="W347" s="1">
        <f t="shared" si="50"/>
        <v>105.30188679245282</v>
      </c>
      <c r="X347" s="1">
        <f t="shared" si="55"/>
        <v>278134.5</v>
      </c>
      <c r="Y347" s="1">
        <f t="shared" si="58"/>
        <v>58018.900000000009</v>
      </c>
      <c r="AA347" s="1">
        <v>15.791236873511901</v>
      </c>
    </row>
    <row r="348" spans="1:27" s="1" customFormat="1" x14ac:dyDescent="0.25">
      <c r="A348" s="42"/>
      <c r="B348" s="40"/>
      <c r="C348" s="3">
        <v>41829</v>
      </c>
      <c r="D348" s="1">
        <v>14.9</v>
      </c>
      <c r="E348" s="1">
        <v>12</v>
      </c>
      <c r="F348" s="1">
        <v>17.899999999999999</v>
      </c>
      <c r="G348" s="1">
        <f t="shared" si="52"/>
        <v>3313.2</v>
      </c>
      <c r="H348" s="1">
        <f t="shared" si="57"/>
        <v>197.60000000000002</v>
      </c>
      <c r="J348" s="1">
        <v>4.8</v>
      </c>
      <c r="K348" s="1">
        <f t="shared" si="53"/>
        <v>710.40000000000043</v>
      </c>
      <c r="L348" s="1">
        <v>2.7</v>
      </c>
      <c r="M348" s="1">
        <f t="shared" si="54"/>
        <v>498.09999999999968</v>
      </c>
      <c r="N348" s="1">
        <f t="shared" si="51"/>
        <v>2.0999999999999996</v>
      </c>
      <c r="O348" s="41">
        <v>43.400000000000013</v>
      </c>
      <c r="P348" s="1">
        <v>309</v>
      </c>
      <c r="Q348" s="11">
        <f t="shared" si="47"/>
        <v>0.45322580645161292</v>
      </c>
      <c r="R348" s="9">
        <f t="shared" si="48"/>
        <v>1.223709677419355</v>
      </c>
      <c r="S348" s="9">
        <f t="shared" si="49"/>
        <v>3.5762903225806451</v>
      </c>
      <c r="T348" s="9">
        <f t="shared" si="56"/>
        <v>59.256528966425257</v>
      </c>
      <c r="V348" s="1">
        <v>1747.6</v>
      </c>
      <c r="W348" s="1">
        <f t="shared" si="50"/>
        <v>117.28859060402684</v>
      </c>
      <c r="X348" s="1">
        <f t="shared" si="55"/>
        <v>279882.09999999998</v>
      </c>
      <c r="Y348" s="1">
        <f t="shared" si="58"/>
        <v>59766.500000000007</v>
      </c>
      <c r="AA348" s="1">
        <v>15.7695464397589</v>
      </c>
    </row>
    <row r="349" spans="1:27" s="1" customFormat="1" x14ac:dyDescent="0.25">
      <c r="A349" s="42"/>
      <c r="B349" s="40"/>
      <c r="C349" s="3">
        <v>41830</v>
      </c>
      <c r="D349" s="1">
        <v>15.6</v>
      </c>
      <c r="E349" s="1">
        <v>13.9</v>
      </c>
      <c r="F349" s="1">
        <v>17.399999999999999</v>
      </c>
      <c r="G349" s="1">
        <f t="shared" si="52"/>
        <v>3328.7999999999997</v>
      </c>
      <c r="H349" s="1">
        <f t="shared" si="57"/>
        <v>213.20000000000002</v>
      </c>
      <c r="J349" s="1">
        <v>8</v>
      </c>
      <c r="K349" s="1">
        <f t="shared" si="53"/>
        <v>718.40000000000043</v>
      </c>
      <c r="L349" s="1">
        <v>1.4</v>
      </c>
      <c r="M349" s="1">
        <f t="shared" si="54"/>
        <v>499.49999999999966</v>
      </c>
      <c r="N349" s="1">
        <f t="shared" si="51"/>
        <v>6.6</v>
      </c>
      <c r="O349" s="1">
        <v>50.000000000000014</v>
      </c>
      <c r="P349" s="1">
        <v>310</v>
      </c>
      <c r="Q349" s="11">
        <f t="shared" si="47"/>
        <v>0.44032258064516128</v>
      </c>
      <c r="R349" s="9">
        <f t="shared" si="48"/>
        <v>0.6164516129032257</v>
      </c>
      <c r="S349" s="9">
        <f t="shared" si="49"/>
        <v>7.3835483870967744</v>
      </c>
      <c r="T349" s="9">
        <f t="shared" si="56"/>
        <v>66.640077353522031</v>
      </c>
      <c r="V349" s="10">
        <v>484.1</v>
      </c>
      <c r="W349" s="1">
        <f t="shared" si="50"/>
        <v>31.032051282051285</v>
      </c>
      <c r="X349" s="1">
        <f t="shared" si="55"/>
        <v>280366.19999999995</v>
      </c>
      <c r="Y349" s="1">
        <f t="shared" si="58"/>
        <v>60250.600000000006</v>
      </c>
      <c r="AA349" s="1">
        <v>15.746670620720201</v>
      </c>
    </row>
    <row r="350" spans="1:27" s="1" customFormat="1" x14ac:dyDescent="0.25">
      <c r="A350" s="42"/>
      <c r="B350" s="40"/>
      <c r="C350" s="3">
        <v>41831</v>
      </c>
      <c r="D350" s="1">
        <v>16.7</v>
      </c>
      <c r="E350" s="1">
        <v>14.8</v>
      </c>
      <c r="F350" s="1">
        <v>20.399999999999999</v>
      </c>
      <c r="G350" s="1">
        <f t="shared" si="52"/>
        <v>3345.4999999999995</v>
      </c>
      <c r="H350" s="1">
        <f t="shared" si="57"/>
        <v>229.9</v>
      </c>
      <c r="J350" s="1">
        <v>2.6</v>
      </c>
      <c r="K350" s="1">
        <f t="shared" si="53"/>
        <v>721.00000000000045</v>
      </c>
      <c r="L350" s="1">
        <v>2.7</v>
      </c>
      <c r="M350" s="1">
        <f t="shared" si="54"/>
        <v>502.19999999999965</v>
      </c>
      <c r="N350" s="5">
        <f t="shared" si="51"/>
        <v>-0.10000000000000009</v>
      </c>
      <c r="O350" s="1">
        <v>49.900000000000013</v>
      </c>
      <c r="P350" s="1">
        <v>311</v>
      </c>
      <c r="Q350" s="11">
        <f t="shared" si="47"/>
        <v>0.42741935483870963</v>
      </c>
      <c r="R350" s="9">
        <f t="shared" si="48"/>
        <v>1.1540322580645161</v>
      </c>
      <c r="S350" s="9">
        <f t="shared" si="49"/>
        <v>1.4459677419354839</v>
      </c>
      <c r="T350" s="9">
        <f t="shared" si="56"/>
        <v>68.086045095457521</v>
      </c>
      <c r="V350" s="1">
        <v>1359.8</v>
      </c>
      <c r="W350" s="1">
        <f t="shared" si="50"/>
        <v>81.425149700598809</v>
      </c>
      <c r="X350" s="1">
        <f t="shared" si="55"/>
        <v>281725.99999999994</v>
      </c>
      <c r="Y350" s="1">
        <f t="shared" si="58"/>
        <v>61610.400000000009</v>
      </c>
      <c r="AA350" s="1">
        <v>15.722630107692501</v>
      </c>
    </row>
    <row r="351" spans="1:27" s="1" customFormat="1" x14ac:dyDescent="0.25">
      <c r="A351" s="42"/>
      <c r="B351" s="40"/>
      <c r="C351" s="3">
        <v>41832</v>
      </c>
      <c r="D351" s="1">
        <v>16.3</v>
      </c>
      <c r="E351" s="1">
        <v>13.4</v>
      </c>
      <c r="F351" s="1">
        <v>18.3</v>
      </c>
      <c r="G351" s="1">
        <f t="shared" si="52"/>
        <v>3361.7999999999997</v>
      </c>
      <c r="H351" s="1">
        <f t="shared" si="57"/>
        <v>246.20000000000002</v>
      </c>
      <c r="J351" s="1">
        <v>0.2</v>
      </c>
      <c r="K351" s="1">
        <f t="shared" si="53"/>
        <v>721.2000000000005</v>
      </c>
      <c r="L351" s="1">
        <v>0.8</v>
      </c>
      <c r="M351" s="1">
        <f t="shared" si="54"/>
        <v>502.99999999999966</v>
      </c>
      <c r="N351" s="5">
        <f t="shared" si="51"/>
        <v>-0.60000000000000009</v>
      </c>
      <c r="O351" s="1">
        <v>49.300000000000011</v>
      </c>
      <c r="P351" s="1">
        <v>312</v>
      </c>
      <c r="Q351" s="11">
        <f t="shared" si="47"/>
        <v>0.4145161290322581</v>
      </c>
      <c r="R351" s="9">
        <f t="shared" si="48"/>
        <v>0.3316129032258065</v>
      </c>
      <c r="S351" s="9">
        <f t="shared" si="49"/>
        <v>-0.13161290322580649</v>
      </c>
      <c r="T351" s="9">
        <f t="shared" si="56"/>
        <v>67.954432192231721</v>
      </c>
      <c r="V351" s="10">
        <v>637.79999999999995</v>
      </c>
      <c r="W351" s="1">
        <f t="shared" si="50"/>
        <v>39.128834355828218</v>
      </c>
      <c r="X351" s="1">
        <f t="shared" si="55"/>
        <v>282363.79999999993</v>
      </c>
      <c r="Y351" s="1">
        <f t="shared" si="58"/>
        <v>62248.200000000012</v>
      </c>
      <c r="AA351" s="1">
        <v>15.6974462693234</v>
      </c>
    </row>
    <row r="352" spans="1:27" s="1" customFormat="1" x14ac:dyDescent="0.25">
      <c r="A352" s="42"/>
      <c r="B352" s="40"/>
      <c r="C352" s="3">
        <v>41833</v>
      </c>
      <c r="D352" s="1">
        <v>16.899999999999999</v>
      </c>
      <c r="E352" s="1">
        <v>16</v>
      </c>
      <c r="F352" s="1">
        <v>18.8</v>
      </c>
      <c r="G352" s="1">
        <f t="shared" si="52"/>
        <v>3378.7</v>
      </c>
      <c r="H352" s="1">
        <f t="shared" si="57"/>
        <v>263.10000000000002</v>
      </c>
      <c r="J352" s="1">
        <v>11.4</v>
      </c>
      <c r="K352" s="1">
        <f t="shared" si="53"/>
        <v>732.60000000000048</v>
      </c>
      <c r="L352" s="1">
        <v>1.2</v>
      </c>
      <c r="M352" s="1">
        <f t="shared" si="54"/>
        <v>504.19999999999965</v>
      </c>
      <c r="N352" s="1">
        <f t="shared" si="51"/>
        <v>10.200000000000001</v>
      </c>
      <c r="O352" s="1">
        <v>59.500000000000014</v>
      </c>
      <c r="P352" s="1">
        <v>313</v>
      </c>
      <c r="Q352" s="11">
        <f t="shared" si="47"/>
        <v>0.40161290322580645</v>
      </c>
      <c r="R352" s="9">
        <f t="shared" si="48"/>
        <v>0.48193548387096774</v>
      </c>
      <c r="S352" s="9">
        <f t="shared" si="49"/>
        <v>10.918064516129032</v>
      </c>
      <c r="T352" s="9">
        <f t="shared" si="56"/>
        <v>78.872496708360757</v>
      </c>
      <c r="V352" s="10">
        <v>592.79999999999995</v>
      </c>
      <c r="W352" s="1">
        <f t="shared" si="50"/>
        <v>35.07692307692308</v>
      </c>
      <c r="X352" s="1">
        <f t="shared" si="55"/>
        <v>282956.59999999992</v>
      </c>
      <c r="Y352" s="1">
        <f t="shared" si="58"/>
        <v>62841.000000000015</v>
      </c>
      <c r="AA352" s="1">
        <v>15.671141087969</v>
      </c>
    </row>
    <row r="353" spans="1:27" s="1" customFormat="1" x14ac:dyDescent="0.25">
      <c r="A353" s="42"/>
      <c r="B353" s="40"/>
      <c r="C353" s="3">
        <v>41834</v>
      </c>
      <c r="D353" s="1">
        <v>16.7</v>
      </c>
      <c r="E353" s="1">
        <v>13.2</v>
      </c>
      <c r="F353" s="1">
        <v>20.3</v>
      </c>
      <c r="G353" s="1">
        <f t="shared" si="52"/>
        <v>3395.3999999999996</v>
      </c>
      <c r="H353" s="1">
        <f t="shared" si="57"/>
        <v>279.8</v>
      </c>
      <c r="J353" s="1">
        <v>0</v>
      </c>
      <c r="K353" s="1">
        <f t="shared" si="53"/>
        <v>732.60000000000048</v>
      </c>
      <c r="L353" s="1">
        <v>2.9</v>
      </c>
      <c r="M353" s="1">
        <f t="shared" si="54"/>
        <v>507.09999999999962</v>
      </c>
      <c r="N353" s="5">
        <f t="shared" si="51"/>
        <v>-2.9</v>
      </c>
      <c r="O353" s="1">
        <v>56.600000000000016</v>
      </c>
      <c r="P353" s="1">
        <v>314</v>
      </c>
      <c r="Q353" s="11">
        <f t="shared" si="47"/>
        <v>0.3887096774193548</v>
      </c>
      <c r="R353" s="9">
        <f t="shared" si="48"/>
        <v>1.127258064516129</v>
      </c>
      <c r="S353" s="9">
        <f t="shared" si="49"/>
        <v>-1.127258064516129</v>
      </c>
      <c r="T353" s="9">
        <f t="shared" si="56"/>
        <v>77.74523864384463</v>
      </c>
      <c r="V353" s="1">
        <v>1636.3</v>
      </c>
      <c r="W353" s="1">
        <f t="shared" si="50"/>
        <v>97.982035928143716</v>
      </c>
      <c r="X353" s="1">
        <f t="shared" si="55"/>
        <v>284592.89999999991</v>
      </c>
      <c r="Y353" s="1">
        <f t="shared" si="58"/>
        <v>64477.300000000017</v>
      </c>
      <c r="AA353" s="1">
        <v>15.6437370960302</v>
      </c>
    </row>
    <row r="354" spans="1:27" s="1" customFormat="1" x14ac:dyDescent="0.25">
      <c r="A354" s="42"/>
      <c r="B354" s="40"/>
      <c r="C354" s="3">
        <v>41835</v>
      </c>
      <c r="D354" s="1">
        <v>19.8</v>
      </c>
      <c r="E354" s="1">
        <v>12.3</v>
      </c>
      <c r="F354" s="1">
        <v>24.6</v>
      </c>
      <c r="G354" s="1">
        <f t="shared" si="52"/>
        <v>3415.2</v>
      </c>
      <c r="H354" s="1">
        <f t="shared" si="57"/>
        <v>299.60000000000002</v>
      </c>
      <c r="J354" s="1">
        <v>0</v>
      </c>
      <c r="K354" s="1">
        <f t="shared" si="53"/>
        <v>732.60000000000048</v>
      </c>
      <c r="L354" s="1">
        <v>3.1</v>
      </c>
      <c r="M354" s="1">
        <f t="shared" si="54"/>
        <v>510.19999999999965</v>
      </c>
      <c r="N354" s="5">
        <f t="shared" si="51"/>
        <v>-3.1</v>
      </c>
      <c r="O354" s="1">
        <v>53.500000000000014</v>
      </c>
      <c r="P354" s="1">
        <v>315</v>
      </c>
      <c r="Q354" s="11">
        <f t="shared" si="47"/>
        <v>0.37580645161290316</v>
      </c>
      <c r="R354" s="9">
        <f t="shared" si="48"/>
        <v>1.1649999999999998</v>
      </c>
      <c r="S354" s="9">
        <f t="shared" si="49"/>
        <v>-1.1649999999999998</v>
      </c>
      <c r="T354" s="9">
        <f t="shared" si="56"/>
        <v>76.580238643844623</v>
      </c>
      <c r="V354" s="1">
        <v>1751</v>
      </c>
      <c r="W354" s="1">
        <f t="shared" si="50"/>
        <v>88.434343434343432</v>
      </c>
      <c r="X354" s="1">
        <f t="shared" si="55"/>
        <v>286343.89999999991</v>
      </c>
      <c r="Y354" s="1">
        <f t="shared" si="58"/>
        <v>66228.300000000017</v>
      </c>
      <c r="AA354" s="1">
        <v>15.615257312597</v>
      </c>
    </row>
    <row r="355" spans="1:27" s="1" customFormat="1" x14ac:dyDescent="0.25">
      <c r="A355" s="42"/>
      <c r="B355" s="40"/>
      <c r="C355" s="3">
        <v>41836</v>
      </c>
      <c r="D355" s="1">
        <v>23</v>
      </c>
      <c r="E355" s="1">
        <v>16.399999999999999</v>
      </c>
      <c r="F355" s="6">
        <v>28.9</v>
      </c>
      <c r="G355" s="1">
        <f t="shared" si="52"/>
        <v>3438.2</v>
      </c>
      <c r="H355" s="1">
        <f t="shared" si="57"/>
        <v>322.60000000000002</v>
      </c>
      <c r="J355" s="1">
        <v>0</v>
      </c>
      <c r="K355" s="1">
        <f t="shared" si="53"/>
        <v>732.60000000000048</v>
      </c>
      <c r="L355" s="1">
        <v>5.3</v>
      </c>
      <c r="M355" s="1">
        <f t="shared" si="54"/>
        <v>515.49999999999966</v>
      </c>
      <c r="N355" s="5">
        <f t="shared" si="51"/>
        <v>-5.3</v>
      </c>
      <c r="O355" s="1">
        <v>48.200000000000017</v>
      </c>
      <c r="P355" s="1">
        <v>316</v>
      </c>
      <c r="Q355" s="11">
        <f t="shared" si="47"/>
        <v>0.36290322580645162</v>
      </c>
      <c r="R355" s="9">
        <f t="shared" si="48"/>
        <v>1.9233870967741935</v>
      </c>
      <c r="S355" s="9">
        <f t="shared" si="49"/>
        <v>-1.9233870967741935</v>
      </c>
      <c r="T355" s="9">
        <f t="shared" si="56"/>
        <v>74.656851547070431</v>
      </c>
      <c r="V355" s="1">
        <v>2491.3000000000002</v>
      </c>
      <c r="W355" s="1">
        <f t="shared" si="50"/>
        <v>108.31739130434784</v>
      </c>
      <c r="X355" s="1">
        <f t="shared" si="55"/>
        <v>288835.1999999999</v>
      </c>
      <c r="Y355" s="1">
        <f t="shared" si="58"/>
        <v>68719.60000000002</v>
      </c>
      <c r="AA355" s="1">
        <v>15.585725180714499</v>
      </c>
    </row>
    <row r="356" spans="1:27" s="1" customFormat="1" x14ac:dyDescent="0.25">
      <c r="A356" s="42"/>
      <c r="B356" s="40"/>
      <c r="C356" s="3">
        <v>41837</v>
      </c>
      <c r="D356" s="1">
        <v>25.5</v>
      </c>
      <c r="E356" s="1">
        <v>17.100000000000001</v>
      </c>
      <c r="F356" s="6">
        <v>32</v>
      </c>
      <c r="G356" s="1">
        <f t="shared" si="52"/>
        <v>3463.7</v>
      </c>
      <c r="H356" s="1">
        <f t="shared" si="57"/>
        <v>348.1</v>
      </c>
      <c r="J356" s="1">
        <v>0</v>
      </c>
      <c r="K356" s="1">
        <f t="shared" si="53"/>
        <v>732.60000000000048</v>
      </c>
      <c r="L356" s="1">
        <v>6</v>
      </c>
      <c r="M356" s="1">
        <f t="shared" si="54"/>
        <v>521.49999999999966</v>
      </c>
      <c r="N356" s="5">
        <f t="shared" si="51"/>
        <v>-6</v>
      </c>
      <c r="O356" s="41">
        <v>42.200000000000017</v>
      </c>
      <c r="P356" s="1">
        <v>317</v>
      </c>
      <c r="Q356" s="11">
        <f t="shared" si="47"/>
        <v>0.35</v>
      </c>
      <c r="R356" s="9">
        <f t="shared" si="48"/>
        <v>2.0999999999999996</v>
      </c>
      <c r="S356" s="9">
        <f t="shared" si="49"/>
        <v>-2.0999999999999996</v>
      </c>
      <c r="T356" s="9">
        <f t="shared" si="56"/>
        <v>72.556851547070437</v>
      </c>
      <c r="V356" s="1">
        <v>2595</v>
      </c>
      <c r="W356" s="1">
        <f t="shared" si="50"/>
        <v>101.76470588235294</v>
      </c>
      <c r="X356" s="1">
        <f t="shared" si="55"/>
        <v>291430.1999999999</v>
      </c>
      <c r="Y356" s="1">
        <f t="shared" si="58"/>
        <v>71314.60000000002</v>
      </c>
      <c r="AA356" s="1">
        <v>15.5551645055604</v>
      </c>
    </row>
    <row r="357" spans="1:27" s="1" customFormat="1" x14ac:dyDescent="0.25">
      <c r="B357" s="2"/>
      <c r="C357" s="75" t="s">
        <v>25</v>
      </c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</row>
  </sheetData>
  <mergeCells count="14">
    <mergeCell ref="A316:A337"/>
    <mergeCell ref="C357:Y357"/>
    <mergeCell ref="D1:I2"/>
    <mergeCell ref="J1:U2"/>
    <mergeCell ref="V1:Z2"/>
    <mergeCell ref="P3:T3"/>
    <mergeCell ref="G4:H4"/>
    <mergeCell ref="X4:Y4"/>
    <mergeCell ref="A39:Z39"/>
    <mergeCell ref="A40:A112"/>
    <mergeCell ref="A113:A149"/>
    <mergeCell ref="A150:A247"/>
    <mergeCell ref="A269:A294"/>
    <mergeCell ref="A295:A315"/>
  </mergeCells>
  <conditionalFormatting sqref="S40:S356">
    <cfRule type="cellIs" dxfId="9" priority="5" operator="lessThanOrEqual">
      <formula>0</formula>
    </cfRule>
  </conditionalFormatting>
  <conditionalFormatting sqref="U41 T5:T357">
    <cfRule type="cellIs" dxfId="8" priority="3" operator="equal">
      <formula>0</formula>
    </cfRule>
    <cfRule type="cellIs" dxfId="7" priority="4" operator="lessThanOrEqual">
      <formula>46.3</formula>
    </cfRule>
  </conditionalFormatting>
  <conditionalFormatting sqref="T1:T4">
    <cfRule type="cellIs" dxfId="6" priority="1" operator="equal">
      <formula>0</formula>
    </cfRule>
    <cfRule type="cellIs" dxfId="5" priority="2" operator="lessThanOrEqual">
      <formula>46.3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57"/>
  <sheetViews>
    <sheetView zoomScale="80" zoomScaleNormal="80" workbookViewId="0">
      <pane xSplit="3" ySplit="4" topLeftCell="D204" activePane="bottomRight" state="frozen"/>
      <selection pane="topRight" activeCell="D1" sqref="D1"/>
      <selection pane="bottomLeft" activeCell="A5" sqref="A5"/>
      <selection pane="bottomRight" activeCell="AC227" sqref="AC227"/>
    </sheetView>
  </sheetViews>
  <sheetFormatPr baseColWidth="10" defaultRowHeight="15" x14ac:dyDescent="0.25"/>
  <sheetData>
    <row r="1" spans="1:26" x14ac:dyDescent="0.25">
      <c r="B1" s="43"/>
      <c r="C1" s="44"/>
      <c r="D1" s="76" t="s">
        <v>26</v>
      </c>
      <c r="E1" s="76"/>
      <c r="F1" s="76"/>
      <c r="G1" s="76"/>
      <c r="H1" s="76"/>
      <c r="I1" s="76"/>
      <c r="J1" s="76" t="s">
        <v>27</v>
      </c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 t="s">
        <v>28</v>
      </c>
      <c r="W1" s="76"/>
      <c r="X1" s="76"/>
      <c r="Y1" s="76"/>
      <c r="Z1" s="76"/>
    </row>
    <row r="2" spans="1:26" x14ac:dyDescent="0.25">
      <c r="B2" s="43"/>
      <c r="C2" s="44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26" x14ac:dyDescent="0.25">
      <c r="B3" s="43"/>
      <c r="C3" s="44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76" t="s">
        <v>29</v>
      </c>
      <c r="Q3" s="76"/>
      <c r="R3" s="76"/>
      <c r="S3" s="76"/>
      <c r="T3" s="76"/>
      <c r="U3" s="45"/>
      <c r="V3" s="45"/>
      <c r="W3" s="45"/>
      <c r="X3" s="45"/>
      <c r="Y3" s="45"/>
      <c r="Z3" s="45"/>
    </row>
    <row r="4" spans="1:26" x14ac:dyDescent="0.25">
      <c r="A4" t="s">
        <v>30</v>
      </c>
      <c r="B4" s="43">
        <v>5</v>
      </c>
      <c r="C4" t="s">
        <v>31</v>
      </c>
      <c r="D4" t="s">
        <v>32</v>
      </c>
      <c r="E4" t="s">
        <v>33</v>
      </c>
      <c r="F4" t="s">
        <v>34</v>
      </c>
      <c r="G4" s="77" t="s">
        <v>35</v>
      </c>
      <c r="H4" s="77"/>
      <c r="I4" t="s">
        <v>36</v>
      </c>
      <c r="J4" t="s">
        <v>37</v>
      </c>
      <c r="K4" t="s">
        <v>38</v>
      </c>
      <c r="L4" t="s">
        <v>39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 t="s">
        <v>45</v>
      </c>
      <c r="S4" t="s">
        <v>46</v>
      </c>
      <c r="T4" t="s">
        <v>47</v>
      </c>
      <c r="U4" t="s">
        <v>36</v>
      </c>
      <c r="V4" t="s">
        <v>48</v>
      </c>
      <c r="W4" t="s">
        <v>49</v>
      </c>
      <c r="X4" s="77" t="s">
        <v>50</v>
      </c>
      <c r="Y4" s="77"/>
      <c r="Z4" t="s">
        <v>36</v>
      </c>
    </row>
    <row r="5" spans="1:26" s="1" customFormat="1" x14ac:dyDescent="0.25">
      <c r="B5" s="2"/>
      <c r="C5" s="3">
        <v>41487</v>
      </c>
      <c r="D5" s="1">
        <v>26.5</v>
      </c>
      <c r="E5" s="1">
        <v>16.2</v>
      </c>
      <c r="F5" s="1">
        <v>33.799999999999997</v>
      </c>
      <c r="G5" s="4"/>
      <c r="H5" s="4"/>
      <c r="J5" s="1">
        <v>0</v>
      </c>
      <c r="L5" s="1">
        <v>6.7</v>
      </c>
      <c r="N5" s="5">
        <f t="shared" ref="N5:N38" si="0">J5-L5</f>
        <v>-6.7</v>
      </c>
      <c r="O5" s="1">
        <v>0</v>
      </c>
      <c r="V5" s="1">
        <v>2731.7</v>
      </c>
      <c r="X5" s="4"/>
      <c r="Y5" s="4"/>
    </row>
    <row r="6" spans="1:26" s="1" customFormat="1" x14ac:dyDescent="0.25">
      <c r="B6" s="2"/>
      <c r="C6" s="3">
        <v>41488</v>
      </c>
      <c r="D6" s="1">
        <v>24.6</v>
      </c>
      <c r="E6" s="1">
        <v>20.6</v>
      </c>
      <c r="F6" s="1">
        <v>30.9</v>
      </c>
      <c r="G6" s="4"/>
      <c r="H6" s="4"/>
      <c r="J6" s="1">
        <v>0.8</v>
      </c>
      <c r="L6" s="1">
        <v>6.4</v>
      </c>
      <c r="N6" s="5">
        <f t="shared" si="0"/>
        <v>-5.6000000000000005</v>
      </c>
      <c r="O6" s="1">
        <v>0</v>
      </c>
      <c r="V6" s="1">
        <v>2517.6999999999998</v>
      </c>
      <c r="X6" s="4"/>
      <c r="Y6" s="4"/>
    </row>
    <row r="7" spans="1:26" s="1" customFormat="1" x14ac:dyDescent="0.25">
      <c r="B7" s="2"/>
      <c r="C7" s="3">
        <v>41489</v>
      </c>
      <c r="D7" s="1">
        <v>20.399999999999999</v>
      </c>
      <c r="E7" s="1">
        <v>17.2</v>
      </c>
      <c r="F7" s="1">
        <v>23.8</v>
      </c>
      <c r="G7" s="4"/>
      <c r="H7" s="4"/>
      <c r="J7" s="1">
        <v>0</v>
      </c>
      <c r="L7" s="1">
        <v>2.9</v>
      </c>
      <c r="N7" s="5">
        <f t="shared" si="0"/>
        <v>-2.9</v>
      </c>
      <c r="O7" s="1">
        <v>0</v>
      </c>
      <c r="T7" s="6">
        <v>0</v>
      </c>
      <c r="U7" s="1" t="s">
        <v>0</v>
      </c>
      <c r="V7" s="1">
        <v>1442.1</v>
      </c>
      <c r="X7" s="4"/>
      <c r="Y7" s="4"/>
    </row>
    <row r="8" spans="1:26" s="1" customFormat="1" x14ac:dyDescent="0.25">
      <c r="B8" s="2"/>
      <c r="C8" s="3">
        <v>41490</v>
      </c>
      <c r="D8" s="1">
        <v>19.5</v>
      </c>
      <c r="E8" s="1">
        <v>14.6</v>
      </c>
      <c r="F8" s="1">
        <v>25.5</v>
      </c>
      <c r="G8" s="4"/>
      <c r="H8" s="4"/>
      <c r="J8" s="1">
        <v>0</v>
      </c>
      <c r="L8" s="1">
        <v>5.2</v>
      </c>
      <c r="N8" s="5">
        <f t="shared" si="0"/>
        <v>-5.2</v>
      </c>
      <c r="O8" s="1">
        <v>0</v>
      </c>
      <c r="T8" s="1">
        <v>0</v>
      </c>
      <c r="V8" s="1">
        <v>2559.6999999999998</v>
      </c>
      <c r="X8" s="4"/>
      <c r="Y8" s="4"/>
    </row>
    <row r="9" spans="1:26" s="1" customFormat="1" x14ac:dyDescent="0.25">
      <c r="B9" s="2"/>
      <c r="C9" s="3">
        <v>41491</v>
      </c>
      <c r="D9" s="1">
        <v>21.2</v>
      </c>
      <c r="E9" s="1">
        <v>12.7</v>
      </c>
      <c r="F9" s="1">
        <v>28.3</v>
      </c>
      <c r="G9" s="4"/>
      <c r="H9" s="4"/>
      <c r="J9" s="1">
        <v>0</v>
      </c>
      <c r="L9" s="1">
        <v>3.4</v>
      </c>
      <c r="N9" s="5">
        <f t="shared" si="0"/>
        <v>-3.4</v>
      </c>
      <c r="O9" s="1">
        <v>0</v>
      </c>
      <c r="T9" s="1">
        <v>0</v>
      </c>
      <c r="V9" s="1">
        <v>1494.8</v>
      </c>
      <c r="X9" s="4"/>
      <c r="Y9" s="4"/>
    </row>
    <row r="10" spans="1:26" s="1" customFormat="1" x14ac:dyDescent="0.25">
      <c r="B10" s="2"/>
      <c r="C10" s="3">
        <v>41492</v>
      </c>
      <c r="D10" s="1">
        <v>18.100000000000001</v>
      </c>
      <c r="E10" s="1">
        <v>14.6</v>
      </c>
      <c r="F10" s="1">
        <v>21.7</v>
      </c>
      <c r="G10" s="4"/>
      <c r="H10" s="4"/>
      <c r="J10" s="1">
        <v>22.2</v>
      </c>
      <c r="L10" s="1">
        <v>1.8</v>
      </c>
      <c r="N10" s="1">
        <f t="shared" si="0"/>
        <v>20.399999999999999</v>
      </c>
      <c r="O10" s="1">
        <f>O9+N10</f>
        <v>20.399999999999999</v>
      </c>
      <c r="T10" s="1">
        <v>20.399999999999999</v>
      </c>
      <c r="V10" s="1">
        <v>947.8</v>
      </c>
      <c r="X10" s="4"/>
      <c r="Y10" s="4"/>
    </row>
    <row r="11" spans="1:26" s="1" customFormat="1" x14ac:dyDescent="0.25">
      <c r="B11" s="2"/>
      <c r="C11" s="3">
        <v>41493</v>
      </c>
      <c r="D11" s="1">
        <v>18.7</v>
      </c>
      <c r="E11" s="1">
        <v>16.2</v>
      </c>
      <c r="F11" s="1">
        <v>22.4</v>
      </c>
      <c r="G11" s="4"/>
      <c r="H11" s="4"/>
      <c r="J11" s="1">
        <v>2</v>
      </c>
      <c r="L11" s="1">
        <v>3</v>
      </c>
      <c r="N11" s="5">
        <f t="shared" si="0"/>
        <v>-1</v>
      </c>
      <c r="O11" s="1">
        <f t="shared" ref="O11:O30" si="1">O10+N11</f>
        <v>19.399999999999999</v>
      </c>
      <c r="T11" s="1">
        <v>19.399999999999999</v>
      </c>
      <c r="V11" s="1">
        <v>1628.6</v>
      </c>
      <c r="X11" s="4"/>
      <c r="Y11" s="4"/>
    </row>
    <row r="12" spans="1:26" s="1" customFormat="1" x14ac:dyDescent="0.25">
      <c r="B12" s="2"/>
      <c r="C12" s="3">
        <v>41494</v>
      </c>
      <c r="D12" s="1">
        <v>18.8</v>
      </c>
      <c r="E12" s="1">
        <v>15.7</v>
      </c>
      <c r="F12" s="1">
        <v>22.7</v>
      </c>
      <c r="G12" s="4"/>
      <c r="H12" s="4"/>
      <c r="J12" s="1">
        <v>0</v>
      </c>
      <c r="L12" s="1">
        <v>2.5</v>
      </c>
      <c r="N12" s="5">
        <f t="shared" si="0"/>
        <v>-2.5</v>
      </c>
      <c r="O12" s="1">
        <f t="shared" si="1"/>
        <v>16.899999999999999</v>
      </c>
      <c r="T12" s="1">
        <v>16.899999999999999</v>
      </c>
      <c r="V12" s="1">
        <v>1234.2</v>
      </c>
      <c r="X12" s="4"/>
      <c r="Y12" s="4"/>
    </row>
    <row r="13" spans="1:26" s="1" customFormat="1" x14ac:dyDescent="0.25">
      <c r="B13" s="2"/>
      <c r="C13" s="3">
        <v>41495</v>
      </c>
      <c r="D13" s="1">
        <v>18.2</v>
      </c>
      <c r="E13" s="1">
        <v>14</v>
      </c>
      <c r="F13" s="1">
        <v>21.7</v>
      </c>
      <c r="G13" s="4"/>
      <c r="H13" s="4"/>
      <c r="J13" s="1">
        <v>0.4</v>
      </c>
      <c r="L13" s="1">
        <v>2.2999999999999998</v>
      </c>
      <c r="N13" s="5">
        <f t="shared" si="0"/>
        <v>-1.9</v>
      </c>
      <c r="O13" s="1">
        <f t="shared" si="1"/>
        <v>14.999999999999998</v>
      </c>
      <c r="T13" s="1">
        <v>14.999999999999998</v>
      </c>
      <c r="V13" s="1">
        <v>1126.0999999999999</v>
      </c>
      <c r="X13" s="4"/>
      <c r="Y13" s="4"/>
    </row>
    <row r="14" spans="1:26" s="1" customFormat="1" x14ac:dyDescent="0.25">
      <c r="B14" s="2"/>
      <c r="C14" s="3">
        <v>41496</v>
      </c>
      <c r="D14" s="1">
        <v>17.2</v>
      </c>
      <c r="E14" s="1">
        <v>12.7</v>
      </c>
      <c r="F14" s="1">
        <v>22.1</v>
      </c>
      <c r="G14" s="4"/>
      <c r="H14" s="4"/>
      <c r="J14" s="1">
        <v>0</v>
      </c>
      <c r="L14" s="1">
        <v>3.3</v>
      </c>
      <c r="N14" s="5">
        <f t="shared" si="0"/>
        <v>-3.3</v>
      </c>
      <c r="O14" s="1">
        <f t="shared" si="1"/>
        <v>11.7</v>
      </c>
      <c r="T14" s="1">
        <v>11.7</v>
      </c>
      <c r="V14" s="1">
        <v>1641.2</v>
      </c>
      <c r="X14" s="4"/>
      <c r="Y14" s="4"/>
    </row>
    <row r="15" spans="1:26" s="1" customFormat="1" x14ac:dyDescent="0.25">
      <c r="B15" s="2"/>
      <c r="C15" s="3">
        <v>41497</v>
      </c>
      <c r="D15" s="1">
        <v>19.2</v>
      </c>
      <c r="E15" s="1">
        <v>11.8</v>
      </c>
      <c r="F15" s="1">
        <v>24.6</v>
      </c>
      <c r="G15" s="4"/>
      <c r="H15" s="4"/>
      <c r="J15" s="1">
        <v>0</v>
      </c>
      <c r="L15" s="1">
        <v>2.1</v>
      </c>
      <c r="N15" s="5">
        <f t="shared" si="0"/>
        <v>-2.1</v>
      </c>
      <c r="O15" s="1">
        <f t="shared" si="1"/>
        <v>9.6</v>
      </c>
      <c r="T15" s="1">
        <v>9.6</v>
      </c>
      <c r="V15" s="1">
        <v>955.8</v>
      </c>
      <c r="X15" s="4"/>
      <c r="Y15" s="4"/>
    </row>
    <row r="16" spans="1:26" s="1" customFormat="1" x14ac:dyDescent="0.25">
      <c r="B16" s="2"/>
      <c r="C16" s="3">
        <v>41498</v>
      </c>
      <c r="D16" s="1">
        <v>18.7</v>
      </c>
      <c r="E16" s="1">
        <v>15.2</v>
      </c>
      <c r="F16" s="1">
        <v>23.4</v>
      </c>
      <c r="G16" s="4"/>
      <c r="H16" s="4"/>
      <c r="J16" s="1">
        <v>0</v>
      </c>
      <c r="L16" s="1">
        <v>3.1</v>
      </c>
      <c r="N16" s="5">
        <f t="shared" si="0"/>
        <v>-3.1</v>
      </c>
      <c r="O16" s="1">
        <f t="shared" si="1"/>
        <v>6.5</v>
      </c>
      <c r="T16" s="1">
        <v>6.5</v>
      </c>
      <c r="V16" s="1">
        <v>1408.4</v>
      </c>
      <c r="X16" s="4"/>
      <c r="Y16" s="4"/>
    </row>
    <row r="17" spans="2:25" s="1" customFormat="1" x14ac:dyDescent="0.25">
      <c r="B17" s="2"/>
      <c r="C17" s="3">
        <v>41499</v>
      </c>
      <c r="D17" s="1">
        <v>16.399999999999999</v>
      </c>
      <c r="E17" s="1">
        <v>10.3</v>
      </c>
      <c r="F17" s="1">
        <v>21.9</v>
      </c>
      <c r="G17" s="4"/>
      <c r="H17" s="4"/>
      <c r="J17" s="1">
        <v>0</v>
      </c>
      <c r="L17" s="1">
        <v>3</v>
      </c>
      <c r="N17" s="5">
        <f t="shared" si="0"/>
        <v>-3</v>
      </c>
      <c r="O17" s="1">
        <f t="shared" si="1"/>
        <v>3.5</v>
      </c>
      <c r="T17" s="1">
        <v>3.5</v>
      </c>
      <c r="V17" s="1">
        <v>1698.2</v>
      </c>
      <c r="X17" s="4"/>
      <c r="Y17" s="4"/>
    </row>
    <row r="18" spans="2:25" s="1" customFormat="1" x14ac:dyDescent="0.25">
      <c r="B18" s="2"/>
      <c r="C18" s="3">
        <v>41500</v>
      </c>
      <c r="D18" s="1">
        <v>17</v>
      </c>
      <c r="E18" s="1">
        <v>10.5</v>
      </c>
      <c r="F18" s="1">
        <v>23.6</v>
      </c>
      <c r="G18" s="4"/>
      <c r="H18" s="4"/>
      <c r="J18" s="1">
        <v>0</v>
      </c>
      <c r="L18" s="1">
        <v>5</v>
      </c>
      <c r="N18" s="5">
        <f t="shared" si="0"/>
        <v>-5</v>
      </c>
      <c r="O18" s="1">
        <v>0</v>
      </c>
      <c r="T18" s="1">
        <v>0</v>
      </c>
      <c r="V18" s="1">
        <v>2655</v>
      </c>
      <c r="X18" s="4"/>
      <c r="Y18" s="4"/>
    </row>
    <row r="19" spans="2:25" s="1" customFormat="1" x14ac:dyDescent="0.25">
      <c r="B19" s="2"/>
      <c r="C19" s="3">
        <v>41501</v>
      </c>
      <c r="D19" s="1">
        <v>18.7</v>
      </c>
      <c r="E19" s="1">
        <v>10.6</v>
      </c>
      <c r="F19" s="1">
        <v>25.7</v>
      </c>
      <c r="G19" s="4"/>
      <c r="H19" s="4"/>
      <c r="J19" s="1">
        <v>0</v>
      </c>
      <c r="L19" s="1">
        <v>4.7</v>
      </c>
      <c r="N19" s="5">
        <f t="shared" si="0"/>
        <v>-4.7</v>
      </c>
      <c r="O19" s="1">
        <v>0</v>
      </c>
      <c r="T19" s="1">
        <v>0</v>
      </c>
      <c r="V19" s="1">
        <v>2364.6</v>
      </c>
      <c r="X19" s="4"/>
      <c r="Y19" s="4"/>
    </row>
    <row r="20" spans="2:25" s="1" customFormat="1" x14ac:dyDescent="0.25">
      <c r="B20" s="2"/>
      <c r="C20" s="3">
        <v>41502</v>
      </c>
      <c r="D20" s="1">
        <v>20.3</v>
      </c>
      <c r="E20" s="1">
        <v>12.2</v>
      </c>
      <c r="F20" s="1">
        <v>28.5</v>
      </c>
      <c r="G20" s="4"/>
      <c r="H20" s="4"/>
      <c r="J20" s="1">
        <v>0</v>
      </c>
      <c r="L20" s="1">
        <v>3.9</v>
      </c>
      <c r="N20" s="5">
        <f t="shared" si="0"/>
        <v>-3.9</v>
      </c>
      <c r="O20" s="1">
        <v>0</v>
      </c>
      <c r="T20" s="1">
        <v>0</v>
      </c>
      <c r="V20" s="1">
        <v>1696.7</v>
      </c>
      <c r="X20" s="4"/>
      <c r="Y20" s="4"/>
    </row>
    <row r="21" spans="2:25" s="1" customFormat="1" x14ac:dyDescent="0.25">
      <c r="B21" s="2"/>
      <c r="C21" s="3">
        <v>41503</v>
      </c>
      <c r="D21" s="1">
        <v>20.8</v>
      </c>
      <c r="E21" s="1">
        <v>14.7</v>
      </c>
      <c r="F21" s="1">
        <v>25.7</v>
      </c>
      <c r="G21" s="4"/>
      <c r="H21" s="4"/>
      <c r="J21" s="1">
        <v>0</v>
      </c>
      <c r="L21" s="1">
        <v>3.6</v>
      </c>
      <c r="N21" s="5">
        <f t="shared" si="0"/>
        <v>-3.6</v>
      </c>
      <c r="O21" s="1">
        <v>0</v>
      </c>
      <c r="T21" s="1">
        <v>0</v>
      </c>
      <c r="V21" s="1">
        <v>1783.7</v>
      </c>
      <c r="X21" s="4"/>
      <c r="Y21" s="4"/>
    </row>
    <row r="22" spans="2:25" s="1" customFormat="1" x14ac:dyDescent="0.25">
      <c r="B22" s="2"/>
      <c r="C22" s="3">
        <v>41504</v>
      </c>
      <c r="D22" s="1">
        <v>19.8</v>
      </c>
      <c r="E22" s="1">
        <v>17.8</v>
      </c>
      <c r="F22" s="1">
        <v>22.6</v>
      </c>
      <c r="G22" s="4"/>
      <c r="H22" s="4"/>
      <c r="J22" s="1">
        <v>3.4</v>
      </c>
      <c r="L22" s="1">
        <v>1.8</v>
      </c>
      <c r="N22" s="1">
        <f t="shared" si="0"/>
        <v>1.5999999999999999</v>
      </c>
      <c r="O22" s="1">
        <f t="shared" si="1"/>
        <v>1.5999999999999999</v>
      </c>
      <c r="T22" s="1">
        <v>1.5999999999999999</v>
      </c>
      <c r="V22" s="1">
        <v>682.1</v>
      </c>
      <c r="X22" s="4"/>
      <c r="Y22" s="4"/>
    </row>
    <row r="23" spans="2:25" s="1" customFormat="1" x14ac:dyDescent="0.25">
      <c r="B23" s="2"/>
      <c r="C23" s="3">
        <v>41505</v>
      </c>
      <c r="D23" s="1">
        <v>18.2</v>
      </c>
      <c r="E23" s="1">
        <v>14.9</v>
      </c>
      <c r="F23" s="1">
        <v>22.1</v>
      </c>
      <c r="G23" s="4"/>
      <c r="H23" s="4"/>
      <c r="J23" s="1">
        <v>0</v>
      </c>
      <c r="L23" s="1">
        <v>3.8</v>
      </c>
      <c r="N23" s="5">
        <f t="shared" si="0"/>
        <v>-3.8</v>
      </c>
      <c r="O23" s="1">
        <v>0</v>
      </c>
      <c r="T23" s="1">
        <v>0</v>
      </c>
      <c r="V23" s="1">
        <v>1726.2</v>
      </c>
      <c r="X23" s="4"/>
      <c r="Y23" s="4"/>
    </row>
    <row r="24" spans="2:25" s="1" customFormat="1" x14ac:dyDescent="0.25">
      <c r="B24" s="2"/>
      <c r="C24" s="3">
        <v>41506</v>
      </c>
      <c r="D24" s="1">
        <v>17.2</v>
      </c>
      <c r="E24" s="1">
        <v>9.6999999999999993</v>
      </c>
      <c r="F24" s="1">
        <v>23.6</v>
      </c>
      <c r="G24" s="4"/>
      <c r="H24" s="4"/>
      <c r="J24" s="1">
        <v>0</v>
      </c>
      <c r="L24" s="1">
        <v>4.9000000000000004</v>
      </c>
      <c r="N24" s="5">
        <f t="shared" si="0"/>
        <v>-4.9000000000000004</v>
      </c>
      <c r="O24" s="1">
        <v>0</v>
      </c>
      <c r="T24" s="1">
        <v>0</v>
      </c>
      <c r="V24" s="1">
        <v>2592.9</v>
      </c>
      <c r="X24" s="4"/>
      <c r="Y24" s="4"/>
    </row>
    <row r="25" spans="2:25" s="1" customFormat="1" x14ac:dyDescent="0.25">
      <c r="B25" s="2"/>
      <c r="C25" s="3">
        <v>41507</v>
      </c>
      <c r="D25" s="1">
        <v>19.100000000000001</v>
      </c>
      <c r="E25" s="1">
        <v>11.6</v>
      </c>
      <c r="F25" s="1">
        <v>25.2</v>
      </c>
      <c r="G25" s="4"/>
      <c r="H25" s="4"/>
      <c r="J25" s="1">
        <v>0</v>
      </c>
      <c r="L25" s="1">
        <v>5.3</v>
      </c>
      <c r="N25" s="5">
        <f t="shared" si="0"/>
        <v>-5.3</v>
      </c>
      <c r="O25" s="1">
        <v>0</v>
      </c>
      <c r="T25" s="1">
        <v>0</v>
      </c>
      <c r="V25" s="1">
        <v>2563.1</v>
      </c>
      <c r="X25" s="4"/>
      <c r="Y25" s="4"/>
    </row>
    <row r="26" spans="2:25" s="1" customFormat="1" x14ac:dyDescent="0.25">
      <c r="B26" s="2"/>
      <c r="C26" s="3">
        <v>41508</v>
      </c>
      <c r="D26" s="1">
        <v>20.9</v>
      </c>
      <c r="E26" s="1">
        <v>14.3</v>
      </c>
      <c r="F26" s="1">
        <v>26.8</v>
      </c>
      <c r="G26" s="4"/>
      <c r="H26" s="4"/>
      <c r="J26" s="1">
        <v>0</v>
      </c>
      <c r="L26" s="1">
        <v>4.2</v>
      </c>
      <c r="N26" s="5">
        <f t="shared" si="0"/>
        <v>-4.2</v>
      </c>
      <c r="O26" s="1">
        <v>0</v>
      </c>
      <c r="T26" s="1">
        <v>0</v>
      </c>
      <c r="V26" s="1">
        <v>1885.4</v>
      </c>
      <c r="X26" s="4"/>
      <c r="Y26" s="4"/>
    </row>
    <row r="27" spans="2:25" s="1" customFormat="1" x14ac:dyDescent="0.25">
      <c r="B27" s="2"/>
      <c r="C27" s="3">
        <v>41509</v>
      </c>
      <c r="D27" s="1">
        <v>21.7</v>
      </c>
      <c r="E27" s="1">
        <v>12.3</v>
      </c>
      <c r="F27" s="1">
        <v>29.5</v>
      </c>
      <c r="G27" s="4"/>
      <c r="H27" s="4"/>
      <c r="J27" s="1">
        <v>0</v>
      </c>
      <c r="L27" s="1">
        <v>3.4</v>
      </c>
      <c r="N27" s="5">
        <f t="shared" si="0"/>
        <v>-3.4</v>
      </c>
      <c r="O27" s="1">
        <v>0</v>
      </c>
      <c r="T27" s="1">
        <v>0</v>
      </c>
      <c r="V27" s="1">
        <v>1482.2</v>
      </c>
      <c r="X27" s="4"/>
      <c r="Y27" s="4"/>
    </row>
    <row r="28" spans="2:25" s="1" customFormat="1" x14ac:dyDescent="0.25">
      <c r="B28" s="2"/>
      <c r="C28" s="3">
        <v>41510</v>
      </c>
      <c r="D28" s="1">
        <v>18.3</v>
      </c>
      <c r="E28" s="1">
        <v>16.3</v>
      </c>
      <c r="F28" s="1">
        <v>21.8</v>
      </c>
      <c r="G28" s="4"/>
      <c r="H28" s="4"/>
      <c r="J28" s="1">
        <v>0.1</v>
      </c>
      <c r="L28" s="1">
        <v>3.2</v>
      </c>
      <c r="N28" s="5">
        <f t="shared" si="0"/>
        <v>-3.1</v>
      </c>
      <c r="O28" s="1">
        <v>0</v>
      </c>
      <c r="T28" s="1">
        <v>0</v>
      </c>
      <c r="V28" s="1">
        <v>1383.9</v>
      </c>
      <c r="X28" s="4"/>
      <c r="Y28" s="4"/>
    </row>
    <row r="29" spans="2:25" s="1" customFormat="1" x14ac:dyDescent="0.25">
      <c r="B29" s="2"/>
      <c r="C29" s="3">
        <v>41511</v>
      </c>
      <c r="D29" s="1">
        <v>14.6</v>
      </c>
      <c r="E29" s="1">
        <v>12</v>
      </c>
      <c r="F29" s="1">
        <v>16.7</v>
      </c>
      <c r="G29" s="4"/>
      <c r="H29" s="4"/>
      <c r="J29" s="1">
        <v>4.7</v>
      </c>
      <c r="L29" s="1">
        <v>0.9</v>
      </c>
      <c r="N29" s="1">
        <f t="shared" si="0"/>
        <v>3.8000000000000003</v>
      </c>
      <c r="O29" s="1">
        <f t="shared" si="1"/>
        <v>3.8000000000000003</v>
      </c>
      <c r="T29" s="1">
        <v>3.8000000000000003</v>
      </c>
      <c r="V29" s="1">
        <v>453.3</v>
      </c>
      <c r="X29" s="4"/>
      <c r="Y29" s="4"/>
    </row>
    <row r="30" spans="2:25" s="1" customFormat="1" x14ac:dyDescent="0.25">
      <c r="B30" s="2"/>
      <c r="C30" s="3">
        <v>41512</v>
      </c>
      <c r="D30" s="1">
        <v>16.100000000000001</v>
      </c>
      <c r="E30" s="1">
        <v>14.2</v>
      </c>
      <c r="F30" s="1">
        <v>18.899999999999999</v>
      </c>
      <c r="G30" s="4"/>
      <c r="H30" s="4"/>
      <c r="J30" s="1">
        <v>0</v>
      </c>
      <c r="L30" s="1">
        <v>2.9</v>
      </c>
      <c r="N30" s="5">
        <f t="shared" si="0"/>
        <v>-2.9</v>
      </c>
      <c r="O30" s="1">
        <f t="shared" si="1"/>
        <v>0.90000000000000036</v>
      </c>
      <c r="T30" s="1">
        <v>0.90000000000000036</v>
      </c>
      <c r="V30" s="1">
        <v>1730.4</v>
      </c>
      <c r="X30" s="4"/>
      <c r="Y30" s="4"/>
    </row>
    <row r="31" spans="2:25" s="1" customFormat="1" x14ac:dyDescent="0.25">
      <c r="B31" s="2"/>
      <c r="C31" s="3">
        <v>41513</v>
      </c>
      <c r="D31" s="1">
        <v>16.8</v>
      </c>
      <c r="E31" s="1">
        <v>12.8</v>
      </c>
      <c r="F31" s="1">
        <v>19.899999999999999</v>
      </c>
      <c r="G31" s="4"/>
      <c r="H31" s="4"/>
      <c r="J31" s="1">
        <v>0.5</v>
      </c>
      <c r="L31" s="1">
        <v>2.2999999999999998</v>
      </c>
      <c r="N31" s="5">
        <f t="shared" si="0"/>
        <v>-1.7999999999999998</v>
      </c>
      <c r="O31" s="1">
        <v>0</v>
      </c>
      <c r="T31" s="1">
        <v>0</v>
      </c>
      <c r="V31" s="1">
        <v>1385.9</v>
      </c>
      <c r="X31" s="4"/>
      <c r="Y31" s="4"/>
    </row>
    <row r="32" spans="2:25" s="1" customFormat="1" x14ac:dyDescent="0.25">
      <c r="B32" s="2"/>
      <c r="C32" s="3">
        <v>41514</v>
      </c>
      <c r="D32" s="1">
        <v>17.899999999999999</v>
      </c>
      <c r="E32" s="1">
        <v>12.4</v>
      </c>
      <c r="F32" s="1">
        <v>23.6</v>
      </c>
      <c r="G32" s="4"/>
      <c r="H32" s="4"/>
      <c r="J32" s="1">
        <v>0</v>
      </c>
      <c r="L32" s="1">
        <v>3.4</v>
      </c>
      <c r="N32" s="5">
        <f t="shared" si="0"/>
        <v>-3.4</v>
      </c>
      <c r="O32" s="1">
        <v>0</v>
      </c>
      <c r="T32" s="1">
        <v>0</v>
      </c>
      <c r="V32" s="1">
        <v>1697.8</v>
      </c>
      <c r="X32" s="4"/>
      <c r="Y32" s="4"/>
    </row>
    <row r="33" spans="1:27" s="1" customFormat="1" x14ac:dyDescent="0.25">
      <c r="B33" s="2"/>
      <c r="C33" s="3">
        <v>41515</v>
      </c>
      <c r="D33" s="1">
        <v>17.5</v>
      </c>
      <c r="E33" s="1">
        <v>12.1</v>
      </c>
      <c r="F33" s="1">
        <v>23.9</v>
      </c>
      <c r="G33" s="4"/>
      <c r="H33" s="4"/>
      <c r="J33" s="1">
        <v>0</v>
      </c>
      <c r="L33" s="1">
        <v>3.6</v>
      </c>
      <c r="N33" s="5">
        <f t="shared" si="0"/>
        <v>-3.6</v>
      </c>
      <c r="O33" s="1">
        <v>0</v>
      </c>
      <c r="T33" s="1">
        <v>0</v>
      </c>
      <c r="V33" s="1">
        <v>1676.1</v>
      </c>
      <c r="X33" s="4"/>
      <c r="Y33" s="4"/>
    </row>
    <row r="34" spans="1:27" s="1" customFormat="1" x14ac:dyDescent="0.25">
      <c r="B34" s="2"/>
      <c r="C34" s="3">
        <v>41516</v>
      </c>
      <c r="D34" s="1">
        <v>17.100000000000001</v>
      </c>
      <c r="E34" s="1">
        <v>8.9</v>
      </c>
      <c r="F34" s="1">
        <v>24.5</v>
      </c>
      <c r="G34" s="4"/>
      <c r="H34" s="4"/>
      <c r="J34" s="1">
        <v>0</v>
      </c>
      <c r="L34" s="1">
        <v>3.5</v>
      </c>
      <c r="N34" s="5">
        <f t="shared" si="0"/>
        <v>-3.5</v>
      </c>
      <c r="O34" s="1">
        <v>0</v>
      </c>
      <c r="T34" s="1">
        <v>0</v>
      </c>
      <c r="V34" s="1">
        <v>1803.3</v>
      </c>
      <c r="X34" s="4"/>
      <c r="Y34" s="4"/>
    </row>
    <row r="35" spans="1:27" s="1" customFormat="1" x14ac:dyDescent="0.25">
      <c r="B35" s="2"/>
      <c r="C35" s="3">
        <v>41517</v>
      </c>
      <c r="D35" s="1">
        <v>17.600000000000001</v>
      </c>
      <c r="E35" s="1">
        <v>11.9</v>
      </c>
      <c r="F35" s="1">
        <v>22.4</v>
      </c>
      <c r="G35" s="4"/>
      <c r="H35" s="4"/>
      <c r="J35" s="1">
        <v>0</v>
      </c>
      <c r="L35" s="1">
        <v>1.4</v>
      </c>
      <c r="N35" s="5">
        <f t="shared" si="0"/>
        <v>-1.4</v>
      </c>
      <c r="O35" s="1">
        <v>0</v>
      </c>
      <c r="T35" s="1">
        <v>0</v>
      </c>
      <c r="V35" s="1">
        <v>707.3</v>
      </c>
      <c r="X35" s="4"/>
      <c r="Y35" s="4"/>
    </row>
    <row r="36" spans="1:27" s="1" customFormat="1" x14ac:dyDescent="0.25">
      <c r="B36" s="2"/>
      <c r="C36" s="3">
        <v>41518</v>
      </c>
      <c r="D36" s="1">
        <v>15.9</v>
      </c>
      <c r="E36" s="1">
        <v>12.5</v>
      </c>
      <c r="F36" s="1">
        <v>20.2</v>
      </c>
      <c r="G36" s="4"/>
      <c r="H36" s="4"/>
      <c r="J36" s="1">
        <v>0</v>
      </c>
      <c r="L36" s="1">
        <v>4.3</v>
      </c>
      <c r="N36" s="5">
        <f t="shared" si="0"/>
        <v>-4.3</v>
      </c>
      <c r="O36" s="1">
        <v>0</v>
      </c>
      <c r="T36" s="1">
        <v>0</v>
      </c>
      <c r="V36" s="1">
        <v>2024.3</v>
      </c>
      <c r="X36" s="4"/>
      <c r="Y36" s="4"/>
    </row>
    <row r="37" spans="1:27" s="1" customFormat="1" x14ac:dyDescent="0.25">
      <c r="B37" s="2"/>
      <c r="C37" s="3">
        <v>41519</v>
      </c>
      <c r="D37" s="1">
        <v>16</v>
      </c>
      <c r="E37" s="1">
        <v>7.4</v>
      </c>
      <c r="F37" s="1">
        <v>23.4</v>
      </c>
      <c r="G37" s="4"/>
      <c r="H37" s="4"/>
      <c r="J37" s="1">
        <v>0</v>
      </c>
      <c r="L37" s="1">
        <v>4.4000000000000004</v>
      </c>
      <c r="N37" s="5">
        <f t="shared" si="0"/>
        <v>-4.4000000000000004</v>
      </c>
      <c r="O37" s="1">
        <v>0</v>
      </c>
      <c r="T37" s="1">
        <v>0</v>
      </c>
      <c r="V37" s="1">
        <v>2307.4</v>
      </c>
      <c r="X37" s="4"/>
      <c r="Y37" s="4"/>
    </row>
    <row r="38" spans="1:27" s="1" customFormat="1" x14ac:dyDescent="0.25">
      <c r="B38" s="2"/>
      <c r="C38" s="3">
        <v>41520</v>
      </c>
      <c r="D38" s="1">
        <v>18.899999999999999</v>
      </c>
      <c r="E38" s="1">
        <v>9.9</v>
      </c>
      <c r="F38" s="1">
        <v>25.8</v>
      </c>
      <c r="G38" s="4"/>
      <c r="H38" s="4"/>
      <c r="J38" s="1">
        <v>0</v>
      </c>
      <c r="L38" s="1">
        <v>4.7</v>
      </c>
      <c r="N38" s="5">
        <f t="shared" si="0"/>
        <v>-4.7</v>
      </c>
      <c r="O38" s="1">
        <v>0</v>
      </c>
      <c r="T38" s="1">
        <v>0</v>
      </c>
      <c r="V38" s="1">
        <v>2268</v>
      </c>
      <c r="X38" s="4"/>
      <c r="Y38" s="4"/>
    </row>
    <row r="39" spans="1:27" s="1" customFormat="1" x14ac:dyDescent="0.25">
      <c r="A39" s="78" t="s">
        <v>1</v>
      </c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spans="1:27" s="1" customFormat="1" x14ac:dyDescent="0.25">
      <c r="A40" s="79" t="s">
        <v>2</v>
      </c>
      <c r="B40" s="7"/>
      <c r="C40" s="3">
        <v>41521</v>
      </c>
      <c r="D40" s="1">
        <v>21.6</v>
      </c>
      <c r="E40" s="1">
        <v>13</v>
      </c>
      <c r="F40" s="6">
        <v>29.6</v>
      </c>
      <c r="G40" s="1">
        <f>D40</f>
        <v>21.6</v>
      </c>
      <c r="I40" s="8" t="s">
        <v>3</v>
      </c>
      <c r="J40" s="1">
        <v>0</v>
      </c>
      <c r="K40" s="1">
        <f>J40</f>
        <v>0</v>
      </c>
      <c r="L40" s="1">
        <v>5.0999999999999996</v>
      </c>
      <c r="M40" s="1">
        <f>L40</f>
        <v>5.0999999999999996</v>
      </c>
      <c r="N40" s="5">
        <f>J40-L40</f>
        <v>-5.0999999999999996</v>
      </c>
      <c r="O40" s="1">
        <v>0</v>
      </c>
      <c r="P40" s="1">
        <v>1</v>
      </c>
      <c r="Q40" s="1">
        <v>0.35</v>
      </c>
      <c r="R40" s="9">
        <f t="shared" ref="R40:R103" si="2">Q40*L40</f>
        <v>1.7849999999999997</v>
      </c>
      <c r="S40" s="9">
        <f t="shared" ref="S40:S103" si="3">J40-R40</f>
        <v>-1.7849999999999997</v>
      </c>
      <c r="T40" s="1">
        <v>0</v>
      </c>
      <c r="U40" s="8" t="s">
        <v>4</v>
      </c>
      <c r="V40" s="1">
        <v>2288.4</v>
      </c>
      <c r="W40" s="1">
        <f t="shared" ref="W40:W103" si="4">V40/D40</f>
        <v>105.94444444444444</v>
      </c>
      <c r="X40" s="1">
        <f>V40</f>
        <v>2288.4</v>
      </c>
      <c r="Z40" s="8" t="s">
        <v>5</v>
      </c>
      <c r="AA40" s="1">
        <v>13.2663387096298</v>
      </c>
    </row>
    <row r="41" spans="1:27" s="1" customFormat="1" x14ac:dyDescent="0.25">
      <c r="A41" s="79"/>
      <c r="B41" s="7"/>
      <c r="C41" s="3">
        <v>41522</v>
      </c>
      <c r="D41" s="1">
        <v>22.4</v>
      </c>
      <c r="E41" s="1">
        <v>15.6</v>
      </c>
      <c r="F41" s="6">
        <v>30.7</v>
      </c>
      <c r="G41" s="1">
        <f>G40+D41</f>
        <v>44</v>
      </c>
      <c r="I41" s="1">
        <f>MIN(E40:E112)</f>
        <v>0.4</v>
      </c>
      <c r="J41" s="1">
        <v>0</v>
      </c>
      <c r="K41" s="1">
        <f>K40+J41</f>
        <v>0</v>
      </c>
      <c r="L41" s="1">
        <v>5.5</v>
      </c>
      <c r="M41" s="1">
        <f>M40+L41</f>
        <v>10.6</v>
      </c>
      <c r="N41" s="5">
        <f t="shared" ref="N41:N104" si="5">J41-L41</f>
        <v>-5.5</v>
      </c>
      <c r="O41" s="1">
        <v>0</v>
      </c>
      <c r="P41" s="1">
        <v>2</v>
      </c>
      <c r="Q41" s="1">
        <v>0.35</v>
      </c>
      <c r="R41" s="9">
        <f t="shared" si="2"/>
        <v>1.9249999999999998</v>
      </c>
      <c r="S41" s="9">
        <f t="shared" si="3"/>
        <v>-1.9249999999999998</v>
      </c>
      <c r="T41" s="1">
        <v>0</v>
      </c>
      <c r="U41" s="1">
        <v>39</v>
      </c>
      <c r="V41" s="1">
        <v>2207</v>
      </c>
      <c r="W41" s="1">
        <f t="shared" si="4"/>
        <v>98.526785714285722</v>
      </c>
      <c r="X41" s="1">
        <f>X40+V41</f>
        <v>4495.3999999999996</v>
      </c>
      <c r="Z41" s="1">
        <v>45613.900000000016</v>
      </c>
      <c r="AA41" s="1">
        <v>13.211102106095399</v>
      </c>
    </row>
    <row r="42" spans="1:27" s="1" customFormat="1" x14ac:dyDescent="0.25">
      <c r="A42" s="79"/>
      <c r="B42" s="7"/>
      <c r="C42" s="3">
        <v>41523</v>
      </c>
      <c r="D42" s="1">
        <v>17</v>
      </c>
      <c r="E42" s="1">
        <v>15</v>
      </c>
      <c r="F42" s="1">
        <v>19.600000000000001</v>
      </c>
      <c r="G42" s="1">
        <f t="shared" ref="G42:G105" si="6">G41+D42</f>
        <v>61</v>
      </c>
      <c r="I42" s="8" t="s">
        <v>6</v>
      </c>
      <c r="J42" s="1">
        <v>0.7</v>
      </c>
      <c r="K42" s="1">
        <f t="shared" ref="K42:K105" si="7">K41+J42</f>
        <v>0.7</v>
      </c>
      <c r="L42" s="1">
        <v>1.5</v>
      </c>
      <c r="M42" s="1">
        <f t="shared" ref="M42:M105" si="8">M41+L42</f>
        <v>12.1</v>
      </c>
      <c r="N42" s="5">
        <f t="shared" si="5"/>
        <v>-0.8</v>
      </c>
      <c r="O42" s="1">
        <v>0</v>
      </c>
      <c r="P42" s="1">
        <v>3</v>
      </c>
      <c r="Q42" s="1">
        <v>0.35</v>
      </c>
      <c r="R42" s="9">
        <f t="shared" si="2"/>
        <v>0.52499999999999991</v>
      </c>
      <c r="S42" s="9">
        <f t="shared" si="3"/>
        <v>0.17500000000000004</v>
      </c>
      <c r="T42" s="9">
        <f>MIN(138.9,(T41+S42))</f>
        <v>0.17500000000000004</v>
      </c>
      <c r="U42" s="8" t="s">
        <v>7</v>
      </c>
      <c r="V42" s="10">
        <v>563.29999999999995</v>
      </c>
      <c r="W42" s="1">
        <f t="shared" si="4"/>
        <v>33.135294117647057</v>
      </c>
      <c r="X42" s="1">
        <f t="shared" ref="X42:X105" si="9">X41+V42</f>
        <v>5058.7</v>
      </c>
      <c r="Z42" s="8" t="s">
        <v>8</v>
      </c>
      <c r="AA42" s="1">
        <v>13.155735795728701</v>
      </c>
    </row>
    <row r="43" spans="1:27" s="1" customFormat="1" x14ac:dyDescent="0.25">
      <c r="A43" s="79"/>
      <c r="B43" s="7"/>
      <c r="C43" s="3">
        <v>41524</v>
      </c>
      <c r="D43" s="1">
        <v>14.3</v>
      </c>
      <c r="E43" s="1">
        <v>8.9</v>
      </c>
      <c r="F43" s="1">
        <v>19.2</v>
      </c>
      <c r="G43" s="1">
        <f t="shared" si="6"/>
        <v>75.3</v>
      </c>
      <c r="I43" s="1">
        <f>MAX(F40:F112)</f>
        <v>30.7</v>
      </c>
      <c r="J43" s="1">
        <v>0</v>
      </c>
      <c r="K43" s="1">
        <f t="shared" si="7"/>
        <v>0.7</v>
      </c>
      <c r="L43" s="1">
        <v>1.9</v>
      </c>
      <c r="M43" s="1">
        <f t="shared" si="8"/>
        <v>14</v>
      </c>
      <c r="N43" s="5">
        <f t="shared" si="5"/>
        <v>-1.9</v>
      </c>
      <c r="O43" s="1">
        <v>0</v>
      </c>
      <c r="P43" s="1">
        <v>4</v>
      </c>
      <c r="Q43" s="1">
        <v>0.35</v>
      </c>
      <c r="R43" s="9">
        <f t="shared" si="2"/>
        <v>0.66499999999999992</v>
      </c>
      <c r="S43" s="9">
        <f t="shared" si="3"/>
        <v>-0.66499999999999992</v>
      </c>
      <c r="T43" s="9">
        <v>0</v>
      </c>
      <c r="U43" s="1">
        <v>6</v>
      </c>
      <c r="V43" s="1">
        <v>994.8</v>
      </c>
      <c r="W43" s="1">
        <f t="shared" si="4"/>
        <v>69.56643356643356</v>
      </c>
      <c r="X43" s="1">
        <f t="shared" si="9"/>
        <v>6053.5</v>
      </c>
      <c r="Z43" s="11">
        <f>(Z41/100)/I53</f>
        <v>0.46261561866125778</v>
      </c>
      <c r="AA43" s="1">
        <v>13.1002473725603</v>
      </c>
    </row>
    <row r="44" spans="1:27" s="1" customFormat="1" x14ac:dyDescent="0.25">
      <c r="A44" s="79"/>
      <c r="B44" s="7"/>
      <c r="C44" s="3">
        <v>41525</v>
      </c>
      <c r="D44" s="1">
        <v>14</v>
      </c>
      <c r="E44" s="1">
        <v>7.4</v>
      </c>
      <c r="F44" s="1">
        <v>19.3</v>
      </c>
      <c r="G44" s="1">
        <f t="shared" si="6"/>
        <v>89.3</v>
      </c>
      <c r="I44" s="8" t="s">
        <v>9</v>
      </c>
      <c r="J44" s="1">
        <v>0</v>
      </c>
      <c r="K44" s="1">
        <f t="shared" si="7"/>
        <v>0.7</v>
      </c>
      <c r="L44" s="1">
        <v>2.7</v>
      </c>
      <c r="M44" s="1">
        <f t="shared" si="8"/>
        <v>16.7</v>
      </c>
      <c r="N44" s="5">
        <f t="shared" si="5"/>
        <v>-2.7</v>
      </c>
      <c r="O44" s="1">
        <v>0</v>
      </c>
      <c r="P44" s="1">
        <v>5</v>
      </c>
      <c r="Q44" s="1">
        <v>0.35</v>
      </c>
      <c r="R44" s="9">
        <f t="shared" si="2"/>
        <v>0.94499999999999995</v>
      </c>
      <c r="S44" s="9">
        <f t="shared" si="3"/>
        <v>-0.94499999999999995</v>
      </c>
      <c r="T44" s="9">
        <v>0</v>
      </c>
      <c r="U44" s="8" t="s">
        <v>10</v>
      </c>
      <c r="V44" s="1">
        <v>1471.5</v>
      </c>
      <c r="W44" s="1">
        <f t="shared" si="4"/>
        <v>105.10714285714286</v>
      </c>
      <c r="X44" s="1">
        <f t="shared" si="9"/>
        <v>7525</v>
      </c>
      <c r="Z44" s="8" t="s">
        <v>11</v>
      </c>
      <c r="AA44" s="1">
        <v>13.0446441822443</v>
      </c>
    </row>
    <row r="45" spans="1:27" s="1" customFormat="1" x14ac:dyDescent="0.25">
      <c r="A45" s="79"/>
      <c r="B45" s="7"/>
      <c r="C45" s="3">
        <v>41526</v>
      </c>
      <c r="D45" s="1">
        <v>15</v>
      </c>
      <c r="E45" s="1">
        <v>12</v>
      </c>
      <c r="F45" s="1">
        <v>19.100000000000001</v>
      </c>
      <c r="G45" s="1">
        <f t="shared" si="6"/>
        <v>104.3</v>
      </c>
      <c r="I45" s="9">
        <f>AVERAGE(D40:D112)</f>
        <v>13.506849315068489</v>
      </c>
      <c r="J45" s="1">
        <v>1.4</v>
      </c>
      <c r="K45" s="1">
        <f t="shared" si="7"/>
        <v>2.0999999999999996</v>
      </c>
      <c r="L45" s="1">
        <v>1.4</v>
      </c>
      <c r="M45" s="1">
        <f t="shared" si="8"/>
        <v>18.099999999999998</v>
      </c>
      <c r="N45" s="1">
        <f t="shared" si="5"/>
        <v>0</v>
      </c>
      <c r="O45" s="1">
        <v>0</v>
      </c>
      <c r="P45" s="1">
        <v>6</v>
      </c>
      <c r="Q45" s="1">
        <v>0.35</v>
      </c>
      <c r="R45" s="9">
        <f t="shared" si="2"/>
        <v>0.48999999999999994</v>
      </c>
      <c r="S45" s="9">
        <f t="shared" si="3"/>
        <v>0.90999999999999992</v>
      </c>
      <c r="T45" s="9">
        <f t="shared" ref="T45:T108" si="10">MIN(138.9,(T44+S45))</f>
        <v>0.90999999999999992</v>
      </c>
      <c r="U45" s="1">
        <v>18</v>
      </c>
      <c r="V45" s="10">
        <v>394.7</v>
      </c>
      <c r="W45" s="1">
        <f t="shared" si="4"/>
        <v>26.313333333333333</v>
      </c>
      <c r="X45" s="1">
        <f t="shared" si="9"/>
        <v>7919.7</v>
      </c>
      <c r="Z45" s="1">
        <v>58</v>
      </c>
      <c r="AA45" s="1">
        <v>12.988933336825401</v>
      </c>
    </row>
    <row r="46" spans="1:27" s="1" customFormat="1" x14ac:dyDescent="0.25">
      <c r="A46" s="79"/>
      <c r="B46" s="7"/>
      <c r="C46" s="3">
        <v>41527</v>
      </c>
      <c r="D46" s="1">
        <v>14.2</v>
      </c>
      <c r="E46" s="1">
        <v>11.9</v>
      </c>
      <c r="F46" s="1">
        <v>18.5</v>
      </c>
      <c r="G46" s="1">
        <f t="shared" si="6"/>
        <v>118.5</v>
      </c>
      <c r="I46" s="8" t="s">
        <v>12</v>
      </c>
      <c r="J46" s="1">
        <v>0</v>
      </c>
      <c r="K46" s="1">
        <f t="shared" si="7"/>
        <v>2.0999999999999996</v>
      </c>
      <c r="L46" s="1">
        <v>2.4</v>
      </c>
      <c r="M46" s="1">
        <f t="shared" si="8"/>
        <v>20.499999999999996</v>
      </c>
      <c r="N46" s="5">
        <f t="shared" si="5"/>
        <v>-2.4</v>
      </c>
      <c r="O46" s="1">
        <v>0</v>
      </c>
      <c r="P46" s="1">
        <v>7</v>
      </c>
      <c r="Q46" s="1">
        <v>0.35</v>
      </c>
      <c r="R46" s="9">
        <f t="shared" si="2"/>
        <v>0.84</v>
      </c>
      <c r="S46" s="9">
        <f t="shared" si="3"/>
        <v>-0.84</v>
      </c>
      <c r="T46" s="9">
        <f t="shared" si="10"/>
        <v>6.9999999999999951E-2</v>
      </c>
      <c r="U46" s="8" t="s">
        <v>13</v>
      </c>
      <c r="V46" s="1">
        <v>1140.5</v>
      </c>
      <c r="W46" s="1">
        <f t="shared" si="4"/>
        <v>80.316901408450704</v>
      </c>
      <c r="X46" s="1">
        <f t="shared" si="9"/>
        <v>9060.2000000000007</v>
      </c>
      <c r="AA46" s="1">
        <v>12.933121729611999</v>
      </c>
    </row>
    <row r="47" spans="1:27" s="1" customFormat="1" x14ac:dyDescent="0.25">
      <c r="A47" s="79"/>
      <c r="B47" s="7"/>
      <c r="C47" s="3">
        <v>41528</v>
      </c>
      <c r="D47" s="1">
        <v>13.2</v>
      </c>
      <c r="E47" s="1">
        <v>6.8</v>
      </c>
      <c r="F47" s="1">
        <v>16.3</v>
      </c>
      <c r="G47" s="1">
        <f t="shared" si="6"/>
        <v>131.69999999999999</v>
      </c>
      <c r="I47" s="1">
        <v>0</v>
      </c>
      <c r="J47" s="1">
        <v>0</v>
      </c>
      <c r="K47" s="1">
        <f t="shared" si="7"/>
        <v>2.0999999999999996</v>
      </c>
      <c r="L47" s="1">
        <v>1.2</v>
      </c>
      <c r="M47" s="1">
        <f t="shared" si="8"/>
        <v>21.699999999999996</v>
      </c>
      <c r="N47" s="5">
        <f t="shared" si="5"/>
        <v>-1.2</v>
      </c>
      <c r="O47" s="1">
        <v>0</v>
      </c>
      <c r="P47" s="1">
        <v>8</v>
      </c>
      <c r="Q47" s="1">
        <v>0.35</v>
      </c>
      <c r="R47" s="9">
        <f t="shared" si="2"/>
        <v>0.42</v>
      </c>
      <c r="S47" s="9">
        <f t="shared" si="3"/>
        <v>-0.42</v>
      </c>
      <c r="T47" s="9">
        <v>0</v>
      </c>
      <c r="U47" s="1">
        <v>0</v>
      </c>
      <c r="V47" s="10">
        <v>822.3</v>
      </c>
      <c r="W47" s="1">
        <f t="shared" si="4"/>
        <v>62.295454545454547</v>
      </c>
      <c r="X47" s="1">
        <f t="shared" si="9"/>
        <v>9882.5</v>
      </c>
      <c r="AA47" s="1">
        <v>12.8772160501405</v>
      </c>
    </row>
    <row r="48" spans="1:27" s="1" customFormat="1" x14ac:dyDescent="0.25">
      <c r="A48" s="79"/>
      <c r="B48" s="7"/>
      <c r="C48" s="3">
        <v>41529</v>
      </c>
      <c r="D48" s="1">
        <v>13.9</v>
      </c>
      <c r="E48" s="1">
        <v>11.9</v>
      </c>
      <c r="F48" s="1">
        <v>15.6</v>
      </c>
      <c r="G48" s="1">
        <f t="shared" si="6"/>
        <v>145.6</v>
      </c>
      <c r="I48" s="8" t="s">
        <v>14</v>
      </c>
      <c r="J48" s="1">
        <v>0</v>
      </c>
      <c r="K48" s="1">
        <f t="shared" si="7"/>
        <v>2.0999999999999996</v>
      </c>
      <c r="L48" s="1">
        <v>0.6</v>
      </c>
      <c r="M48" s="1">
        <f t="shared" si="8"/>
        <v>22.299999999999997</v>
      </c>
      <c r="N48" s="5">
        <f t="shared" si="5"/>
        <v>-0.6</v>
      </c>
      <c r="O48" s="1">
        <v>0</v>
      </c>
      <c r="P48" s="1">
        <v>9</v>
      </c>
      <c r="Q48" s="1">
        <v>0.35</v>
      </c>
      <c r="R48" s="9">
        <f t="shared" si="2"/>
        <v>0.21</v>
      </c>
      <c r="S48" s="9">
        <f t="shared" si="3"/>
        <v>-0.21</v>
      </c>
      <c r="T48" s="9">
        <v>0</v>
      </c>
      <c r="U48" s="8" t="s">
        <v>15</v>
      </c>
      <c r="V48" s="10">
        <v>399.3</v>
      </c>
      <c r="W48" s="1">
        <f t="shared" si="4"/>
        <v>28.726618705035971</v>
      </c>
      <c r="X48" s="1">
        <f t="shared" si="9"/>
        <v>10281.799999999999</v>
      </c>
      <c r="AA48" s="1">
        <v>12.8212227992249</v>
      </c>
    </row>
    <row r="49" spans="1:27" s="1" customFormat="1" x14ac:dyDescent="0.25">
      <c r="A49" s="79"/>
      <c r="B49" s="7"/>
      <c r="C49" s="3">
        <v>41530</v>
      </c>
      <c r="D49" s="1">
        <v>16</v>
      </c>
      <c r="E49" s="1">
        <v>13</v>
      </c>
      <c r="F49" s="1">
        <v>18.399999999999999</v>
      </c>
      <c r="G49" s="1">
        <f t="shared" si="6"/>
        <v>161.6</v>
      </c>
      <c r="I49" s="1">
        <v>3</v>
      </c>
      <c r="J49" s="1">
        <v>0.8</v>
      </c>
      <c r="K49" s="1">
        <f t="shared" si="7"/>
        <v>2.8999999999999995</v>
      </c>
      <c r="L49" s="1">
        <v>0.3</v>
      </c>
      <c r="M49" s="1">
        <f t="shared" si="8"/>
        <v>22.599999999999998</v>
      </c>
      <c r="N49" s="1">
        <f t="shared" si="5"/>
        <v>0.5</v>
      </c>
      <c r="O49" s="1">
        <v>0.5</v>
      </c>
      <c r="P49" s="1">
        <v>10</v>
      </c>
      <c r="Q49" s="1">
        <f>0.35+((P49-9)/64)*(1-0.35)</f>
        <v>0.36015624999999996</v>
      </c>
      <c r="R49" s="9">
        <f t="shared" si="2"/>
        <v>0.10804687499999999</v>
      </c>
      <c r="S49" s="9">
        <f t="shared" si="3"/>
        <v>0.69195312500000006</v>
      </c>
      <c r="T49" s="9">
        <f t="shared" si="10"/>
        <v>0.69195312500000006</v>
      </c>
      <c r="U49" s="1">
        <f>MAX(T40:T112)</f>
        <v>138.9</v>
      </c>
      <c r="V49" s="10">
        <v>408.9</v>
      </c>
      <c r="W49" s="1">
        <f t="shared" si="4"/>
        <v>25.556249999999999</v>
      </c>
      <c r="X49" s="1">
        <f t="shared" si="9"/>
        <v>10690.699999999999</v>
      </c>
      <c r="AA49" s="1">
        <v>12.765148304082</v>
      </c>
    </row>
    <row r="50" spans="1:27" s="1" customFormat="1" x14ac:dyDescent="0.25">
      <c r="A50" s="79"/>
      <c r="B50" s="7"/>
      <c r="C50" s="3">
        <v>41531</v>
      </c>
      <c r="D50" s="1">
        <v>14.4</v>
      </c>
      <c r="E50" s="1">
        <v>12.9</v>
      </c>
      <c r="F50" s="1">
        <v>16.5</v>
      </c>
      <c r="G50" s="1">
        <f t="shared" si="6"/>
        <v>176</v>
      </c>
      <c r="I50" s="8" t="s">
        <v>16</v>
      </c>
      <c r="J50" s="1">
        <v>42.5</v>
      </c>
      <c r="K50" s="1">
        <f t="shared" si="7"/>
        <v>45.4</v>
      </c>
      <c r="L50" s="1">
        <v>0.8</v>
      </c>
      <c r="M50" s="1">
        <f t="shared" si="8"/>
        <v>23.4</v>
      </c>
      <c r="N50" s="1">
        <f t="shared" si="5"/>
        <v>41.7</v>
      </c>
      <c r="O50" s="1">
        <v>42.2</v>
      </c>
      <c r="P50" s="1">
        <v>11</v>
      </c>
      <c r="Q50" s="1">
        <f t="shared" ref="Q50:Q112" si="11">0.35+((P50-9)/64)*(1-0.35)</f>
        <v>0.37031249999999999</v>
      </c>
      <c r="R50" s="9">
        <f t="shared" si="2"/>
        <v>0.29625000000000001</v>
      </c>
      <c r="S50" s="9">
        <f t="shared" si="3"/>
        <v>42.203749999999999</v>
      </c>
      <c r="T50" s="9">
        <f t="shared" si="10"/>
        <v>42.895703124999997</v>
      </c>
      <c r="U50" s="8" t="s">
        <v>17</v>
      </c>
      <c r="V50" s="10">
        <v>363.2</v>
      </c>
      <c r="W50" s="1">
        <f t="shared" si="4"/>
        <v>25.222222222222221</v>
      </c>
      <c r="X50" s="1">
        <f t="shared" si="9"/>
        <v>11053.9</v>
      </c>
      <c r="AA50" s="1">
        <v>12.708998733528301</v>
      </c>
    </row>
    <row r="51" spans="1:27" s="1" customFormat="1" x14ac:dyDescent="0.25">
      <c r="A51" s="79"/>
      <c r="B51" s="7"/>
      <c r="C51" s="3">
        <v>41532</v>
      </c>
      <c r="D51" s="1">
        <v>14.4</v>
      </c>
      <c r="E51" s="1">
        <v>10.6</v>
      </c>
      <c r="F51" s="1">
        <v>17.8</v>
      </c>
      <c r="G51" s="1">
        <f t="shared" si="6"/>
        <v>190.4</v>
      </c>
      <c r="I51" s="1">
        <v>7</v>
      </c>
      <c r="J51" s="1">
        <v>1.6</v>
      </c>
      <c r="K51" s="1">
        <f t="shared" si="7"/>
        <v>47</v>
      </c>
      <c r="L51" s="1">
        <v>1.7</v>
      </c>
      <c r="M51" s="1">
        <f t="shared" si="8"/>
        <v>25.099999999999998</v>
      </c>
      <c r="N51" s="5">
        <f t="shared" si="5"/>
        <v>-9.9999999999999867E-2</v>
      </c>
      <c r="O51" s="1">
        <v>42.1</v>
      </c>
      <c r="P51" s="1">
        <v>12</v>
      </c>
      <c r="Q51" s="1">
        <f t="shared" si="11"/>
        <v>0.38046874999999997</v>
      </c>
      <c r="R51" s="9">
        <f t="shared" si="2"/>
        <v>0.64679687499999994</v>
      </c>
      <c r="S51" s="9">
        <f t="shared" si="3"/>
        <v>0.95320312500000015</v>
      </c>
      <c r="T51" s="9">
        <f t="shared" si="10"/>
        <v>43.848906249999999</v>
      </c>
      <c r="U51" s="11">
        <f>AVERAGE(T40:T112)</f>
        <v>79.128220248287647</v>
      </c>
      <c r="V51" s="10">
        <v>762.4</v>
      </c>
      <c r="W51" s="1">
        <f t="shared" si="4"/>
        <v>52.944444444444443</v>
      </c>
      <c r="X51" s="1">
        <f t="shared" si="9"/>
        <v>11816.3</v>
      </c>
      <c r="AA51" s="1">
        <v>12.652780113243701</v>
      </c>
    </row>
    <row r="52" spans="1:27" s="1" customFormat="1" x14ac:dyDescent="0.25">
      <c r="A52" s="79"/>
      <c r="B52" s="7"/>
      <c r="C52" s="3">
        <v>41533</v>
      </c>
      <c r="D52" s="1">
        <v>13.5</v>
      </c>
      <c r="E52" s="1">
        <v>12.6</v>
      </c>
      <c r="F52" s="1">
        <v>16.399999999999999</v>
      </c>
      <c r="G52" s="1">
        <f t="shared" si="6"/>
        <v>203.9</v>
      </c>
      <c r="I52" s="8" t="s">
        <v>18</v>
      </c>
      <c r="J52" s="1">
        <v>0.9</v>
      </c>
      <c r="K52" s="1">
        <f t="shared" si="7"/>
        <v>47.9</v>
      </c>
      <c r="L52" s="1">
        <v>1.8</v>
      </c>
      <c r="M52" s="1">
        <f t="shared" si="8"/>
        <v>26.9</v>
      </c>
      <c r="N52" s="5">
        <f t="shared" si="5"/>
        <v>-0.9</v>
      </c>
      <c r="O52" s="1">
        <v>41.2</v>
      </c>
      <c r="P52" s="1">
        <v>13</v>
      </c>
      <c r="Q52" s="1">
        <f t="shared" si="11"/>
        <v>0.390625</v>
      </c>
      <c r="R52" s="9">
        <f t="shared" si="2"/>
        <v>0.703125</v>
      </c>
      <c r="S52" s="9">
        <f t="shared" si="3"/>
        <v>0.19687500000000002</v>
      </c>
      <c r="T52" s="9">
        <f t="shared" si="10"/>
        <v>44.045781249999997</v>
      </c>
      <c r="V52" s="10">
        <v>661.2</v>
      </c>
      <c r="W52" s="1">
        <f t="shared" si="4"/>
        <v>48.977777777777781</v>
      </c>
      <c r="X52" s="1">
        <f t="shared" si="9"/>
        <v>12477.5</v>
      </c>
      <c r="AA52" s="1">
        <v>12.5964983411</v>
      </c>
    </row>
    <row r="53" spans="1:27" s="1" customFormat="1" x14ac:dyDescent="0.25">
      <c r="A53" s="79"/>
      <c r="B53" s="7"/>
      <c r="C53" s="3">
        <v>41534</v>
      </c>
      <c r="D53" s="1">
        <v>13.6</v>
      </c>
      <c r="E53" s="1">
        <v>10</v>
      </c>
      <c r="F53" s="1">
        <v>16.399999999999999</v>
      </c>
      <c r="G53" s="1">
        <f t="shared" si="6"/>
        <v>217.5</v>
      </c>
      <c r="I53" s="1">
        <v>986</v>
      </c>
      <c r="J53" s="1">
        <v>1.2</v>
      </c>
      <c r="K53" s="1">
        <f t="shared" si="7"/>
        <v>49.1</v>
      </c>
      <c r="L53" s="1">
        <v>1.4</v>
      </c>
      <c r="M53" s="1">
        <f t="shared" si="8"/>
        <v>28.299999999999997</v>
      </c>
      <c r="N53" s="5">
        <f t="shared" si="5"/>
        <v>-0.19999999999999996</v>
      </c>
      <c r="O53" s="1">
        <v>41</v>
      </c>
      <c r="P53" s="1">
        <v>14</v>
      </c>
      <c r="Q53" s="1">
        <f t="shared" si="11"/>
        <v>0.40078124999999998</v>
      </c>
      <c r="R53" s="9">
        <f t="shared" si="2"/>
        <v>0.56109374999999995</v>
      </c>
      <c r="S53" s="9">
        <f t="shared" si="3"/>
        <v>0.63890625000000001</v>
      </c>
      <c r="T53" s="9">
        <f t="shared" si="10"/>
        <v>44.684687499999995</v>
      </c>
      <c r="U53" s="9">
        <f>(U51*100)/138.9</f>
        <v>56.96776115787447</v>
      </c>
      <c r="V53" s="10">
        <v>614.6</v>
      </c>
      <c r="W53" s="1">
        <f t="shared" si="4"/>
        <v>45.191176470588239</v>
      </c>
      <c r="X53" s="1">
        <f t="shared" si="9"/>
        <v>13092.1</v>
      </c>
      <c r="AA53" s="1">
        <v>12.540159202552699</v>
      </c>
    </row>
    <row r="54" spans="1:27" s="1" customFormat="1" x14ac:dyDescent="0.25">
      <c r="A54" s="79"/>
      <c r="B54" s="7"/>
      <c r="C54" s="3">
        <v>41535</v>
      </c>
      <c r="D54" s="1">
        <v>15.9</v>
      </c>
      <c r="E54" s="1">
        <v>15.3</v>
      </c>
      <c r="F54" s="1">
        <v>19.2</v>
      </c>
      <c r="G54" s="1">
        <f t="shared" si="6"/>
        <v>233.4</v>
      </c>
      <c r="J54" s="1">
        <v>0.2</v>
      </c>
      <c r="K54" s="1">
        <f t="shared" si="7"/>
        <v>49.300000000000004</v>
      </c>
      <c r="L54" s="1">
        <v>2.1</v>
      </c>
      <c r="M54" s="1">
        <f t="shared" si="8"/>
        <v>30.4</v>
      </c>
      <c r="N54" s="5">
        <f t="shared" si="5"/>
        <v>-1.9000000000000001</v>
      </c>
      <c r="O54" s="1">
        <v>39.1</v>
      </c>
      <c r="P54" s="1">
        <v>15</v>
      </c>
      <c r="Q54" s="1">
        <f t="shared" si="11"/>
        <v>0.41093749999999996</v>
      </c>
      <c r="R54" s="9">
        <f t="shared" si="2"/>
        <v>0.86296874999999995</v>
      </c>
      <c r="S54" s="9">
        <f t="shared" si="3"/>
        <v>-0.66296874999999988</v>
      </c>
      <c r="T54" s="9">
        <f t="shared" si="10"/>
        <v>44.021718749999998</v>
      </c>
      <c r="V54" s="10">
        <v>620.70000000000005</v>
      </c>
      <c r="W54" s="1">
        <f t="shared" si="4"/>
        <v>39.037735849056602</v>
      </c>
      <c r="X54" s="1">
        <f t="shared" si="9"/>
        <v>13712.800000000001</v>
      </c>
      <c r="AA54" s="1">
        <v>12.4837683860955</v>
      </c>
    </row>
    <row r="55" spans="1:27" s="1" customFormat="1" x14ac:dyDescent="0.25">
      <c r="A55" s="79"/>
      <c r="B55" s="7"/>
      <c r="C55" s="3">
        <v>41536</v>
      </c>
      <c r="D55" s="1">
        <v>12.3</v>
      </c>
      <c r="E55" s="1">
        <v>6.3</v>
      </c>
      <c r="F55" s="1">
        <v>15</v>
      </c>
      <c r="G55" s="1">
        <f t="shared" si="6"/>
        <v>245.70000000000002</v>
      </c>
      <c r="J55" s="1">
        <v>1</v>
      </c>
      <c r="K55" s="1">
        <f t="shared" si="7"/>
        <v>50.300000000000004</v>
      </c>
      <c r="L55" s="1">
        <v>0.9</v>
      </c>
      <c r="M55" s="1">
        <f t="shared" si="8"/>
        <v>31.299999999999997</v>
      </c>
      <c r="N55" s="1">
        <f t="shared" si="5"/>
        <v>9.9999999999999978E-2</v>
      </c>
      <c r="O55" s="1">
        <v>39.200000000000003</v>
      </c>
      <c r="P55" s="1">
        <v>16</v>
      </c>
      <c r="Q55" s="1">
        <f t="shared" si="11"/>
        <v>0.42109374999999999</v>
      </c>
      <c r="R55" s="9">
        <f t="shared" si="2"/>
        <v>0.37898437499999998</v>
      </c>
      <c r="S55" s="9">
        <f t="shared" si="3"/>
        <v>0.62101562500000007</v>
      </c>
      <c r="T55" s="9">
        <f t="shared" si="10"/>
        <v>44.642734374999996</v>
      </c>
      <c r="V55" s="10">
        <v>593.70000000000005</v>
      </c>
      <c r="W55" s="1">
        <f t="shared" si="4"/>
        <v>48.268292682926827</v>
      </c>
      <c r="X55" s="1">
        <f t="shared" si="9"/>
        <v>14306.500000000002</v>
      </c>
      <c r="AA55" s="1">
        <v>12.4273314987796</v>
      </c>
    </row>
    <row r="56" spans="1:27" s="1" customFormat="1" x14ac:dyDescent="0.25">
      <c r="A56" s="79"/>
      <c r="B56" s="7"/>
      <c r="C56" s="3">
        <v>41537</v>
      </c>
      <c r="D56" s="1">
        <v>14.7</v>
      </c>
      <c r="E56" s="1">
        <v>13.7</v>
      </c>
      <c r="F56" s="1">
        <v>18.3</v>
      </c>
      <c r="G56" s="1">
        <f t="shared" si="6"/>
        <v>260.40000000000003</v>
      </c>
      <c r="J56" s="1">
        <v>0.1</v>
      </c>
      <c r="K56" s="1">
        <f t="shared" si="7"/>
        <v>50.400000000000006</v>
      </c>
      <c r="L56" s="1">
        <v>2.5</v>
      </c>
      <c r="M56" s="1">
        <f t="shared" si="8"/>
        <v>33.799999999999997</v>
      </c>
      <c r="N56" s="5">
        <f t="shared" si="5"/>
        <v>-2.4</v>
      </c>
      <c r="O56" s="1">
        <v>36.800000000000004</v>
      </c>
      <c r="P56" s="1">
        <v>17</v>
      </c>
      <c r="Q56" s="1">
        <f t="shared" si="11"/>
        <v>0.43124999999999997</v>
      </c>
      <c r="R56" s="9">
        <f t="shared" si="2"/>
        <v>1.078125</v>
      </c>
      <c r="S56" s="9">
        <f t="shared" si="3"/>
        <v>-0.97812500000000002</v>
      </c>
      <c r="T56" s="9">
        <f t="shared" si="10"/>
        <v>43.664609374999998</v>
      </c>
      <c r="V56" s="1">
        <v>1283.3</v>
      </c>
      <c r="W56" s="1">
        <f t="shared" si="4"/>
        <v>87.299319727891159</v>
      </c>
      <c r="X56" s="1">
        <f t="shared" si="9"/>
        <v>15589.800000000001</v>
      </c>
      <c r="AA56" s="1">
        <v>12.370854081798599</v>
      </c>
    </row>
    <row r="57" spans="1:27" s="1" customFormat="1" x14ac:dyDescent="0.25">
      <c r="A57" s="79"/>
      <c r="B57" s="7"/>
      <c r="C57" s="3">
        <v>41538</v>
      </c>
      <c r="D57" s="1">
        <v>13.9</v>
      </c>
      <c r="E57" s="1">
        <v>7</v>
      </c>
      <c r="F57" s="1">
        <v>20.8</v>
      </c>
      <c r="G57" s="1">
        <f t="shared" si="6"/>
        <v>274.3</v>
      </c>
      <c r="J57" s="1">
        <v>0</v>
      </c>
      <c r="K57" s="1">
        <f t="shared" si="7"/>
        <v>50.400000000000006</v>
      </c>
      <c r="L57" s="1">
        <v>2.6</v>
      </c>
      <c r="M57" s="1">
        <f t="shared" si="8"/>
        <v>36.4</v>
      </c>
      <c r="N57" s="5">
        <f t="shared" si="5"/>
        <v>-2.6</v>
      </c>
      <c r="O57" s="1">
        <v>34.200000000000003</v>
      </c>
      <c r="P57" s="1">
        <v>18</v>
      </c>
      <c r="Q57" s="1">
        <f t="shared" si="11"/>
        <v>0.44140625</v>
      </c>
      <c r="R57" s="9">
        <f t="shared" si="2"/>
        <v>1.14765625</v>
      </c>
      <c r="S57" s="9">
        <f t="shared" si="3"/>
        <v>-1.14765625</v>
      </c>
      <c r="T57" s="9">
        <f t="shared" si="10"/>
        <v>42.516953125000001</v>
      </c>
      <c r="V57" s="1">
        <v>1554.8</v>
      </c>
      <c r="W57" s="1">
        <f t="shared" si="4"/>
        <v>111.85611510791367</v>
      </c>
      <c r="X57" s="1">
        <f t="shared" si="9"/>
        <v>17144.600000000002</v>
      </c>
      <c r="AA57" s="1">
        <v>12.3143416261419</v>
      </c>
    </row>
    <row r="58" spans="1:27" s="1" customFormat="1" x14ac:dyDescent="0.25">
      <c r="A58" s="79"/>
      <c r="B58" s="7"/>
      <c r="C58" s="3">
        <v>41539</v>
      </c>
      <c r="D58" s="1">
        <v>15.6</v>
      </c>
      <c r="E58" s="1">
        <v>9.1999999999999993</v>
      </c>
      <c r="F58" s="1">
        <v>22.6</v>
      </c>
      <c r="G58" s="1">
        <f t="shared" si="6"/>
        <v>289.90000000000003</v>
      </c>
      <c r="J58" s="1">
        <v>0.1</v>
      </c>
      <c r="K58" s="1">
        <f t="shared" si="7"/>
        <v>50.500000000000007</v>
      </c>
      <c r="L58" s="1">
        <v>2.2000000000000002</v>
      </c>
      <c r="M58" s="1">
        <f t="shared" si="8"/>
        <v>38.6</v>
      </c>
      <c r="N58" s="5">
        <f t="shared" si="5"/>
        <v>-2.1</v>
      </c>
      <c r="O58" s="1">
        <v>32.1</v>
      </c>
      <c r="P58" s="1">
        <v>19</v>
      </c>
      <c r="Q58" s="1">
        <f t="shared" si="11"/>
        <v>0.45156249999999998</v>
      </c>
      <c r="R58" s="9">
        <f t="shared" si="2"/>
        <v>0.99343750000000008</v>
      </c>
      <c r="S58" s="9">
        <f t="shared" si="3"/>
        <v>-0.89343750000000011</v>
      </c>
      <c r="T58" s="9">
        <f t="shared" si="10"/>
        <v>41.623515625000003</v>
      </c>
      <c r="V58" s="1">
        <v>1071.9000000000001</v>
      </c>
      <c r="W58" s="1">
        <f t="shared" si="4"/>
        <v>68.711538461538467</v>
      </c>
      <c r="X58" s="1">
        <f t="shared" si="9"/>
        <v>18216.500000000004</v>
      </c>
      <c r="AA58" s="1">
        <v>12.257799588320299</v>
      </c>
    </row>
    <row r="59" spans="1:27" s="1" customFormat="1" x14ac:dyDescent="0.25">
      <c r="A59" s="79"/>
      <c r="B59" s="7"/>
      <c r="C59" s="3">
        <v>41540</v>
      </c>
      <c r="D59" s="1">
        <v>15.6</v>
      </c>
      <c r="E59" s="1">
        <v>12.7</v>
      </c>
      <c r="F59" s="1">
        <v>18.899999999999999</v>
      </c>
      <c r="G59" s="1">
        <f t="shared" si="6"/>
        <v>305.50000000000006</v>
      </c>
      <c r="J59" s="1">
        <v>0.2</v>
      </c>
      <c r="K59" s="1">
        <f t="shared" si="7"/>
        <v>50.70000000000001</v>
      </c>
      <c r="L59" s="1">
        <v>2</v>
      </c>
      <c r="M59" s="1">
        <f t="shared" si="8"/>
        <v>40.6</v>
      </c>
      <c r="N59" s="5">
        <f t="shared" si="5"/>
        <v>-1.8</v>
      </c>
      <c r="O59" s="1">
        <v>30.3</v>
      </c>
      <c r="P59" s="1">
        <v>20</v>
      </c>
      <c r="Q59" s="1">
        <f t="shared" si="11"/>
        <v>0.46171874999999996</v>
      </c>
      <c r="R59" s="9">
        <f t="shared" si="2"/>
        <v>0.92343749999999991</v>
      </c>
      <c r="S59" s="9">
        <f t="shared" si="3"/>
        <v>-0.72343749999999996</v>
      </c>
      <c r="T59" s="9">
        <f t="shared" si="10"/>
        <v>40.900078125</v>
      </c>
      <c r="V59" s="1">
        <v>1149.9000000000001</v>
      </c>
      <c r="W59" s="1">
        <f t="shared" si="4"/>
        <v>73.711538461538467</v>
      </c>
      <c r="X59" s="1">
        <f t="shared" si="9"/>
        <v>19366.400000000005</v>
      </c>
      <c r="AA59" s="1">
        <v>12.2012334061661</v>
      </c>
    </row>
    <row r="60" spans="1:27" s="1" customFormat="1" x14ac:dyDescent="0.25">
      <c r="A60" s="79"/>
      <c r="B60" s="7"/>
      <c r="C60" s="3">
        <v>41541</v>
      </c>
      <c r="D60" s="1">
        <v>15.9</v>
      </c>
      <c r="E60" s="1">
        <v>8.8000000000000007</v>
      </c>
      <c r="F60" s="1">
        <v>23.6</v>
      </c>
      <c r="G60" s="1">
        <f t="shared" si="6"/>
        <v>321.40000000000003</v>
      </c>
      <c r="J60" s="1">
        <v>0</v>
      </c>
      <c r="K60" s="1">
        <f t="shared" si="7"/>
        <v>50.70000000000001</v>
      </c>
      <c r="L60" s="1">
        <v>3.1</v>
      </c>
      <c r="M60" s="1">
        <f t="shared" si="8"/>
        <v>43.7</v>
      </c>
      <c r="N60" s="5">
        <f t="shared" si="5"/>
        <v>-3.1</v>
      </c>
      <c r="O60" s="1">
        <v>27.2</v>
      </c>
      <c r="P60" s="1">
        <v>21</v>
      </c>
      <c r="Q60" s="1">
        <f t="shared" si="11"/>
        <v>0.47187499999999999</v>
      </c>
      <c r="R60" s="9">
        <f t="shared" si="2"/>
        <v>1.4628125000000001</v>
      </c>
      <c r="S60" s="9">
        <f t="shared" si="3"/>
        <v>-1.4628125000000001</v>
      </c>
      <c r="T60" s="9">
        <f t="shared" si="10"/>
        <v>39.437265625000002</v>
      </c>
      <c r="V60" s="1">
        <v>1745.4</v>
      </c>
      <c r="W60" s="1">
        <f t="shared" si="4"/>
        <v>109.77358490566039</v>
      </c>
      <c r="X60" s="1">
        <f t="shared" si="9"/>
        <v>21111.800000000007</v>
      </c>
      <c r="AA60" s="1">
        <v>12.1446485147136</v>
      </c>
    </row>
    <row r="61" spans="1:27" s="1" customFormat="1" x14ac:dyDescent="0.25">
      <c r="A61" s="79"/>
      <c r="B61" s="7"/>
      <c r="C61" s="3">
        <v>41542</v>
      </c>
      <c r="D61" s="1">
        <v>16.399999999999999</v>
      </c>
      <c r="E61" s="1">
        <v>9.6999999999999993</v>
      </c>
      <c r="F61" s="1">
        <v>22.3</v>
      </c>
      <c r="G61" s="1">
        <f t="shared" si="6"/>
        <v>337.8</v>
      </c>
      <c r="J61" s="1">
        <v>0.1</v>
      </c>
      <c r="K61" s="1">
        <f t="shared" si="7"/>
        <v>50.800000000000011</v>
      </c>
      <c r="L61" s="1">
        <v>1.3</v>
      </c>
      <c r="M61" s="1">
        <f t="shared" si="8"/>
        <v>45</v>
      </c>
      <c r="N61" s="5">
        <f t="shared" si="5"/>
        <v>-1.2</v>
      </c>
      <c r="O61" s="1">
        <v>26</v>
      </c>
      <c r="P61" s="1">
        <v>22</v>
      </c>
      <c r="Q61" s="1">
        <f t="shared" si="11"/>
        <v>0.48203125000000002</v>
      </c>
      <c r="R61" s="9">
        <f t="shared" si="2"/>
        <v>0.62664062500000006</v>
      </c>
      <c r="S61" s="9">
        <f t="shared" si="3"/>
        <v>-0.52664062500000008</v>
      </c>
      <c r="T61" s="9">
        <f t="shared" si="10"/>
        <v>38.910625000000003</v>
      </c>
      <c r="V61" s="10">
        <v>859.9</v>
      </c>
      <c r="W61" s="1">
        <f t="shared" si="4"/>
        <v>52.432926829268297</v>
      </c>
      <c r="X61" s="1">
        <f t="shared" si="9"/>
        <v>21971.700000000008</v>
      </c>
      <c r="AA61" s="1">
        <v>12.0880503621631</v>
      </c>
    </row>
    <row r="62" spans="1:27" s="1" customFormat="1" x14ac:dyDescent="0.25">
      <c r="A62" s="79"/>
      <c r="B62" s="7"/>
      <c r="C62" s="3">
        <v>41543</v>
      </c>
      <c r="D62" s="1">
        <v>19.100000000000001</v>
      </c>
      <c r="E62" s="1">
        <v>13.7</v>
      </c>
      <c r="F62" s="1">
        <v>24.7</v>
      </c>
      <c r="G62" s="1">
        <f t="shared" si="6"/>
        <v>356.90000000000003</v>
      </c>
      <c r="J62" s="1">
        <v>0.2</v>
      </c>
      <c r="K62" s="1">
        <f t="shared" si="7"/>
        <v>51.000000000000014</v>
      </c>
      <c r="L62" s="1">
        <v>1.4</v>
      </c>
      <c r="M62" s="1">
        <f t="shared" si="8"/>
        <v>46.4</v>
      </c>
      <c r="N62" s="5">
        <f t="shared" si="5"/>
        <v>-1.2</v>
      </c>
      <c r="O62" s="1">
        <v>24.8</v>
      </c>
      <c r="P62" s="1">
        <v>23</v>
      </c>
      <c r="Q62" s="1">
        <f t="shared" si="11"/>
        <v>0.4921875</v>
      </c>
      <c r="R62" s="9">
        <f t="shared" si="2"/>
        <v>0.68906249999999991</v>
      </c>
      <c r="S62" s="9">
        <f t="shared" si="3"/>
        <v>-0.4890624999999999</v>
      </c>
      <c r="T62" s="9">
        <f t="shared" si="10"/>
        <v>38.4215625</v>
      </c>
      <c r="V62" s="10">
        <v>847</v>
      </c>
      <c r="W62" s="1">
        <f t="shared" si="4"/>
        <v>44.345549738219894</v>
      </c>
      <c r="X62" s="1">
        <f t="shared" si="9"/>
        <v>22818.700000000008</v>
      </c>
      <c r="AA62" s="1">
        <v>12.0314444259325</v>
      </c>
    </row>
    <row r="63" spans="1:27" s="1" customFormat="1" x14ac:dyDescent="0.25">
      <c r="A63" s="79"/>
      <c r="B63" s="7"/>
      <c r="C63" s="3">
        <v>41544</v>
      </c>
      <c r="D63" s="1">
        <v>19.899999999999999</v>
      </c>
      <c r="E63" s="1">
        <v>14.2</v>
      </c>
      <c r="F63" s="6">
        <v>25.1</v>
      </c>
      <c r="G63" s="1">
        <f t="shared" si="6"/>
        <v>376.8</v>
      </c>
      <c r="J63" s="1">
        <v>1.7</v>
      </c>
      <c r="K63" s="1">
        <f t="shared" si="7"/>
        <v>52.700000000000017</v>
      </c>
      <c r="L63" s="1">
        <v>2.5</v>
      </c>
      <c r="M63" s="1">
        <f t="shared" si="8"/>
        <v>48.9</v>
      </c>
      <c r="N63" s="5">
        <f t="shared" si="5"/>
        <v>-0.8</v>
      </c>
      <c r="O63" s="1">
        <v>24</v>
      </c>
      <c r="P63" s="1">
        <v>24</v>
      </c>
      <c r="Q63" s="1">
        <f t="shared" si="11"/>
        <v>0.50234374999999998</v>
      </c>
      <c r="R63" s="9">
        <f t="shared" si="2"/>
        <v>1.255859375</v>
      </c>
      <c r="S63" s="9">
        <f t="shared" si="3"/>
        <v>0.44414062499999996</v>
      </c>
      <c r="T63" s="9">
        <f t="shared" si="10"/>
        <v>38.865703125000003</v>
      </c>
      <c r="V63" s="1">
        <v>1430.9</v>
      </c>
      <c r="W63" s="1">
        <f t="shared" si="4"/>
        <v>71.904522613065339</v>
      </c>
      <c r="X63" s="1">
        <f t="shared" si="9"/>
        <v>24249.600000000009</v>
      </c>
      <c r="AA63" s="1">
        <v>11.9748362288019</v>
      </c>
    </row>
    <row r="64" spans="1:27" s="1" customFormat="1" x14ac:dyDescent="0.25">
      <c r="A64" s="79"/>
      <c r="B64" s="7"/>
      <c r="C64" s="3">
        <v>41545</v>
      </c>
      <c r="D64" s="1">
        <v>18.600000000000001</v>
      </c>
      <c r="E64" s="1">
        <v>17.3</v>
      </c>
      <c r="F64" s="1">
        <v>23.1</v>
      </c>
      <c r="G64" s="1">
        <f t="shared" si="6"/>
        <v>395.40000000000003</v>
      </c>
      <c r="J64" s="1">
        <v>11.7</v>
      </c>
      <c r="K64" s="1">
        <f t="shared" si="7"/>
        <v>64.40000000000002</v>
      </c>
      <c r="L64" s="1">
        <v>1</v>
      </c>
      <c r="M64" s="1">
        <f t="shared" si="8"/>
        <v>49.9</v>
      </c>
      <c r="N64" s="1">
        <f t="shared" si="5"/>
        <v>10.7</v>
      </c>
      <c r="O64" s="1">
        <v>34.700000000000003</v>
      </c>
      <c r="P64" s="1">
        <v>25</v>
      </c>
      <c r="Q64" s="1">
        <f t="shared" si="11"/>
        <v>0.51249999999999996</v>
      </c>
      <c r="R64" s="9">
        <f t="shared" si="2"/>
        <v>0.51249999999999996</v>
      </c>
      <c r="S64" s="9">
        <f t="shared" si="3"/>
        <v>11.1875</v>
      </c>
      <c r="T64" s="9">
        <f t="shared" si="10"/>
        <v>50.053203125000003</v>
      </c>
      <c r="V64" s="10">
        <v>501.3</v>
      </c>
      <c r="W64" s="1">
        <f t="shared" si="4"/>
        <v>26.951612903225804</v>
      </c>
      <c r="X64" s="1">
        <f t="shared" si="9"/>
        <v>24750.900000000009</v>
      </c>
      <c r="AA64" s="1">
        <v>11.9182313551541</v>
      </c>
    </row>
    <row r="65" spans="1:27" s="1" customFormat="1" x14ac:dyDescent="0.25">
      <c r="A65" s="79"/>
      <c r="B65" s="7"/>
      <c r="C65" s="3">
        <v>41546</v>
      </c>
      <c r="D65" s="1">
        <v>16</v>
      </c>
      <c r="E65" s="1">
        <v>15</v>
      </c>
      <c r="F65" s="1">
        <v>16.8</v>
      </c>
      <c r="G65" s="1">
        <f t="shared" si="6"/>
        <v>411.40000000000003</v>
      </c>
      <c r="J65" s="1">
        <v>10.9</v>
      </c>
      <c r="K65" s="1">
        <f t="shared" si="7"/>
        <v>75.300000000000026</v>
      </c>
      <c r="L65" s="1">
        <v>0.6</v>
      </c>
      <c r="M65" s="1">
        <f t="shared" si="8"/>
        <v>50.5</v>
      </c>
      <c r="N65" s="1">
        <f t="shared" si="5"/>
        <v>10.3</v>
      </c>
      <c r="O65" s="1">
        <v>45</v>
      </c>
      <c r="P65" s="1">
        <v>26</v>
      </c>
      <c r="Q65" s="1">
        <f t="shared" si="11"/>
        <v>0.52265625000000004</v>
      </c>
      <c r="R65" s="9">
        <f t="shared" si="2"/>
        <v>0.31359375</v>
      </c>
      <c r="S65" s="9">
        <f t="shared" si="3"/>
        <v>10.58640625</v>
      </c>
      <c r="T65" s="9">
        <f t="shared" si="10"/>
        <v>60.639609375000006</v>
      </c>
      <c r="V65" s="10">
        <v>249.2</v>
      </c>
      <c r="W65" s="1">
        <f t="shared" si="4"/>
        <v>15.574999999999999</v>
      </c>
      <c r="X65" s="1">
        <f t="shared" si="9"/>
        <v>25000.100000000009</v>
      </c>
      <c r="AA65" s="1">
        <v>11.861635467316299</v>
      </c>
    </row>
    <row r="66" spans="1:27" s="1" customFormat="1" x14ac:dyDescent="0.25">
      <c r="A66" s="79"/>
      <c r="B66" s="7"/>
      <c r="C66" s="3">
        <v>41547</v>
      </c>
      <c r="D66" s="1">
        <v>14.7</v>
      </c>
      <c r="E66" s="1">
        <v>14.3</v>
      </c>
      <c r="F66" s="1">
        <v>16.600000000000001</v>
      </c>
      <c r="G66" s="1">
        <f t="shared" si="6"/>
        <v>426.1</v>
      </c>
      <c r="J66" s="1">
        <v>0.3</v>
      </c>
      <c r="K66" s="1">
        <f t="shared" si="7"/>
        <v>75.600000000000023</v>
      </c>
      <c r="L66" s="1">
        <v>0.7</v>
      </c>
      <c r="M66" s="1">
        <f t="shared" si="8"/>
        <v>51.2</v>
      </c>
      <c r="N66" s="5">
        <f t="shared" si="5"/>
        <v>-0.39999999999999997</v>
      </c>
      <c r="O66" s="1">
        <v>44.6</v>
      </c>
      <c r="P66" s="1">
        <v>27</v>
      </c>
      <c r="Q66" s="1">
        <f t="shared" si="11"/>
        <v>0.53281250000000002</v>
      </c>
      <c r="R66" s="9">
        <f t="shared" si="2"/>
        <v>0.37296875000000002</v>
      </c>
      <c r="S66" s="9">
        <f t="shared" si="3"/>
        <v>-7.2968750000000027E-2</v>
      </c>
      <c r="T66" s="9">
        <f t="shared" si="10"/>
        <v>60.566640625000005</v>
      </c>
      <c r="V66" s="10">
        <v>352.7</v>
      </c>
      <c r="W66" s="1">
        <f t="shared" si="4"/>
        <v>23.993197278911566</v>
      </c>
      <c r="X66" s="1">
        <f t="shared" si="9"/>
        <v>25352.80000000001</v>
      </c>
      <c r="AA66" s="1">
        <v>11.8050543220041</v>
      </c>
    </row>
    <row r="67" spans="1:27" s="1" customFormat="1" x14ac:dyDescent="0.25">
      <c r="A67" s="79"/>
      <c r="B67" s="7"/>
      <c r="C67" s="3">
        <v>41548</v>
      </c>
      <c r="D67" s="1">
        <v>15</v>
      </c>
      <c r="E67" s="1">
        <v>11.3</v>
      </c>
      <c r="F67" s="1">
        <v>17.7</v>
      </c>
      <c r="G67" s="1">
        <f t="shared" si="6"/>
        <v>441.1</v>
      </c>
      <c r="J67" s="1">
        <v>0.2</v>
      </c>
      <c r="K67" s="1">
        <f t="shared" si="7"/>
        <v>75.800000000000026</v>
      </c>
      <c r="L67" s="1">
        <v>0.8</v>
      </c>
      <c r="M67" s="1">
        <f t="shared" si="8"/>
        <v>52</v>
      </c>
      <c r="N67" s="5">
        <f t="shared" si="5"/>
        <v>-0.60000000000000009</v>
      </c>
      <c r="O67" s="1">
        <v>44</v>
      </c>
      <c r="P67" s="1">
        <v>28</v>
      </c>
      <c r="Q67" s="1">
        <f t="shared" si="11"/>
        <v>0.54296875</v>
      </c>
      <c r="R67" s="9">
        <f t="shared" si="2"/>
        <v>0.43437500000000001</v>
      </c>
      <c r="S67" s="9">
        <f t="shared" si="3"/>
        <v>-0.234375</v>
      </c>
      <c r="T67" s="9">
        <f t="shared" si="10"/>
        <v>60.332265625000005</v>
      </c>
      <c r="V67" s="10">
        <v>650.29999999999995</v>
      </c>
      <c r="W67" s="1">
        <f t="shared" si="4"/>
        <v>43.353333333333332</v>
      </c>
      <c r="X67" s="1">
        <f t="shared" si="9"/>
        <v>26003.100000000009</v>
      </c>
      <c r="AA67" s="1">
        <v>11.7484937868727</v>
      </c>
    </row>
    <row r="68" spans="1:27" s="1" customFormat="1" x14ac:dyDescent="0.25">
      <c r="A68" s="79"/>
      <c r="B68" s="7"/>
      <c r="C68" s="3">
        <v>41549</v>
      </c>
      <c r="D68" s="1">
        <v>17</v>
      </c>
      <c r="E68" s="1">
        <v>13.5</v>
      </c>
      <c r="F68" s="1">
        <v>19.5</v>
      </c>
      <c r="G68" s="1">
        <f t="shared" si="6"/>
        <v>458.1</v>
      </c>
      <c r="J68" s="1">
        <v>0.1</v>
      </c>
      <c r="K68" s="1">
        <f t="shared" si="7"/>
        <v>75.90000000000002</v>
      </c>
      <c r="L68" s="1">
        <v>1</v>
      </c>
      <c r="M68" s="1">
        <f t="shared" si="8"/>
        <v>53</v>
      </c>
      <c r="N68" s="5">
        <f t="shared" si="5"/>
        <v>-0.9</v>
      </c>
      <c r="O68" s="1">
        <v>43.1</v>
      </c>
      <c r="P68" s="1">
        <v>29</v>
      </c>
      <c r="Q68" s="1">
        <f t="shared" si="11"/>
        <v>0.55312499999999998</v>
      </c>
      <c r="R68" s="9">
        <f t="shared" si="2"/>
        <v>0.55312499999999998</v>
      </c>
      <c r="S68" s="9">
        <f t="shared" si="3"/>
        <v>-0.453125</v>
      </c>
      <c r="T68" s="9">
        <f t="shared" si="10"/>
        <v>59.879140625000005</v>
      </c>
      <c r="V68" s="10">
        <v>722.5</v>
      </c>
      <c r="W68" s="1">
        <f t="shared" si="4"/>
        <v>42.5</v>
      </c>
      <c r="X68" s="1">
        <f t="shared" si="9"/>
        <v>26725.600000000009</v>
      </c>
      <c r="AA68" s="1">
        <v>11.6919598571753</v>
      </c>
    </row>
    <row r="69" spans="1:27" s="1" customFormat="1" x14ac:dyDescent="0.25">
      <c r="A69" s="79"/>
      <c r="B69" s="7"/>
      <c r="C69" s="3">
        <v>41550</v>
      </c>
      <c r="D69" s="1">
        <v>18.8</v>
      </c>
      <c r="E69" s="1">
        <v>15.4</v>
      </c>
      <c r="F69" s="1">
        <v>21.5</v>
      </c>
      <c r="G69" s="1">
        <f t="shared" si="6"/>
        <v>476.90000000000003</v>
      </c>
      <c r="J69" s="1">
        <v>5.2</v>
      </c>
      <c r="K69" s="1">
        <f t="shared" si="7"/>
        <v>81.100000000000023</v>
      </c>
      <c r="L69" s="1">
        <v>0.8</v>
      </c>
      <c r="M69" s="1">
        <f t="shared" si="8"/>
        <v>53.8</v>
      </c>
      <c r="N69" s="1">
        <f t="shared" si="5"/>
        <v>4.4000000000000004</v>
      </c>
      <c r="O69" s="1">
        <v>47.5</v>
      </c>
      <c r="P69" s="1">
        <v>30</v>
      </c>
      <c r="Q69" s="1">
        <f t="shared" si="11"/>
        <v>0.56328124999999996</v>
      </c>
      <c r="R69" s="9">
        <f t="shared" si="2"/>
        <v>0.450625</v>
      </c>
      <c r="S69" s="9">
        <f t="shared" si="3"/>
        <v>4.7493750000000006</v>
      </c>
      <c r="T69" s="9">
        <f t="shared" si="10"/>
        <v>64.628515625000006</v>
      </c>
      <c r="V69" s="10">
        <v>505</v>
      </c>
      <c r="W69" s="1">
        <f t="shared" si="4"/>
        <v>26.861702127659573</v>
      </c>
      <c r="X69" s="1">
        <f t="shared" si="9"/>
        <v>27230.600000000009</v>
      </c>
      <c r="AA69" s="1">
        <v>11.6354586725309</v>
      </c>
    </row>
    <row r="70" spans="1:27" s="1" customFormat="1" x14ac:dyDescent="0.25">
      <c r="A70" s="79"/>
      <c r="B70" s="7"/>
      <c r="C70" s="3">
        <v>41551</v>
      </c>
      <c r="D70" s="1">
        <v>17.3</v>
      </c>
      <c r="E70" s="1">
        <v>16.100000000000001</v>
      </c>
      <c r="F70" s="1">
        <v>20</v>
      </c>
      <c r="G70" s="1">
        <f t="shared" si="6"/>
        <v>494.20000000000005</v>
      </c>
      <c r="J70" s="1">
        <v>9.8000000000000007</v>
      </c>
      <c r="K70" s="1">
        <f t="shared" si="7"/>
        <v>90.90000000000002</v>
      </c>
      <c r="L70" s="1">
        <v>1.4</v>
      </c>
      <c r="M70" s="1">
        <f t="shared" si="8"/>
        <v>55.199999999999996</v>
      </c>
      <c r="N70" s="1">
        <f t="shared" si="5"/>
        <v>8.4</v>
      </c>
      <c r="O70" s="1">
        <v>55.9</v>
      </c>
      <c r="P70" s="1">
        <v>31</v>
      </c>
      <c r="Q70" s="1">
        <f t="shared" si="11"/>
        <v>0.57343750000000004</v>
      </c>
      <c r="R70" s="9">
        <f t="shared" si="2"/>
        <v>0.80281250000000004</v>
      </c>
      <c r="S70" s="9">
        <f t="shared" si="3"/>
        <v>8.9971875000000008</v>
      </c>
      <c r="T70" s="9">
        <f t="shared" si="10"/>
        <v>73.625703125000001</v>
      </c>
      <c r="V70" s="10">
        <v>700</v>
      </c>
      <c r="W70" s="1">
        <f t="shared" si="4"/>
        <v>40.462427745664741</v>
      </c>
      <c r="X70" s="1">
        <f t="shared" si="9"/>
        <v>27930.600000000009</v>
      </c>
      <c r="AA70" s="1">
        <v>11.5789965338003</v>
      </c>
    </row>
    <row r="71" spans="1:27" s="1" customFormat="1" x14ac:dyDescent="0.25">
      <c r="A71" s="79"/>
      <c r="B71" s="7"/>
      <c r="C71" s="3">
        <v>41552</v>
      </c>
      <c r="D71" s="1">
        <v>14.9</v>
      </c>
      <c r="E71" s="1">
        <v>13.8</v>
      </c>
      <c r="F71" s="1">
        <v>18.3</v>
      </c>
      <c r="G71" s="1">
        <f t="shared" si="6"/>
        <v>509.1</v>
      </c>
      <c r="J71" s="1">
        <v>0</v>
      </c>
      <c r="K71" s="1">
        <f t="shared" si="7"/>
        <v>90.90000000000002</v>
      </c>
      <c r="L71" s="1">
        <v>1</v>
      </c>
      <c r="M71" s="1">
        <f t="shared" si="8"/>
        <v>56.199999999999996</v>
      </c>
      <c r="N71" s="5">
        <f t="shared" si="5"/>
        <v>-1</v>
      </c>
      <c r="O71" s="1">
        <v>54.9</v>
      </c>
      <c r="P71" s="1">
        <v>32</v>
      </c>
      <c r="Q71" s="1">
        <f t="shared" si="11"/>
        <v>0.58359375000000002</v>
      </c>
      <c r="R71" s="9">
        <f t="shared" si="2"/>
        <v>0.58359375000000002</v>
      </c>
      <c r="S71" s="9">
        <f t="shared" si="3"/>
        <v>-0.58359375000000002</v>
      </c>
      <c r="T71" s="9">
        <f t="shared" si="10"/>
        <v>73.042109374999995</v>
      </c>
      <c r="V71" s="10">
        <v>569.29999999999995</v>
      </c>
      <c r="W71" s="1">
        <f t="shared" si="4"/>
        <v>38.208053691275161</v>
      </c>
      <c r="X71" s="1">
        <f t="shared" si="9"/>
        <v>28499.900000000009</v>
      </c>
      <c r="AA71" s="1">
        <v>11.522579920069299</v>
      </c>
    </row>
    <row r="72" spans="1:27" s="1" customFormat="1" x14ac:dyDescent="0.25">
      <c r="A72" s="79"/>
      <c r="B72" s="7"/>
      <c r="C72" s="3">
        <v>41553</v>
      </c>
      <c r="D72" s="1">
        <v>13.2</v>
      </c>
      <c r="E72" s="1">
        <v>10.9</v>
      </c>
      <c r="F72" s="1">
        <v>16.2</v>
      </c>
      <c r="G72" s="1">
        <f t="shared" si="6"/>
        <v>522.30000000000007</v>
      </c>
      <c r="J72" s="1">
        <v>0</v>
      </c>
      <c r="K72" s="1">
        <f t="shared" si="7"/>
        <v>90.90000000000002</v>
      </c>
      <c r="L72" s="1">
        <v>0.7</v>
      </c>
      <c r="M72" s="1">
        <f t="shared" si="8"/>
        <v>56.9</v>
      </c>
      <c r="N72" s="5">
        <f t="shared" si="5"/>
        <v>-0.7</v>
      </c>
      <c r="O72" s="1">
        <v>54.199999999999996</v>
      </c>
      <c r="P72" s="1">
        <v>33</v>
      </c>
      <c r="Q72" s="1">
        <f t="shared" si="11"/>
        <v>0.59375</v>
      </c>
      <c r="R72" s="9">
        <f t="shared" si="2"/>
        <v>0.41562499999999997</v>
      </c>
      <c r="S72" s="9">
        <f t="shared" si="3"/>
        <v>-0.41562499999999997</v>
      </c>
      <c r="T72" s="9">
        <f t="shared" si="10"/>
        <v>72.62648437499999</v>
      </c>
      <c r="V72" s="10">
        <v>665.6</v>
      </c>
      <c r="W72" s="1">
        <f t="shared" si="4"/>
        <v>50.424242424242429</v>
      </c>
      <c r="X72" s="1">
        <f t="shared" si="9"/>
        <v>29165.500000000007</v>
      </c>
      <c r="AA72" s="1">
        <v>11.466215505736001</v>
      </c>
    </row>
    <row r="73" spans="1:27" s="1" customFormat="1" x14ac:dyDescent="0.25">
      <c r="A73" s="79"/>
      <c r="B73" s="7"/>
      <c r="C73" s="3">
        <v>41554</v>
      </c>
      <c r="D73" s="1">
        <v>15</v>
      </c>
      <c r="E73" s="1">
        <v>12.1</v>
      </c>
      <c r="F73" s="1">
        <v>18.3</v>
      </c>
      <c r="G73" s="1">
        <f t="shared" si="6"/>
        <v>537.30000000000007</v>
      </c>
      <c r="J73" s="1">
        <v>0</v>
      </c>
      <c r="K73" s="1">
        <f t="shared" si="7"/>
        <v>90.90000000000002</v>
      </c>
      <c r="L73" s="1">
        <v>1</v>
      </c>
      <c r="M73" s="1">
        <f t="shared" si="8"/>
        <v>57.9</v>
      </c>
      <c r="N73" s="5">
        <f t="shared" si="5"/>
        <v>-1</v>
      </c>
      <c r="O73" s="1">
        <v>53.199999999999996</v>
      </c>
      <c r="P73" s="1">
        <v>34</v>
      </c>
      <c r="Q73" s="1">
        <f t="shared" si="11"/>
        <v>0.60390624999999998</v>
      </c>
      <c r="R73" s="9">
        <f t="shared" si="2"/>
        <v>0.60390624999999998</v>
      </c>
      <c r="S73" s="9">
        <f t="shared" si="3"/>
        <v>-0.60390624999999998</v>
      </c>
      <c r="T73" s="9">
        <f t="shared" si="10"/>
        <v>72.022578124999995</v>
      </c>
      <c r="V73" s="10">
        <v>458.3</v>
      </c>
      <c r="W73" s="1">
        <f t="shared" si="4"/>
        <v>30.553333333333335</v>
      </c>
      <c r="X73" s="1">
        <f t="shared" si="9"/>
        <v>29623.800000000007</v>
      </c>
      <c r="AA73" s="1">
        <v>11.409910177696601</v>
      </c>
    </row>
    <row r="74" spans="1:27" s="1" customFormat="1" x14ac:dyDescent="0.25">
      <c r="A74" s="79"/>
      <c r="B74" s="7"/>
      <c r="C74" s="3">
        <v>41555</v>
      </c>
      <c r="D74" s="1">
        <v>15.3</v>
      </c>
      <c r="E74" s="1">
        <v>13.4</v>
      </c>
      <c r="F74" s="1">
        <v>18.8</v>
      </c>
      <c r="G74" s="1">
        <f t="shared" si="6"/>
        <v>552.6</v>
      </c>
      <c r="J74" s="1">
        <v>0</v>
      </c>
      <c r="K74" s="1">
        <f t="shared" si="7"/>
        <v>90.90000000000002</v>
      </c>
      <c r="L74" s="1">
        <v>1.1000000000000001</v>
      </c>
      <c r="M74" s="1">
        <f t="shared" si="8"/>
        <v>59</v>
      </c>
      <c r="N74" s="5">
        <f t="shared" si="5"/>
        <v>-1.1000000000000001</v>
      </c>
      <c r="O74" s="1">
        <v>52.099999999999994</v>
      </c>
      <c r="P74" s="1">
        <v>35</v>
      </c>
      <c r="Q74" s="1">
        <f t="shared" si="11"/>
        <v>0.61406249999999996</v>
      </c>
      <c r="R74" s="9">
        <f t="shared" si="2"/>
        <v>0.67546874999999995</v>
      </c>
      <c r="S74" s="9">
        <f t="shared" si="3"/>
        <v>-0.67546874999999995</v>
      </c>
      <c r="T74" s="9">
        <f t="shared" si="10"/>
        <v>71.347109375000002</v>
      </c>
      <c r="V74" s="10">
        <v>303.2</v>
      </c>
      <c r="W74" s="1">
        <f t="shared" si="4"/>
        <v>19.816993464052285</v>
      </c>
      <c r="X74" s="1">
        <f t="shared" si="9"/>
        <v>29927.000000000007</v>
      </c>
      <c r="AA74" s="1">
        <v>11.353671052625099</v>
      </c>
    </row>
    <row r="75" spans="1:27" s="1" customFormat="1" x14ac:dyDescent="0.25">
      <c r="A75" s="79"/>
      <c r="B75" s="7"/>
      <c r="C75" s="3">
        <v>41556</v>
      </c>
      <c r="D75" s="1">
        <v>15.1</v>
      </c>
      <c r="E75" s="1">
        <v>12.7</v>
      </c>
      <c r="F75" s="1">
        <v>18.2</v>
      </c>
      <c r="G75" s="1">
        <f t="shared" si="6"/>
        <v>567.70000000000005</v>
      </c>
      <c r="J75" s="1">
        <v>0.4</v>
      </c>
      <c r="K75" s="1">
        <f t="shared" si="7"/>
        <v>91.300000000000026</v>
      </c>
      <c r="L75" s="1">
        <v>1.1000000000000001</v>
      </c>
      <c r="M75" s="1">
        <f t="shared" si="8"/>
        <v>60.1</v>
      </c>
      <c r="N75" s="5">
        <f t="shared" si="5"/>
        <v>-0.70000000000000007</v>
      </c>
      <c r="O75" s="1">
        <v>51.399999999999991</v>
      </c>
      <c r="P75" s="1">
        <v>36</v>
      </c>
      <c r="Q75" s="1">
        <f t="shared" si="11"/>
        <v>0.62421875000000004</v>
      </c>
      <c r="R75" s="9">
        <f t="shared" si="2"/>
        <v>0.68664062500000012</v>
      </c>
      <c r="S75" s="9">
        <f t="shared" si="3"/>
        <v>-0.28664062500000009</v>
      </c>
      <c r="T75" s="9">
        <f t="shared" si="10"/>
        <v>71.060468749999998</v>
      </c>
      <c r="V75" s="10">
        <v>314.3</v>
      </c>
      <c r="W75" s="1">
        <f t="shared" si="4"/>
        <v>20.814569536423843</v>
      </c>
      <c r="X75" s="1">
        <f t="shared" si="9"/>
        <v>30241.300000000007</v>
      </c>
      <c r="AA75" s="1">
        <v>11.297505494335701</v>
      </c>
    </row>
    <row r="76" spans="1:27" s="1" customFormat="1" x14ac:dyDescent="0.25">
      <c r="A76" s="79"/>
      <c r="B76" s="7"/>
      <c r="C76" s="3">
        <v>41557</v>
      </c>
      <c r="D76" s="1">
        <v>10.3</v>
      </c>
      <c r="E76" s="1">
        <v>8.5</v>
      </c>
      <c r="F76" s="1">
        <v>13</v>
      </c>
      <c r="G76" s="1">
        <f t="shared" si="6"/>
        <v>578</v>
      </c>
      <c r="J76" s="1">
        <v>0</v>
      </c>
      <c r="K76" s="1">
        <f t="shared" si="7"/>
        <v>91.300000000000026</v>
      </c>
      <c r="L76" s="1">
        <v>1.5</v>
      </c>
      <c r="M76" s="1">
        <f t="shared" si="8"/>
        <v>61.6</v>
      </c>
      <c r="N76" s="5">
        <f t="shared" si="5"/>
        <v>-1.5</v>
      </c>
      <c r="O76" s="1">
        <v>49.899999999999991</v>
      </c>
      <c r="P76" s="1">
        <v>37</v>
      </c>
      <c r="Q76" s="1">
        <f t="shared" si="11"/>
        <v>0.63437499999999991</v>
      </c>
      <c r="R76" s="9">
        <f t="shared" si="2"/>
        <v>0.95156249999999987</v>
      </c>
      <c r="S76" s="9">
        <f t="shared" si="3"/>
        <v>-0.95156249999999987</v>
      </c>
      <c r="T76" s="9">
        <f t="shared" si="10"/>
        <v>70.108906250000004</v>
      </c>
      <c r="V76" s="10">
        <v>512.1</v>
      </c>
      <c r="W76" s="1">
        <f t="shared" si="4"/>
        <v>49.718446601941743</v>
      </c>
      <c r="X76" s="1">
        <f t="shared" si="9"/>
        <v>30753.400000000005</v>
      </c>
      <c r="AA76" s="1">
        <v>11.241421131219001</v>
      </c>
    </row>
    <row r="77" spans="1:27" s="1" customFormat="1" x14ac:dyDescent="0.25">
      <c r="A77" s="79"/>
      <c r="B77" s="7"/>
      <c r="C77" s="3">
        <v>41558</v>
      </c>
      <c r="D77" s="1">
        <v>8</v>
      </c>
      <c r="E77" s="1">
        <v>6.3</v>
      </c>
      <c r="F77" s="1">
        <v>9.5</v>
      </c>
      <c r="G77" s="1">
        <f t="shared" si="6"/>
        <v>586</v>
      </c>
      <c r="J77" s="1">
        <v>5.3</v>
      </c>
      <c r="K77" s="1">
        <f t="shared" si="7"/>
        <v>96.600000000000023</v>
      </c>
      <c r="L77" s="1">
        <v>0.4</v>
      </c>
      <c r="M77" s="1">
        <f t="shared" si="8"/>
        <v>62</v>
      </c>
      <c r="N77" s="1">
        <f t="shared" si="5"/>
        <v>4.8999999999999995</v>
      </c>
      <c r="O77" s="1">
        <v>54.79999999999999</v>
      </c>
      <c r="P77" s="1">
        <v>38</v>
      </c>
      <c r="Q77" s="1">
        <f t="shared" si="11"/>
        <v>0.64453125</v>
      </c>
      <c r="R77" s="9">
        <f t="shared" si="2"/>
        <v>0.2578125</v>
      </c>
      <c r="S77" s="9">
        <f t="shared" si="3"/>
        <v>5.0421874999999998</v>
      </c>
      <c r="T77" s="9">
        <f t="shared" si="10"/>
        <v>75.151093750000001</v>
      </c>
      <c r="V77" s="10">
        <v>259.8</v>
      </c>
      <c r="W77" s="1">
        <f t="shared" si="4"/>
        <v>32.475000000000001</v>
      </c>
      <c r="X77" s="1">
        <f t="shared" si="9"/>
        <v>31013.200000000004</v>
      </c>
      <c r="AA77" s="1">
        <v>11.185425873737699</v>
      </c>
    </row>
    <row r="78" spans="1:27" s="1" customFormat="1" x14ac:dyDescent="0.25">
      <c r="A78" s="79"/>
      <c r="B78" s="7"/>
      <c r="C78" s="3">
        <v>41559</v>
      </c>
      <c r="D78" s="1">
        <v>6.9</v>
      </c>
      <c r="E78" s="1">
        <v>6.3</v>
      </c>
      <c r="F78" s="1">
        <v>9.1999999999999993</v>
      </c>
      <c r="G78" s="1">
        <f t="shared" si="6"/>
        <v>592.9</v>
      </c>
      <c r="J78" s="1">
        <v>1</v>
      </c>
      <c r="K78" s="1">
        <f t="shared" si="7"/>
        <v>97.600000000000023</v>
      </c>
      <c r="L78" s="1">
        <v>0.4</v>
      </c>
      <c r="M78" s="1">
        <f t="shared" si="8"/>
        <v>62.4</v>
      </c>
      <c r="N78" s="1">
        <f t="shared" si="5"/>
        <v>0.6</v>
      </c>
      <c r="O78" s="1">
        <v>55.399999999999991</v>
      </c>
      <c r="P78" s="1">
        <v>39</v>
      </c>
      <c r="Q78" s="1">
        <f t="shared" si="11"/>
        <v>0.65468749999999998</v>
      </c>
      <c r="R78" s="9">
        <f t="shared" si="2"/>
        <v>0.26187500000000002</v>
      </c>
      <c r="S78" s="9">
        <f t="shared" si="3"/>
        <v>0.73812499999999992</v>
      </c>
      <c r="T78" s="9">
        <f t="shared" si="10"/>
        <v>75.889218749999998</v>
      </c>
      <c r="V78" s="10">
        <v>238.2</v>
      </c>
      <c r="W78" s="1">
        <f t="shared" si="4"/>
        <v>34.521739130434781</v>
      </c>
      <c r="X78" s="1">
        <f t="shared" si="9"/>
        <v>31251.400000000005</v>
      </c>
      <c r="AA78" s="1">
        <v>11.1295279319661</v>
      </c>
    </row>
    <row r="79" spans="1:27" s="1" customFormat="1" x14ac:dyDescent="0.25">
      <c r="A79" s="79"/>
      <c r="B79" s="7"/>
      <c r="C79" s="3">
        <v>41560</v>
      </c>
      <c r="D79" s="1">
        <v>5.9</v>
      </c>
      <c r="E79" s="12">
        <v>0.5</v>
      </c>
      <c r="F79" s="1">
        <v>11.3</v>
      </c>
      <c r="G79" s="1">
        <f t="shared" si="6"/>
        <v>598.79999999999995</v>
      </c>
      <c r="J79" s="1">
        <v>0</v>
      </c>
      <c r="K79" s="1">
        <f t="shared" si="7"/>
        <v>97.600000000000023</v>
      </c>
      <c r="L79" s="1">
        <v>0.3</v>
      </c>
      <c r="M79" s="1">
        <f t="shared" si="8"/>
        <v>62.699999999999996</v>
      </c>
      <c r="N79" s="5">
        <f t="shared" si="5"/>
        <v>-0.3</v>
      </c>
      <c r="O79" s="1">
        <v>55.099999999999994</v>
      </c>
      <c r="P79" s="1">
        <v>40</v>
      </c>
      <c r="Q79" s="1">
        <f t="shared" si="11"/>
        <v>0.66484374999999996</v>
      </c>
      <c r="R79" s="9">
        <f t="shared" si="2"/>
        <v>0.19945312499999998</v>
      </c>
      <c r="S79" s="9">
        <f t="shared" si="3"/>
        <v>-0.19945312499999998</v>
      </c>
      <c r="T79" s="9">
        <f t="shared" si="10"/>
        <v>75.689765624999993</v>
      </c>
      <c r="V79" s="10">
        <v>486.1</v>
      </c>
      <c r="W79" s="1">
        <f t="shared" si="4"/>
        <v>82.389830508474574</v>
      </c>
      <c r="X79" s="1">
        <f t="shared" si="9"/>
        <v>31737.500000000004</v>
      </c>
      <c r="AA79" s="1">
        <v>11.0737358331531</v>
      </c>
    </row>
    <row r="80" spans="1:27" s="1" customFormat="1" x14ac:dyDescent="0.25">
      <c r="A80" s="79"/>
      <c r="B80" s="7"/>
      <c r="C80" s="3">
        <v>41561</v>
      </c>
      <c r="D80" s="1">
        <v>12.8</v>
      </c>
      <c r="E80" s="1">
        <v>8.5</v>
      </c>
      <c r="F80" s="1">
        <v>14.6</v>
      </c>
      <c r="G80" s="1">
        <f t="shared" si="6"/>
        <v>611.59999999999991</v>
      </c>
      <c r="J80" s="1">
        <v>12.2</v>
      </c>
      <c r="K80" s="1">
        <f t="shared" si="7"/>
        <v>109.80000000000003</v>
      </c>
      <c r="L80" s="1">
        <v>0</v>
      </c>
      <c r="M80" s="1">
        <f t="shared" si="8"/>
        <v>62.699999999999996</v>
      </c>
      <c r="N80" s="1">
        <f t="shared" si="5"/>
        <v>12.2</v>
      </c>
      <c r="O80" s="1">
        <v>67.3</v>
      </c>
      <c r="P80" s="1">
        <v>41</v>
      </c>
      <c r="Q80" s="1">
        <f t="shared" si="11"/>
        <v>0.67500000000000004</v>
      </c>
      <c r="R80" s="9">
        <f t="shared" si="2"/>
        <v>0</v>
      </c>
      <c r="S80" s="9">
        <f t="shared" si="3"/>
        <v>12.2</v>
      </c>
      <c r="T80" s="9">
        <f t="shared" si="10"/>
        <v>87.889765624999995</v>
      </c>
      <c r="V80" s="10">
        <v>234.2</v>
      </c>
      <c r="W80" s="1">
        <f t="shared" si="4"/>
        <v>18.296874999999996</v>
      </c>
      <c r="X80" s="1">
        <f t="shared" si="9"/>
        <v>31971.700000000004</v>
      </c>
      <c r="AA80" s="1">
        <v>11.0180584392887</v>
      </c>
    </row>
    <row r="81" spans="1:27" s="1" customFormat="1" x14ac:dyDescent="0.25">
      <c r="A81" s="79"/>
      <c r="B81" s="7"/>
      <c r="C81" s="3">
        <v>41562</v>
      </c>
      <c r="D81" s="1">
        <v>13.4</v>
      </c>
      <c r="E81" s="1">
        <v>12.4</v>
      </c>
      <c r="F81" s="1">
        <v>14.9</v>
      </c>
      <c r="G81" s="1">
        <f t="shared" si="6"/>
        <v>624.99999999999989</v>
      </c>
      <c r="J81" s="1">
        <v>15.9</v>
      </c>
      <c r="K81" s="1">
        <f t="shared" si="7"/>
        <v>125.70000000000003</v>
      </c>
      <c r="L81" s="1">
        <v>0.6</v>
      </c>
      <c r="M81" s="1">
        <f t="shared" si="8"/>
        <v>63.3</v>
      </c>
      <c r="N81" s="1">
        <f t="shared" si="5"/>
        <v>15.3</v>
      </c>
      <c r="O81" s="1">
        <v>82.6</v>
      </c>
      <c r="P81" s="1">
        <v>42</v>
      </c>
      <c r="Q81" s="1">
        <f t="shared" si="11"/>
        <v>0.68515624999999991</v>
      </c>
      <c r="R81" s="9">
        <f t="shared" si="2"/>
        <v>0.41109374999999992</v>
      </c>
      <c r="S81" s="9">
        <f t="shared" si="3"/>
        <v>15.488906250000001</v>
      </c>
      <c r="T81" s="9">
        <f t="shared" si="10"/>
        <v>103.37867187499999</v>
      </c>
      <c r="V81" s="10">
        <v>229.9</v>
      </c>
      <c r="W81" s="1">
        <f t="shared" si="4"/>
        <v>17.156716417910449</v>
      </c>
      <c r="X81" s="1">
        <f t="shared" si="9"/>
        <v>32201.600000000006</v>
      </c>
      <c r="AA81" s="1">
        <v>10.9625049646466</v>
      </c>
    </row>
    <row r="82" spans="1:27" s="1" customFormat="1" x14ac:dyDescent="0.25">
      <c r="A82" s="79"/>
      <c r="B82" s="7"/>
      <c r="C82" s="3">
        <v>41563</v>
      </c>
      <c r="D82" s="1">
        <v>13.3</v>
      </c>
      <c r="E82" s="1">
        <v>11.1</v>
      </c>
      <c r="F82" s="1">
        <v>15.6</v>
      </c>
      <c r="G82" s="1">
        <f t="shared" si="6"/>
        <v>638.29999999999984</v>
      </c>
      <c r="J82" s="1">
        <v>2.7</v>
      </c>
      <c r="K82" s="1">
        <f t="shared" si="7"/>
        <v>128.40000000000003</v>
      </c>
      <c r="L82" s="1">
        <v>0.3</v>
      </c>
      <c r="M82" s="1">
        <f t="shared" si="8"/>
        <v>63.599999999999994</v>
      </c>
      <c r="N82" s="1">
        <f t="shared" si="5"/>
        <v>2.4000000000000004</v>
      </c>
      <c r="O82" s="1">
        <v>85</v>
      </c>
      <c r="P82" s="1">
        <v>43</v>
      </c>
      <c r="Q82" s="1">
        <f t="shared" si="11"/>
        <v>0.6953125</v>
      </c>
      <c r="R82" s="9">
        <f t="shared" si="2"/>
        <v>0.20859374999999999</v>
      </c>
      <c r="S82" s="9">
        <f t="shared" si="3"/>
        <v>2.4914062500000003</v>
      </c>
      <c r="T82" s="9">
        <f t="shared" si="10"/>
        <v>105.87007812499999</v>
      </c>
      <c r="V82" s="10">
        <v>226.6</v>
      </c>
      <c r="W82" s="1">
        <f t="shared" si="4"/>
        <v>17.037593984962406</v>
      </c>
      <c r="X82" s="1">
        <f t="shared" si="9"/>
        <v>32428.200000000004</v>
      </c>
      <c r="AA82" s="1">
        <v>10.9070849932738</v>
      </c>
    </row>
    <row r="83" spans="1:27" s="1" customFormat="1" x14ac:dyDescent="0.25">
      <c r="A83" s="79"/>
      <c r="B83" s="7"/>
      <c r="C83" s="3">
        <v>41564</v>
      </c>
      <c r="D83" s="1">
        <v>12.2</v>
      </c>
      <c r="E83" s="1">
        <v>10.9</v>
      </c>
      <c r="F83" s="1">
        <v>15</v>
      </c>
      <c r="G83" s="1">
        <f t="shared" si="6"/>
        <v>650.49999999999989</v>
      </c>
      <c r="J83" s="1">
        <v>0.2</v>
      </c>
      <c r="K83" s="1">
        <f t="shared" si="7"/>
        <v>128.60000000000002</v>
      </c>
      <c r="L83" s="1">
        <v>0.5</v>
      </c>
      <c r="M83" s="1">
        <f t="shared" si="8"/>
        <v>64.099999999999994</v>
      </c>
      <c r="N83" s="5">
        <f t="shared" si="5"/>
        <v>-0.3</v>
      </c>
      <c r="O83" s="1">
        <v>84.7</v>
      </c>
      <c r="P83" s="1">
        <v>44</v>
      </c>
      <c r="Q83" s="1">
        <f t="shared" si="11"/>
        <v>0.70546874999999998</v>
      </c>
      <c r="R83" s="9">
        <f t="shared" si="2"/>
        <v>0.35273437499999999</v>
      </c>
      <c r="S83" s="9">
        <f t="shared" si="3"/>
        <v>-0.15273437499999998</v>
      </c>
      <c r="T83" s="9">
        <f t="shared" si="10"/>
        <v>105.71734375</v>
      </c>
      <c r="V83" s="10">
        <v>268.2</v>
      </c>
      <c r="W83" s="1">
        <f t="shared" si="4"/>
        <v>21.983606557377051</v>
      </c>
      <c r="X83" s="1">
        <f t="shared" si="9"/>
        <v>32696.400000000005</v>
      </c>
      <c r="AA83" s="1">
        <v>10.851808496395099</v>
      </c>
    </row>
    <row r="84" spans="1:27" s="1" customFormat="1" x14ac:dyDescent="0.25">
      <c r="A84" s="79"/>
      <c r="B84" s="7"/>
      <c r="C84" s="3">
        <v>41565</v>
      </c>
      <c r="D84" s="1">
        <v>10.9</v>
      </c>
      <c r="E84" s="1">
        <v>6.7</v>
      </c>
      <c r="F84" s="1">
        <v>15.6</v>
      </c>
      <c r="G84" s="1">
        <f t="shared" si="6"/>
        <v>661.39999999999986</v>
      </c>
      <c r="J84" s="1">
        <v>0.1</v>
      </c>
      <c r="K84" s="1">
        <f t="shared" si="7"/>
        <v>128.70000000000002</v>
      </c>
      <c r="L84" s="1">
        <v>0.9</v>
      </c>
      <c r="M84" s="1">
        <f t="shared" si="8"/>
        <v>65</v>
      </c>
      <c r="N84" s="5">
        <f t="shared" si="5"/>
        <v>-0.8</v>
      </c>
      <c r="O84" s="1">
        <v>83.9</v>
      </c>
      <c r="P84" s="1">
        <v>45</v>
      </c>
      <c r="Q84" s="1">
        <f t="shared" si="11"/>
        <v>0.71562499999999996</v>
      </c>
      <c r="R84" s="9">
        <f t="shared" si="2"/>
        <v>0.64406249999999998</v>
      </c>
      <c r="S84" s="9">
        <f t="shared" si="3"/>
        <v>-0.5440625</v>
      </c>
      <c r="T84" s="9">
        <f t="shared" si="10"/>
        <v>105.17328125</v>
      </c>
      <c r="V84" s="10">
        <v>512.1</v>
      </c>
      <c r="W84" s="1">
        <f t="shared" si="4"/>
        <v>46.981651376146786</v>
      </c>
      <c r="X84" s="1">
        <f t="shared" si="9"/>
        <v>33208.500000000007</v>
      </c>
      <c r="AA84" s="1">
        <v>10.796685849693899</v>
      </c>
    </row>
    <row r="85" spans="1:27" s="1" customFormat="1" x14ac:dyDescent="0.25">
      <c r="A85" s="79"/>
      <c r="B85" s="7"/>
      <c r="C85" s="3">
        <v>41566</v>
      </c>
      <c r="D85" s="1">
        <v>14.3</v>
      </c>
      <c r="E85" s="1">
        <v>9.6999999999999993</v>
      </c>
      <c r="F85" s="1">
        <v>18.8</v>
      </c>
      <c r="G85" s="1">
        <f t="shared" si="6"/>
        <v>675.69999999999982</v>
      </c>
      <c r="J85" s="1">
        <v>0.1</v>
      </c>
      <c r="K85" s="1">
        <f t="shared" si="7"/>
        <v>128.80000000000001</v>
      </c>
      <c r="L85" s="1">
        <v>0.9</v>
      </c>
      <c r="M85" s="1">
        <f t="shared" si="8"/>
        <v>65.900000000000006</v>
      </c>
      <c r="N85" s="5">
        <f t="shared" si="5"/>
        <v>-0.8</v>
      </c>
      <c r="O85" s="1">
        <v>83.100000000000009</v>
      </c>
      <c r="P85" s="1">
        <v>46</v>
      </c>
      <c r="Q85" s="1">
        <f t="shared" si="11"/>
        <v>0.72578125000000004</v>
      </c>
      <c r="R85" s="9">
        <f t="shared" si="2"/>
        <v>0.65320312500000011</v>
      </c>
      <c r="S85" s="9">
        <f t="shared" si="3"/>
        <v>-0.55320312500000013</v>
      </c>
      <c r="T85" s="9">
        <f t="shared" si="10"/>
        <v>104.62007812500001</v>
      </c>
      <c r="V85" s="10">
        <v>597.29999999999995</v>
      </c>
      <c r="W85" s="1">
        <f t="shared" si="4"/>
        <v>41.769230769230766</v>
      </c>
      <c r="X85" s="1">
        <f t="shared" si="9"/>
        <v>33805.80000000001</v>
      </c>
      <c r="AA85" s="1">
        <v>10.741727850428701</v>
      </c>
    </row>
    <row r="86" spans="1:27" s="1" customFormat="1" x14ac:dyDescent="0.25">
      <c r="A86" s="79"/>
      <c r="B86" s="7"/>
      <c r="C86" s="3">
        <v>41567</v>
      </c>
      <c r="D86" s="1">
        <v>15.4</v>
      </c>
      <c r="E86" s="1">
        <v>13.5</v>
      </c>
      <c r="F86" s="1">
        <v>19.7</v>
      </c>
      <c r="G86" s="1">
        <f t="shared" si="6"/>
        <v>691.0999999999998</v>
      </c>
      <c r="J86" s="1">
        <v>3.4</v>
      </c>
      <c r="K86" s="1">
        <f t="shared" si="7"/>
        <v>132.20000000000002</v>
      </c>
      <c r="L86" s="1">
        <v>1.8</v>
      </c>
      <c r="M86" s="1">
        <f t="shared" si="8"/>
        <v>67.7</v>
      </c>
      <c r="N86" s="1">
        <f t="shared" si="5"/>
        <v>1.5999999999999999</v>
      </c>
      <c r="O86" s="1">
        <v>84.7</v>
      </c>
      <c r="P86" s="1">
        <v>47</v>
      </c>
      <c r="Q86" s="1">
        <f t="shared" si="11"/>
        <v>0.73593749999999991</v>
      </c>
      <c r="R86" s="9">
        <f t="shared" si="2"/>
        <v>1.3246874999999998</v>
      </c>
      <c r="S86" s="9">
        <f t="shared" si="3"/>
        <v>2.0753124999999999</v>
      </c>
      <c r="T86" s="9">
        <f t="shared" si="10"/>
        <v>106.695390625</v>
      </c>
      <c r="V86" s="10">
        <v>791.4</v>
      </c>
      <c r="W86" s="1">
        <f t="shared" si="4"/>
        <v>51.38961038961039</v>
      </c>
      <c r="X86" s="1">
        <f t="shared" si="9"/>
        <v>34597.200000000012</v>
      </c>
      <c r="AA86" s="1">
        <v>10.6869457343384</v>
      </c>
    </row>
    <row r="87" spans="1:27" s="1" customFormat="1" x14ac:dyDescent="0.25">
      <c r="A87" s="79"/>
      <c r="B87" s="7"/>
      <c r="C87" s="3">
        <v>41568</v>
      </c>
      <c r="D87" s="1">
        <v>16.100000000000001</v>
      </c>
      <c r="E87" s="1">
        <v>11.8</v>
      </c>
      <c r="F87" s="1">
        <v>21.2</v>
      </c>
      <c r="G87" s="1">
        <f t="shared" si="6"/>
        <v>707.19999999999982</v>
      </c>
      <c r="J87" s="1">
        <v>0.1</v>
      </c>
      <c r="K87" s="1">
        <f t="shared" si="7"/>
        <v>132.30000000000001</v>
      </c>
      <c r="L87" s="1">
        <v>1.6</v>
      </c>
      <c r="M87" s="1">
        <f t="shared" si="8"/>
        <v>69.3</v>
      </c>
      <c r="N87" s="5">
        <f t="shared" si="5"/>
        <v>-1.5</v>
      </c>
      <c r="O87" s="1">
        <v>83.2</v>
      </c>
      <c r="P87" s="1">
        <v>48</v>
      </c>
      <c r="Q87" s="1">
        <f t="shared" si="11"/>
        <v>0.74609375</v>
      </c>
      <c r="R87" s="9">
        <f t="shared" si="2"/>
        <v>1.1937500000000001</v>
      </c>
      <c r="S87" s="9">
        <f t="shared" si="3"/>
        <v>-1.09375</v>
      </c>
      <c r="T87" s="9">
        <f t="shared" si="10"/>
        <v>105.601640625</v>
      </c>
      <c r="V87" s="1">
        <v>932.8</v>
      </c>
      <c r="W87" s="1">
        <f t="shared" si="4"/>
        <v>57.937888198757754</v>
      </c>
      <c r="X87" s="1">
        <f t="shared" si="9"/>
        <v>35530.000000000015</v>
      </c>
      <c r="AA87" s="1">
        <v>10.6323511922853</v>
      </c>
    </row>
    <row r="88" spans="1:27" s="1" customFormat="1" x14ac:dyDescent="0.25">
      <c r="A88" s="79"/>
      <c r="B88" s="7"/>
      <c r="C88" s="3">
        <v>41569</v>
      </c>
      <c r="D88" s="1">
        <v>17</v>
      </c>
      <c r="E88" s="1">
        <v>14.8</v>
      </c>
      <c r="F88" s="1">
        <v>19.7</v>
      </c>
      <c r="G88" s="1">
        <f t="shared" si="6"/>
        <v>724.19999999999982</v>
      </c>
      <c r="J88" s="1">
        <v>1.4</v>
      </c>
      <c r="K88" s="1">
        <f t="shared" si="7"/>
        <v>133.70000000000002</v>
      </c>
      <c r="L88" s="1">
        <v>1.2</v>
      </c>
      <c r="M88" s="1">
        <f t="shared" si="8"/>
        <v>70.5</v>
      </c>
      <c r="N88" s="1">
        <f t="shared" si="5"/>
        <v>0.19999999999999996</v>
      </c>
      <c r="O88" s="1">
        <v>83.4</v>
      </c>
      <c r="P88" s="1">
        <v>49</v>
      </c>
      <c r="Q88" s="1">
        <f t="shared" si="11"/>
        <v>0.75624999999999998</v>
      </c>
      <c r="R88" s="9">
        <f t="shared" si="2"/>
        <v>0.90749999999999997</v>
      </c>
      <c r="S88" s="9">
        <f t="shared" si="3"/>
        <v>0.49249999999999994</v>
      </c>
      <c r="T88" s="9">
        <f t="shared" si="10"/>
        <v>106.09414062500001</v>
      </c>
      <c r="V88" s="10">
        <v>359.1</v>
      </c>
      <c r="W88" s="1">
        <f t="shared" si="4"/>
        <v>21.123529411764707</v>
      </c>
      <c r="X88" s="1">
        <f t="shared" si="9"/>
        <v>35889.100000000013</v>
      </c>
      <c r="AA88" s="1">
        <v>10.577956386579601</v>
      </c>
    </row>
    <row r="89" spans="1:27" s="1" customFormat="1" x14ac:dyDescent="0.25">
      <c r="A89" s="79"/>
      <c r="B89" s="7"/>
      <c r="C89" s="3">
        <v>41570</v>
      </c>
      <c r="D89" s="1">
        <v>15.8</v>
      </c>
      <c r="E89" s="1">
        <v>14.6</v>
      </c>
      <c r="F89" s="1">
        <v>19.600000000000001</v>
      </c>
      <c r="G89" s="1">
        <f t="shared" si="6"/>
        <v>739.99999999999977</v>
      </c>
      <c r="J89" s="1">
        <v>0.8</v>
      </c>
      <c r="K89" s="1">
        <f t="shared" si="7"/>
        <v>134.50000000000003</v>
      </c>
      <c r="L89" s="1">
        <v>2.4</v>
      </c>
      <c r="M89" s="1">
        <f t="shared" si="8"/>
        <v>72.900000000000006</v>
      </c>
      <c r="N89" s="5">
        <f t="shared" si="5"/>
        <v>-1.5999999999999999</v>
      </c>
      <c r="O89" s="1">
        <v>81.800000000000011</v>
      </c>
      <c r="P89" s="1">
        <v>50</v>
      </c>
      <c r="Q89" s="1">
        <f t="shared" si="11"/>
        <v>0.76640624999999996</v>
      </c>
      <c r="R89" s="9">
        <f t="shared" si="2"/>
        <v>1.8393749999999998</v>
      </c>
      <c r="S89" s="9">
        <f t="shared" si="3"/>
        <v>-1.0393749999999997</v>
      </c>
      <c r="T89" s="9">
        <f t="shared" si="10"/>
        <v>105.05476562500002</v>
      </c>
      <c r="V89" s="10">
        <v>899.3</v>
      </c>
      <c r="W89" s="1">
        <f t="shared" si="4"/>
        <v>56.917721518987335</v>
      </c>
      <c r="X89" s="1">
        <f t="shared" si="9"/>
        <v>36788.400000000016</v>
      </c>
      <c r="AA89" s="1">
        <v>10.5237739669244</v>
      </c>
    </row>
    <row r="90" spans="1:27" s="1" customFormat="1" x14ac:dyDescent="0.25">
      <c r="A90" s="79"/>
      <c r="B90" s="7"/>
      <c r="C90" s="3">
        <v>41571</v>
      </c>
      <c r="D90" s="1">
        <v>15.1</v>
      </c>
      <c r="E90" s="1">
        <v>11.8</v>
      </c>
      <c r="F90" s="1">
        <v>19.899999999999999</v>
      </c>
      <c r="G90" s="1">
        <f t="shared" si="6"/>
        <v>755.0999999999998</v>
      </c>
      <c r="J90" s="1">
        <v>0.6</v>
      </c>
      <c r="K90" s="1">
        <f t="shared" si="7"/>
        <v>135.10000000000002</v>
      </c>
      <c r="L90" s="1">
        <v>1.6</v>
      </c>
      <c r="M90" s="1">
        <f t="shared" si="8"/>
        <v>74.5</v>
      </c>
      <c r="N90" s="5">
        <f t="shared" si="5"/>
        <v>-1</v>
      </c>
      <c r="O90" s="1">
        <v>80.800000000000011</v>
      </c>
      <c r="P90" s="1">
        <v>51</v>
      </c>
      <c r="Q90" s="1">
        <f t="shared" si="11"/>
        <v>0.77656250000000004</v>
      </c>
      <c r="R90" s="9">
        <f t="shared" si="2"/>
        <v>1.2425000000000002</v>
      </c>
      <c r="S90" s="9">
        <f t="shared" si="3"/>
        <v>-0.64250000000000018</v>
      </c>
      <c r="T90" s="9">
        <f t="shared" si="10"/>
        <v>104.41226562500002</v>
      </c>
      <c r="V90" s="10">
        <v>768.1</v>
      </c>
      <c r="W90" s="1">
        <f t="shared" si="4"/>
        <v>50.867549668874176</v>
      </c>
      <c r="X90" s="1">
        <f t="shared" si="9"/>
        <v>37556.500000000015</v>
      </c>
      <c r="AA90" s="1">
        <v>10.4698170859131</v>
      </c>
    </row>
    <row r="91" spans="1:27" s="1" customFormat="1" x14ac:dyDescent="0.25">
      <c r="A91" s="79"/>
      <c r="B91" s="7"/>
      <c r="C91" s="3">
        <v>41572</v>
      </c>
      <c r="D91" s="1">
        <v>16.399999999999999</v>
      </c>
      <c r="E91" s="1">
        <v>14.6</v>
      </c>
      <c r="F91" s="1">
        <v>18.600000000000001</v>
      </c>
      <c r="G91" s="1">
        <f t="shared" si="6"/>
        <v>771.49999999999977</v>
      </c>
      <c r="J91" s="1">
        <v>14.1</v>
      </c>
      <c r="K91" s="1">
        <f t="shared" si="7"/>
        <v>149.20000000000002</v>
      </c>
      <c r="L91" s="1">
        <v>0.7</v>
      </c>
      <c r="M91" s="1">
        <f t="shared" si="8"/>
        <v>75.2</v>
      </c>
      <c r="N91" s="1">
        <f t="shared" si="5"/>
        <v>13.4</v>
      </c>
      <c r="O91" s="1">
        <v>94.200000000000017</v>
      </c>
      <c r="P91" s="1">
        <v>52</v>
      </c>
      <c r="Q91" s="1">
        <f t="shared" si="11"/>
        <v>0.78671874999999991</v>
      </c>
      <c r="R91" s="9">
        <f t="shared" si="2"/>
        <v>0.55070312499999985</v>
      </c>
      <c r="S91" s="9">
        <f t="shared" si="3"/>
        <v>13.549296875</v>
      </c>
      <c r="T91" s="9">
        <f t="shared" si="10"/>
        <v>117.96156250000001</v>
      </c>
      <c r="V91" s="10">
        <v>189.9</v>
      </c>
      <c r="W91" s="1">
        <f t="shared" si="4"/>
        <v>11.579268292682928</v>
      </c>
      <c r="X91" s="1">
        <f t="shared" si="9"/>
        <v>37746.400000000016</v>
      </c>
      <c r="AA91" s="1">
        <v>10.4160994140073</v>
      </c>
    </row>
    <row r="92" spans="1:27" s="1" customFormat="1" x14ac:dyDescent="0.25">
      <c r="A92" s="79"/>
      <c r="B92" s="7"/>
      <c r="C92" s="3">
        <v>41573</v>
      </c>
      <c r="D92" s="1">
        <v>16.600000000000001</v>
      </c>
      <c r="E92" s="1">
        <v>14.6</v>
      </c>
      <c r="F92" s="1">
        <v>20.3</v>
      </c>
      <c r="G92" s="1">
        <f t="shared" si="6"/>
        <v>788.0999999999998</v>
      </c>
      <c r="J92" s="1">
        <v>0.1</v>
      </c>
      <c r="K92" s="1">
        <f t="shared" si="7"/>
        <v>149.30000000000001</v>
      </c>
      <c r="L92" s="1">
        <v>1.1000000000000001</v>
      </c>
      <c r="M92" s="1">
        <f t="shared" si="8"/>
        <v>76.3</v>
      </c>
      <c r="N92" s="5">
        <f t="shared" si="5"/>
        <v>-1</v>
      </c>
      <c r="O92" s="1">
        <v>93.200000000000017</v>
      </c>
      <c r="P92" s="1">
        <v>53</v>
      </c>
      <c r="Q92" s="1">
        <f t="shared" si="11"/>
        <v>0.796875</v>
      </c>
      <c r="R92" s="9">
        <f t="shared" si="2"/>
        <v>0.87656250000000002</v>
      </c>
      <c r="S92" s="9">
        <f t="shared" si="3"/>
        <v>-0.77656250000000004</v>
      </c>
      <c r="T92" s="9">
        <f t="shared" si="10"/>
        <v>117.18500000000002</v>
      </c>
      <c r="V92" s="10">
        <v>313.3</v>
      </c>
      <c r="W92" s="1">
        <f t="shared" si="4"/>
        <v>18.873493975903614</v>
      </c>
      <c r="X92" s="1">
        <f t="shared" si="9"/>
        <v>38059.700000000019</v>
      </c>
      <c r="AA92" s="1">
        <v>10.362635153916701</v>
      </c>
    </row>
    <row r="93" spans="1:27" s="1" customFormat="1" x14ac:dyDescent="0.25">
      <c r="A93" s="79"/>
      <c r="B93" s="7"/>
      <c r="C93" s="3">
        <v>41574</v>
      </c>
      <c r="D93" s="1">
        <v>14.9</v>
      </c>
      <c r="E93" s="1">
        <v>14</v>
      </c>
      <c r="F93" s="1">
        <v>16.2</v>
      </c>
      <c r="G93" s="1">
        <f t="shared" si="6"/>
        <v>802.99999999999977</v>
      </c>
      <c r="J93" s="1">
        <v>12.9</v>
      </c>
      <c r="K93" s="1">
        <f t="shared" si="7"/>
        <v>162.20000000000002</v>
      </c>
      <c r="L93" s="1">
        <v>1.6</v>
      </c>
      <c r="M93" s="1">
        <f t="shared" si="8"/>
        <v>77.899999999999991</v>
      </c>
      <c r="N93" s="1">
        <f t="shared" si="5"/>
        <v>11.3</v>
      </c>
      <c r="O93" s="1">
        <v>104.50000000000001</v>
      </c>
      <c r="P93" s="1">
        <v>54</v>
      </c>
      <c r="Q93" s="1">
        <f t="shared" si="11"/>
        <v>0.80703124999999998</v>
      </c>
      <c r="R93" s="9">
        <f t="shared" si="2"/>
        <v>1.29125</v>
      </c>
      <c r="S93" s="9">
        <f t="shared" si="3"/>
        <v>11.608750000000001</v>
      </c>
      <c r="T93" s="9">
        <f t="shared" si="10"/>
        <v>128.79375000000002</v>
      </c>
      <c r="V93" s="10">
        <v>399.4</v>
      </c>
      <c r="W93" s="1">
        <f t="shared" si="4"/>
        <v>26.805369127516776</v>
      </c>
      <c r="X93" s="1">
        <f t="shared" si="9"/>
        <v>38459.10000000002</v>
      </c>
      <c r="AA93" s="1">
        <v>10.309439054295501</v>
      </c>
    </row>
    <row r="94" spans="1:27" s="1" customFormat="1" x14ac:dyDescent="0.25">
      <c r="A94" s="79"/>
      <c r="B94" s="7"/>
      <c r="C94" s="3">
        <v>41575</v>
      </c>
      <c r="D94" s="1">
        <v>13.8</v>
      </c>
      <c r="E94" s="1">
        <v>11.8</v>
      </c>
      <c r="F94" s="1">
        <v>16.2</v>
      </c>
      <c r="G94" s="1">
        <f t="shared" si="6"/>
        <v>816.79999999999973</v>
      </c>
      <c r="J94" s="1">
        <v>2</v>
      </c>
      <c r="K94" s="1">
        <f t="shared" si="7"/>
        <v>164.20000000000002</v>
      </c>
      <c r="L94" s="1">
        <v>1.7</v>
      </c>
      <c r="M94" s="1">
        <f t="shared" si="8"/>
        <v>79.599999999999994</v>
      </c>
      <c r="N94" s="1">
        <f t="shared" si="5"/>
        <v>0.30000000000000004</v>
      </c>
      <c r="O94" s="1">
        <v>104.80000000000001</v>
      </c>
      <c r="P94" s="1">
        <v>55</v>
      </c>
      <c r="Q94" s="1">
        <f t="shared" si="11"/>
        <v>0.81718749999999996</v>
      </c>
      <c r="R94" s="9">
        <f t="shared" si="2"/>
        <v>1.3892187499999999</v>
      </c>
      <c r="S94" s="9">
        <f t="shared" si="3"/>
        <v>0.61078125000000005</v>
      </c>
      <c r="T94" s="9">
        <f t="shared" si="10"/>
        <v>129.40453125000002</v>
      </c>
      <c r="V94" s="10">
        <v>523.5</v>
      </c>
      <c r="W94" s="1">
        <f t="shared" si="4"/>
        <v>37.934782608695649</v>
      </c>
      <c r="X94" s="1">
        <f t="shared" si="9"/>
        <v>38982.60000000002</v>
      </c>
      <c r="AA94" s="1">
        <v>10.2565264226662</v>
      </c>
    </row>
    <row r="95" spans="1:27" s="1" customFormat="1" x14ac:dyDescent="0.25">
      <c r="A95" s="79"/>
      <c r="B95" s="7"/>
      <c r="C95" s="3">
        <v>41576</v>
      </c>
      <c r="D95" s="1">
        <v>8.6</v>
      </c>
      <c r="E95" s="1">
        <v>6.8</v>
      </c>
      <c r="F95" s="1">
        <v>14.2</v>
      </c>
      <c r="G95" s="1">
        <f t="shared" si="6"/>
        <v>825.39999999999975</v>
      </c>
      <c r="J95" s="1">
        <v>0.6</v>
      </c>
      <c r="K95" s="1">
        <f t="shared" si="7"/>
        <v>164.8</v>
      </c>
      <c r="L95" s="1">
        <v>1.4</v>
      </c>
      <c r="M95" s="1">
        <f t="shared" si="8"/>
        <v>81</v>
      </c>
      <c r="N95" s="5">
        <f t="shared" si="5"/>
        <v>-0.79999999999999993</v>
      </c>
      <c r="O95" s="1">
        <v>104.00000000000001</v>
      </c>
      <c r="P95" s="1">
        <v>56</v>
      </c>
      <c r="Q95" s="1">
        <f t="shared" si="11"/>
        <v>0.82734375000000004</v>
      </c>
      <c r="R95" s="9">
        <f t="shared" si="2"/>
        <v>1.1582812499999999</v>
      </c>
      <c r="S95" s="9">
        <f t="shared" si="3"/>
        <v>-0.55828124999999995</v>
      </c>
      <c r="T95" s="9">
        <f t="shared" si="10"/>
        <v>128.84625000000003</v>
      </c>
      <c r="V95" s="10">
        <v>639.5</v>
      </c>
      <c r="W95" s="1">
        <f t="shared" si="4"/>
        <v>74.360465116279073</v>
      </c>
      <c r="X95" s="1">
        <f t="shared" si="9"/>
        <v>39622.10000000002</v>
      </c>
      <c r="AA95" s="1">
        <v>10.2039131374726</v>
      </c>
    </row>
    <row r="96" spans="1:27" s="1" customFormat="1" x14ac:dyDescent="0.25">
      <c r="A96" s="79"/>
      <c r="B96" s="7"/>
      <c r="C96" s="3">
        <v>41577</v>
      </c>
      <c r="D96" s="1">
        <v>6.5</v>
      </c>
      <c r="E96" s="12">
        <v>1.9</v>
      </c>
      <c r="F96" s="1">
        <v>13.5</v>
      </c>
      <c r="G96" s="1">
        <f t="shared" si="6"/>
        <v>831.89999999999975</v>
      </c>
      <c r="J96" s="1">
        <v>0</v>
      </c>
      <c r="K96" s="1">
        <f t="shared" si="7"/>
        <v>164.8</v>
      </c>
      <c r="L96" s="1">
        <v>1.2</v>
      </c>
      <c r="M96" s="1">
        <f t="shared" si="8"/>
        <v>82.2</v>
      </c>
      <c r="N96" s="5">
        <f t="shared" si="5"/>
        <v>-1.2</v>
      </c>
      <c r="O96" s="1">
        <v>102.80000000000001</v>
      </c>
      <c r="P96" s="1">
        <v>57</v>
      </c>
      <c r="Q96" s="1">
        <f t="shared" si="11"/>
        <v>0.83750000000000002</v>
      </c>
      <c r="R96" s="9">
        <f t="shared" si="2"/>
        <v>1.0049999999999999</v>
      </c>
      <c r="S96" s="9">
        <f t="shared" si="3"/>
        <v>-1.0049999999999999</v>
      </c>
      <c r="T96" s="9">
        <f t="shared" si="10"/>
        <v>127.84125000000003</v>
      </c>
      <c r="V96" s="1">
        <v>918.6</v>
      </c>
      <c r="W96" s="1">
        <f t="shared" si="4"/>
        <v>141.32307692307694</v>
      </c>
      <c r="X96" s="1">
        <f t="shared" si="9"/>
        <v>40540.700000000019</v>
      </c>
      <c r="AA96" s="1">
        <v>10.151615659159599</v>
      </c>
    </row>
    <row r="97" spans="1:27" s="1" customFormat="1" x14ac:dyDescent="0.25">
      <c r="A97" s="79"/>
      <c r="B97" s="7"/>
      <c r="C97" s="3">
        <v>41578</v>
      </c>
      <c r="D97" s="1">
        <v>8.3000000000000007</v>
      </c>
      <c r="E97" s="12">
        <v>2</v>
      </c>
      <c r="F97" s="1">
        <v>13.5</v>
      </c>
      <c r="G97" s="1">
        <f t="shared" si="6"/>
        <v>840.1999999999997</v>
      </c>
      <c r="J97" s="1">
        <v>0.2</v>
      </c>
      <c r="K97" s="1">
        <f t="shared" si="7"/>
        <v>165</v>
      </c>
      <c r="L97" s="1">
        <v>1.1000000000000001</v>
      </c>
      <c r="M97" s="1">
        <f t="shared" si="8"/>
        <v>83.3</v>
      </c>
      <c r="N97" s="5">
        <f t="shared" si="5"/>
        <v>-0.90000000000000013</v>
      </c>
      <c r="O97" s="1">
        <v>101.9</v>
      </c>
      <c r="P97" s="1">
        <v>58</v>
      </c>
      <c r="Q97" s="1">
        <f t="shared" si="11"/>
        <v>0.84765625</v>
      </c>
      <c r="R97" s="9">
        <f t="shared" si="2"/>
        <v>0.93242187500000007</v>
      </c>
      <c r="S97" s="9">
        <f t="shared" si="3"/>
        <v>-0.732421875</v>
      </c>
      <c r="T97" s="9">
        <f t="shared" si="10"/>
        <v>127.10882812500003</v>
      </c>
      <c r="V97" s="1">
        <v>1005.7</v>
      </c>
      <c r="W97" s="1">
        <f t="shared" si="4"/>
        <v>121.16867469879517</v>
      </c>
      <c r="X97" s="1">
        <f t="shared" si="9"/>
        <v>41546.400000000016</v>
      </c>
      <c r="AA97" s="1">
        <v>10.0996510401721</v>
      </c>
    </row>
    <row r="98" spans="1:27" s="1" customFormat="1" x14ac:dyDescent="0.25">
      <c r="A98" s="79"/>
      <c r="B98" s="7"/>
      <c r="C98" s="3">
        <v>41579</v>
      </c>
      <c r="D98" s="1">
        <v>9.6</v>
      </c>
      <c r="E98" s="1">
        <v>8.9</v>
      </c>
      <c r="F98" s="1">
        <v>14.8</v>
      </c>
      <c r="G98" s="1">
        <f t="shared" si="6"/>
        <v>849.79999999999973</v>
      </c>
      <c r="J98" s="1">
        <v>17.2</v>
      </c>
      <c r="K98" s="1">
        <f t="shared" si="7"/>
        <v>182.2</v>
      </c>
      <c r="L98" s="1">
        <v>1.5</v>
      </c>
      <c r="M98" s="1">
        <f t="shared" si="8"/>
        <v>84.8</v>
      </c>
      <c r="N98" s="1">
        <f t="shared" si="5"/>
        <v>15.7</v>
      </c>
      <c r="O98" s="1">
        <v>117.60000000000001</v>
      </c>
      <c r="P98" s="1">
        <v>59</v>
      </c>
      <c r="Q98" s="1">
        <f t="shared" si="11"/>
        <v>0.85781249999999998</v>
      </c>
      <c r="R98" s="9">
        <f t="shared" si="2"/>
        <v>1.2867187499999999</v>
      </c>
      <c r="S98" s="9">
        <f t="shared" si="3"/>
        <v>15.913281249999999</v>
      </c>
      <c r="T98" s="9">
        <f t="shared" si="10"/>
        <v>138.9</v>
      </c>
      <c r="V98" s="10">
        <v>163.1</v>
      </c>
      <c r="W98" s="1">
        <f t="shared" si="4"/>
        <v>16.989583333333332</v>
      </c>
      <c r="X98" s="1">
        <f t="shared" si="9"/>
        <v>41709.500000000015</v>
      </c>
      <c r="AA98" s="1">
        <v>10.048036933755901</v>
      </c>
    </row>
    <row r="99" spans="1:27" s="1" customFormat="1" x14ac:dyDescent="0.25">
      <c r="A99" s="79"/>
      <c r="B99" s="7"/>
      <c r="C99" s="3">
        <v>41580</v>
      </c>
      <c r="D99" s="1">
        <v>13.9</v>
      </c>
      <c r="E99" s="1">
        <v>9.6999999999999993</v>
      </c>
      <c r="F99" s="1">
        <v>15.4</v>
      </c>
      <c r="G99" s="1">
        <f t="shared" si="6"/>
        <v>863.6999999999997</v>
      </c>
      <c r="J99" s="1">
        <v>3.2</v>
      </c>
      <c r="K99" s="1">
        <f t="shared" si="7"/>
        <v>185.39999999999998</v>
      </c>
      <c r="L99" s="1">
        <v>0.2</v>
      </c>
      <c r="M99" s="1">
        <f t="shared" si="8"/>
        <v>85</v>
      </c>
      <c r="N99" s="1">
        <f t="shared" si="5"/>
        <v>3</v>
      </c>
      <c r="O99" s="1">
        <v>120.60000000000001</v>
      </c>
      <c r="P99" s="1">
        <v>60</v>
      </c>
      <c r="Q99" s="1">
        <f t="shared" si="11"/>
        <v>0.86796874999999996</v>
      </c>
      <c r="R99" s="9">
        <f t="shared" si="2"/>
        <v>0.17359374999999999</v>
      </c>
      <c r="S99" s="9">
        <f t="shared" si="3"/>
        <v>3.02640625</v>
      </c>
      <c r="T99" s="9">
        <f t="shared" si="10"/>
        <v>138.9</v>
      </c>
      <c r="V99" s="10">
        <v>200.5</v>
      </c>
      <c r="W99" s="1">
        <f t="shared" si="4"/>
        <v>14.424460431654676</v>
      </c>
      <c r="X99" s="1">
        <f t="shared" si="9"/>
        <v>41910.000000000015</v>
      </c>
      <c r="AA99" s="1">
        <v>9.9967916014417408</v>
      </c>
    </row>
    <row r="100" spans="1:27" s="1" customFormat="1" x14ac:dyDescent="0.25">
      <c r="A100" s="79"/>
      <c r="B100" s="7"/>
      <c r="C100" s="3">
        <v>41581</v>
      </c>
      <c r="D100" s="1">
        <v>10.4</v>
      </c>
      <c r="E100" s="1">
        <v>7.3</v>
      </c>
      <c r="F100" s="1">
        <v>12.4</v>
      </c>
      <c r="G100" s="1">
        <f t="shared" si="6"/>
        <v>874.09999999999968</v>
      </c>
      <c r="J100" s="1">
        <v>9.6</v>
      </c>
      <c r="K100" s="1">
        <f t="shared" si="7"/>
        <v>194.99999999999997</v>
      </c>
      <c r="L100" s="1">
        <v>1.4</v>
      </c>
      <c r="M100" s="1">
        <f t="shared" si="8"/>
        <v>86.4</v>
      </c>
      <c r="N100" s="1">
        <f t="shared" si="5"/>
        <v>8.1999999999999993</v>
      </c>
      <c r="O100" s="1">
        <v>128.80000000000001</v>
      </c>
      <c r="P100" s="1">
        <v>61</v>
      </c>
      <c r="Q100" s="1">
        <f t="shared" si="11"/>
        <v>0.87812500000000004</v>
      </c>
      <c r="R100" s="9">
        <f t="shared" si="2"/>
        <v>1.2293749999999999</v>
      </c>
      <c r="S100" s="9">
        <f t="shared" si="3"/>
        <v>8.3706250000000004</v>
      </c>
      <c r="T100" s="9">
        <f t="shared" si="10"/>
        <v>138.9</v>
      </c>
      <c r="V100" s="10">
        <v>817.3</v>
      </c>
      <c r="W100" s="1">
        <f t="shared" si="4"/>
        <v>78.586538461538453</v>
      </c>
      <c r="X100" s="1">
        <f t="shared" si="9"/>
        <v>42727.300000000017</v>
      </c>
      <c r="AA100" s="1">
        <v>9.9459339190856593</v>
      </c>
    </row>
    <row r="101" spans="1:27" s="1" customFormat="1" x14ac:dyDescent="0.25">
      <c r="A101" s="79"/>
      <c r="B101" s="7"/>
      <c r="C101" s="3">
        <v>41582</v>
      </c>
      <c r="D101" s="1">
        <v>10</v>
      </c>
      <c r="E101" s="1">
        <v>7.1</v>
      </c>
      <c r="F101" s="1">
        <v>13.4</v>
      </c>
      <c r="G101" s="1">
        <f t="shared" si="6"/>
        <v>884.09999999999968</v>
      </c>
      <c r="J101" s="1">
        <v>5.0999999999999996</v>
      </c>
      <c r="K101" s="1">
        <f t="shared" si="7"/>
        <v>200.09999999999997</v>
      </c>
      <c r="L101" s="1">
        <v>0.5</v>
      </c>
      <c r="M101" s="1">
        <f t="shared" si="8"/>
        <v>86.9</v>
      </c>
      <c r="N101" s="1">
        <f t="shared" si="5"/>
        <v>4.5999999999999996</v>
      </c>
      <c r="O101" s="1">
        <v>133.4</v>
      </c>
      <c r="P101" s="1">
        <v>62</v>
      </c>
      <c r="Q101" s="1">
        <f t="shared" si="11"/>
        <v>0.88828125000000002</v>
      </c>
      <c r="R101" s="9">
        <f t="shared" si="2"/>
        <v>0.44414062500000001</v>
      </c>
      <c r="S101" s="9">
        <f t="shared" si="3"/>
        <v>4.6558593749999995</v>
      </c>
      <c r="T101" s="9">
        <f t="shared" si="10"/>
        <v>138.9</v>
      </c>
      <c r="V101" s="10">
        <v>215.4</v>
      </c>
      <c r="W101" s="1">
        <f t="shared" si="4"/>
        <v>21.54</v>
      </c>
      <c r="X101" s="1">
        <f t="shared" si="9"/>
        <v>42942.700000000019</v>
      </c>
      <c r="AA101" s="1">
        <v>9.8954833813339693</v>
      </c>
    </row>
    <row r="102" spans="1:27" s="1" customFormat="1" x14ac:dyDescent="0.25">
      <c r="A102" s="79"/>
      <c r="B102" s="7"/>
      <c r="C102" s="3">
        <v>41583</v>
      </c>
      <c r="D102" s="1">
        <v>10.199999999999999</v>
      </c>
      <c r="E102" s="12">
        <v>3.6</v>
      </c>
      <c r="F102" s="1">
        <v>14.1</v>
      </c>
      <c r="G102" s="1">
        <f t="shared" si="6"/>
        <v>894.29999999999973</v>
      </c>
      <c r="J102" s="1">
        <v>4.2</v>
      </c>
      <c r="K102" s="1">
        <f t="shared" si="7"/>
        <v>204.29999999999995</v>
      </c>
      <c r="L102" s="1">
        <v>0.2</v>
      </c>
      <c r="M102" s="1">
        <f t="shared" si="8"/>
        <v>87.100000000000009</v>
      </c>
      <c r="N102" s="1">
        <f t="shared" si="5"/>
        <v>4</v>
      </c>
      <c r="O102" s="1">
        <v>137.4</v>
      </c>
      <c r="P102" s="1">
        <v>63</v>
      </c>
      <c r="Q102" s="1">
        <f t="shared" si="11"/>
        <v>0.8984375</v>
      </c>
      <c r="R102" s="9">
        <f t="shared" si="2"/>
        <v>0.1796875</v>
      </c>
      <c r="S102" s="9">
        <f t="shared" si="3"/>
        <v>4.0203125000000002</v>
      </c>
      <c r="T102" s="9">
        <f t="shared" si="10"/>
        <v>138.9</v>
      </c>
      <c r="V102" s="10">
        <v>224.3</v>
      </c>
      <c r="W102" s="1">
        <f t="shared" si="4"/>
        <v>21.990196078431374</v>
      </c>
      <c r="X102" s="1">
        <f t="shared" si="9"/>
        <v>43167.000000000022</v>
      </c>
      <c r="AA102" s="1">
        <v>9.8454601043774108</v>
      </c>
    </row>
    <row r="103" spans="1:27" s="1" customFormat="1" x14ac:dyDescent="0.25">
      <c r="A103" s="79"/>
      <c r="B103" s="7"/>
      <c r="C103" s="3">
        <v>41584</v>
      </c>
      <c r="D103" s="1">
        <v>14.4</v>
      </c>
      <c r="E103" s="1">
        <v>12.1</v>
      </c>
      <c r="F103" s="1">
        <v>15.3</v>
      </c>
      <c r="G103" s="1">
        <f t="shared" si="6"/>
        <v>908.6999999999997</v>
      </c>
      <c r="J103" s="1">
        <v>1.2</v>
      </c>
      <c r="K103" s="1">
        <f t="shared" si="7"/>
        <v>205.49999999999994</v>
      </c>
      <c r="L103" s="1">
        <v>0.6</v>
      </c>
      <c r="M103" s="1">
        <f t="shared" si="8"/>
        <v>87.7</v>
      </c>
      <c r="N103" s="1">
        <f t="shared" si="5"/>
        <v>0.6</v>
      </c>
      <c r="O103" s="1">
        <v>138</v>
      </c>
      <c r="P103" s="1">
        <v>64</v>
      </c>
      <c r="Q103" s="1">
        <f t="shared" si="11"/>
        <v>0.90859374999999998</v>
      </c>
      <c r="R103" s="9">
        <f t="shared" si="2"/>
        <v>0.54515625000000001</v>
      </c>
      <c r="S103" s="9">
        <f t="shared" si="3"/>
        <v>0.65484374999999995</v>
      </c>
      <c r="T103" s="9">
        <f t="shared" si="10"/>
        <v>138.9</v>
      </c>
      <c r="V103" s="10">
        <v>136.69999999999999</v>
      </c>
      <c r="W103" s="1">
        <f t="shared" si="4"/>
        <v>9.4930555555555554</v>
      </c>
      <c r="X103" s="1">
        <f t="shared" si="9"/>
        <v>43303.700000000019</v>
      </c>
      <c r="AA103" s="1">
        <v>9.7958848268537206</v>
      </c>
    </row>
    <row r="104" spans="1:27" s="1" customFormat="1" x14ac:dyDescent="0.25">
      <c r="A104" s="79"/>
      <c r="B104" s="7"/>
      <c r="C104" s="3">
        <v>41585</v>
      </c>
      <c r="D104" s="1">
        <v>14.7</v>
      </c>
      <c r="E104" s="1">
        <v>13.8</v>
      </c>
      <c r="F104" s="1">
        <v>16.899999999999999</v>
      </c>
      <c r="G104" s="1">
        <f t="shared" si="6"/>
        <v>923.39999999999975</v>
      </c>
      <c r="J104" s="1">
        <v>8.1</v>
      </c>
      <c r="K104" s="1">
        <f t="shared" si="7"/>
        <v>213.59999999999994</v>
      </c>
      <c r="L104" s="1">
        <v>1.1000000000000001</v>
      </c>
      <c r="M104" s="1">
        <f t="shared" si="8"/>
        <v>88.8</v>
      </c>
      <c r="N104" s="1">
        <f t="shared" si="5"/>
        <v>7</v>
      </c>
      <c r="O104" s="1">
        <v>138.9</v>
      </c>
      <c r="P104" s="1">
        <v>65</v>
      </c>
      <c r="Q104" s="1">
        <f t="shared" si="11"/>
        <v>0.91874999999999996</v>
      </c>
      <c r="R104" s="9">
        <f t="shared" ref="R104:R167" si="12">Q104*L104</f>
        <v>1.0106250000000001</v>
      </c>
      <c r="S104" s="9">
        <f t="shared" ref="S104:S167" si="13">J104-R104</f>
        <v>7.0893749999999995</v>
      </c>
      <c r="T104" s="9">
        <f t="shared" si="10"/>
        <v>138.9</v>
      </c>
      <c r="V104" s="10">
        <v>229.2</v>
      </c>
      <c r="W104" s="1">
        <f t="shared" ref="W104:W167" si="14">V104/D104</f>
        <v>15.591836734693878</v>
      </c>
      <c r="X104" s="1">
        <f t="shared" si="9"/>
        <v>43532.900000000016</v>
      </c>
      <c r="AA104" s="1">
        <v>9.7467789087550205</v>
      </c>
    </row>
    <row r="105" spans="1:27" s="1" customFormat="1" x14ac:dyDescent="0.25">
      <c r="A105" s="79"/>
      <c r="B105" s="7"/>
      <c r="C105" s="3">
        <v>41586</v>
      </c>
      <c r="D105" s="1">
        <v>11.7</v>
      </c>
      <c r="E105" s="1">
        <v>11.5</v>
      </c>
      <c r="F105" s="1">
        <v>14</v>
      </c>
      <c r="G105" s="1">
        <f t="shared" si="6"/>
        <v>935.0999999999998</v>
      </c>
      <c r="J105" s="1">
        <v>11.3</v>
      </c>
      <c r="K105" s="1">
        <f t="shared" si="7"/>
        <v>224.89999999999995</v>
      </c>
      <c r="L105" s="1">
        <v>0.7</v>
      </c>
      <c r="M105" s="1">
        <f t="shared" si="8"/>
        <v>89.5</v>
      </c>
      <c r="N105" s="1">
        <f t="shared" ref="N105:N168" si="15">J105-L105</f>
        <v>10.600000000000001</v>
      </c>
      <c r="O105" s="1">
        <v>138.9</v>
      </c>
      <c r="P105" s="1">
        <v>66</v>
      </c>
      <c r="Q105" s="1">
        <f t="shared" si="11"/>
        <v>0.92890625000000004</v>
      </c>
      <c r="R105" s="9">
        <f t="shared" si="12"/>
        <v>0.65023437500000003</v>
      </c>
      <c r="S105" s="9">
        <f t="shared" si="13"/>
        <v>10.649765625000001</v>
      </c>
      <c r="T105" s="9">
        <f t="shared" si="10"/>
        <v>138.9</v>
      </c>
      <c r="V105" s="10">
        <v>149.80000000000001</v>
      </c>
      <c r="W105" s="1">
        <f t="shared" si="14"/>
        <v>12.803418803418806</v>
      </c>
      <c r="X105" s="1">
        <f t="shared" si="9"/>
        <v>43682.700000000019</v>
      </c>
      <c r="AA105" s="1">
        <v>9.6981643281934709</v>
      </c>
    </row>
    <row r="106" spans="1:27" s="1" customFormat="1" x14ac:dyDescent="0.25">
      <c r="A106" s="79"/>
      <c r="B106" s="7"/>
      <c r="C106" s="3">
        <v>41587</v>
      </c>
      <c r="D106" s="1">
        <v>8.4</v>
      </c>
      <c r="E106" s="1">
        <v>5.0999999999999996</v>
      </c>
      <c r="F106" s="1">
        <v>11.2</v>
      </c>
      <c r="G106" s="1">
        <f t="shared" ref="G106:G169" si="16">G105+D106</f>
        <v>943.49999999999977</v>
      </c>
      <c r="J106" s="1">
        <v>18</v>
      </c>
      <c r="K106" s="1">
        <f t="shared" ref="K106:K169" si="17">K105+J106</f>
        <v>242.89999999999995</v>
      </c>
      <c r="L106" s="1">
        <v>0.4</v>
      </c>
      <c r="M106" s="1">
        <f t="shared" ref="M106:M169" si="18">M105+L106</f>
        <v>89.9</v>
      </c>
      <c r="N106" s="1">
        <f t="shared" si="15"/>
        <v>17.600000000000001</v>
      </c>
      <c r="O106" s="1">
        <v>138.9</v>
      </c>
      <c r="P106" s="1">
        <v>67</v>
      </c>
      <c r="Q106" s="1">
        <f t="shared" si="11"/>
        <v>0.93906250000000002</v>
      </c>
      <c r="R106" s="9">
        <f t="shared" si="12"/>
        <v>0.37562500000000004</v>
      </c>
      <c r="S106" s="9">
        <f t="shared" si="13"/>
        <v>17.624375000000001</v>
      </c>
      <c r="T106" s="9">
        <f t="shared" si="10"/>
        <v>138.9</v>
      </c>
      <c r="V106" s="10">
        <v>223.2</v>
      </c>
      <c r="W106" s="1">
        <f t="shared" si="14"/>
        <v>26.571428571428569</v>
      </c>
      <c r="X106" s="1">
        <f t="shared" ref="X106:X169" si="19">X105+V106</f>
        <v>43905.900000000016</v>
      </c>
      <c r="AA106" s="1">
        <v>9.6500636758766998</v>
      </c>
    </row>
    <row r="107" spans="1:27" s="1" customFormat="1" x14ac:dyDescent="0.25">
      <c r="A107" s="79"/>
      <c r="B107" s="7"/>
      <c r="C107" s="3">
        <v>41588</v>
      </c>
      <c r="D107" s="1">
        <v>8.1999999999999993</v>
      </c>
      <c r="E107" s="1">
        <v>5.9</v>
      </c>
      <c r="F107" s="1">
        <v>11.1</v>
      </c>
      <c r="G107" s="1">
        <f t="shared" si="16"/>
        <v>951.69999999999982</v>
      </c>
      <c r="J107" s="1">
        <v>0.4</v>
      </c>
      <c r="K107" s="1">
        <f t="shared" si="17"/>
        <v>243.29999999999995</v>
      </c>
      <c r="L107" s="1">
        <v>0.9</v>
      </c>
      <c r="M107" s="1">
        <f t="shared" si="18"/>
        <v>90.800000000000011</v>
      </c>
      <c r="N107" s="5">
        <f t="shared" si="15"/>
        <v>-0.5</v>
      </c>
      <c r="O107" s="1">
        <v>138.4</v>
      </c>
      <c r="P107" s="1">
        <v>68</v>
      </c>
      <c r="Q107" s="1">
        <f t="shared" si="11"/>
        <v>0.94921875</v>
      </c>
      <c r="R107" s="9">
        <f t="shared" si="12"/>
        <v>0.85429687500000007</v>
      </c>
      <c r="S107" s="9">
        <f t="shared" si="13"/>
        <v>-0.45429687500000004</v>
      </c>
      <c r="T107" s="9">
        <f t="shared" si="10"/>
        <v>138.44570312499999</v>
      </c>
      <c r="V107" s="10">
        <v>301.5</v>
      </c>
      <c r="W107" s="1">
        <f t="shared" si="14"/>
        <v>36.768292682926834</v>
      </c>
      <c r="X107" s="1">
        <f t="shared" si="19"/>
        <v>44207.400000000016</v>
      </c>
      <c r="AA107" s="1">
        <v>9.6025001471440703</v>
      </c>
    </row>
    <row r="108" spans="1:27" s="1" customFormat="1" x14ac:dyDescent="0.25">
      <c r="A108" s="79"/>
      <c r="B108" s="7"/>
      <c r="C108" s="3">
        <v>41589</v>
      </c>
      <c r="D108" s="1">
        <v>6</v>
      </c>
      <c r="E108" s="12">
        <v>0.4</v>
      </c>
      <c r="F108" s="1">
        <v>9.6</v>
      </c>
      <c r="G108" s="1">
        <f t="shared" si="16"/>
        <v>957.69999999999982</v>
      </c>
      <c r="J108" s="1">
        <v>0</v>
      </c>
      <c r="K108" s="1">
        <f t="shared" si="17"/>
        <v>243.29999999999995</v>
      </c>
      <c r="L108" s="1">
        <v>0.5</v>
      </c>
      <c r="M108" s="1">
        <f t="shared" si="18"/>
        <v>91.300000000000011</v>
      </c>
      <c r="N108" s="5">
        <f t="shared" si="15"/>
        <v>-0.5</v>
      </c>
      <c r="O108" s="1">
        <v>137.9</v>
      </c>
      <c r="P108" s="1">
        <v>69</v>
      </c>
      <c r="Q108" s="1">
        <f t="shared" si="11"/>
        <v>0.95937499999999998</v>
      </c>
      <c r="R108" s="9">
        <f t="shared" si="12"/>
        <v>0.47968749999999999</v>
      </c>
      <c r="S108" s="9">
        <f t="shared" si="13"/>
        <v>-0.47968749999999999</v>
      </c>
      <c r="T108" s="9">
        <f t="shared" si="10"/>
        <v>137.96601562499998</v>
      </c>
      <c r="V108" s="10">
        <v>238.5</v>
      </c>
      <c r="W108" s="1">
        <f t="shared" si="14"/>
        <v>39.75</v>
      </c>
      <c r="X108" s="1">
        <f t="shared" si="19"/>
        <v>44445.900000000016</v>
      </c>
      <c r="AA108" s="1">
        <v>9.5554975314147406</v>
      </c>
    </row>
    <row r="109" spans="1:27" s="1" customFormat="1" x14ac:dyDescent="0.25">
      <c r="A109" s="79"/>
      <c r="B109" s="7"/>
      <c r="C109" s="3">
        <v>41590</v>
      </c>
      <c r="D109" s="1">
        <v>9.3000000000000007</v>
      </c>
      <c r="E109" s="1">
        <v>7.9</v>
      </c>
      <c r="F109" s="1">
        <v>10.4</v>
      </c>
      <c r="G109" s="1">
        <f t="shared" si="16"/>
        <v>966.99999999999977</v>
      </c>
      <c r="J109" s="1">
        <v>2.2000000000000002</v>
      </c>
      <c r="K109" s="1">
        <f t="shared" si="17"/>
        <v>245.49999999999994</v>
      </c>
      <c r="L109" s="1">
        <v>0.5</v>
      </c>
      <c r="M109" s="1">
        <f t="shared" si="18"/>
        <v>91.800000000000011</v>
      </c>
      <c r="N109" s="1">
        <f t="shared" si="15"/>
        <v>1.7000000000000002</v>
      </c>
      <c r="O109" s="1">
        <v>138.9</v>
      </c>
      <c r="P109" s="1">
        <v>70</v>
      </c>
      <c r="Q109" s="1">
        <f t="shared" si="11"/>
        <v>0.96953124999999996</v>
      </c>
      <c r="R109" s="9">
        <f t="shared" si="12"/>
        <v>0.48476562499999998</v>
      </c>
      <c r="S109" s="9">
        <f t="shared" si="13"/>
        <v>1.7152343750000001</v>
      </c>
      <c r="T109" s="9">
        <f t="shared" ref="T109:T172" si="20">MIN(138.9,(T108+S109))</f>
        <v>138.9</v>
      </c>
      <c r="V109" s="10">
        <v>208.5</v>
      </c>
      <c r="W109" s="1">
        <f t="shared" si="14"/>
        <v>22.419354838709676</v>
      </c>
      <c r="X109" s="1">
        <f t="shared" si="19"/>
        <v>44654.400000000016</v>
      </c>
      <c r="AA109" s="1">
        <v>9.5090801989006994</v>
      </c>
    </row>
    <row r="110" spans="1:27" s="1" customFormat="1" x14ac:dyDescent="0.25">
      <c r="A110" s="79"/>
      <c r="B110" s="7"/>
      <c r="C110" s="3">
        <v>41591</v>
      </c>
      <c r="D110" s="1">
        <v>7.8</v>
      </c>
      <c r="E110" s="1">
        <v>5.3</v>
      </c>
      <c r="F110" s="1">
        <v>10.9</v>
      </c>
      <c r="G110" s="1">
        <f t="shared" si="16"/>
        <v>974.79999999999973</v>
      </c>
      <c r="J110" s="1">
        <v>0.1</v>
      </c>
      <c r="K110" s="1">
        <f t="shared" si="17"/>
        <v>245.59999999999994</v>
      </c>
      <c r="L110" s="1">
        <v>0.5</v>
      </c>
      <c r="M110" s="1">
        <f t="shared" si="18"/>
        <v>92.300000000000011</v>
      </c>
      <c r="N110" s="5">
        <f t="shared" si="15"/>
        <v>-0.4</v>
      </c>
      <c r="O110" s="1">
        <v>138.5</v>
      </c>
      <c r="P110" s="1">
        <v>71</v>
      </c>
      <c r="Q110" s="1">
        <f t="shared" si="11"/>
        <v>0.97968750000000004</v>
      </c>
      <c r="R110" s="9">
        <f t="shared" si="12"/>
        <v>0.48984375000000002</v>
      </c>
      <c r="S110" s="9">
        <f t="shared" si="13"/>
        <v>-0.38984375000000004</v>
      </c>
      <c r="T110" s="9">
        <f t="shared" si="20"/>
        <v>138.51015624999999</v>
      </c>
      <c r="V110" s="10">
        <v>351</v>
      </c>
      <c r="W110" s="1">
        <f t="shared" si="14"/>
        <v>45</v>
      </c>
      <c r="X110" s="1">
        <f t="shared" si="19"/>
        <v>45005.400000000016</v>
      </c>
      <c r="AA110" s="1">
        <v>9.4632730844407895</v>
      </c>
    </row>
    <row r="111" spans="1:27" s="1" customFormat="1" x14ac:dyDescent="0.25">
      <c r="A111" s="79"/>
      <c r="B111" s="7"/>
      <c r="C111" s="3">
        <v>41592</v>
      </c>
      <c r="D111" s="1">
        <v>5.0999999999999996</v>
      </c>
      <c r="E111" s="12">
        <v>1.6</v>
      </c>
      <c r="F111" s="1">
        <v>9.5</v>
      </c>
      <c r="G111" s="1">
        <f t="shared" si="16"/>
        <v>979.89999999999975</v>
      </c>
      <c r="J111" s="1">
        <v>3.2</v>
      </c>
      <c r="K111" s="1">
        <f t="shared" si="17"/>
        <v>248.79999999999993</v>
      </c>
      <c r="L111" s="1">
        <v>0.5</v>
      </c>
      <c r="M111" s="1">
        <f t="shared" si="18"/>
        <v>92.800000000000011</v>
      </c>
      <c r="N111" s="1">
        <f t="shared" si="15"/>
        <v>2.7</v>
      </c>
      <c r="O111" s="1">
        <v>138.9</v>
      </c>
      <c r="P111" s="1">
        <v>72</v>
      </c>
      <c r="Q111" s="1">
        <f t="shared" si="11"/>
        <v>0.98984375000000002</v>
      </c>
      <c r="R111" s="9">
        <f t="shared" si="12"/>
        <v>0.49492187500000001</v>
      </c>
      <c r="S111" s="9">
        <f t="shared" si="13"/>
        <v>2.705078125</v>
      </c>
      <c r="T111" s="9">
        <f t="shared" si="20"/>
        <v>138.9</v>
      </c>
      <c r="V111" s="10">
        <v>324.7</v>
      </c>
      <c r="W111" s="1">
        <f t="shared" si="14"/>
        <v>63.666666666666671</v>
      </c>
      <c r="X111" s="1">
        <f t="shared" si="19"/>
        <v>45330.100000000013</v>
      </c>
      <c r="AA111" s="1">
        <v>9.4181016683168792</v>
      </c>
    </row>
    <row r="112" spans="1:27" s="63" customFormat="1" ht="15.75" thickBot="1" x14ac:dyDescent="0.3">
      <c r="A112" s="79"/>
      <c r="B112" s="61"/>
      <c r="C112" s="62">
        <v>41593</v>
      </c>
      <c r="D112" s="63">
        <v>6.1</v>
      </c>
      <c r="E112" s="63">
        <v>4</v>
      </c>
      <c r="F112" s="63">
        <v>8.1999999999999993</v>
      </c>
      <c r="G112" s="63">
        <f t="shared" si="16"/>
        <v>985.99999999999977</v>
      </c>
      <c r="J112" s="63">
        <v>0.6</v>
      </c>
      <c r="K112" s="63">
        <f t="shared" si="17"/>
        <v>249.39999999999992</v>
      </c>
      <c r="L112" s="63">
        <v>0.6</v>
      </c>
      <c r="M112" s="63">
        <f t="shared" si="18"/>
        <v>93.4</v>
      </c>
      <c r="N112" s="63">
        <f t="shared" si="15"/>
        <v>0</v>
      </c>
      <c r="O112" s="63">
        <v>138.9</v>
      </c>
      <c r="P112" s="63">
        <v>73</v>
      </c>
      <c r="Q112" s="63">
        <f t="shared" si="11"/>
        <v>1</v>
      </c>
      <c r="R112" s="64">
        <f t="shared" si="12"/>
        <v>0.6</v>
      </c>
      <c r="S112" s="64">
        <f t="shared" si="13"/>
        <v>0</v>
      </c>
      <c r="T112" s="64">
        <f t="shared" si="20"/>
        <v>138.9</v>
      </c>
      <c r="V112" s="63">
        <v>283.8</v>
      </c>
      <c r="W112" s="63">
        <f t="shared" si="14"/>
        <v>46.524590163934434</v>
      </c>
      <c r="X112" s="63">
        <f t="shared" si="19"/>
        <v>45613.900000000016</v>
      </c>
      <c r="AA112" s="63">
        <v>9.3735919539195294</v>
      </c>
    </row>
    <row r="113" spans="1:27" s="1" customFormat="1" x14ac:dyDescent="0.25">
      <c r="A113" s="80" t="s">
        <v>19</v>
      </c>
      <c r="B113" s="17"/>
      <c r="C113" s="3">
        <v>41594</v>
      </c>
      <c r="D113" s="12">
        <v>3.4</v>
      </c>
      <c r="E113" s="12">
        <v>0.7</v>
      </c>
      <c r="F113" s="1">
        <v>5.9</v>
      </c>
      <c r="G113" s="1">
        <f t="shared" si="16"/>
        <v>989.39999999999975</v>
      </c>
      <c r="H113" s="1">
        <f>D113</f>
        <v>3.4</v>
      </c>
      <c r="I113" s="18" t="s">
        <v>3</v>
      </c>
      <c r="J113" s="1">
        <v>0</v>
      </c>
      <c r="K113" s="1">
        <f t="shared" si="17"/>
        <v>249.39999999999992</v>
      </c>
      <c r="L113" s="1">
        <v>0.5</v>
      </c>
      <c r="M113" s="1">
        <f t="shared" si="18"/>
        <v>93.9</v>
      </c>
      <c r="N113" s="5">
        <f t="shared" si="15"/>
        <v>-0.5</v>
      </c>
      <c r="O113" s="1">
        <v>138.4</v>
      </c>
      <c r="P113" s="1">
        <v>74</v>
      </c>
      <c r="Q113" s="1">
        <v>1</v>
      </c>
      <c r="R113" s="9">
        <f t="shared" si="12"/>
        <v>0.5</v>
      </c>
      <c r="S113" s="9">
        <f t="shared" si="13"/>
        <v>-0.5</v>
      </c>
      <c r="T113" s="9">
        <f t="shared" si="20"/>
        <v>138.4</v>
      </c>
      <c r="U113" s="18" t="s">
        <v>4</v>
      </c>
      <c r="V113" s="10">
        <v>242.1</v>
      </c>
      <c r="W113" s="1">
        <f t="shared" si="14"/>
        <v>71.205882352941174</v>
      </c>
      <c r="X113" s="1">
        <f t="shared" si="19"/>
        <v>45856.000000000015</v>
      </c>
      <c r="Y113" s="1">
        <f>V113</f>
        <v>242.1</v>
      </c>
      <c r="Z113" s="18" t="s">
        <v>5</v>
      </c>
      <c r="AA113" s="1">
        <v>9.3297704421394307</v>
      </c>
    </row>
    <row r="114" spans="1:27" s="1" customFormat="1" x14ac:dyDescent="0.25">
      <c r="A114" s="80"/>
      <c r="B114" s="7"/>
      <c r="C114" s="3">
        <v>41595</v>
      </c>
      <c r="D114" s="12">
        <v>4.5999999999999996</v>
      </c>
      <c r="E114" s="12">
        <v>3.3</v>
      </c>
      <c r="F114" s="1">
        <v>5.3</v>
      </c>
      <c r="G114" s="1">
        <f t="shared" si="16"/>
        <v>993.99999999999977</v>
      </c>
      <c r="H114" s="1">
        <f>H113+D114</f>
        <v>8</v>
      </c>
      <c r="I114" s="1">
        <f>MIN(E113:E149)</f>
        <v>-4</v>
      </c>
      <c r="J114" s="1">
        <v>0</v>
      </c>
      <c r="K114" s="1">
        <f t="shared" si="17"/>
        <v>249.39999999999992</v>
      </c>
      <c r="L114" s="1">
        <v>0.3</v>
      </c>
      <c r="M114" s="1">
        <f t="shared" si="18"/>
        <v>94.2</v>
      </c>
      <c r="N114" s="5">
        <f t="shared" si="15"/>
        <v>-0.3</v>
      </c>
      <c r="O114" s="1">
        <v>138.1</v>
      </c>
      <c r="P114" s="1">
        <v>75</v>
      </c>
      <c r="Q114" s="1">
        <v>1</v>
      </c>
      <c r="R114" s="9">
        <f t="shared" si="12"/>
        <v>0.3</v>
      </c>
      <c r="S114" s="9">
        <f t="shared" si="13"/>
        <v>-0.3</v>
      </c>
      <c r="T114" s="9">
        <f t="shared" si="20"/>
        <v>138.1</v>
      </c>
      <c r="U114" s="1">
        <v>30</v>
      </c>
      <c r="V114" s="10">
        <v>181.2</v>
      </c>
      <c r="W114" s="1">
        <f t="shared" si="14"/>
        <v>39.391304347826086</v>
      </c>
      <c r="X114" s="1">
        <f t="shared" si="19"/>
        <v>46037.200000000012</v>
      </c>
      <c r="Y114" s="1">
        <f>Y113+V114</f>
        <v>423.29999999999995</v>
      </c>
      <c r="Z114" s="1">
        <v>13136.5</v>
      </c>
      <c r="AA114" s="1">
        <v>9.2866641023712209</v>
      </c>
    </row>
    <row r="115" spans="1:27" s="1" customFormat="1" x14ac:dyDescent="0.25">
      <c r="A115" s="80"/>
      <c r="B115" s="7"/>
      <c r="C115" s="3">
        <v>41596</v>
      </c>
      <c r="D115" s="12">
        <v>3.9</v>
      </c>
      <c r="E115" s="12">
        <v>4</v>
      </c>
      <c r="F115" s="12">
        <v>4.5999999999999996</v>
      </c>
      <c r="G115" s="1">
        <f t="shared" si="16"/>
        <v>997.89999999999975</v>
      </c>
      <c r="H115" s="1">
        <f t="shared" ref="H115:H178" si="21">H114+D115</f>
        <v>11.9</v>
      </c>
      <c r="I115" s="18" t="s">
        <v>6</v>
      </c>
      <c r="J115" s="1">
        <v>0</v>
      </c>
      <c r="K115" s="1">
        <f t="shared" si="17"/>
        <v>249.39999999999992</v>
      </c>
      <c r="L115" s="1">
        <v>0.5</v>
      </c>
      <c r="M115" s="1">
        <f t="shared" si="18"/>
        <v>94.7</v>
      </c>
      <c r="N115" s="5">
        <f t="shared" si="15"/>
        <v>-0.5</v>
      </c>
      <c r="O115" s="1">
        <v>137.6</v>
      </c>
      <c r="P115" s="1">
        <v>76</v>
      </c>
      <c r="Q115" s="1">
        <v>1</v>
      </c>
      <c r="R115" s="9">
        <f t="shared" si="12"/>
        <v>0.5</v>
      </c>
      <c r="S115" s="9">
        <f t="shared" si="13"/>
        <v>-0.5</v>
      </c>
      <c r="T115" s="9">
        <f t="shared" si="20"/>
        <v>137.6</v>
      </c>
      <c r="U115" s="18" t="s">
        <v>7</v>
      </c>
      <c r="V115" s="10">
        <v>201.2</v>
      </c>
      <c r="W115" s="1">
        <f t="shared" si="14"/>
        <v>51.589743589743591</v>
      </c>
      <c r="X115" s="1">
        <f t="shared" si="19"/>
        <v>46238.400000000009</v>
      </c>
      <c r="Y115" s="1">
        <f t="shared" ref="Y115:Y178" si="22">Y114+V115</f>
        <v>624.5</v>
      </c>
      <c r="Z115" s="18" t="s">
        <v>8</v>
      </c>
      <c r="AA115" s="1">
        <v>9.2443003400289498</v>
      </c>
    </row>
    <row r="116" spans="1:27" s="1" customFormat="1" x14ac:dyDescent="0.25">
      <c r="A116" s="80"/>
      <c r="B116" s="7"/>
      <c r="C116" s="3">
        <v>41597</v>
      </c>
      <c r="D116" s="12">
        <v>3.6</v>
      </c>
      <c r="E116" s="12">
        <v>0.9</v>
      </c>
      <c r="F116" s="1">
        <v>6.8</v>
      </c>
      <c r="G116" s="1">
        <f t="shared" si="16"/>
        <v>1001.4999999999998</v>
      </c>
      <c r="H116" s="1">
        <f t="shared" si="21"/>
        <v>15.5</v>
      </c>
      <c r="I116" s="1">
        <f>MAX(F113:F149)</f>
        <v>11.4</v>
      </c>
      <c r="J116" s="1">
        <v>2.2000000000000002</v>
      </c>
      <c r="K116" s="1">
        <f t="shared" si="17"/>
        <v>251.59999999999991</v>
      </c>
      <c r="L116" s="1">
        <v>0.4</v>
      </c>
      <c r="M116" s="1">
        <f t="shared" si="18"/>
        <v>95.100000000000009</v>
      </c>
      <c r="N116" s="1">
        <f t="shared" si="15"/>
        <v>1.8000000000000003</v>
      </c>
      <c r="O116" s="1">
        <v>138.9</v>
      </c>
      <c r="P116" s="1">
        <v>77</v>
      </c>
      <c r="Q116" s="1">
        <v>1</v>
      </c>
      <c r="R116" s="9">
        <f t="shared" si="12"/>
        <v>0.4</v>
      </c>
      <c r="S116" s="9">
        <f t="shared" si="13"/>
        <v>1.8000000000000003</v>
      </c>
      <c r="T116" s="9">
        <f t="shared" si="20"/>
        <v>138.9</v>
      </c>
      <c r="U116" s="1">
        <v>0</v>
      </c>
      <c r="V116" s="10">
        <v>278.89999999999998</v>
      </c>
      <c r="W116" s="1">
        <f t="shared" si="14"/>
        <v>77.472222222222214</v>
      </c>
      <c r="X116" s="1">
        <f t="shared" si="19"/>
        <v>46517.30000000001</v>
      </c>
      <c r="Y116" s="1">
        <f t="shared" si="22"/>
        <v>903.4</v>
      </c>
      <c r="Z116" s="11">
        <f>(Z114/100)/I126</f>
        <v>0.8722775564409031</v>
      </c>
      <c r="AA116" s="1">
        <v>9.2027069604874896</v>
      </c>
    </row>
    <row r="117" spans="1:27" s="1" customFormat="1" x14ac:dyDescent="0.25">
      <c r="A117" s="80"/>
      <c r="B117" s="7"/>
      <c r="C117" s="3">
        <v>41598</v>
      </c>
      <c r="D117" s="12">
        <v>2.5</v>
      </c>
      <c r="E117" s="19">
        <v>-0.4</v>
      </c>
      <c r="F117" s="12">
        <v>4.5</v>
      </c>
      <c r="G117" s="1">
        <f t="shared" si="16"/>
        <v>1003.9999999999998</v>
      </c>
      <c r="H117" s="1">
        <f t="shared" si="21"/>
        <v>18</v>
      </c>
      <c r="I117" s="18" t="s">
        <v>9</v>
      </c>
      <c r="J117" s="1">
        <v>7.3</v>
      </c>
      <c r="K117" s="1">
        <f t="shared" si="17"/>
        <v>258.89999999999992</v>
      </c>
      <c r="L117" s="1">
        <v>0.5</v>
      </c>
      <c r="M117" s="1">
        <f t="shared" si="18"/>
        <v>95.600000000000009</v>
      </c>
      <c r="N117" s="1">
        <f t="shared" si="15"/>
        <v>6.8</v>
      </c>
      <c r="O117" s="1">
        <v>138.9</v>
      </c>
      <c r="P117" s="1">
        <v>78</v>
      </c>
      <c r="Q117" s="1">
        <v>1</v>
      </c>
      <c r="R117" s="9">
        <f t="shared" si="12"/>
        <v>0.5</v>
      </c>
      <c r="S117" s="9">
        <f t="shared" si="13"/>
        <v>6.8</v>
      </c>
      <c r="T117" s="9">
        <f t="shared" si="20"/>
        <v>138.9</v>
      </c>
      <c r="U117" s="18" t="s">
        <v>10</v>
      </c>
      <c r="V117" s="10">
        <v>585.6</v>
      </c>
      <c r="W117" s="1">
        <f t="shared" si="14"/>
        <v>234.24</v>
      </c>
      <c r="X117" s="1">
        <f t="shared" si="19"/>
        <v>47102.900000000009</v>
      </c>
      <c r="Y117" s="1">
        <f t="shared" si="22"/>
        <v>1489</v>
      </c>
      <c r="Z117" s="18" t="s">
        <v>11</v>
      </c>
      <c r="AA117" s="1">
        <v>9.1619121293816601</v>
      </c>
    </row>
    <row r="118" spans="1:27" s="1" customFormat="1" x14ac:dyDescent="0.25">
      <c r="A118" s="80"/>
      <c r="B118" s="7"/>
      <c r="C118" s="3">
        <v>41599</v>
      </c>
      <c r="D118" s="12">
        <v>3.2</v>
      </c>
      <c r="E118" s="12">
        <v>2.7</v>
      </c>
      <c r="F118" s="12">
        <v>3.9</v>
      </c>
      <c r="G118" s="1">
        <f t="shared" si="16"/>
        <v>1007.1999999999998</v>
      </c>
      <c r="H118" s="1">
        <f t="shared" si="21"/>
        <v>21.2</v>
      </c>
      <c r="I118" s="9">
        <f>AVERAGE(D113:D149)</f>
        <v>4.0378378378378361</v>
      </c>
      <c r="J118" s="1">
        <v>2.2999999999999998</v>
      </c>
      <c r="K118" s="1">
        <f t="shared" si="17"/>
        <v>261.19999999999993</v>
      </c>
      <c r="L118" s="1">
        <v>0.3</v>
      </c>
      <c r="M118" s="1">
        <f t="shared" si="18"/>
        <v>95.9</v>
      </c>
      <c r="N118" s="1">
        <f t="shared" si="15"/>
        <v>1.9999999999999998</v>
      </c>
      <c r="O118" s="1">
        <v>138.9</v>
      </c>
      <c r="P118" s="1">
        <v>79</v>
      </c>
      <c r="Q118" s="1">
        <v>1</v>
      </c>
      <c r="R118" s="9">
        <f t="shared" si="12"/>
        <v>0.3</v>
      </c>
      <c r="S118" s="9">
        <f t="shared" si="13"/>
        <v>1.9999999999999998</v>
      </c>
      <c r="T118" s="9">
        <f t="shared" si="20"/>
        <v>138.9</v>
      </c>
      <c r="U118" s="1">
        <v>0</v>
      </c>
      <c r="V118" s="10">
        <v>173</v>
      </c>
      <c r="W118" s="1">
        <f t="shared" si="14"/>
        <v>54.0625</v>
      </c>
      <c r="X118" s="1">
        <f t="shared" si="19"/>
        <v>47275.900000000009</v>
      </c>
      <c r="Y118" s="1">
        <f t="shared" si="22"/>
        <v>1662</v>
      </c>
      <c r="Z118" s="1">
        <v>37</v>
      </c>
      <c r="AA118" s="1">
        <v>9.1219443292142106</v>
      </c>
    </row>
    <row r="119" spans="1:27" s="1" customFormat="1" x14ac:dyDescent="0.25">
      <c r="A119" s="80"/>
      <c r="B119" s="7"/>
      <c r="C119" s="3">
        <v>41600</v>
      </c>
      <c r="D119" s="12">
        <v>3.7</v>
      </c>
      <c r="E119" s="12">
        <v>2.2999999999999998</v>
      </c>
      <c r="F119" s="12">
        <v>4.7</v>
      </c>
      <c r="G119" s="1">
        <f t="shared" si="16"/>
        <v>1010.8999999999999</v>
      </c>
      <c r="H119" s="1">
        <f t="shared" si="21"/>
        <v>24.9</v>
      </c>
      <c r="I119" s="18" t="s">
        <v>12</v>
      </c>
      <c r="J119" s="1">
        <v>0.2</v>
      </c>
      <c r="K119" s="1">
        <f t="shared" si="17"/>
        <v>261.39999999999992</v>
      </c>
      <c r="L119" s="1">
        <v>0.6</v>
      </c>
      <c r="M119" s="1">
        <f t="shared" si="18"/>
        <v>96.5</v>
      </c>
      <c r="N119" s="5">
        <f t="shared" si="15"/>
        <v>-0.39999999999999997</v>
      </c>
      <c r="O119" s="1">
        <v>138.5</v>
      </c>
      <c r="P119" s="1">
        <v>80</v>
      </c>
      <c r="Q119" s="1">
        <v>1</v>
      </c>
      <c r="R119" s="9">
        <f t="shared" si="12"/>
        <v>0.6</v>
      </c>
      <c r="S119" s="9">
        <f t="shared" si="13"/>
        <v>-0.39999999999999997</v>
      </c>
      <c r="T119" s="9">
        <f t="shared" si="20"/>
        <v>138.5</v>
      </c>
      <c r="U119" s="18" t="s">
        <v>13</v>
      </c>
      <c r="V119" s="10">
        <v>189</v>
      </c>
      <c r="W119" s="1">
        <f t="shared" si="14"/>
        <v>51.081081081081081</v>
      </c>
      <c r="X119" s="1">
        <f t="shared" si="19"/>
        <v>47464.900000000009</v>
      </c>
      <c r="Y119" s="1">
        <f t="shared" si="22"/>
        <v>1851</v>
      </c>
      <c r="AA119" s="1">
        <v>9.08283231224625</v>
      </c>
    </row>
    <row r="120" spans="1:27" s="1" customFormat="1" x14ac:dyDescent="0.25">
      <c r="A120" s="80"/>
      <c r="B120" s="7"/>
      <c r="C120" s="3">
        <v>41601</v>
      </c>
      <c r="D120" s="1">
        <v>5.0999999999999996</v>
      </c>
      <c r="E120" s="12">
        <v>4.5999999999999996</v>
      </c>
      <c r="F120" s="1">
        <v>5.8</v>
      </c>
      <c r="G120" s="1">
        <f t="shared" si="16"/>
        <v>1015.9999999999999</v>
      </c>
      <c r="H120" s="1">
        <f t="shared" si="21"/>
        <v>30</v>
      </c>
      <c r="I120" s="1">
        <v>13</v>
      </c>
      <c r="J120" s="1">
        <v>0</v>
      </c>
      <c r="K120" s="1">
        <f t="shared" si="17"/>
        <v>261.39999999999992</v>
      </c>
      <c r="L120" s="1">
        <v>0.7</v>
      </c>
      <c r="M120" s="1">
        <f t="shared" si="18"/>
        <v>97.2</v>
      </c>
      <c r="N120" s="5">
        <f t="shared" si="15"/>
        <v>-0.7</v>
      </c>
      <c r="O120" s="1">
        <v>137.80000000000001</v>
      </c>
      <c r="P120" s="1">
        <v>81</v>
      </c>
      <c r="Q120" s="1">
        <v>1</v>
      </c>
      <c r="R120" s="9">
        <f t="shared" si="12"/>
        <v>0.7</v>
      </c>
      <c r="S120" s="9">
        <f t="shared" si="13"/>
        <v>-0.7</v>
      </c>
      <c r="T120" s="9">
        <f t="shared" si="20"/>
        <v>137.80000000000001</v>
      </c>
      <c r="U120" s="9">
        <f>MIN(T113:T149)</f>
        <v>127.69999999999996</v>
      </c>
      <c r="V120" s="10">
        <v>126.4</v>
      </c>
      <c r="W120" s="1">
        <f t="shared" si="14"/>
        <v>24.7843137254902</v>
      </c>
      <c r="X120" s="1">
        <f t="shared" si="19"/>
        <v>47591.30000000001</v>
      </c>
      <c r="Y120" s="1">
        <f t="shared" si="22"/>
        <v>1977.4</v>
      </c>
      <c r="AA120" s="1">
        <v>9.0446050496683004</v>
      </c>
    </row>
    <row r="121" spans="1:27" s="1" customFormat="1" x14ac:dyDescent="0.25">
      <c r="A121" s="80"/>
      <c r="B121" s="7"/>
      <c r="C121" s="3">
        <v>41602</v>
      </c>
      <c r="D121" s="1">
        <v>5.5</v>
      </c>
      <c r="E121" s="12">
        <v>2.4</v>
      </c>
      <c r="F121" s="1">
        <v>7.4</v>
      </c>
      <c r="G121" s="1">
        <f t="shared" si="16"/>
        <v>1021.4999999999999</v>
      </c>
      <c r="H121" s="1">
        <f t="shared" si="21"/>
        <v>35.5</v>
      </c>
      <c r="I121" s="18" t="s">
        <v>14</v>
      </c>
      <c r="J121" s="1">
        <v>0</v>
      </c>
      <c r="K121" s="1">
        <f t="shared" si="17"/>
        <v>261.39999999999992</v>
      </c>
      <c r="L121" s="1">
        <v>0.8</v>
      </c>
      <c r="M121" s="1">
        <f t="shared" si="18"/>
        <v>98</v>
      </c>
      <c r="N121" s="5">
        <f t="shared" si="15"/>
        <v>-0.8</v>
      </c>
      <c r="O121" s="1">
        <v>137</v>
      </c>
      <c r="P121" s="1">
        <v>82</v>
      </c>
      <c r="Q121" s="1">
        <v>1</v>
      </c>
      <c r="R121" s="9">
        <f t="shared" si="12"/>
        <v>0.8</v>
      </c>
      <c r="S121" s="9">
        <f t="shared" si="13"/>
        <v>-0.8</v>
      </c>
      <c r="T121" s="9">
        <f t="shared" si="20"/>
        <v>137</v>
      </c>
      <c r="U121" s="18" t="s">
        <v>15</v>
      </c>
      <c r="V121" s="10">
        <v>384.4</v>
      </c>
      <c r="W121" s="1">
        <f t="shared" si="14"/>
        <v>69.890909090909091</v>
      </c>
      <c r="X121" s="1">
        <f t="shared" si="19"/>
        <v>47975.700000000012</v>
      </c>
      <c r="Y121" s="1">
        <f t="shared" si="22"/>
        <v>2361.8000000000002</v>
      </c>
      <c r="AA121" s="1">
        <v>9.0072916770767009</v>
      </c>
    </row>
    <row r="122" spans="1:27" s="1" customFormat="1" x14ac:dyDescent="0.25">
      <c r="A122" s="80"/>
      <c r="B122" s="20"/>
      <c r="C122" s="3">
        <v>41603</v>
      </c>
      <c r="D122" s="12">
        <v>5</v>
      </c>
      <c r="E122" s="12">
        <v>3.5</v>
      </c>
      <c r="F122" s="1">
        <v>7</v>
      </c>
      <c r="G122" s="1">
        <f t="shared" si="16"/>
        <v>1026.5</v>
      </c>
      <c r="H122" s="1">
        <f t="shared" si="21"/>
        <v>40.5</v>
      </c>
      <c r="I122" s="1">
        <v>0</v>
      </c>
      <c r="J122" s="1">
        <v>0</v>
      </c>
      <c r="K122" s="1">
        <f t="shared" si="17"/>
        <v>261.39999999999992</v>
      </c>
      <c r="L122" s="1">
        <v>0.8</v>
      </c>
      <c r="M122" s="1">
        <f t="shared" si="18"/>
        <v>98.8</v>
      </c>
      <c r="N122" s="5">
        <f t="shared" si="15"/>
        <v>-0.8</v>
      </c>
      <c r="O122" s="1">
        <v>136.19999999999999</v>
      </c>
      <c r="P122" s="1">
        <v>83</v>
      </c>
      <c r="Q122" s="1">
        <v>1</v>
      </c>
      <c r="R122" s="9">
        <f t="shared" si="12"/>
        <v>0.8</v>
      </c>
      <c r="S122" s="9">
        <f t="shared" si="13"/>
        <v>-0.8</v>
      </c>
      <c r="T122" s="9">
        <f t="shared" si="20"/>
        <v>136.19999999999999</v>
      </c>
      <c r="U122" s="9">
        <f>MAX(T113:T149)</f>
        <v>138.9</v>
      </c>
      <c r="V122" s="10">
        <v>245.8</v>
      </c>
      <c r="W122" s="1">
        <f t="shared" si="14"/>
        <v>49.160000000000004</v>
      </c>
      <c r="X122" s="1">
        <f t="shared" si="19"/>
        <v>48221.500000000015</v>
      </c>
      <c r="Y122" s="1">
        <f t="shared" si="22"/>
        <v>2607.6000000000004</v>
      </c>
      <c r="AA122" s="1">
        <v>8.9709214363099505</v>
      </c>
    </row>
    <row r="123" spans="1:27" s="1" customFormat="1" x14ac:dyDescent="0.25">
      <c r="A123" s="80"/>
      <c r="B123" s="7"/>
      <c r="C123" s="3">
        <v>41604</v>
      </c>
      <c r="D123" s="1">
        <v>5.0999999999999996</v>
      </c>
      <c r="E123" s="12">
        <v>3.4</v>
      </c>
      <c r="F123" s="1">
        <v>7.2</v>
      </c>
      <c r="G123" s="1">
        <f t="shared" si="16"/>
        <v>1031.5999999999999</v>
      </c>
      <c r="H123" s="1">
        <f t="shared" si="21"/>
        <v>45.6</v>
      </c>
      <c r="I123" s="18" t="s">
        <v>16</v>
      </c>
      <c r="J123" s="1">
        <v>0</v>
      </c>
      <c r="K123" s="1">
        <f t="shared" si="17"/>
        <v>261.39999999999992</v>
      </c>
      <c r="L123" s="1">
        <v>0.9</v>
      </c>
      <c r="M123" s="1">
        <f t="shared" si="18"/>
        <v>99.7</v>
      </c>
      <c r="N123" s="5">
        <f t="shared" si="15"/>
        <v>-0.9</v>
      </c>
      <c r="O123" s="1">
        <v>135.29999999999998</v>
      </c>
      <c r="P123" s="1">
        <v>84</v>
      </c>
      <c r="Q123" s="1">
        <v>1</v>
      </c>
      <c r="R123" s="9">
        <f t="shared" si="12"/>
        <v>0.9</v>
      </c>
      <c r="S123" s="9">
        <f t="shared" si="13"/>
        <v>-0.9</v>
      </c>
      <c r="T123" s="9">
        <f t="shared" si="20"/>
        <v>135.29999999999998</v>
      </c>
      <c r="U123" s="18" t="s">
        <v>17</v>
      </c>
      <c r="V123" s="10">
        <v>523.6</v>
      </c>
      <c r="W123" s="1">
        <f t="shared" si="14"/>
        <v>102.66666666666667</v>
      </c>
      <c r="X123" s="1">
        <f t="shared" si="19"/>
        <v>48745.100000000013</v>
      </c>
      <c r="Y123" s="1">
        <f t="shared" si="22"/>
        <v>3131.2000000000003</v>
      </c>
      <c r="AA123" s="1">
        <v>8.9355236137305099</v>
      </c>
    </row>
    <row r="124" spans="1:27" s="1" customFormat="1" x14ac:dyDescent="0.25">
      <c r="A124" s="80"/>
      <c r="B124" s="20"/>
      <c r="C124" s="3">
        <v>41605</v>
      </c>
      <c r="D124" s="12">
        <v>3.6</v>
      </c>
      <c r="E124" s="12">
        <v>1.8</v>
      </c>
      <c r="F124" s="1">
        <v>6.5</v>
      </c>
      <c r="G124" s="1">
        <f t="shared" si="16"/>
        <v>1035.1999999999998</v>
      </c>
      <c r="H124" s="1">
        <f t="shared" si="21"/>
        <v>49.2</v>
      </c>
      <c r="I124" s="1">
        <v>22</v>
      </c>
      <c r="J124" s="1">
        <v>0</v>
      </c>
      <c r="K124" s="1">
        <f t="shared" si="17"/>
        <v>261.39999999999992</v>
      </c>
      <c r="L124" s="1">
        <v>0.5</v>
      </c>
      <c r="M124" s="1">
        <f t="shared" si="18"/>
        <v>100.2</v>
      </c>
      <c r="N124" s="5">
        <f t="shared" si="15"/>
        <v>-0.5</v>
      </c>
      <c r="O124" s="1">
        <v>134.79999999999998</v>
      </c>
      <c r="P124" s="1">
        <v>85</v>
      </c>
      <c r="Q124" s="1">
        <v>1</v>
      </c>
      <c r="R124" s="9">
        <f t="shared" si="12"/>
        <v>0.5</v>
      </c>
      <c r="S124" s="9">
        <f t="shared" si="13"/>
        <v>-0.5</v>
      </c>
      <c r="T124" s="9">
        <f t="shared" si="20"/>
        <v>134.79999999999998</v>
      </c>
      <c r="U124" s="11">
        <f>AVERAGE(T113:T149)</f>
        <v>133.78648648648644</v>
      </c>
      <c r="V124" s="10">
        <v>155.30000000000001</v>
      </c>
      <c r="W124" s="1">
        <f t="shared" si="14"/>
        <v>43.138888888888893</v>
      </c>
      <c r="X124" s="1">
        <f t="shared" si="19"/>
        <v>48900.400000000016</v>
      </c>
      <c r="Y124" s="1">
        <f t="shared" si="22"/>
        <v>3286.5000000000005</v>
      </c>
      <c r="AA124" s="1">
        <v>8.9011274750711706</v>
      </c>
    </row>
    <row r="125" spans="1:27" s="1" customFormat="1" x14ac:dyDescent="0.25">
      <c r="A125" s="80"/>
      <c r="B125" s="20"/>
      <c r="C125" s="3">
        <v>41606</v>
      </c>
      <c r="D125" s="12">
        <v>1.9</v>
      </c>
      <c r="E125" s="19">
        <v>-1.6</v>
      </c>
      <c r="F125" s="1">
        <v>5.3</v>
      </c>
      <c r="G125" s="1">
        <f t="shared" si="16"/>
        <v>1037.0999999999999</v>
      </c>
      <c r="H125" s="1">
        <f t="shared" si="21"/>
        <v>51.1</v>
      </c>
      <c r="I125" s="18" t="s">
        <v>18</v>
      </c>
      <c r="J125" s="1">
        <v>0</v>
      </c>
      <c r="K125" s="1">
        <f t="shared" si="17"/>
        <v>261.39999999999992</v>
      </c>
      <c r="L125" s="1">
        <v>0.3</v>
      </c>
      <c r="M125" s="1">
        <f t="shared" si="18"/>
        <v>100.5</v>
      </c>
      <c r="N125" s="5">
        <f t="shared" si="15"/>
        <v>-0.3</v>
      </c>
      <c r="O125" s="1">
        <v>134.49999999999997</v>
      </c>
      <c r="P125" s="1">
        <v>86</v>
      </c>
      <c r="Q125" s="1">
        <v>1</v>
      </c>
      <c r="R125" s="9">
        <f t="shared" si="12"/>
        <v>0.3</v>
      </c>
      <c r="S125" s="9">
        <f t="shared" si="13"/>
        <v>-0.3</v>
      </c>
      <c r="T125" s="9">
        <f t="shared" si="20"/>
        <v>134.49999999999997</v>
      </c>
      <c r="U125" s="18" t="s">
        <v>20</v>
      </c>
      <c r="V125" s="10">
        <v>145.19999999999999</v>
      </c>
      <c r="W125" s="1">
        <f t="shared" si="14"/>
        <v>76.421052631578945</v>
      </c>
      <c r="X125" s="1">
        <f t="shared" si="19"/>
        <v>49045.600000000013</v>
      </c>
      <c r="Y125" s="1">
        <f t="shared" si="22"/>
        <v>3431.7000000000003</v>
      </c>
      <c r="AA125" s="1">
        <v>8.8677621969999993</v>
      </c>
    </row>
    <row r="126" spans="1:27" s="1" customFormat="1" x14ac:dyDescent="0.25">
      <c r="A126" s="80"/>
      <c r="B126" s="7"/>
      <c r="C126" s="3">
        <v>41607</v>
      </c>
      <c r="D126" s="1">
        <v>6.8</v>
      </c>
      <c r="E126" s="12">
        <v>4.2</v>
      </c>
      <c r="F126" s="1">
        <v>8.3000000000000007</v>
      </c>
      <c r="G126" s="1">
        <f t="shared" si="16"/>
        <v>1043.8999999999999</v>
      </c>
      <c r="H126" s="1">
        <f t="shared" si="21"/>
        <v>57.9</v>
      </c>
      <c r="I126" s="1">
        <v>150.6</v>
      </c>
      <c r="J126" s="1">
        <v>0.1</v>
      </c>
      <c r="K126" s="1">
        <f t="shared" si="17"/>
        <v>261.49999999999994</v>
      </c>
      <c r="L126" s="1">
        <v>0.3</v>
      </c>
      <c r="M126" s="1">
        <f t="shared" si="18"/>
        <v>100.8</v>
      </c>
      <c r="N126" s="5">
        <f t="shared" si="15"/>
        <v>-0.19999999999999998</v>
      </c>
      <c r="O126" s="1">
        <v>134.29999999999998</v>
      </c>
      <c r="P126" s="1">
        <v>87</v>
      </c>
      <c r="Q126" s="1">
        <v>1</v>
      </c>
      <c r="R126" s="9">
        <f t="shared" si="12"/>
        <v>0.3</v>
      </c>
      <c r="S126" s="9">
        <f t="shared" si="13"/>
        <v>-0.19999999999999998</v>
      </c>
      <c r="T126" s="9">
        <f t="shared" si="20"/>
        <v>134.29999999999998</v>
      </c>
      <c r="U126" s="9">
        <v>20</v>
      </c>
      <c r="V126" s="10">
        <v>333.3</v>
      </c>
      <c r="W126" s="1">
        <f t="shared" si="14"/>
        <v>49.014705882352942</v>
      </c>
      <c r="X126" s="1">
        <f t="shared" si="19"/>
        <v>49378.900000000016</v>
      </c>
      <c r="Y126" s="1">
        <f t="shared" si="22"/>
        <v>3765.0000000000005</v>
      </c>
      <c r="AA126" s="1">
        <v>8.8354567955948298</v>
      </c>
    </row>
    <row r="127" spans="1:27" s="1" customFormat="1" x14ac:dyDescent="0.25">
      <c r="A127" s="80"/>
      <c r="B127" s="7"/>
      <c r="C127" s="3">
        <v>41608</v>
      </c>
      <c r="D127" s="1">
        <v>6.4</v>
      </c>
      <c r="E127" s="12">
        <v>4.4000000000000004</v>
      </c>
      <c r="F127" s="1">
        <v>8.1999999999999993</v>
      </c>
      <c r="G127" s="1">
        <f t="shared" si="16"/>
        <v>1050.3</v>
      </c>
      <c r="H127" s="1">
        <f t="shared" si="21"/>
        <v>64.3</v>
      </c>
      <c r="J127" s="1">
        <v>0.5</v>
      </c>
      <c r="K127" s="1">
        <f t="shared" si="17"/>
        <v>261.99999999999994</v>
      </c>
      <c r="L127" s="1">
        <v>0.6</v>
      </c>
      <c r="M127" s="1">
        <f t="shared" si="18"/>
        <v>101.39999999999999</v>
      </c>
      <c r="N127" s="5">
        <f t="shared" si="15"/>
        <v>-9.9999999999999978E-2</v>
      </c>
      <c r="O127" s="1">
        <v>134.19999999999999</v>
      </c>
      <c r="P127" s="1">
        <v>88</v>
      </c>
      <c r="Q127" s="1">
        <v>1</v>
      </c>
      <c r="R127" s="9">
        <f t="shared" si="12"/>
        <v>0.6</v>
      </c>
      <c r="S127" s="9">
        <f t="shared" si="13"/>
        <v>-9.9999999999999978E-2</v>
      </c>
      <c r="T127" s="9">
        <f t="shared" si="20"/>
        <v>134.19999999999999</v>
      </c>
      <c r="V127" s="10">
        <v>193</v>
      </c>
      <c r="W127" s="1">
        <f t="shared" si="14"/>
        <v>30.15625</v>
      </c>
      <c r="X127" s="1">
        <f t="shared" si="19"/>
        <v>49571.900000000016</v>
      </c>
      <c r="Y127" s="1">
        <f t="shared" si="22"/>
        <v>3958.0000000000005</v>
      </c>
      <c r="AA127" s="1">
        <v>8.8042400519551496</v>
      </c>
    </row>
    <row r="128" spans="1:27" s="1" customFormat="1" x14ac:dyDescent="0.25">
      <c r="A128" s="80"/>
      <c r="B128" s="20"/>
      <c r="C128" s="3">
        <v>41609</v>
      </c>
      <c r="D128" s="12">
        <v>4.8</v>
      </c>
      <c r="E128" s="12">
        <v>3.9</v>
      </c>
      <c r="F128" s="1">
        <v>5.8</v>
      </c>
      <c r="G128" s="1">
        <f t="shared" si="16"/>
        <v>1055.0999999999999</v>
      </c>
      <c r="H128" s="1">
        <f t="shared" si="21"/>
        <v>69.099999999999994</v>
      </c>
      <c r="J128" s="1">
        <v>0.1</v>
      </c>
      <c r="K128" s="1">
        <f t="shared" si="17"/>
        <v>262.09999999999997</v>
      </c>
      <c r="L128" s="1">
        <v>0.4</v>
      </c>
      <c r="M128" s="1">
        <f t="shared" si="18"/>
        <v>101.8</v>
      </c>
      <c r="N128" s="5">
        <f t="shared" si="15"/>
        <v>-0.30000000000000004</v>
      </c>
      <c r="O128" s="1">
        <v>133.89999999999998</v>
      </c>
      <c r="P128" s="1">
        <v>89</v>
      </c>
      <c r="Q128" s="1">
        <v>1</v>
      </c>
      <c r="R128" s="9">
        <f t="shared" si="12"/>
        <v>0.4</v>
      </c>
      <c r="S128" s="9">
        <f t="shared" si="13"/>
        <v>-0.30000000000000004</v>
      </c>
      <c r="T128" s="9">
        <f t="shared" si="20"/>
        <v>133.89999999999998</v>
      </c>
      <c r="U128" s="9">
        <f>(U124*100)/138.9</f>
        <v>96.318564785087432</v>
      </c>
      <c r="V128" s="10">
        <v>214.4</v>
      </c>
      <c r="W128" s="1">
        <f t="shared" si="14"/>
        <v>44.666666666666671</v>
      </c>
      <c r="X128" s="1">
        <f t="shared" si="19"/>
        <v>49786.300000000017</v>
      </c>
      <c r="Y128" s="1">
        <f t="shared" si="22"/>
        <v>4172.4000000000005</v>
      </c>
      <c r="AA128" s="1">
        <v>8.77414043521817</v>
      </c>
    </row>
    <row r="129" spans="1:27" s="1" customFormat="1" x14ac:dyDescent="0.25">
      <c r="A129" s="80"/>
      <c r="B129" s="7"/>
      <c r="C129" s="3">
        <v>41610</v>
      </c>
      <c r="D129" s="1">
        <v>5.5</v>
      </c>
      <c r="E129" s="12">
        <v>4</v>
      </c>
      <c r="F129" s="1">
        <v>7.7</v>
      </c>
      <c r="G129" s="1">
        <f t="shared" si="16"/>
        <v>1060.5999999999999</v>
      </c>
      <c r="H129" s="1">
        <f t="shared" si="21"/>
        <v>74.599999999999994</v>
      </c>
      <c r="J129" s="1">
        <v>0</v>
      </c>
      <c r="K129" s="1">
        <f t="shared" si="17"/>
        <v>262.09999999999997</v>
      </c>
      <c r="L129" s="1">
        <v>0.9</v>
      </c>
      <c r="M129" s="1">
        <f t="shared" si="18"/>
        <v>102.7</v>
      </c>
      <c r="N129" s="5">
        <f t="shared" si="15"/>
        <v>-0.9</v>
      </c>
      <c r="O129" s="1">
        <v>132.99999999999997</v>
      </c>
      <c r="P129" s="1">
        <v>90</v>
      </c>
      <c r="Q129" s="1">
        <v>1</v>
      </c>
      <c r="R129" s="9">
        <f t="shared" si="12"/>
        <v>0.9</v>
      </c>
      <c r="S129" s="9">
        <f t="shared" si="13"/>
        <v>-0.9</v>
      </c>
      <c r="T129" s="9">
        <f t="shared" si="20"/>
        <v>132.99999999999997</v>
      </c>
      <c r="V129" s="10">
        <v>170.7</v>
      </c>
      <c r="W129" s="1">
        <f t="shared" si="14"/>
        <v>31.036363636363635</v>
      </c>
      <c r="X129" s="1">
        <f t="shared" si="19"/>
        <v>49957.000000000015</v>
      </c>
      <c r="Y129" s="1">
        <f t="shared" si="22"/>
        <v>4343.1000000000004</v>
      </c>
      <c r="AA129" s="1">
        <v>8.7451860232837699</v>
      </c>
    </row>
    <row r="130" spans="1:27" s="1" customFormat="1" x14ac:dyDescent="0.25">
      <c r="A130" s="80"/>
      <c r="B130" s="20"/>
      <c r="C130" s="3">
        <v>41611</v>
      </c>
      <c r="D130" s="12">
        <v>1.2</v>
      </c>
      <c r="E130" s="19">
        <v>-2.2999999999999998</v>
      </c>
      <c r="F130" s="1">
        <v>6.4</v>
      </c>
      <c r="G130" s="1">
        <f t="shared" si="16"/>
        <v>1061.8</v>
      </c>
      <c r="H130" s="1">
        <f t="shared" si="21"/>
        <v>75.8</v>
      </c>
      <c r="J130" s="1">
        <v>0</v>
      </c>
      <c r="K130" s="1">
        <f t="shared" si="17"/>
        <v>262.09999999999997</v>
      </c>
      <c r="L130" s="1">
        <v>0.8</v>
      </c>
      <c r="M130" s="1">
        <f t="shared" si="18"/>
        <v>103.5</v>
      </c>
      <c r="N130" s="5">
        <f t="shared" si="15"/>
        <v>-0.8</v>
      </c>
      <c r="O130" s="1">
        <v>132.19999999999996</v>
      </c>
      <c r="P130" s="1">
        <v>91</v>
      </c>
      <c r="Q130" s="1">
        <v>1</v>
      </c>
      <c r="R130" s="9">
        <f t="shared" si="12"/>
        <v>0.8</v>
      </c>
      <c r="S130" s="9">
        <f t="shared" si="13"/>
        <v>-0.8</v>
      </c>
      <c r="T130" s="9">
        <f t="shared" si="20"/>
        <v>132.19999999999996</v>
      </c>
      <c r="V130" s="10">
        <v>654.6</v>
      </c>
      <c r="W130" s="1">
        <f t="shared" si="14"/>
        <v>545.5</v>
      </c>
      <c r="X130" s="1">
        <f t="shared" si="19"/>
        <v>50611.600000000013</v>
      </c>
      <c r="Y130" s="1">
        <f t="shared" si="22"/>
        <v>4997.7000000000007</v>
      </c>
      <c r="AA130" s="1">
        <v>8.7174044215913895</v>
      </c>
    </row>
    <row r="131" spans="1:27" s="1" customFormat="1" x14ac:dyDescent="0.25">
      <c r="A131" s="80"/>
      <c r="B131" s="20"/>
      <c r="C131" s="3">
        <v>41612</v>
      </c>
      <c r="D131" s="12">
        <v>1.8</v>
      </c>
      <c r="E131" s="19">
        <v>-2</v>
      </c>
      <c r="F131" s="12">
        <v>4.2</v>
      </c>
      <c r="G131" s="1">
        <f t="shared" si="16"/>
        <v>1063.5999999999999</v>
      </c>
      <c r="H131" s="1">
        <f t="shared" si="21"/>
        <v>77.599999999999994</v>
      </c>
      <c r="J131" s="1">
        <v>0</v>
      </c>
      <c r="K131" s="1">
        <f t="shared" si="17"/>
        <v>262.09999999999997</v>
      </c>
      <c r="L131" s="1">
        <v>0.4</v>
      </c>
      <c r="M131" s="1">
        <f t="shared" si="18"/>
        <v>103.9</v>
      </c>
      <c r="N131" s="5">
        <f t="shared" si="15"/>
        <v>-0.4</v>
      </c>
      <c r="O131" s="1">
        <v>131.79999999999995</v>
      </c>
      <c r="P131" s="1">
        <v>92</v>
      </c>
      <c r="Q131" s="1">
        <v>1</v>
      </c>
      <c r="R131" s="9">
        <f t="shared" si="12"/>
        <v>0.4</v>
      </c>
      <c r="S131" s="9">
        <f t="shared" si="13"/>
        <v>-0.4</v>
      </c>
      <c r="T131" s="9">
        <f t="shared" si="20"/>
        <v>131.79999999999995</v>
      </c>
      <c r="V131" s="10">
        <v>332.9</v>
      </c>
      <c r="W131" s="1">
        <f t="shared" si="14"/>
        <v>184.94444444444443</v>
      </c>
      <c r="X131" s="1">
        <f t="shared" si="19"/>
        <v>50944.500000000015</v>
      </c>
      <c r="Y131" s="1">
        <f t="shared" si="22"/>
        <v>5330.6</v>
      </c>
      <c r="AA131" s="1">
        <v>8.6908226803288606</v>
      </c>
    </row>
    <row r="132" spans="1:27" s="1" customFormat="1" x14ac:dyDescent="0.25">
      <c r="A132" s="80"/>
      <c r="B132" s="7"/>
      <c r="C132" s="3">
        <v>41613</v>
      </c>
      <c r="D132" s="1">
        <v>5.0999999999999996</v>
      </c>
      <c r="E132" s="12">
        <v>4.0999999999999996</v>
      </c>
      <c r="F132" s="1">
        <v>7</v>
      </c>
      <c r="G132" s="1">
        <f t="shared" si="16"/>
        <v>1068.6999999999998</v>
      </c>
      <c r="H132" s="1">
        <f t="shared" si="21"/>
        <v>82.699999999999989</v>
      </c>
      <c r="J132" s="1">
        <v>0.1</v>
      </c>
      <c r="K132" s="1">
        <f t="shared" si="17"/>
        <v>262.2</v>
      </c>
      <c r="L132" s="1">
        <v>0.5</v>
      </c>
      <c r="M132" s="1">
        <f t="shared" si="18"/>
        <v>104.4</v>
      </c>
      <c r="N132" s="5">
        <f t="shared" si="15"/>
        <v>-0.4</v>
      </c>
      <c r="O132" s="1">
        <v>131.39999999999995</v>
      </c>
      <c r="P132" s="1">
        <v>93</v>
      </c>
      <c r="Q132" s="1">
        <v>1</v>
      </c>
      <c r="R132" s="9">
        <f t="shared" si="12"/>
        <v>0.5</v>
      </c>
      <c r="S132" s="9">
        <f t="shared" si="13"/>
        <v>-0.4</v>
      </c>
      <c r="T132" s="9">
        <f t="shared" si="20"/>
        <v>131.39999999999995</v>
      </c>
      <c r="V132" s="10">
        <v>295.5</v>
      </c>
      <c r="W132" s="1">
        <f t="shared" si="14"/>
        <v>57.941176470588239</v>
      </c>
      <c r="X132" s="1">
        <f t="shared" si="19"/>
        <v>51240.000000000015</v>
      </c>
      <c r="Y132" s="1">
        <f t="shared" si="22"/>
        <v>5626.1</v>
      </c>
      <c r="AA132" s="1">
        <v>8.6654672104890906</v>
      </c>
    </row>
    <row r="133" spans="1:27" s="1" customFormat="1" x14ac:dyDescent="0.25">
      <c r="A133" s="80"/>
      <c r="B133" s="20"/>
      <c r="C133" s="3">
        <v>41614</v>
      </c>
      <c r="D133" s="12">
        <v>4.8</v>
      </c>
      <c r="E133" s="12">
        <v>2.8</v>
      </c>
      <c r="F133" s="1">
        <v>8.6</v>
      </c>
      <c r="G133" s="1">
        <f t="shared" si="16"/>
        <v>1073.4999999999998</v>
      </c>
      <c r="H133" s="1">
        <f t="shared" si="21"/>
        <v>87.499999999999986</v>
      </c>
      <c r="J133" s="1">
        <v>0.6</v>
      </c>
      <c r="K133" s="1">
        <f t="shared" si="17"/>
        <v>262.8</v>
      </c>
      <c r="L133" s="1">
        <v>0.6</v>
      </c>
      <c r="M133" s="1">
        <f t="shared" si="18"/>
        <v>105</v>
      </c>
      <c r="N133" s="1">
        <f t="shared" si="15"/>
        <v>0</v>
      </c>
      <c r="O133" s="1">
        <v>131.39999999999995</v>
      </c>
      <c r="P133" s="1">
        <v>94</v>
      </c>
      <c r="Q133" s="1">
        <v>1</v>
      </c>
      <c r="R133" s="9">
        <f t="shared" si="12"/>
        <v>0.6</v>
      </c>
      <c r="S133" s="9">
        <f t="shared" si="13"/>
        <v>0</v>
      </c>
      <c r="T133" s="9">
        <f t="shared" si="20"/>
        <v>131.39999999999995</v>
      </c>
      <c r="V133" s="10">
        <v>197.4</v>
      </c>
      <c r="W133" s="1">
        <f t="shared" si="14"/>
        <v>41.125</v>
      </c>
      <c r="X133" s="1">
        <f t="shared" si="19"/>
        <v>51437.400000000016</v>
      </c>
      <c r="Y133" s="1">
        <f t="shared" si="22"/>
        <v>5823.5</v>
      </c>
      <c r="AA133" s="1">
        <v>8.6413636992238096</v>
      </c>
    </row>
    <row r="134" spans="1:27" s="1" customFormat="1" x14ac:dyDescent="0.25">
      <c r="A134" s="80"/>
      <c r="B134" s="20"/>
      <c r="C134" s="3">
        <v>41615</v>
      </c>
      <c r="D134" s="12">
        <v>3</v>
      </c>
      <c r="E134" s="19">
        <v>-0.9</v>
      </c>
      <c r="F134" s="1">
        <v>6.6</v>
      </c>
      <c r="G134" s="1">
        <f t="shared" si="16"/>
        <v>1076.4999999999998</v>
      </c>
      <c r="H134" s="1">
        <f t="shared" si="21"/>
        <v>90.499999999999986</v>
      </c>
      <c r="J134" s="1">
        <v>0</v>
      </c>
      <c r="K134" s="1">
        <f t="shared" si="17"/>
        <v>262.8</v>
      </c>
      <c r="L134" s="1">
        <v>0.2</v>
      </c>
      <c r="M134" s="1">
        <f t="shared" si="18"/>
        <v>105.2</v>
      </c>
      <c r="N134" s="5">
        <f t="shared" si="15"/>
        <v>-0.2</v>
      </c>
      <c r="O134" s="1">
        <v>131.19999999999996</v>
      </c>
      <c r="P134" s="1">
        <v>95</v>
      </c>
      <c r="Q134" s="1">
        <v>1</v>
      </c>
      <c r="R134" s="9">
        <f t="shared" si="12"/>
        <v>0.2</v>
      </c>
      <c r="S134" s="9">
        <f t="shared" si="13"/>
        <v>-0.2</v>
      </c>
      <c r="T134" s="9">
        <f t="shared" si="20"/>
        <v>131.19999999999996</v>
      </c>
      <c r="V134" s="10">
        <v>205.5</v>
      </c>
      <c r="W134" s="1">
        <f t="shared" si="14"/>
        <v>68.5</v>
      </c>
      <c r="X134" s="1">
        <f t="shared" si="19"/>
        <v>51642.900000000016</v>
      </c>
      <c r="Y134" s="1">
        <f t="shared" si="22"/>
        <v>6029</v>
      </c>
      <c r="AA134" s="1">
        <v>8.6185370249744206</v>
      </c>
    </row>
    <row r="135" spans="1:27" s="1" customFormat="1" x14ac:dyDescent="0.25">
      <c r="A135" s="80"/>
      <c r="B135" s="20"/>
      <c r="C135" s="3">
        <v>41616</v>
      </c>
      <c r="D135" s="12">
        <v>1.3</v>
      </c>
      <c r="E135" s="19">
        <v>-3.2</v>
      </c>
      <c r="F135" s="1">
        <v>6.7</v>
      </c>
      <c r="G135" s="1">
        <f t="shared" si="16"/>
        <v>1077.7999999999997</v>
      </c>
      <c r="H135" s="1">
        <f t="shared" si="21"/>
        <v>91.799999999999983</v>
      </c>
      <c r="J135" s="1">
        <v>0</v>
      </c>
      <c r="K135" s="1">
        <f t="shared" si="17"/>
        <v>262.8</v>
      </c>
      <c r="L135" s="1">
        <v>0.6</v>
      </c>
      <c r="M135" s="1">
        <f t="shared" si="18"/>
        <v>105.8</v>
      </c>
      <c r="N135" s="5">
        <f t="shared" si="15"/>
        <v>-0.6</v>
      </c>
      <c r="O135" s="1">
        <v>130.59999999999997</v>
      </c>
      <c r="P135" s="1">
        <v>96</v>
      </c>
      <c r="Q135" s="1">
        <v>1</v>
      </c>
      <c r="R135" s="9">
        <f t="shared" si="12"/>
        <v>0.6</v>
      </c>
      <c r="S135" s="9">
        <f t="shared" si="13"/>
        <v>-0.6</v>
      </c>
      <c r="T135" s="9">
        <f t="shared" si="20"/>
        <v>130.59999999999997</v>
      </c>
      <c r="V135" s="10">
        <v>677</v>
      </c>
      <c r="W135" s="1">
        <f t="shared" si="14"/>
        <v>520.76923076923072</v>
      </c>
      <c r="X135" s="1">
        <f t="shared" si="19"/>
        <v>52319.900000000016</v>
      </c>
      <c r="Y135" s="1">
        <f t="shared" si="22"/>
        <v>6706</v>
      </c>
      <c r="AA135" s="1">
        <v>8.5970111728871892</v>
      </c>
    </row>
    <row r="136" spans="1:27" s="1" customFormat="1" x14ac:dyDescent="0.25">
      <c r="A136" s="80"/>
      <c r="B136" s="20"/>
      <c r="C136" s="3">
        <v>41617</v>
      </c>
      <c r="D136" s="12">
        <v>0</v>
      </c>
      <c r="E136" s="19">
        <v>-3.5</v>
      </c>
      <c r="F136" s="1">
        <v>5.2</v>
      </c>
      <c r="G136" s="1">
        <f t="shared" si="16"/>
        <v>1077.7999999999997</v>
      </c>
      <c r="H136" s="1">
        <f t="shared" si="21"/>
        <v>91.799999999999983</v>
      </c>
      <c r="J136" s="1">
        <v>0</v>
      </c>
      <c r="K136" s="1">
        <f t="shared" si="17"/>
        <v>262.8</v>
      </c>
      <c r="L136" s="1">
        <v>0.8</v>
      </c>
      <c r="M136" s="1">
        <f t="shared" si="18"/>
        <v>106.6</v>
      </c>
      <c r="N136" s="5">
        <f t="shared" si="15"/>
        <v>-0.8</v>
      </c>
      <c r="O136" s="1">
        <v>129.79999999999995</v>
      </c>
      <c r="P136" s="1">
        <v>97</v>
      </c>
      <c r="Q136" s="1">
        <v>1</v>
      </c>
      <c r="R136" s="9">
        <f t="shared" si="12"/>
        <v>0.8</v>
      </c>
      <c r="S136" s="9">
        <f t="shared" si="13"/>
        <v>-0.8</v>
      </c>
      <c r="T136" s="9">
        <f t="shared" si="20"/>
        <v>129.79999999999995</v>
      </c>
      <c r="V136" s="10">
        <v>634.5</v>
      </c>
      <c r="W136" s="1" t="e">
        <f t="shared" si="14"/>
        <v>#DIV/0!</v>
      </c>
      <c r="X136" s="1">
        <f t="shared" si="19"/>
        <v>52954.400000000016</v>
      </c>
      <c r="Y136" s="1">
        <f t="shared" si="22"/>
        <v>7340.5</v>
      </c>
      <c r="AA136" s="1">
        <v>8.5768091510434008</v>
      </c>
    </row>
    <row r="137" spans="1:27" s="1" customFormat="1" x14ac:dyDescent="0.25">
      <c r="A137" s="80"/>
      <c r="B137" s="20"/>
      <c r="C137" s="3">
        <v>41618</v>
      </c>
      <c r="D137" s="19">
        <v>-0.4</v>
      </c>
      <c r="E137" s="19">
        <v>-3.4</v>
      </c>
      <c r="F137" s="12">
        <v>4.8</v>
      </c>
      <c r="G137" s="1">
        <v>1077.8</v>
      </c>
      <c r="H137" s="1">
        <v>91.8</v>
      </c>
      <c r="J137" s="1">
        <v>0</v>
      </c>
      <c r="K137" s="1">
        <f t="shared" si="17"/>
        <v>262.8</v>
      </c>
      <c r="L137" s="1">
        <v>0.8</v>
      </c>
      <c r="M137" s="1">
        <f t="shared" si="18"/>
        <v>107.39999999999999</v>
      </c>
      <c r="N137" s="5">
        <f t="shared" si="15"/>
        <v>-0.8</v>
      </c>
      <c r="O137" s="1">
        <v>128.99999999999994</v>
      </c>
      <c r="P137" s="1">
        <v>98</v>
      </c>
      <c r="Q137" s="1">
        <v>1</v>
      </c>
      <c r="R137" s="9">
        <f t="shared" si="12"/>
        <v>0.8</v>
      </c>
      <c r="S137" s="9">
        <f t="shared" si="13"/>
        <v>-0.8</v>
      </c>
      <c r="T137" s="9">
        <f t="shared" si="20"/>
        <v>128.99999999999994</v>
      </c>
      <c r="V137" s="10">
        <v>655.9</v>
      </c>
      <c r="W137" s="1">
        <f t="shared" si="14"/>
        <v>-1639.7499999999998</v>
      </c>
      <c r="X137" s="1">
        <f t="shared" si="19"/>
        <v>53610.300000000017</v>
      </c>
      <c r="Y137" s="1">
        <f t="shared" si="22"/>
        <v>7996.4</v>
      </c>
      <c r="AA137" s="1">
        <v>8.5579529080532897</v>
      </c>
    </row>
    <row r="138" spans="1:27" s="1" customFormat="1" x14ac:dyDescent="0.25">
      <c r="A138" s="80"/>
      <c r="B138" s="20"/>
      <c r="C138" s="3">
        <v>41619</v>
      </c>
      <c r="D138" s="19">
        <v>-0.8</v>
      </c>
      <c r="E138" s="19">
        <v>-4</v>
      </c>
      <c r="F138" s="12">
        <v>4.5</v>
      </c>
      <c r="G138" s="1">
        <v>1077.8</v>
      </c>
      <c r="H138" s="1">
        <v>91.8</v>
      </c>
      <c r="J138" s="1">
        <v>0</v>
      </c>
      <c r="K138" s="1">
        <f t="shared" si="17"/>
        <v>262.8</v>
      </c>
      <c r="L138" s="1">
        <v>0.7</v>
      </c>
      <c r="M138" s="1">
        <f t="shared" si="18"/>
        <v>108.1</v>
      </c>
      <c r="N138" s="5">
        <f t="shared" si="15"/>
        <v>-0.7</v>
      </c>
      <c r="O138" s="1">
        <v>128.29999999999995</v>
      </c>
      <c r="P138" s="1">
        <v>99</v>
      </c>
      <c r="Q138" s="1">
        <v>1</v>
      </c>
      <c r="R138" s="9">
        <f t="shared" si="12"/>
        <v>0.7</v>
      </c>
      <c r="S138" s="9">
        <f t="shared" si="13"/>
        <v>-0.7</v>
      </c>
      <c r="T138" s="9">
        <f t="shared" si="20"/>
        <v>128.29999999999995</v>
      </c>
      <c r="V138" s="10">
        <v>679.5</v>
      </c>
      <c r="W138" s="1">
        <f t="shared" si="14"/>
        <v>-849.375</v>
      </c>
      <c r="X138" s="1">
        <f t="shared" si="19"/>
        <v>54289.800000000017</v>
      </c>
      <c r="Y138" s="1">
        <f t="shared" si="22"/>
        <v>8675.9</v>
      </c>
      <c r="AA138" s="1">
        <v>8.5404632525758704</v>
      </c>
    </row>
    <row r="139" spans="1:27" s="1" customFormat="1" x14ac:dyDescent="0.25">
      <c r="A139" s="80"/>
      <c r="B139" s="20"/>
      <c r="C139" s="3">
        <v>41620</v>
      </c>
      <c r="D139" s="12">
        <v>0.1</v>
      </c>
      <c r="E139" s="19">
        <v>-3.7</v>
      </c>
      <c r="F139" s="1">
        <v>5.5</v>
      </c>
      <c r="G139" s="1">
        <f t="shared" si="16"/>
        <v>1077.8999999999999</v>
      </c>
      <c r="H139" s="1">
        <f t="shared" si="21"/>
        <v>91.899999999999991</v>
      </c>
      <c r="J139" s="1">
        <v>0</v>
      </c>
      <c r="K139" s="1">
        <f t="shared" si="17"/>
        <v>262.8</v>
      </c>
      <c r="L139" s="1">
        <v>0.6</v>
      </c>
      <c r="M139" s="1">
        <f t="shared" si="18"/>
        <v>108.69999999999999</v>
      </c>
      <c r="N139" s="5">
        <f t="shared" si="15"/>
        <v>-0.6</v>
      </c>
      <c r="O139" s="1">
        <v>127.69999999999996</v>
      </c>
      <c r="P139" s="1">
        <v>100</v>
      </c>
      <c r="Q139" s="1">
        <v>1</v>
      </c>
      <c r="R139" s="9">
        <f t="shared" si="12"/>
        <v>0.6</v>
      </c>
      <c r="S139" s="9">
        <f t="shared" si="13"/>
        <v>-0.6</v>
      </c>
      <c r="T139" s="9">
        <f t="shared" si="20"/>
        <v>127.69999999999996</v>
      </c>
      <c r="V139" s="10">
        <v>564.79999999999995</v>
      </c>
      <c r="W139" s="1">
        <f t="shared" si="14"/>
        <v>5647.9999999999991</v>
      </c>
      <c r="X139" s="1">
        <f t="shared" si="19"/>
        <v>54854.60000000002</v>
      </c>
      <c r="Y139" s="1">
        <f t="shared" si="22"/>
        <v>9240.6999999999989</v>
      </c>
      <c r="AA139" s="1">
        <v>8.5243597753343607</v>
      </c>
    </row>
    <row r="140" spans="1:27" s="1" customFormat="1" x14ac:dyDescent="0.25">
      <c r="A140" s="80"/>
      <c r="B140" s="20"/>
      <c r="C140" s="3">
        <v>41621</v>
      </c>
      <c r="D140" s="12">
        <v>3</v>
      </c>
      <c r="E140" s="19">
        <v>-3</v>
      </c>
      <c r="F140" s="1">
        <v>7</v>
      </c>
      <c r="G140" s="1">
        <f t="shared" si="16"/>
        <v>1080.8999999999999</v>
      </c>
      <c r="H140" s="1">
        <f t="shared" si="21"/>
        <v>94.899999999999991</v>
      </c>
      <c r="J140" s="1">
        <v>3.9</v>
      </c>
      <c r="K140" s="1">
        <f t="shared" si="17"/>
        <v>266.7</v>
      </c>
      <c r="L140" s="1">
        <v>0.3</v>
      </c>
      <c r="M140" s="1">
        <f t="shared" si="18"/>
        <v>108.99999999999999</v>
      </c>
      <c r="N140" s="1">
        <f t="shared" si="15"/>
        <v>3.6</v>
      </c>
      <c r="O140" s="1">
        <v>131.29999999999995</v>
      </c>
      <c r="P140" s="1">
        <v>101</v>
      </c>
      <c r="Q140" s="1">
        <v>1</v>
      </c>
      <c r="R140" s="9">
        <f t="shared" si="12"/>
        <v>0.3</v>
      </c>
      <c r="S140" s="9">
        <f t="shared" si="13"/>
        <v>3.6</v>
      </c>
      <c r="T140" s="9">
        <f t="shared" si="20"/>
        <v>131.29999999999995</v>
      </c>
      <c r="V140" s="10">
        <v>416.1</v>
      </c>
      <c r="W140" s="1">
        <f t="shared" si="14"/>
        <v>138.70000000000002</v>
      </c>
      <c r="X140" s="1">
        <f t="shared" si="19"/>
        <v>55270.700000000019</v>
      </c>
      <c r="Y140" s="1">
        <f t="shared" si="22"/>
        <v>9656.7999999999993</v>
      </c>
      <c r="AA140" s="1">
        <v>8.5096607741975703</v>
      </c>
    </row>
    <row r="141" spans="1:27" s="1" customFormat="1" x14ac:dyDescent="0.25">
      <c r="A141" s="80"/>
      <c r="B141" s="7"/>
      <c r="C141" s="3">
        <v>41622</v>
      </c>
      <c r="D141" s="1">
        <v>5.3</v>
      </c>
      <c r="E141" s="12">
        <v>4.8</v>
      </c>
      <c r="F141" s="1">
        <v>5.6</v>
      </c>
      <c r="G141" s="1">
        <f t="shared" si="16"/>
        <v>1086.1999999999998</v>
      </c>
      <c r="H141" s="1">
        <f t="shared" si="21"/>
        <v>100.19999999999999</v>
      </c>
      <c r="J141" s="1">
        <v>0.1</v>
      </c>
      <c r="K141" s="1">
        <f t="shared" si="17"/>
        <v>266.8</v>
      </c>
      <c r="L141" s="1">
        <v>0.2</v>
      </c>
      <c r="M141" s="1">
        <f t="shared" si="18"/>
        <v>109.19999999999999</v>
      </c>
      <c r="N141" s="5">
        <f t="shared" si="15"/>
        <v>-0.1</v>
      </c>
      <c r="O141" s="1">
        <v>131.19999999999996</v>
      </c>
      <c r="P141" s="1">
        <v>102</v>
      </c>
      <c r="Q141" s="1">
        <v>1</v>
      </c>
      <c r="R141" s="9">
        <f t="shared" si="12"/>
        <v>0.2</v>
      </c>
      <c r="S141" s="9">
        <f t="shared" si="13"/>
        <v>-0.1</v>
      </c>
      <c r="T141" s="9">
        <f t="shared" si="20"/>
        <v>131.19999999999996</v>
      </c>
      <c r="V141" s="10">
        <v>299.60000000000002</v>
      </c>
      <c r="W141" s="1">
        <f t="shared" si="14"/>
        <v>56.528301886792462</v>
      </c>
      <c r="X141" s="1">
        <f t="shared" si="19"/>
        <v>55570.300000000017</v>
      </c>
      <c r="Y141" s="1">
        <f t="shared" si="22"/>
        <v>9956.4</v>
      </c>
      <c r="AA141" s="1">
        <v>8.4963831828926306</v>
      </c>
    </row>
    <row r="142" spans="1:27" s="1" customFormat="1" x14ac:dyDescent="0.25">
      <c r="A142" s="80"/>
      <c r="B142" s="20"/>
      <c r="C142" s="3">
        <v>41623</v>
      </c>
      <c r="D142" s="12">
        <v>5</v>
      </c>
      <c r="E142" s="12">
        <v>2.4</v>
      </c>
      <c r="F142" s="1">
        <v>8.6</v>
      </c>
      <c r="G142" s="1">
        <f t="shared" si="16"/>
        <v>1091.1999999999998</v>
      </c>
      <c r="H142" s="1">
        <f t="shared" si="21"/>
        <v>105.19999999999999</v>
      </c>
      <c r="J142" s="1">
        <v>0</v>
      </c>
      <c r="K142" s="1">
        <f t="shared" si="17"/>
        <v>266.8</v>
      </c>
      <c r="L142" s="1">
        <v>0.7</v>
      </c>
      <c r="M142" s="1">
        <f t="shared" si="18"/>
        <v>109.89999999999999</v>
      </c>
      <c r="N142" s="5">
        <f t="shared" si="15"/>
        <v>-0.7</v>
      </c>
      <c r="O142" s="1">
        <v>130.49999999999997</v>
      </c>
      <c r="P142" s="1">
        <v>103</v>
      </c>
      <c r="Q142" s="1">
        <v>1</v>
      </c>
      <c r="R142" s="9">
        <f t="shared" si="12"/>
        <v>0.7</v>
      </c>
      <c r="S142" s="9">
        <f t="shared" si="13"/>
        <v>-0.7</v>
      </c>
      <c r="T142" s="9">
        <f t="shared" si="20"/>
        <v>130.49999999999997</v>
      </c>
      <c r="V142" s="10">
        <v>553.79999999999995</v>
      </c>
      <c r="W142" s="1">
        <f t="shared" si="14"/>
        <v>110.75999999999999</v>
      </c>
      <c r="X142" s="1">
        <f t="shared" si="19"/>
        <v>56124.10000000002</v>
      </c>
      <c r="Y142" s="1">
        <f t="shared" si="22"/>
        <v>10510.199999999999</v>
      </c>
      <c r="AA142" s="1">
        <v>8.4845425039016593</v>
      </c>
    </row>
    <row r="143" spans="1:27" s="1" customFormat="1" x14ac:dyDescent="0.25">
      <c r="A143" s="80"/>
      <c r="B143" s="7"/>
      <c r="C143" s="3">
        <v>41624</v>
      </c>
      <c r="D143" s="1">
        <v>5.0999999999999996</v>
      </c>
      <c r="E143" s="19">
        <v>-0.1</v>
      </c>
      <c r="F143" s="1">
        <v>11.2</v>
      </c>
      <c r="G143" s="1">
        <f t="shared" si="16"/>
        <v>1096.2999999999997</v>
      </c>
      <c r="H143" s="1">
        <f t="shared" si="21"/>
        <v>110.29999999999998</v>
      </c>
      <c r="J143" s="1">
        <v>0.2</v>
      </c>
      <c r="K143" s="1">
        <f t="shared" si="17"/>
        <v>267</v>
      </c>
      <c r="L143" s="1">
        <v>1</v>
      </c>
      <c r="M143" s="1">
        <f t="shared" si="18"/>
        <v>110.89999999999999</v>
      </c>
      <c r="N143" s="5">
        <f t="shared" si="15"/>
        <v>-0.8</v>
      </c>
      <c r="O143" s="1">
        <v>129.69999999999996</v>
      </c>
      <c r="P143" s="1">
        <v>104</v>
      </c>
      <c r="Q143" s="1">
        <v>1</v>
      </c>
      <c r="R143" s="9">
        <f t="shared" si="12"/>
        <v>1</v>
      </c>
      <c r="S143" s="9">
        <f t="shared" si="13"/>
        <v>-0.8</v>
      </c>
      <c r="T143" s="9">
        <f t="shared" si="20"/>
        <v>129.69999999999996</v>
      </c>
      <c r="V143" s="10">
        <v>698.9</v>
      </c>
      <c r="W143" s="1">
        <f t="shared" si="14"/>
        <v>137.0392156862745</v>
      </c>
      <c r="X143" s="1">
        <f t="shared" si="19"/>
        <v>56823.000000000022</v>
      </c>
      <c r="Y143" s="1">
        <f t="shared" si="22"/>
        <v>11209.099999999999</v>
      </c>
      <c r="AA143" s="1">
        <v>8.4741527460759496</v>
      </c>
    </row>
    <row r="144" spans="1:27" s="1" customFormat="1" x14ac:dyDescent="0.25">
      <c r="A144" s="80"/>
      <c r="B144" s="7"/>
      <c r="C144" s="3">
        <v>41625</v>
      </c>
      <c r="D144" s="1">
        <v>6.6</v>
      </c>
      <c r="E144" s="19">
        <v>-0.9</v>
      </c>
      <c r="F144" s="1">
        <v>11.4</v>
      </c>
      <c r="G144" s="1">
        <f t="shared" si="16"/>
        <v>1102.8999999999996</v>
      </c>
      <c r="H144" s="1">
        <f t="shared" si="21"/>
        <v>116.89999999999998</v>
      </c>
      <c r="J144" s="1">
        <v>0.4</v>
      </c>
      <c r="K144" s="1">
        <f t="shared" si="17"/>
        <v>267.39999999999998</v>
      </c>
      <c r="L144" s="1">
        <v>0.4</v>
      </c>
      <c r="M144" s="1">
        <f t="shared" si="18"/>
        <v>111.3</v>
      </c>
      <c r="N144" s="1">
        <f t="shared" si="15"/>
        <v>0</v>
      </c>
      <c r="O144" s="1">
        <v>129.69999999999996</v>
      </c>
      <c r="P144" s="1">
        <v>105</v>
      </c>
      <c r="Q144" s="1">
        <v>1</v>
      </c>
      <c r="R144" s="9">
        <f t="shared" si="12"/>
        <v>0.4</v>
      </c>
      <c r="S144" s="9">
        <f t="shared" si="13"/>
        <v>0</v>
      </c>
      <c r="T144" s="9">
        <f t="shared" si="20"/>
        <v>129.69999999999996</v>
      </c>
      <c r="V144" s="10">
        <v>567.6</v>
      </c>
      <c r="W144" s="1">
        <f t="shared" si="14"/>
        <v>86.000000000000014</v>
      </c>
      <c r="X144" s="1">
        <f t="shared" si="19"/>
        <v>57390.60000000002</v>
      </c>
      <c r="Y144" s="1">
        <f t="shared" si="22"/>
        <v>11776.699999999999</v>
      </c>
      <c r="AA144" s="1">
        <v>8.4652263674748607</v>
      </c>
    </row>
    <row r="145" spans="1:27" s="1" customFormat="1" x14ac:dyDescent="0.25">
      <c r="A145" s="80"/>
      <c r="B145" s="7"/>
      <c r="C145" s="3">
        <v>41626</v>
      </c>
      <c r="D145" s="1">
        <v>9</v>
      </c>
      <c r="E145" s="1">
        <v>7.6</v>
      </c>
      <c r="F145" s="1">
        <v>10.1</v>
      </c>
      <c r="G145" s="1">
        <f t="shared" si="16"/>
        <v>1111.8999999999996</v>
      </c>
      <c r="H145" s="1">
        <f t="shared" si="21"/>
        <v>125.89999999999998</v>
      </c>
      <c r="J145" s="1">
        <v>5.3</v>
      </c>
      <c r="K145" s="1">
        <f t="shared" si="17"/>
        <v>272.7</v>
      </c>
      <c r="L145" s="1">
        <v>0.6</v>
      </c>
      <c r="M145" s="1">
        <f t="shared" si="18"/>
        <v>111.89999999999999</v>
      </c>
      <c r="N145" s="1">
        <f t="shared" si="15"/>
        <v>4.7</v>
      </c>
      <c r="O145" s="1">
        <v>134.39999999999995</v>
      </c>
      <c r="P145" s="1">
        <v>106</v>
      </c>
      <c r="Q145" s="1">
        <v>1</v>
      </c>
      <c r="R145" s="9">
        <f t="shared" si="12"/>
        <v>0.6</v>
      </c>
      <c r="S145" s="9">
        <f t="shared" si="13"/>
        <v>4.7</v>
      </c>
      <c r="T145" s="9">
        <f t="shared" si="20"/>
        <v>134.39999999999995</v>
      </c>
      <c r="V145" s="10">
        <v>133.1</v>
      </c>
      <c r="W145" s="1">
        <f t="shared" si="14"/>
        <v>14.788888888888888</v>
      </c>
      <c r="X145" s="1">
        <f t="shared" si="19"/>
        <v>57523.700000000019</v>
      </c>
      <c r="Y145" s="1">
        <f t="shared" si="22"/>
        <v>11909.8</v>
      </c>
      <c r="AA145" s="1">
        <v>8.4577742239032006</v>
      </c>
    </row>
    <row r="146" spans="1:27" s="1" customFormat="1" x14ac:dyDescent="0.25">
      <c r="A146" s="80"/>
      <c r="B146" s="7"/>
      <c r="C146" s="3">
        <v>41627</v>
      </c>
      <c r="D146" s="1">
        <v>7.5</v>
      </c>
      <c r="E146" s="12">
        <v>4.5</v>
      </c>
      <c r="F146" s="1">
        <v>9.5</v>
      </c>
      <c r="G146" s="1">
        <f t="shared" si="16"/>
        <v>1119.3999999999996</v>
      </c>
      <c r="H146" s="1">
        <f t="shared" si="21"/>
        <v>133.39999999999998</v>
      </c>
      <c r="J146" s="1">
        <v>1.2</v>
      </c>
      <c r="K146" s="1">
        <f t="shared" si="17"/>
        <v>273.89999999999998</v>
      </c>
      <c r="L146" s="1">
        <v>0.6</v>
      </c>
      <c r="M146" s="1">
        <f t="shared" si="18"/>
        <v>112.49999999999999</v>
      </c>
      <c r="N146" s="1">
        <f t="shared" si="15"/>
        <v>0.6</v>
      </c>
      <c r="O146" s="1">
        <v>134.99999999999994</v>
      </c>
      <c r="P146" s="1">
        <v>107</v>
      </c>
      <c r="Q146" s="1">
        <v>1</v>
      </c>
      <c r="R146" s="9">
        <f t="shared" si="12"/>
        <v>0.6</v>
      </c>
      <c r="S146" s="9">
        <f t="shared" si="13"/>
        <v>0.6</v>
      </c>
      <c r="T146" s="9">
        <f t="shared" si="20"/>
        <v>134.99999999999994</v>
      </c>
      <c r="V146" s="10">
        <v>437.9</v>
      </c>
      <c r="W146" s="1">
        <f t="shared" si="14"/>
        <v>58.386666666666663</v>
      </c>
      <c r="X146" s="1">
        <f t="shared" si="19"/>
        <v>57961.60000000002</v>
      </c>
      <c r="Y146" s="1">
        <f t="shared" si="22"/>
        <v>12347.699999999999</v>
      </c>
      <c r="AA146" s="1">
        <v>8.4518055235815392</v>
      </c>
    </row>
    <row r="147" spans="1:27" s="1" customFormat="1" x14ac:dyDescent="0.25">
      <c r="A147" s="80"/>
      <c r="B147" s="20"/>
      <c r="C147" s="3">
        <v>41628</v>
      </c>
      <c r="D147" s="12">
        <v>4.0999999999999996</v>
      </c>
      <c r="E147" s="12">
        <v>2.4</v>
      </c>
      <c r="F147" s="1">
        <v>7</v>
      </c>
      <c r="G147" s="1">
        <f t="shared" si="16"/>
        <v>1123.4999999999995</v>
      </c>
      <c r="H147" s="1">
        <f t="shared" si="21"/>
        <v>137.49999999999997</v>
      </c>
      <c r="J147" s="1">
        <v>0.2</v>
      </c>
      <c r="K147" s="1">
        <f t="shared" si="17"/>
        <v>274.09999999999997</v>
      </c>
      <c r="L147" s="1">
        <v>0.6</v>
      </c>
      <c r="M147" s="1">
        <f t="shared" si="18"/>
        <v>113.09999999999998</v>
      </c>
      <c r="N147" s="5">
        <f t="shared" si="15"/>
        <v>-0.39999999999999997</v>
      </c>
      <c r="O147" s="1">
        <v>134.59999999999994</v>
      </c>
      <c r="P147" s="1">
        <v>108</v>
      </c>
      <c r="Q147" s="1">
        <v>1</v>
      </c>
      <c r="R147" s="9">
        <f t="shared" si="12"/>
        <v>0.6</v>
      </c>
      <c r="S147" s="9">
        <f t="shared" si="13"/>
        <v>-0.39999999999999997</v>
      </c>
      <c r="T147" s="9">
        <f t="shared" si="20"/>
        <v>134.59999999999994</v>
      </c>
      <c r="V147" s="10">
        <v>565.6</v>
      </c>
      <c r="W147" s="1">
        <f t="shared" si="14"/>
        <v>137.95121951219514</v>
      </c>
      <c r="X147" s="1">
        <f t="shared" si="19"/>
        <v>58527.200000000019</v>
      </c>
      <c r="Y147" s="1">
        <f t="shared" si="22"/>
        <v>12913.3</v>
      </c>
      <c r="AA147" s="1">
        <v>8.4473277883374998</v>
      </c>
    </row>
    <row r="148" spans="1:27" s="1" customFormat="1" x14ac:dyDescent="0.25">
      <c r="A148" s="80"/>
      <c r="B148" s="20"/>
      <c r="C148" s="3">
        <v>41629</v>
      </c>
      <c r="D148" s="12">
        <v>4.5</v>
      </c>
      <c r="E148" s="12">
        <v>2.2000000000000002</v>
      </c>
      <c r="F148" s="1">
        <v>7.4</v>
      </c>
      <c r="G148" s="1">
        <f t="shared" si="16"/>
        <v>1127.9999999999995</v>
      </c>
      <c r="H148" s="1">
        <f t="shared" si="21"/>
        <v>141.99999999999997</v>
      </c>
      <c r="J148" s="1">
        <v>0.8</v>
      </c>
      <c r="K148" s="1">
        <f t="shared" si="17"/>
        <v>274.89999999999998</v>
      </c>
      <c r="L148" s="1">
        <v>0.8</v>
      </c>
      <c r="M148" s="1">
        <f t="shared" si="18"/>
        <v>113.89999999999998</v>
      </c>
      <c r="N148" s="1">
        <f t="shared" si="15"/>
        <v>0</v>
      </c>
      <c r="O148" s="1">
        <v>134.59999999999994</v>
      </c>
      <c r="P148" s="1">
        <v>109</v>
      </c>
      <c r="Q148" s="1">
        <v>1</v>
      </c>
      <c r="R148" s="9">
        <f t="shared" si="12"/>
        <v>0.8</v>
      </c>
      <c r="S148" s="9">
        <f t="shared" si="13"/>
        <v>0</v>
      </c>
      <c r="T148" s="9">
        <f t="shared" si="20"/>
        <v>134.59999999999994</v>
      </c>
      <c r="V148" s="10">
        <v>142</v>
      </c>
      <c r="W148" s="1">
        <f t="shared" si="14"/>
        <v>31.555555555555557</v>
      </c>
      <c r="X148" s="1">
        <f t="shared" si="19"/>
        <v>58669.200000000019</v>
      </c>
      <c r="Y148" s="1">
        <f t="shared" si="22"/>
        <v>13055.3</v>
      </c>
      <c r="AA148" s="1">
        <v>8.4443468216548592</v>
      </c>
    </row>
    <row r="149" spans="1:27" s="63" customFormat="1" ht="15.75" thickBot="1" x14ac:dyDescent="0.3">
      <c r="A149" s="80"/>
      <c r="B149" s="61"/>
      <c r="C149" s="62">
        <v>41630</v>
      </c>
      <c r="D149" s="63">
        <v>8.6</v>
      </c>
      <c r="E149" s="63">
        <v>5.4</v>
      </c>
      <c r="F149" s="63">
        <v>10</v>
      </c>
      <c r="G149" s="63">
        <f t="shared" si="16"/>
        <v>1136.5999999999995</v>
      </c>
      <c r="H149" s="63">
        <f t="shared" si="21"/>
        <v>150.59999999999997</v>
      </c>
      <c r="J149" s="63">
        <v>0.9</v>
      </c>
      <c r="K149" s="63">
        <f t="shared" si="17"/>
        <v>275.79999999999995</v>
      </c>
      <c r="L149" s="63">
        <v>0.1</v>
      </c>
      <c r="M149" s="63">
        <f t="shared" si="18"/>
        <v>113.99999999999997</v>
      </c>
      <c r="N149" s="63">
        <f t="shared" si="15"/>
        <v>0.8</v>
      </c>
      <c r="O149" s="63">
        <v>135.39999999999995</v>
      </c>
      <c r="P149" s="63">
        <v>110</v>
      </c>
      <c r="Q149" s="63">
        <v>1</v>
      </c>
      <c r="R149" s="64">
        <f t="shared" si="12"/>
        <v>0.1</v>
      </c>
      <c r="S149" s="64">
        <f t="shared" si="13"/>
        <v>0.8</v>
      </c>
      <c r="T149" s="64">
        <f t="shared" si="20"/>
        <v>135.39999999999995</v>
      </c>
      <c r="V149" s="63">
        <v>81.2</v>
      </c>
      <c r="W149" s="63">
        <f t="shared" si="14"/>
        <v>9.4418604651162799</v>
      </c>
      <c r="X149" s="63">
        <f t="shared" si="19"/>
        <v>58750.400000000016</v>
      </c>
      <c r="Y149" s="63">
        <f t="shared" si="22"/>
        <v>13136.5</v>
      </c>
      <c r="AA149" s="63">
        <v>8.4428666838604691</v>
      </c>
    </row>
    <row r="150" spans="1:27" s="1" customFormat="1" ht="15" customHeight="1" x14ac:dyDescent="0.25">
      <c r="A150" s="81" t="s">
        <v>21</v>
      </c>
      <c r="B150" s="7"/>
      <c r="C150" s="3">
        <v>41631</v>
      </c>
      <c r="D150" s="1">
        <v>10.5</v>
      </c>
      <c r="E150" s="1">
        <v>9</v>
      </c>
      <c r="F150" s="1">
        <v>11.9</v>
      </c>
      <c r="G150" s="1">
        <f t="shared" si="16"/>
        <v>1147.0999999999995</v>
      </c>
      <c r="H150" s="1">
        <v>10.5</v>
      </c>
      <c r="I150" s="21" t="s">
        <v>3</v>
      </c>
      <c r="J150" s="1">
        <v>3</v>
      </c>
      <c r="K150" s="1">
        <f t="shared" si="17"/>
        <v>278.79999999999995</v>
      </c>
      <c r="L150" s="1">
        <v>1.4</v>
      </c>
      <c r="M150" s="1">
        <f t="shared" si="18"/>
        <v>115.39999999999998</v>
      </c>
      <c r="N150" s="1">
        <f t="shared" si="15"/>
        <v>1.6</v>
      </c>
      <c r="O150" s="1">
        <v>136.99999999999994</v>
      </c>
      <c r="P150" s="1">
        <v>111</v>
      </c>
      <c r="Q150" s="11">
        <f>1+((P150-110)/93)*(1.15-1)</f>
        <v>1.0016129032258065</v>
      </c>
      <c r="R150" s="9">
        <f t="shared" si="12"/>
        <v>1.4022580645161291</v>
      </c>
      <c r="S150" s="9">
        <f t="shared" si="13"/>
        <v>1.5977419354838709</v>
      </c>
      <c r="T150" s="9">
        <f t="shared" si="20"/>
        <v>136.99774193548382</v>
      </c>
      <c r="U150" s="21" t="s">
        <v>4</v>
      </c>
      <c r="V150" s="10">
        <v>170</v>
      </c>
      <c r="W150" s="1">
        <f t="shared" si="14"/>
        <v>16.19047619047619</v>
      </c>
      <c r="X150" s="1">
        <f t="shared" si="19"/>
        <v>58920.400000000016</v>
      </c>
      <c r="Y150" s="1">
        <v>170</v>
      </c>
      <c r="Z150" s="21" t="s">
        <v>5</v>
      </c>
      <c r="AA150" s="1">
        <v>8.4428896746684305</v>
      </c>
    </row>
    <row r="151" spans="1:27" s="1" customFormat="1" x14ac:dyDescent="0.25">
      <c r="A151" s="81"/>
      <c r="B151" s="7"/>
      <c r="C151" s="3">
        <v>41632</v>
      </c>
      <c r="D151" s="1">
        <v>9.9</v>
      </c>
      <c r="E151" s="1">
        <v>9.4</v>
      </c>
      <c r="F151" s="1">
        <v>11</v>
      </c>
      <c r="G151" s="1">
        <f t="shared" si="16"/>
        <v>1156.9999999999995</v>
      </c>
      <c r="H151" s="1">
        <f t="shared" si="21"/>
        <v>20.399999999999999</v>
      </c>
      <c r="I151" s="1">
        <f>MIN(E150:E242)</f>
        <v>-1.5</v>
      </c>
      <c r="J151" s="1">
        <v>14.1</v>
      </c>
      <c r="K151" s="1">
        <f t="shared" si="17"/>
        <v>292.89999999999998</v>
      </c>
      <c r="L151" s="1">
        <v>1.3</v>
      </c>
      <c r="M151" s="1">
        <f t="shared" si="18"/>
        <v>116.69999999999997</v>
      </c>
      <c r="N151" s="1">
        <f t="shared" si="15"/>
        <v>12.799999999999999</v>
      </c>
      <c r="O151" s="1">
        <v>138.9</v>
      </c>
      <c r="P151" s="1">
        <v>112</v>
      </c>
      <c r="Q151" s="11">
        <f t="shared" ref="Q151:Q214" si="23">1+((P151-110)/93)*(1.15-1)</f>
        <v>1.0032258064516129</v>
      </c>
      <c r="R151" s="9">
        <f t="shared" si="12"/>
        <v>1.3041935483870968</v>
      </c>
      <c r="S151" s="9">
        <f t="shared" si="13"/>
        <v>12.795806451612902</v>
      </c>
      <c r="T151" s="9">
        <f t="shared" si="20"/>
        <v>138.9</v>
      </c>
      <c r="V151" s="10">
        <v>93.6</v>
      </c>
      <c r="W151" s="1">
        <f t="shared" si="14"/>
        <v>9.4545454545454533</v>
      </c>
      <c r="X151" s="1">
        <f t="shared" si="19"/>
        <v>59014.000000000015</v>
      </c>
      <c r="Y151" s="1">
        <f t="shared" si="22"/>
        <v>263.60000000000002</v>
      </c>
      <c r="Z151" s="1">
        <v>55591.5</v>
      </c>
      <c r="AA151" s="1">
        <v>8.4444163232367497</v>
      </c>
    </row>
    <row r="152" spans="1:27" s="1" customFormat="1" x14ac:dyDescent="0.25">
      <c r="A152" s="81"/>
      <c r="B152" s="7"/>
      <c r="C152" s="3">
        <v>41633</v>
      </c>
      <c r="D152" s="1">
        <v>6.4</v>
      </c>
      <c r="E152" s="1">
        <v>5.5</v>
      </c>
      <c r="F152" s="1">
        <v>8.5</v>
      </c>
      <c r="G152" s="1">
        <f t="shared" si="16"/>
        <v>1163.3999999999996</v>
      </c>
      <c r="H152" s="1">
        <f t="shared" si="21"/>
        <v>26.799999999999997</v>
      </c>
      <c r="I152" s="21" t="s">
        <v>6</v>
      </c>
      <c r="J152" s="1">
        <v>2.2000000000000002</v>
      </c>
      <c r="K152" s="1">
        <f t="shared" si="17"/>
        <v>295.09999999999997</v>
      </c>
      <c r="L152" s="1">
        <v>0.6</v>
      </c>
      <c r="M152" s="1">
        <f t="shared" si="18"/>
        <v>117.29999999999997</v>
      </c>
      <c r="N152" s="1">
        <f t="shared" si="15"/>
        <v>1.6</v>
      </c>
      <c r="O152" s="1">
        <v>138.9</v>
      </c>
      <c r="P152" s="1">
        <v>113</v>
      </c>
      <c r="Q152" s="11">
        <f t="shared" si="23"/>
        <v>1.0048387096774194</v>
      </c>
      <c r="R152" s="9">
        <f t="shared" si="12"/>
        <v>0.60290322580645161</v>
      </c>
      <c r="S152" s="9">
        <f t="shared" si="13"/>
        <v>1.5970967741935485</v>
      </c>
      <c r="T152" s="9">
        <f t="shared" si="20"/>
        <v>138.9</v>
      </c>
      <c r="U152" s="21" t="s">
        <v>7</v>
      </c>
      <c r="V152" s="10">
        <v>228</v>
      </c>
      <c r="W152" s="1">
        <f t="shared" si="14"/>
        <v>35.625</v>
      </c>
      <c r="X152" s="1">
        <f t="shared" si="19"/>
        <v>59242.000000000015</v>
      </c>
      <c r="Y152" s="1">
        <f t="shared" si="22"/>
        <v>491.6</v>
      </c>
      <c r="Z152" s="21" t="s">
        <v>8</v>
      </c>
      <c r="AA152" s="1">
        <v>8.4474453858254002</v>
      </c>
    </row>
    <row r="153" spans="1:27" s="1" customFormat="1" x14ac:dyDescent="0.25">
      <c r="A153" s="81"/>
      <c r="B153" s="20"/>
      <c r="C153" s="3">
        <v>41634</v>
      </c>
      <c r="D153" s="12">
        <v>5</v>
      </c>
      <c r="E153" s="12">
        <v>3.5</v>
      </c>
      <c r="F153" s="1">
        <v>7.4</v>
      </c>
      <c r="G153" s="1">
        <f t="shared" si="16"/>
        <v>1168.3999999999996</v>
      </c>
      <c r="H153" s="1">
        <f t="shared" si="21"/>
        <v>31.799999999999997</v>
      </c>
      <c r="I153" s="1">
        <f>MAX(F150:F242)</f>
        <v>19.399999999999999</v>
      </c>
      <c r="J153" s="1">
        <v>1</v>
      </c>
      <c r="K153" s="1">
        <f t="shared" si="17"/>
        <v>296.09999999999997</v>
      </c>
      <c r="L153" s="1">
        <v>0.5</v>
      </c>
      <c r="M153" s="1">
        <f t="shared" si="18"/>
        <v>117.79999999999997</v>
      </c>
      <c r="N153" s="1">
        <f t="shared" si="15"/>
        <v>0.5</v>
      </c>
      <c r="O153" s="1">
        <v>138.9</v>
      </c>
      <c r="P153" s="1">
        <v>114</v>
      </c>
      <c r="Q153" s="11">
        <f t="shared" si="23"/>
        <v>1.0064516129032257</v>
      </c>
      <c r="R153" s="9">
        <f t="shared" si="12"/>
        <v>0.50322580645161286</v>
      </c>
      <c r="S153" s="9">
        <f t="shared" si="13"/>
        <v>0.49677419354838714</v>
      </c>
      <c r="T153" s="9">
        <f t="shared" si="20"/>
        <v>138.9</v>
      </c>
      <c r="U153" s="1">
        <v>0</v>
      </c>
      <c r="V153" s="10">
        <v>375.3</v>
      </c>
      <c r="W153" s="1">
        <f t="shared" si="14"/>
        <v>75.06</v>
      </c>
      <c r="X153" s="1">
        <f t="shared" si="19"/>
        <v>59617.300000000017</v>
      </c>
      <c r="Y153" s="1">
        <f t="shared" si="22"/>
        <v>866.90000000000009</v>
      </c>
      <c r="Z153" s="11">
        <f>(Z151/100)/I163</f>
        <v>0.8317100538599641</v>
      </c>
      <c r="AA153" s="1">
        <v>8.4519738510766391</v>
      </c>
    </row>
    <row r="154" spans="1:27" s="1" customFormat="1" x14ac:dyDescent="0.25">
      <c r="A154" s="81"/>
      <c r="B154" s="7"/>
      <c r="C154" s="3">
        <v>41635</v>
      </c>
      <c r="D154" s="1">
        <v>9.8000000000000007</v>
      </c>
      <c r="E154" s="12">
        <v>4</v>
      </c>
      <c r="F154" s="1">
        <v>12.7</v>
      </c>
      <c r="G154" s="1">
        <f t="shared" si="16"/>
        <v>1178.1999999999996</v>
      </c>
      <c r="H154" s="1">
        <f t="shared" si="21"/>
        <v>41.599999999999994</v>
      </c>
      <c r="I154" s="21" t="s">
        <v>9</v>
      </c>
      <c r="J154" s="1">
        <v>5.9</v>
      </c>
      <c r="K154" s="1">
        <f t="shared" si="17"/>
        <v>301.99999999999994</v>
      </c>
      <c r="L154" s="1">
        <v>0.1</v>
      </c>
      <c r="M154" s="1">
        <f t="shared" si="18"/>
        <v>117.89999999999996</v>
      </c>
      <c r="N154" s="1">
        <f t="shared" si="15"/>
        <v>5.8000000000000007</v>
      </c>
      <c r="O154" s="1">
        <v>138.9</v>
      </c>
      <c r="P154" s="1">
        <v>115</v>
      </c>
      <c r="Q154" s="11">
        <f t="shared" si="23"/>
        <v>1.0080645161290323</v>
      </c>
      <c r="R154" s="9">
        <f t="shared" si="12"/>
        <v>0.10080645161290323</v>
      </c>
      <c r="S154" s="9">
        <f t="shared" si="13"/>
        <v>5.7991935483870973</v>
      </c>
      <c r="T154" s="9">
        <f t="shared" si="20"/>
        <v>138.9</v>
      </c>
      <c r="U154" s="21" t="s">
        <v>10</v>
      </c>
      <c r="V154" s="10">
        <v>89.6</v>
      </c>
      <c r="W154" s="1">
        <f t="shared" si="14"/>
        <v>9.1428571428571423</v>
      </c>
      <c r="X154" s="1">
        <f t="shared" si="19"/>
        <v>59706.900000000016</v>
      </c>
      <c r="Y154" s="1">
        <f t="shared" si="22"/>
        <v>956.50000000000011</v>
      </c>
      <c r="Z154" s="21" t="s">
        <v>11</v>
      </c>
      <c r="AA154" s="1">
        <v>8.4579969528707295</v>
      </c>
    </row>
    <row r="155" spans="1:27" s="1" customFormat="1" x14ac:dyDescent="0.25">
      <c r="A155" s="81"/>
      <c r="B155" s="7"/>
      <c r="C155" s="3">
        <v>41636</v>
      </c>
      <c r="D155" s="1">
        <v>7</v>
      </c>
      <c r="E155" s="12">
        <v>4.9000000000000004</v>
      </c>
      <c r="F155" s="1">
        <v>8.6</v>
      </c>
      <c r="G155" s="1">
        <f t="shared" si="16"/>
        <v>1185.1999999999996</v>
      </c>
      <c r="H155" s="1">
        <f t="shared" si="21"/>
        <v>48.599999999999994</v>
      </c>
      <c r="I155" s="9">
        <f>AVERAGE(D150:D242)</f>
        <v>7.1870967741935479</v>
      </c>
      <c r="J155" s="1">
        <v>5</v>
      </c>
      <c r="K155" s="1">
        <f t="shared" si="17"/>
        <v>306.99999999999994</v>
      </c>
      <c r="L155" s="1">
        <v>0.1</v>
      </c>
      <c r="M155" s="1">
        <f t="shared" si="18"/>
        <v>117.99999999999996</v>
      </c>
      <c r="N155" s="1">
        <f t="shared" si="15"/>
        <v>4.9000000000000004</v>
      </c>
      <c r="O155" s="1">
        <v>138.9</v>
      </c>
      <c r="P155" s="1">
        <v>116</v>
      </c>
      <c r="Q155" s="11">
        <f t="shared" si="23"/>
        <v>1.0096774193548388</v>
      </c>
      <c r="R155" s="9">
        <f t="shared" si="12"/>
        <v>0.10096774193548388</v>
      </c>
      <c r="S155" s="9">
        <f t="shared" si="13"/>
        <v>4.8990322580645165</v>
      </c>
      <c r="T155" s="9">
        <f t="shared" si="20"/>
        <v>138.9</v>
      </c>
      <c r="U155" s="1">
        <v>0</v>
      </c>
      <c r="V155" s="10">
        <v>106.9</v>
      </c>
      <c r="W155" s="1">
        <f t="shared" si="14"/>
        <v>15.271428571428572</v>
      </c>
      <c r="X155" s="1">
        <f t="shared" si="19"/>
        <v>59813.800000000017</v>
      </c>
      <c r="Y155" s="1">
        <f t="shared" si="22"/>
        <v>1063.4000000000001</v>
      </c>
      <c r="Z155" s="1">
        <v>71</v>
      </c>
      <c r="AA155" s="1">
        <v>8.4655081906423604</v>
      </c>
    </row>
    <row r="156" spans="1:27" s="1" customFormat="1" x14ac:dyDescent="0.25">
      <c r="A156" s="81"/>
      <c r="B156" s="20"/>
      <c r="C156" s="3">
        <v>41637</v>
      </c>
      <c r="D156" s="12">
        <v>4.0999999999999996</v>
      </c>
      <c r="E156" s="12">
        <v>3.5</v>
      </c>
      <c r="F156" s="1">
        <v>6.3</v>
      </c>
      <c r="G156" s="1">
        <f t="shared" si="16"/>
        <v>1189.2999999999995</v>
      </c>
      <c r="H156" s="1">
        <f t="shared" si="21"/>
        <v>52.699999999999996</v>
      </c>
      <c r="I156" s="21" t="s">
        <v>12</v>
      </c>
      <c r="J156" s="1">
        <v>0.1</v>
      </c>
      <c r="K156" s="1">
        <f t="shared" si="17"/>
        <v>307.09999999999997</v>
      </c>
      <c r="L156" s="1">
        <v>0.5</v>
      </c>
      <c r="M156" s="1">
        <f t="shared" si="18"/>
        <v>118.49999999999996</v>
      </c>
      <c r="N156" s="5">
        <f t="shared" si="15"/>
        <v>-0.4</v>
      </c>
      <c r="O156" s="1">
        <v>138.5</v>
      </c>
      <c r="P156" s="1">
        <v>117</v>
      </c>
      <c r="Q156" s="11">
        <f t="shared" si="23"/>
        <v>1.0112903225806451</v>
      </c>
      <c r="R156" s="9">
        <f t="shared" si="12"/>
        <v>0.50564516129032255</v>
      </c>
      <c r="S156" s="9">
        <f t="shared" si="13"/>
        <v>-0.40564516129032258</v>
      </c>
      <c r="T156" s="9">
        <f t="shared" si="20"/>
        <v>138.49435483870968</v>
      </c>
      <c r="U156" s="21" t="s">
        <v>13</v>
      </c>
      <c r="V156" s="10">
        <v>376.7</v>
      </c>
      <c r="W156" s="1">
        <f t="shared" si="14"/>
        <v>91.878048780487816</v>
      </c>
      <c r="X156" s="1">
        <f t="shared" si="19"/>
        <v>60190.500000000015</v>
      </c>
      <c r="Y156" s="1">
        <f t="shared" si="22"/>
        <v>1440.1000000000001</v>
      </c>
      <c r="AA156" s="1">
        <v>8.4744993569777094</v>
      </c>
    </row>
    <row r="157" spans="1:27" s="1" customFormat="1" x14ac:dyDescent="0.25">
      <c r="A157" s="81"/>
      <c r="B157" s="7"/>
      <c r="C157" s="3">
        <v>41638</v>
      </c>
      <c r="D157" s="1">
        <v>5.3</v>
      </c>
      <c r="E157" s="12">
        <v>1.7</v>
      </c>
      <c r="F157" s="1">
        <v>7</v>
      </c>
      <c r="G157" s="1">
        <f t="shared" si="16"/>
        <v>1194.5999999999995</v>
      </c>
      <c r="H157" s="1">
        <f t="shared" si="21"/>
        <v>57.999999999999993</v>
      </c>
      <c r="I157" s="1">
        <v>4</v>
      </c>
      <c r="J157" s="1">
        <v>0.7</v>
      </c>
      <c r="K157" s="1">
        <f t="shared" si="17"/>
        <v>307.79999999999995</v>
      </c>
      <c r="L157" s="1">
        <v>0.3</v>
      </c>
      <c r="M157" s="1">
        <f t="shared" si="18"/>
        <v>118.79999999999995</v>
      </c>
      <c r="N157" s="1">
        <f t="shared" si="15"/>
        <v>0.39999999999999997</v>
      </c>
      <c r="O157" s="1">
        <v>138.9</v>
      </c>
      <c r="P157" s="1">
        <v>118</v>
      </c>
      <c r="Q157" s="11">
        <f t="shared" si="23"/>
        <v>1.0129032258064516</v>
      </c>
      <c r="R157" s="9">
        <f t="shared" si="12"/>
        <v>0.3038709677419355</v>
      </c>
      <c r="S157" s="9">
        <f t="shared" si="13"/>
        <v>0.39612903225806445</v>
      </c>
      <c r="T157" s="9">
        <f t="shared" si="20"/>
        <v>138.89048387096776</v>
      </c>
      <c r="U157" s="9">
        <f>MIN(T150:T242)</f>
        <v>100.14822580645161</v>
      </c>
      <c r="V157" s="10">
        <v>187.2</v>
      </c>
      <c r="W157" s="1">
        <f t="shared" si="14"/>
        <v>35.320754716981128</v>
      </c>
      <c r="X157" s="1">
        <f t="shared" si="19"/>
        <v>60377.700000000012</v>
      </c>
      <c r="Y157" s="1">
        <f t="shared" si="22"/>
        <v>1627.3000000000002</v>
      </c>
      <c r="AA157" s="1">
        <v>8.4849605722490296</v>
      </c>
    </row>
    <row r="158" spans="1:27" s="1" customFormat="1" x14ac:dyDescent="0.25">
      <c r="A158" s="81"/>
      <c r="B158" s="7"/>
      <c r="C158" s="3">
        <v>41639</v>
      </c>
      <c r="D158" s="1">
        <v>7.3</v>
      </c>
      <c r="E158" s="1">
        <v>6.2</v>
      </c>
      <c r="F158" s="1">
        <v>9.4</v>
      </c>
      <c r="G158" s="1">
        <f t="shared" si="16"/>
        <v>1201.8999999999994</v>
      </c>
      <c r="H158" s="1">
        <f t="shared" si="21"/>
        <v>65.3</v>
      </c>
      <c r="I158" s="21" t="s">
        <v>14</v>
      </c>
      <c r="J158" s="1">
        <v>2.5</v>
      </c>
      <c r="K158" s="1">
        <f t="shared" si="17"/>
        <v>310.29999999999995</v>
      </c>
      <c r="L158" s="1">
        <v>1.4</v>
      </c>
      <c r="M158" s="1">
        <f t="shared" si="18"/>
        <v>120.19999999999996</v>
      </c>
      <c r="N158" s="1">
        <f t="shared" si="15"/>
        <v>1.1000000000000001</v>
      </c>
      <c r="O158" s="1">
        <v>138.9</v>
      </c>
      <c r="P158" s="1">
        <v>119</v>
      </c>
      <c r="Q158" s="11">
        <f t="shared" si="23"/>
        <v>1.014516129032258</v>
      </c>
      <c r="R158" s="9">
        <f t="shared" si="12"/>
        <v>1.4203225806451611</v>
      </c>
      <c r="S158" s="9">
        <f t="shared" si="13"/>
        <v>1.0796774193548389</v>
      </c>
      <c r="T158" s="9">
        <f t="shared" si="20"/>
        <v>138.9</v>
      </c>
      <c r="U158" s="21" t="s">
        <v>15</v>
      </c>
      <c r="V158" s="10">
        <v>305.10000000000002</v>
      </c>
      <c r="W158" s="1">
        <f t="shared" si="14"/>
        <v>41.794520547945211</v>
      </c>
      <c r="X158" s="1">
        <f t="shared" si="19"/>
        <v>60682.80000000001</v>
      </c>
      <c r="Y158" s="1">
        <f t="shared" si="22"/>
        <v>1932.4</v>
      </c>
      <c r="AA158" s="1">
        <v>8.4968803259845895</v>
      </c>
    </row>
    <row r="159" spans="1:27" s="1" customFormat="1" x14ac:dyDescent="0.25">
      <c r="A159" s="81"/>
      <c r="B159" s="7"/>
      <c r="C159" s="3">
        <v>41640</v>
      </c>
      <c r="D159" s="1">
        <v>9</v>
      </c>
      <c r="E159" s="1">
        <v>7</v>
      </c>
      <c r="F159" s="1">
        <v>10.1</v>
      </c>
      <c r="G159" s="1">
        <f t="shared" si="16"/>
        <v>1210.8999999999994</v>
      </c>
      <c r="H159" s="1">
        <f t="shared" si="21"/>
        <v>74.3</v>
      </c>
      <c r="I159" s="1">
        <v>0</v>
      </c>
      <c r="J159" s="1">
        <v>8.6999999999999993</v>
      </c>
      <c r="K159" s="1">
        <f t="shared" si="17"/>
        <v>318.99999999999994</v>
      </c>
      <c r="L159" s="1">
        <v>0.7</v>
      </c>
      <c r="M159" s="1">
        <f t="shared" si="18"/>
        <v>120.89999999999996</v>
      </c>
      <c r="N159" s="1">
        <f t="shared" si="15"/>
        <v>7.9999999999999991</v>
      </c>
      <c r="O159" s="1">
        <v>138.9</v>
      </c>
      <c r="P159" s="1">
        <v>120</v>
      </c>
      <c r="Q159" s="11">
        <f t="shared" si="23"/>
        <v>1.0161290322580645</v>
      </c>
      <c r="R159" s="9">
        <f t="shared" si="12"/>
        <v>0.71129032258064506</v>
      </c>
      <c r="S159" s="9">
        <f t="shared" si="13"/>
        <v>7.9887096774193544</v>
      </c>
      <c r="T159" s="9">
        <f t="shared" si="20"/>
        <v>138.9</v>
      </c>
      <c r="U159" s="9">
        <f>MAX(T150:T242)</f>
        <v>138.9</v>
      </c>
      <c r="V159" s="10">
        <v>98.9</v>
      </c>
      <c r="W159" s="1">
        <f t="shared" si="14"/>
        <v>10.988888888888889</v>
      </c>
      <c r="X159" s="1">
        <f t="shared" si="19"/>
        <v>60781.700000000012</v>
      </c>
      <c r="Y159" s="1">
        <f t="shared" si="22"/>
        <v>2031.3000000000002</v>
      </c>
      <c r="AA159" s="1">
        <v>8.5145561522284297</v>
      </c>
    </row>
    <row r="160" spans="1:27" s="1" customFormat="1" x14ac:dyDescent="0.25">
      <c r="A160" s="81"/>
      <c r="B160" s="7"/>
      <c r="C160" s="3">
        <v>41641</v>
      </c>
      <c r="D160" s="1">
        <v>10</v>
      </c>
      <c r="E160" s="1">
        <v>9.5</v>
      </c>
      <c r="F160" s="1">
        <v>11.4</v>
      </c>
      <c r="G160" s="1">
        <f t="shared" si="16"/>
        <v>1220.8999999999994</v>
      </c>
      <c r="H160" s="1">
        <f t="shared" si="21"/>
        <v>84.3</v>
      </c>
      <c r="I160" s="21" t="s">
        <v>16</v>
      </c>
      <c r="J160" s="1">
        <v>0</v>
      </c>
      <c r="K160" s="1">
        <f t="shared" si="17"/>
        <v>318.99999999999994</v>
      </c>
      <c r="L160" s="1">
        <v>1.2</v>
      </c>
      <c r="M160" s="1">
        <f t="shared" si="18"/>
        <v>122.09999999999997</v>
      </c>
      <c r="N160" s="5">
        <f t="shared" si="15"/>
        <v>-1.2</v>
      </c>
      <c r="O160" s="1">
        <v>137.70000000000002</v>
      </c>
      <c r="P160" s="1">
        <v>121</v>
      </c>
      <c r="Q160" s="11">
        <f t="shared" si="23"/>
        <v>1.017741935483871</v>
      </c>
      <c r="R160" s="9">
        <f t="shared" si="12"/>
        <v>1.2212903225806453</v>
      </c>
      <c r="S160" s="9">
        <f t="shared" si="13"/>
        <v>-1.2212903225806453</v>
      </c>
      <c r="T160" s="9">
        <f t="shared" si="20"/>
        <v>137.67870967741936</v>
      </c>
      <c r="U160" s="21" t="s">
        <v>17</v>
      </c>
      <c r="V160" s="10">
        <v>378.4</v>
      </c>
      <c r="W160" s="1">
        <f t="shared" si="14"/>
        <v>37.839999999999996</v>
      </c>
      <c r="X160" s="1">
        <f t="shared" si="19"/>
        <v>61160.100000000013</v>
      </c>
      <c r="Y160" s="1">
        <f t="shared" si="22"/>
        <v>2409.7000000000003</v>
      </c>
      <c r="AA160" s="1">
        <v>8.5297804330323395</v>
      </c>
    </row>
    <row r="161" spans="1:27" s="1" customFormat="1" x14ac:dyDescent="0.25">
      <c r="A161" s="81"/>
      <c r="B161" s="7"/>
      <c r="C161" s="3">
        <v>41642</v>
      </c>
      <c r="D161" s="1">
        <v>10.5</v>
      </c>
      <c r="E161" s="1">
        <v>9.4</v>
      </c>
      <c r="F161" s="1">
        <v>12.9</v>
      </c>
      <c r="G161" s="1">
        <f t="shared" si="16"/>
        <v>1231.3999999999994</v>
      </c>
      <c r="H161" s="1">
        <f t="shared" si="21"/>
        <v>94.8</v>
      </c>
      <c r="I161" s="1">
        <v>57</v>
      </c>
      <c r="J161" s="1">
        <v>1.7</v>
      </c>
      <c r="K161" s="1">
        <f t="shared" si="17"/>
        <v>320.69999999999993</v>
      </c>
      <c r="L161" s="1">
        <v>1.4</v>
      </c>
      <c r="M161" s="1">
        <f t="shared" si="18"/>
        <v>123.49999999999997</v>
      </c>
      <c r="N161" s="1">
        <f t="shared" si="15"/>
        <v>0.30000000000000004</v>
      </c>
      <c r="O161" s="1">
        <v>138.00000000000003</v>
      </c>
      <c r="P161" s="1">
        <v>122</v>
      </c>
      <c r="Q161" s="11">
        <f t="shared" si="23"/>
        <v>1.0193548387096774</v>
      </c>
      <c r="R161" s="9">
        <f t="shared" si="12"/>
        <v>1.4270967741935483</v>
      </c>
      <c r="S161" s="9">
        <f t="shared" si="13"/>
        <v>0.27290322580645165</v>
      </c>
      <c r="T161" s="9">
        <f t="shared" si="20"/>
        <v>137.95161290322582</v>
      </c>
      <c r="U161" s="11">
        <f>AVERAGE(T150:T242)</f>
        <v>132.78699445022536</v>
      </c>
      <c r="V161" s="10">
        <v>122.2</v>
      </c>
      <c r="W161" s="1">
        <f t="shared" si="14"/>
        <v>11.638095238095238</v>
      </c>
      <c r="X161" s="1">
        <f t="shared" si="19"/>
        <v>61282.30000000001</v>
      </c>
      <c r="Y161" s="1">
        <f t="shared" si="22"/>
        <v>2531.9</v>
      </c>
      <c r="AA161" s="1">
        <v>8.5464143122505796</v>
      </c>
    </row>
    <row r="162" spans="1:27" s="1" customFormat="1" x14ac:dyDescent="0.25">
      <c r="A162" s="81"/>
      <c r="B162" s="7"/>
      <c r="C162" s="3">
        <v>41643</v>
      </c>
      <c r="D162" s="1">
        <v>8.4</v>
      </c>
      <c r="E162" s="1">
        <v>7.1</v>
      </c>
      <c r="F162" s="1">
        <v>12.9</v>
      </c>
      <c r="G162" s="1">
        <f t="shared" si="16"/>
        <v>1239.7999999999995</v>
      </c>
      <c r="H162" s="1">
        <f t="shared" si="21"/>
        <v>103.2</v>
      </c>
      <c r="I162" s="21" t="s">
        <v>18</v>
      </c>
      <c r="J162" s="1">
        <v>2</v>
      </c>
      <c r="K162" s="1">
        <f t="shared" si="17"/>
        <v>322.69999999999993</v>
      </c>
      <c r="L162" s="1">
        <v>1.5</v>
      </c>
      <c r="M162" s="1">
        <f t="shared" si="18"/>
        <v>124.99999999999997</v>
      </c>
      <c r="N162" s="1">
        <f t="shared" si="15"/>
        <v>0.5</v>
      </c>
      <c r="O162" s="1">
        <v>138.50000000000003</v>
      </c>
      <c r="P162" s="1">
        <v>123</v>
      </c>
      <c r="Q162" s="11">
        <f t="shared" si="23"/>
        <v>1.0209677419354839</v>
      </c>
      <c r="R162" s="9">
        <f t="shared" si="12"/>
        <v>1.5314516129032258</v>
      </c>
      <c r="S162" s="9">
        <f t="shared" si="13"/>
        <v>0.46854838709677415</v>
      </c>
      <c r="T162" s="9">
        <f t="shared" si="20"/>
        <v>138.4201612903226</v>
      </c>
      <c r="V162" s="10">
        <v>388.4</v>
      </c>
      <c r="W162" s="1">
        <f t="shared" si="14"/>
        <v>46.238095238095234</v>
      </c>
      <c r="X162" s="1">
        <f t="shared" si="19"/>
        <v>61670.700000000012</v>
      </c>
      <c r="Y162" s="1">
        <f t="shared" si="22"/>
        <v>2920.3</v>
      </c>
      <c r="AA162" s="1">
        <v>8.5644398804229098</v>
      </c>
    </row>
    <row r="163" spans="1:27" s="1" customFormat="1" x14ac:dyDescent="0.25">
      <c r="A163" s="81"/>
      <c r="B163" s="7"/>
      <c r="C163" s="3">
        <v>41644</v>
      </c>
      <c r="D163" s="1">
        <v>7.3</v>
      </c>
      <c r="E163" s="12">
        <v>4.3</v>
      </c>
      <c r="F163" s="1">
        <v>10.7</v>
      </c>
      <c r="G163" s="1">
        <f t="shared" si="16"/>
        <v>1247.0999999999995</v>
      </c>
      <c r="H163" s="1">
        <f t="shared" si="21"/>
        <v>110.5</v>
      </c>
      <c r="I163" s="1">
        <v>668.4</v>
      </c>
      <c r="J163" s="1">
        <v>1.1000000000000001</v>
      </c>
      <c r="K163" s="1">
        <f t="shared" si="17"/>
        <v>323.79999999999995</v>
      </c>
      <c r="L163" s="1">
        <v>0.8</v>
      </c>
      <c r="M163" s="1">
        <f t="shared" si="18"/>
        <v>125.79999999999997</v>
      </c>
      <c r="N163" s="1">
        <f t="shared" si="15"/>
        <v>0.30000000000000004</v>
      </c>
      <c r="O163" s="1">
        <v>138.80000000000004</v>
      </c>
      <c r="P163" s="1">
        <v>124</v>
      </c>
      <c r="Q163" s="11">
        <f t="shared" si="23"/>
        <v>1.0225806451612902</v>
      </c>
      <c r="R163" s="9">
        <f t="shared" si="12"/>
        <v>0.81806451612903219</v>
      </c>
      <c r="S163" s="9">
        <f t="shared" si="13"/>
        <v>0.2819354838709679</v>
      </c>
      <c r="T163" s="9">
        <f t="shared" si="20"/>
        <v>138.70209677419356</v>
      </c>
      <c r="U163" s="9">
        <f>(U161*100)/138.9</f>
        <v>95.598988085115437</v>
      </c>
      <c r="V163" s="10">
        <v>376.6</v>
      </c>
      <c r="W163" s="1">
        <f t="shared" si="14"/>
        <v>51.589041095890416</v>
      </c>
      <c r="X163" s="1">
        <f t="shared" si="19"/>
        <v>62047.30000000001</v>
      </c>
      <c r="Y163" s="1">
        <f t="shared" si="22"/>
        <v>3296.9</v>
      </c>
      <c r="AA163" s="1">
        <v>8.5838379125656008</v>
      </c>
    </row>
    <row r="164" spans="1:27" s="1" customFormat="1" x14ac:dyDescent="0.25">
      <c r="A164" s="81"/>
      <c r="B164" s="7"/>
      <c r="C164" s="3">
        <v>41645</v>
      </c>
      <c r="D164" s="1">
        <v>11.1</v>
      </c>
      <c r="E164" s="1">
        <v>8.3000000000000007</v>
      </c>
      <c r="F164" s="1">
        <v>12.6</v>
      </c>
      <c r="G164" s="1">
        <f t="shared" si="16"/>
        <v>1258.1999999999994</v>
      </c>
      <c r="H164" s="1">
        <f t="shared" si="21"/>
        <v>121.6</v>
      </c>
      <c r="J164" s="1">
        <v>4.2</v>
      </c>
      <c r="K164" s="1">
        <f t="shared" si="17"/>
        <v>327.99999999999994</v>
      </c>
      <c r="L164" s="1">
        <v>0.7</v>
      </c>
      <c r="M164" s="1">
        <f t="shared" si="18"/>
        <v>126.49999999999997</v>
      </c>
      <c r="N164" s="1">
        <f t="shared" si="15"/>
        <v>3.5</v>
      </c>
      <c r="O164" s="1">
        <v>138.9</v>
      </c>
      <c r="P164" s="1">
        <v>125</v>
      </c>
      <c r="Q164" s="11">
        <f t="shared" si="23"/>
        <v>1.0241935483870968</v>
      </c>
      <c r="R164" s="9">
        <f t="shared" si="12"/>
        <v>0.71693548387096773</v>
      </c>
      <c r="S164" s="9">
        <f t="shared" si="13"/>
        <v>3.4830645161290326</v>
      </c>
      <c r="T164" s="9">
        <f t="shared" si="20"/>
        <v>138.9</v>
      </c>
      <c r="V164" s="10">
        <v>92.9</v>
      </c>
      <c r="W164" s="1">
        <f t="shared" si="14"/>
        <v>8.3693693693693696</v>
      </c>
      <c r="X164" s="1">
        <f t="shared" si="19"/>
        <v>62140.200000000012</v>
      </c>
      <c r="Y164" s="1">
        <f t="shared" si="22"/>
        <v>3389.8</v>
      </c>
      <c r="AA164" s="1">
        <v>8.6045879420270204</v>
      </c>
    </row>
    <row r="165" spans="1:27" s="1" customFormat="1" x14ac:dyDescent="0.25">
      <c r="A165" s="81"/>
      <c r="B165" s="7"/>
      <c r="C165" s="3">
        <v>41646</v>
      </c>
      <c r="D165" s="1">
        <v>10.4</v>
      </c>
      <c r="E165" s="1">
        <v>9.1</v>
      </c>
      <c r="F165" s="1">
        <v>11.1</v>
      </c>
      <c r="G165" s="1">
        <f t="shared" si="16"/>
        <v>1268.5999999999995</v>
      </c>
      <c r="H165" s="1">
        <f t="shared" si="21"/>
        <v>132</v>
      </c>
      <c r="J165" s="1">
        <v>1.4</v>
      </c>
      <c r="K165" s="1">
        <f t="shared" si="17"/>
        <v>329.39999999999992</v>
      </c>
      <c r="L165" s="1">
        <v>0.5</v>
      </c>
      <c r="M165" s="1">
        <f t="shared" si="18"/>
        <v>126.99999999999997</v>
      </c>
      <c r="N165" s="1">
        <f t="shared" si="15"/>
        <v>0.89999999999999991</v>
      </c>
      <c r="O165" s="1">
        <v>138.9</v>
      </c>
      <c r="P165" s="1">
        <v>126</v>
      </c>
      <c r="Q165" s="11">
        <f t="shared" si="23"/>
        <v>1.0258064516129033</v>
      </c>
      <c r="R165" s="9">
        <f t="shared" si="12"/>
        <v>0.51290322580645165</v>
      </c>
      <c r="S165" s="9">
        <f t="shared" si="13"/>
        <v>0.88709677419354827</v>
      </c>
      <c r="T165" s="9">
        <f t="shared" si="20"/>
        <v>138.9</v>
      </c>
      <c r="V165" s="10">
        <v>153.80000000000001</v>
      </c>
      <c r="W165" s="1">
        <f t="shared" si="14"/>
        <v>14.788461538461538</v>
      </c>
      <c r="X165" s="1">
        <f t="shared" si="19"/>
        <v>62294.000000000015</v>
      </c>
      <c r="Y165" s="1">
        <f t="shared" si="22"/>
        <v>3543.6000000000004</v>
      </c>
      <c r="AA165" s="1">
        <v>8.6266683375888604</v>
      </c>
    </row>
    <row r="166" spans="1:27" s="1" customFormat="1" x14ac:dyDescent="0.25">
      <c r="A166" s="81"/>
      <c r="B166" s="7"/>
      <c r="C166" s="3">
        <v>41647</v>
      </c>
      <c r="D166" s="1">
        <v>10.8</v>
      </c>
      <c r="E166" s="1">
        <v>8.9</v>
      </c>
      <c r="F166" s="1">
        <v>13.5</v>
      </c>
      <c r="G166" s="1">
        <f t="shared" si="16"/>
        <v>1279.3999999999994</v>
      </c>
      <c r="H166" s="1">
        <f t="shared" si="21"/>
        <v>142.80000000000001</v>
      </c>
      <c r="J166" s="1">
        <v>0</v>
      </c>
      <c r="K166" s="1">
        <f t="shared" si="17"/>
        <v>329.39999999999992</v>
      </c>
      <c r="L166" s="1">
        <v>0.7</v>
      </c>
      <c r="M166" s="1">
        <f t="shared" si="18"/>
        <v>127.69999999999997</v>
      </c>
      <c r="N166" s="5">
        <f t="shared" si="15"/>
        <v>-0.7</v>
      </c>
      <c r="O166" s="1">
        <v>138.20000000000002</v>
      </c>
      <c r="P166" s="1">
        <v>127</v>
      </c>
      <c r="Q166" s="11">
        <f t="shared" si="23"/>
        <v>1.0274193548387096</v>
      </c>
      <c r="R166" s="9">
        <f t="shared" si="12"/>
        <v>0.7191935483870967</v>
      </c>
      <c r="S166" s="9">
        <f t="shared" si="13"/>
        <v>-0.7191935483870967</v>
      </c>
      <c r="T166" s="9">
        <f t="shared" si="20"/>
        <v>138.18080645161291</v>
      </c>
      <c r="V166" s="10">
        <v>352</v>
      </c>
      <c r="W166" s="1">
        <f t="shared" si="14"/>
        <v>32.592592592592588</v>
      </c>
      <c r="X166" s="1">
        <f t="shared" si="19"/>
        <v>62646.000000000015</v>
      </c>
      <c r="Y166" s="1">
        <f t="shared" si="22"/>
        <v>3895.6000000000004</v>
      </c>
      <c r="AA166" s="1">
        <v>8.6500563832433404</v>
      </c>
    </row>
    <row r="167" spans="1:27" s="1" customFormat="1" x14ac:dyDescent="0.25">
      <c r="A167" s="81"/>
      <c r="B167" s="7"/>
      <c r="C167" s="3">
        <v>41648</v>
      </c>
      <c r="D167" s="1">
        <v>8.9</v>
      </c>
      <c r="E167" s="1">
        <v>8.5</v>
      </c>
      <c r="F167" s="1">
        <v>10.4</v>
      </c>
      <c r="G167" s="1">
        <f t="shared" si="16"/>
        <v>1288.2999999999995</v>
      </c>
      <c r="H167" s="1">
        <f t="shared" si="21"/>
        <v>151.70000000000002</v>
      </c>
      <c r="J167" s="1">
        <v>0.2</v>
      </c>
      <c r="K167" s="1">
        <f t="shared" si="17"/>
        <v>329.59999999999991</v>
      </c>
      <c r="L167" s="1">
        <v>0.9</v>
      </c>
      <c r="M167" s="1">
        <f t="shared" si="18"/>
        <v>128.59999999999997</v>
      </c>
      <c r="N167" s="5">
        <f t="shared" si="15"/>
        <v>-0.7</v>
      </c>
      <c r="O167" s="1">
        <v>137.50000000000003</v>
      </c>
      <c r="P167" s="1">
        <v>128</v>
      </c>
      <c r="Q167" s="11">
        <f t="shared" si="23"/>
        <v>1.0290322580645161</v>
      </c>
      <c r="R167" s="9">
        <f t="shared" si="12"/>
        <v>0.92612903225806453</v>
      </c>
      <c r="S167" s="9">
        <f t="shared" si="13"/>
        <v>-0.72612903225806447</v>
      </c>
      <c r="T167" s="9">
        <f t="shared" si="20"/>
        <v>137.45467741935485</v>
      </c>
      <c r="V167" s="10">
        <v>112.8</v>
      </c>
      <c r="W167" s="1">
        <f t="shared" si="14"/>
        <v>12.674157303370785</v>
      </c>
      <c r="X167" s="1">
        <f t="shared" si="19"/>
        <v>62758.800000000017</v>
      </c>
      <c r="Y167" s="1">
        <f t="shared" si="22"/>
        <v>4008.4000000000005</v>
      </c>
      <c r="AA167" s="1">
        <v>8.6747283600759602</v>
      </c>
    </row>
    <row r="168" spans="1:27" s="1" customFormat="1" x14ac:dyDescent="0.25">
      <c r="A168" s="81"/>
      <c r="B168" s="7"/>
      <c r="C168" s="3">
        <v>41649</v>
      </c>
      <c r="D168" s="1">
        <v>5.8</v>
      </c>
      <c r="E168" s="12">
        <v>4.5</v>
      </c>
      <c r="F168" s="1">
        <v>6.7</v>
      </c>
      <c r="G168" s="1">
        <f t="shared" si="16"/>
        <v>1294.0999999999995</v>
      </c>
      <c r="H168" s="1">
        <f t="shared" si="21"/>
        <v>157.50000000000003</v>
      </c>
      <c r="J168" s="1">
        <v>0.5</v>
      </c>
      <c r="K168" s="1">
        <f t="shared" si="17"/>
        <v>330.09999999999991</v>
      </c>
      <c r="L168" s="1">
        <v>0.3</v>
      </c>
      <c r="M168" s="1">
        <f t="shared" si="18"/>
        <v>128.89999999999998</v>
      </c>
      <c r="N168" s="1">
        <f t="shared" si="15"/>
        <v>0.2</v>
      </c>
      <c r="O168" s="1">
        <v>137.70000000000002</v>
      </c>
      <c r="P168" s="1">
        <v>129</v>
      </c>
      <c r="Q168" s="11">
        <f t="shared" si="23"/>
        <v>1.0306451612903225</v>
      </c>
      <c r="R168" s="9">
        <f t="shared" ref="R168:R231" si="24">Q168*L168</f>
        <v>0.30919354838709673</v>
      </c>
      <c r="S168" s="9">
        <f t="shared" ref="S168:S231" si="25">J168-R168</f>
        <v>0.19080645161290327</v>
      </c>
      <c r="T168" s="9">
        <f t="shared" si="20"/>
        <v>137.64548387096775</v>
      </c>
      <c r="V168" s="10">
        <v>123.2</v>
      </c>
      <c r="W168" s="1">
        <f t="shared" ref="W168:W231" si="26">V168/D168</f>
        <v>21.241379310344829</v>
      </c>
      <c r="X168" s="1">
        <f t="shared" si="19"/>
        <v>62882.000000000015</v>
      </c>
      <c r="Y168" s="1">
        <f t="shared" si="22"/>
        <v>4131.6000000000004</v>
      </c>
      <c r="AA168" s="1">
        <v>8.7006596296884506</v>
      </c>
    </row>
    <row r="169" spans="1:27" s="1" customFormat="1" x14ac:dyDescent="0.25">
      <c r="A169" s="81"/>
      <c r="B169" s="7"/>
      <c r="C169" s="3">
        <v>41650</v>
      </c>
      <c r="D169" s="1">
        <v>5.5</v>
      </c>
      <c r="E169" s="12">
        <v>4.3</v>
      </c>
      <c r="F169" s="1">
        <v>6.6</v>
      </c>
      <c r="G169" s="1">
        <f t="shared" si="16"/>
        <v>1299.5999999999995</v>
      </c>
      <c r="H169" s="1">
        <f t="shared" si="21"/>
        <v>163.00000000000003</v>
      </c>
      <c r="J169" s="1">
        <v>0</v>
      </c>
      <c r="K169" s="1">
        <f t="shared" si="17"/>
        <v>330.09999999999991</v>
      </c>
      <c r="L169" s="1">
        <v>0.2</v>
      </c>
      <c r="M169" s="1">
        <f t="shared" si="18"/>
        <v>129.09999999999997</v>
      </c>
      <c r="N169" s="5">
        <f t="shared" ref="N169:N232" si="27">J169-L169</f>
        <v>-0.2</v>
      </c>
      <c r="O169" s="1">
        <v>137.50000000000003</v>
      </c>
      <c r="P169" s="1">
        <v>130</v>
      </c>
      <c r="Q169" s="11">
        <f t="shared" si="23"/>
        <v>1.032258064516129</v>
      </c>
      <c r="R169" s="9">
        <f t="shared" si="24"/>
        <v>0.20645161290322581</v>
      </c>
      <c r="S169" s="9">
        <f t="shared" si="25"/>
        <v>-0.20645161290322581</v>
      </c>
      <c r="T169" s="9">
        <f t="shared" si="20"/>
        <v>137.43903225806451</v>
      </c>
      <c r="V169" s="10">
        <v>132.4</v>
      </c>
      <c r="W169" s="1">
        <f t="shared" si="26"/>
        <v>24.072727272727274</v>
      </c>
      <c r="X169" s="1">
        <f t="shared" si="19"/>
        <v>63014.400000000016</v>
      </c>
      <c r="Y169" s="1">
        <f t="shared" si="22"/>
        <v>4264</v>
      </c>
      <c r="AA169" s="1">
        <v>8.7278247186081295</v>
      </c>
    </row>
    <row r="170" spans="1:27" s="1" customFormat="1" x14ac:dyDescent="0.25">
      <c r="A170" s="81"/>
      <c r="B170" s="7"/>
      <c r="C170" s="3">
        <v>41651</v>
      </c>
      <c r="D170" s="1">
        <v>6.4</v>
      </c>
      <c r="E170" s="12">
        <v>4.3</v>
      </c>
      <c r="F170" s="1">
        <v>8.6999999999999993</v>
      </c>
      <c r="G170" s="1">
        <f t="shared" ref="G170:G233" si="28">G169+D170</f>
        <v>1305.9999999999995</v>
      </c>
      <c r="H170" s="1">
        <f t="shared" si="21"/>
        <v>169.40000000000003</v>
      </c>
      <c r="J170" s="1">
        <v>0.2</v>
      </c>
      <c r="K170" s="1">
        <f t="shared" ref="K170:K233" si="29">K169+J170</f>
        <v>330.2999999999999</v>
      </c>
      <c r="L170" s="1">
        <v>0.3</v>
      </c>
      <c r="M170" s="1">
        <f t="shared" ref="M170:M233" si="30">M169+L170</f>
        <v>129.39999999999998</v>
      </c>
      <c r="N170" s="5">
        <f t="shared" si="27"/>
        <v>-9.9999999999999978E-2</v>
      </c>
      <c r="O170" s="1">
        <v>137.40000000000003</v>
      </c>
      <c r="P170" s="1">
        <v>131</v>
      </c>
      <c r="Q170" s="11">
        <f t="shared" si="23"/>
        <v>1.0338709677419355</v>
      </c>
      <c r="R170" s="9">
        <f t="shared" si="24"/>
        <v>0.31016129032258066</v>
      </c>
      <c r="S170" s="9">
        <f t="shared" si="25"/>
        <v>-0.11016129032258065</v>
      </c>
      <c r="T170" s="9">
        <f t="shared" si="20"/>
        <v>137.32887096774192</v>
      </c>
      <c r="V170" s="10">
        <v>136.4</v>
      </c>
      <c r="W170" s="1">
        <f t="shared" si="26"/>
        <v>21.3125</v>
      </c>
      <c r="X170" s="1">
        <f t="shared" ref="X170:X233" si="31">X169+V170</f>
        <v>63150.800000000017</v>
      </c>
      <c r="Y170" s="1">
        <f t="shared" si="22"/>
        <v>4400.3999999999996</v>
      </c>
      <c r="AA170" s="1">
        <v>8.7561974031467305</v>
      </c>
    </row>
    <row r="171" spans="1:27" s="1" customFormat="1" x14ac:dyDescent="0.25">
      <c r="A171" s="81"/>
      <c r="B171" s="7"/>
      <c r="C171" s="3">
        <v>41652</v>
      </c>
      <c r="D171" s="1">
        <v>7.7</v>
      </c>
      <c r="E171" s="1">
        <v>6.5</v>
      </c>
      <c r="F171" s="1">
        <v>10.1</v>
      </c>
      <c r="G171" s="1">
        <f t="shared" si="28"/>
        <v>1313.6999999999996</v>
      </c>
      <c r="H171" s="1">
        <f t="shared" si="21"/>
        <v>177.10000000000002</v>
      </c>
      <c r="J171" s="1">
        <v>2.1</v>
      </c>
      <c r="K171" s="1">
        <f t="shared" si="29"/>
        <v>332.39999999999992</v>
      </c>
      <c r="L171" s="1">
        <v>0.7</v>
      </c>
      <c r="M171" s="1">
        <f t="shared" si="30"/>
        <v>130.09999999999997</v>
      </c>
      <c r="N171" s="1">
        <f t="shared" si="27"/>
        <v>1.4000000000000001</v>
      </c>
      <c r="O171" s="1">
        <v>138.80000000000004</v>
      </c>
      <c r="P171" s="1">
        <v>132</v>
      </c>
      <c r="Q171" s="11">
        <f t="shared" si="23"/>
        <v>1.0354838709677419</v>
      </c>
      <c r="R171" s="9">
        <f t="shared" si="24"/>
        <v>0.72483870967741926</v>
      </c>
      <c r="S171" s="9">
        <f t="shared" si="25"/>
        <v>1.3751612903225809</v>
      </c>
      <c r="T171" s="9">
        <f t="shared" si="20"/>
        <v>138.7040322580645</v>
      </c>
      <c r="V171" s="10">
        <v>373.3</v>
      </c>
      <c r="W171" s="1">
        <f t="shared" si="26"/>
        <v>48.480519480519483</v>
      </c>
      <c r="X171" s="1">
        <f t="shared" si="31"/>
        <v>63524.10000000002</v>
      </c>
      <c r="Y171" s="1">
        <f t="shared" si="22"/>
        <v>4773.7</v>
      </c>
      <c r="AA171" s="1">
        <v>8.7857507941933104</v>
      </c>
    </row>
    <row r="172" spans="1:27" s="1" customFormat="1" x14ac:dyDescent="0.25">
      <c r="A172" s="81"/>
      <c r="B172" s="20"/>
      <c r="C172" s="3">
        <v>41653</v>
      </c>
      <c r="D172" s="12">
        <v>4.8</v>
      </c>
      <c r="E172" s="12">
        <v>2.6</v>
      </c>
      <c r="F172" s="1">
        <v>6.7</v>
      </c>
      <c r="G172" s="1">
        <f t="shared" si="28"/>
        <v>1318.4999999999995</v>
      </c>
      <c r="H172" s="1">
        <f t="shared" si="21"/>
        <v>181.90000000000003</v>
      </c>
      <c r="J172" s="1">
        <v>0.6</v>
      </c>
      <c r="K172" s="1">
        <f t="shared" si="29"/>
        <v>332.99999999999994</v>
      </c>
      <c r="L172" s="1">
        <v>0.5</v>
      </c>
      <c r="M172" s="1">
        <f t="shared" si="30"/>
        <v>130.59999999999997</v>
      </c>
      <c r="N172" s="1">
        <f t="shared" si="27"/>
        <v>9.9999999999999978E-2</v>
      </c>
      <c r="O172" s="1">
        <v>138.90000000000003</v>
      </c>
      <c r="P172" s="1">
        <v>133</v>
      </c>
      <c r="Q172" s="11">
        <f t="shared" si="23"/>
        <v>1.0370967741935484</v>
      </c>
      <c r="R172" s="9">
        <f t="shared" si="24"/>
        <v>0.5185483870967742</v>
      </c>
      <c r="S172" s="9">
        <f t="shared" si="25"/>
        <v>8.1451612903225779E-2</v>
      </c>
      <c r="T172" s="9">
        <f t="shared" si="20"/>
        <v>138.78548387096774</v>
      </c>
      <c r="V172" s="10">
        <v>326.10000000000002</v>
      </c>
      <c r="W172" s="1">
        <f t="shared" si="26"/>
        <v>67.937500000000014</v>
      </c>
      <c r="X172" s="1">
        <f t="shared" si="31"/>
        <v>63850.200000000019</v>
      </c>
      <c r="Y172" s="1">
        <f t="shared" si="22"/>
        <v>5099.8</v>
      </c>
      <c r="AA172" s="1">
        <v>8.8164574214519202</v>
      </c>
    </row>
    <row r="173" spans="1:27" s="1" customFormat="1" x14ac:dyDescent="0.25">
      <c r="A173" s="81"/>
      <c r="B173" s="7"/>
      <c r="C173" s="3">
        <v>41654</v>
      </c>
      <c r="D173" s="1">
        <v>6.1</v>
      </c>
      <c r="E173" s="12">
        <v>2.5</v>
      </c>
      <c r="F173" s="1">
        <v>8</v>
      </c>
      <c r="G173" s="1">
        <f t="shared" si="28"/>
        <v>1324.5999999999995</v>
      </c>
      <c r="H173" s="1">
        <f t="shared" si="21"/>
        <v>188.00000000000003</v>
      </c>
      <c r="J173" s="1">
        <v>5.0999999999999996</v>
      </c>
      <c r="K173" s="1">
        <f t="shared" si="29"/>
        <v>338.09999999999997</v>
      </c>
      <c r="L173" s="1">
        <v>0.1</v>
      </c>
      <c r="M173" s="1">
        <f t="shared" si="30"/>
        <v>130.69999999999996</v>
      </c>
      <c r="N173" s="1">
        <f t="shared" si="27"/>
        <v>5</v>
      </c>
      <c r="O173" s="1">
        <v>138.9</v>
      </c>
      <c r="P173" s="1">
        <v>134</v>
      </c>
      <c r="Q173" s="11">
        <f t="shared" si="23"/>
        <v>1.0387096774193547</v>
      </c>
      <c r="R173" s="9">
        <f t="shared" si="24"/>
        <v>0.10387096774193548</v>
      </c>
      <c r="S173" s="9">
        <f t="shared" si="25"/>
        <v>4.9961290322580645</v>
      </c>
      <c r="T173" s="9">
        <f t="shared" ref="T173:T236" si="32">MIN(138.9,(T172+S173))</f>
        <v>138.9</v>
      </c>
      <c r="V173" s="10">
        <v>101.1</v>
      </c>
      <c r="W173" s="1">
        <f t="shared" si="26"/>
        <v>16.57377049180328</v>
      </c>
      <c r="X173" s="1">
        <f t="shared" si="31"/>
        <v>63951.300000000017</v>
      </c>
      <c r="Y173" s="1">
        <f t="shared" si="22"/>
        <v>5200.9000000000005</v>
      </c>
      <c r="AA173" s="1">
        <v>8.8482893166644701</v>
      </c>
    </row>
    <row r="174" spans="1:27" s="1" customFormat="1" x14ac:dyDescent="0.25">
      <c r="A174" s="81"/>
      <c r="B174" s="7"/>
      <c r="C174" s="3">
        <v>41655</v>
      </c>
      <c r="D174" s="1">
        <v>8</v>
      </c>
      <c r="E174" s="1">
        <v>7.5</v>
      </c>
      <c r="F174" s="1">
        <v>9.6999999999999993</v>
      </c>
      <c r="G174" s="1">
        <f t="shared" si="28"/>
        <v>1332.5999999999995</v>
      </c>
      <c r="H174" s="1">
        <f t="shared" si="21"/>
        <v>196.00000000000003</v>
      </c>
      <c r="J174" s="1">
        <v>5.7</v>
      </c>
      <c r="K174" s="1">
        <f t="shared" si="29"/>
        <v>343.79999999999995</v>
      </c>
      <c r="L174" s="1">
        <v>0.8</v>
      </c>
      <c r="M174" s="1">
        <f t="shared" si="30"/>
        <v>131.49999999999997</v>
      </c>
      <c r="N174" s="1">
        <f t="shared" si="27"/>
        <v>4.9000000000000004</v>
      </c>
      <c r="O174" s="1">
        <v>138.9</v>
      </c>
      <c r="P174" s="1">
        <v>135</v>
      </c>
      <c r="Q174" s="11">
        <f t="shared" si="23"/>
        <v>1.0403225806451613</v>
      </c>
      <c r="R174" s="9">
        <f t="shared" si="24"/>
        <v>0.83225806451612905</v>
      </c>
      <c r="S174" s="9">
        <f t="shared" si="25"/>
        <v>4.8677419354838714</v>
      </c>
      <c r="T174" s="9">
        <f t="shared" si="32"/>
        <v>138.9</v>
      </c>
      <c r="V174" s="10">
        <v>304</v>
      </c>
      <c r="W174" s="1">
        <f t="shared" si="26"/>
        <v>38</v>
      </c>
      <c r="X174" s="1">
        <f t="shared" si="31"/>
        <v>64255.300000000017</v>
      </c>
      <c r="Y174" s="1">
        <f t="shared" si="22"/>
        <v>5504.9000000000005</v>
      </c>
      <c r="AA174" s="1">
        <v>8.8812180953916293</v>
      </c>
    </row>
    <row r="175" spans="1:27" s="1" customFormat="1" x14ac:dyDescent="0.25">
      <c r="A175" s="81"/>
      <c r="B175" s="7"/>
      <c r="C175" s="3">
        <v>41656</v>
      </c>
      <c r="D175" s="1">
        <v>7</v>
      </c>
      <c r="E175" s="1">
        <v>6</v>
      </c>
      <c r="F175" s="1">
        <v>10.8</v>
      </c>
      <c r="G175" s="1">
        <f t="shared" si="28"/>
        <v>1339.5999999999995</v>
      </c>
      <c r="H175" s="1">
        <f t="shared" si="21"/>
        <v>203.00000000000003</v>
      </c>
      <c r="J175" s="1">
        <v>0</v>
      </c>
      <c r="K175" s="1">
        <f t="shared" si="29"/>
        <v>343.79999999999995</v>
      </c>
      <c r="L175" s="1">
        <v>1.4</v>
      </c>
      <c r="M175" s="1">
        <f t="shared" si="30"/>
        <v>132.89999999999998</v>
      </c>
      <c r="N175" s="5">
        <f t="shared" si="27"/>
        <v>-1.4</v>
      </c>
      <c r="O175" s="1">
        <v>137.5</v>
      </c>
      <c r="P175" s="1">
        <v>136</v>
      </c>
      <c r="Q175" s="11">
        <f t="shared" si="23"/>
        <v>1.0419354838709678</v>
      </c>
      <c r="R175" s="9">
        <f t="shared" si="24"/>
        <v>1.4587096774193549</v>
      </c>
      <c r="S175" s="9">
        <f t="shared" si="25"/>
        <v>-1.4587096774193549</v>
      </c>
      <c r="T175" s="9">
        <f t="shared" si="32"/>
        <v>137.44129032258064</v>
      </c>
      <c r="V175" s="10">
        <v>728.7</v>
      </c>
      <c r="W175" s="1">
        <f t="shared" si="26"/>
        <v>104.10000000000001</v>
      </c>
      <c r="X175" s="1">
        <f t="shared" si="31"/>
        <v>64984.000000000015</v>
      </c>
      <c r="Y175" s="1">
        <f t="shared" si="22"/>
        <v>6233.6</v>
      </c>
      <c r="AA175" s="1">
        <v>8.9152150369598697</v>
      </c>
    </row>
    <row r="176" spans="1:27" s="1" customFormat="1" x14ac:dyDescent="0.25">
      <c r="A176" s="81"/>
      <c r="B176" s="7"/>
      <c r="C176" s="3">
        <v>41657</v>
      </c>
      <c r="D176" s="1">
        <v>6.3</v>
      </c>
      <c r="E176" s="12">
        <v>2.2000000000000002</v>
      </c>
      <c r="F176" s="1">
        <v>9.3000000000000007</v>
      </c>
      <c r="G176" s="1">
        <f t="shared" si="28"/>
        <v>1345.8999999999994</v>
      </c>
      <c r="H176" s="1">
        <f t="shared" si="21"/>
        <v>209.30000000000004</v>
      </c>
      <c r="J176" s="1">
        <v>6.2</v>
      </c>
      <c r="K176" s="1">
        <f t="shared" si="29"/>
        <v>349.99999999999994</v>
      </c>
      <c r="L176" s="1">
        <v>0.6</v>
      </c>
      <c r="M176" s="1">
        <f t="shared" si="30"/>
        <v>133.49999999999997</v>
      </c>
      <c r="N176" s="1">
        <f t="shared" si="27"/>
        <v>5.6000000000000005</v>
      </c>
      <c r="O176" s="1">
        <v>138.9</v>
      </c>
      <c r="P176" s="1">
        <v>137</v>
      </c>
      <c r="Q176" s="11">
        <f t="shared" si="23"/>
        <v>1.0435483870967741</v>
      </c>
      <c r="R176" s="9">
        <f t="shared" si="24"/>
        <v>0.62612903225806449</v>
      </c>
      <c r="S176" s="9">
        <f t="shared" si="25"/>
        <v>5.5738709677419358</v>
      </c>
      <c r="T176" s="9">
        <f t="shared" si="32"/>
        <v>138.9</v>
      </c>
      <c r="V176" s="10">
        <v>311.89999999999998</v>
      </c>
      <c r="W176" s="1">
        <f t="shared" si="26"/>
        <v>49.507936507936506</v>
      </c>
      <c r="X176" s="1">
        <f t="shared" si="31"/>
        <v>65295.900000000016</v>
      </c>
      <c r="Y176" s="1">
        <f t="shared" si="22"/>
        <v>6545.5</v>
      </c>
      <c r="AA176" s="1">
        <v>8.9502511622191392</v>
      </c>
    </row>
    <row r="177" spans="1:27" s="1" customFormat="1" x14ac:dyDescent="0.25">
      <c r="A177" s="81"/>
      <c r="B177" s="7"/>
      <c r="C177" s="3">
        <v>41658</v>
      </c>
      <c r="D177" s="1">
        <v>5.8</v>
      </c>
      <c r="E177" s="12">
        <v>4.5999999999999996</v>
      </c>
      <c r="F177" s="1">
        <v>7.9</v>
      </c>
      <c r="G177" s="1">
        <f t="shared" si="28"/>
        <v>1351.6999999999994</v>
      </c>
      <c r="H177" s="1">
        <f t="shared" si="21"/>
        <v>215.10000000000005</v>
      </c>
      <c r="J177" s="1">
        <v>0</v>
      </c>
      <c r="K177" s="1">
        <f t="shared" si="29"/>
        <v>349.99999999999994</v>
      </c>
      <c r="L177" s="1">
        <v>0.3</v>
      </c>
      <c r="M177" s="1">
        <f t="shared" si="30"/>
        <v>133.79999999999998</v>
      </c>
      <c r="N177" s="5">
        <f t="shared" si="27"/>
        <v>-0.3</v>
      </c>
      <c r="O177" s="1">
        <v>138.6</v>
      </c>
      <c r="P177" s="1">
        <v>138</v>
      </c>
      <c r="Q177" s="11">
        <f t="shared" si="23"/>
        <v>1.0451612903225806</v>
      </c>
      <c r="R177" s="9">
        <f t="shared" si="24"/>
        <v>0.31354838709677418</v>
      </c>
      <c r="S177" s="9">
        <f t="shared" si="25"/>
        <v>-0.31354838709677418</v>
      </c>
      <c r="T177" s="9">
        <f t="shared" si="32"/>
        <v>138.58645161290323</v>
      </c>
      <c r="V177" s="10">
        <v>378</v>
      </c>
      <c r="W177" s="1">
        <f t="shared" si="26"/>
        <v>65.172413793103445</v>
      </c>
      <c r="X177" s="1">
        <f t="shared" si="31"/>
        <v>65673.900000000023</v>
      </c>
      <c r="Y177" s="1">
        <f t="shared" si="22"/>
        <v>6923.5</v>
      </c>
      <c r="AA177" s="1">
        <v>8.98629730879391</v>
      </c>
    </row>
    <row r="178" spans="1:27" s="1" customFormat="1" x14ac:dyDescent="0.25">
      <c r="A178" s="81"/>
      <c r="B178" s="7">
        <v>9</v>
      </c>
      <c r="C178" s="3">
        <v>41659</v>
      </c>
      <c r="D178" s="12">
        <v>2.9</v>
      </c>
      <c r="E178" s="12">
        <v>2.6</v>
      </c>
      <c r="F178" s="12">
        <v>3.3</v>
      </c>
      <c r="G178" s="1">
        <f t="shared" si="28"/>
        <v>1354.5999999999995</v>
      </c>
      <c r="H178" s="1">
        <f t="shared" si="21"/>
        <v>218.00000000000006</v>
      </c>
      <c r="J178" s="1">
        <v>0.1</v>
      </c>
      <c r="K178" s="1">
        <f t="shared" si="29"/>
        <v>350.09999999999997</v>
      </c>
      <c r="L178" s="1">
        <v>0.1</v>
      </c>
      <c r="M178" s="1">
        <f t="shared" si="30"/>
        <v>133.89999999999998</v>
      </c>
      <c r="N178" s="1">
        <f t="shared" si="27"/>
        <v>0</v>
      </c>
      <c r="O178" s="1">
        <v>138.6</v>
      </c>
      <c r="P178" s="1">
        <v>139</v>
      </c>
      <c r="Q178" s="11">
        <f t="shared" si="23"/>
        <v>1.046774193548387</v>
      </c>
      <c r="R178" s="9">
        <f t="shared" si="24"/>
        <v>0.10467741935483871</v>
      </c>
      <c r="S178" s="9">
        <f t="shared" si="25"/>
        <v>-4.6774193548387022E-3</v>
      </c>
      <c r="T178" s="9">
        <f t="shared" si="32"/>
        <v>138.5817741935484</v>
      </c>
      <c r="V178" s="10">
        <v>181.4</v>
      </c>
      <c r="W178" s="1">
        <f t="shared" si="26"/>
        <v>62.551724137931039</v>
      </c>
      <c r="X178" s="1">
        <f t="shared" si="31"/>
        <v>65855.300000000017</v>
      </c>
      <c r="Y178" s="1">
        <f t="shared" si="22"/>
        <v>7104.9</v>
      </c>
      <c r="AA178" s="1">
        <v>9.0233242035480394</v>
      </c>
    </row>
    <row r="179" spans="1:27" s="1" customFormat="1" x14ac:dyDescent="0.25">
      <c r="A179" s="81"/>
      <c r="B179" s="7"/>
      <c r="C179" s="3">
        <v>41660</v>
      </c>
      <c r="D179" s="12">
        <v>2.9</v>
      </c>
      <c r="E179" s="12">
        <v>2.2000000000000002</v>
      </c>
      <c r="F179" s="12">
        <v>4.9000000000000004</v>
      </c>
      <c r="G179" s="1">
        <f t="shared" si="28"/>
        <v>1357.4999999999995</v>
      </c>
      <c r="H179" s="1">
        <f t="shared" ref="H179:H242" si="33">H178+D179</f>
        <v>220.90000000000006</v>
      </c>
      <c r="J179" s="1">
        <v>0.1</v>
      </c>
      <c r="K179" s="1">
        <f t="shared" si="29"/>
        <v>350.2</v>
      </c>
      <c r="L179" s="1">
        <v>0.3</v>
      </c>
      <c r="M179" s="1">
        <f t="shared" si="30"/>
        <v>134.19999999999999</v>
      </c>
      <c r="N179" s="5">
        <f t="shared" si="27"/>
        <v>-0.19999999999999998</v>
      </c>
      <c r="O179" s="1">
        <v>138.4</v>
      </c>
      <c r="P179" s="1">
        <v>140</v>
      </c>
      <c r="Q179" s="11">
        <f t="shared" si="23"/>
        <v>1.0483870967741935</v>
      </c>
      <c r="R179" s="9">
        <f t="shared" si="24"/>
        <v>0.31451612903225806</v>
      </c>
      <c r="S179" s="9">
        <f t="shared" si="25"/>
        <v>-0.21451612903225806</v>
      </c>
      <c r="T179" s="9">
        <f t="shared" si="32"/>
        <v>138.36725806451614</v>
      </c>
      <c r="V179" s="10">
        <v>259.10000000000002</v>
      </c>
      <c r="W179" s="1">
        <f t="shared" si="26"/>
        <v>89.344827586206904</v>
      </c>
      <c r="X179" s="1">
        <f t="shared" si="31"/>
        <v>66114.400000000023</v>
      </c>
      <c r="Y179" s="1">
        <f t="shared" ref="Y179:Y242" si="34">Y178+V179</f>
        <v>7364</v>
      </c>
      <c r="AA179" s="1">
        <v>9.0613025320228697</v>
      </c>
    </row>
    <row r="180" spans="1:27" s="1" customFormat="1" x14ac:dyDescent="0.25">
      <c r="A180" s="81"/>
      <c r="B180" s="7"/>
      <c r="C180" s="3">
        <v>41661</v>
      </c>
      <c r="D180" s="12">
        <v>2.9</v>
      </c>
      <c r="E180" s="12">
        <v>1</v>
      </c>
      <c r="F180" s="1">
        <v>5.7</v>
      </c>
      <c r="G180" s="1">
        <f t="shared" si="28"/>
        <v>1360.3999999999996</v>
      </c>
      <c r="H180" s="1">
        <f t="shared" si="33"/>
        <v>223.80000000000007</v>
      </c>
      <c r="J180" s="1">
        <v>7.5</v>
      </c>
      <c r="K180" s="1">
        <f t="shared" si="29"/>
        <v>357.7</v>
      </c>
      <c r="L180" s="1">
        <v>0.3</v>
      </c>
      <c r="M180" s="1">
        <f t="shared" si="30"/>
        <v>134.5</v>
      </c>
      <c r="N180" s="1">
        <f t="shared" si="27"/>
        <v>7.2</v>
      </c>
      <c r="O180" s="1">
        <v>138.9</v>
      </c>
      <c r="P180" s="1">
        <v>141</v>
      </c>
      <c r="Q180" s="11">
        <f t="shared" si="23"/>
        <v>1.05</v>
      </c>
      <c r="R180" s="9">
        <f t="shared" si="24"/>
        <v>0.315</v>
      </c>
      <c r="S180" s="9">
        <f t="shared" si="25"/>
        <v>7.1849999999999996</v>
      </c>
      <c r="T180" s="9">
        <f t="shared" si="32"/>
        <v>138.9</v>
      </c>
      <c r="V180" s="10">
        <v>128.19999999999999</v>
      </c>
      <c r="W180" s="1">
        <f t="shared" si="26"/>
        <v>44.206896551724135</v>
      </c>
      <c r="X180" s="1">
        <f t="shared" si="31"/>
        <v>66242.60000000002</v>
      </c>
      <c r="Y180" s="1">
        <f t="shared" si="34"/>
        <v>7492.2</v>
      </c>
      <c r="AA180" s="1">
        <v>9.1002030046451203</v>
      </c>
    </row>
    <row r="181" spans="1:27" s="1" customFormat="1" x14ac:dyDescent="0.25">
      <c r="A181" s="81"/>
      <c r="B181" s="7"/>
      <c r="C181" s="3">
        <v>41662</v>
      </c>
      <c r="D181" s="1">
        <v>6.1</v>
      </c>
      <c r="E181" s="12">
        <v>4</v>
      </c>
      <c r="F181" s="1">
        <v>7.3</v>
      </c>
      <c r="G181" s="1">
        <f t="shared" si="28"/>
        <v>1366.4999999999995</v>
      </c>
      <c r="H181" s="1">
        <f t="shared" si="33"/>
        <v>229.90000000000006</v>
      </c>
      <c r="J181" s="1">
        <v>1.2</v>
      </c>
      <c r="K181" s="1">
        <f t="shared" si="29"/>
        <v>358.9</v>
      </c>
      <c r="L181" s="1">
        <v>0.1</v>
      </c>
      <c r="M181" s="1">
        <f t="shared" si="30"/>
        <v>134.6</v>
      </c>
      <c r="N181" s="1">
        <f t="shared" si="27"/>
        <v>1.0999999999999999</v>
      </c>
      <c r="O181" s="1">
        <v>138.9</v>
      </c>
      <c r="P181" s="1">
        <v>142</v>
      </c>
      <c r="Q181" s="11">
        <f t="shared" si="23"/>
        <v>1.0516129032258064</v>
      </c>
      <c r="R181" s="9">
        <f t="shared" si="24"/>
        <v>0.10516129032258065</v>
      </c>
      <c r="S181" s="9">
        <f t="shared" si="25"/>
        <v>1.0948387096774193</v>
      </c>
      <c r="T181" s="9">
        <f t="shared" si="32"/>
        <v>138.9</v>
      </c>
      <c r="V181" s="10">
        <v>221.2</v>
      </c>
      <c r="W181" s="1">
        <f t="shared" si="26"/>
        <v>36.26229508196721</v>
      </c>
      <c r="X181" s="1">
        <f t="shared" si="31"/>
        <v>66463.800000000017</v>
      </c>
      <c r="Y181" s="1">
        <f t="shared" si="34"/>
        <v>7713.4</v>
      </c>
      <c r="AA181" s="1">
        <v>9.1399964195386101</v>
      </c>
    </row>
    <row r="182" spans="1:27" s="1" customFormat="1" x14ac:dyDescent="0.25">
      <c r="A182" s="81"/>
      <c r="B182" s="7"/>
      <c r="C182" s="3">
        <v>41663</v>
      </c>
      <c r="D182" s="1">
        <v>5.5</v>
      </c>
      <c r="E182" s="1">
        <v>5.4</v>
      </c>
      <c r="F182" s="1">
        <v>5.9</v>
      </c>
      <c r="G182" s="1">
        <f t="shared" si="28"/>
        <v>1371.9999999999995</v>
      </c>
      <c r="H182" s="1">
        <f t="shared" si="33"/>
        <v>235.40000000000006</v>
      </c>
      <c r="J182" s="1">
        <v>7.9</v>
      </c>
      <c r="K182" s="1">
        <f t="shared" si="29"/>
        <v>366.79999999999995</v>
      </c>
      <c r="L182" s="1">
        <v>0.4</v>
      </c>
      <c r="M182" s="1">
        <f t="shared" si="30"/>
        <v>135</v>
      </c>
      <c r="N182" s="1">
        <f t="shared" si="27"/>
        <v>7.5</v>
      </c>
      <c r="O182" s="1">
        <v>138.9</v>
      </c>
      <c r="P182" s="1">
        <v>143</v>
      </c>
      <c r="Q182" s="11">
        <f t="shared" si="23"/>
        <v>1.0532258064516129</v>
      </c>
      <c r="R182" s="9">
        <f t="shared" si="24"/>
        <v>0.42129032258064519</v>
      </c>
      <c r="S182" s="9">
        <f t="shared" si="25"/>
        <v>7.4787096774193556</v>
      </c>
      <c r="T182" s="9">
        <f t="shared" si="32"/>
        <v>138.9</v>
      </c>
      <c r="V182" s="10">
        <v>144.4</v>
      </c>
      <c r="W182" s="1">
        <f t="shared" si="26"/>
        <v>26.254545454545454</v>
      </c>
      <c r="X182" s="1">
        <f t="shared" si="31"/>
        <v>66608.200000000012</v>
      </c>
      <c r="Y182" s="1">
        <f t="shared" si="34"/>
        <v>7857.7999999999993</v>
      </c>
      <c r="AA182" s="1">
        <v>9.1806537218089002</v>
      </c>
    </row>
    <row r="183" spans="1:27" s="1" customFormat="1" x14ac:dyDescent="0.25">
      <c r="A183" s="81"/>
      <c r="B183" s="7"/>
      <c r="C183" s="3">
        <v>41664</v>
      </c>
      <c r="D183" s="1">
        <v>5.3</v>
      </c>
      <c r="E183" s="12">
        <v>3.5</v>
      </c>
      <c r="F183" s="1">
        <v>7.1</v>
      </c>
      <c r="G183" s="1">
        <f t="shared" si="28"/>
        <v>1377.2999999999995</v>
      </c>
      <c r="H183" s="1">
        <f t="shared" si="33"/>
        <v>240.70000000000007</v>
      </c>
      <c r="J183" s="1">
        <v>1</v>
      </c>
      <c r="K183" s="1">
        <f t="shared" si="29"/>
        <v>367.79999999999995</v>
      </c>
      <c r="L183" s="1">
        <v>0.2</v>
      </c>
      <c r="M183" s="1">
        <f t="shared" si="30"/>
        <v>135.19999999999999</v>
      </c>
      <c r="N183" s="1">
        <f t="shared" si="27"/>
        <v>0.8</v>
      </c>
      <c r="O183" s="1">
        <v>138.9</v>
      </c>
      <c r="P183" s="1">
        <v>144</v>
      </c>
      <c r="Q183" s="11">
        <f t="shared" si="23"/>
        <v>1.0548387096774192</v>
      </c>
      <c r="R183" s="9">
        <f t="shared" si="24"/>
        <v>0.21096774193548384</v>
      </c>
      <c r="S183" s="9">
        <f t="shared" si="25"/>
        <v>0.78903225806451616</v>
      </c>
      <c r="T183" s="9">
        <f t="shared" si="32"/>
        <v>138.9</v>
      </c>
      <c r="V183" s="10">
        <v>116.7</v>
      </c>
      <c r="W183" s="1">
        <f t="shared" si="26"/>
        <v>22.018867924528305</v>
      </c>
      <c r="X183" s="1">
        <f t="shared" si="31"/>
        <v>66724.900000000009</v>
      </c>
      <c r="Y183" s="1">
        <f t="shared" si="34"/>
        <v>7974.4999999999991</v>
      </c>
      <c r="AA183" s="1">
        <v>9.2221460592042295</v>
      </c>
    </row>
    <row r="184" spans="1:27" s="1" customFormat="1" x14ac:dyDescent="0.25">
      <c r="A184" s="81"/>
      <c r="B184" s="7"/>
      <c r="C184" s="3">
        <v>41665</v>
      </c>
      <c r="D184" s="1">
        <v>7.5</v>
      </c>
      <c r="E184" s="1">
        <v>5.8</v>
      </c>
      <c r="F184" s="1">
        <v>10.199999999999999</v>
      </c>
      <c r="G184" s="1">
        <f t="shared" si="28"/>
        <v>1384.7999999999995</v>
      </c>
      <c r="H184" s="1">
        <f t="shared" si="33"/>
        <v>248.20000000000007</v>
      </c>
      <c r="J184" s="1">
        <v>6.2</v>
      </c>
      <c r="K184" s="1">
        <f t="shared" si="29"/>
        <v>373.99999999999994</v>
      </c>
      <c r="L184" s="1">
        <v>0.5</v>
      </c>
      <c r="M184" s="1">
        <f t="shared" si="30"/>
        <v>135.69999999999999</v>
      </c>
      <c r="N184" s="1">
        <f t="shared" si="27"/>
        <v>5.7</v>
      </c>
      <c r="O184" s="1">
        <v>138.9</v>
      </c>
      <c r="P184" s="1">
        <v>145</v>
      </c>
      <c r="Q184" s="11">
        <f t="shared" si="23"/>
        <v>1.0564516129032258</v>
      </c>
      <c r="R184" s="9">
        <f t="shared" si="24"/>
        <v>0.52822580645161288</v>
      </c>
      <c r="S184" s="9">
        <f t="shared" si="25"/>
        <v>5.6717741935483872</v>
      </c>
      <c r="T184" s="9">
        <f t="shared" si="32"/>
        <v>138.9</v>
      </c>
      <c r="V184" s="10">
        <v>156.4</v>
      </c>
      <c r="W184" s="1">
        <f t="shared" si="26"/>
        <v>20.853333333333335</v>
      </c>
      <c r="X184" s="1">
        <f t="shared" si="31"/>
        <v>66881.3</v>
      </c>
      <c r="Y184" s="1">
        <f t="shared" si="34"/>
        <v>8130.8999999999987</v>
      </c>
      <c r="AA184" s="1">
        <v>9.2644448340879606</v>
      </c>
    </row>
    <row r="185" spans="1:27" s="1" customFormat="1" x14ac:dyDescent="0.25">
      <c r="A185" s="81"/>
      <c r="B185" s="7">
        <v>10</v>
      </c>
      <c r="C185" s="3">
        <v>41666</v>
      </c>
      <c r="D185" s="12">
        <v>4.5999999999999996</v>
      </c>
      <c r="E185" s="12">
        <v>3</v>
      </c>
      <c r="F185" s="1">
        <v>7.5</v>
      </c>
      <c r="G185" s="1">
        <f t="shared" si="28"/>
        <v>1389.3999999999994</v>
      </c>
      <c r="H185" s="1">
        <f t="shared" si="33"/>
        <v>252.80000000000007</v>
      </c>
      <c r="J185" s="1">
        <v>0.5</v>
      </c>
      <c r="K185" s="1">
        <f t="shared" si="29"/>
        <v>374.49999999999994</v>
      </c>
      <c r="L185" s="1">
        <v>1.1000000000000001</v>
      </c>
      <c r="M185" s="1">
        <f t="shared" si="30"/>
        <v>136.79999999999998</v>
      </c>
      <c r="N185" s="5">
        <f t="shared" si="27"/>
        <v>-0.60000000000000009</v>
      </c>
      <c r="O185" s="1">
        <v>138.30000000000001</v>
      </c>
      <c r="P185" s="1">
        <v>146</v>
      </c>
      <c r="Q185" s="11">
        <f t="shared" si="23"/>
        <v>1.0580645161290323</v>
      </c>
      <c r="R185" s="9">
        <f t="shared" si="24"/>
        <v>1.1638709677419357</v>
      </c>
      <c r="S185" s="9">
        <f t="shared" si="25"/>
        <v>-0.66387096774193566</v>
      </c>
      <c r="T185" s="9">
        <f t="shared" si="32"/>
        <v>138.23612903225808</v>
      </c>
      <c r="V185" s="10">
        <v>564</v>
      </c>
      <c r="W185" s="1">
        <f t="shared" si="26"/>
        <v>122.60869565217392</v>
      </c>
      <c r="X185" s="1">
        <f t="shared" si="31"/>
        <v>67445.3</v>
      </c>
      <c r="Y185" s="1">
        <f t="shared" si="34"/>
        <v>8694.8999999999978</v>
      </c>
      <c r="AA185" s="1">
        <v>9.3075217516878492</v>
      </c>
    </row>
    <row r="186" spans="1:27" s="1" customFormat="1" x14ac:dyDescent="0.25">
      <c r="A186" s="81"/>
      <c r="B186" s="7"/>
      <c r="C186" s="3">
        <v>41667</v>
      </c>
      <c r="D186" s="12">
        <v>4.7</v>
      </c>
      <c r="E186" s="12">
        <v>2</v>
      </c>
      <c r="F186" s="1">
        <v>6.2</v>
      </c>
      <c r="G186" s="1">
        <f t="shared" si="28"/>
        <v>1394.0999999999995</v>
      </c>
      <c r="H186" s="1">
        <f t="shared" si="33"/>
        <v>257.50000000000006</v>
      </c>
      <c r="J186" s="1">
        <v>3.8</v>
      </c>
      <c r="K186" s="1">
        <f t="shared" si="29"/>
        <v>378.29999999999995</v>
      </c>
      <c r="L186" s="1">
        <v>0.2</v>
      </c>
      <c r="M186" s="1">
        <f t="shared" si="30"/>
        <v>136.99999999999997</v>
      </c>
      <c r="N186" s="1">
        <f t="shared" si="27"/>
        <v>3.5999999999999996</v>
      </c>
      <c r="O186" s="1">
        <v>138.9</v>
      </c>
      <c r="P186" s="1">
        <v>147</v>
      </c>
      <c r="Q186" s="11">
        <f t="shared" si="23"/>
        <v>1.0596774193548386</v>
      </c>
      <c r="R186" s="9">
        <f t="shared" si="24"/>
        <v>0.21193548387096772</v>
      </c>
      <c r="S186" s="9">
        <f t="shared" si="25"/>
        <v>3.5880645161290321</v>
      </c>
      <c r="T186" s="9">
        <f t="shared" si="32"/>
        <v>138.9</v>
      </c>
      <c r="V186" s="10">
        <v>115.6</v>
      </c>
      <c r="W186" s="1">
        <f t="shared" si="26"/>
        <v>24.595744680851062</v>
      </c>
      <c r="X186" s="1">
        <f t="shared" si="31"/>
        <v>67560.900000000009</v>
      </c>
      <c r="Y186" s="1">
        <f t="shared" si="34"/>
        <v>8810.4999999999982</v>
      </c>
      <c r="AA186" s="1">
        <v>9.3513488646149803</v>
      </c>
    </row>
    <row r="187" spans="1:27" s="1" customFormat="1" x14ac:dyDescent="0.25">
      <c r="A187" s="81"/>
      <c r="B187" s="7"/>
      <c r="C187" s="3">
        <v>41668</v>
      </c>
      <c r="D187" s="12">
        <v>4.7</v>
      </c>
      <c r="E187" s="12">
        <v>4.4000000000000004</v>
      </c>
      <c r="F187" s="1">
        <v>5.4</v>
      </c>
      <c r="G187" s="1">
        <f t="shared" si="28"/>
        <v>1398.7999999999995</v>
      </c>
      <c r="H187" s="1">
        <f t="shared" si="33"/>
        <v>262.20000000000005</v>
      </c>
      <c r="J187" s="1">
        <v>1</v>
      </c>
      <c r="K187" s="1">
        <f t="shared" si="29"/>
        <v>379.29999999999995</v>
      </c>
      <c r="L187" s="1">
        <v>0.3</v>
      </c>
      <c r="M187" s="1">
        <f t="shared" si="30"/>
        <v>137.29999999999998</v>
      </c>
      <c r="N187" s="1">
        <f t="shared" si="27"/>
        <v>0.7</v>
      </c>
      <c r="O187" s="1">
        <v>138.9</v>
      </c>
      <c r="P187" s="1">
        <v>148</v>
      </c>
      <c r="Q187" s="11">
        <f t="shared" si="23"/>
        <v>1.0612903225806452</v>
      </c>
      <c r="R187" s="9">
        <f t="shared" si="24"/>
        <v>0.31838709677419352</v>
      </c>
      <c r="S187" s="9">
        <f t="shared" si="25"/>
        <v>0.68161290322580648</v>
      </c>
      <c r="T187" s="9">
        <f t="shared" si="32"/>
        <v>138.9</v>
      </c>
      <c r="V187" s="10">
        <v>197.3</v>
      </c>
      <c r="W187" s="1">
        <f t="shared" si="26"/>
        <v>41.978723404255319</v>
      </c>
      <c r="X187" s="1">
        <f t="shared" si="31"/>
        <v>67758.200000000012</v>
      </c>
      <c r="Y187" s="1">
        <f t="shared" si="34"/>
        <v>9007.7999999999975</v>
      </c>
      <c r="AA187" s="1">
        <v>9.3958986136708909</v>
      </c>
    </row>
    <row r="188" spans="1:27" s="1" customFormat="1" x14ac:dyDescent="0.25">
      <c r="A188" s="81"/>
      <c r="B188" s="7"/>
      <c r="C188" s="3">
        <v>41669</v>
      </c>
      <c r="D188" s="12">
        <v>4</v>
      </c>
      <c r="E188" s="12">
        <v>3.3</v>
      </c>
      <c r="F188" s="1">
        <v>6.1</v>
      </c>
      <c r="G188" s="1">
        <f t="shared" si="28"/>
        <v>1402.7999999999995</v>
      </c>
      <c r="H188" s="1">
        <f t="shared" si="33"/>
        <v>266.20000000000005</v>
      </c>
      <c r="J188" s="1">
        <v>0.7</v>
      </c>
      <c r="K188" s="1">
        <f t="shared" si="29"/>
        <v>379.99999999999994</v>
      </c>
      <c r="L188" s="1">
        <v>0.2</v>
      </c>
      <c r="M188" s="1">
        <f t="shared" si="30"/>
        <v>137.49999999999997</v>
      </c>
      <c r="N188" s="1">
        <f t="shared" si="27"/>
        <v>0.49999999999999994</v>
      </c>
      <c r="O188" s="1">
        <v>138.9</v>
      </c>
      <c r="P188" s="1">
        <v>149</v>
      </c>
      <c r="Q188" s="11">
        <f t="shared" si="23"/>
        <v>1.0629032258064517</v>
      </c>
      <c r="R188" s="9">
        <f t="shared" si="24"/>
        <v>0.21258064516129035</v>
      </c>
      <c r="S188" s="9">
        <f t="shared" si="25"/>
        <v>0.48741935483870957</v>
      </c>
      <c r="T188" s="9">
        <f t="shared" si="32"/>
        <v>138.9</v>
      </c>
      <c r="V188" s="10">
        <v>240.1</v>
      </c>
      <c r="W188" s="1">
        <f t="shared" si="26"/>
        <v>60.024999999999999</v>
      </c>
      <c r="X188" s="1">
        <f t="shared" si="31"/>
        <v>67998.300000000017</v>
      </c>
      <c r="Y188" s="1">
        <f t="shared" si="34"/>
        <v>9247.8999999999978</v>
      </c>
      <c r="AA188" s="1">
        <v>9.4411438649839408</v>
      </c>
    </row>
    <row r="189" spans="1:27" s="1" customFormat="1" x14ac:dyDescent="0.25">
      <c r="A189" s="81"/>
      <c r="B189" s="7"/>
      <c r="C189" s="3">
        <v>41670</v>
      </c>
      <c r="D189" s="12">
        <v>4.8</v>
      </c>
      <c r="E189" s="19">
        <v>-0.1</v>
      </c>
      <c r="F189" s="1">
        <v>7.9</v>
      </c>
      <c r="G189" s="1">
        <f t="shared" si="28"/>
        <v>1407.5999999999995</v>
      </c>
      <c r="H189" s="1">
        <f t="shared" si="33"/>
        <v>271.00000000000006</v>
      </c>
      <c r="J189" s="1">
        <v>5.4</v>
      </c>
      <c r="K189" s="1">
        <f t="shared" si="29"/>
        <v>385.39999999999992</v>
      </c>
      <c r="L189" s="1">
        <v>0.4</v>
      </c>
      <c r="M189" s="1">
        <f t="shared" si="30"/>
        <v>137.89999999999998</v>
      </c>
      <c r="N189" s="1">
        <f t="shared" si="27"/>
        <v>5</v>
      </c>
      <c r="O189" s="1">
        <v>138.9</v>
      </c>
      <c r="P189" s="1">
        <v>150</v>
      </c>
      <c r="Q189" s="11">
        <f t="shared" si="23"/>
        <v>1.064516129032258</v>
      </c>
      <c r="R189" s="9">
        <f t="shared" si="24"/>
        <v>0.4258064516129032</v>
      </c>
      <c r="S189" s="9">
        <f t="shared" si="25"/>
        <v>4.9741935483870972</v>
      </c>
      <c r="T189" s="9">
        <f t="shared" si="32"/>
        <v>138.9</v>
      </c>
      <c r="V189" s="10">
        <v>486</v>
      </c>
      <c r="W189" s="1">
        <f t="shared" si="26"/>
        <v>101.25</v>
      </c>
      <c r="X189" s="1">
        <f t="shared" si="31"/>
        <v>68484.300000000017</v>
      </c>
      <c r="Y189" s="1">
        <f t="shared" si="34"/>
        <v>9733.8999999999978</v>
      </c>
      <c r="AA189" s="1">
        <v>9.4870579435367901</v>
      </c>
    </row>
    <row r="190" spans="1:27" s="1" customFormat="1" x14ac:dyDescent="0.25">
      <c r="A190" s="81"/>
      <c r="B190" s="7"/>
      <c r="C190" s="3">
        <v>41671</v>
      </c>
      <c r="D190" s="1">
        <v>6.3</v>
      </c>
      <c r="E190" s="12">
        <v>4.9000000000000004</v>
      </c>
      <c r="F190" s="1">
        <v>8.1999999999999993</v>
      </c>
      <c r="G190" s="1">
        <f t="shared" si="28"/>
        <v>1413.8999999999994</v>
      </c>
      <c r="H190" s="1">
        <f t="shared" si="33"/>
        <v>277.30000000000007</v>
      </c>
      <c r="J190" s="1">
        <v>2.5</v>
      </c>
      <c r="K190" s="1">
        <f t="shared" si="29"/>
        <v>387.89999999999992</v>
      </c>
      <c r="L190" s="1">
        <v>0.9</v>
      </c>
      <c r="M190" s="1">
        <f t="shared" si="30"/>
        <v>138.79999999999998</v>
      </c>
      <c r="N190" s="1">
        <f t="shared" si="27"/>
        <v>1.6</v>
      </c>
      <c r="O190" s="1">
        <v>138.9</v>
      </c>
      <c r="P190" s="1">
        <v>151</v>
      </c>
      <c r="Q190" s="11">
        <f t="shared" si="23"/>
        <v>1.0661290322580645</v>
      </c>
      <c r="R190" s="9">
        <f t="shared" si="24"/>
        <v>0.95951612903225814</v>
      </c>
      <c r="S190" s="9">
        <f t="shared" si="25"/>
        <v>1.540483870967742</v>
      </c>
      <c r="T190" s="9">
        <f t="shared" si="32"/>
        <v>138.9</v>
      </c>
      <c r="V190" s="10">
        <v>688.7</v>
      </c>
      <c r="W190" s="1">
        <f t="shared" si="26"/>
        <v>109.31746031746033</v>
      </c>
      <c r="X190" s="1">
        <f t="shared" si="31"/>
        <v>69173.000000000015</v>
      </c>
      <c r="Y190" s="1">
        <f t="shared" si="34"/>
        <v>10422.599999999999</v>
      </c>
      <c r="AA190" s="1">
        <v>9.5336146631650198</v>
      </c>
    </row>
    <row r="191" spans="1:27" s="1" customFormat="1" x14ac:dyDescent="0.25">
      <c r="A191" s="81"/>
      <c r="B191" s="7"/>
      <c r="C191" s="3">
        <v>41672</v>
      </c>
      <c r="D191" s="12">
        <v>4.7</v>
      </c>
      <c r="E191" s="12">
        <v>1.2</v>
      </c>
      <c r="F191" s="1">
        <v>8.1999999999999993</v>
      </c>
      <c r="G191" s="1">
        <f t="shared" si="28"/>
        <v>1418.5999999999995</v>
      </c>
      <c r="H191" s="1">
        <f t="shared" si="33"/>
        <v>282.00000000000006</v>
      </c>
      <c r="J191" s="1">
        <v>0.2</v>
      </c>
      <c r="K191" s="1">
        <f t="shared" si="29"/>
        <v>388.09999999999991</v>
      </c>
      <c r="L191" s="1">
        <v>0.8</v>
      </c>
      <c r="M191" s="1">
        <f t="shared" si="30"/>
        <v>139.6</v>
      </c>
      <c r="N191" s="5">
        <f t="shared" si="27"/>
        <v>-0.60000000000000009</v>
      </c>
      <c r="O191" s="1">
        <v>138.30000000000001</v>
      </c>
      <c r="P191" s="1">
        <v>152</v>
      </c>
      <c r="Q191" s="11">
        <f t="shared" si="23"/>
        <v>1.0677419354838709</v>
      </c>
      <c r="R191" s="9">
        <f t="shared" si="24"/>
        <v>0.85419354838709671</v>
      </c>
      <c r="S191" s="9">
        <f t="shared" si="25"/>
        <v>-0.65419354838709665</v>
      </c>
      <c r="T191" s="9">
        <f t="shared" si="32"/>
        <v>138.24580645161291</v>
      </c>
      <c r="V191" s="10">
        <v>853</v>
      </c>
      <c r="W191" s="1">
        <f t="shared" si="26"/>
        <v>181.48936170212767</v>
      </c>
      <c r="X191" s="1">
        <f t="shared" si="31"/>
        <v>70026.000000000015</v>
      </c>
      <c r="Y191" s="1">
        <f t="shared" si="34"/>
        <v>11275.599999999999</v>
      </c>
      <c r="AA191" s="1">
        <v>9.5807883531223297</v>
      </c>
    </row>
    <row r="192" spans="1:27" s="1" customFormat="1" x14ac:dyDescent="0.25">
      <c r="A192" s="81"/>
      <c r="B192" s="7"/>
      <c r="C192" s="3">
        <v>41673</v>
      </c>
      <c r="D192" s="1">
        <v>5.0999999999999996</v>
      </c>
      <c r="E192" s="12">
        <v>0.2</v>
      </c>
      <c r="F192" s="1">
        <v>8</v>
      </c>
      <c r="G192" s="1">
        <f t="shared" si="28"/>
        <v>1423.6999999999994</v>
      </c>
      <c r="H192" s="1">
        <f t="shared" si="33"/>
        <v>287.10000000000008</v>
      </c>
      <c r="J192" s="1">
        <v>0.2</v>
      </c>
      <c r="K192" s="1">
        <f t="shared" si="29"/>
        <v>388.2999999999999</v>
      </c>
      <c r="L192" s="1">
        <v>0.8</v>
      </c>
      <c r="M192" s="1">
        <f t="shared" si="30"/>
        <v>140.4</v>
      </c>
      <c r="N192" s="5">
        <f t="shared" si="27"/>
        <v>-0.60000000000000009</v>
      </c>
      <c r="O192" s="1">
        <v>137.70000000000002</v>
      </c>
      <c r="P192" s="1">
        <v>153</v>
      </c>
      <c r="Q192" s="11">
        <f t="shared" si="23"/>
        <v>1.0693548387096774</v>
      </c>
      <c r="R192" s="9">
        <f t="shared" si="24"/>
        <v>0.85548387096774192</v>
      </c>
      <c r="S192" s="9">
        <f t="shared" si="25"/>
        <v>-0.65548387096774197</v>
      </c>
      <c r="T192" s="9">
        <f t="shared" si="32"/>
        <v>137.59032258064516</v>
      </c>
      <c r="V192" s="1">
        <v>968.6</v>
      </c>
      <c r="W192" s="1">
        <f t="shared" si="26"/>
        <v>189.92156862745099</v>
      </c>
      <c r="X192" s="1">
        <f t="shared" si="31"/>
        <v>70994.60000000002</v>
      </c>
      <c r="Y192" s="1">
        <f t="shared" si="34"/>
        <v>12244.199999999999</v>
      </c>
      <c r="AA192" s="1">
        <v>9.6285538813215705</v>
      </c>
    </row>
    <row r="193" spans="1:28" s="1" customFormat="1" x14ac:dyDescent="0.25">
      <c r="A193" s="81"/>
      <c r="B193" s="7"/>
      <c r="C193" s="3">
        <v>41674</v>
      </c>
      <c r="D193" s="1">
        <v>6.5</v>
      </c>
      <c r="E193" s="12">
        <v>4</v>
      </c>
      <c r="F193" s="1">
        <v>8.6999999999999993</v>
      </c>
      <c r="G193" s="1">
        <f t="shared" si="28"/>
        <v>1430.1999999999994</v>
      </c>
      <c r="H193" s="1">
        <f t="shared" si="33"/>
        <v>293.60000000000008</v>
      </c>
      <c r="J193" s="1">
        <v>1.3</v>
      </c>
      <c r="K193" s="1">
        <f t="shared" si="29"/>
        <v>389.59999999999991</v>
      </c>
      <c r="L193" s="1">
        <v>1.1000000000000001</v>
      </c>
      <c r="M193" s="1">
        <f t="shared" si="30"/>
        <v>141.5</v>
      </c>
      <c r="N193" s="1">
        <f t="shared" si="27"/>
        <v>0.19999999999999996</v>
      </c>
      <c r="O193" s="1">
        <v>137.9</v>
      </c>
      <c r="P193" s="1">
        <v>154</v>
      </c>
      <c r="Q193" s="11">
        <f t="shared" si="23"/>
        <v>1.0709677419354837</v>
      </c>
      <c r="R193" s="9">
        <f t="shared" si="24"/>
        <v>1.1780645161290322</v>
      </c>
      <c r="S193" s="9">
        <f t="shared" si="25"/>
        <v>0.12193548387096786</v>
      </c>
      <c r="T193" s="9">
        <f t="shared" si="32"/>
        <v>137.71225806451613</v>
      </c>
      <c r="V193" s="10">
        <v>457.8</v>
      </c>
      <c r="W193" s="1">
        <f t="shared" si="26"/>
        <v>70.430769230769229</v>
      </c>
      <c r="X193" s="1">
        <f t="shared" si="31"/>
        <v>71452.400000000023</v>
      </c>
      <c r="Y193" s="1">
        <f t="shared" si="34"/>
        <v>12701.999999999998</v>
      </c>
      <c r="AA193" s="1">
        <v>9.6768866743718895</v>
      </c>
    </row>
    <row r="194" spans="1:28" s="1" customFormat="1" x14ac:dyDescent="0.25">
      <c r="A194" s="81"/>
      <c r="B194" s="7"/>
      <c r="C194" s="3">
        <v>41675</v>
      </c>
      <c r="D194" s="1">
        <v>7.5</v>
      </c>
      <c r="E194" s="1">
        <v>5.9</v>
      </c>
      <c r="F194" s="1">
        <v>8.6999999999999993</v>
      </c>
      <c r="G194" s="1">
        <f t="shared" si="28"/>
        <v>1437.6999999999994</v>
      </c>
      <c r="H194" s="1">
        <f t="shared" si="33"/>
        <v>301.10000000000008</v>
      </c>
      <c r="J194" s="1">
        <v>2.2999999999999998</v>
      </c>
      <c r="K194" s="1">
        <f t="shared" si="29"/>
        <v>391.89999999999992</v>
      </c>
      <c r="L194" s="1">
        <v>1.2</v>
      </c>
      <c r="M194" s="1">
        <f t="shared" si="30"/>
        <v>142.69999999999999</v>
      </c>
      <c r="N194" s="1">
        <f t="shared" si="27"/>
        <v>1.0999999999999999</v>
      </c>
      <c r="O194" s="1">
        <v>138.9</v>
      </c>
      <c r="P194" s="1">
        <v>155</v>
      </c>
      <c r="Q194" s="11">
        <f t="shared" si="23"/>
        <v>1.0725806451612903</v>
      </c>
      <c r="R194" s="9">
        <f t="shared" si="24"/>
        <v>1.2870967741935482</v>
      </c>
      <c r="S194" s="9">
        <f t="shared" si="25"/>
        <v>1.0129032258064516</v>
      </c>
      <c r="T194" s="9">
        <f t="shared" si="32"/>
        <v>138.72516129032257</v>
      </c>
      <c r="V194" s="10">
        <v>300.7</v>
      </c>
      <c r="W194" s="1">
        <f t="shared" si="26"/>
        <v>40.093333333333334</v>
      </c>
      <c r="X194" s="1">
        <f t="shared" si="31"/>
        <v>71753.10000000002</v>
      </c>
      <c r="Y194" s="1">
        <f t="shared" si="34"/>
        <v>13002.699999999999</v>
      </c>
      <c r="AA194" s="1">
        <v>9.7257627345416804</v>
      </c>
    </row>
    <row r="195" spans="1:28" s="1" customFormat="1" x14ac:dyDescent="0.25">
      <c r="A195" s="81"/>
      <c r="B195" s="7"/>
      <c r="C195" s="3">
        <v>41676</v>
      </c>
      <c r="D195" s="1">
        <v>8.9</v>
      </c>
      <c r="E195" s="12">
        <v>4.8</v>
      </c>
      <c r="F195" s="1">
        <v>13.1</v>
      </c>
      <c r="G195" s="1">
        <f t="shared" si="28"/>
        <v>1446.5999999999995</v>
      </c>
      <c r="H195" s="1">
        <f t="shared" si="33"/>
        <v>310.00000000000006</v>
      </c>
      <c r="J195" s="1">
        <v>1.4</v>
      </c>
      <c r="K195" s="1">
        <f t="shared" si="29"/>
        <v>393.2999999999999</v>
      </c>
      <c r="L195" s="1">
        <v>1.5</v>
      </c>
      <c r="M195" s="1">
        <f t="shared" si="30"/>
        <v>144.19999999999999</v>
      </c>
      <c r="N195" s="5">
        <f t="shared" si="27"/>
        <v>-0.10000000000000009</v>
      </c>
      <c r="O195" s="1">
        <v>138.80000000000001</v>
      </c>
      <c r="P195" s="1">
        <v>156</v>
      </c>
      <c r="Q195" s="11">
        <f t="shared" si="23"/>
        <v>1.0741935483870968</v>
      </c>
      <c r="R195" s="9">
        <f t="shared" si="24"/>
        <v>1.6112903225806452</v>
      </c>
      <c r="S195" s="9">
        <f t="shared" si="25"/>
        <v>-0.21129032258064528</v>
      </c>
      <c r="T195" s="9">
        <f t="shared" si="32"/>
        <v>138.51387096774192</v>
      </c>
      <c r="V195" s="10">
        <v>579.20000000000005</v>
      </c>
      <c r="W195" s="1">
        <f t="shared" si="26"/>
        <v>65.078651685393254</v>
      </c>
      <c r="X195" s="1">
        <f t="shared" si="31"/>
        <v>72332.300000000017</v>
      </c>
      <c r="Y195" s="1">
        <f t="shared" si="34"/>
        <v>13581.9</v>
      </c>
      <c r="AA195" s="1">
        <v>9.7751586537838993</v>
      </c>
    </row>
    <row r="196" spans="1:28" s="1" customFormat="1" x14ac:dyDescent="0.25">
      <c r="A196" s="81"/>
      <c r="B196" s="7"/>
      <c r="C196" s="3">
        <v>41677</v>
      </c>
      <c r="D196" s="1">
        <v>9.4</v>
      </c>
      <c r="E196" s="1">
        <v>8.6</v>
      </c>
      <c r="F196" s="1">
        <v>10.1</v>
      </c>
      <c r="G196" s="1">
        <f t="shared" si="28"/>
        <v>1455.9999999999995</v>
      </c>
      <c r="H196" s="1">
        <f t="shared" si="33"/>
        <v>319.40000000000003</v>
      </c>
      <c r="J196" s="1">
        <v>2.4</v>
      </c>
      <c r="K196" s="1">
        <f t="shared" si="29"/>
        <v>395.69999999999987</v>
      </c>
      <c r="L196" s="1">
        <v>2.2000000000000002</v>
      </c>
      <c r="M196" s="1">
        <f t="shared" si="30"/>
        <v>146.39999999999998</v>
      </c>
      <c r="N196" s="1">
        <f t="shared" si="27"/>
        <v>0.19999999999999973</v>
      </c>
      <c r="O196" s="1">
        <v>138.9</v>
      </c>
      <c r="P196" s="1">
        <v>157</v>
      </c>
      <c r="Q196" s="11">
        <f t="shared" si="23"/>
        <v>1.0758064516129031</v>
      </c>
      <c r="R196" s="9">
        <f t="shared" si="24"/>
        <v>2.366774193548387</v>
      </c>
      <c r="S196" s="9">
        <f t="shared" si="25"/>
        <v>3.3225806451612883E-2</v>
      </c>
      <c r="T196" s="9">
        <f t="shared" si="32"/>
        <v>138.54709677419353</v>
      </c>
      <c r="V196" s="10">
        <v>462.7</v>
      </c>
      <c r="W196" s="1">
        <f t="shared" si="26"/>
        <v>49.223404255319146</v>
      </c>
      <c r="X196" s="1">
        <f t="shared" si="31"/>
        <v>72795.000000000015</v>
      </c>
      <c r="Y196" s="1">
        <f t="shared" si="34"/>
        <v>14044.6</v>
      </c>
      <c r="AA196" s="1">
        <v>9.8250516249662798</v>
      </c>
    </row>
    <row r="197" spans="1:28" s="1" customFormat="1" x14ac:dyDescent="0.25">
      <c r="A197" s="81"/>
      <c r="B197" s="7"/>
      <c r="C197" s="3">
        <v>41678</v>
      </c>
      <c r="D197" s="1">
        <v>7.1</v>
      </c>
      <c r="E197" s="1">
        <v>7.1</v>
      </c>
      <c r="F197" s="1">
        <v>8.3000000000000007</v>
      </c>
      <c r="G197" s="1">
        <f t="shared" si="28"/>
        <v>1463.0999999999995</v>
      </c>
      <c r="H197" s="1">
        <f t="shared" si="33"/>
        <v>326.50000000000006</v>
      </c>
      <c r="J197" s="1">
        <v>2.7</v>
      </c>
      <c r="K197" s="1">
        <f t="shared" si="29"/>
        <v>398.39999999999986</v>
      </c>
      <c r="L197" s="1">
        <v>1.3</v>
      </c>
      <c r="M197" s="1">
        <f t="shared" si="30"/>
        <v>147.69999999999999</v>
      </c>
      <c r="N197" s="1">
        <f t="shared" si="27"/>
        <v>1.4000000000000001</v>
      </c>
      <c r="O197" s="1">
        <v>138.9</v>
      </c>
      <c r="P197" s="1">
        <v>158</v>
      </c>
      <c r="Q197" s="11">
        <f t="shared" si="23"/>
        <v>1.0774193548387097</v>
      </c>
      <c r="R197" s="9">
        <f t="shared" si="24"/>
        <v>1.4006451612903226</v>
      </c>
      <c r="S197" s="9">
        <f t="shared" si="25"/>
        <v>1.2993548387096776</v>
      </c>
      <c r="T197" s="9">
        <f t="shared" si="32"/>
        <v>138.9</v>
      </c>
      <c r="V197" s="10">
        <v>447.3</v>
      </c>
      <c r="W197" s="1">
        <f t="shared" si="26"/>
        <v>63.000000000000007</v>
      </c>
      <c r="X197" s="1">
        <f t="shared" si="31"/>
        <v>73242.300000000017</v>
      </c>
      <c r="Y197" s="1">
        <f t="shared" si="34"/>
        <v>14491.9</v>
      </c>
      <c r="AA197" s="1">
        <v>9.8754194504520605</v>
      </c>
    </row>
    <row r="198" spans="1:28" s="1" customFormat="1" x14ac:dyDescent="0.25">
      <c r="A198" s="81"/>
      <c r="B198" s="7"/>
      <c r="C198" s="3">
        <v>41679</v>
      </c>
      <c r="D198" s="1">
        <v>5.6</v>
      </c>
      <c r="E198" s="12">
        <v>3.8</v>
      </c>
      <c r="F198" s="1">
        <v>7.7</v>
      </c>
      <c r="G198" s="1">
        <f t="shared" si="28"/>
        <v>1468.6999999999994</v>
      </c>
      <c r="H198" s="1">
        <f t="shared" si="33"/>
        <v>332.10000000000008</v>
      </c>
      <c r="J198" s="1">
        <v>1.6</v>
      </c>
      <c r="K198" s="1">
        <f t="shared" si="29"/>
        <v>399.99999999999989</v>
      </c>
      <c r="L198" s="1">
        <v>1.1000000000000001</v>
      </c>
      <c r="M198" s="1">
        <f t="shared" si="30"/>
        <v>148.79999999999998</v>
      </c>
      <c r="N198" s="1">
        <f t="shared" si="27"/>
        <v>0.5</v>
      </c>
      <c r="O198" s="1">
        <v>138.9</v>
      </c>
      <c r="P198" s="1">
        <v>159</v>
      </c>
      <c r="Q198" s="11">
        <f t="shared" si="23"/>
        <v>1.0790322580645162</v>
      </c>
      <c r="R198" s="9">
        <f t="shared" si="24"/>
        <v>1.1869354838709678</v>
      </c>
      <c r="S198" s="9">
        <f t="shared" si="25"/>
        <v>0.41306451612903228</v>
      </c>
      <c r="T198" s="9">
        <f t="shared" si="32"/>
        <v>138.9</v>
      </c>
      <c r="V198" s="10">
        <v>734.4</v>
      </c>
      <c r="W198" s="1">
        <f t="shared" si="26"/>
        <v>131.14285714285714</v>
      </c>
      <c r="X198" s="1">
        <f t="shared" si="31"/>
        <v>73976.700000000012</v>
      </c>
      <c r="Y198" s="1">
        <f t="shared" si="34"/>
        <v>15226.3</v>
      </c>
      <c r="AA198" s="1">
        <v>9.92624054817969</v>
      </c>
    </row>
    <row r="199" spans="1:28" s="1" customFormat="1" x14ac:dyDescent="0.25">
      <c r="A199" s="81"/>
      <c r="B199" s="7"/>
      <c r="C199" s="3">
        <v>41680</v>
      </c>
      <c r="D199" s="1">
        <v>5.4</v>
      </c>
      <c r="E199" s="12">
        <v>4</v>
      </c>
      <c r="F199" s="1">
        <v>6.7</v>
      </c>
      <c r="G199" s="1">
        <f t="shared" si="28"/>
        <v>1474.0999999999995</v>
      </c>
      <c r="H199" s="1">
        <f t="shared" si="33"/>
        <v>337.50000000000006</v>
      </c>
      <c r="J199" s="1">
        <v>1.1000000000000001</v>
      </c>
      <c r="K199" s="1">
        <f t="shared" si="29"/>
        <v>401.09999999999991</v>
      </c>
      <c r="L199" s="1">
        <v>0.6</v>
      </c>
      <c r="M199" s="1">
        <f t="shared" si="30"/>
        <v>149.39999999999998</v>
      </c>
      <c r="N199" s="1">
        <f t="shared" si="27"/>
        <v>0.50000000000000011</v>
      </c>
      <c r="O199" s="1">
        <v>138.9</v>
      </c>
      <c r="P199" s="1">
        <v>160</v>
      </c>
      <c r="Q199" s="11">
        <f t="shared" si="23"/>
        <v>1.0806451612903225</v>
      </c>
      <c r="R199" s="9">
        <f t="shared" si="24"/>
        <v>0.64838709677419348</v>
      </c>
      <c r="S199" s="9">
        <f t="shared" si="25"/>
        <v>0.45161290322580661</v>
      </c>
      <c r="T199" s="9">
        <f t="shared" si="32"/>
        <v>138.9</v>
      </c>
      <c r="V199" s="10">
        <v>465.4</v>
      </c>
      <c r="W199" s="1">
        <f t="shared" si="26"/>
        <v>86.185185185185176</v>
      </c>
      <c r="X199" s="1">
        <f t="shared" si="31"/>
        <v>74442.100000000006</v>
      </c>
      <c r="Y199" s="1">
        <f t="shared" si="34"/>
        <v>15691.699999999999</v>
      </c>
      <c r="AA199" s="1">
        <v>9.9774939553903295</v>
      </c>
    </row>
    <row r="200" spans="1:28" s="1" customFormat="1" x14ac:dyDescent="0.25">
      <c r="A200" s="81"/>
      <c r="B200" s="7"/>
      <c r="C200" s="3">
        <v>41681</v>
      </c>
      <c r="D200" s="1">
        <v>4.0999999999999996</v>
      </c>
      <c r="E200" s="12">
        <v>0.9</v>
      </c>
      <c r="F200" s="1">
        <v>6.8</v>
      </c>
      <c r="G200" s="1">
        <f t="shared" si="28"/>
        <v>1478.1999999999994</v>
      </c>
      <c r="H200" s="1">
        <f t="shared" si="33"/>
        <v>341.60000000000008</v>
      </c>
      <c r="J200" s="1">
        <v>2.2000000000000002</v>
      </c>
      <c r="K200" s="1">
        <f t="shared" si="29"/>
        <v>403.2999999999999</v>
      </c>
      <c r="L200" s="1">
        <v>0.5</v>
      </c>
      <c r="M200" s="1">
        <f t="shared" si="30"/>
        <v>149.89999999999998</v>
      </c>
      <c r="N200" s="1">
        <f t="shared" si="27"/>
        <v>1.7000000000000002</v>
      </c>
      <c r="O200" s="1">
        <v>138.9</v>
      </c>
      <c r="P200" s="1">
        <v>161</v>
      </c>
      <c r="Q200" s="11">
        <f t="shared" si="23"/>
        <v>1.082258064516129</v>
      </c>
      <c r="R200" s="9">
        <f t="shared" si="24"/>
        <v>0.54112903225806452</v>
      </c>
      <c r="S200" s="9">
        <f t="shared" si="25"/>
        <v>1.6588709677419358</v>
      </c>
      <c r="T200" s="9">
        <f t="shared" si="32"/>
        <v>138.9</v>
      </c>
      <c r="V200" s="10">
        <v>618.6</v>
      </c>
      <c r="W200" s="1">
        <f t="shared" si="26"/>
        <v>150.87804878048783</v>
      </c>
      <c r="X200" s="1">
        <f t="shared" si="31"/>
        <v>75060.700000000012</v>
      </c>
      <c r="Y200" s="1">
        <f t="shared" si="34"/>
        <v>16310.3</v>
      </c>
      <c r="AA200" s="1">
        <v>10.029159330152</v>
      </c>
    </row>
    <row r="201" spans="1:28" s="1" customFormat="1" x14ac:dyDescent="0.25">
      <c r="A201" s="81"/>
      <c r="B201" s="7"/>
      <c r="C201" s="3">
        <v>41682</v>
      </c>
      <c r="D201" s="1">
        <v>5.7</v>
      </c>
      <c r="E201" s="12">
        <v>0.9</v>
      </c>
      <c r="F201" s="1">
        <v>8.6</v>
      </c>
      <c r="G201" s="1">
        <f t="shared" si="28"/>
        <v>1483.8999999999994</v>
      </c>
      <c r="H201" s="1">
        <f t="shared" si="33"/>
        <v>347.30000000000007</v>
      </c>
      <c r="J201" s="1">
        <v>11.8</v>
      </c>
      <c r="K201" s="1">
        <f t="shared" si="29"/>
        <v>415.09999999999991</v>
      </c>
      <c r="L201" s="1">
        <v>0.7</v>
      </c>
      <c r="M201" s="1">
        <f t="shared" si="30"/>
        <v>150.59999999999997</v>
      </c>
      <c r="N201" s="1">
        <f t="shared" si="27"/>
        <v>11.100000000000001</v>
      </c>
      <c r="O201" s="1">
        <v>138.9</v>
      </c>
      <c r="P201" s="1">
        <v>162</v>
      </c>
      <c r="Q201" s="11">
        <f t="shared" si="23"/>
        <v>1.0838709677419354</v>
      </c>
      <c r="R201" s="9">
        <f t="shared" si="24"/>
        <v>0.75870967741935469</v>
      </c>
      <c r="S201" s="9">
        <f t="shared" si="25"/>
        <v>11.041290322580647</v>
      </c>
      <c r="T201" s="9">
        <f t="shared" si="32"/>
        <v>138.9</v>
      </c>
      <c r="V201" s="10">
        <v>727.6</v>
      </c>
      <c r="W201" s="1">
        <f t="shared" si="26"/>
        <v>127.64912280701755</v>
      </c>
      <c r="X201" s="1">
        <f t="shared" si="31"/>
        <v>75788.300000000017</v>
      </c>
      <c r="Y201" s="1">
        <f t="shared" si="34"/>
        <v>17037.899999999998</v>
      </c>
      <c r="AA201" s="1">
        <v>10.081216950827301</v>
      </c>
    </row>
    <row r="202" spans="1:28" s="1" customFormat="1" x14ac:dyDescent="0.25">
      <c r="A202" s="81"/>
      <c r="B202" s="7"/>
      <c r="C202" s="3">
        <v>41683</v>
      </c>
      <c r="D202" s="1">
        <v>6.6</v>
      </c>
      <c r="E202" s="1">
        <v>5.0999999999999996</v>
      </c>
      <c r="F202" s="1">
        <v>8.8000000000000007</v>
      </c>
      <c r="G202" s="1">
        <f t="shared" si="28"/>
        <v>1490.4999999999993</v>
      </c>
      <c r="H202" s="1">
        <f t="shared" si="33"/>
        <v>353.90000000000009</v>
      </c>
      <c r="J202" s="1">
        <v>11.6</v>
      </c>
      <c r="K202" s="1">
        <f t="shared" si="29"/>
        <v>426.69999999999993</v>
      </c>
      <c r="L202" s="1">
        <v>0.8</v>
      </c>
      <c r="M202" s="1">
        <f t="shared" si="30"/>
        <v>151.39999999999998</v>
      </c>
      <c r="N202" s="1">
        <f t="shared" si="27"/>
        <v>10.799999999999999</v>
      </c>
      <c r="O202" s="1">
        <v>138.9</v>
      </c>
      <c r="P202" s="1">
        <v>163</v>
      </c>
      <c r="Q202" s="11">
        <f t="shared" si="23"/>
        <v>1.0854838709677419</v>
      </c>
      <c r="R202" s="9">
        <f t="shared" si="24"/>
        <v>0.86838709677419357</v>
      </c>
      <c r="S202" s="9">
        <f t="shared" si="25"/>
        <v>10.731612903225805</v>
      </c>
      <c r="T202" s="9">
        <f t="shared" si="32"/>
        <v>138.9</v>
      </c>
      <c r="V202" s="10">
        <v>226.9</v>
      </c>
      <c r="W202" s="1">
        <f t="shared" si="26"/>
        <v>34.378787878787882</v>
      </c>
      <c r="X202" s="1">
        <f t="shared" si="31"/>
        <v>76015.200000000012</v>
      </c>
      <c r="Y202" s="1">
        <f t="shared" si="34"/>
        <v>17264.8</v>
      </c>
      <c r="AA202" s="1">
        <v>10.1336477136298</v>
      </c>
    </row>
    <row r="203" spans="1:28" s="1" customFormat="1" x14ac:dyDescent="0.25">
      <c r="A203" s="81"/>
      <c r="B203" s="7"/>
      <c r="C203" s="3">
        <v>41684</v>
      </c>
      <c r="D203" s="1">
        <v>9.8000000000000007</v>
      </c>
      <c r="E203" s="12">
        <v>4.8</v>
      </c>
      <c r="F203" s="1">
        <v>14.5</v>
      </c>
      <c r="G203" s="1">
        <f t="shared" si="28"/>
        <v>1500.2999999999993</v>
      </c>
      <c r="H203" s="1">
        <f t="shared" si="33"/>
        <v>363.7000000000001</v>
      </c>
      <c r="J203" s="1">
        <v>4.4000000000000004</v>
      </c>
      <c r="K203" s="1">
        <f t="shared" si="29"/>
        <v>431.09999999999991</v>
      </c>
      <c r="L203" s="1">
        <v>1</v>
      </c>
      <c r="M203" s="1">
        <f t="shared" si="30"/>
        <v>152.39999999999998</v>
      </c>
      <c r="N203" s="1">
        <f t="shared" si="27"/>
        <v>3.4000000000000004</v>
      </c>
      <c r="O203" s="1">
        <v>138.9</v>
      </c>
      <c r="P203" s="1">
        <v>164</v>
      </c>
      <c r="Q203" s="11">
        <f t="shared" si="23"/>
        <v>1.0870967741935484</v>
      </c>
      <c r="R203" s="9">
        <f t="shared" si="24"/>
        <v>1.0870967741935484</v>
      </c>
      <c r="S203" s="9">
        <f t="shared" si="25"/>
        <v>3.3129032258064521</v>
      </c>
      <c r="T203" s="9">
        <f t="shared" si="32"/>
        <v>138.9</v>
      </c>
      <c r="V203" s="10">
        <v>340.1</v>
      </c>
      <c r="W203" s="1">
        <f t="shared" si="26"/>
        <v>34.704081632653065</v>
      </c>
      <c r="X203" s="1">
        <f t="shared" si="31"/>
        <v>76355.300000000017</v>
      </c>
      <c r="Y203" s="1">
        <f t="shared" si="34"/>
        <v>17604.899999999998</v>
      </c>
      <c r="AA203" s="1">
        <v>10.186433128409501</v>
      </c>
    </row>
    <row r="204" spans="1:28" s="1" customFormat="1" x14ac:dyDescent="0.25">
      <c r="A204" s="81"/>
      <c r="B204" s="7"/>
      <c r="C204" s="3">
        <v>41685</v>
      </c>
      <c r="D204" s="1">
        <v>8.1999999999999993</v>
      </c>
      <c r="E204" s="1">
        <v>7.9</v>
      </c>
      <c r="F204" s="1">
        <v>8.6999999999999993</v>
      </c>
      <c r="G204" s="1">
        <f t="shared" si="28"/>
        <v>1508.4999999999993</v>
      </c>
      <c r="H204" s="1">
        <f t="shared" si="33"/>
        <v>371.90000000000009</v>
      </c>
      <c r="J204" s="1">
        <v>0.7</v>
      </c>
      <c r="K204" s="1">
        <f t="shared" si="29"/>
        <v>431.7999999999999</v>
      </c>
      <c r="L204" s="1">
        <v>1.3</v>
      </c>
      <c r="M204" s="1">
        <f t="shared" si="30"/>
        <v>153.69999999999999</v>
      </c>
      <c r="N204" s="5">
        <f t="shared" si="27"/>
        <v>-0.60000000000000009</v>
      </c>
      <c r="O204" s="1">
        <v>138.30000000000001</v>
      </c>
      <c r="P204" s="1">
        <v>165</v>
      </c>
      <c r="Q204" s="11">
        <f t="shared" si="23"/>
        <v>1.0887096774193548</v>
      </c>
      <c r="R204" s="9">
        <f t="shared" si="24"/>
        <v>1.4153225806451613</v>
      </c>
      <c r="S204" s="9">
        <f t="shared" si="25"/>
        <v>-0.7153225806451613</v>
      </c>
      <c r="T204" s="9">
        <f t="shared" si="32"/>
        <v>138.18467741935484</v>
      </c>
      <c r="V204" s="10">
        <v>556.79999999999995</v>
      </c>
      <c r="W204" s="1">
        <f t="shared" si="26"/>
        <v>67.902439024390247</v>
      </c>
      <c r="X204" s="1">
        <f t="shared" si="31"/>
        <v>76912.10000000002</v>
      </c>
      <c r="Y204" s="1">
        <f t="shared" si="34"/>
        <v>18161.699999999997</v>
      </c>
      <c r="AA204" s="1">
        <v>10.2395553128072</v>
      </c>
    </row>
    <row r="205" spans="1:28" s="1" customFormat="1" x14ac:dyDescent="0.25">
      <c r="A205" s="81"/>
      <c r="B205" s="7"/>
      <c r="C205" s="3">
        <v>41686</v>
      </c>
      <c r="D205" s="1">
        <v>7</v>
      </c>
      <c r="E205" s="12">
        <v>4</v>
      </c>
      <c r="F205" s="1">
        <v>10.7</v>
      </c>
      <c r="G205" s="1">
        <f t="shared" si="28"/>
        <v>1515.4999999999993</v>
      </c>
      <c r="H205" s="1">
        <f t="shared" si="33"/>
        <v>378.90000000000009</v>
      </c>
      <c r="J205" s="1">
        <v>0.6</v>
      </c>
      <c r="K205" s="1">
        <f t="shared" si="29"/>
        <v>432.39999999999992</v>
      </c>
      <c r="L205" s="1">
        <v>0.9</v>
      </c>
      <c r="M205" s="1">
        <f t="shared" si="30"/>
        <v>154.6</v>
      </c>
      <c r="N205" s="5">
        <f t="shared" si="27"/>
        <v>-0.30000000000000004</v>
      </c>
      <c r="O205" s="1">
        <v>138</v>
      </c>
      <c r="P205" s="1">
        <v>166</v>
      </c>
      <c r="Q205" s="11">
        <f t="shared" si="23"/>
        <v>1.0903225806451613</v>
      </c>
      <c r="R205" s="9">
        <f t="shared" si="24"/>
        <v>0.98129032258064519</v>
      </c>
      <c r="S205" s="9">
        <f t="shared" si="25"/>
        <v>-0.38129032258064521</v>
      </c>
      <c r="T205" s="9">
        <f t="shared" si="32"/>
        <v>137.8033870967742</v>
      </c>
      <c r="V205" s="10">
        <v>402.7</v>
      </c>
      <c r="W205" s="1">
        <f t="shared" si="26"/>
        <v>57.528571428571425</v>
      </c>
      <c r="X205" s="1">
        <f t="shared" si="31"/>
        <v>77314.800000000017</v>
      </c>
      <c r="Y205" s="1">
        <f t="shared" si="34"/>
        <v>18564.399999999998</v>
      </c>
      <c r="AA205" s="1">
        <v>10.292996984907401</v>
      </c>
    </row>
    <row r="206" spans="1:28" s="1" customFormat="1" x14ac:dyDescent="0.25">
      <c r="A206" s="81"/>
      <c r="B206" s="7"/>
      <c r="C206" s="3">
        <v>41687</v>
      </c>
      <c r="D206" s="1">
        <v>6.9</v>
      </c>
      <c r="E206" s="12">
        <v>3.5</v>
      </c>
      <c r="F206" s="1">
        <v>11.3</v>
      </c>
      <c r="G206" s="1">
        <f t="shared" si="28"/>
        <v>1522.3999999999994</v>
      </c>
      <c r="H206" s="1">
        <f t="shared" si="33"/>
        <v>385.80000000000007</v>
      </c>
      <c r="J206" s="94">
        <v>0.2</v>
      </c>
      <c r="K206" s="1">
        <f t="shared" si="29"/>
        <v>432.59999999999991</v>
      </c>
      <c r="L206" s="1">
        <v>1.7</v>
      </c>
      <c r="M206" s="1">
        <f t="shared" si="30"/>
        <v>156.29999999999998</v>
      </c>
      <c r="N206" s="5">
        <f t="shared" si="27"/>
        <v>-1.5</v>
      </c>
      <c r="O206" s="1">
        <v>136.5</v>
      </c>
      <c r="P206" s="1">
        <v>167</v>
      </c>
      <c r="Q206" s="11">
        <f t="shared" si="23"/>
        <v>1.0919354838709676</v>
      </c>
      <c r="R206" s="9">
        <f t="shared" si="24"/>
        <v>1.8562903225806449</v>
      </c>
      <c r="S206" s="9">
        <f t="shared" si="25"/>
        <v>-1.6562903225806449</v>
      </c>
      <c r="T206" s="9">
        <f t="shared" si="32"/>
        <v>136.14709677419356</v>
      </c>
      <c r="V206" s="1">
        <v>1117.2</v>
      </c>
      <c r="W206" s="1">
        <f t="shared" si="26"/>
        <v>161.91304347826087</v>
      </c>
      <c r="X206" s="1">
        <f t="shared" si="31"/>
        <v>78432.000000000015</v>
      </c>
      <c r="Y206" s="1">
        <f t="shared" si="34"/>
        <v>19681.599999999999</v>
      </c>
      <c r="AA206" s="1">
        <v>10.346741454520799</v>
      </c>
      <c r="AB206" s="93" t="s">
        <v>55</v>
      </c>
    </row>
    <row r="207" spans="1:28" s="1" customFormat="1" x14ac:dyDescent="0.25">
      <c r="A207" s="81"/>
      <c r="B207" s="7"/>
      <c r="C207" s="3">
        <v>41688</v>
      </c>
      <c r="D207" s="1">
        <v>6.7</v>
      </c>
      <c r="E207" s="12">
        <v>4.5</v>
      </c>
      <c r="F207" s="1">
        <v>9</v>
      </c>
      <c r="G207" s="1">
        <f t="shared" si="28"/>
        <v>1529.0999999999995</v>
      </c>
      <c r="H207" s="1">
        <f t="shared" si="33"/>
        <v>392.50000000000006</v>
      </c>
      <c r="J207" s="94">
        <v>1.5</v>
      </c>
      <c r="K207" s="1">
        <f t="shared" si="29"/>
        <v>434.09999999999991</v>
      </c>
      <c r="L207" s="1">
        <v>0.8</v>
      </c>
      <c r="M207" s="1">
        <f t="shared" si="30"/>
        <v>157.1</v>
      </c>
      <c r="N207" s="1">
        <f t="shared" si="27"/>
        <v>0.7</v>
      </c>
      <c r="O207" s="1">
        <v>137.19999999999999</v>
      </c>
      <c r="P207" s="1">
        <v>168</v>
      </c>
      <c r="Q207" s="11">
        <f t="shared" si="23"/>
        <v>1.0935483870967742</v>
      </c>
      <c r="R207" s="9">
        <f t="shared" si="24"/>
        <v>0.87483870967741939</v>
      </c>
      <c r="S207" s="9">
        <f t="shared" si="25"/>
        <v>0.62516129032258061</v>
      </c>
      <c r="T207" s="9">
        <f t="shared" si="32"/>
        <v>136.77225806451614</v>
      </c>
      <c r="V207" s="10">
        <v>647.29999999999995</v>
      </c>
      <c r="W207" s="1">
        <f t="shared" si="26"/>
        <v>96.611940298507449</v>
      </c>
      <c r="X207" s="1">
        <f t="shared" si="31"/>
        <v>79079.300000000017</v>
      </c>
      <c r="Y207" s="1">
        <f t="shared" si="34"/>
        <v>20328.899999999998</v>
      </c>
      <c r="AA207" s="1">
        <v>10.400772613217001</v>
      </c>
      <c r="AB207" s="9">
        <f>AVERAGE(T213:T226)</f>
        <v>135.49741935483871</v>
      </c>
    </row>
    <row r="208" spans="1:28" s="1" customFormat="1" x14ac:dyDescent="0.25">
      <c r="A208" s="81"/>
      <c r="B208" s="7"/>
      <c r="C208" s="3">
        <v>41689</v>
      </c>
      <c r="D208" s="1">
        <v>8.3000000000000007</v>
      </c>
      <c r="E208" s="12">
        <v>4.5</v>
      </c>
      <c r="F208" s="1">
        <v>10.6</v>
      </c>
      <c r="G208" s="1">
        <f t="shared" si="28"/>
        <v>1537.3999999999994</v>
      </c>
      <c r="H208" s="1">
        <f t="shared" si="33"/>
        <v>400.80000000000007</v>
      </c>
      <c r="J208" s="94">
        <v>1</v>
      </c>
      <c r="K208" s="1">
        <f t="shared" si="29"/>
        <v>435.09999999999991</v>
      </c>
      <c r="L208" s="1">
        <v>0.4</v>
      </c>
      <c r="M208" s="1">
        <f t="shared" si="30"/>
        <v>157.5</v>
      </c>
      <c r="N208" s="1">
        <f t="shared" si="27"/>
        <v>0.6</v>
      </c>
      <c r="O208" s="1">
        <v>137.79999999999998</v>
      </c>
      <c r="P208" s="1">
        <v>169</v>
      </c>
      <c r="Q208" s="11">
        <f t="shared" si="23"/>
        <v>1.0951612903225807</v>
      </c>
      <c r="R208" s="9">
        <f t="shared" si="24"/>
        <v>0.4380645161290323</v>
      </c>
      <c r="S208" s="9">
        <f t="shared" si="25"/>
        <v>0.5619354838709677</v>
      </c>
      <c r="T208" s="9">
        <f t="shared" si="32"/>
        <v>137.33419354838711</v>
      </c>
      <c r="V208" s="10">
        <v>265.39999999999998</v>
      </c>
      <c r="W208" s="1">
        <f t="shared" si="26"/>
        <v>31.975903614457827</v>
      </c>
      <c r="X208" s="1">
        <f t="shared" si="31"/>
        <v>79344.700000000012</v>
      </c>
      <c r="Y208" s="1">
        <f t="shared" si="34"/>
        <v>20594.3</v>
      </c>
      <c r="AA208" s="1">
        <v>10.4550749232247</v>
      </c>
      <c r="AB208" s="93" t="s">
        <v>56</v>
      </c>
    </row>
    <row r="209" spans="1:29" s="1" customFormat="1" x14ac:dyDescent="0.25">
      <c r="A209" s="81"/>
      <c r="B209" s="7"/>
      <c r="C209" s="3">
        <v>41690</v>
      </c>
      <c r="D209" s="1">
        <v>9.4</v>
      </c>
      <c r="E209" s="1">
        <v>8.5</v>
      </c>
      <c r="F209" s="1">
        <v>11.1</v>
      </c>
      <c r="G209" s="1">
        <f t="shared" si="28"/>
        <v>1546.7999999999995</v>
      </c>
      <c r="H209" s="1">
        <f t="shared" si="33"/>
        <v>410.20000000000005</v>
      </c>
      <c r="J209" s="94">
        <v>2.2000000000000002</v>
      </c>
      <c r="K209" s="1">
        <f t="shared" si="29"/>
        <v>437.2999999999999</v>
      </c>
      <c r="L209" s="1">
        <v>0.7</v>
      </c>
      <c r="M209" s="1">
        <f t="shared" si="30"/>
        <v>158.19999999999999</v>
      </c>
      <c r="N209" s="1">
        <f t="shared" si="27"/>
        <v>1.5000000000000002</v>
      </c>
      <c r="O209" s="1">
        <v>138.9</v>
      </c>
      <c r="P209" s="1">
        <v>170</v>
      </c>
      <c r="Q209" s="11">
        <f t="shared" si="23"/>
        <v>1.096774193548387</v>
      </c>
      <c r="R209" s="9">
        <f t="shared" si="24"/>
        <v>0.76774193548387082</v>
      </c>
      <c r="S209" s="9">
        <f t="shared" si="25"/>
        <v>1.4322580645161294</v>
      </c>
      <c r="T209" s="9">
        <f t="shared" si="32"/>
        <v>138.76645161290324</v>
      </c>
      <c r="V209" s="10">
        <v>248.2</v>
      </c>
      <c r="W209" s="1">
        <f t="shared" si="26"/>
        <v>26.404255319148934</v>
      </c>
      <c r="X209" s="1">
        <f t="shared" si="31"/>
        <v>79592.900000000009</v>
      </c>
      <c r="Y209" s="1">
        <f t="shared" si="34"/>
        <v>20842.5</v>
      </c>
      <c r="AA209" s="1">
        <v>10.509633405310799</v>
      </c>
      <c r="AB209" s="1">
        <v>1</v>
      </c>
    </row>
    <row r="210" spans="1:29" s="1" customFormat="1" x14ac:dyDescent="0.25">
      <c r="A210" s="81"/>
      <c r="B210" s="7"/>
      <c r="C210" s="3">
        <v>41691</v>
      </c>
      <c r="D210" s="1">
        <v>6.4</v>
      </c>
      <c r="E210" s="12">
        <v>4.7</v>
      </c>
      <c r="F210" s="1">
        <v>9.1999999999999993</v>
      </c>
      <c r="G210" s="1">
        <f t="shared" si="28"/>
        <v>1553.1999999999996</v>
      </c>
      <c r="H210" s="1">
        <f t="shared" si="33"/>
        <v>416.6</v>
      </c>
      <c r="J210" s="94">
        <v>0.4</v>
      </c>
      <c r="K210" s="1">
        <f t="shared" si="29"/>
        <v>437.69999999999987</v>
      </c>
      <c r="L210" s="1">
        <v>1.3</v>
      </c>
      <c r="M210" s="1">
        <f t="shared" si="30"/>
        <v>159.5</v>
      </c>
      <c r="N210" s="5">
        <f t="shared" si="27"/>
        <v>-0.9</v>
      </c>
      <c r="O210" s="1">
        <v>138</v>
      </c>
      <c r="P210" s="1">
        <v>171</v>
      </c>
      <c r="Q210" s="11">
        <f t="shared" si="23"/>
        <v>1.0983870967741935</v>
      </c>
      <c r="R210" s="9">
        <f t="shared" si="24"/>
        <v>1.4279032258064517</v>
      </c>
      <c r="S210" s="9">
        <f t="shared" si="25"/>
        <v>-1.0279032258064515</v>
      </c>
      <c r="T210" s="9">
        <f t="shared" si="32"/>
        <v>137.73854838709678</v>
      </c>
      <c r="V210" s="10">
        <v>897.5</v>
      </c>
      <c r="W210" s="1">
        <f t="shared" si="26"/>
        <v>140.234375</v>
      </c>
      <c r="X210" s="1">
        <f t="shared" si="31"/>
        <v>80490.400000000009</v>
      </c>
      <c r="Y210" s="1">
        <f t="shared" si="34"/>
        <v>21740</v>
      </c>
      <c r="AA210" s="1">
        <v>10.564433625742801</v>
      </c>
      <c r="AB210" s="93" t="s">
        <v>57</v>
      </c>
    </row>
    <row r="211" spans="1:29" s="1" customFormat="1" x14ac:dyDescent="0.25">
      <c r="A211" s="81"/>
      <c r="B211" s="7"/>
      <c r="C211" s="3">
        <v>41692</v>
      </c>
      <c r="D211" s="1">
        <v>7.1</v>
      </c>
      <c r="E211" s="12">
        <v>4</v>
      </c>
      <c r="F211" s="1">
        <v>8.8000000000000007</v>
      </c>
      <c r="G211" s="1">
        <f t="shared" si="28"/>
        <v>1560.2999999999995</v>
      </c>
      <c r="H211" s="1">
        <f t="shared" si="33"/>
        <v>423.70000000000005</v>
      </c>
      <c r="J211" s="94">
        <v>5.6</v>
      </c>
      <c r="K211" s="1">
        <f t="shared" si="29"/>
        <v>443.2999999999999</v>
      </c>
      <c r="L211" s="1">
        <v>0.2</v>
      </c>
      <c r="M211" s="1">
        <f t="shared" si="30"/>
        <v>159.69999999999999</v>
      </c>
      <c r="N211" s="1">
        <f t="shared" si="27"/>
        <v>5.3999999999999995</v>
      </c>
      <c r="O211" s="1">
        <v>138.9</v>
      </c>
      <c r="P211" s="1">
        <v>172</v>
      </c>
      <c r="Q211" s="11">
        <f t="shared" si="23"/>
        <v>1.0999999999999999</v>
      </c>
      <c r="R211" s="9">
        <f t="shared" si="24"/>
        <v>0.21999999999999997</v>
      </c>
      <c r="S211" s="9">
        <f t="shared" si="25"/>
        <v>5.38</v>
      </c>
      <c r="T211" s="9">
        <f t="shared" si="32"/>
        <v>138.9</v>
      </c>
      <c r="V211" s="10">
        <v>177.7</v>
      </c>
      <c r="W211" s="1">
        <f t="shared" si="26"/>
        <v>25.028169014084508</v>
      </c>
      <c r="X211" s="1">
        <f t="shared" si="31"/>
        <v>80668.100000000006</v>
      </c>
      <c r="Y211" s="1">
        <f t="shared" si="34"/>
        <v>21917.7</v>
      </c>
      <c r="AA211" s="1">
        <v>10.619461682432901</v>
      </c>
      <c r="AB211" s="1">
        <v>5</v>
      </c>
    </row>
    <row r="212" spans="1:29" s="1" customFormat="1" x14ac:dyDescent="0.25">
      <c r="A212" s="81"/>
      <c r="B212" s="7"/>
      <c r="C212" s="3">
        <v>41693</v>
      </c>
      <c r="D212" s="1">
        <v>8.4</v>
      </c>
      <c r="E212" s="1">
        <v>6.1</v>
      </c>
      <c r="F212" s="1">
        <v>11.8</v>
      </c>
      <c r="G212" s="1">
        <f t="shared" si="28"/>
        <v>1568.6999999999996</v>
      </c>
      <c r="H212" s="1">
        <f t="shared" si="33"/>
        <v>432.1</v>
      </c>
      <c r="J212" s="94">
        <v>0</v>
      </c>
      <c r="K212" s="1">
        <f t="shared" si="29"/>
        <v>443.2999999999999</v>
      </c>
      <c r="L212" s="1">
        <v>1.1000000000000001</v>
      </c>
      <c r="M212" s="1">
        <f t="shared" si="30"/>
        <v>160.79999999999998</v>
      </c>
      <c r="N212" s="5">
        <f t="shared" si="27"/>
        <v>-1.1000000000000001</v>
      </c>
      <c r="O212" s="1">
        <v>137.80000000000001</v>
      </c>
      <c r="P212" s="1">
        <v>173</v>
      </c>
      <c r="Q212" s="11">
        <f t="shared" si="23"/>
        <v>1.1016129032258064</v>
      </c>
      <c r="R212" s="9">
        <f t="shared" si="24"/>
        <v>1.2117741935483872</v>
      </c>
      <c r="S212" s="9">
        <f t="shared" si="25"/>
        <v>-1.2117741935483872</v>
      </c>
      <c r="T212" s="9">
        <f t="shared" si="32"/>
        <v>137.68822580645161</v>
      </c>
      <c r="V212" s="10">
        <v>826.7</v>
      </c>
      <c r="W212" s="1">
        <f t="shared" si="26"/>
        <v>98.416666666666671</v>
      </c>
      <c r="X212" s="1">
        <f t="shared" si="31"/>
        <v>81494.8</v>
      </c>
      <c r="Y212" s="1">
        <f t="shared" si="34"/>
        <v>22744.400000000001</v>
      </c>
      <c r="AA212" s="1">
        <v>10.674704190357399</v>
      </c>
      <c r="AB212" s="93" t="s">
        <v>58</v>
      </c>
    </row>
    <row r="213" spans="1:29" s="1" customFormat="1" x14ac:dyDescent="0.25">
      <c r="A213" s="81"/>
      <c r="B213" s="7"/>
      <c r="C213" s="3">
        <v>41694</v>
      </c>
      <c r="D213" s="1">
        <v>9.9</v>
      </c>
      <c r="E213" s="12">
        <v>3.3</v>
      </c>
      <c r="F213" s="1">
        <v>14.6</v>
      </c>
      <c r="G213" s="1">
        <f t="shared" si="28"/>
        <v>1578.5999999999997</v>
      </c>
      <c r="H213" s="1">
        <f t="shared" si="33"/>
        <v>442</v>
      </c>
      <c r="J213" s="94">
        <v>0.4</v>
      </c>
      <c r="K213" s="1">
        <f t="shared" si="29"/>
        <v>443.69999999999987</v>
      </c>
      <c r="L213" s="1">
        <v>2.1</v>
      </c>
      <c r="M213" s="1">
        <f t="shared" si="30"/>
        <v>162.89999999999998</v>
      </c>
      <c r="N213" s="5">
        <f t="shared" si="27"/>
        <v>-1.7000000000000002</v>
      </c>
      <c r="O213" s="1">
        <v>136.10000000000002</v>
      </c>
      <c r="P213" s="1">
        <v>174</v>
      </c>
      <c r="Q213" s="11">
        <f t="shared" si="23"/>
        <v>1.1032258064516129</v>
      </c>
      <c r="R213" s="9">
        <f t="shared" si="24"/>
        <v>2.3167741935483872</v>
      </c>
      <c r="S213" s="9">
        <f t="shared" si="25"/>
        <v>-1.9167741935483873</v>
      </c>
      <c r="T213" s="95">
        <f t="shared" si="32"/>
        <v>135.77145161290323</v>
      </c>
      <c r="V213" s="1">
        <v>1190.5999999999999</v>
      </c>
      <c r="W213" s="1">
        <f t="shared" si="26"/>
        <v>120.26262626262626</v>
      </c>
      <c r="X213" s="1">
        <f t="shared" si="31"/>
        <v>82685.400000000009</v>
      </c>
      <c r="Y213" s="1">
        <f t="shared" si="34"/>
        <v>23935</v>
      </c>
      <c r="AA213" s="1">
        <v>10.730148266337199</v>
      </c>
      <c r="AB213" s="1">
        <v>3</v>
      </c>
    </row>
    <row r="214" spans="1:29" s="1" customFormat="1" x14ac:dyDescent="0.25">
      <c r="A214" s="81"/>
      <c r="B214" s="7"/>
      <c r="C214" s="3">
        <v>41695</v>
      </c>
      <c r="D214" s="1">
        <v>8.6999999999999993</v>
      </c>
      <c r="E214" s="1">
        <v>7.5</v>
      </c>
      <c r="F214" s="1">
        <v>11</v>
      </c>
      <c r="G214" s="1">
        <f t="shared" si="28"/>
        <v>1587.2999999999997</v>
      </c>
      <c r="H214" s="1">
        <f t="shared" si="33"/>
        <v>450.7</v>
      </c>
      <c r="J214" s="94">
        <v>2.1</v>
      </c>
      <c r="K214" s="1">
        <f t="shared" si="29"/>
        <v>445.7999999999999</v>
      </c>
      <c r="L214" s="1">
        <v>1.4</v>
      </c>
      <c r="M214" s="1">
        <f t="shared" si="30"/>
        <v>164.29999999999998</v>
      </c>
      <c r="N214" s="1">
        <f t="shared" si="27"/>
        <v>0.70000000000000018</v>
      </c>
      <c r="O214" s="1">
        <v>136.80000000000001</v>
      </c>
      <c r="P214" s="1">
        <v>175</v>
      </c>
      <c r="Q214" s="11">
        <f t="shared" si="23"/>
        <v>1.1048387096774193</v>
      </c>
      <c r="R214" s="9">
        <f t="shared" si="24"/>
        <v>1.546774193548387</v>
      </c>
      <c r="S214" s="9">
        <f t="shared" si="25"/>
        <v>0.55322580645161312</v>
      </c>
      <c r="T214" s="95">
        <f t="shared" si="32"/>
        <v>136.32467741935486</v>
      </c>
      <c r="V214" s="10">
        <v>587.70000000000005</v>
      </c>
      <c r="W214" s="1">
        <f t="shared" si="26"/>
        <v>67.551724137931046</v>
      </c>
      <c r="X214" s="1">
        <f t="shared" si="31"/>
        <v>83273.100000000006</v>
      </c>
      <c r="Y214" s="1">
        <f t="shared" si="34"/>
        <v>24522.7</v>
      </c>
      <c r="AA214" s="1">
        <v>10.7857815132604</v>
      </c>
      <c r="AB214" s="93" t="s">
        <v>59</v>
      </c>
    </row>
    <row r="215" spans="1:29" s="1" customFormat="1" x14ac:dyDescent="0.25">
      <c r="A215" s="81"/>
      <c r="B215" s="7"/>
      <c r="C215" s="3">
        <v>41696</v>
      </c>
      <c r="D215" s="1">
        <v>5.9</v>
      </c>
      <c r="E215" s="12">
        <v>3.9</v>
      </c>
      <c r="F215" s="1">
        <v>9.5</v>
      </c>
      <c r="G215" s="1">
        <f t="shared" si="28"/>
        <v>1593.1999999999998</v>
      </c>
      <c r="H215" s="1">
        <f t="shared" si="33"/>
        <v>456.59999999999997</v>
      </c>
      <c r="J215" s="94">
        <v>0.5</v>
      </c>
      <c r="K215" s="1">
        <f t="shared" si="29"/>
        <v>446.2999999999999</v>
      </c>
      <c r="L215" s="1">
        <v>1.1000000000000001</v>
      </c>
      <c r="M215" s="1">
        <f t="shared" si="30"/>
        <v>165.39999999999998</v>
      </c>
      <c r="N215" s="5">
        <f t="shared" si="27"/>
        <v>-0.60000000000000009</v>
      </c>
      <c r="O215" s="1">
        <v>136.20000000000002</v>
      </c>
      <c r="P215" s="1">
        <v>176</v>
      </c>
      <c r="Q215" s="11">
        <f t="shared" ref="Q215:Q242" si="35">1+((P215-110)/93)*(1.15-1)</f>
        <v>1.1064516129032258</v>
      </c>
      <c r="R215" s="9">
        <f t="shared" si="24"/>
        <v>1.2170967741935486</v>
      </c>
      <c r="S215" s="9">
        <f t="shared" si="25"/>
        <v>-0.71709677419354856</v>
      </c>
      <c r="T215" s="95">
        <f t="shared" si="32"/>
        <v>135.60758064516131</v>
      </c>
      <c r="V215" s="1">
        <v>943</v>
      </c>
      <c r="W215" s="1">
        <f t="shared" si="26"/>
        <v>159.83050847457625</v>
      </c>
      <c r="X215" s="1">
        <f t="shared" si="31"/>
        <v>84216.1</v>
      </c>
      <c r="Y215" s="1">
        <f t="shared" si="34"/>
        <v>25465.7</v>
      </c>
      <c r="AA215" s="1">
        <v>10.8415920038211</v>
      </c>
      <c r="AB215" s="1">
        <f>SUM(J217:J226)</f>
        <v>18.100000000000001</v>
      </c>
    </row>
    <row r="216" spans="1:29" s="89" customFormat="1" x14ac:dyDescent="0.25">
      <c r="A216" s="81"/>
      <c r="B216" s="87" t="s">
        <v>53</v>
      </c>
      <c r="C216" s="88">
        <v>41697</v>
      </c>
      <c r="D216" s="89">
        <v>6</v>
      </c>
      <c r="E216" s="90">
        <v>2.7</v>
      </c>
      <c r="F216" s="89">
        <v>7.6</v>
      </c>
      <c r="G216" s="89">
        <f t="shared" si="28"/>
        <v>1599.1999999999998</v>
      </c>
      <c r="H216" s="89">
        <f t="shared" si="33"/>
        <v>462.59999999999997</v>
      </c>
      <c r="J216" s="89">
        <v>13.3</v>
      </c>
      <c r="K216" s="89">
        <f t="shared" si="29"/>
        <v>459.59999999999991</v>
      </c>
      <c r="L216" s="89">
        <v>0.3</v>
      </c>
      <c r="M216" s="89">
        <f t="shared" si="30"/>
        <v>165.7</v>
      </c>
      <c r="N216" s="89">
        <f t="shared" si="27"/>
        <v>13</v>
      </c>
      <c r="O216" s="89">
        <v>138.9</v>
      </c>
      <c r="P216" s="89">
        <v>177</v>
      </c>
      <c r="Q216" s="91">
        <f t="shared" si="35"/>
        <v>1.1080645161290321</v>
      </c>
      <c r="R216" s="92">
        <f t="shared" si="24"/>
        <v>0.3324193548387096</v>
      </c>
      <c r="S216" s="92">
        <f t="shared" si="25"/>
        <v>12.967580645161291</v>
      </c>
      <c r="T216" s="92">
        <f t="shared" si="32"/>
        <v>138.9</v>
      </c>
      <c r="V216" s="90">
        <v>278.7</v>
      </c>
      <c r="W216" s="89">
        <f t="shared" si="26"/>
        <v>46.449999999999996</v>
      </c>
      <c r="X216" s="89">
        <f t="shared" si="31"/>
        <v>84494.8</v>
      </c>
      <c r="Y216" s="89">
        <f t="shared" si="34"/>
        <v>25744.400000000001</v>
      </c>
      <c r="AA216" s="89">
        <v>10.8975682638437</v>
      </c>
    </row>
    <row r="217" spans="1:29" s="1" customFormat="1" x14ac:dyDescent="0.25">
      <c r="A217" s="81"/>
      <c r="B217" s="7"/>
      <c r="C217" s="3">
        <v>41698</v>
      </c>
      <c r="D217" s="1">
        <v>6.6</v>
      </c>
      <c r="E217" s="1">
        <v>5.7</v>
      </c>
      <c r="F217" s="1">
        <v>8.9</v>
      </c>
      <c r="G217" s="1">
        <f t="shared" si="28"/>
        <v>1605.7999999999997</v>
      </c>
      <c r="H217" s="1">
        <f t="shared" si="33"/>
        <v>469.2</v>
      </c>
      <c r="J217" s="94">
        <v>8.4</v>
      </c>
      <c r="K217" s="1">
        <f t="shared" si="29"/>
        <v>467.99999999999989</v>
      </c>
      <c r="L217" s="1">
        <v>1.3</v>
      </c>
      <c r="M217" s="1">
        <f t="shared" si="30"/>
        <v>167</v>
      </c>
      <c r="N217" s="1">
        <f t="shared" si="27"/>
        <v>7.1000000000000005</v>
      </c>
      <c r="O217" s="1">
        <v>138.9</v>
      </c>
      <c r="P217" s="1">
        <v>178</v>
      </c>
      <c r="Q217" s="11">
        <f t="shared" si="35"/>
        <v>1.1096774193548387</v>
      </c>
      <c r="R217" s="9">
        <f t="shared" si="24"/>
        <v>1.4425806451612904</v>
      </c>
      <c r="S217" s="9">
        <f t="shared" si="25"/>
        <v>6.9574193548387102</v>
      </c>
      <c r="T217" s="95">
        <f t="shared" si="32"/>
        <v>138.9</v>
      </c>
      <c r="V217" s="10">
        <v>222</v>
      </c>
      <c r="W217" s="1">
        <f t="shared" si="26"/>
        <v>33.63636363636364</v>
      </c>
      <c r="X217" s="1">
        <f t="shared" si="31"/>
        <v>84716.800000000003</v>
      </c>
      <c r="Y217" s="1">
        <f t="shared" si="34"/>
        <v>25966.400000000001</v>
      </c>
      <c r="AA217" s="1">
        <v>10.953699255256501</v>
      </c>
    </row>
    <row r="218" spans="1:29" s="1" customFormat="1" x14ac:dyDescent="0.25">
      <c r="A218" s="81"/>
      <c r="B218" s="7"/>
      <c r="C218" s="3">
        <v>41699</v>
      </c>
      <c r="D218" s="1">
        <v>5.4</v>
      </c>
      <c r="E218" s="12">
        <v>4.5</v>
      </c>
      <c r="F218" s="1">
        <v>8.4</v>
      </c>
      <c r="G218" s="1">
        <f t="shared" si="28"/>
        <v>1611.1999999999998</v>
      </c>
      <c r="H218" s="1">
        <f t="shared" si="33"/>
        <v>474.59999999999997</v>
      </c>
      <c r="J218" s="94">
        <v>0</v>
      </c>
      <c r="K218" s="1">
        <f t="shared" si="29"/>
        <v>467.99999999999989</v>
      </c>
      <c r="L218" s="1">
        <v>1</v>
      </c>
      <c r="M218" s="1">
        <f t="shared" si="30"/>
        <v>168</v>
      </c>
      <c r="N218" s="5">
        <f t="shared" si="27"/>
        <v>-1</v>
      </c>
      <c r="O218" s="1">
        <v>137.9</v>
      </c>
      <c r="P218" s="1">
        <v>179</v>
      </c>
      <c r="Q218" s="11">
        <f t="shared" si="35"/>
        <v>1.1112903225806452</v>
      </c>
      <c r="R218" s="9">
        <f t="shared" si="24"/>
        <v>1.1112903225806452</v>
      </c>
      <c r="S218" s="9">
        <f t="shared" si="25"/>
        <v>-1.1112903225806452</v>
      </c>
      <c r="T218" s="95">
        <f t="shared" si="32"/>
        <v>137.78870967741935</v>
      </c>
      <c r="V218" s="10">
        <v>453.3</v>
      </c>
      <c r="W218" s="1">
        <f t="shared" si="26"/>
        <v>83.944444444444443</v>
      </c>
      <c r="X218" s="1">
        <f t="shared" si="31"/>
        <v>85170.1</v>
      </c>
      <c r="Y218" s="1">
        <f t="shared" si="34"/>
        <v>26419.7</v>
      </c>
      <c r="AA218" s="1">
        <v>11.0099743587711</v>
      </c>
      <c r="AC218" s="93" t="s">
        <v>55</v>
      </c>
    </row>
    <row r="219" spans="1:29" s="1" customFormat="1" x14ac:dyDescent="0.25">
      <c r="A219" s="81"/>
      <c r="B219" s="7"/>
      <c r="C219" s="3">
        <v>41700</v>
      </c>
      <c r="D219" s="1">
        <v>5.3</v>
      </c>
      <c r="E219" s="19">
        <v>-1.5</v>
      </c>
      <c r="F219" s="1">
        <v>10.199999999999999</v>
      </c>
      <c r="G219" s="1">
        <f t="shared" si="28"/>
        <v>1616.4999999999998</v>
      </c>
      <c r="H219" s="1">
        <f t="shared" si="33"/>
        <v>479.9</v>
      </c>
      <c r="J219" s="94">
        <v>3.8</v>
      </c>
      <c r="K219" s="1">
        <f t="shared" si="29"/>
        <v>471.7999999999999</v>
      </c>
      <c r="L219" s="1">
        <v>1.1000000000000001</v>
      </c>
      <c r="M219" s="1">
        <f t="shared" si="30"/>
        <v>169.1</v>
      </c>
      <c r="N219" s="1">
        <f t="shared" si="27"/>
        <v>2.6999999999999997</v>
      </c>
      <c r="O219" s="1">
        <v>138.9</v>
      </c>
      <c r="P219" s="1">
        <v>180</v>
      </c>
      <c r="Q219" s="11">
        <f t="shared" si="35"/>
        <v>1.1129032258064515</v>
      </c>
      <c r="R219" s="9">
        <f t="shared" si="24"/>
        <v>1.2241935483870967</v>
      </c>
      <c r="S219" s="9">
        <f t="shared" si="25"/>
        <v>2.5758064516129031</v>
      </c>
      <c r="T219" s="95">
        <f t="shared" si="32"/>
        <v>138.9</v>
      </c>
      <c r="V219" s="1">
        <v>991.6</v>
      </c>
      <c r="W219" s="1">
        <f t="shared" si="26"/>
        <v>187.09433962264151</v>
      </c>
      <c r="X219" s="1">
        <f t="shared" si="31"/>
        <v>86161.700000000012</v>
      </c>
      <c r="Y219" s="1">
        <f t="shared" si="34"/>
        <v>27411.3</v>
      </c>
      <c r="AA219" s="1">
        <v>11.0663833563225</v>
      </c>
      <c r="AC219" s="9">
        <f>(AB207*(50/80))+(AB223*(30/80))</f>
        <v>124.5534375</v>
      </c>
    </row>
    <row r="220" spans="1:29" s="1" customFormat="1" x14ac:dyDescent="0.25">
      <c r="A220" s="81"/>
      <c r="B220" s="7"/>
      <c r="C220" s="3">
        <v>41701</v>
      </c>
      <c r="D220" s="1">
        <v>5.8</v>
      </c>
      <c r="E220" s="12">
        <v>3.8</v>
      </c>
      <c r="F220" s="1">
        <v>7.3</v>
      </c>
      <c r="G220" s="1">
        <f t="shared" si="28"/>
        <v>1622.2999999999997</v>
      </c>
      <c r="H220" s="1">
        <f t="shared" si="33"/>
        <v>485.7</v>
      </c>
      <c r="J220" s="94">
        <v>5.7</v>
      </c>
      <c r="K220" s="1">
        <f t="shared" si="29"/>
        <v>477.49999999999989</v>
      </c>
      <c r="L220" s="1">
        <v>0.6</v>
      </c>
      <c r="M220" s="1">
        <f t="shared" si="30"/>
        <v>169.7</v>
      </c>
      <c r="N220" s="1">
        <f t="shared" si="27"/>
        <v>5.1000000000000005</v>
      </c>
      <c r="O220" s="1">
        <v>138.9</v>
      </c>
      <c r="P220" s="1">
        <v>181</v>
      </c>
      <c r="Q220" s="11">
        <f t="shared" si="35"/>
        <v>1.1145161290322581</v>
      </c>
      <c r="R220" s="9">
        <f t="shared" si="24"/>
        <v>0.66870967741935483</v>
      </c>
      <c r="S220" s="9">
        <f t="shared" si="25"/>
        <v>5.0312903225806451</v>
      </c>
      <c r="T220" s="95">
        <f t="shared" si="32"/>
        <v>138.9</v>
      </c>
      <c r="V220" s="10">
        <v>379.6</v>
      </c>
      <c r="W220" s="1">
        <f t="shared" si="26"/>
        <v>65.448275862068968</v>
      </c>
      <c r="X220" s="1">
        <f t="shared" si="31"/>
        <v>86541.300000000017</v>
      </c>
      <c r="Y220" s="1">
        <f t="shared" si="34"/>
        <v>27790.899999999998</v>
      </c>
      <c r="AA220" s="1">
        <v>11.122916413316</v>
      </c>
      <c r="AC220" s="93" t="s">
        <v>56</v>
      </c>
    </row>
    <row r="221" spans="1:29" s="1" customFormat="1" x14ac:dyDescent="0.25">
      <c r="A221" s="81"/>
      <c r="B221" s="7"/>
      <c r="C221" s="3">
        <v>41702</v>
      </c>
      <c r="D221" s="1">
        <v>6.1</v>
      </c>
      <c r="E221" s="12">
        <v>3.2</v>
      </c>
      <c r="F221" s="1">
        <v>9.6</v>
      </c>
      <c r="G221" s="1">
        <f t="shared" si="28"/>
        <v>1628.3999999999996</v>
      </c>
      <c r="H221" s="1">
        <f t="shared" si="33"/>
        <v>491.8</v>
      </c>
      <c r="J221" s="94">
        <v>0.1</v>
      </c>
      <c r="K221" s="1">
        <f t="shared" si="29"/>
        <v>477.59999999999991</v>
      </c>
      <c r="L221" s="1">
        <v>0.9</v>
      </c>
      <c r="M221" s="1">
        <f t="shared" si="30"/>
        <v>170.6</v>
      </c>
      <c r="N221" s="5">
        <f t="shared" si="27"/>
        <v>-0.8</v>
      </c>
      <c r="O221" s="1">
        <v>138.1</v>
      </c>
      <c r="P221" s="1">
        <v>182</v>
      </c>
      <c r="Q221" s="11">
        <f t="shared" si="35"/>
        <v>1.1161290322580644</v>
      </c>
      <c r="R221" s="9">
        <f t="shared" si="24"/>
        <v>1.004516129032258</v>
      </c>
      <c r="S221" s="9">
        <f t="shared" si="25"/>
        <v>-0.90451612903225798</v>
      </c>
      <c r="T221" s="95">
        <f t="shared" si="32"/>
        <v>137.99548387096775</v>
      </c>
      <c r="V221" s="10">
        <v>741.2</v>
      </c>
      <c r="W221" s="1">
        <f t="shared" si="26"/>
        <v>121.50819672131149</v>
      </c>
      <c r="X221" s="1">
        <f t="shared" si="31"/>
        <v>87282.500000000015</v>
      </c>
      <c r="Y221" s="1">
        <f t="shared" si="34"/>
        <v>28532.1</v>
      </c>
      <c r="AA221" s="1">
        <v>11.1795640607248</v>
      </c>
      <c r="AC221" s="11">
        <f>(AB209*(50/80))+(AB225*(30/80))</f>
        <v>4</v>
      </c>
    </row>
    <row r="222" spans="1:29" s="1" customFormat="1" x14ac:dyDescent="0.25">
      <c r="A222" s="81"/>
      <c r="B222" s="7"/>
      <c r="C222" s="3">
        <v>41703</v>
      </c>
      <c r="D222" s="1">
        <v>5.9</v>
      </c>
      <c r="E222" s="12">
        <v>0.3</v>
      </c>
      <c r="F222" s="1">
        <v>12.4</v>
      </c>
      <c r="G222" s="1">
        <f t="shared" si="28"/>
        <v>1634.2999999999997</v>
      </c>
      <c r="H222" s="1">
        <f t="shared" si="33"/>
        <v>497.7</v>
      </c>
      <c r="I222" s="1">
        <v>10</v>
      </c>
      <c r="J222" s="94">
        <v>0.1</v>
      </c>
      <c r="K222" s="1">
        <f t="shared" si="29"/>
        <v>477.69999999999993</v>
      </c>
      <c r="L222" s="1">
        <v>1.4</v>
      </c>
      <c r="M222" s="1">
        <f t="shared" si="30"/>
        <v>172</v>
      </c>
      <c r="N222" s="5">
        <f t="shared" si="27"/>
        <v>-1.2999999999999998</v>
      </c>
      <c r="O222" s="1">
        <v>136.79999999999998</v>
      </c>
      <c r="P222" s="1">
        <v>183</v>
      </c>
      <c r="Q222" s="11">
        <f t="shared" si="35"/>
        <v>1.1177419354838709</v>
      </c>
      <c r="R222" s="9">
        <f t="shared" si="24"/>
        <v>1.5648387096774192</v>
      </c>
      <c r="S222" s="9">
        <f t="shared" si="25"/>
        <v>-1.4648387096774191</v>
      </c>
      <c r="T222" s="95">
        <f t="shared" si="32"/>
        <v>136.53064516129032</v>
      </c>
      <c r="V222" s="1">
        <v>1133.3</v>
      </c>
      <c r="W222" s="1">
        <f t="shared" si="26"/>
        <v>192.08474576271183</v>
      </c>
      <c r="X222" s="1">
        <f t="shared" si="31"/>
        <v>88415.800000000017</v>
      </c>
      <c r="Y222" s="1">
        <f t="shared" si="34"/>
        <v>29665.399999999998</v>
      </c>
      <c r="AA222" s="1">
        <v>11.2363171770773</v>
      </c>
      <c r="AB222" s="93" t="s">
        <v>55</v>
      </c>
      <c r="AC222" s="93" t="s">
        <v>57</v>
      </c>
    </row>
    <row r="223" spans="1:29" s="1" customFormat="1" x14ac:dyDescent="0.25">
      <c r="A223" s="81"/>
      <c r="B223" s="7"/>
      <c r="C223" s="3">
        <v>41704</v>
      </c>
      <c r="D223" s="1">
        <v>6.1</v>
      </c>
      <c r="E223" s="19">
        <v>-0.8</v>
      </c>
      <c r="F223" s="1">
        <v>12.6</v>
      </c>
      <c r="G223" s="1">
        <f t="shared" si="28"/>
        <v>1640.3999999999996</v>
      </c>
      <c r="H223" s="1">
        <f t="shared" si="33"/>
        <v>503.8</v>
      </c>
      <c r="J223" s="94">
        <v>0</v>
      </c>
      <c r="K223" s="1">
        <f t="shared" si="29"/>
        <v>477.69999999999993</v>
      </c>
      <c r="L223" s="1">
        <v>2.1</v>
      </c>
      <c r="M223" s="1">
        <f t="shared" si="30"/>
        <v>174.1</v>
      </c>
      <c r="N223" s="5">
        <f t="shared" si="27"/>
        <v>-2.1</v>
      </c>
      <c r="O223" s="1">
        <v>134.69999999999999</v>
      </c>
      <c r="P223" s="1">
        <v>184</v>
      </c>
      <c r="Q223" s="11">
        <f t="shared" si="35"/>
        <v>1.1193548387096774</v>
      </c>
      <c r="R223" s="9">
        <f t="shared" si="24"/>
        <v>2.3506451612903225</v>
      </c>
      <c r="S223" s="9">
        <f t="shared" si="25"/>
        <v>-2.3506451612903225</v>
      </c>
      <c r="T223" s="95">
        <f t="shared" si="32"/>
        <v>134.18</v>
      </c>
      <c r="V223" s="1">
        <v>1626.2</v>
      </c>
      <c r="W223" s="1">
        <f t="shared" si="26"/>
        <v>266.59016393442624</v>
      </c>
      <c r="X223" s="1">
        <f t="shared" si="31"/>
        <v>90042.000000000015</v>
      </c>
      <c r="Y223" s="1">
        <f t="shared" si="34"/>
        <v>31291.599999999999</v>
      </c>
      <c r="AA223" s="1">
        <v>11.2931669703688</v>
      </c>
      <c r="AB223" s="9">
        <f>AVERAGE(T229:T242)</f>
        <v>106.31346774193547</v>
      </c>
      <c r="AC223" s="9">
        <f>(AB211*(50/80))+(AB227*(30/80))</f>
        <v>4.25</v>
      </c>
    </row>
    <row r="224" spans="1:29" s="1" customFormat="1" x14ac:dyDescent="0.25">
      <c r="A224" s="81"/>
      <c r="B224" s="7"/>
      <c r="C224" s="3">
        <v>41705</v>
      </c>
      <c r="D224" s="1">
        <v>7.5</v>
      </c>
      <c r="E224" s="12">
        <v>0.5</v>
      </c>
      <c r="F224" s="1">
        <v>14.5</v>
      </c>
      <c r="G224" s="1">
        <f t="shared" si="28"/>
        <v>1647.8999999999996</v>
      </c>
      <c r="H224" s="1">
        <f t="shared" si="33"/>
        <v>511.3</v>
      </c>
      <c r="J224" s="94">
        <v>0</v>
      </c>
      <c r="K224" s="1">
        <f t="shared" si="29"/>
        <v>477.69999999999993</v>
      </c>
      <c r="L224" s="1">
        <v>2</v>
      </c>
      <c r="M224" s="1">
        <f t="shared" si="30"/>
        <v>176.1</v>
      </c>
      <c r="N224" s="5">
        <f t="shared" si="27"/>
        <v>-2</v>
      </c>
      <c r="O224" s="1">
        <v>132.69999999999999</v>
      </c>
      <c r="P224" s="1">
        <v>185</v>
      </c>
      <c r="Q224" s="11">
        <f t="shared" si="35"/>
        <v>1.1209677419354838</v>
      </c>
      <c r="R224" s="9">
        <f t="shared" si="24"/>
        <v>2.2419354838709675</v>
      </c>
      <c r="S224" s="9">
        <f t="shared" si="25"/>
        <v>-2.2419354838709675</v>
      </c>
      <c r="T224" s="95">
        <f t="shared" si="32"/>
        <v>131.93806451612903</v>
      </c>
      <c r="V224" s="1">
        <v>1477.4</v>
      </c>
      <c r="W224" s="1">
        <f t="shared" si="26"/>
        <v>196.98666666666668</v>
      </c>
      <c r="X224" s="1">
        <f t="shared" si="31"/>
        <v>91519.400000000009</v>
      </c>
      <c r="Y224" s="1">
        <f t="shared" si="34"/>
        <v>32769</v>
      </c>
      <c r="AA224" s="1">
        <v>11.350104959926799</v>
      </c>
      <c r="AB224" s="93" t="s">
        <v>56</v>
      </c>
      <c r="AC224" s="93" t="s">
        <v>58</v>
      </c>
    </row>
    <row r="225" spans="1:29" s="1" customFormat="1" x14ac:dyDescent="0.25">
      <c r="A225" s="81"/>
      <c r="B225" s="7"/>
      <c r="C225" s="3">
        <v>41706</v>
      </c>
      <c r="D225" s="1">
        <v>9.5</v>
      </c>
      <c r="E225" s="12">
        <v>1.8</v>
      </c>
      <c r="F225" s="1">
        <v>15.4</v>
      </c>
      <c r="G225" s="1">
        <f t="shared" si="28"/>
        <v>1657.3999999999996</v>
      </c>
      <c r="H225" s="1">
        <f t="shared" si="33"/>
        <v>520.79999999999995</v>
      </c>
      <c r="J225" s="94">
        <v>0</v>
      </c>
      <c r="K225" s="1">
        <f t="shared" si="29"/>
        <v>477.69999999999993</v>
      </c>
      <c r="L225" s="1">
        <v>2.2999999999999998</v>
      </c>
      <c r="M225" s="1">
        <f t="shared" si="30"/>
        <v>178.4</v>
      </c>
      <c r="N225" s="5">
        <f t="shared" si="27"/>
        <v>-2.2999999999999998</v>
      </c>
      <c r="O225" s="1">
        <v>130.39999999999998</v>
      </c>
      <c r="P225" s="1">
        <v>186</v>
      </c>
      <c r="Q225" s="11">
        <f t="shared" si="35"/>
        <v>1.1225806451612903</v>
      </c>
      <c r="R225" s="9">
        <f t="shared" si="24"/>
        <v>2.5819354838709674</v>
      </c>
      <c r="S225" s="9">
        <f t="shared" si="25"/>
        <v>-2.5819354838709674</v>
      </c>
      <c r="T225" s="95">
        <f t="shared" si="32"/>
        <v>129.35612903225805</v>
      </c>
      <c r="V225" s="1">
        <v>1638</v>
      </c>
      <c r="W225" s="1">
        <f t="shared" si="26"/>
        <v>172.42105263157896</v>
      </c>
      <c r="X225" s="1">
        <f t="shared" si="31"/>
        <v>93157.400000000009</v>
      </c>
      <c r="Y225" s="1">
        <f t="shared" si="34"/>
        <v>34407</v>
      </c>
      <c r="AA225" s="1">
        <v>11.407122958259199</v>
      </c>
      <c r="AB225" s="1">
        <v>9</v>
      </c>
      <c r="AC225" s="9">
        <f>(AB213*(50/80))+(AB229*(30/80))</f>
        <v>1.875</v>
      </c>
    </row>
    <row r="226" spans="1:29" s="1" customFormat="1" x14ac:dyDescent="0.25">
      <c r="A226" s="81"/>
      <c r="B226" s="7"/>
      <c r="C226" s="3">
        <v>41707</v>
      </c>
      <c r="D226" s="1">
        <v>10.7</v>
      </c>
      <c r="E226" s="12">
        <v>1.8</v>
      </c>
      <c r="F226" s="1">
        <v>19.399999999999999</v>
      </c>
      <c r="G226" s="1">
        <f t="shared" si="28"/>
        <v>1668.0999999999997</v>
      </c>
      <c r="H226" s="1">
        <f t="shared" si="33"/>
        <v>531.5</v>
      </c>
      <c r="I226" s="1">
        <v>-10</v>
      </c>
      <c r="J226" s="94">
        <v>0</v>
      </c>
      <c r="K226" s="1">
        <f t="shared" si="29"/>
        <v>477.69999999999993</v>
      </c>
      <c r="L226" s="1">
        <v>3.1</v>
      </c>
      <c r="M226" s="1">
        <f t="shared" si="30"/>
        <v>181.5</v>
      </c>
      <c r="N226" s="5">
        <f t="shared" si="27"/>
        <v>-3.1</v>
      </c>
      <c r="O226" s="1">
        <v>127.29999999999998</v>
      </c>
      <c r="P226" s="1">
        <v>187</v>
      </c>
      <c r="Q226" s="11">
        <f t="shared" si="35"/>
        <v>1.1241935483870966</v>
      </c>
      <c r="R226" s="9">
        <f t="shared" si="24"/>
        <v>3.4849999999999994</v>
      </c>
      <c r="S226" s="9">
        <f t="shared" si="25"/>
        <v>-3.4849999999999994</v>
      </c>
      <c r="T226" s="95">
        <f t="shared" si="32"/>
        <v>125.87112903225805</v>
      </c>
      <c r="V226" s="1">
        <v>1636.4</v>
      </c>
      <c r="W226" s="1">
        <f t="shared" si="26"/>
        <v>152.93457943925236</v>
      </c>
      <c r="X226" s="1">
        <f t="shared" si="31"/>
        <v>94793.8</v>
      </c>
      <c r="Y226" s="1">
        <f t="shared" si="34"/>
        <v>36043.4</v>
      </c>
      <c r="AA226" s="1">
        <v>11.464213052906</v>
      </c>
      <c r="AB226" s="93" t="s">
        <v>57</v>
      </c>
      <c r="AC226" s="93" t="s">
        <v>59</v>
      </c>
    </row>
    <row r="227" spans="1:29" s="1" customFormat="1" x14ac:dyDescent="0.25">
      <c r="A227" s="81"/>
      <c r="B227" s="7"/>
      <c r="C227" s="3">
        <v>41708</v>
      </c>
      <c r="D227" s="1">
        <v>10.8</v>
      </c>
      <c r="E227" s="12">
        <v>1.2</v>
      </c>
      <c r="F227" s="1">
        <v>18.600000000000001</v>
      </c>
      <c r="G227" s="1">
        <f t="shared" si="28"/>
        <v>1678.8999999999996</v>
      </c>
      <c r="H227" s="1">
        <f t="shared" si="33"/>
        <v>542.29999999999995</v>
      </c>
      <c r="J227" s="94">
        <v>0</v>
      </c>
      <c r="K227" s="1">
        <f t="shared" si="29"/>
        <v>477.69999999999993</v>
      </c>
      <c r="L227" s="1">
        <v>2.6</v>
      </c>
      <c r="M227" s="1">
        <f t="shared" si="30"/>
        <v>184.1</v>
      </c>
      <c r="N227" s="5">
        <f t="shared" si="27"/>
        <v>-2.6</v>
      </c>
      <c r="O227" s="1">
        <v>124.69999999999999</v>
      </c>
      <c r="P227" s="1">
        <v>188</v>
      </c>
      <c r="Q227" s="11">
        <f t="shared" si="35"/>
        <v>1.1258064516129032</v>
      </c>
      <c r="R227" s="9">
        <f t="shared" si="24"/>
        <v>2.9270967741935485</v>
      </c>
      <c r="S227" s="9">
        <f t="shared" si="25"/>
        <v>-2.9270967741935485</v>
      </c>
      <c r="T227" s="9">
        <f t="shared" si="32"/>
        <v>122.94403225806451</v>
      </c>
      <c r="V227" s="1">
        <v>1709.4</v>
      </c>
      <c r="W227" s="1">
        <f t="shared" si="26"/>
        <v>158.27777777777777</v>
      </c>
      <c r="X227" s="1">
        <f t="shared" si="31"/>
        <v>96503.2</v>
      </c>
      <c r="Y227" s="1">
        <f t="shared" si="34"/>
        <v>37752.800000000003</v>
      </c>
      <c r="AA227" s="1">
        <v>11.521367588318</v>
      </c>
      <c r="AB227" s="1">
        <v>3</v>
      </c>
      <c r="AC227" s="9">
        <f>(AB215*(50/80))+(AB231*(30/80))</f>
        <v>15.475000000000001</v>
      </c>
    </row>
    <row r="228" spans="1:29" s="1" customFormat="1" x14ac:dyDescent="0.25">
      <c r="A228" s="81"/>
      <c r="B228" s="7"/>
      <c r="C228" s="3">
        <v>41709</v>
      </c>
      <c r="D228" s="1">
        <v>10.6</v>
      </c>
      <c r="E228" s="1">
        <v>6</v>
      </c>
      <c r="F228" s="1">
        <v>14.6</v>
      </c>
      <c r="G228" s="1">
        <f t="shared" si="28"/>
        <v>1689.4999999999995</v>
      </c>
      <c r="H228" s="1">
        <f t="shared" si="33"/>
        <v>552.9</v>
      </c>
      <c r="J228" s="94">
        <v>0</v>
      </c>
      <c r="K228" s="1">
        <f t="shared" si="29"/>
        <v>477.69999999999993</v>
      </c>
      <c r="L228" s="1">
        <v>2.4</v>
      </c>
      <c r="M228" s="1">
        <f t="shared" si="30"/>
        <v>186.5</v>
      </c>
      <c r="N228" s="5">
        <f t="shared" si="27"/>
        <v>-2.4</v>
      </c>
      <c r="O228" s="1">
        <v>122.29999999999998</v>
      </c>
      <c r="P228" s="1">
        <v>189</v>
      </c>
      <c r="Q228" s="11">
        <f t="shared" si="35"/>
        <v>1.1274193548387097</v>
      </c>
      <c r="R228" s="9">
        <f t="shared" si="24"/>
        <v>2.705806451612903</v>
      </c>
      <c r="S228" s="9">
        <f t="shared" si="25"/>
        <v>-2.705806451612903</v>
      </c>
      <c r="T228" s="9">
        <f t="shared" si="32"/>
        <v>120.23822580645161</v>
      </c>
      <c r="V228" s="1">
        <v>1533.3</v>
      </c>
      <c r="W228" s="1">
        <f t="shared" si="26"/>
        <v>144.65094339622641</v>
      </c>
      <c r="X228" s="1">
        <f t="shared" si="31"/>
        <v>98036.5</v>
      </c>
      <c r="Y228" s="1">
        <f t="shared" si="34"/>
        <v>39286.100000000006</v>
      </c>
      <c r="AA228" s="1">
        <v>11.5785791477761</v>
      </c>
      <c r="AB228" s="93" t="s">
        <v>58</v>
      </c>
    </row>
    <row r="229" spans="1:29" s="1" customFormat="1" x14ac:dyDescent="0.25">
      <c r="A229" s="81"/>
      <c r="B229" s="7"/>
      <c r="C229" s="3">
        <v>41710</v>
      </c>
      <c r="D229" s="1">
        <v>9.6999999999999993</v>
      </c>
      <c r="E229" s="12">
        <v>3.5</v>
      </c>
      <c r="F229" s="1">
        <v>15.7</v>
      </c>
      <c r="G229" s="1">
        <f t="shared" si="28"/>
        <v>1699.1999999999996</v>
      </c>
      <c r="H229" s="1">
        <f t="shared" si="33"/>
        <v>562.6</v>
      </c>
      <c r="J229" s="94">
        <v>0</v>
      </c>
      <c r="K229" s="1">
        <f t="shared" si="29"/>
        <v>477.69999999999993</v>
      </c>
      <c r="L229" s="1">
        <v>2.7</v>
      </c>
      <c r="M229" s="1">
        <f t="shared" si="30"/>
        <v>189.2</v>
      </c>
      <c r="N229" s="5">
        <f t="shared" si="27"/>
        <v>-2.7</v>
      </c>
      <c r="O229" s="1">
        <v>119.59999999999998</v>
      </c>
      <c r="P229" s="1">
        <v>190</v>
      </c>
      <c r="Q229" s="11">
        <f t="shared" si="35"/>
        <v>1.129032258064516</v>
      </c>
      <c r="R229" s="9">
        <f t="shared" si="24"/>
        <v>3.0483870967741935</v>
      </c>
      <c r="S229" s="9">
        <f t="shared" si="25"/>
        <v>-3.0483870967741935</v>
      </c>
      <c r="T229" s="95">
        <f t="shared" si="32"/>
        <v>117.18983870967742</v>
      </c>
      <c r="V229" s="1">
        <v>1542.7</v>
      </c>
      <c r="W229" s="1">
        <f t="shared" si="26"/>
        <v>159.04123711340208</v>
      </c>
      <c r="X229" s="1">
        <f t="shared" si="31"/>
        <v>99579.199999999997</v>
      </c>
      <c r="Y229" s="1">
        <f t="shared" si="34"/>
        <v>40828.800000000003</v>
      </c>
      <c r="AA229" s="1">
        <v>11.6358405353695</v>
      </c>
      <c r="AB229" s="1">
        <v>0</v>
      </c>
    </row>
    <row r="230" spans="1:29" s="1" customFormat="1" x14ac:dyDescent="0.25">
      <c r="A230" s="81"/>
      <c r="B230" s="7"/>
      <c r="C230" s="3">
        <v>41711</v>
      </c>
      <c r="D230" s="1">
        <v>9</v>
      </c>
      <c r="E230" s="12">
        <v>0.4</v>
      </c>
      <c r="F230" s="1">
        <v>16.5</v>
      </c>
      <c r="G230" s="1">
        <f t="shared" si="28"/>
        <v>1708.1999999999996</v>
      </c>
      <c r="H230" s="1">
        <f t="shared" si="33"/>
        <v>571.6</v>
      </c>
      <c r="J230" s="94">
        <v>0</v>
      </c>
      <c r="K230" s="1">
        <f t="shared" si="29"/>
        <v>477.69999999999993</v>
      </c>
      <c r="L230" s="1">
        <v>2.4</v>
      </c>
      <c r="M230" s="1">
        <f t="shared" si="30"/>
        <v>191.6</v>
      </c>
      <c r="N230" s="5">
        <f t="shared" si="27"/>
        <v>-2.4</v>
      </c>
      <c r="O230" s="1">
        <v>117.19999999999997</v>
      </c>
      <c r="P230" s="1">
        <v>191</v>
      </c>
      <c r="Q230" s="11">
        <f t="shared" si="35"/>
        <v>1.1306451612903226</v>
      </c>
      <c r="R230" s="9">
        <f t="shared" si="24"/>
        <v>2.713548387096774</v>
      </c>
      <c r="S230" s="9">
        <f t="shared" si="25"/>
        <v>-2.713548387096774</v>
      </c>
      <c r="T230" s="95">
        <f t="shared" si="32"/>
        <v>114.47629032258064</v>
      </c>
      <c r="V230" s="1">
        <v>1538.7</v>
      </c>
      <c r="W230" s="1">
        <f t="shared" si="26"/>
        <v>170.96666666666667</v>
      </c>
      <c r="X230" s="1">
        <f t="shared" si="31"/>
        <v>101117.9</v>
      </c>
      <c r="Y230" s="1">
        <f t="shared" si="34"/>
        <v>42367.5</v>
      </c>
      <c r="AA230" s="1">
        <v>11.693144758041599</v>
      </c>
      <c r="AB230" s="93" t="s">
        <v>59</v>
      </c>
    </row>
    <row r="231" spans="1:29" s="1" customFormat="1" x14ac:dyDescent="0.25">
      <c r="A231" s="81"/>
      <c r="B231" s="7"/>
      <c r="C231" s="3">
        <v>41712</v>
      </c>
      <c r="D231" s="1">
        <v>9.3000000000000007</v>
      </c>
      <c r="E231" s="12">
        <v>0.8</v>
      </c>
      <c r="F231" s="1">
        <v>16.100000000000001</v>
      </c>
      <c r="G231" s="1">
        <f t="shared" si="28"/>
        <v>1717.4999999999995</v>
      </c>
      <c r="H231" s="1">
        <f t="shared" si="33"/>
        <v>580.9</v>
      </c>
      <c r="J231" s="94">
        <v>0</v>
      </c>
      <c r="K231" s="1">
        <f t="shared" si="29"/>
        <v>477.69999999999993</v>
      </c>
      <c r="L231" s="1">
        <v>2.4</v>
      </c>
      <c r="M231" s="1">
        <f t="shared" si="30"/>
        <v>194</v>
      </c>
      <c r="N231" s="5">
        <f t="shared" si="27"/>
        <v>-2.4</v>
      </c>
      <c r="O231" s="1">
        <v>114.79999999999997</v>
      </c>
      <c r="P231" s="1">
        <v>192</v>
      </c>
      <c r="Q231" s="11">
        <f t="shared" si="35"/>
        <v>1.1322580645161289</v>
      </c>
      <c r="R231" s="9">
        <f t="shared" si="24"/>
        <v>2.7174193548387091</v>
      </c>
      <c r="S231" s="9">
        <f t="shared" si="25"/>
        <v>-2.7174193548387091</v>
      </c>
      <c r="T231" s="95">
        <f t="shared" si="32"/>
        <v>111.75887096774193</v>
      </c>
      <c r="V231" s="1">
        <v>1546.2</v>
      </c>
      <c r="W231" s="1">
        <f t="shared" si="26"/>
        <v>166.25806451612902</v>
      </c>
      <c r="X231" s="1">
        <f t="shared" si="31"/>
        <v>102664.09999999999</v>
      </c>
      <c r="Y231" s="1">
        <f t="shared" si="34"/>
        <v>43913.7</v>
      </c>
      <c r="AA231" s="1">
        <v>11.750485007715501</v>
      </c>
      <c r="AB231" s="1">
        <f>SUM(J233:J242)</f>
        <v>11.100000000000001</v>
      </c>
    </row>
    <row r="232" spans="1:29" s="89" customFormat="1" x14ac:dyDescent="0.25">
      <c r="A232" s="81"/>
      <c r="B232" s="87" t="s">
        <v>54</v>
      </c>
      <c r="C232" s="88">
        <v>41713</v>
      </c>
      <c r="D232" s="89">
        <v>8.9</v>
      </c>
      <c r="E232" s="89">
        <v>5.5</v>
      </c>
      <c r="F232" s="89">
        <v>13.2</v>
      </c>
      <c r="G232" s="89">
        <f t="shared" si="28"/>
        <v>1726.3999999999996</v>
      </c>
      <c r="H232" s="89">
        <f t="shared" si="33"/>
        <v>589.79999999999995</v>
      </c>
      <c r="J232" s="89">
        <v>0</v>
      </c>
      <c r="K232" s="89">
        <f t="shared" si="29"/>
        <v>477.69999999999993</v>
      </c>
      <c r="L232" s="89">
        <v>1.7</v>
      </c>
      <c r="M232" s="89">
        <f t="shared" si="30"/>
        <v>195.7</v>
      </c>
      <c r="N232" s="90">
        <f t="shared" si="27"/>
        <v>-1.7</v>
      </c>
      <c r="O232" s="89">
        <v>113.09999999999997</v>
      </c>
      <c r="P232" s="89">
        <v>193</v>
      </c>
      <c r="Q232" s="91">
        <f t="shared" si="35"/>
        <v>1.1338709677419354</v>
      </c>
      <c r="R232" s="92">
        <f t="shared" ref="R232:R295" si="36">Q232*L232</f>
        <v>1.9275806451612902</v>
      </c>
      <c r="S232" s="92">
        <f t="shared" ref="S232:S295" si="37">J232-R232</f>
        <v>-1.9275806451612902</v>
      </c>
      <c r="T232" s="92">
        <f t="shared" si="32"/>
        <v>109.83129032258064</v>
      </c>
      <c r="V232" s="89">
        <v>1187.4000000000001</v>
      </c>
      <c r="W232" s="89">
        <f t="shared" ref="W232:W295" si="38">V232/D232</f>
        <v>133.41573033707866</v>
      </c>
      <c r="X232" s="89">
        <f t="shared" si="31"/>
        <v>103851.49999999999</v>
      </c>
      <c r="Y232" s="89">
        <f t="shared" si="34"/>
        <v>45101.1</v>
      </c>
      <c r="AA232" s="89">
        <v>11.8078546435056</v>
      </c>
    </row>
    <row r="233" spans="1:29" s="1" customFormat="1" x14ac:dyDescent="0.25">
      <c r="A233" s="81"/>
      <c r="B233" s="7"/>
      <c r="C233" s="3">
        <v>41714</v>
      </c>
      <c r="D233" s="1">
        <v>8.1</v>
      </c>
      <c r="E233" s="12">
        <v>2.1</v>
      </c>
      <c r="F233" s="1">
        <v>13.2</v>
      </c>
      <c r="G233" s="1">
        <f t="shared" si="28"/>
        <v>1734.4999999999995</v>
      </c>
      <c r="H233" s="1">
        <f t="shared" si="33"/>
        <v>597.9</v>
      </c>
      <c r="J233" s="94">
        <v>0.2</v>
      </c>
      <c r="K233" s="1">
        <f t="shared" si="29"/>
        <v>477.89999999999992</v>
      </c>
      <c r="L233" s="1">
        <v>1.7</v>
      </c>
      <c r="M233" s="1">
        <f t="shared" si="30"/>
        <v>197.39999999999998</v>
      </c>
      <c r="N233" s="5">
        <f t="shared" ref="N233:N296" si="39">J233-L233</f>
        <v>-1.5</v>
      </c>
      <c r="O233" s="1">
        <v>111.59999999999997</v>
      </c>
      <c r="P233" s="1">
        <v>194</v>
      </c>
      <c r="Q233" s="11">
        <f t="shared" si="35"/>
        <v>1.1354838709677419</v>
      </c>
      <c r="R233" s="9">
        <f t="shared" si="36"/>
        <v>1.9303225806451612</v>
      </c>
      <c r="S233" s="9">
        <f t="shared" si="37"/>
        <v>-1.7303225806451612</v>
      </c>
      <c r="T233" s="95">
        <f t="shared" si="32"/>
        <v>108.10096774193548</v>
      </c>
      <c r="V233" s="1">
        <v>1422.4</v>
      </c>
      <c r="W233" s="1">
        <f t="shared" si="38"/>
        <v>175.60493827160496</v>
      </c>
      <c r="X233" s="1">
        <f t="shared" si="31"/>
        <v>105273.89999999998</v>
      </c>
      <c r="Y233" s="1">
        <f t="shared" si="34"/>
        <v>46523.5</v>
      </c>
      <c r="AA233" s="1">
        <v>11.865247174022199</v>
      </c>
    </row>
    <row r="234" spans="1:29" s="1" customFormat="1" x14ac:dyDescent="0.25">
      <c r="A234" s="81"/>
      <c r="B234" s="7"/>
      <c r="C234" s="3">
        <v>41715</v>
      </c>
      <c r="D234" s="1">
        <v>5.7</v>
      </c>
      <c r="E234" s="12">
        <v>3.2</v>
      </c>
      <c r="F234" s="1">
        <v>10.199999999999999</v>
      </c>
      <c r="G234" s="1">
        <f t="shared" ref="G234:G297" si="40">G233+D234</f>
        <v>1740.1999999999996</v>
      </c>
      <c r="H234" s="1">
        <f t="shared" si="33"/>
        <v>603.6</v>
      </c>
      <c r="J234" s="94">
        <v>0.1</v>
      </c>
      <c r="K234" s="1">
        <f t="shared" ref="K234:K297" si="41">K233+J234</f>
        <v>477.99999999999994</v>
      </c>
      <c r="L234" s="1">
        <v>0.7</v>
      </c>
      <c r="M234" s="1">
        <f t="shared" ref="M234:M297" si="42">M233+L234</f>
        <v>198.09999999999997</v>
      </c>
      <c r="N234" s="5">
        <f t="shared" si="39"/>
        <v>-0.6</v>
      </c>
      <c r="O234" s="1">
        <v>110.99999999999997</v>
      </c>
      <c r="P234" s="1">
        <v>195</v>
      </c>
      <c r="Q234" s="11">
        <f t="shared" si="35"/>
        <v>1.1370967741935483</v>
      </c>
      <c r="R234" s="9">
        <f t="shared" si="36"/>
        <v>0.7959677419354837</v>
      </c>
      <c r="S234" s="9">
        <f t="shared" si="37"/>
        <v>-0.69596774193548372</v>
      </c>
      <c r="T234" s="95">
        <f t="shared" si="32"/>
        <v>107.40499999999999</v>
      </c>
      <c r="V234" s="10">
        <v>570</v>
      </c>
      <c r="W234" s="1">
        <f t="shared" si="38"/>
        <v>100</v>
      </c>
      <c r="X234" s="1">
        <f t="shared" ref="X234:X297" si="43">X233+V234</f>
        <v>105843.89999999998</v>
      </c>
      <c r="Y234" s="1">
        <f t="shared" si="34"/>
        <v>47093.5</v>
      </c>
      <c r="AA234" s="1">
        <v>11.922656239771401</v>
      </c>
    </row>
    <row r="235" spans="1:29" s="28" customFormat="1" x14ac:dyDescent="0.25">
      <c r="A235" s="81"/>
      <c r="B235" s="7"/>
      <c r="C235" s="22">
        <v>41716</v>
      </c>
      <c r="D235" s="23">
        <v>6.6</v>
      </c>
      <c r="E235" s="24">
        <v>1.6</v>
      </c>
      <c r="F235" s="23">
        <v>10.3</v>
      </c>
      <c r="G235" s="23">
        <f t="shared" si="40"/>
        <v>1746.7999999999995</v>
      </c>
      <c r="H235" s="23">
        <f t="shared" si="33"/>
        <v>610.20000000000005</v>
      </c>
      <c r="I235" s="23"/>
      <c r="J235" s="97">
        <v>0</v>
      </c>
      <c r="K235" s="23">
        <f t="shared" si="41"/>
        <v>477.99999999999994</v>
      </c>
      <c r="L235" s="23">
        <v>0.7</v>
      </c>
      <c r="M235" s="23">
        <f t="shared" si="42"/>
        <v>198.79999999999995</v>
      </c>
      <c r="N235" s="25">
        <f t="shared" si="39"/>
        <v>-0.7</v>
      </c>
      <c r="O235" s="23">
        <v>110.29999999999997</v>
      </c>
      <c r="P235" s="23">
        <v>196</v>
      </c>
      <c r="Q235" s="11">
        <f t="shared" si="35"/>
        <v>1.1387096774193548</v>
      </c>
      <c r="R235" s="26">
        <f t="shared" si="36"/>
        <v>0.7970967741935483</v>
      </c>
      <c r="S235" s="26">
        <f t="shared" si="37"/>
        <v>-0.7970967741935483</v>
      </c>
      <c r="T235" s="95">
        <f t="shared" si="32"/>
        <v>106.60790322580644</v>
      </c>
      <c r="U235" s="23"/>
      <c r="V235" s="27">
        <v>787.1</v>
      </c>
      <c r="W235" s="23">
        <f t="shared" si="38"/>
        <v>119.25757575757576</v>
      </c>
      <c r="X235" s="23">
        <f t="shared" si="43"/>
        <v>106630.99999999999</v>
      </c>
      <c r="Y235" s="1">
        <f t="shared" si="34"/>
        <v>47880.6</v>
      </c>
      <c r="AA235" s="1">
        <v>11.980075595655601</v>
      </c>
    </row>
    <row r="236" spans="1:29" s="1" customFormat="1" ht="15" customHeight="1" x14ac:dyDescent="0.25">
      <c r="A236" s="81"/>
      <c r="B236" s="7"/>
      <c r="C236" s="29">
        <v>41717</v>
      </c>
      <c r="D236" s="1">
        <v>8.8000000000000007</v>
      </c>
      <c r="E236" s="1">
        <v>2.2999999999999998</v>
      </c>
      <c r="F236" s="1">
        <v>14</v>
      </c>
      <c r="G236" s="1">
        <f t="shared" si="40"/>
        <v>1755.5999999999995</v>
      </c>
      <c r="H236" s="1">
        <f t="shared" si="33"/>
        <v>619</v>
      </c>
      <c r="J236" s="94">
        <v>0</v>
      </c>
      <c r="K236" s="1">
        <f t="shared" si="41"/>
        <v>477.99999999999994</v>
      </c>
      <c r="L236" s="1">
        <v>2.1</v>
      </c>
      <c r="M236" s="1">
        <f t="shared" si="42"/>
        <v>200.89999999999995</v>
      </c>
      <c r="N236" s="1">
        <f t="shared" si="39"/>
        <v>-2.1</v>
      </c>
      <c r="O236" s="1">
        <v>108.19999999999997</v>
      </c>
      <c r="P236" s="1">
        <v>197</v>
      </c>
      <c r="Q236" s="11">
        <f t="shared" si="35"/>
        <v>1.1403225806451611</v>
      </c>
      <c r="R236" s="9">
        <f t="shared" si="36"/>
        <v>2.3946774193548386</v>
      </c>
      <c r="S236" s="9">
        <f t="shared" si="37"/>
        <v>-2.3946774193548386</v>
      </c>
      <c r="T236" s="95">
        <f t="shared" si="32"/>
        <v>104.2132258064516</v>
      </c>
      <c r="V236" s="1">
        <v>1574.3</v>
      </c>
      <c r="W236" s="1">
        <f t="shared" si="38"/>
        <v>178.89772727272725</v>
      </c>
      <c r="X236" s="1">
        <f t="shared" si="43"/>
        <v>108205.29999999999</v>
      </c>
      <c r="Y236" s="1">
        <f t="shared" si="34"/>
        <v>49454.9</v>
      </c>
      <c r="AA236" s="1">
        <v>12.037499093573899</v>
      </c>
    </row>
    <row r="237" spans="1:29" s="1" customFormat="1" x14ac:dyDescent="0.25">
      <c r="A237" s="81"/>
      <c r="B237" s="7"/>
      <c r="C237" s="3">
        <v>41718</v>
      </c>
      <c r="D237" s="1">
        <v>11.6</v>
      </c>
      <c r="E237" s="12">
        <v>3.5</v>
      </c>
      <c r="F237" s="1">
        <v>18.5</v>
      </c>
      <c r="G237" s="1">
        <f t="shared" si="40"/>
        <v>1767.1999999999994</v>
      </c>
      <c r="H237" s="1">
        <f t="shared" si="33"/>
        <v>630.6</v>
      </c>
      <c r="J237" s="94">
        <v>0</v>
      </c>
      <c r="K237" s="1">
        <f t="shared" si="41"/>
        <v>477.99999999999994</v>
      </c>
      <c r="L237" s="1">
        <v>3</v>
      </c>
      <c r="M237" s="1">
        <f t="shared" si="42"/>
        <v>203.89999999999995</v>
      </c>
      <c r="N237" s="5">
        <f t="shared" si="39"/>
        <v>-3</v>
      </c>
      <c r="O237" s="1">
        <v>105.19999999999997</v>
      </c>
      <c r="P237" s="1">
        <v>198</v>
      </c>
      <c r="Q237" s="11">
        <f t="shared" si="35"/>
        <v>1.1419354838709677</v>
      </c>
      <c r="R237" s="9">
        <f t="shared" si="36"/>
        <v>3.4258064516129032</v>
      </c>
      <c r="S237" s="9">
        <f t="shared" si="37"/>
        <v>-3.4258064516129032</v>
      </c>
      <c r="T237" s="95">
        <f t="shared" ref="T237:T300" si="44">MIN(138.9,(T236+S237))</f>
        <v>100.7874193548387</v>
      </c>
      <c r="V237" s="1">
        <v>1883.6</v>
      </c>
      <c r="W237" s="1">
        <f t="shared" si="38"/>
        <v>162.37931034482759</v>
      </c>
      <c r="X237" s="1">
        <f t="shared" si="43"/>
        <v>110088.9</v>
      </c>
      <c r="Y237" s="1">
        <f t="shared" si="34"/>
        <v>51338.5</v>
      </c>
      <c r="AA237" s="1">
        <v>12.0949206651238</v>
      </c>
    </row>
    <row r="238" spans="1:29" s="1" customFormat="1" x14ac:dyDescent="0.25">
      <c r="A238" s="81"/>
      <c r="B238" s="7"/>
      <c r="C238" s="3">
        <v>41719</v>
      </c>
      <c r="D238" s="1">
        <v>10.8</v>
      </c>
      <c r="E238" s="1">
        <v>9.1999999999999993</v>
      </c>
      <c r="F238" s="1">
        <v>12.4</v>
      </c>
      <c r="G238" s="1">
        <f t="shared" si="40"/>
        <v>1777.9999999999993</v>
      </c>
      <c r="H238" s="1">
        <f t="shared" si="33"/>
        <v>641.4</v>
      </c>
      <c r="J238" s="94">
        <v>1.1000000000000001</v>
      </c>
      <c r="K238" s="1">
        <f t="shared" si="41"/>
        <v>479.09999999999997</v>
      </c>
      <c r="L238" s="1">
        <v>1.3</v>
      </c>
      <c r="M238" s="1">
        <f t="shared" si="42"/>
        <v>205.19999999999996</v>
      </c>
      <c r="N238" s="5">
        <f t="shared" si="39"/>
        <v>-0.19999999999999996</v>
      </c>
      <c r="O238" s="1">
        <v>104.99999999999997</v>
      </c>
      <c r="P238" s="1">
        <v>199</v>
      </c>
      <c r="Q238" s="11">
        <f t="shared" si="35"/>
        <v>1.1435483870967742</v>
      </c>
      <c r="R238" s="9">
        <f t="shared" si="36"/>
        <v>1.4866129032258064</v>
      </c>
      <c r="S238" s="9">
        <f t="shared" si="37"/>
        <v>-0.38661290322580633</v>
      </c>
      <c r="T238" s="95">
        <f t="shared" si="44"/>
        <v>100.40080645161289</v>
      </c>
      <c r="V238" s="10">
        <v>413.6</v>
      </c>
      <c r="W238" s="1">
        <f t="shared" si="38"/>
        <v>38.296296296296298</v>
      </c>
      <c r="X238" s="1">
        <f t="shared" si="43"/>
        <v>110502.5</v>
      </c>
      <c r="Y238" s="1">
        <f t="shared" si="34"/>
        <v>51752.1</v>
      </c>
      <c r="AA238" s="1">
        <v>12.1523343044034</v>
      </c>
    </row>
    <row r="239" spans="1:29" s="1" customFormat="1" x14ac:dyDescent="0.25">
      <c r="A239" s="81"/>
      <c r="B239" s="7"/>
      <c r="C239" s="3">
        <v>41720</v>
      </c>
      <c r="D239" s="1">
        <v>7.7</v>
      </c>
      <c r="E239" s="1">
        <v>7.2</v>
      </c>
      <c r="F239" s="1">
        <v>9.3000000000000007</v>
      </c>
      <c r="G239" s="1">
        <f t="shared" si="40"/>
        <v>1785.6999999999994</v>
      </c>
      <c r="H239" s="1">
        <f t="shared" si="33"/>
        <v>649.1</v>
      </c>
      <c r="J239" s="94">
        <v>2.2000000000000002</v>
      </c>
      <c r="K239" s="1">
        <f t="shared" si="41"/>
        <v>481.29999999999995</v>
      </c>
      <c r="L239" s="1">
        <v>1.5</v>
      </c>
      <c r="M239" s="1">
        <f t="shared" si="42"/>
        <v>206.69999999999996</v>
      </c>
      <c r="N239" s="1">
        <f t="shared" si="39"/>
        <v>0.70000000000000018</v>
      </c>
      <c r="O239" s="1">
        <v>105.69999999999997</v>
      </c>
      <c r="P239" s="1">
        <v>200</v>
      </c>
      <c r="Q239" s="11">
        <f t="shared" si="35"/>
        <v>1.1451612903225805</v>
      </c>
      <c r="R239" s="9">
        <f t="shared" si="36"/>
        <v>1.7177419354838708</v>
      </c>
      <c r="S239" s="9">
        <f t="shared" si="37"/>
        <v>0.4822580645161294</v>
      </c>
      <c r="T239" s="95">
        <f t="shared" si="44"/>
        <v>100.88306451612902</v>
      </c>
      <c r="V239" s="10">
        <v>572.29999999999995</v>
      </c>
      <c r="W239" s="1">
        <f t="shared" si="38"/>
        <v>74.324675324675312</v>
      </c>
      <c r="X239" s="1">
        <f t="shared" si="43"/>
        <v>111074.8</v>
      </c>
      <c r="Y239" s="1">
        <f t="shared" si="34"/>
        <v>52324.4</v>
      </c>
      <c r="AA239" s="1">
        <v>12.209734050913401</v>
      </c>
    </row>
    <row r="240" spans="1:29" s="1" customFormat="1" x14ac:dyDescent="0.25">
      <c r="A240" s="81"/>
      <c r="B240" s="7"/>
      <c r="C240" s="3">
        <v>41721</v>
      </c>
      <c r="D240" s="1">
        <v>5.5</v>
      </c>
      <c r="E240" s="12">
        <v>1.8</v>
      </c>
      <c r="F240" s="1">
        <v>10.5</v>
      </c>
      <c r="G240" s="1">
        <f t="shared" si="40"/>
        <v>1791.1999999999994</v>
      </c>
      <c r="H240" s="1">
        <f t="shared" si="33"/>
        <v>654.6</v>
      </c>
      <c r="J240" s="94">
        <v>1.1000000000000001</v>
      </c>
      <c r="K240" s="1">
        <f t="shared" si="41"/>
        <v>482.4</v>
      </c>
      <c r="L240" s="1">
        <v>1.6</v>
      </c>
      <c r="M240" s="1">
        <f t="shared" si="42"/>
        <v>208.29999999999995</v>
      </c>
      <c r="N240" s="5">
        <f t="shared" si="39"/>
        <v>-0.5</v>
      </c>
      <c r="O240" s="1">
        <v>105.19999999999997</v>
      </c>
      <c r="P240" s="1">
        <v>201</v>
      </c>
      <c r="Q240" s="11">
        <f t="shared" si="35"/>
        <v>1.1467741935483871</v>
      </c>
      <c r="R240" s="9">
        <f t="shared" si="36"/>
        <v>1.8348387096774195</v>
      </c>
      <c r="S240" s="9">
        <f t="shared" si="37"/>
        <v>-0.73483870967741938</v>
      </c>
      <c r="T240" s="95">
        <f t="shared" si="44"/>
        <v>100.14822580645161</v>
      </c>
      <c r="V240" s="1">
        <v>959.5</v>
      </c>
      <c r="W240" s="1">
        <f t="shared" si="38"/>
        <v>174.45454545454547</v>
      </c>
      <c r="X240" s="1">
        <f t="shared" si="43"/>
        <v>112034.3</v>
      </c>
      <c r="Y240" s="1">
        <f t="shared" si="34"/>
        <v>53283.9</v>
      </c>
      <c r="AA240" s="1">
        <v>12.2671139725558</v>
      </c>
    </row>
    <row r="241" spans="1:27" s="1" customFormat="1" x14ac:dyDescent="0.25">
      <c r="A241" s="81"/>
      <c r="B241" s="7"/>
      <c r="C241" s="3">
        <v>41722</v>
      </c>
      <c r="D241" s="1">
        <v>6</v>
      </c>
      <c r="E241" s="19">
        <v>-0.2</v>
      </c>
      <c r="F241" s="1">
        <v>10.9</v>
      </c>
      <c r="G241" s="1">
        <f t="shared" si="40"/>
        <v>1797.1999999999994</v>
      </c>
      <c r="H241" s="1">
        <f t="shared" si="33"/>
        <v>660.6</v>
      </c>
      <c r="J241" s="94">
        <v>4.5999999999999996</v>
      </c>
      <c r="K241" s="1">
        <f t="shared" si="41"/>
        <v>487</v>
      </c>
      <c r="L241" s="1">
        <v>1.3</v>
      </c>
      <c r="M241" s="1">
        <f t="shared" si="42"/>
        <v>209.59999999999997</v>
      </c>
      <c r="N241" s="1">
        <f t="shared" si="39"/>
        <v>3.3</v>
      </c>
      <c r="O241" s="1">
        <v>108.49999999999997</v>
      </c>
      <c r="P241" s="1">
        <v>202</v>
      </c>
      <c r="Q241" s="11">
        <f t="shared" si="35"/>
        <v>1.1483870967741934</v>
      </c>
      <c r="R241" s="9">
        <f t="shared" si="36"/>
        <v>1.4929032258064514</v>
      </c>
      <c r="S241" s="9">
        <f t="shared" si="37"/>
        <v>3.1070967741935482</v>
      </c>
      <c r="T241" s="95">
        <f t="shared" si="44"/>
        <v>103.25532258064516</v>
      </c>
      <c r="V241" s="1">
        <v>1080.7</v>
      </c>
      <c r="W241" s="1">
        <f t="shared" si="38"/>
        <v>180.11666666666667</v>
      </c>
      <c r="X241" s="1">
        <f t="shared" si="43"/>
        <v>113115</v>
      </c>
      <c r="Y241" s="1">
        <f t="shared" si="34"/>
        <v>54364.6</v>
      </c>
      <c r="AA241" s="1">
        <v>12.324468148729499</v>
      </c>
    </row>
    <row r="242" spans="1:27" s="48" customFormat="1" ht="15.75" thickBot="1" x14ac:dyDescent="0.3">
      <c r="A242" s="81"/>
      <c r="B242" s="46"/>
      <c r="C242" s="47">
        <v>41723</v>
      </c>
      <c r="D242" s="48">
        <v>7.8</v>
      </c>
      <c r="E242" s="48">
        <v>5.0999999999999996</v>
      </c>
      <c r="F242" s="48">
        <v>11.1</v>
      </c>
      <c r="G242" s="48">
        <f t="shared" si="40"/>
        <v>1804.9999999999993</v>
      </c>
      <c r="H242" s="48">
        <f t="shared" si="33"/>
        <v>668.4</v>
      </c>
      <c r="J242" s="98">
        <v>1.8</v>
      </c>
      <c r="K242" s="48">
        <f t="shared" si="41"/>
        <v>488.8</v>
      </c>
      <c r="L242" s="48">
        <v>1.5</v>
      </c>
      <c r="M242" s="48">
        <f t="shared" si="42"/>
        <v>211.09999999999997</v>
      </c>
      <c r="N242" s="48">
        <f t="shared" si="39"/>
        <v>0.30000000000000004</v>
      </c>
      <c r="O242" s="48">
        <v>108.79999999999997</v>
      </c>
      <c r="P242" s="48">
        <v>203</v>
      </c>
      <c r="Q242" s="49">
        <f t="shared" si="35"/>
        <v>1.1499999999999999</v>
      </c>
      <c r="R242" s="50">
        <f t="shared" si="36"/>
        <v>1.7249999999999999</v>
      </c>
      <c r="S242" s="50">
        <f t="shared" si="37"/>
        <v>7.5000000000000178E-2</v>
      </c>
      <c r="T242" s="96">
        <f t="shared" si="44"/>
        <v>103.33032258064516</v>
      </c>
      <c r="V242" s="48">
        <v>1226.9000000000001</v>
      </c>
      <c r="W242" s="48">
        <f t="shared" si="38"/>
        <v>157.29487179487182</v>
      </c>
      <c r="X242" s="48">
        <f t="shared" si="43"/>
        <v>114341.9</v>
      </c>
      <c r="Y242" s="48">
        <f t="shared" si="34"/>
        <v>55591.5</v>
      </c>
      <c r="AA242" s="48">
        <v>12.3817906535172</v>
      </c>
    </row>
    <row r="243" spans="1:27" s="1" customFormat="1" x14ac:dyDescent="0.25">
      <c r="A243" s="84" t="s">
        <v>52</v>
      </c>
      <c r="B243" s="7" t="s">
        <v>51</v>
      </c>
      <c r="C243" s="3">
        <v>41724</v>
      </c>
      <c r="D243" s="1">
        <v>6.6</v>
      </c>
      <c r="E243" s="12">
        <v>3.6</v>
      </c>
      <c r="F243" s="1">
        <v>11</v>
      </c>
      <c r="G243" s="1">
        <f t="shared" si="40"/>
        <v>1811.5999999999992</v>
      </c>
      <c r="H243" s="1">
        <f>D243</f>
        <v>6.6</v>
      </c>
      <c r="I243" s="31" t="s">
        <v>3</v>
      </c>
      <c r="J243" s="1">
        <v>0</v>
      </c>
      <c r="K243" s="1">
        <f t="shared" si="41"/>
        <v>488.8</v>
      </c>
      <c r="L243" s="1">
        <v>1.6</v>
      </c>
      <c r="M243" s="1">
        <f t="shared" si="42"/>
        <v>212.69999999999996</v>
      </c>
      <c r="N243" s="5">
        <f t="shared" si="39"/>
        <v>-1.6</v>
      </c>
      <c r="O243" s="1">
        <v>107.19999999999997</v>
      </c>
      <c r="P243" s="1">
        <v>204</v>
      </c>
      <c r="Q243" s="11">
        <v>1.1499999999999999</v>
      </c>
      <c r="R243" s="9">
        <f t="shared" si="36"/>
        <v>1.8399999999999999</v>
      </c>
      <c r="S243" s="9">
        <f t="shared" si="37"/>
        <v>-1.8399999999999999</v>
      </c>
      <c r="T243" s="9">
        <f t="shared" si="44"/>
        <v>101.49032258064516</v>
      </c>
      <c r="U243" s="31" t="s">
        <v>7</v>
      </c>
      <c r="V243" s="1">
        <v>1038.2</v>
      </c>
      <c r="W243" s="1">
        <f t="shared" si="38"/>
        <v>157.30303030303031</v>
      </c>
      <c r="X243" s="1">
        <f t="shared" si="43"/>
        <v>115380.09999999999</v>
      </c>
      <c r="Y243" s="1">
        <f>V243</f>
        <v>1038.2</v>
      </c>
      <c r="Z243" s="31" t="s">
        <v>5</v>
      </c>
      <c r="AA243" s="1">
        <v>12.4390755389645</v>
      </c>
    </row>
    <row r="244" spans="1:27" s="1" customFormat="1" x14ac:dyDescent="0.25">
      <c r="A244" s="84"/>
      <c r="B244" s="7"/>
      <c r="C244" s="3">
        <v>41725</v>
      </c>
      <c r="D244" s="1">
        <v>6.4</v>
      </c>
      <c r="E244" s="12">
        <v>2.2000000000000002</v>
      </c>
      <c r="F244" s="1">
        <v>10.7</v>
      </c>
      <c r="G244" s="1">
        <f t="shared" si="40"/>
        <v>1817.9999999999993</v>
      </c>
      <c r="H244" s="1">
        <f t="shared" ref="H244:H306" si="45">H243+D244</f>
        <v>13</v>
      </c>
      <c r="I244" s="1">
        <f>MIN(E243:E263)</f>
        <v>1.9</v>
      </c>
      <c r="J244" s="1">
        <v>0.2</v>
      </c>
      <c r="K244" s="1">
        <f t="shared" si="41"/>
        <v>489</v>
      </c>
      <c r="L244" s="1">
        <v>1.1000000000000001</v>
      </c>
      <c r="M244" s="1">
        <f t="shared" si="42"/>
        <v>213.79999999999995</v>
      </c>
      <c r="N244" s="5">
        <f t="shared" si="39"/>
        <v>-0.90000000000000013</v>
      </c>
      <c r="O244" s="1">
        <v>106.29999999999997</v>
      </c>
      <c r="P244" s="1">
        <v>205</v>
      </c>
      <c r="Q244" s="11">
        <v>1.1499999999999999</v>
      </c>
      <c r="R244" s="9">
        <f t="shared" si="36"/>
        <v>1.2649999999999999</v>
      </c>
      <c r="S244" s="9">
        <f t="shared" si="37"/>
        <v>-1.0649999999999999</v>
      </c>
      <c r="T244" s="9">
        <f t="shared" si="44"/>
        <v>100.42532258064516</v>
      </c>
      <c r="U244" s="1">
        <v>0</v>
      </c>
      <c r="V244" s="1">
        <v>944.6</v>
      </c>
      <c r="W244" s="1">
        <f t="shared" si="38"/>
        <v>147.59375</v>
      </c>
      <c r="X244" s="1">
        <f t="shared" si="43"/>
        <v>116324.7</v>
      </c>
      <c r="Y244" s="1">
        <f t="shared" ref="Y244:Y306" si="46">Y243+V244</f>
        <v>1982.8000000000002</v>
      </c>
      <c r="Z244" s="1">
        <v>28503.8</v>
      </c>
      <c r="AA244" s="1">
        <v>12.4963168184469</v>
      </c>
    </row>
    <row r="245" spans="1:27" s="1" customFormat="1" x14ac:dyDescent="0.25">
      <c r="A245" s="84"/>
      <c r="B245" s="7"/>
      <c r="C245" s="3">
        <v>41726</v>
      </c>
      <c r="D245" s="1">
        <v>9.1999999999999993</v>
      </c>
      <c r="E245" s="12">
        <v>3.4</v>
      </c>
      <c r="F245" s="1">
        <v>13.9</v>
      </c>
      <c r="G245" s="1">
        <f t="shared" si="40"/>
        <v>1827.1999999999994</v>
      </c>
      <c r="H245" s="1">
        <f t="shared" si="45"/>
        <v>22.2</v>
      </c>
      <c r="I245" s="31" t="s">
        <v>6</v>
      </c>
      <c r="J245" s="1">
        <v>0</v>
      </c>
      <c r="K245" s="1">
        <f t="shared" si="41"/>
        <v>489</v>
      </c>
      <c r="L245" s="1">
        <v>2.1</v>
      </c>
      <c r="M245" s="1">
        <f t="shared" si="42"/>
        <v>215.89999999999995</v>
      </c>
      <c r="N245" s="5">
        <f t="shared" si="39"/>
        <v>-2.1</v>
      </c>
      <c r="O245" s="1">
        <v>104.19999999999997</v>
      </c>
      <c r="P245" s="1">
        <v>206</v>
      </c>
      <c r="Q245" s="11">
        <v>1.1499999999999999</v>
      </c>
      <c r="R245" s="9">
        <f t="shared" si="36"/>
        <v>2.415</v>
      </c>
      <c r="S245" s="9">
        <f t="shared" si="37"/>
        <v>-2.415</v>
      </c>
      <c r="T245" s="9">
        <f t="shared" si="44"/>
        <v>98.010322580645152</v>
      </c>
      <c r="U245" s="31" t="s">
        <v>10</v>
      </c>
      <c r="V245" s="1">
        <v>1222.7</v>
      </c>
      <c r="W245" s="1">
        <f t="shared" si="38"/>
        <v>132.9021739130435</v>
      </c>
      <c r="X245" s="1">
        <f t="shared" si="43"/>
        <v>117547.4</v>
      </c>
      <c r="Y245" s="1">
        <f t="shared" si="46"/>
        <v>3205.5</v>
      </c>
      <c r="Z245" s="31" t="s">
        <v>8</v>
      </c>
      <c r="AA245" s="1">
        <v>12.553508450122401</v>
      </c>
    </row>
    <row r="246" spans="1:27" s="1" customFormat="1" x14ac:dyDescent="0.25">
      <c r="A246" s="84"/>
      <c r="B246" s="7"/>
      <c r="C246" s="3">
        <v>41727</v>
      </c>
      <c r="D246" s="1">
        <v>12.2</v>
      </c>
      <c r="E246" s="12">
        <v>4</v>
      </c>
      <c r="F246" s="1">
        <v>18.7</v>
      </c>
      <c r="G246" s="1">
        <f t="shared" si="40"/>
        <v>1839.3999999999994</v>
      </c>
      <c r="H246" s="1">
        <f t="shared" si="45"/>
        <v>34.4</v>
      </c>
      <c r="I246" s="1">
        <f>MAX(E243:E263)</f>
        <v>12.5</v>
      </c>
      <c r="J246" s="1">
        <v>0</v>
      </c>
      <c r="K246" s="1">
        <f t="shared" si="41"/>
        <v>489</v>
      </c>
      <c r="L246" s="1">
        <v>3.2</v>
      </c>
      <c r="M246" s="1">
        <f t="shared" si="42"/>
        <v>219.09999999999994</v>
      </c>
      <c r="N246" s="5">
        <f t="shared" si="39"/>
        <v>-3.2</v>
      </c>
      <c r="O246" s="1">
        <v>100.99999999999997</v>
      </c>
      <c r="P246" s="1">
        <v>207</v>
      </c>
      <c r="Q246" s="11">
        <v>1.1499999999999999</v>
      </c>
      <c r="R246" s="9">
        <f t="shared" si="36"/>
        <v>3.6799999999999997</v>
      </c>
      <c r="S246" s="9">
        <f t="shared" si="37"/>
        <v>-3.6799999999999997</v>
      </c>
      <c r="T246" s="9">
        <f t="shared" si="44"/>
        <v>94.330322580645145</v>
      </c>
      <c r="U246" s="1">
        <v>0</v>
      </c>
      <c r="V246" s="1">
        <v>1631.1</v>
      </c>
      <c r="W246" s="1">
        <f t="shared" si="38"/>
        <v>133.69672131147541</v>
      </c>
      <c r="X246" s="1">
        <f t="shared" si="43"/>
        <v>119178.5</v>
      </c>
      <c r="Y246" s="1">
        <f t="shared" si="46"/>
        <v>4836.6000000000004</v>
      </c>
      <c r="Z246" s="11">
        <f>(Z244/100)/I256</f>
        <v>1.2077881355932203</v>
      </c>
      <c r="AA246" s="1">
        <v>12.6106443204696</v>
      </c>
    </row>
    <row r="247" spans="1:27" s="23" customFormat="1" x14ac:dyDescent="0.25">
      <c r="A247" s="84"/>
      <c r="B247" s="38"/>
      <c r="C247" s="22">
        <v>41728</v>
      </c>
      <c r="D247" s="23">
        <v>11.2</v>
      </c>
      <c r="E247" s="23">
        <v>5.4</v>
      </c>
      <c r="F247" s="23">
        <v>18</v>
      </c>
      <c r="G247" s="23">
        <f t="shared" si="40"/>
        <v>1850.5999999999995</v>
      </c>
      <c r="H247" s="23">
        <f t="shared" si="45"/>
        <v>45.599999999999994</v>
      </c>
      <c r="I247" s="31" t="s">
        <v>9</v>
      </c>
      <c r="J247" s="23">
        <v>0.3</v>
      </c>
      <c r="K247" s="23">
        <f t="shared" si="41"/>
        <v>489.3</v>
      </c>
      <c r="L247" s="23">
        <v>2.2999999999999998</v>
      </c>
      <c r="M247" s="23">
        <f t="shared" si="42"/>
        <v>221.39999999999995</v>
      </c>
      <c r="N247" s="25">
        <f t="shared" si="39"/>
        <v>-1.9999999999999998</v>
      </c>
      <c r="O247" s="23">
        <v>98.999999999999972</v>
      </c>
      <c r="P247" s="23">
        <v>208</v>
      </c>
      <c r="Q247" s="58">
        <v>1.1499999999999999</v>
      </c>
      <c r="R247" s="26">
        <f t="shared" si="36"/>
        <v>2.6449999999999996</v>
      </c>
      <c r="S247" s="26">
        <f t="shared" si="37"/>
        <v>-2.3449999999999998</v>
      </c>
      <c r="T247" s="26">
        <f t="shared" si="44"/>
        <v>91.985322580645146</v>
      </c>
      <c r="U247" s="31" t="s">
        <v>13</v>
      </c>
      <c r="V247" s="23">
        <v>1523.3</v>
      </c>
      <c r="W247" s="23">
        <f t="shared" si="38"/>
        <v>136.00892857142858</v>
      </c>
      <c r="X247" s="23">
        <f t="shared" si="43"/>
        <v>120701.8</v>
      </c>
      <c r="Y247" s="23">
        <f t="shared" si="46"/>
        <v>6359.9000000000005</v>
      </c>
      <c r="Z247" s="31" t="s">
        <v>11</v>
      </c>
      <c r="AA247" s="23">
        <v>12.6677182279088</v>
      </c>
    </row>
    <row r="248" spans="1:27" s="1" customFormat="1" x14ac:dyDescent="0.25">
      <c r="A248" s="84"/>
      <c r="B248" s="2"/>
      <c r="C248" s="3">
        <v>41729</v>
      </c>
      <c r="D248" s="1">
        <v>11.6</v>
      </c>
      <c r="E248" s="1">
        <v>6.1</v>
      </c>
      <c r="F248" s="1">
        <v>15.9</v>
      </c>
      <c r="G248" s="1">
        <f t="shared" si="40"/>
        <v>1862.1999999999994</v>
      </c>
      <c r="H248" s="1">
        <f t="shared" si="45"/>
        <v>57.199999999999996</v>
      </c>
      <c r="I248" s="9">
        <f>AVERAGE(D243:D263)</f>
        <v>11.238095238095239</v>
      </c>
      <c r="J248" s="1">
        <v>0</v>
      </c>
      <c r="K248" s="1">
        <f t="shared" si="41"/>
        <v>489.3</v>
      </c>
      <c r="L248" s="1">
        <v>1.7</v>
      </c>
      <c r="M248" s="1">
        <f t="shared" si="42"/>
        <v>223.09999999999994</v>
      </c>
      <c r="N248" s="5">
        <f t="shared" si="39"/>
        <v>-1.7</v>
      </c>
      <c r="O248" s="1">
        <v>97.299999999999969</v>
      </c>
      <c r="P248" s="1">
        <v>209</v>
      </c>
      <c r="Q248" s="1">
        <v>1.1499999999999999</v>
      </c>
      <c r="R248" s="9">
        <f t="shared" si="36"/>
        <v>1.9549999999999998</v>
      </c>
      <c r="S248" s="9">
        <f t="shared" si="37"/>
        <v>-1.9549999999999998</v>
      </c>
      <c r="T248" s="9">
        <f t="shared" si="44"/>
        <v>90.030322580645148</v>
      </c>
      <c r="U248" s="9">
        <f>MIN(T243:T263)</f>
        <v>58.065322580645152</v>
      </c>
      <c r="V248" s="1">
        <v>1371.1</v>
      </c>
      <c r="W248" s="1">
        <f t="shared" si="38"/>
        <v>118.19827586206897</v>
      </c>
      <c r="X248" s="1">
        <f t="shared" si="43"/>
        <v>122072.90000000001</v>
      </c>
      <c r="Y248" s="1">
        <f t="shared" si="46"/>
        <v>7731</v>
      </c>
      <c r="Z248" s="1">
        <v>3</v>
      </c>
      <c r="AA248" s="1">
        <v>12.7247238665067</v>
      </c>
    </row>
    <row r="249" spans="1:27" s="1" customFormat="1" x14ac:dyDescent="0.25">
      <c r="A249" s="84"/>
      <c r="B249" s="2"/>
      <c r="C249" s="3">
        <v>41730</v>
      </c>
      <c r="D249" s="1">
        <v>12.9</v>
      </c>
      <c r="E249" s="1">
        <v>6.4</v>
      </c>
      <c r="F249" s="1">
        <v>18.600000000000001</v>
      </c>
      <c r="G249" s="1">
        <f t="shared" si="40"/>
        <v>1875.0999999999995</v>
      </c>
      <c r="H249" s="1">
        <f t="shared" si="45"/>
        <v>70.099999999999994</v>
      </c>
      <c r="I249" s="31" t="s">
        <v>12</v>
      </c>
      <c r="J249" s="1">
        <v>0</v>
      </c>
      <c r="K249" s="1">
        <f t="shared" si="41"/>
        <v>489.3</v>
      </c>
      <c r="L249" s="1">
        <v>2.2999999999999998</v>
      </c>
      <c r="M249" s="1">
        <f t="shared" si="42"/>
        <v>225.39999999999995</v>
      </c>
      <c r="N249" s="5">
        <f t="shared" si="39"/>
        <v>-2.2999999999999998</v>
      </c>
      <c r="O249" s="1">
        <v>94.999999999999972</v>
      </c>
      <c r="P249" s="1">
        <v>210</v>
      </c>
      <c r="Q249" s="1">
        <v>1.1499999999999999</v>
      </c>
      <c r="R249" s="9">
        <f t="shared" si="36"/>
        <v>2.6449999999999996</v>
      </c>
      <c r="S249" s="9">
        <f t="shared" si="37"/>
        <v>-2.6449999999999996</v>
      </c>
      <c r="T249" s="9">
        <f t="shared" si="44"/>
        <v>87.385322580645152</v>
      </c>
      <c r="U249" s="31" t="s">
        <v>15</v>
      </c>
      <c r="V249" s="1">
        <v>1503.7</v>
      </c>
      <c r="W249" s="1">
        <f t="shared" si="38"/>
        <v>116.56589147286822</v>
      </c>
      <c r="X249" s="1">
        <f t="shared" si="43"/>
        <v>123576.6</v>
      </c>
      <c r="Y249" s="1">
        <f t="shared" si="46"/>
        <v>9234.7000000000007</v>
      </c>
      <c r="AA249" s="1">
        <v>12.781654809763401</v>
      </c>
    </row>
    <row r="250" spans="1:27" s="1" customFormat="1" x14ac:dyDescent="0.25">
      <c r="A250" s="84"/>
      <c r="B250" s="2"/>
      <c r="C250" s="3">
        <v>41731</v>
      </c>
      <c r="D250" s="1">
        <v>14.6</v>
      </c>
      <c r="E250" s="1">
        <v>8.6999999999999993</v>
      </c>
      <c r="F250" s="1">
        <v>19.5</v>
      </c>
      <c r="G250" s="1">
        <f t="shared" si="40"/>
        <v>1889.6999999999994</v>
      </c>
      <c r="H250" s="1">
        <f t="shared" si="45"/>
        <v>84.699999999999989</v>
      </c>
      <c r="I250" s="1">
        <v>0</v>
      </c>
      <c r="J250" s="1">
        <v>0</v>
      </c>
      <c r="K250" s="1">
        <f t="shared" si="41"/>
        <v>489.3</v>
      </c>
      <c r="L250" s="1">
        <v>2</v>
      </c>
      <c r="M250" s="1">
        <f t="shared" si="42"/>
        <v>227.39999999999995</v>
      </c>
      <c r="N250" s="5">
        <f t="shared" si="39"/>
        <v>-2</v>
      </c>
      <c r="O250" s="1">
        <v>92.999999999999972</v>
      </c>
      <c r="P250" s="1">
        <v>211</v>
      </c>
      <c r="Q250" s="1">
        <v>1.1499999999999999</v>
      </c>
      <c r="R250" s="9">
        <f t="shared" si="36"/>
        <v>2.2999999999999998</v>
      </c>
      <c r="S250" s="9">
        <f t="shared" si="37"/>
        <v>-2.2999999999999998</v>
      </c>
      <c r="T250" s="9">
        <f t="shared" si="44"/>
        <v>85.085322580645155</v>
      </c>
      <c r="U250" s="9">
        <f>MAX(T243:T263)</f>
        <v>101.49032258064516</v>
      </c>
      <c r="V250" s="1">
        <v>1110.7</v>
      </c>
      <c r="W250" s="1">
        <f t="shared" si="38"/>
        <v>76.075342465753437</v>
      </c>
      <c r="X250" s="1">
        <f t="shared" si="43"/>
        <v>124687.3</v>
      </c>
      <c r="Y250" s="1">
        <f t="shared" si="46"/>
        <v>10345.400000000001</v>
      </c>
      <c r="AA250" s="1">
        <v>12.8385044944861</v>
      </c>
    </row>
    <row r="251" spans="1:27" s="1" customFormat="1" x14ac:dyDescent="0.25">
      <c r="A251" s="84"/>
      <c r="B251" s="2"/>
      <c r="C251" s="3">
        <v>41732</v>
      </c>
      <c r="D251" s="1">
        <v>13.2</v>
      </c>
      <c r="E251" s="1">
        <v>11.9</v>
      </c>
      <c r="F251" s="1">
        <v>15</v>
      </c>
      <c r="G251" s="1">
        <f t="shared" si="40"/>
        <v>1902.8999999999994</v>
      </c>
      <c r="H251" s="1">
        <f t="shared" si="45"/>
        <v>97.899999999999991</v>
      </c>
      <c r="I251" s="31" t="s">
        <v>14</v>
      </c>
      <c r="J251" s="1">
        <v>5.5</v>
      </c>
      <c r="K251" s="1">
        <f t="shared" si="41"/>
        <v>494.8</v>
      </c>
      <c r="L251" s="1">
        <v>0.9</v>
      </c>
      <c r="M251" s="1">
        <f t="shared" si="42"/>
        <v>228.29999999999995</v>
      </c>
      <c r="N251" s="1">
        <f t="shared" si="39"/>
        <v>4.5999999999999996</v>
      </c>
      <c r="O251" s="1">
        <v>97.599999999999966</v>
      </c>
      <c r="P251" s="1">
        <v>212</v>
      </c>
      <c r="Q251" s="1">
        <v>1.1499999999999999</v>
      </c>
      <c r="R251" s="9">
        <f t="shared" si="36"/>
        <v>1.0349999999999999</v>
      </c>
      <c r="S251" s="9">
        <f t="shared" si="37"/>
        <v>4.4649999999999999</v>
      </c>
      <c r="T251" s="9">
        <f t="shared" si="44"/>
        <v>89.550322580645158</v>
      </c>
      <c r="U251" s="31" t="s">
        <v>17</v>
      </c>
      <c r="V251" s="10">
        <v>444.2</v>
      </c>
      <c r="W251" s="1">
        <f t="shared" si="38"/>
        <v>33.651515151515156</v>
      </c>
      <c r="X251" s="1">
        <f t="shared" si="43"/>
        <v>125131.5</v>
      </c>
      <c r="Y251" s="1">
        <f t="shared" si="46"/>
        <v>10789.600000000002</v>
      </c>
      <c r="AA251" s="1">
        <v>12.8952662047489</v>
      </c>
    </row>
    <row r="252" spans="1:27" s="1" customFormat="1" x14ac:dyDescent="0.25">
      <c r="A252" s="84"/>
      <c r="B252" s="2"/>
      <c r="C252" s="3">
        <v>41733</v>
      </c>
      <c r="D252" s="1">
        <v>11.4</v>
      </c>
      <c r="E252" s="1">
        <v>11</v>
      </c>
      <c r="F252" s="1">
        <v>12.9</v>
      </c>
      <c r="G252" s="1">
        <f t="shared" si="40"/>
        <v>1914.2999999999995</v>
      </c>
      <c r="H252" s="1">
        <f t="shared" si="45"/>
        <v>109.3</v>
      </c>
      <c r="I252" s="1">
        <v>0</v>
      </c>
      <c r="J252" s="1">
        <v>0.4</v>
      </c>
      <c r="K252" s="1">
        <f t="shared" si="41"/>
        <v>495.2</v>
      </c>
      <c r="L252" s="1">
        <v>0.9</v>
      </c>
      <c r="M252" s="1">
        <f t="shared" si="42"/>
        <v>229.19999999999996</v>
      </c>
      <c r="N252" s="5">
        <f t="shared" si="39"/>
        <v>-0.5</v>
      </c>
      <c r="O252" s="1">
        <v>97.099999999999966</v>
      </c>
      <c r="P252" s="1">
        <v>213</v>
      </c>
      <c r="Q252" s="1">
        <v>1.1499999999999999</v>
      </c>
      <c r="R252" s="9">
        <f t="shared" si="36"/>
        <v>1.0349999999999999</v>
      </c>
      <c r="S252" s="9">
        <f t="shared" si="37"/>
        <v>-0.6349999999999999</v>
      </c>
      <c r="T252" s="9">
        <f t="shared" si="44"/>
        <v>88.915322580645153</v>
      </c>
      <c r="U252" s="11">
        <f>AVERAGE(T243:T263)</f>
        <v>82.816513056835618</v>
      </c>
      <c r="V252" s="10">
        <v>639</v>
      </c>
      <c r="W252" s="1">
        <f t="shared" si="38"/>
        <v>56.05263157894737</v>
      </c>
      <c r="X252" s="1">
        <f t="shared" si="43"/>
        <v>125770.5</v>
      </c>
      <c r="Y252" s="1">
        <f t="shared" si="46"/>
        <v>11428.600000000002</v>
      </c>
      <c r="AA252" s="1">
        <v>12.951933055944499</v>
      </c>
    </row>
    <row r="253" spans="1:27" s="1" customFormat="1" x14ac:dyDescent="0.25">
      <c r="A253" s="84"/>
      <c r="B253" s="2"/>
      <c r="C253" s="3">
        <v>41734</v>
      </c>
      <c r="D253" s="1">
        <v>11.6</v>
      </c>
      <c r="E253" s="12">
        <v>4.7</v>
      </c>
      <c r="F253" s="1">
        <v>16.100000000000001</v>
      </c>
      <c r="G253" s="1">
        <f t="shared" si="40"/>
        <v>1925.8999999999994</v>
      </c>
      <c r="H253" s="1">
        <f t="shared" si="45"/>
        <v>120.89999999999999</v>
      </c>
      <c r="I253" s="31" t="s">
        <v>16</v>
      </c>
      <c r="J253" s="1">
        <v>0</v>
      </c>
      <c r="K253" s="1">
        <f t="shared" si="41"/>
        <v>495.2</v>
      </c>
      <c r="L253" s="1">
        <v>2</v>
      </c>
      <c r="M253" s="1">
        <f t="shared" si="42"/>
        <v>231.19999999999996</v>
      </c>
      <c r="N253" s="5">
        <f t="shared" si="39"/>
        <v>-2</v>
      </c>
      <c r="O253" s="1">
        <v>95.099999999999966</v>
      </c>
      <c r="P253" s="1">
        <v>214</v>
      </c>
      <c r="Q253" s="1">
        <v>1.1499999999999999</v>
      </c>
      <c r="R253" s="9">
        <f t="shared" si="36"/>
        <v>2.2999999999999998</v>
      </c>
      <c r="S253" s="9">
        <f t="shared" si="37"/>
        <v>-2.2999999999999998</v>
      </c>
      <c r="T253" s="9">
        <f t="shared" si="44"/>
        <v>86.615322580645156</v>
      </c>
      <c r="V253" s="1">
        <v>1340.8</v>
      </c>
      <c r="W253" s="1">
        <f t="shared" si="38"/>
        <v>115.58620689655173</v>
      </c>
      <c r="X253" s="1">
        <f t="shared" si="43"/>
        <v>127111.3</v>
      </c>
      <c r="Y253" s="1">
        <f t="shared" si="46"/>
        <v>12769.400000000001</v>
      </c>
      <c r="AA253" s="1">
        <v>13.008497978933301</v>
      </c>
    </row>
    <row r="254" spans="1:27" s="23" customFormat="1" x14ac:dyDescent="0.25">
      <c r="A254" s="84"/>
      <c r="C254" s="33">
        <v>41735</v>
      </c>
      <c r="D254" s="23">
        <v>14.2</v>
      </c>
      <c r="E254" s="23">
        <v>12.5</v>
      </c>
      <c r="F254" s="23">
        <v>17.2</v>
      </c>
      <c r="G254" s="23">
        <f t="shared" si="40"/>
        <v>1940.0999999999995</v>
      </c>
      <c r="H254" s="1">
        <f t="shared" si="45"/>
        <v>135.1</v>
      </c>
      <c r="I254" s="1">
        <v>8</v>
      </c>
      <c r="J254" s="23">
        <v>0.2</v>
      </c>
      <c r="K254" s="23">
        <f t="shared" si="41"/>
        <v>495.4</v>
      </c>
      <c r="L254" s="23">
        <v>0.7</v>
      </c>
      <c r="M254" s="23">
        <f t="shared" si="42"/>
        <v>231.89999999999995</v>
      </c>
      <c r="N254" s="23">
        <f t="shared" si="39"/>
        <v>-0.49999999999999994</v>
      </c>
      <c r="O254" s="23">
        <v>94.599999999999966</v>
      </c>
      <c r="P254" s="23">
        <v>215</v>
      </c>
      <c r="Q254" s="1">
        <v>1.1499999999999999</v>
      </c>
      <c r="R254" s="26">
        <f t="shared" si="36"/>
        <v>0.80499999999999994</v>
      </c>
      <c r="S254" s="26">
        <f t="shared" si="37"/>
        <v>-0.60499999999999998</v>
      </c>
      <c r="T254" s="9">
        <f t="shared" si="44"/>
        <v>86.010322580645152</v>
      </c>
      <c r="U254" s="9">
        <f>(U252*100)/138.9</f>
        <v>59.623119551357526</v>
      </c>
      <c r="V254" s="23">
        <v>447.3</v>
      </c>
      <c r="W254" s="23">
        <f t="shared" si="38"/>
        <v>31.500000000000004</v>
      </c>
      <c r="X254" s="23">
        <f t="shared" si="43"/>
        <v>127558.6</v>
      </c>
      <c r="Y254" s="1">
        <f t="shared" si="46"/>
        <v>13216.7</v>
      </c>
      <c r="AA254" s="1">
        <v>13.064953704295</v>
      </c>
    </row>
    <row r="255" spans="1:27" s="1" customFormat="1" ht="15" customHeight="1" x14ac:dyDescent="0.25">
      <c r="A255" s="84"/>
      <c r="B255" s="2"/>
      <c r="C255" s="3">
        <v>41736</v>
      </c>
      <c r="D255" s="1">
        <v>15.4</v>
      </c>
      <c r="E255" s="1">
        <v>9.9</v>
      </c>
      <c r="F255" s="1">
        <v>22</v>
      </c>
      <c r="G255" s="1">
        <f t="shared" si="40"/>
        <v>1955.4999999999995</v>
      </c>
      <c r="H255" s="1">
        <f t="shared" si="45"/>
        <v>150.5</v>
      </c>
      <c r="I255" s="31" t="s">
        <v>18</v>
      </c>
      <c r="J255" s="1">
        <v>0</v>
      </c>
      <c r="K255" s="1">
        <f t="shared" si="41"/>
        <v>495.4</v>
      </c>
      <c r="L255" s="1">
        <v>3.2</v>
      </c>
      <c r="M255" s="1">
        <f t="shared" si="42"/>
        <v>235.09999999999994</v>
      </c>
      <c r="N255" s="5">
        <f t="shared" si="39"/>
        <v>-3.2</v>
      </c>
      <c r="O255" s="1">
        <v>91.399999999999963</v>
      </c>
      <c r="P255" s="1">
        <v>216</v>
      </c>
      <c r="Q255" s="1">
        <v>1.1499999999999999</v>
      </c>
      <c r="R255" s="9">
        <f t="shared" si="36"/>
        <v>3.6799999999999997</v>
      </c>
      <c r="S255" s="9">
        <f t="shared" si="37"/>
        <v>-3.6799999999999997</v>
      </c>
      <c r="T255" s="9">
        <f t="shared" si="44"/>
        <v>82.330322580645145</v>
      </c>
      <c r="V255" s="1">
        <v>1620.1</v>
      </c>
      <c r="W255" s="1">
        <f t="shared" si="38"/>
        <v>105.2012987012987</v>
      </c>
      <c r="X255" s="1">
        <f t="shared" si="43"/>
        <v>129178.70000000001</v>
      </c>
      <c r="Y255" s="1">
        <f t="shared" si="46"/>
        <v>14836.800000000001</v>
      </c>
      <c r="AA255" s="1">
        <v>13.121292746693801</v>
      </c>
    </row>
    <row r="256" spans="1:27" s="1" customFormat="1" x14ac:dyDescent="0.25">
      <c r="A256" s="84"/>
      <c r="B256" s="2"/>
      <c r="C256" s="3">
        <v>41737</v>
      </c>
      <c r="D256" s="1">
        <v>9.8000000000000007</v>
      </c>
      <c r="E256" s="1">
        <v>7.1</v>
      </c>
      <c r="F256" s="1">
        <v>12.7</v>
      </c>
      <c r="G256" s="1">
        <f t="shared" si="40"/>
        <v>1965.2999999999995</v>
      </c>
      <c r="H256" s="1">
        <f t="shared" si="45"/>
        <v>160.30000000000001</v>
      </c>
      <c r="I256" s="1">
        <v>236</v>
      </c>
      <c r="J256" s="1">
        <v>0</v>
      </c>
      <c r="K256" s="1">
        <f t="shared" si="41"/>
        <v>495.4</v>
      </c>
      <c r="L256" s="1">
        <v>1.8</v>
      </c>
      <c r="M256" s="1">
        <f t="shared" si="42"/>
        <v>236.89999999999995</v>
      </c>
      <c r="N256" s="5">
        <f t="shared" si="39"/>
        <v>-1.8</v>
      </c>
      <c r="O256" s="1">
        <v>89.599999999999966</v>
      </c>
      <c r="P256" s="1">
        <v>217</v>
      </c>
      <c r="Q256" s="1">
        <v>1.1499999999999999</v>
      </c>
      <c r="R256" s="9">
        <f t="shared" si="36"/>
        <v>2.0699999999999998</v>
      </c>
      <c r="S256" s="9">
        <f t="shared" si="37"/>
        <v>-2.0699999999999998</v>
      </c>
      <c r="T256" s="9">
        <f t="shared" si="44"/>
        <v>80.260322580645152</v>
      </c>
      <c r="V256" s="1">
        <v>1094.5999999999999</v>
      </c>
      <c r="W256" s="1">
        <f t="shared" si="38"/>
        <v>111.69387755102039</v>
      </c>
      <c r="X256" s="1">
        <f t="shared" si="43"/>
        <v>130273.30000000002</v>
      </c>
      <c r="Y256" s="1">
        <f t="shared" si="46"/>
        <v>15931.400000000001</v>
      </c>
      <c r="AA256" s="1">
        <v>13.1775073893659</v>
      </c>
    </row>
    <row r="257" spans="1:27" s="1" customFormat="1" x14ac:dyDescent="0.25">
      <c r="A257" s="84"/>
      <c r="B257" s="2"/>
      <c r="C257" s="3">
        <v>41738</v>
      </c>
      <c r="D257" s="1">
        <v>8.9</v>
      </c>
      <c r="E257" s="12">
        <v>1.9</v>
      </c>
      <c r="F257" s="1">
        <v>14.3</v>
      </c>
      <c r="G257" s="1">
        <f t="shared" si="40"/>
        <v>1974.1999999999996</v>
      </c>
      <c r="H257" s="1">
        <f t="shared" si="45"/>
        <v>169.20000000000002</v>
      </c>
      <c r="J257" s="1">
        <v>0</v>
      </c>
      <c r="K257" s="1">
        <f t="shared" si="41"/>
        <v>495.4</v>
      </c>
      <c r="L257" s="1">
        <v>2.7</v>
      </c>
      <c r="M257" s="1">
        <f t="shared" si="42"/>
        <v>239.59999999999994</v>
      </c>
      <c r="N257" s="5">
        <f t="shared" si="39"/>
        <v>-2.7</v>
      </c>
      <c r="O257" s="1">
        <v>86.899999999999963</v>
      </c>
      <c r="P257" s="1">
        <v>218</v>
      </c>
      <c r="Q257" s="1">
        <v>1.1499999999999999</v>
      </c>
      <c r="R257" s="9">
        <f t="shared" si="36"/>
        <v>3.105</v>
      </c>
      <c r="S257" s="9">
        <f t="shared" si="37"/>
        <v>-3.105</v>
      </c>
      <c r="T257" s="9">
        <f t="shared" si="44"/>
        <v>77.155322580645148</v>
      </c>
      <c r="V257" s="1">
        <v>2078.6999999999998</v>
      </c>
      <c r="W257" s="1">
        <f t="shared" si="38"/>
        <v>233.56179775280896</v>
      </c>
      <c r="X257" s="1">
        <f t="shared" si="43"/>
        <v>132352.00000000003</v>
      </c>
      <c r="Y257" s="1">
        <f t="shared" si="46"/>
        <v>18010.100000000002</v>
      </c>
      <c r="AA257" s="1">
        <v>13.2335896687428</v>
      </c>
    </row>
    <row r="258" spans="1:27" s="1" customFormat="1" x14ac:dyDescent="0.25">
      <c r="A258" s="84"/>
      <c r="B258" s="2"/>
      <c r="C258" s="3">
        <v>41739</v>
      </c>
      <c r="D258" s="1">
        <v>12.3</v>
      </c>
      <c r="E258" s="1">
        <v>5.0999999999999996</v>
      </c>
      <c r="F258" s="1">
        <v>18.7</v>
      </c>
      <c r="G258" s="1">
        <f t="shared" si="40"/>
        <v>1986.4999999999995</v>
      </c>
      <c r="H258" s="1">
        <f t="shared" si="45"/>
        <v>181.50000000000003</v>
      </c>
      <c r="J258" s="1">
        <v>0</v>
      </c>
      <c r="K258" s="1">
        <f t="shared" si="41"/>
        <v>495.4</v>
      </c>
      <c r="L258" s="1">
        <v>3.4</v>
      </c>
      <c r="M258" s="1">
        <f t="shared" si="42"/>
        <v>242.99999999999994</v>
      </c>
      <c r="N258" s="5">
        <f t="shared" si="39"/>
        <v>-3.4</v>
      </c>
      <c r="O258" s="1">
        <v>83.499999999999957</v>
      </c>
      <c r="P258" s="1">
        <v>219</v>
      </c>
      <c r="Q258" s="1">
        <v>1.1499999999999999</v>
      </c>
      <c r="R258" s="9">
        <f t="shared" si="36"/>
        <v>3.9099999999999997</v>
      </c>
      <c r="S258" s="9">
        <f t="shared" si="37"/>
        <v>-3.9099999999999997</v>
      </c>
      <c r="T258" s="9">
        <f t="shared" si="44"/>
        <v>73.245322580645151</v>
      </c>
      <c r="V258" s="1">
        <v>2057.6</v>
      </c>
      <c r="W258" s="1">
        <f t="shared" si="38"/>
        <v>167.28455284552845</v>
      </c>
      <c r="X258" s="1">
        <f t="shared" si="43"/>
        <v>134409.60000000003</v>
      </c>
      <c r="Y258" s="1">
        <f t="shared" si="46"/>
        <v>20067.7</v>
      </c>
      <c r="AA258" s="1">
        <v>13.289531359225199</v>
      </c>
    </row>
    <row r="259" spans="1:27" s="1" customFormat="1" x14ac:dyDescent="0.25">
      <c r="A259" s="84"/>
      <c r="B259" s="2"/>
      <c r="C259" s="3">
        <v>41740</v>
      </c>
      <c r="D259" s="1">
        <v>12.1</v>
      </c>
      <c r="E259" s="1">
        <v>7.6</v>
      </c>
      <c r="F259" s="1">
        <v>16.7</v>
      </c>
      <c r="G259" s="1">
        <f t="shared" si="40"/>
        <v>1998.5999999999995</v>
      </c>
      <c r="H259" s="1">
        <f t="shared" si="45"/>
        <v>193.60000000000002</v>
      </c>
      <c r="J259" s="1">
        <v>0</v>
      </c>
      <c r="K259" s="1">
        <f t="shared" si="41"/>
        <v>495.4</v>
      </c>
      <c r="L259" s="1">
        <v>1.5</v>
      </c>
      <c r="M259" s="1">
        <f t="shared" si="42"/>
        <v>244.49999999999994</v>
      </c>
      <c r="N259" s="5">
        <f t="shared" si="39"/>
        <v>-1.5</v>
      </c>
      <c r="O259" s="1">
        <v>81.999999999999957</v>
      </c>
      <c r="P259" s="1">
        <v>220</v>
      </c>
      <c r="Q259" s="1">
        <v>1.1499999999999999</v>
      </c>
      <c r="R259" s="9">
        <f t="shared" si="36"/>
        <v>1.7249999999999999</v>
      </c>
      <c r="S259" s="9">
        <f t="shared" si="37"/>
        <v>-1.7249999999999999</v>
      </c>
      <c r="T259" s="9">
        <f t="shared" si="44"/>
        <v>71.520322580645157</v>
      </c>
      <c r="V259" s="10">
        <v>663.8</v>
      </c>
      <c r="W259" s="1">
        <f t="shared" si="38"/>
        <v>54.8595041322314</v>
      </c>
      <c r="X259" s="1">
        <f t="shared" si="43"/>
        <v>135073.40000000002</v>
      </c>
      <c r="Y259" s="1">
        <f t="shared" si="46"/>
        <v>20731.5</v>
      </c>
      <c r="AA259" s="1">
        <v>13.345323958124199</v>
      </c>
    </row>
    <row r="260" spans="1:27" s="1" customFormat="1" x14ac:dyDescent="0.25">
      <c r="A260" s="84"/>
      <c r="B260" s="2"/>
      <c r="C260" s="3">
        <v>41741</v>
      </c>
      <c r="D260" s="1">
        <v>11.9</v>
      </c>
      <c r="E260" s="1">
        <v>5.4</v>
      </c>
      <c r="F260" s="1">
        <v>17.100000000000001</v>
      </c>
      <c r="G260" s="1">
        <f t="shared" si="40"/>
        <v>2010.4999999999995</v>
      </c>
      <c r="H260" s="1">
        <f t="shared" si="45"/>
        <v>205.50000000000003</v>
      </c>
      <c r="J260" s="1">
        <v>0</v>
      </c>
      <c r="K260" s="1">
        <f t="shared" si="41"/>
        <v>495.4</v>
      </c>
      <c r="L260" s="1">
        <v>2.7</v>
      </c>
      <c r="M260" s="1">
        <f t="shared" si="42"/>
        <v>247.19999999999993</v>
      </c>
      <c r="N260" s="5">
        <f t="shared" si="39"/>
        <v>-2.7</v>
      </c>
      <c r="O260" s="1">
        <v>79.299999999999955</v>
      </c>
      <c r="P260" s="1">
        <v>221</v>
      </c>
      <c r="Q260" s="1">
        <v>1.1499999999999999</v>
      </c>
      <c r="R260" s="9">
        <f t="shared" si="36"/>
        <v>3.105</v>
      </c>
      <c r="S260" s="9">
        <f t="shared" si="37"/>
        <v>-3.105</v>
      </c>
      <c r="T260" s="9">
        <f t="shared" si="44"/>
        <v>68.415322580645153</v>
      </c>
      <c r="V260" s="1">
        <v>1727.1</v>
      </c>
      <c r="W260" s="1">
        <f t="shared" si="38"/>
        <v>145.1344537815126</v>
      </c>
      <c r="X260" s="1">
        <f t="shared" si="43"/>
        <v>136800.50000000003</v>
      </c>
      <c r="Y260" s="1">
        <f t="shared" si="46"/>
        <v>22458.6</v>
      </c>
      <c r="AA260" s="1">
        <v>13.400958670790301</v>
      </c>
    </row>
    <row r="261" spans="1:27" s="1" customFormat="1" x14ac:dyDescent="0.25">
      <c r="A261" s="84"/>
      <c r="B261" s="2"/>
      <c r="C261" s="3">
        <v>41742</v>
      </c>
      <c r="D261" s="1">
        <v>10.6</v>
      </c>
      <c r="E261" s="1">
        <v>6.2</v>
      </c>
      <c r="F261" s="1">
        <v>14.9</v>
      </c>
      <c r="G261" s="1">
        <f t="shared" si="40"/>
        <v>2021.0999999999995</v>
      </c>
      <c r="H261" s="1">
        <f t="shared" si="45"/>
        <v>216.10000000000002</v>
      </c>
      <c r="J261" s="1">
        <v>0</v>
      </c>
      <c r="K261" s="1">
        <f t="shared" si="41"/>
        <v>495.4</v>
      </c>
      <c r="L261" s="1">
        <v>2.2000000000000002</v>
      </c>
      <c r="M261" s="1">
        <f t="shared" si="42"/>
        <v>249.39999999999992</v>
      </c>
      <c r="N261" s="5">
        <f t="shared" si="39"/>
        <v>-2.2000000000000002</v>
      </c>
      <c r="O261" s="1">
        <v>77.099999999999952</v>
      </c>
      <c r="P261" s="1">
        <v>222</v>
      </c>
      <c r="Q261" s="1">
        <v>1.1499999999999999</v>
      </c>
      <c r="R261" s="9">
        <f t="shared" si="36"/>
        <v>2.5299999999999998</v>
      </c>
      <c r="S261" s="9">
        <f t="shared" si="37"/>
        <v>-2.5299999999999998</v>
      </c>
      <c r="T261" s="9">
        <f t="shared" si="44"/>
        <v>65.885322580645152</v>
      </c>
      <c r="V261" s="1">
        <v>1392.9</v>
      </c>
      <c r="W261" s="1">
        <f t="shared" si="38"/>
        <v>131.40566037735852</v>
      </c>
      <c r="X261" s="1">
        <f t="shared" si="43"/>
        <v>138193.40000000002</v>
      </c>
      <c r="Y261" s="1">
        <f t="shared" si="46"/>
        <v>23851.5</v>
      </c>
      <c r="AA261" s="1">
        <v>13.456426395952001</v>
      </c>
    </row>
    <row r="262" spans="1:27" s="1" customFormat="1" x14ac:dyDescent="0.25">
      <c r="A262" s="84"/>
      <c r="B262" s="2"/>
      <c r="C262" s="3">
        <v>41743</v>
      </c>
      <c r="D262" s="1">
        <v>10.4</v>
      </c>
      <c r="E262" s="12">
        <v>3.5</v>
      </c>
      <c r="F262" s="1">
        <v>15.8</v>
      </c>
      <c r="G262" s="1">
        <f t="shared" si="40"/>
        <v>2031.4999999999995</v>
      </c>
      <c r="H262" s="1">
        <f t="shared" si="45"/>
        <v>226.50000000000003</v>
      </c>
      <c r="J262" s="1">
        <v>0</v>
      </c>
      <c r="K262" s="1">
        <f t="shared" si="41"/>
        <v>495.4</v>
      </c>
      <c r="L262" s="1">
        <v>3</v>
      </c>
      <c r="M262" s="1">
        <f t="shared" si="42"/>
        <v>252.39999999999992</v>
      </c>
      <c r="N262" s="5">
        <f t="shared" si="39"/>
        <v>-3</v>
      </c>
      <c r="O262" s="1">
        <v>74.099999999999952</v>
      </c>
      <c r="P262" s="1">
        <v>223</v>
      </c>
      <c r="Q262" s="1">
        <v>1.1499999999999999</v>
      </c>
      <c r="R262" s="9">
        <f t="shared" si="36"/>
        <v>3.4499999999999997</v>
      </c>
      <c r="S262" s="9">
        <f t="shared" si="37"/>
        <v>-3.4499999999999997</v>
      </c>
      <c r="T262" s="9">
        <f t="shared" si="44"/>
        <v>62.435322580645149</v>
      </c>
      <c r="V262" s="1">
        <v>2185.6</v>
      </c>
      <c r="W262" s="1">
        <f t="shared" si="38"/>
        <v>210.15384615384613</v>
      </c>
      <c r="X262" s="1">
        <f t="shared" si="43"/>
        <v>140379.00000000003</v>
      </c>
      <c r="Y262" s="1">
        <f t="shared" si="46"/>
        <v>26037.1</v>
      </c>
      <c r="AA262" s="1">
        <v>13.5117177112891</v>
      </c>
    </row>
    <row r="263" spans="1:27" s="48" customFormat="1" ht="15.75" thickBot="1" x14ac:dyDescent="0.3">
      <c r="A263" s="85"/>
      <c r="B263" s="51" t="s">
        <v>24</v>
      </c>
      <c r="C263" s="47">
        <v>41744</v>
      </c>
      <c r="D263" s="48">
        <v>9.5</v>
      </c>
      <c r="E263" s="52">
        <v>4.9000000000000004</v>
      </c>
      <c r="F263" s="48">
        <v>13.6</v>
      </c>
      <c r="G263" s="48">
        <f t="shared" si="40"/>
        <v>2040.9999999999995</v>
      </c>
      <c r="H263" s="48">
        <f t="shared" si="45"/>
        <v>236.00000000000003</v>
      </c>
      <c r="J263" s="48">
        <v>0</v>
      </c>
      <c r="K263" s="48">
        <f t="shared" si="41"/>
        <v>495.4</v>
      </c>
      <c r="L263" s="48">
        <v>3.8</v>
      </c>
      <c r="M263" s="48">
        <f t="shared" si="42"/>
        <v>256.19999999999993</v>
      </c>
      <c r="N263" s="53">
        <f t="shared" si="39"/>
        <v>-3.8</v>
      </c>
      <c r="O263" s="48">
        <v>70.299999999999955</v>
      </c>
      <c r="P263" s="48">
        <v>224</v>
      </c>
      <c r="Q263" s="48">
        <v>1.1499999999999999</v>
      </c>
      <c r="R263" s="50">
        <f t="shared" si="36"/>
        <v>4.3699999999999992</v>
      </c>
      <c r="S263" s="50">
        <f t="shared" si="37"/>
        <v>-4.3699999999999992</v>
      </c>
      <c r="T263" s="50">
        <f t="shared" si="44"/>
        <v>58.065322580645152</v>
      </c>
      <c r="V263" s="48">
        <v>2466.6999999999998</v>
      </c>
      <c r="W263" s="48">
        <f t="shared" si="38"/>
        <v>259.65263157894736</v>
      </c>
      <c r="X263" s="48">
        <f t="shared" si="43"/>
        <v>142845.70000000004</v>
      </c>
      <c r="Y263" s="48">
        <f t="shared" si="46"/>
        <v>28503.8</v>
      </c>
      <c r="AA263" s="48">
        <v>13.5668228592686</v>
      </c>
    </row>
    <row r="264" spans="1:27" s="1" customFormat="1" x14ac:dyDescent="0.25">
      <c r="A264" s="86">
        <v>300</v>
      </c>
      <c r="B264" s="2"/>
      <c r="C264" s="3">
        <v>41745</v>
      </c>
      <c r="D264" s="1">
        <v>10.1</v>
      </c>
      <c r="E264" s="12">
        <v>3.9</v>
      </c>
      <c r="F264" s="1">
        <v>15.4</v>
      </c>
      <c r="G264" s="1">
        <f t="shared" si="40"/>
        <v>2051.0999999999995</v>
      </c>
      <c r="H264" s="1">
        <f>D264</f>
        <v>10.1</v>
      </c>
      <c r="I264" s="34" t="s">
        <v>3</v>
      </c>
      <c r="J264" s="1">
        <v>0</v>
      </c>
      <c r="K264" s="1">
        <f t="shared" si="41"/>
        <v>495.4</v>
      </c>
      <c r="L264" s="1">
        <v>4.0999999999999996</v>
      </c>
      <c r="M264" s="1">
        <f t="shared" si="42"/>
        <v>260.29999999999995</v>
      </c>
      <c r="N264" s="5">
        <f t="shared" si="39"/>
        <v>-4.0999999999999996</v>
      </c>
      <c r="O264" s="1">
        <v>66.19999999999996</v>
      </c>
      <c r="P264" s="1">
        <v>225</v>
      </c>
      <c r="Q264" s="1">
        <v>1.1499999999999999</v>
      </c>
      <c r="R264" s="9">
        <f t="shared" si="36"/>
        <v>4.714999999999999</v>
      </c>
      <c r="S264" s="9">
        <f t="shared" si="37"/>
        <v>-4.714999999999999</v>
      </c>
      <c r="T264" s="9">
        <f t="shared" si="44"/>
        <v>53.350322580645155</v>
      </c>
      <c r="U264" s="34" t="s">
        <v>7</v>
      </c>
      <c r="V264" s="1">
        <v>2557.1999999999998</v>
      </c>
      <c r="W264" s="1">
        <f t="shared" si="38"/>
        <v>253.18811881188117</v>
      </c>
      <c r="X264" s="1">
        <f t="shared" si="43"/>
        <v>145402.90000000005</v>
      </c>
      <c r="Y264" s="1">
        <f>V264</f>
        <v>2557.1999999999998</v>
      </c>
      <c r="Z264" s="34" t="s">
        <v>5</v>
      </c>
      <c r="AA264" s="1">
        <v>13.621731733275899</v>
      </c>
    </row>
    <row r="265" spans="1:27" s="1" customFormat="1" x14ac:dyDescent="0.25">
      <c r="A265" s="82"/>
      <c r="B265" s="2"/>
      <c r="C265" s="3">
        <v>41746</v>
      </c>
      <c r="D265" s="1">
        <v>12</v>
      </c>
      <c r="E265" s="12">
        <v>3.8</v>
      </c>
      <c r="F265" s="1">
        <v>18.2</v>
      </c>
      <c r="G265" s="1">
        <f t="shared" si="40"/>
        <v>2063.0999999999995</v>
      </c>
      <c r="H265" s="1">
        <f t="shared" si="45"/>
        <v>22.1</v>
      </c>
      <c r="I265" s="1">
        <f>MIN(E264:E289)</f>
        <v>3.5</v>
      </c>
      <c r="J265" s="1">
        <v>0</v>
      </c>
      <c r="K265" s="1">
        <f t="shared" si="41"/>
        <v>495.4</v>
      </c>
      <c r="L265" s="1">
        <v>3.6</v>
      </c>
      <c r="M265" s="1">
        <f t="shared" si="42"/>
        <v>263.89999999999998</v>
      </c>
      <c r="N265" s="5">
        <f t="shared" si="39"/>
        <v>-3.6</v>
      </c>
      <c r="O265" s="1">
        <v>62.599999999999959</v>
      </c>
      <c r="P265" s="1">
        <v>226</v>
      </c>
      <c r="Q265" s="1">
        <v>1.1499999999999999</v>
      </c>
      <c r="R265" s="9">
        <f t="shared" si="36"/>
        <v>4.1399999999999997</v>
      </c>
      <c r="S265" s="9">
        <f t="shared" si="37"/>
        <v>-4.1399999999999997</v>
      </c>
      <c r="T265" s="9">
        <f t="shared" si="44"/>
        <v>49.210322580645155</v>
      </c>
      <c r="U265" s="1">
        <v>0</v>
      </c>
      <c r="V265" s="1">
        <v>2302.3000000000002</v>
      </c>
      <c r="W265" s="1">
        <f t="shared" si="38"/>
        <v>191.85833333333335</v>
      </c>
      <c r="X265" s="1">
        <f t="shared" si="43"/>
        <v>147705.20000000004</v>
      </c>
      <c r="Y265" s="1">
        <f t="shared" si="46"/>
        <v>4859.5</v>
      </c>
      <c r="Z265" s="1">
        <v>31889.200000000001</v>
      </c>
      <c r="AA265" s="1">
        <v>13.6764338640728</v>
      </c>
    </row>
    <row r="266" spans="1:27" s="1" customFormat="1" x14ac:dyDescent="0.25">
      <c r="A266" s="82"/>
      <c r="B266" s="2"/>
      <c r="C266" s="3">
        <v>41747</v>
      </c>
      <c r="D266" s="1">
        <v>11.4</v>
      </c>
      <c r="E266" s="1">
        <v>9.1</v>
      </c>
      <c r="F266" s="1">
        <v>15.8</v>
      </c>
      <c r="G266" s="1">
        <f t="shared" si="40"/>
        <v>2074.4999999999995</v>
      </c>
      <c r="H266" s="1">
        <f t="shared" si="45"/>
        <v>33.5</v>
      </c>
      <c r="I266" s="34" t="s">
        <v>6</v>
      </c>
      <c r="J266" s="1">
        <v>0</v>
      </c>
      <c r="K266" s="1">
        <f t="shared" si="41"/>
        <v>495.4</v>
      </c>
      <c r="L266" s="1">
        <v>2.9</v>
      </c>
      <c r="M266" s="1">
        <f t="shared" si="42"/>
        <v>266.79999999999995</v>
      </c>
      <c r="N266" s="5">
        <f t="shared" si="39"/>
        <v>-2.9</v>
      </c>
      <c r="O266" s="1">
        <v>59.69999999999996</v>
      </c>
      <c r="P266" s="1">
        <v>227</v>
      </c>
      <c r="Q266" s="1">
        <v>1.1499999999999999</v>
      </c>
      <c r="R266" s="9">
        <f t="shared" si="36"/>
        <v>3.3349999999999995</v>
      </c>
      <c r="S266" s="9">
        <f t="shared" si="37"/>
        <v>-3.3349999999999995</v>
      </c>
      <c r="T266" s="9">
        <f t="shared" si="44"/>
        <v>45.875322580645154</v>
      </c>
      <c r="U266" s="34" t="s">
        <v>10</v>
      </c>
      <c r="V266" s="1">
        <v>1335</v>
      </c>
      <c r="W266" s="1">
        <f t="shared" si="38"/>
        <v>117.10526315789474</v>
      </c>
      <c r="X266" s="1">
        <f t="shared" si="43"/>
        <v>149040.20000000004</v>
      </c>
      <c r="Y266" s="1">
        <f t="shared" si="46"/>
        <v>6194.5</v>
      </c>
      <c r="Z266" s="34" t="s">
        <v>8</v>
      </c>
      <c r="AA266" s="1">
        <v>13.7309184066232</v>
      </c>
    </row>
    <row r="267" spans="1:27" s="1" customFormat="1" x14ac:dyDescent="0.25">
      <c r="A267" s="82"/>
      <c r="B267" s="2"/>
      <c r="C267" s="3">
        <v>41748</v>
      </c>
      <c r="D267" s="1">
        <v>8.6</v>
      </c>
      <c r="E267" s="12">
        <v>3.7</v>
      </c>
      <c r="F267" s="1">
        <v>12.8</v>
      </c>
      <c r="G267" s="1">
        <f t="shared" si="40"/>
        <v>2083.0999999999995</v>
      </c>
      <c r="H267" s="1">
        <f t="shared" si="45"/>
        <v>42.1</v>
      </c>
      <c r="I267" s="1">
        <f>MAX(F264:F289)</f>
        <v>20.399999999999999</v>
      </c>
      <c r="J267" s="1">
        <v>0</v>
      </c>
      <c r="K267" s="1">
        <f t="shared" si="41"/>
        <v>495.4</v>
      </c>
      <c r="L267" s="1">
        <v>2.2999999999999998</v>
      </c>
      <c r="M267" s="1">
        <f t="shared" si="42"/>
        <v>269.09999999999997</v>
      </c>
      <c r="N267" s="5">
        <f t="shared" si="39"/>
        <v>-2.2999999999999998</v>
      </c>
      <c r="O267" s="1">
        <v>57.399999999999963</v>
      </c>
      <c r="P267" s="1">
        <v>228</v>
      </c>
      <c r="Q267" s="1">
        <v>1.1499999999999999</v>
      </c>
      <c r="R267" s="9">
        <f t="shared" si="36"/>
        <v>2.6449999999999996</v>
      </c>
      <c r="S267" s="9">
        <f t="shared" si="37"/>
        <v>-2.6449999999999996</v>
      </c>
      <c r="T267" s="9">
        <f t="shared" si="44"/>
        <v>43.230322580645151</v>
      </c>
      <c r="U267" s="1">
        <v>6</v>
      </c>
      <c r="V267" s="1">
        <v>1264.7</v>
      </c>
      <c r="W267" s="1">
        <f t="shared" si="38"/>
        <v>147.05813953488374</v>
      </c>
      <c r="X267" s="1">
        <f t="shared" si="43"/>
        <v>150304.90000000005</v>
      </c>
      <c r="Y267" s="1">
        <f t="shared" si="46"/>
        <v>7459.2</v>
      </c>
      <c r="Z267" s="11">
        <f>(Z265/100)/I277</f>
        <v>1.0373845152895251</v>
      </c>
      <c r="AA267" s="1">
        <v>13.785174127325201</v>
      </c>
    </row>
    <row r="268" spans="1:27" s="23" customFormat="1" x14ac:dyDescent="0.25">
      <c r="A268" s="82"/>
      <c r="B268" s="60"/>
      <c r="C268" s="22">
        <v>41749</v>
      </c>
      <c r="D268" s="23">
        <v>11.1</v>
      </c>
      <c r="E268" s="24">
        <v>3.5</v>
      </c>
      <c r="F268" s="23">
        <v>16.600000000000001</v>
      </c>
      <c r="G268" s="23">
        <f t="shared" si="40"/>
        <v>2094.1999999999994</v>
      </c>
      <c r="H268" s="23">
        <f t="shared" si="45"/>
        <v>53.2</v>
      </c>
      <c r="I268" s="34" t="s">
        <v>9</v>
      </c>
      <c r="J268" s="23">
        <v>1.1000000000000001</v>
      </c>
      <c r="K268" s="23">
        <f t="shared" si="41"/>
        <v>496.5</v>
      </c>
      <c r="L268" s="23">
        <v>2.6</v>
      </c>
      <c r="M268" s="23">
        <f t="shared" si="42"/>
        <v>271.7</v>
      </c>
      <c r="N268" s="25">
        <f t="shared" si="39"/>
        <v>-1.5</v>
      </c>
      <c r="O268" s="23">
        <v>55.899999999999963</v>
      </c>
      <c r="P268" s="23">
        <v>229</v>
      </c>
      <c r="Q268" s="23">
        <v>1.1499999999999999</v>
      </c>
      <c r="R268" s="26">
        <f t="shared" si="36"/>
        <v>2.9899999999999998</v>
      </c>
      <c r="S268" s="26">
        <f t="shared" si="37"/>
        <v>-1.8899999999999997</v>
      </c>
      <c r="T268" s="26">
        <f t="shared" si="44"/>
        <v>41.34032258064515</v>
      </c>
      <c r="U268" s="34" t="s">
        <v>13</v>
      </c>
      <c r="V268" s="23">
        <v>1806.4</v>
      </c>
      <c r="W268" s="23">
        <f t="shared" si="38"/>
        <v>162.73873873873876</v>
      </c>
      <c r="X268" s="23">
        <f t="shared" si="43"/>
        <v>152111.30000000005</v>
      </c>
      <c r="Y268" s="23">
        <f t="shared" si="46"/>
        <v>9265.6</v>
      </c>
      <c r="Z268" s="34" t="s">
        <v>11</v>
      </c>
      <c r="AA268" s="23">
        <v>13.8391893916956</v>
      </c>
    </row>
    <row r="269" spans="1:27" s="1" customFormat="1" ht="15" customHeight="1" x14ac:dyDescent="0.25">
      <c r="A269" s="82"/>
      <c r="B269" s="7"/>
      <c r="C269" s="3">
        <v>41750</v>
      </c>
      <c r="D269" s="1">
        <v>11.3</v>
      </c>
      <c r="E269" s="1">
        <v>9.6</v>
      </c>
      <c r="F269" s="1">
        <v>13.9</v>
      </c>
      <c r="G269" s="1">
        <f t="shared" si="40"/>
        <v>2105.4999999999995</v>
      </c>
      <c r="H269" s="1">
        <f t="shared" si="45"/>
        <v>64.5</v>
      </c>
      <c r="I269" s="9">
        <f>AVERAGE(D264:D289)</f>
        <v>11.823076923076922</v>
      </c>
      <c r="J269" s="1">
        <v>3</v>
      </c>
      <c r="K269" s="1">
        <f t="shared" si="41"/>
        <v>499.5</v>
      </c>
      <c r="L269" s="1">
        <v>0.9</v>
      </c>
      <c r="M269" s="1">
        <f t="shared" si="42"/>
        <v>272.59999999999997</v>
      </c>
      <c r="N269" s="1">
        <f t="shared" si="39"/>
        <v>2.1</v>
      </c>
      <c r="O269" s="1">
        <v>57.999999999999964</v>
      </c>
      <c r="P269" s="1">
        <v>230</v>
      </c>
      <c r="Q269" s="1">
        <v>1.1499999999999999</v>
      </c>
      <c r="R269" s="9">
        <f t="shared" si="36"/>
        <v>1.0349999999999999</v>
      </c>
      <c r="S269" s="9">
        <f t="shared" si="37"/>
        <v>1.9650000000000001</v>
      </c>
      <c r="T269" s="9">
        <f t="shared" si="44"/>
        <v>43.305322580645154</v>
      </c>
      <c r="U269" s="9">
        <f>MIN(T264:T289)</f>
        <v>39.960322580645155</v>
      </c>
      <c r="V269" s="10">
        <v>599.4</v>
      </c>
      <c r="W269" s="1">
        <f t="shared" si="38"/>
        <v>53.044247787610615</v>
      </c>
      <c r="X269" s="1">
        <f t="shared" si="43"/>
        <v>152710.70000000004</v>
      </c>
      <c r="Y269" s="1">
        <f t="shared" si="46"/>
        <v>9865</v>
      </c>
      <c r="Z269" s="1">
        <v>9</v>
      </c>
      <c r="AA269" s="1">
        <v>13.8929521525551</v>
      </c>
    </row>
    <row r="270" spans="1:27" s="1" customFormat="1" x14ac:dyDescent="0.25">
      <c r="A270" s="82"/>
      <c r="B270" s="7"/>
      <c r="C270" s="3">
        <v>41751</v>
      </c>
      <c r="D270" s="1">
        <v>11.9</v>
      </c>
      <c r="E270" s="1">
        <v>6.4</v>
      </c>
      <c r="F270" s="1">
        <v>17.899999999999999</v>
      </c>
      <c r="G270" s="1">
        <f t="shared" si="40"/>
        <v>2117.3999999999996</v>
      </c>
      <c r="H270" s="1">
        <f t="shared" si="45"/>
        <v>76.400000000000006</v>
      </c>
      <c r="I270" s="34" t="s">
        <v>12</v>
      </c>
      <c r="J270" s="1">
        <v>1</v>
      </c>
      <c r="K270" s="1">
        <f t="shared" si="41"/>
        <v>500.5</v>
      </c>
      <c r="L270" s="1">
        <v>2.4</v>
      </c>
      <c r="M270" s="1">
        <f t="shared" si="42"/>
        <v>274.99999999999994</v>
      </c>
      <c r="N270" s="5">
        <f t="shared" si="39"/>
        <v>-1.4</v>
      </c>
      <c r="O270" s="1">
        <v>56.599999999999966</v>
      </c>
      <c r="P270" s="1">
        <v>231</v>
      </c>
      <c r="Q270" s="1">
        <v>1.1499999999999999</v>
      </c>
      <c r="R270" s="9">
        <f t="shared" si="36"/>
        <v>2.76</v>
      </c>
      <c r="S270" s="9">
        <f t="shared" si="37"/>
        <v>-1.7599999999999998</v>
      </c>
      <c r="T270" s="9">
        <f t="shared" si="44"/>
        <v>41.545322580645156</v>
      </c>
      <c r="U270" s="34" t="s">
        <v>15</v>
      </c>
      <c r="V270" s="1">
        <v>1502.9</v>
      </c>
      <c r="W270" s="1">
        <f t="shared" si="38"/>
        <v>126.29411764705883</v>
      </c>
      <c r="X270" s="1">
        <f t="shared" si="43"/>
        <v>154213.60000000003</v>
      </c>
      <c r="Y270" s="1">
        <f t="shared" si="46"/>
        <v>11367.9</v>
      </c>
      <c r="AA270" s="1">
        <v>13.946449938765401</v>
      </c>
    </row>
    <row r="271" spans="1:27" s="1" customFormat="1" x14ac:dyDescent="0.25">
      <c r="A271" s="82"/>
      <c r="B271" s="7"/>
      <c r="C271" s="3">
        <v>41752</v>
      </c>
      <c r="D271" s="1">
        <v>12.5</v>
      </c>
      <c r="E271" s="1">
        <v>6.6</v>
      </c>
      <c r="F271" s="1">
        <v>18.600000000000001</v>
      </c>
      <c r="G271" s="1">
        <f t="shared" si="40"/>
        <v>2129.8999999999996</v>
      </c>
      <c r="H271" s="1">
        <f t="shared" si="45"/>
        <v>88.9</v>
      </c>
      <c r="I271" s="1">
        <v>0</v>
      </c>
      <c r="J271" s="1">
        <v>0.6</v>
      </c>
      <c r="K271" s="1">
        <f t="shared" si="41"/>
        <v>501.1</v>
      </c>
      <c r="L271" s="1">
        <v>1.9</v>
      </c>
      <c r="M271" s="1">
        <f t="shared" si="42"/>
        <v>276.89999999999992</v>
      </c>
      <c r="N271" s="5">
        <f t="shared" si="39"/>
        <v>-1.2999999999999998</v>
      </c>
      <c r="O271" s="1">
        <v>55.299999999999969</v>
      </c>
      <c r="P271" s="1">
        <v>232</v>
      </c>
      <c r="Q271" s="1">
        <v>1.1499999999999999</v>
      </c>
      <c r="R271" s="9">
        <f t="shared" si="36"/>
        <v>2.1849999999999996</v>
      </c>
      <c r="S271" s="9">
        <f t="shared" si="37"/>
        <v>-1.5849999999999995</v>
      </c>
      <c r="T271" s="9">
        <f t="shared" si="44"/>
        <v>39.960322580645155</v>
      </c>
      <c r="U271" s="9">
        <f>MAX(T264:T289)</f>
        <v>92.505322580645156</v>
      </c>
      <c r="V271" s="1">
        <v>1170.7</v>
      </c>
      <c r="W271" s="1">
        <f t="shared" si="38"/>
        <v>93.656000000000006</v>
      </c>
      <c r="X271" s="1">
        <f t="shared" si="43"/>
        <v>155384.30000000005</v>
      </c>
      <c r="Y271" s="1">
        <f t="shared" si="46"/>
        <v>12538.6</v>
      </c>
      <c r="AA271" s="1">
        <v>13.999669844575299</v>
      </c>
    </row>
    <row r="272" spans="1:27" s="1" customFormat="1" x14ac:dyDescent="0.25">
      <c r="A272" s="82"/>
      <c r="B272" s="7"/>
      <c r="C272" s="3">
        <v>41753</v>
      </c>
      <c r="D272" s="1">
        <v>13.9</v>
      </c>
      <c r="E272" s="1">
        <v>8.6999999999999993</v>
      </c>
      <c r="F272" s="1">
        <v>19.3</v>
      </c>
      <c r="G272" s="1">
        <f t="shared" si="40"/>
        <v>2143.7999999999997</v>
      </c>
      <c r="H272" s="1">
        <f t="shared" si="45"/>
        <v>102.80000000000001</v>
      </c>
      <c r="I272" s="34" t="s">
        <v>14</v>
      </c>
      <c r="J272" s="1">
        <v>11.9</v>
      </c>
      <c r="K272" s="1">
        <f t="shared" si="41"/>
        <v>513</v>
      </c>
      <c r="L272" s="1">
        <v>2</v>
      </c>
      <c r="M272" s="1">
        <f t="shared" si="42"/>
        <v>278.89999999999992</v>
      </c>
      <c r="N272" s="1">
        <f t="shared" si="39"/>
        <v>9.9</v>
      </c>
      <c r="O272" s="1">
        <v>65.199999999999974</v>
      </c>
      <c r="P272" s="1">
        <v>233</v>
      </c>
      <c r="Q272" s="1">
        <v>1.1499999999999999</v>
      </c>
      <c r="R272" s="9">
        <f t="shared" si="36"/>
        <v>2.2999999999999998</v>
      </c>
      <c r="S272" s="9">
        <f t="shared" si="37"/>
        <v>9.6000000000000014</v>
      </c>
      <c r="T272" s="9">
        <f t="shared" si="44"/>
        <v>49.560322580645156</v>
      </c>
      <c r="U272" s="34" t="s">
        <v>17</v>
      </c>
      <c r="V272" s="1">
        <v>1266.5</v>
      </c>
      <c r="W272" s="1">
        <f t="shared" si="38"/>
        <v>91.115107913669064</v>
      </c>
      <c r="X272" s="1">
        <f t="shared" si="43"/>
        <v>156650.80000000005</v>
      </c>
      <c r="Y272" s="1">
        <f t="shared" si="46"/>
        <v>13805.1</v>
      </c>
      <c r="AA272" s="1">
        <v>14.052598519635</v>
      </c>
    </row>
    <row r="273" spans="1:27" s="1" customFormat="1" x14ac:dyDescent="0.25">
      <c r="A273" s="82"/>
      <c r="B273" s="7"/>
      <c r="C273" s="3">
        <v>41754</v>
      </c>
      <c r="D273" s="1">
        <v>12.1</v>
      </c>
      <c r="E273" s="1">
        <v>11.3</v>
      </c>
      <c r="F273" s="1">
        <v>14.1</v>
      </c>
      <c r="G273" s="1">
        <f t="shared" si="40"/>
        <v>2155.8999999999996</v>
      </c>
      <c r="H273" s="1">
        <f t="shared" si="45"/>
        <v>114.9</v>
      </c>
      <c r="I273" s="1">
        <v>0</v>
      </c>
      <c r="J273" s="1">
        <v>0.9</v>
      </c>
      <c r="K273" s="1">
        <f t="shared" si="41"/>
        <v>513.9</v>
      </c>
      <c r="L273" s="1">
        <v>1.3</v>
      </c>
      <c r="M273" s="1">
        <f t="shared" si="42"/>
        <v>280.19999999999993</v>
      </c>
      <c r="N273" s="5">
        <f t="shared" si="39"/>
        <v>-0.4</v>
      </c>
      <c r="O273" s="1">
        <v>64.799999999999969</v>
      </c>
      <c r="P273" s="1">
        <v>234</v>
      </c>
      <c r="Q273" s="1">
        <v>1.1499999999999999</v>
      </c>
      <c r="R273" s="9">
        <f t="shared" si="36"/>
        <v>1.4949999999999999</v>
      </c>
      <c r="S273" s="9">
        <f t="shared" si="37"/>
        <v>-0.59499999999999986</v>
      </c>
      <c r="T273" s="9">
        <f t="shared" si="44"/>
        <v>48.965322580645157</v>
      </c>
      <c r="U273" s="11">
        <f>AVERAGE(T264:T289)</f>
        <v>65.64724565756822</v>
      </c>
      <c r="V273" s="10">
        <v>833.9</v>
      </c>
      <c r="W273" s="1">
        <f t="shared" si="38"/>
        <v>68.917355371900825</v>
      </c>
      <c r="X273" s="1">
        <f t="shared" si="43"/>
        <v>157484.70000000004</v>
      </c>
      <c r="Y273" s="1">
        <f t="shared" si="46"/>
        <v>14639</v>
      </c>
      <c r="AA273" s="1">
        <v>14.105222159741199</v>
      </c>
    </row>
    <row r="274" spans="1:27" s="1" customFormat="1" x14ac:dyDescent="0.25">
      <c r="A274" s="82"/>
      <c r="B274" s="7"/>
      <c r="C274" s="3">
        <v>41755</v>
      </c>
      <c r="D274" s="1">
        <v>10.9</v>
      </c>
      <c r="E274" s="1">
        <v>8</v>
      </c>
      <c r="F274" s="1">
        <v>13.7</v>
      </c>
      <c r="G274" s="1">
        <f t="shared" si="40"/>
        <v>2166.7999999999997</v>
      </c>
      <c r="H274" s="1">
        <f t="shared" si="45"/>
        <v>125.80000000000001</v>
      </c>
      <c r="I274" s="34" t="s">
        <v>16</v>
      </c>
      <c r="J274" s="1">
        <v>2.9</v>
      </c>
      <c r="K274" s="1">
        <f t="shared" si="41"/>
        <v>516.79999999999995</v>
      </c>
      <c r="L274" s="1">
        <v>1</v>
      </c>
      <c r="M274" s="1">
        <f t="shared" si="42"/>
        <v>281.19999999999993</v>
      </c>
      <c r="N274" s="1">
        <f t="shared" si="39"/>
        <v>1.9</v>
      </c>
      <c r="O274" s="1">
        <v>66.699999999999974</v>
      </c>
      <c r="P274" s="1">
        <v>235</v>
      </c>
      <c r="Q274" s="1">
        <v>1.1499999999999999</v>
      </c>
      <c r="R274" s="9">
        <f t="shared" si="36"/>
        <v>1.1499999999999999</v>
      </c>
      <c r="S274" s="9">
        <f t="shared" si="37"/>
        <v>1.75</v>
      </c>
      <c r="T274" s="9">
        <f t="shared" si="44"/>
        <v>50.715322580645157</v>
      </c>
      <c r="U274" s="23"/>
      <c r="V274" s="10">
        <v>809.5</v>
      </c>
      <c r="W274" s="1">
        <f t="shared" si="38"/>
        <v>74.266055045871553</v>
      </c>
      <c r="X274" s="1">
        <f t="shared" si="43"/>
        <v>158294.20000000004</v>
      </c>
      <c r="Y274" s="1">
        <f t="shared" si="46"/>
        <v>15448.5</v>
      </c>
      <c r="AA274" s="1">
        <v>14.157526498382101</v>
      </c>
    </row>
    <row r="275" spans="1:27" s="1" customFormat="1" x14ac:dyDescent="0.25">
      <c r="A275" s="82"/>
      <c r="B275" s="7"/>
      <c r="C275" s="3">
        <v>41756</v>
      </c>
      <c r="D275" s="1">
        <v>9.6999999999999993</v>
      </c>
      <c r="E275" s="1">
        <v>8.1</v>
      </c>
      <c r="F275" s="1">
        <v>10.199999999999999</v>
      </c>
      <c r="G275" s="1">
        <f t="shared" si="40"/>
        <v>2176.4999999999995</v>
      </c>
      <c r="H275" s="1">
        <f t="shared" si="45"/>
        <v>135.5</v>
      </c>
      <c r="I275" s="1">
        <v>5</v>
      </c>
      <c r="J275" s="1">
        <v>18.600000000000001</v>
      </c>
      <c r="K275" s="1">
        <f t="shared" si="41"/>
        <v>535.4</v>
      </c>
      <c r="L275" s="1">
        <v>0.8</v>
      </c>
      <c r="M275" s="1">
        <f t="shared" si="42"/>
        <v>281.99999999999994</v>
      </c>
      <c r="N275" s="1">
        <f t="shared" si="39"/>
        <v>17.8</v>
      </c>
      <c r="O275" s="1">
        <v>84.499999999999972</v>
      </c>
      <c r="P275" s="1">
        <v>236</v>
      </c>
      <c r="Q275" s="1">
        <v>1.1499999999999999</v>
      </c>
      <c r="R275" s="9">
        <f t="shared" si="36"/>
        <v>0.91999999999999993</v>
      </c>
      <c r="S275" s="9">
        <f t="shared" si="37"/>
        <v>17.68</v>
      </c>
      <c r="T275" s="9">
        <f t="shared" si="44"/>
        <v>68.395322580645157</v>
      </c>
      <c r="U275" s="9">
        <f>(U273*100)/138.9</f>
        <v>47.26223589457755</v>
      </c>
      <c r="V275" s="10">
        <v>586.6</v>
      </c>
      <c r="W275" s="1">
        <f t="shared" si="38"/>
        <v>60.474226804123717</v>
      </c>
      <c r="X275" s="1">
        <f t="shared" si="43"/>
        <v>158880.80000000005</v>
      </c>
      <c r="Y275" s="1">
        <f t="shared" si="46"/>
        <v>16035.1</v>
      </c>
      <c r="AA275" s="1">
        <v>14.209496799151999</v>
      </c>
    </row>
    <row r="276" spans="1:27" s="1" customFormat="1" x14ac:dyDescent="0.25">
      <c r="A276" s="82"/>
      <c r="B276" s="7"/>
      <c r="C276" s="3">
        <v>41757</v>
      </c>
      <c r="D276" s="1">
        <v>10.6</v>
      </c>
      <c r="E276" s="1">
        <v>8.9</v>
      </c>
      <c r="F276" s="1">
        <v>13</v>
      </c>
      <c r="G276" s="1">
        <f t="shared" si="40"/>
        <v>2187.0999999999995</v>
      </c>
      <c r="H276" s="1">
        <f t="shared" si="45"/>
        <v>146.1</v>
      </c>
      <c r="I276" s="34" t="s">
        <v>18</v>
      </c>
      <c r="J276" s="1">
        <v>1.3</v>
      </c>
      <c r="K276" s="1">
        <f t="shared" si="41"/>
        <v>536.69999999999993</v>
      </c>
      <c r="L276" s="1">
        <v>1.1000000000000001</v>
      </c>
      <c r="M276" s="1">
        <f t="shared" si="42"/>
        <v>283.09999999999997</v>
      </c>
      <c r="N276" s="1">
        <f t="shared" si="39"/>
        <v>0.19999999999999996</v>
      </c>
      <c r="O276" s="1">
        <v>84.699999999999974</v>
      </c>
      <c r="P276" s="1">
        <v>237</v>
      </c>
      <c r="Q276" s="1">
        <v>1.1499999999999999</v>
      </c>
      <c r="R276" s="9">
        <f t="shared" si="36"/>
        <v>1.2649999999999999</v>
      </c>
      <c r="S276" s="9">
        <f t="shared" si="37"/>
        <v>3.5000000000000142E-2</v>
      </c>
      <c r="T276" s="9">
        <f t="shared" si="44"/>
        <v>68.430322580645154</v>
      </c>
      <c r="V276" s="10">
        <v>750.5</v>
      </c>
      <c r="W276" s="1">
        <f t="shared" si="38"/>
        <v>70.801886792452834</v>
      </c>
      <c r="X276" s="1">
        <f t="shared" si="43"/>
        <v>159631.30000000005</v>
      </c>
      <c r="Y276" s="1">
        <f t="shared" si="46"/>
        <v>16785.599999999999</v>
      </c>
      <c r="AA276" s="1">
        <v>14.2611178491108</v>
      </c>
    </row>
    <row r="277" spans="1:27" s="1" customFormat="1" x14ac:dyDescent="0.25">
      <c r="A277" s="82"/>
      <c r="B277" s="7"/>
      <c r="C277" s="3">
        <v>41758</v>
      </c>
      <c r="D277" s="1">
        <v>9.9</v>
      </c>
      <c r="E277" s="1">
        <v>6.9</v>
      </c>
      <c r="F277" s="1">
        <v>11.5</v>
      </c>
      <c r="G277" s="1">
        <f t="shared" si="40"/>
        <v>2196.9999999999995</v>
      </c>
      <c r="H277" s="1">
        <f t="shared" si="45"/>
        <v>156</v>
      </c>
      <c r="I277" s="1">
        <v>307.39999999999998</v>
      </c>
      <c r="J277" s="1">
        <v>17.600000000000001</v>
      </c>
      <c r="K277" s="1">
        <f t="shared" si="41"/>
        <v>554.29999999999995</v>
      </c>
      <c r="L277" s="1">
        <v>0.7</v>
      </c>
      <c r="M277" s="1">
        <f t="shared" si="42"/>
        <v>283.79999999999995</v>
      </c>
      <c r="N277" s="1">
        <f t="shared" si="39"/>
        <v>16.900000000000002</v>
      </c>
      <c r="O277" s="1">
        <v>101.59999999999998</v>
      </c>
      <c r="P277" s="1">
        <v>238</v>
      </c>
      <c r="Q277" s="1">
        <v>1.1499999999999999</v>
      </c>
      <c r="R277" s="9">
        <f t="shared" si="36"/>
        <v>0.80499999999999994</v>
      </c>
      <c r="S277" s="9">
        <f t="shared" si="37"/>
        <v>16.795000000000002</v>
      </c>
      <c r="T277" s="9">
        <f t="shared" si="44"/>
        <v>85.225322580645155</v>
      </c>
      <c r="V277" s="10">
        <v>581</v>
      </c>
      <c r="W277" s="1">
        <f t="shared" si="38"/>
        <v>58.686868686868685</v>
      </c>
      <c r="X277" s="1">
        <f t="shared" si="43"/>
        <v>160212.30000000005</v>
      </c>
      <c r="Y277" s="1">
        <f t="shared" si="46"/>
        <v>17366.599999999999</v>
      </c>
      <c r="AA277" s="1">
        <v>14.3123739531664</v>
      </c>
    </row>
    <row r="278" spans="1:27" s="1" customFormat="1" x14ac:dyDescent="0.25">
      <c r="A278" s="82"/>
      <c r="B278" s="7"/>
      <c r="C278" s="3">
        <v>41759</v>
      </c>
      <c r="D278" s="1">
        <v>11.5</v>
      </c>
      <c r="E278" s="1">
        <v>9.4</v>
      </c>
      <c r="F278" s="1">
        <v>15.2</v>
      </c>
      <c r="G278" s="1">
        <f t="shared" si="40"/>
        <v>2208.4999999999995</v>
      </c>
      <c r="H278" s="1">
        <f t="shared" si="45"/>
        <v>167.5</v>
      </c>
      <c r="J278" s="1">
        <v>0.1</v>
      </c>
      <c r="K278" s="1">
        <f t="shared" si="41"/>
        <v>554.4</v>
      </c>
      <c r="L278" s="1">
        <v>1.4</v>
      </c>
      <c r="M278" s="1">
        <f t="shared" si="42"/>
        <v>285.19999999999993</v>
      </c>
      <c r="N278" s="5">
        <f t="shared" si="39"/>
        <v>-1.2999999999999998</v>
      </c>
      <c r="O278" s="1">
        <v>100.29999999999998</v>
      </c>
      <c r="P278" s="1">
        <v>239</v>
      </c>
      <c r="Q278" s="1">
        <v>1.1499999999999999</v>
      </c>
      <c r="R278" s="9">
        <f t="shared" si="36"/>
        <v>1.6099999999999999</v>
      </c>
      <c r="S278" s="9">
        <f t="shared" si="37"/>
        <v>-1.5099999999999998</v>
      </c>
      <c r="T278" s="9">
        <f t="shared" si="44"/>
        <v>83.71532258064515</v>
      </c>
      <c r="V278" s="10">
        <v>809.6</v>
      </c>
      <c r="W278" s="1">
        <f t="shared" si="38"/>
        <v>70.400000000000006</v>
      </c>
      <c r="X278" s="1">
        <f t="shared" si="43"/>
        <v>161021.90000000005</v>
      </c>
      <c r="Y278" s="1">
        <f t="shared" si="46"/>
        <v>18176.199999999997</v>
      </c>
      <c r="AA278" s="1">
        <v>14.3632489295623</v>
      </c>
    </row>
    <row r="279" spans="1:27" s="1" customFormat="1" x14ac:dyDescent="0.25">
      <c r="A279" s="82"/>
      <c r="B279" s="7"/>
      <c r="C279" s="3">
        <v>41760</v>
      </c>
      <c r="D279" s="1">
        <v>11.4</v>
      </c>
      <c r="E279" s="1">
        <v>7.6</v>
      </c>
      <c r="F279" s="1">
        <v>14.9</v>
      </c>
      <c r="G279" s="1">
        <f t="shared" si="40"/>
        <v>2219.8999999999996</v>
      </c>
      <c r="H279" s="1">
        <f t="shared" si="45"/>
        <v>178.9</v>
      </c>
      <c r="J279" s="1">
        <v>10.4</v>
      </c>
      <c r="K279" s="1">
        <f t="shared" si="41"/>
        <v>564.79999999999995</v>
      </c>
      <c r="L279" s="1">
        <v>1.4</v>
      </c>
      <c r="M279" s="1">
        <f t="shared" si="42"/>
        <v>286.59999999999991</v>
      </c>
      <c r="N279" s="1">
        <f t="shared" si="39"/>
        <v>9</v>
      </c>
      <c r="O279" s="1">
        <v>109.29999999999998</v>
      </c>
      <c r="P279" s="1">
        <v>240</v>
      </c>
      <c r="Q279" s="1">
        <v>1.1499999999999999</v>
      </c>
      <c r="R279" s="9">
        <f t="shared" si="36"/>
        <v>1.6099999999999999</v>
      </c>
      <c r="S279" s="9">
        <f t="shared" si="37"/>
        <v>8.7900000000000009</v>
      </c>
      <c r="T279" s="9">
        <f t="shared" si="44"/>
        <v>92.505322580645156</v>
      </c>
      <c r="V279" s="1">
        <v>972.2</v>
      </c>
      <c r="W279" s="1">
        <f t="shared" si="38"/>
        <v>85.280701754385973</v>
      </c>
      <c r="X279" s="1">
        <f t="shared" si="43"/>
        <v>161994.10000000006</v>
      </c>
      <c r="Y279" s="1">
        <f t="shared" si="46"/>
        <v>19148.399999999998</v>
      </c>
      <c r="AA279" s="1">
        <v>14.413726106554501</v>
      </c>
    </row>
    <row r="280" spans="1:27" s="1" customFormat="1" x14ac:dyDescent="0.25">
      <c r="A280" s="82"/>
      <c r="B280" s="7"/>
      <c r="C280" s="3">
        <v>41761</v>
      </c>
      <c r="D280" s="1">
        <v>12.1</v>
      </c>
      <c r="E280" s="1">
        <v>10.1</v>
      </c>
      <c r="F280" s="1">
        <v>15.3</v>
      </c>
      <c r="G280" s="1">
        <f t="shared" si="40"/>
        <v>2231.9999999999995</v>
      </c>
      <c r="H280" s="1">
        <f t="shared" si="45"/>
        <v>191</v>
      </c>
      <c r="J280" s="1">
        <v>0.1</v>
      </c>
      <c r="K280" s="1">
        <f t="shared" si="41"/>
        <v>564.9</v>
      </c>
      <c r="L280" s="1">
        <v>1.7</v>
      </c>
      <c r="M280" s="1">
        <f t="shared" si="42"/>
        <v>288.2999999999999</v>
      </c>
      <c r="N280" s="5">
        <f t="shared" si="39"/>
        <v>-1.5999999999999999</v>
      </c>
      <c r="O280" s="1">
        <v>107.69999999999999</v>
      </c>
      <c r="P280" s="1">
        <v>241</v>
      </c>
      <c r="Q280" s="1">
        <v>1.1499999999999999</v>
      </c>
      <c r="R280" s="9">
        <f t="shared" si="36"/>
        <v>1.9549999999999998</v>
      </c>
      <c r="S280" s="9">
        <f t="shared" si="37"/>
        <v>-1.8549999999999998</v>
      </c>
      <c r="T280" s="9">
        <f t="shared" si="44"/>
        <v>90.650322580645152</v>
      </c>
      <c r="V280" s="1">
        <v>983.4</v>
      </c>
      <c r="W280" s="1">
        <f t="shared" si="38"/>
        <v>81.272727272727266</v>
      </c>
      <c r="X280" s="1">
        <f t="shared" si="43"/>
        <v>162977.50000000006</v>
      </c>
      <c r="Y280" s="1">
        <f t="shared" si="46"/>
        <v>20131.8</v>
      </c>
      <c r="AA280" s="1">
        <v>14.463788320365399</v>
      </c>
    </row>
    <row r="281" spans="1:27" s="23" customFormat="1" x14ac:dyDescent="0.25">
      <c r="A281" s="82"/>
      <c r="B281" s="35"/>
      <c r="C281" s="22">
        <v>41762</v>
      </c>
      <c r="D281" s="23">
        <v>9.3000000000000007</v>
      </c>
      <c r="E281" s="23">
        <v>6.3</v>
      </c>
      <c r="F281" s="23">
        <v>12.3</v>
      </c>
      <c r="G281" s="23">
        <f t="shared" si="40"/>
        <v>2241.2999999999997</v>
      </c>
      <c r="H281" s="1">
        <f t="shared" si="45"/>
        <v>200.3</v>
      </c>
      <c r="J281" s="23">
        <v>0</v>
      </c>
      <c r="K281" s="23">
        <f t="shared" si="41"/>
        <v>564.9</v>
      </c>
      <c r="L281" s="23">
        <v>2.1</v>
      </c>
      <c r="M281" s="23">
        <f t="shared" si="42"/>
        <v>290.39999999999992</v>
      </c>
      <c r="N281" s="25">
        <f t="shared" si="39"/>
        <v>-2.1</v>
      </c>
      <c r="O281" s="23">
        <v>105.6</v>
      </c>
      <c r="P281" s="23">
        <v>242</v>
      </c>
      <c r="Q281" s="1">
        <v>1.1499999999999999</v>
      </c>
      <c r="R281" s="26">
        <f t="shared" si="36"/>
        <v>2.415</v>
      </c>
      <c r="S281" s="26">
        <f t="shared" si="37"/>
        <v>-2.415</v>
      </c>
      <c r="T281" s="9">
        <f t="shared" si="44"/>
        <v>88.235322580645146</v>
      </c>
      <c r="V281" s="23">
        <v>1182.3</v>
      </c>
      <c r="W281" s="23">
        <f t="shared" si="38"/>
        <v>127.1290322580645</v>
      </c>
      <c r="X281" s="23">
        <f t="shared" si="43"/>
        <v>164159.80000000005</v>
      </c>
      <c r="Y281" s="1">
        <f t="shared" si="46"/>
        <v>21314.1</v>
      </c>
      <c r="AA281" s="1">
        <v>14.5134179145061</v>
      </c>
    </row>
    <row r="282" spans="1:27" s="1" customFormat="1" x14ac:dyDescent="0.25">
      <c r="A282" s="82"/>
      <c r="B282" s="36"/>
      <c r="C282" s="3">
        <v>41763</v>
      </c>
      <c r="D282" s="1">
        <v>10.4</v>
      </c>
      <c r="E282" s="12">
        <v>4.4000000000000004</v>
      </c>
      <c r="F282" s="1">
        <v>15.7</v>
      </c>
      <c r="G282" s="1">
        <f t="shared" si="40"/>
        <v>2251.6999999999998</v>
      </c>
      <c r="H282" s="1">
        <f t="shared" si="45"/>
        <v>210.70000000000002</v>
      </c>
      <c r="J282" s="1">
        <v>0</v>
      </c>
      <c r="K282" s="1">
        <f t="shared" si="41"/>
        <v>564.9</v>
      </c>
      <c r="L282" s="1">
        <v>3.3</v>
      </c>
      <c r="M282" s="1">
        <f t="shared" si="42"/>
        <v>293.69999999999993</v>
      </c>
      <c r="N282" s="5">
        <f t="shared" si="39"/>
        <v>-3.3</v>
      </c>
      <c r="O282" s="1">
        <v>102.3</v>
      </c>
      <c r="P282" s="1">
        <v>243</v>
      </c>
      <c r="Q282" s="1">
        <v>1.1499999999999999</v>
      </c>
      <c r="R282" s="9">
        <f t="shared" si="36"/>
        <v>3.7949999999999995</v>
      </c>
      <c r="S282" s="9">
        <f t="shared" si="37"/>
        <v>-3.7949999999999995</v>
      </c>
      <c r="T282" s="9">
        <f t="shared" si="44"/>
        <v>84.440322580645145</v>
      </c>
      <c r="V282" s="1">
        <v>2342.4</v>
      </c>
      <c r="W282" s="1">
        <f t="shared" si="38"/>
        <v>225.23076923076923</v>
      </c>
      <c r="X282" s="1">
        <f t="shared" si="43"/>
        <v>166502.20000000004</v>
      </c>
      <c r="Y282" s="1">
        <f t="shared" si="46"/>
        <v>23656.5</v>
      </c>
      <c r="AA282" s="1">
        <v>14.562596740558</v>
      </c>
    </row>
    <row r="283" spans="1:27" s="1" customFormat="1" x14ac:dyDescent="0.25">
      <c r="A283" s="82"/>
      <c r="B283" s="36"/>
      <c r="C283" s="3">
        <v>41764</v>
      </c>
      <c r="D283" s="1">
        <v>13.8</v>
      </c>
      <c r="E283" s="1">
        <v>6.2</v>
      </c>
      <c r="F283" s="1">
        <v>20.399999999999999</v>
      </c>
      <c r="G283" s="1">
        <f t="shared" si="40"/>
        <v>2265.5</v>
      </c>
      <c r="H283" s="1">
        <f t="shared" si="45"/>
        <v>224.50000000000003</v>
      </c>
      <c r="J283" s="1">
        <v>0.4</v>
      </c>
      <c r="K283" s="1">
        <f t="shared" si="41"/>
        <v>565.29999999999995</v>
      </c>
      <c r="L283" s="1">
        <v>3.8</v>
      </c>
      <c r="M283" s="1">
        <f t="shared" si="42"/>
        <v>297.49999999999994</v>
      </c>
      <c r="N283" s="5">
        <f t="shared" si="39"/>
        <v>-3.4</v>
      </c>
      <c r="O283" s="1">
        <v>98.899999999999991</v>
      </c>
      <c r="P283" s="1">
        <v>244</v>
      </c>
      <c r="Q283" s="1">
        <v>1.1499999999999999</v>
      </c>
      <c r="R283" s="9">
        <f t="shared" si="36"/>
        <v>4.3699999999999992</v>
      </c>
      <c r="S283" s="9">
        <f t="shared" si="37"/>
        <v>-3.9699999999999993</v>
      </c>
      <c r="T283" s="9">
        <f t="shared" si="44"/>
        <v>80.470322580645146</v>
      </c>
      <c r="V283" s="1">
        <v>2409.4</v>
      </c>
      <c r="W283" s="1">
        <f t="shared" si="38"/>
        <v>174.59420289855072</v>
      </c>
      <c r="X283" s="1">
        <f t="shared" si="43"/>
        <v>168911.60000000003</v>
      </c>
      <c r="Y283" s="1">
        <f t="shared" si="46"/>
        <v>26065.9</v>
      </c>
      <c r="AA283" s="1">
        <v>14.6113061605088</v>
      </c>
    </row>
    <row r="284" spans="1:27" s="1" customFormat="1" x14ac:dyDescent="0.25">
      <c r="A284" s="82"/>
      <c r="B284" s="36"/>
      <c r="C284" s="3">
        <v>41765</v>
      </c>
      <c r="D284" s="1">
        <v>15.5</v>
      </c>
      <c r="E284" s="1">
        <v>11.6</v>
      </c>
      <c r="F284" s="1">
        <v>19.399999999999999</v>
      </c>
      <c r="G284" s="1">
        <f t="shared" si="40"/>
        <v>2281</v>
      </c>
      <c r="H284" s="1">
        <f t="shared" si="45"/>
        <v>240.00000000000003</v>
      </c>
      <c r="J284" s="1">
        <v>0</v>
      </c>
      <c r="K284" s="1">
        <f t="shared" si="41"/>
        <v>565.29999999999995</v>
      </c>
      <c r="L284" s="1">
        <v>2.1</v>
      </c>
      <c r="M284" s="1">
        <f t="shared" si="42"/>
        <v>299.59999999999997</v>
      </c>
      <c r="N284" s="5">
        <f t="shared" si="39"/>
        <v>-2.1</v>
      </c>
      <c r="O284" s="1">
        <v>96.8</v>
      </c>
      <c r="P284" s="1">
        <v>245</v>
      </c>
      <c r="Q284" s="1">
        <v>1.1499999999999999</v>
      </c>
      <c r="R284" s="9">
        <f t="shared" si="36"/>
        <v>2.415</v>
      </c>
      <c r="S284" s="9">
        <f t="shared" si="37"/>
        <v>-2.415</v>
      </c>
      <c r="T284" s="9">
        <f t="shared" si="44"/>
        <v>78.055322580645139</v>
      </c>
      <c r="V284" s="1">
        <v>1080.3</v>
      </c>
      <c r="W284" s="1">
        <f t="shared" si="38"/>
        <v>69.696774193548379</v>
      </c>
      <c r="X284" s="1">
        <f t="shared" si="43"/>
        <v>169991.90000000002</v>
      </c>
      <c r="Y284" s="1">
        <f t="shared" si="46"/>
        <v>27146.2</v>
      </c>
      <c r="AA284" s="1">
        <v>14.659527050737999</v>
      </c>
    </row>
    <row r="285" spans="1:27" s="1" customFormat="1" x14ac:dyDescent="0.25">
      <c r="A285" s="82"/>
      <c r="B285" s="36"/>
      <c r="C285" s="3">
        <v>41766</v>
      </c>
      <c r="D285" s="1">
        <v>14</v>
      </c>
      <c r="E285" s="1">
        <v>10.7</v>
      </c>
      <c r="F285" s="1">
        <v>17.2</v>
      </c>
      <c r="G285" s="1">
        <f t="shared" si="40"/>
        <v>2295</v>
      </c>
      <c r="H285" s="1">
        <f t="shared" si="45"/>
        <v>254.00000000000003</v>
      </c>
      <c r="J285" s="1">
        <v>1.7</v>
      </c>
      <c r="K285" s="1">
        <f t="shared" si="41"/>
        <v>567</v>
      </c>
      <c r="L285" s="1">
        <v>2.2000000000000002</v>
      </c>
      <c r="M285" s="1">
        <f t="shared" si="42"/>
        <v>301.79999999999995</v>
      </c>
      <c r="N285" s="5">
        <f t="shared" si="39"/>
        <v>-0.50000000000000022</v>
      </c>
      <c r="O285" s="1">
        <v>96.3</v>
      </c>
      <c r="P285" s="1">
        <v>246</v>
      </c>
      <c r="Q285" s="1">
        <v>1.1499999999999999</v>
      </c>
      <c r="R285" s="9">
        <f t="shared" si="36"/>
        <v>2.5299999999999998</v>
      </c>
      <c r="S285" s="9">
        <f t="shared" si="37"/>
        <v>-0.82999999999999985</v>
      </c>
      <c r="T285" s="9">
        <f t="shared" si="44"/>
        <v>77.225322580645141</v>
      </c>
      <c r="V285" s="1">
        <v>1234.5999999999999</v>
      </c>
      <c r="W285" s="1">
        <f t="shared" si="38"/>
        <v>88.185714285714283</v>
      </c>
      <c r="X285" s="1">
        <f t="shared" si="43"/>
        <v>171226.50000000003</v>
      </c>
      <c r="Y285" s="1">
        <f t="shared" si="46"/>
        <v>28380.799999999999</v>
      </c>
      <c r="AA285" s="1">
        <v>14.707239807747399</v>
      </c>
    </row>
    <row r="286" spans="1:27" s="1" customFormat="1" x14ac:dyDescent="0.25">
      <c r="A286" s="82"/>
      <c r="B286" s="36"/>
      <c r="C286" s="3">
        <v>41767</v>
      </c>
      <c r="D286" s="1">
        <v>13.1</v>
      </c>
      <c r="E286" s="1">
        <v>9.9</v>
      </c>
      <c r="F286" s="1">
        <v>15.8</v>
      </c>
      <c r="G286" s="1">
        <f t="shared" si="40"/>
        <v>2308.1</v>
      </c>
      <c r="H286" s="1">
        <f t="shared" si="45"/>
        <v>267.10000000000002</v>
      </c>
      <c r="J286" s="1">
        <v>1.8</v>
      </c>
      <c r="K286" s="1">
        <f t="shared" si="41"/>
        <v>568.79999999999995</v>
      </c>
      <c r="L286" s="1">
        <v>1.4</v>
      </c>
      <c r="M286" s="1">
        <f t="shared" si="42"/>
        <v>303.19999999999993</v>
      </c>
      <c r="N286" s="1">
        <f t="shared" si="39"/>
        <v>0.40000000000000013</v>
      </c>
      <c r="O286" s="1">
        <v>96.7</v>
      </c>
      <c r="P286" s="1">
        <v>247</v>
      </c>
      <c r="Q286" s="1">
        <v>1.1499999999999999</v>
      </c>
      <c r="R286" s="9">
        <f t="shared" si="36"/>
        <v>1.6099999999999999</v>
      </c>
      <c r="S286" s="9">
        <f t="shared" si="37"/>
        <v>0.19000000000000017</v>
      </c>
      <c r="T286" s="9">
        <f t="shared" si="44"/>
        <v>77.415322580645139</v>
      </c>
      <c r="V286" s="10">
        <v>469.1</v>
      </c>
      <c r="W286" s="1">
        <f t="shared" si="38"/>
        <v>35.809160305343511</v>
      </c>
      <c r="X286" s="1">
        <f t="shared" si="43"/>
        <v>171695.60000000003</v>
      </c>
      <c r="Y286" s="1">
        <f t="shared" si="46"/>
        <v>28849.899999999998</v>
      </c>
      <c r="AA286" s="1">
        <v>14.7544243557327</v>
      </c>
    </row>
    <row r="287" spans="1:27" s="1" customFormat="1" x14ac:dyDescent="0.25">
      <c r="A287" s="82"/>
      <c r="B287" s="36"/>
      <c r="C287" s="3">
        <v>41768</v>
      </c>
      <c r="D287" s="1">
        <v>14.9</v>
      </c>
      <c r="E287" s="1">
        <v>12.7</v>
      </c>
      <c r="F287" s="1">
        <v>17.3</v>
      </c>
      <c r="G287" s="1">
        <f t="shared" si="40"/>
        <v>2323</v>
      </c>
      <c r="H287" s="1">
        <f t="shared" si="45"/>
        <v>282</v>
      </c>
      <c r="J287" s="1">
        <v>0</v>
      </c>
      <c r="K287" s="1">
        <f t="shared" si="41"/>
        <v>568.79999999999995</v>
      </c>
      <c r="L287" s="1">
        <v>2.1</v>
      </c>
      <c r="M287" s="1">
        <f t="shared" si="42"/>
        <v>305.29999999999995</v>
      </c>
      <c r="N287" s="5">
        <f t="shared" si="39"/>
        <v>-2.1</v>
      </c>
      <c r="O287" s="1">
        <v>94.600000000000009</v>
      </c>
      <c r="P287" s="1">
        <v>248</v>
      </c>
      <c r="Q287" s="1">
        <v>1.1499999999999999</v>
      </c>
      <c r="R287" s="9">
        <f t="shared" si="36"/>
        <v>2.415</v>
      </c>
      <c r="S287" s="9">
        <f t="shared" si="37"/>
        <v>-2.415</v>
      </c>
      <c r="T287" s="9">
        <f t="shared" si="44"/>
        <v>75.000322580645133</v>
      </c>
      <c r="V287" s="1">
        <v>1006.1</v>
      </c>
      <c r="W287" s="1">
        <f t="shared" si="38"/>
        <v>67.523489932885909</v>
      </c>
      <c r="X287" s="1">
        <f t="shared" si="43"/>
        <v>172701.70000000004</v>
      </c>
      <c r="Y287" s="1">
        <f t="shared" si="46"/>
        <v>29855.999999999996</v>
      </c>
      <c r="AA287" s="1">
        <v>14.8010601560915</v>
      </c>
    </row>
    <row r="288" spans="1:27" s="1" customFormat="1" x14ac:dyDescent="0.25">
      <c r="A288" s="82"/>
      <c r="B288" s="36"/>
      <c r="C288" s="3">
        <v>41769</v>
      </c>
      <c r="D288" s="1">
        <v>13.5</v>
      </c>
      <c r="E288" s="1">
        <v>10.7</v>
      </c>
      <c r="F288" s="1">
        <v>16.100000000000001</v>
      </c>
      <c r="G288" s="1">
        <f t="shared" si="40"/>
        <v>2336.5</v>
      </c>
      <c r="H288" s="1">
        <f t="shared" si="45"/>
        <v>295.5</v>
      </c>
      <c r="J288" s="1">
        <v>2</v>
      </c>
      <c r="K288" s="1">
        <f t="shared" si="41"/>
        <v>570.79999999999995</v>
      </c>
      <c r="L288" s="1">
        <v>1.3</v>
      </c>
      <c r="M288" s="1">
        <f t="shared" si="42"/>
        <v>306.59999999999997</v>
      </c>
      <c r="N288" s="1">
        <f t="shared" si="39"/>
        <v>0.7</v>
      </c>
      <c r="O288" s="1">
        <v>95.300000000000011</v>
      </c>
      <c r="P288" s="1">
        <v>249</v>
      </c>
      <c r="Q288" s="1">
        <v>1.1499999999999999</v>
      </c>
      <c r="R288" s="9">
        <f t="shared" si="36"/>
        <v>1.4949999999999999</v>
      </c>
      <c r="S288" s="9">
        <f t="shared" si="37"/>
        <v>0.50500000000000012</v>
      </c>
      <c r="T288" s="9">
        <f t="shared" si="44"/>
        <v>75.505322580645128</v>
      </c>
      <c r="V288" s="10">
        <v>688.7</v>
      </c>
      <c r="W288" s="1">
        <f t="shared" si="38"/>
        <v>51.014814814814819</v>
      </c>
      <c r="X288" s="1">
        <f t="shared" si="43"/>
        <v>173390.40000000005</v>
      </c>
      <c r="Y288" s="1">
        <f t="shared" si="46"/>
        <v>30544.699999999997</v>
      </c>
      <c r="AA288" s="1">
        <v>14.8471262189599</v>
      </c>
    </row>
    <row r="289" spans="1:27" s="48" customFormat="1" ht="15.75" thickBot="1" x14ac:dyDescent="0.3">
      <c r="A289" s="82"/>
      <c r="B289" s="54"/>
      <c r="C289" s="47">
        <v>41770</v>
      </c>
      <c r="D289" s="48">
        <v>11.9</v>
      </c>
      <c r="E289" s="48">
        <v>10.3</v>
      </c>
      <c r="F289" s="48">
        <v>15.1</v>
      </c>
      <c r="G289" s="48">
        <f t="shared" si="40"/>
        <v>2348.4</v>
      </c>
      <c r="H289" s="48">
        <f t="shared" si="45"/>
        <v>307.39999999999998</v>
      </c>
      <c r="J289" s="48">
        <v>2.1</v>
      </c>
      <c r="K289" s="48">
        <f t="shared" si="41"/>
        <v>572.9</v>
      </c>
      <c r="L289" s="48">
        <v>2.7</v>
      </c>
      <c r="M289" s="48">
        <f t="shared" si="42"/>
        <v>309.29999999999995</v>
      </c>
      <c r="N289" s="53">
        <f t="shared" si="39"/>
        <v>-0.60000000000000009</v>
      </c>
      <c r="O289" s="48">
        <v>94.700000000000017</v>
      </c>
      <c r="P289" s="48">
        <v>250</v>
      </c>
      <c r="Q289" s="48">
        <v>1.1499999999999999</v>
      </c>
      <c r="R289" s="50">
        <f t="shared" si="36"/>
        <v>3.105</v>
      </c>
      <c r="S289" s="50">
        <f t="shared" si="37"/>
        <v>-1.0049999999999999</v>
      </c>
      <c r="T289" s="50">
        <f t="shared" si="44"/>
        <v>74.500322580645133</v>
      </c>
      <c r="V289" s="48">
        <v>1344.5</v>
      </c>
      <c r="W289" s="48">
        <f t="shared" si="38"/>
        <v>112.98319327731092</v>
      </c>
      <c r="X289" s="48">
        <f t="shared" si="43"/>
        <v>174734.90000000005</v>
      </c>
      <c r="Y289" s="48">
        <f t="shared" si="46"/>
        <v>31889.199999999997</v>
      </c>
      <c r="AA289" s="48">
        <v>14.892601116868899</v>
      </c>
    </row>
    <row r="290" spans="1:27" s="1" customFormat="1" x14ac:dyDescent="0.25">
      <c r="A290" s="83">
        <v>600</v>
      </c>
      <c r="B290" s="36"/>
      <c r="C290" s="3">
        <v>41771</v>
      </c>
      <c r="D290" s="1">
        <v>9.6999999999999993</v>
      </c>
      <c r="E290" s="1">
        <v>7.9</v>
      </c>
      <c r="F290" s="1">
        <v>12.5</v>
      </c>
      <c r="G290" s="1">
        <f t="shared" si="40"/>
        <v>2358.1</v>
      </c>
      <c r="H290" s="1">
        <f>D290</f>
        <v>9.6999999999999993</v>
      </c>
      <c r="I290" s="37" t="s">
        <v>3</v>
      </c>
      <c r="J290" s="1">
        <v>3.6</v>
      </c>
      <c r="K290" s="1">
        <f t="shared" si="41"/>
        <v>576.5</v>
      </c>
      <c r="L290" s="1">
        <v>2.2999999999999998</v>
      </c>
      <c r="M290" s="1">
        <f t="shared" si="42"/>
        <v>311.59999999999997</v>
      </c>
      <c r="N290" s="1">
        <f t="shared" si="39"/>
        <v>1.3000000000000003</v>
      </c>
      <c r="O290" s="1">
        <v>96.000000000000014</v>
      </c>
      <c r="P290" s="1">
        <v>251</v>
      </c>
      <c r="Q290" s="11">
        <f>1.15+((P290-251)/67)*(0.35-1.15)</f>
        <v>1.1499999999999999</v>
      </c>
      <c r="R290" s="9">
        <f t="shared" si="36"/>
        <v>2.6449999999999996</v>
      </c>
      <c r="S290" s="9">
        <f t="shared" si="37"/>
        <v>0.95500000000000052</v>
      </c>
      <c r="T290" s="9">
        <f t="shared" si="44"/>
        <v>75.455322580645131</v>
      </c>
      <c r="U290" s="37" t="s">
        <v>7</v>
      </c>
      <c r="V290" s="1">
        <v>1722.1</v>
      </c>
      <c r="W290" s="1">
        <f t="shared" si="38"/>
        <v>177.53608247422682</v>
      </c>
      <c r="X290" s="1">
        <f t="shared" si="43"/>
        <v>176457.00000000006</v>
      </c>
      <c r="Y290" s="1">
        <f>V290</f>
        <v>1722.1</v>
      </c>
      <c r="Z290" s="37" t="s">
        <v>5</v>
      </c>
      <c r="AA290" s="1">
        <v>14.937463000607799</v>
      </c>
    </row>
    <row r="291" spans="1:27" s="1" customFormat="1" x14ac:dyDescent="0.25">
      <c r="A291" s="83"/>
      <c r="B291" s="36"/>
      <c r="C291" s="3">
        <v>41772</v>
      </c>
      <c r="D291" s="1">
        <v>10</v>
      </c>
      <c r="E291" s="1">
        <v>6.4</v>
      </c>
      <c r="F291" s="1">
        <v>14.2</v>
      </c>
      <c r="G291" s="1">
        <f t="shared" si="40"/>
        <v>2368.1</v>
      </c>
      <c r="H291" s="1">
        <f t="shared" si="45"/>
        <v>19.7</v>
      </c>
      <c r="I291" s="1">
        <f>MIN(E290:E312)</f>
        <v>5.0999999999999996</v>
      </c>
      <c r="J291" s="1">
        <v>3.9</v>
      </c>
      <c r="K291" s="1">
        <f t="shared" si="41"/>
        <v>580.4</v>
      </c>
      <c r="L291" s="1">
        <v>2.2000000000000002</v>
      </c>
      <c r="M291" s="1">
        <f t="shared" si="42"/>
        <v>313.79999999999995</v>
      </c>
      <c r="N291" s="1">
        <f t="shared" si="39"/>
        <v>1.6999999999999997</v>
      </c>
      <c r="O291" s="1">
        <v>97.700000000000017</v>
      </c>
      <c r="P291" s="1">
        <v>252</v>
      </c>
      <c r="Q291" s="11">
        <f t="shared" ref="Q291:Q354" si="47">1.15+((P291-251)/67)*(0.35-1.15)</f>
        <v>1.1380597014925373</v>
      </c>
      <c r="R291" s="9">
        <f t="shared" si="36"/>
        <v>2.5037313432835822</v>
      </c>
      <c r="S291" s="9">
        <f t="shared" si="37"/>
        <v>1.3962686567164178</v>
      </c>
      <c r="T291" s="9">
        <f t="shared" si="44"/>
        <v>76.851591237361546</v>
      </c>
      <c r="U291" s="1">
        <v>0</v>
      </c>
      <c r="V291" s="1">
        <v>1394.4</v>
      </c>
      <c r="W291" s="1">
        <f t="shared" si="38"/>
        <v>139.44</v>
      </c>
      <c r="X291" s="1">
        <f t="shared" si="43"/>
        <v>177851.40000000005</v>
      </c>
      <c r="Y291" s="1">
        <f t="shared" si="46"/>
        <v>3116.5</v>
      </c>
      <c r="Z291" s="1">
        <v>39087.5</v>
      </c>
      <c r="AA291" s="1">
        <v>14.9816896173754</v>
      </c>
    </row>
    <row r="292" spans="1:27" s="1" customFormat="1" x14ac:dyDescent="0.25">
      <c r="A292" s="83"/>
      <c r="B292" s="36"/>
      <c r="C292" s="3">
        <v>41773</v>
      </c>
      <c r="D292" s="1">
        <v>11.6</v>
      </c>
      <c r="E292" s="1">
        <v>5.0999999999999996</v>
      </c>
      <c r="F292" s="1">
        <v>16.2</v>
      </c>
      <c r="G292" s="1">
        <f t="shared" si="40"/>
        <v>2379.6999999999998</v>
      </c>
      <c r="H292" s="1">
        <f t="shared" si="45"/>
        <v>31.299999999999997</v>
      </c>
      <c r="I292" s="37" t="s">
        <v>6</v>
      </c>
      <c r="J292" s="1">
        <v>1</v>
      </c>
      <c r="K292" s="1">
        <f t="shared" si="41"/>
        <v>581.4</v>
      </c>
      <c r="L292" s="1">
        <v>2.2000000000000002</v>
      </c>
      <c r="M292" s="1">
        <f t="shared" si="42"/>
        <v>315.99999999999994</v>
      </c>
      <c r="N292" s="5">
        <f t="shared" si="39"/>
        <v>-1.2000000000000002</v>
      </c>
      <c r="O292" s="1">
        <v>96.500000000000014</v>
      </c>
      <c r="P292" s="1">
        <v>253</v>
      </c>
      <c r="Q292" s="11">
        <f t="shared" si="47"/>
        <v>1.1261194029850745</v>
      </c>
      <c r="R292" s="9">
        <f t="shared" si="36"/>
        <v>2.4774626865671641</v>
      </c>
      <c r="S292" s="9">
        <f t="shared" si="37"/>
        <v>-1.4774626865671641</v>
      </c>
      <c r="T292" s="9">
        <f t="shared" si="44"/>
        <v>75.374128550794381</v>
      </c>
      <c r="U292" s="37" t="s">
        <v>10</v>
      </c>
      <c r="V292" s="1">
        <v>1683.6</v>
      </c>
      <c r="W292" s="1">
        <f t="shared" si="38"/>
        <v>145.13793103448276</v>
      </c>
      <c r="X292" s="1">
        <f t="shared" si="43"/>
        <v>179535.00000000006</v>
      </c>
      <c r="Y292" s="1">
        <f t="shared" si="46"/>
        <v>4800.1000000000004</v>
      </c>
      <c r="Z292" s="37" t="s">
        <v>8</v>
      </c>
      <c r="AA292" s="1">
        <v>15.025258331298</v>
      </c>
    </row>
    <row r="293" spans="1:27" s="1" customFormat="1" x14ac:dyDescent="0.25">
      <c r="A293" s="83"/>
      <c r="B293" s="36"/>
      <c r="C293" s="3">
        <v>41774</v>
      </c>
      <c r="D293" s="1">
        <v>11.6</v>
      </c>
      <c r="E293" s="1">
        <v>7.9</v>
      </c>
      <c r="F293" s="1">
        <v>15.6</v>
      </c>
      <c r="G293" s="1">
        <f t="shared" si="40"/>
        <v>2391.2999999999997</v>
      </c>
      <c r="H293" s="1">
        <f t="shared" si="45"/>
        <v>42.9</v>
      </c>
      <c r="I293" s="1">
        <f>MAX(F290:F312)</f>
        <v>23.3</v>
      </c>
      <c r="J293" s="1">
        <v>0</v>
      </c>
      <c r="K293" s="1">
        <f t="shared" si="41"/>
        <v>581.4</v>
      </c>
      <c r="L293" s="1">
        <v>4.4000000000000004</v>
      </c>
      <c r="M293" s="1">
        <f t="shared" si="42"/>
        <v>320.39999999999992</v>
      </c>
      <c r="N293" s="5">
        <f t="shared" si="39"/>
        <v>-4.4000000000000004</v>
      </c>
      <c r="O293" s="1">
        <v>92.100000000000009</v>
      </c>
      <c r="P293" s="1">
        <v>254</v>
      </c>
      <c r="Q293" s="11">
        <f t="shared" si="47"/>
        <v>1.1141791044776119</v>
      </c>
      <c r="R293" s="9">
        <f t="shared" si="36"/>
        <v>4.9023880597014928</v>
      </c>
      <c r="S293" s="9">
        <f t="shared" si="37"/>
        <v>-4.9023880597014928</v>
      </c>
      <c r="T293" s="9">
        <f t="shared" si="44"/>
        <v>70.471740491092888</v>
      </c>
      <c r="U293" s="1">
        <v>0</v>
      </c>
      <c r="V293" s="1">
        <v>3017</v>
      </c>
      <c r="W293" s="1">
        <f t="shared" si="38"/>
        <v>260.08620689655174</v>
      </c>
      <c r="X293" s="1">
        <f t="shared" si="43"/>
        <v>182552.00000000006</v>
      </c>
      <c r="Y293" s="1">
        <f t="shared" si="46"/>
        <v>7817.1</v>
      </c>
      <c r="Z293" s="11">
        <f>(Z291/100)/I303</f>
        <v>1.257237053715021</v>
      </c>
      <c r="AA293" s="1">
        <v>15.06814614638</v>
      </c>
    </row>
    <row r="294" spans="1:27" s="23" customFormat="1" x14ac:dyDescent="0.25">
      <c r="A294" s="83"/>
      <c r="B294" s="38">
        <v>300</v>
      </c>
      <c r="C294" s="22">
        <v>41775</v>
      </c>
      <c r="D294" s="23">
        <v>13</v>
      </c>
      <c r="E294" s="23">
        <v>6.9</v>
      </c>
      <c r="F294" s="23">
        <v>18</v>
      </c>
      <c r="G294" s="23">
        <f t="shared" si="40"/>
        <v>2404.2999999999997</v>
      </c>
      <c r="H294" s="23">
        <f t="shared" si="45"/>
        <v>55.9</v>
      </c>
      <c r="I294" s="37" t="s">
        <v>9</v>
      </c>
      <c r="J294" s="23">
        <v>0</v>
      </c>
      <c r="K294" s="23">
        <f t="shared" si="41"/>
        <v>581.4</v>
      </c>
      <c r="L294" s="23">
        <v>4.2</v>
      </c>
      <c r="M294" s="23">
        <f t="shared" si="42"/>
        <v>324.59999999999991</v>
      </c>
      <c r="N294" s="25">
        <f t="shared" si="39"/>
        <v>-4.2</v>
      </c>
      <c r="O294" s="23">
        <v>87.9</v>
      </c>
      <c r="P294" s="23">
        <v>255</v>
      </c>
      <c r="Q294" s="58">
        <f t="shared" si="47"/>
        <v>1.1022388059701491</v>
      </c>
      <c r="R294" s="26">
        <f t="shared" si="36"/>
        <v>4.6294029850746261</v>
      </c>
      <c r="S294" s="26">
        <f t="shared" si="37"/>
        <v>-4.6294029850746261</v>
      </c>
      <c r="T294" s="26">
        <f t="shared" si="44"/>
        <v>65.842337506018268</v>
      </c>
      <c r="U294" s="37" t="s">
        <v>13</v>
      </c>
      <c r="V294" s="23">
        <v>2767</v>
      </c>
      <c r="W294" s="23">
        <f t="shared" si="38"/>
        <v>212.84615384615384</v>
      </c>
      <c r="X294" s="23">
        <f t="shared" si="43"/>
        <v>185319.00000000006</v>
      </c>
      <c r="Y294" s="23">
        <f t="shared" si="46"/>
        <v>10584.1</v>
      </c>
      <c r="Z294" s="37" t="s">
        <v>11</v>
      </c>
      <c r="AA294" s="23">
        <v>15.1103297319513</v>
      </c>
    </row>
    <row r="295" spans="1:27" s="1" customFormat="1" ht="15" customHeight="1" x14ac:dyDescent="0.25">
      <c r="A295" s="83"/>
      <c r="B295" s="36"/>
      <c r="C295" s="3">
        <v>41776</v>
      </c>
      <c r="D295" s="1">
        <v>15</v>
      </c>
      <c r="E295" s="1">
        <v>9.4</v>
      </c>
      <c r="F295" s="1">
        <v>20.100000000000001</v>
      </c>
      <c r="G295" s="1">
        <f t="shared" si="40"/>
        <v>2419.2999999999997</v>
      </c>
      <c r="H295" s="1">
        <f t="shared" si="45"/>
        <v>70.900000000000006</v>
      </c>
      <c r="I295" s="9">
        <f>AVERAGE(D290:D312)</f>
        <v>13.517391304347823</v>
      </c>
      <c r="J295" s="1">
        <v>0</v>
      </c>
      <c r="K295" s="1">
        <f t="shared" si="41"/>
        <v>581.4</v>
      </c>
      <c r="L295" s="1">
        <v>5</v>
      </c>
      <c r="M295" s="1">
        <f t="shared" si="42"/>
        <v>329.59999999999991</v>
      </c>
      <c r="N295" s="5">
        <f t="shared" si="39"/>
        <v>-5</v>
      </c>
      <c r="O295" s="1">
        <v>82.9</v>
      </c>
      <c r="P295" s="1">
        <v>256</v>
      </c>
      <c r="Q295" s="11">
        <f t="shared" si="47"/>
        <v>1.0902985074626865</v>
      </c>
      <c r="R295" s="9">
        <f t="shared" si="36"/>
        <v>5.4514925373134329</v>
      </c>
      <c r="S295" s="9">
        <f t="shared" si="37"/>
        <v>-5.4514925373134329</v>
      </c>
      <c r="T295" s="9">
        <f t="shared" si="44"/>
        <v>60.390844968704833</v>
      </c>
      <c r="U295" s="9">
        <f>MIN(T290:T312)</f>
        <v>49.979053923928717</v>
      </c>
      <c r="V295" s="1">
        <v>2978.6</v>
      </c>
      <c r="W295" s="1">
        <f t="shared" si="38"/>
        <v>198.57333333333332</v>
      </c>
      <c r="X295" s="1">
        <f t="shared" si="43"/>
        <v>188297.60000000006</v>
      </c>
      <c r="Y295" s="1">
        <f t="shared" si="46"/>
        <v>13562.7</v>
      </c>
      <c r="Z295" s="1">
        <v>1</v>
      </c>
      <c r="AA295" s="1">
        <v>15.151785450659901</v>
      </c>
    </row>
    <row r="296" spans="1:27" s="1" customFormat="1" x14ac:dyDescent="0.25">
      <c r="A296" s="83"/>
      <c r="B296" s="36"/>
      <c r="C296" s="3">
        <v>41777</v>
      </c>
      <c r="D296" s="1">
        <v>16.899999999999999</v>
      </c>
      <c r="E296" s="1">
        <v>9.6</v>
      </c>
      <c r="F296" s="1">
        <v>23.2</v>
      </c>
      <c r="G296" s="1">
        <f t="shared" si="40"/>
        <v>2436.1999999999998</v>
      </c>
      <c r="H296" s="1">
        <f t="shared" si="45"/>
        <v>87.800000000000011</v>
      </c>
      <c r="I296" s="37" t="s">
        <v>12</v>
      </c>
      <c r="J296" s="1">
        <v>0</v>
      </c>
      <c r="K296" s="1">
        <f t="shared" si="41"/>
        <v>581.4</v>
      </c>
      <c r="L296" s="1">
        <v>5.0999999999999996</v>
      </c>
      <c r="M296" s="1">
        <f t="shared" si="42"/>
        <v>334.69999999999993</v>
      </c>
      <c r="N296" s="5">
        <f t="shared" si="39"/>
        <v>-5.0999999999999996</v>
      </c>
      <c r="O296" s="1">
        <v>77.800000000000011</v>
      </c>
      <c r="P296" s="1">
        <v>257</v>
      </c>
      <c r="Q296" s="11">
        <f t="shared" si="47"/>
        <v>1.0783582089552237</v>
      </c>
      <c r="R296" s="9">
        <f t="shared" ref="R296:R356" si="48">Q296*L296</f>
        <v>5.4996268656716403</v>
      </c>
      <c r="S296" s="9">
        <f t="shared" ref="S296:S356" si="49">J296-R296</f>
        <v>-5.4996268656716403</v>
      </c>
      <c r="T296" s="9">
        <f t="shared" si="44"/>
        <v>54.891218103033196</v>
      </c>
      <c r="U296" s="37" t="s">
        <v>15</v>
      </c>
      <c r="V296" s="1">
        <v>2957.3</v>
      </c>
      <c r="W296" s="1">
        <f t="shared" ref="W296:W356" si="50">V296/D296</f>
        <v>174.9881656804734</v>
      </c>
      <c r="X296" s="1">
        <f t="shared" si="43"/>
        <v>191254.90000000005</v>
      </c>
      <c r="Y296" s="1">
        <f t="shared" si="46"/>
        <v>16520</v>
      </c>
      <c r="AA296" s="1">
        <v>15.192489389051699</v>
      </c>
    </row>
    <row r="297" spans="1:27" s="1" customFormat="1" x14ac:dyDescent="0.25">
      <c r="A297" s="83"/>
      <c r="B297" s="36"/>
      <c r="C297" s="3">
        <v>41778</v>
      </c>
      <c r="D297" s="1">
        <v>17.899999999999999</v>
      </c>
      <c r="E297" s="1">
        <v>10.9</v>
      </c>
      <c r="F297" s="1">
        <v>23.3</v>
      </c>
      <c r="G297" s="1">
        <f t="shared" si="40"/>
        <v>2454.1</v>
      </c>
      <c r="H297" s="1">
        <f t="shared" si="45"/>
        <v>105.70000000000002</v>
      </c>
      <c r="I297" s="1">
        <v>0</v>
      </c>
      <c r="J297" s="1">
        <v>0.1</v>
      </c>
      <c r="K297" s="1">
        <f t="shared" si="41"/>
        <v>581.5</v>
      </c>
      <c r="L297" s="1">
        <v>4.7</v>
      </c>
      <c r="M297" s="1">
        <f t="shared" si="42"/>
        <v>339.39999999999992</v>
      </c>
      <c r="N297" s="5">
        <f t="shared" ref="N297:N356" si="51">J297-L297</f>
        <v>-4.6000000000000005</v>
      </c>
      <c r="O297" s="1">
        <v>73.200000000000017</v>
      </c>
      <c r="P297" s="1">
        <v>258</v>
      </c>
      <c r="Q297" s="11">
        <f t="shared" si="47"/>
        <v>1.0664179104477611</v>
      </c>
      <c r="R297" s="9">
        <f t="shared" si="48"/>
        <v>5.0121641791044773</v>
      </c>
      <c r="S297" s="9">
        <f t="shared" si="49"/>
        <v>-4.9121641791044777</v>
      </c>
      <c r="T297" s="9">
        <f t="shared" si="44"/>
        <v>49.979053923928717</v>
      </c>
      <c r="U297" s="9">
        <f>MAX(T290:T312)</f>
        <v>79.901367356764524</v>
      </c>
      <c r="V297" s="1">
        <v>2548.1</v>
      </c>
      <c r="W297" s="1">
        <f t="shared" si="50"/>
        <v>142.35195530726259</v>
      </c>
      <c r="X297" s="1">
        <f t="shared" si="43"/>
        <v>193803.00000000006</v>
      </c>
      <c r="Y297" s="1">
        <f t="shared" si="46"/>
        <v>19068.099999999999</v>
      </c>
      <c r="AA297" s="1">
        <v>15.2324173907634</v>
      </c>
    </row>
    <row r="298" spans="1:27" s="1" customFormat="1" x14ac:dyDescent="0.25">
      <c r="A298" s="83"/>
      <c r="B298" s="36"/>
      <c r="C298" s="3">
        <v>41779</v>
      </c>
      <c r="D298" s="1">
        <v>13.8</v>
      </c>
      <c r="E298" s="1">
        <v>12.8</v>
      </c>
      <c r="F298" s="1">
        <v>15.1</v>
      </c>
      <c r="G298" s="1">
        <f t="shared" ref="G298:G356" si="52">G297+D298</f>
        <v>2467.9</v>
      </c>
      <c r="H298" s="1">
        <f t="shared" si="45"/>
        <v>119.50000000000001</v>
      </c>
      <c r="I298" s="37" t="s">
        <v>14</v>
      </c>
      <c r="J298" s="1">
        <v>16.100000000000001</v>
      </c>
      <c r="K298" s="1">
        <f t="shared" ref="K298:K356" si="53">K297+J298</f>
        <v>597.6</v>
      </c>
      <c r="L298" s="1">
        <v>1.2</v>
      </c>
      <c r="M298" s="1">
        <f t="shared" ref="M298:M356" si="54">M297+L298</f>
        <v>340.59999999999991</v>
      </c>
      <c r="N298" s="1">
        <f t="shared" si="51"/>
        <v>14.900000000000002</v>
      </c>
      <c r="O298" s="1">
        <v>88.100000000000023</v>
      </c>
      <c r="P298" s="1">
        <v>259</v>
      </c>
      <c r="Q298" s="11">
        <f t="shared" si="47"/>
        <v>1.0544776119402983</v>
      </c>
      <c r="R298" s="9">
        <f t="shared" si="48"/>
        <v>1.2653731343283579</v>
      </c>
      <c r="S298" s="9">
        <f t="shared" si="49"/>
        <v>14.834626865671643</v>
      </c>
      <c r="T298" s="9">
        <f t="shared" si="44"/>
        <v>64.813680789600355</v>
      </c>
      <c r="U298" s="37" t="s">
        <v>17</v>
      </c>
      <c r="V298" s="1">
        <v>1064.3</v>
      </c>
      <c r="W298" s="1">
        <f t="shared" si="50"/>
        <v>77.123188405797094</v>
      </c>
      <c r="X298" s="1">
        <f t="shared" ref="X298:X356" si="55">X297+V298</f>
        <v>194867.30000000005</v>
      </c>
      <c r="Y298" s="1">
        <f t="shared" si="46"/>
        <v>20132.399999999998</v>
      </c>
      <c r="AA298" s="1">
        <v>15.2715450923428</v>
      </c>
    </row>
    <row r="299" spans="1:27" s="1" customFormat="1" x14ac:dyDescent="0.25">
      <c r="A299" s="83"/>
      <c r="B299" s="36"/>
      <c r="C299" s="3">
        <v>41780</v>
      </c>
      <c r="D299" s="1">
        <v>12.7</v>
      </c>
      <c r="E299" s="1">
        <v>11.8</v>
      </c>
      <c r="F299" s="1">
        <v>14.4</v>
      </c>
      <c r="G299" s="1">
        <f t="shared" si="52"/>
        <v>2480.6</v>
      </c>
      <c r="H299" s="1">
        <f t="shared" si="45"/>
        <v>132.20000000000002</v>
      </c>
      <c r="I299" s="23">
        <v>0</v>
      </c>
      <c r="J299" s="1">
        <v>16.100000000000001</v>
      </c>
      <c r="K299" s="1">
        <f t="shared" si="53"/>
        <v>613.70000000000005</v>
      </c>
      <c r="L299" s="1">
        <v>1.4</v>
      </c>
      <c r="M299" s="1">
        <f t="shared" si="54"/>
        <v>341.99999999999989</v>
      </c>
      <c r="N299" s="1">
        <f t="shared" si="51"/>
        <v>14.700000000000001</v>
      </c>
      <c r="O299" s="1">
        <v>102.80000000000003</v>
      </c>
      <c r="P299" s="1">
        <v>260</v>
      </c>
      <c r="Q299" s="11">
        <f t="shared" si="47"/>
        <v>1.0425373134328357</v>
      </c>
      <c r="R299" s="9">
        <f t="shared" si="48"/>
        <v>1.4595522388059698</v>
      </c>
      <c r="S299" s="9">
        <f t="shared" si="49"/>
        <v>14.640447761194032</v>
      </c>
      <c r="T299" s="9">
        <f t="shared" si="44"/>
        <v>79.454128550794394</v>
      </c>
      <c r="U299" s="11">
        <f>AVERAGE(T290:T312)</f>
        <v>71.402262879152602</v>
      </c>
      <c r="V299" s="10">
        <v>867.6</v>
      </c>
      <c r="W299" s="1">
        <f t="shared" si="50"/>
        <v>68.314960629921259</v>
      </c>
      <c r="X299" s="1">
        <f t="shared" si="55"/>
        <v>195734.90000000005</v>
      </c>
      <c r="Y299" s="1">
        <f t="shared" si="46"/>
        <v>20999.999999999996</v>
      </c>
      <c r="AA299" s="1">
        <v>15.3098479616944</v>
      </c>
    </row>
    <row r="300" spans="1:27" s="1" customFormat="1" x14ac:dyDescent="0.25">
      <c r="A300" s="83"/>
      <c r="B300" s="36"/>
      <c r="C300" s="3">
        <v>41781</v>
      </c>
      <c r="D300" s="1">
        <v>13.7</v>
      </c>
      <c r="E300" s="1">
        <v>10</v>
      </c>
      <c r="F300" s="1">
        <v>18.899999999999999</v>
      </c>
      <c r="G300" s="1">
        <f t="shared" si="52"/>
        <v>2494.2999999999997</v>
      </c>
      <c r="H300" s="1">
        <f t="shared" si="45"/>
        <v>145.9</v>
      </c>
      <c r="I300" s="37" t="s">
        <v>16</v>
      </c>
      <c r="J300" s="1">
        <v>0.1</v>
      </c>
      <c r="K300" s="1">
        <f t="shared" si="53"/>
        <v>613.80000000000007</v>
      </c>
      <c r="L300" s="1">
        <v>3.6</v>
      </c>
      <c r="M300" s="1">
        <f t="shared" si="54"/>
        <v>345.59999999999991</v>
      </c>
      <c r="N300" s="5">
        <f t="shared" si="51"/>
        <v>-3.5</v>
      </c>
      <c r="O300" s="1">
        <v>99.300000000000026</v>
      </c>
      <c r="P300" s="1">
        <v>261</v>
      </c>
      <c r="Q300" s="11">
        <f t="shared" si="47"/>
        <v>1.0305970149253731</v>
      </c>
      <c r="R300" s="9">
        <f t="shared" si="48"/>
        <v>3.7101492537313434</v>
      </c>
      <c r="S300" s="9">
        <f t="shared" si="49"/>
        <v>-3.6101492537313433</v>
      </c>
      <c r="T300" s="9">
        <f t="shared" si="44"/>
        <v>75.843979297063044</v>
      </c>
      <c r="V300" s="1">
        <v>1967.5</v>
      </c>
      <c r="W300" s="1">
        <f t="shared" si="50"/>
        <v>143.61313868613141</v>
      </c>
      <c r="X300" s="1">
        <f t="shared" si="55"/>
        <v>197702.40000000005</v>
      </c>
      <c r="Y300" s="1">
        <f t="shared" si="46"/>
        <v>22967.499999999996</v>
      </c>
      <c r="AA300" s="1">
        <v>15.347301339131</v>
      </c>
    </row>
    <row r="301" spans="1:27" s="1" customFormat="1" x14ac:dyDescent="0.25">
      <c r="A301" s="83"/>
      <c r="B301" s="36"/>
      <c r="C301" s="3">
        <v>41782</v>
      </c>
      <c r="D301" s="1">
        <v>11.9</v>
      </c>
      <c r="E301" s="1">
        <v>10.8</v>
      </c>
      <c r="F301" s="1">
        <v>14.5</v>
      </c>
      <c r="G301" s="1">
        <f t="shared" si="52"/>
        <v>2506.1999999999998</v>
      </c>
      <c r="H301" s="1">
        <f t="shared" si="45"/>
        <v>157.80000000000001</v>
      </c>
      <c r="I301" s="1">
        <v>0</v>
      </c>
      <c r="J301" s="1">
        <v>2.2000000000000002</v>
      </c>
      <c r="K301" s="1">
        <f t="shared" si="53"/>
        <v>616.00000000000011</v>
      </c>
      <c r="L301" s="1">
        <v>2</v>
      </c>
      <c r="M301" s="1">
        <f t="shared" si="54"/>
        <v>347.59999999999991</v>
      </c>
      <c r="N301" s="1">
        <f t="shared" si="51"/>
        <v>0.20000000000000018</v>
      </c>
      <c r="O301" s="1">
        <v>99.500000000000028</v>
      </c>
      <c r="P301" s="1">
        <v>262</v>
      </c>
      <c r="Q301" s="11">
        <f t="shared" si="47"/>
        <v>1.0186567164179103</v>
      </c>
      <c r="R301" s="9">
        <f t="shared" si="48"/>
        <v>2.0373134328358207</v>
      </c>
      <c r="S301" s="9">
        <f t="shared" si="49"/>
        <v>0.16268656716417951</v>
      </c>
      <c r="T301" s="9">
        <f t="shared" ref="T301:T356" si="56">MIN(138.9,(T300+S301))</f>
        <v>76.006665864227216</v>
      </c>
      <c r="U301" s="9">
        <f>(U299*100)/138.9</f>
        <v>51.40551683164334</v>
      </c>
      <c r="V301" s="1">
        <v>1322.4</v>
      </c>
      <c r="W301" s="1">
        <f t="shared" si="50"/>
        <v>111.12605042016807</v>
      </c>
      <c r="X301" s="1">
        <f t="shared" si="55"/>
        <v>199024.80000000005</v>
      </c>
      <c r="Y301" s="1">
        <f t="shared" si="46"/>
        <v>24289.899999999998</v>
      </c>
      <c r="AA301" s="1">
        <v>15.3838804809943</v>
      </c>
    </row>
    <row r="302" spans="1:27" s="1" customFormat="1" x14ac:dyDescent="0.25">
      <c r="A302" s="83"/>
      <c r="B302" s="36"/>
      <c r="C302" s="3">
        <v>41783</v>
      </c>
      <c r="D302" s="1">
        <v>12.2</v>
      </c>
      <c r="E302" s="1">
        <v>8.3000000000000007</v>
      </c>
      <c r="F302" s="1">
        <v>15.4</v>
      </c>
      <c r="G302" s="1">
        <f t="shared" si="52"/>
        <v>2518.3999999999996</v>
      </c>
      <c r="H302" s="1">
        <f t="shared" si="45"/>
        <v>170</v>
      </c>
      <c r="I302" s="37" t="s">
        <v>18</v>
      </c>
      <c r="J302" s="1">
        <v>4.4000000000000004</v>
      </c>
      <c r="K302" s="1">
        <f t="shared" si="53"/>
        <v>620.40000000000009</v>
      </c>
      <c r="L302" s="1">
        <v>1.8</v>
      </c>
      <c r="M302" s="1">
        <f t="shared" si="54"/>
        <v>349.39999999999992</v>
      </c>
      <c r="N302" s="1">
        <f t="shared" si="51"/>
        <v>2.6000000000000005</v>
      </c>
      <c r="O302" s="1">
        <v>102.10000000000002</v>
      </c>
      <c r="P302" s="1">
        <v>263</v>
      </c>
      <c r="Q302" s="11">
        <f t="shared" si="47"/>
        <v>1.0067164179104477</v>
      </c>
      <c r="R302" s="9">
        <f t="shared" si="48"/>
        <v>1.8120895522388061</v>
      </c>
      <c r="S302" s="9">
        <f t="shared" si="49"/>
        <v>2.5879104477611943</v>
      </c>
      <c r="T302" s="9">
        <f t="shared" si="56"/>
        <v>78.594576311988405</v>
      </c>
      <c r="V302" s="1">
        <v>1486.7</v>
      </c>
      <c r="W302" s="1">
        <f t="shared" si="50"/>
        <v>121.86065573770493</v>
      </c>
      <c r="X302" s="1">
        <f t="shared" si="55"/>
        <v>200511.50000000006</v>
      </c>
      <c r="Y302" s="1">
        <f t="shared" si="46"/>
        <v>25776.6</v>
      </c>
      <c r="AA302" s="1">
        <v>15.419560605788201</v>
      </c>
    </row>
    <row r="303" spans="1:27" s="1" customFormat="1" x14ac:dyDescent="0.25">
      <c r="A303" s="83"/>
      <c r="B303" s="36"/>
      <c r="C303" s="3">
        <v>41784</v>
      </c>
      <c r="D303" s="1">
        <v>12.2</v>
      </c>
      <c r="E303" s="1">
        <v>8</v>
      </c>
      <c r="F303" s="1">
        <v>15.7</v>
      </c>
      <c r="G303" s="1">
        <f t="shared" si="52"/>
        <v>2530.5999999999995</v>
      </c>
      <c r="H303" s="1">
        <f t="shared" si="45"/>
        <v>182.2</v>
      </c>
      <c r="I303" s="1">
        <v>310.89999999999998</v>
      </c>
      <c r="J303" s="1">
        <v>2.6</v>
      </c>
      <c r="K303" s="1">
        <f t="shared" si="53"/>
        <v>623.00000000000011</v>
      </c>
      <c r="L303" s="1">
        <v>1.3</v>
      </c>
      <c r="M303" s="1">
        <f t="shared" si="54"/>
        <v>350.69999999999993</v>
      </c>
      <c r="N303" s="1">
        <f t="shared" si="51"/>
        <v>1.3</v>
      </c>
      <c r="O303" s="1">
        <v>103.40000000000002</v>
      </c>
      <c r="P303" s="1">
        <v>264</v>
      </c>
      <c r="Q303" s="11">
        <f t="shared" si="47"/>
        <v>0.99477611940298494</v>
      </c>
      <c r="R303" s="9">
        <f t="shared" si="48"/>
        <v>1.2932089552238804</v>
      </c>
      <c r="S303" s="9">
        <f t="shared" si="49"/>
        <v>1.3067910447761197</v>
      </c>
      <c r="T303" s="9">
        <f t="shared" si="56"/>
        <v>79.901367356764524</v>
      </c>
      <c r="V303" s="1">
        <v>1116.8</v>
      </c>
      <c r="W303" s="1">
        <f t="shared" si="50"/>
        <v>91.540983606557376</v>
      </c>
      <c r="X303" s="1">
        <f t="shared" si="55"/>
        <v>201628.30000000005</v>
      </c>
      <c r="Y303" s="1">
        <f t="shared" si="46"/>
        <v>26893.399999999998</v>
      </c>
      <c r="AA303" s="1">
        <v>15.454316942747701</v>
      </c>
    </row>
    <row r="304" spans="1:27" s="23" customFormat="1" x14ac:dyDescent="0.25">
      <c r="A304" s="83"/>
      <c r="B304" s="38"/>
      <c r="C304" s="22">
        <v>41785</v>
      </c>
      <c r="D304" s="23">
        <v>13.5</v>
      </c>
      <c r="E304" s="23">
        <v>11.3</v>
      </c>
      <c r="F304" s="23">
        <v>17.2</v>
      </c>
      <c r="G304" s="23">
        <f t="shared" si="52"/>
        <v>2544.0999999999995</v>
      </c>
      <c r="H304" s="1">
        <f t="shared" si="45"/>
        <v>195.7</v>
      </c>
      <c r="J304" s="23">
        <v>0.7</v>
      </c>
      <c r="K304" s="23">
        <f t="shared" si="53"/>
        <v>623.70000000000016</v>
      </c>
      <c r="L304" s="23">
        <v>1.8</v>
      </c>
      <c r="M304" s="23">
        <f t="shared" si="54"/>
        <v>352.49999999999994</v>
      </c>
      <c r="N304" s="25">
        <f t="shared" si="51"/>
        <v>-1.1000000000000001</v>
      </c>
      <c r="O304" s="23">
        <v>102.30000000000003</v>
      </c>
      <c r="P304" s="23">
        <v>265</v>
      </c>
      <c r="Q304" s="11">
        <f t="shared" si="47"/>
        <v>0.98283582089552235</v>
      </c>
      <c r="R304" s="26">
        <f t="shared" si="48"/>
        <v>1.7691044776119402</v>
      </c>
      <c r="S304" s="26">
        <f t="shared" si="49"/>
        <v>-1.0691044776119403</v>
      </c>
      <c r="T304" s="9">
        <f t="shared" si="56"/>
        <v>78.83226287915258</v>
      </c>
      <c r="V304" s="23">
        <v>1163.5</v>
      </c>
      <c r="W304" s="23">
        <f t="shared" si="50"/>
        <v>86.18518518518519</v>
      </c>
      <c r="X304" s="23">
        <f t="shared" si="55"/>
        <v>202791.80000000005</v>
      </c>
      <c r="Y304" s="1">
        <f t="shared" si="46"/>
        <v>28056.899999999998</v>
      </c>
      <c r="AA304" s="1">
        <v>15.488124782742901</v>
      </c>
    </row>
    <row r="305" spans="1:27" s="1" customFormat="1" x14ac:dyDescent="0.25">
      <c r="A305" s="83"/>
      <c r="B305" s="36"/>
      <c r="C305" s="3">
        <v>41786</v>
      </c>
      <c r="D305" s="1">
        <v>12.7</v>
      </c>
      <c r="E305" s="1">
        <v>11.4</v>
      </c>
      <c r="F305" s="1">
        <v>14.6</v>
      </c>
      <c r="G305" s="1">
        <f t="shared" si="52"/>
        <v>2556.7999999999993</v>
      </c>
      <c r="H305" s="1">
        <f t="shared" si="45"/>
        <v>208.39999999999998</v>
      </c>
      <c r="J305" s="1">
        <v>0.6</v>
      </c>
      <c r="K305" s="1">
        <f t="shared" si="53"/>
        <v>624.30000000000018</v>
      </c>
      <c r="L305" s="1">
        <v>1.5</v>
      </c>
      <c r="M305" s="1">
        <f t="shared" si="54"/>
        <v>353.99999999999994</v>
      </c>
      <c r="N305" s="5">
        <f t="shared" si="51"/>
        <v>-0.9</v>
      </c>
      <c r="O305" s="1">
        <v>101.40000000000002</v>
      </c>
      <c r="P305" s="1">
        <v>266</v>
      </c>
      <c r="Q305" s="11">
        <f t="shared" si="47"/>
        <v>0.97089552238805965</v>
      </c>
      <c r="R305" s="9">
        <f t="shared" si="48"/>
        <v>1.4563432835820895</v>
      </c>
      <c r="S305" s="9">
        <f t="shared" si="49"/>
        <v>-0.85634328358208955</v>
      </c>
      <c r="T305" s="9">
        <f t="shared" si="56"/>
        <v>77.975919595570488</v>
      </c>
      <c r="V305" s="1">
        <v>1080.7</v>
      </c>
      <c r="W305" s="1">
        <f t="shared" si="50"/>
        <v>85.094488188976385</v>
      </c>
      <c r="X305" s="1">
        <f t="shared" si="55"/>
        <v>203872.50000000006</v>
      </c>
      <c r="Y305" s="1">
        <f t="shared" si="46"/>
        <v>29137.599999999999</v>
      </c>
      <c r="AA305" s="1">
        <v>15.5209595313988</v>
      </c>
    </row>
    <row r="306" spans="1:27" s="1" customFormat="1" x14ac:dyDescent="0.25">
      <c r="A306" s="83"/>
      <c r="B306" s="36"/>
      <c r="C306" s="3">
        <v>41787</v>
      </c>
      <c r="D306" s="1">
        <v>12.6</v>
      </c>
      <c r="E306" s="1">
        <v>9.6999999999999993</v>
      </c>
      <c r="F306" s="1">
        <v>14.9</v>
      </c>
      <c r="G306" s="1">
        <f t="shared" si="52"/>
        <v>2569.3999999999992</v>
      </c>
      <c r="H306" s="1">
        <f t="shared" si="45"/>
        <v>220.99999999999997</v>
      </c>
      <c r="J306" s="1">
        <v>0.7</v>
      </c>
      <c r="K306" s="1">
        <f t="shared" si="53"/>
        <v>625.00000000000023</v>
      </c>
      <c r="L306" s="1">
        <v>1.2</v>
      </c>
      <c r="M306" s="1">
        <f t="shared" si="54"/>
        <v>355.19999999999993</v>
      </c>
      <c r="N306" s="5">
        <f t="shared" si="51"/>
        <v>-0.5</v>
      </c>
      <c r="O306" s="1">
        <v>100.90000000000002</v>
      </c>
      <c r="P306" s="1">
        <v>267</v>
      </c>
      <c r="Q306" s="11">
        <f t="shared" si="47"/>
        <v>0.95895522388059695</v>
      </c>
      <c r="R306" s="9">
        <f t="shared" si="48"/>
        <v>1.1507462686567163</v>
      </c>
      <c r="S306" s="9">
        <f t="shared" si="49"/>
        <v>-0.4507462686567163</v>
      </c>
      <c r="T306" s="9">
        <f t="shared" si="56"/>
        <v>77.525173326913773</v>
      </c>
      <c r="V306" s="1">
        <v>908.6</v>
      </c>
      <c r="W306" s="1">
        <f t="shared" si="50"/>
        <v>72.111111111111114</v>
      </c>
      <c r="X306" s="1">
        <f t="shared" si="55"/>
        <v>204781.10000000006</v>
      </c>
      <c r="Y306" s="1">
        <f t="shared" si="46"/>
        <v>30046.199999999997</v>
      </c>
      <c r="AA306" s="1">
        <v>15.5527967642831</v>
      </c>
    </row>
    <row r="307" spans="1:27" s="1" customFormat="1" x14ac:dyDescent="0.25">
      <c r="A307" s="83"/>
      <c r="B307" s="36"/>
      <c r="C307" s="3">
        <v>41788</v>
      </c>
      <c r="D307" s="1">
        <v>13.9</v>
      </c>
      <c r="E307" s="1">
        <v>10.9</v>
      </c>
      <c r="F307" s="1">
        <v>17.399999999999999</v>
      </c>
      <c r="G307" s="1">
        <f t="shared" si="52"/>
        <v>2583.2999999999993</v>
      </c>
      <c r="H307" s="1">
        <f t="shared" ref="H307:H356" si="57">H306+D307</f>
        <v>234.89999999999998</v>
      </c>
      <c r="J307" s="1">
        <v>0.2</v>
      </c>
      <c r="K307" s="1">
        <f t="shared" si="53"/>
        <v>625.20000000000027</v>
      </c>
      <c r="L307" s="1">
        <v>3.2</v>
      </c>
      <c r="M307" s="1">
        <f t="shared" si="54"/>
        <v>358.39999999999992</v>
      </c>
      <c r="N307" s="5">
        <f t="shared" si="51"/>
        <v>-3</v>
      </c>
      <c r="O307" s="1">
        <v>97.90000000000002</v>
      </c>
      <c r="P307" s="1">
        <v>268</v>
      </c>
      <c r="Q307" s="11">
        <f t="shared" si="47"/>
        <v>0.94701492537313425</v>
      </c>
      <c r="R307" s="9">
        <f t="shared" si="48"/>
        <v>3.0304477611940297</v>
      </c>
      <c r="S307" s="9">
        <f t="shared" si="49"/>
        <v>-2.8304477611940295</v>
      </c>
      <c r="T307" s="9">
        <f t="shared" si="56"/>
        <v>74.69472556571975</v>
      </c>
      <c r="V307" s="1">
        <v>2122.6999999999998</v>
      </c>
      <c r="W307" s="1">
        <f t="shared" si="50"/>
        <v>152.71223021582733</v>
      </c>
      <c r="X307" s="1">
        <f t="shared" si="55"/>
        <v>206903.80000000008</v>
      </c>
      <c r="Y307" s="1">
        <f t="shared" ref="Y307:Y356" si="58">Y306+V307</f>
        <v>32168.899999999998</v>
      </c>
      <c r="AA307" s="1">
        <v>15.583612283995301</v>
      </c>
    </row>
    <row r="308" spans="1:27" s="1" customFormat="1" x14ac:dyDescent="0.25">
      <c r="A308" s="83"/>
      <c r="B308" s="36"/>
      <c r="C308" s="3">
        <v>41789</v>
      </c>
      <c r="D308" s="1">
        <v>14.4</v>
      </c>
      <c r="E308" s="1">
        <v>8.4</v>
      </c>
      <c r="F308" s="1">
        <v>17.899999999999999</v>
      </c>
      <c r="G308" s="1">
        <f t="shared" si="52"/>
        <v>2597.6999999999994</v>
      </c>
      <c r="H308" s="1">
        <f t="shared" si="57"/>
        <v>249.29999999999998</v>
      </c>
      <c r="J308" s="1">
        <v>0.9</v>
      </c>
      <c r="K308" s="1">
        <f t="shared" si="53"/>
        <v>626.10000000000025</v>
      </c>
      <c r="L308" s="1">
        <v>1.9</v>
      </c>
      <c r="M308" s="1">
        <f t="shared" si="54"/>
        <v>360.2999999999999</v>
      </c>
      <c r="N308" s="5">
        <f t="shared" si="51"/>
        <v>-0.99999999999999989</v>
      </c>
      <c r="O308" s="1">
        <v>96.90000000000002</v>
      </c>
      <c r="P308" s="1">
        <v>269</v>
      </c>
      <c r="Q308" s="11">
        <f t="shared" si="47"/>
        <v>0.93507462686567155</v>
      </c>
      <c r="R308" s="9">
        <f t="shared" si="48"/>
        <v>1.7766417910447758</v>
      </c>
      <c r="S308" s="9">
        <f t="shared" si="49"/>
        <v>-0.8766417910447758</v>
      </c>
      <c r="T308" s="9">
        <f t="shared" si="56"/>
        <v>73.818083774674975</v>
      </c>
      <c r="V308" s="1">
        <v>1297.2</v>
      </c>
      <c r="W308" s="1">
        <f t="shared" si="50"/>
        <v>90.083333333333329</v>
      </c>
      <c r="X308" s="1">
        <f t="shared" si="55"/>
        <v>208201.00000000009</v>
      </c>
      <c r="Y308" s="1">
        <f t="shared" si="58"/>
        <v>33466.1</v>
      </c>
      <c r="AA308" s="1">
        <v>15.613382178962199</v>
      </c>
    </row>
    <row r="309" spans="1:27" s="1" customFormat="1" x14ac:dyDescent="0.25">
      <c r="A309" s="83"/>
      <c r="B309" s="36"/>
      <c r="C309" s="3">
        <v>41790</v>
      </c>
      <c r="D309" s="1">
        <v>16</v>
      </c>
      <c r="E309" s="1">
        <v>12.2</v>
      </c>
      <c r="F309" s="1">
        <v>20</v>
      </c>
      <c r="G309" s="1">
        <f t="shared" si="52"/>
        <v>2613.6999999999994</v>
      </c>
      <c r="H309" s="1">
        <f t="shared" si="57"/>
        <v>265.29999999999995</v>
      </c>
      <c r="J309" s="1">
        <v>0</v>
      </c>
      <c r="K309" s="1">
        <f t="shared" si="53"/>
        <v>626.10000000000025</v>
      </c>
      <c r="L309" s="1">
        <v>3.3</v>
      </c>
      <c r="M309" s="1">
        <f t="shared" si="54"/>
        <v>363.59999999999991</v>
      </c>
      <c r="N309" s="5">
        <f t="shared" si="51"/>
        <v>-3.3</v>
      </c>
      <c r="O309" s="1">
        <v>93.600000000000023</v>
      </c>
      <c r="P309" s="1">
        <v>270</v>
      </c>
      <c r="Q309" s="11">
        <f t="shared" si="47"/>
        <v>0.92313432835820886</v>
      </c>
      <c r="R309" s="9">
        <f t="shared" si="48"/>
        <v>3.0463432835820892</v>
      </c>
      <c r="S309" s="9">
        <f t="shared" si="49"/>
        <v>-3.0463432835820892</v>
      </c>
      <c r="T309" s="9">
        <f t="shared" si="56"/>
        <v>70.771740491092885</v>
      </c>
      <c r="V309" s="1">
        <v>1825.7</v>
      </c>
      <c r="W309" s="1">
        <f t="shared" si="50"/>
        <v>114.10625</v>
      </c>
      <c r="X309" s="1">
        <f t="shared" si="55"/>
        <v>210026.7000000001</v>
      </c>
      <c r="Y309" s="1">
        <f t="shared" si="58"/>
        <v>35291.799999999996</v>
      </c>
      <c r="AA309" s="1">
        <v>15.642082883723599</v>
      </c>
    </row>
    <row r="310" spans="1:27" s="1" customFormat="1" x14ac:dyDescent="0.25">
      <c r="A310" s="83"/>
      <c r="B310" s="36"/>
      <c r="C310" s="3">
        <v>41791</v>
      </c>
      <c r="D310" s="1">
        <v>14.4</v>
      </c>
      <c r="E310" s="1">
        <v>10.9</v>
      </c>
      <c r="F310" s="1">
        <v>18.3</v>
      </c>
      <c r="G310" s="1">
        <f t="shared" si="52"/>
        <v>2628.0999999999995</v>
      </c>
      <c r="H310" s="1">
        <f t="shared" si="57"/>
        <v>279.69999999999993</v>
      </c>
      <c r="J310" s="1">
        <v>0</v>
      </c>
      <c r="K310" s="1">
        <f t="shared" si="53"/>
        <v>626.10000000000025</v>
      </c>
      <c r="L310" s="1">
        <v>2</v>
      </c>
      <c r="M310" s="1">
        <f t="shared" si="54"/>
        <v>365.59999999999991</v>
      </c>
      <c r="N310" s="5">
        <f t="shared" si="51"/>
        <v>-2</v>
      </c>
      <c r="O310" s="1">
        <v>91.600000000000023</v>
      </c>
      <c r="P310" s="1">
        <v>271</v>
      </c>
      <c r="Q310" s="11">
        <f t="shared" si="47"/>
        <v>0.91119402985074616</v>
      </c>
      <c r="R310" s="9">
        <f t="shared" si="48"/>
        <v>1.8223880597014923</v>
      </c>
      <c r="S310" s="9">
        <f t="shared" si="49"/>
        <v>-1.8223880597014923</v>
      </c>
      <c r="T310" s="9">
        <f t="shared" si="56"/>
        <v>68.949352431391389</v>
      </c>
      <c r="V310" s="1">
        <v>1064.9000000000001</v>
      </c>
      <c r="W310" s="1">
        <f t="shared" si="50"/>
        <v>73.9513888888889</v>
      </c>
      <c r="X310" s="1">
        <f t="shared" si="55"/>
        <v>211091.60000000009</v>
      </c>
      <c r="Y310" s="1">
        <f t="shared" si="58"/>
        <v>36356.699999999997</v>
      </c>
      <c r="AA310" s="1">
        <v>15.6696912404673</v>
      </c>
    </row>
    <row r="311" spans="1:27" s="1" customFormat="1" x14ac:dyDescent="0.25">
      <c r="A311" s="83"/>
      <c r="B311" s="36"/>
      <c r="C311" s="3">
        <v>41792</v>
      </c>
      <c r="D311" s="1">
        <v>15.7</v>
      </c>
      <c r="E311" s="1">
        <v>12.5</v>
      </c>
      <c r="F311" s="1">
        <v>18.600000000000001</v>
      </c>
      <c r="G311" s="1">
        <f t="shared" si="52"/>
        <v>2643.7999999999993</v>
      </c>
      <c r="H311" s="1">
        <f t="shared" si="57"/>
        <v>295.39999999999992</v>
      </c>
      <c r="J311" s="1">
        <v>0</v>
      </c>
      <c r="K311" s="1">
        <f t="shared" si="53"/>
        <v>626.10000000000025</v>
      </c>
      <c r="L311" s="1">
        <v>2.6</v>
      </c>
      <c r="M311" s="1">
        <f t="shared" si="54"/>
        <v>368.19999999999993</v>
      </c>
      <c r="N311" s="5">
        <f t="shared" si="51"/>
        <v>-2.6</v>
      </c>
      <c r="O311" s="1">
        <v>89.000000000000028</v>
      </c>
      <c r="P311" s="1">
        <v>272</v>
      </c>
      <c r="Q311" s="11">
        <f t="shared" si="47"/>
        <v>0.89925373134328357</v>
      </c>
      <c r="R311" s="9">
        <f t="shared" si="48"/>
        <v>2.3380597014925373</v>
      </c>
      <c r="S311" s="9">
        <f t="shared" si="49"/>
        <v>-2.3380597014925373</v>
      </c>
      <c r="T311" s="9">
        <f t="shared" si="56"/>
        <v>66.61129272989885</v>
      </c>
      <c r="V311" s="1">
        <v>1625</v>
      </c>
      <c r="W311" s="1">
        <f t="shared" si="50"/>
        <v>103.5031847133758</v>
      </c>
      <c r="X311" s="1">
        <f t="shared" si="55"/>
        <v>212716.60000000009</v>
      </c>
      <c r="Y311" s="1">
        <f t="shared" si="58"/>
        <v>37981.699999999997</v>
      </c>
      <c r="AA311" s="1">
        <v>15.696184561548201</v>
      </c>
    </row>
    <row r="312" spans="1:27" s="48" customFormat="1" ht="15.75" thickBot="1" x14ac:dyDescent="0.3">
      <c r="A312" s="83"/>
      <c r="B312" s="54"/>
      <c r="C312" s="47">
        <v>41793</v>
      </c>
      <c r="D312" s="48">
        <v>15.5</v>
      </c>
      <c r="E312" s="48">
        <v>13.1</v>
      </c>
      <c r="F312" s="48">
        <v>17.899999999999999</v>
      </c>
      <c r="G312" s="48">
        <f t="shared" si="52"/>
        <v>2659.2999999999993</v>
      </c>
      <c r="H312" s="48">
        <f t="shared" si="57"/>
        <v>310.89999999999992</v>
      </c>
      <c r="J312" s="48">
        <v>4.0999999999999996</v>
      </c>
      <c r="K312" s="48">
        <f t="shared" si="53"/>
        <v>630.20000000000027</v>
      </c>
      <c r="L312" s="48">
        <v>1.7</v>
      </c>
      <c r="M312" s="48">
        <f t="shared" si="54"/>
        <v>369.89999999999992</v>
      </c>
      <c r="N312" s="48">
        <f t="shared" si="51"/>
        <v>2.3999999999999995</v>
      </c>
      <c r="O312" s="48">
        <v>91.400000000000034</v>
      </c>
      <c r="P312" s="48">
        <v>273</v>
      </c>
      <c r="Q312" s="49">
        <f t="shared" si="47"/>
        <v>0.88731343283582076</v>
      </c>
      <c r="R312" s="50">
        <f t="shared" si="48"/>
        <v>1.5084328358208952</v>
      </c>
      <c r="S312" s="50">
        <f t="shared" si="49"/>
        <v>2.5915671641791045</v>
      </c>
      <c r="T312" s="50">
        <f t="shared" si="56"/>
        <v>69.20285989407796</v>
      </c>
      <c r="V312" s="48">
        <v>1105.8</v>
      </c>
      <c r="W312" s="48">
        <f t="shared" si="50"/>
        <v>71.341935483870969</v>
      </c>
      <c r="X312" s="48">
        <f t="shared" si="55"/>
        <v>213822.40000000008</v>
      </c>
      <c r="Y312" s="48">
        <f t="shared" si="58"/>
        <v>39087.5</v>
      </c>
      <c r="AA312" s="48">
        <v>15.7215406927068</v>
      </c>
    </row>
    <row r="313" spans="1:27" s="1" customFormat="1" x14ac:dyDescent="0.25">
      <c r="A313" s="74">
        <v>1000</v>
      </c>
      <c r="B313" s="36"/>
      <c r="C313" s="3">
        <v>41794</v>
      </c>
      <c r="D313" s="1">
        <v>13</v>
      </c>
      <c r="E313" s="1">
        <v>12</v>
      </c>
      <c r="F313" s="1">
        <v>15.9</v>
      </c>
      <c r="G313" s="1">
        <f t="shared" si="52"/>
        <v>2672.2999999999993</v>
      </c>
      <c r="H313" s="1">
        <f>D313</f>
        <v>13</v>
      </c>
      <c r="I313" s="39" t="s">
        <v>3</v>
      </c>
      <c r="J313" s="1">
        <v>5.7</v>
      </c>
      <c r="K313" s="1">
        <f t="shared" si="53"/>
        <v>635.90000000000032</v>
      </c>
      <c r="L313" s="1">
        <v>1.5</v>
      </c>
      <c r="M313" s="1">
        <f t="shared" si="54"/>
        <v>371.39999999999992</v>
      </c>
      <c r="N313" s="1">
        <f t="shared" si="51"/>
        <v>4.2</v>
      </c>
      <c r="O313" s="1">
        <v>95.600000000000037</v>
      </c>
      <c r="P313" s="1">
        <v>274</v>
      </c>
      <c r="Q313" s="11">
        <f t="shared" si="47"/>
        <v>0.87537313432835817</v>
      </c>
      <c r="R313" s="9">
        <f t="shared" si="48"/>
        <v>1.3130597014925374</v>
      </c>
      <c r="S313" s="9">
        <f t="shared" si="49"/>
        <v>4.3869402985074633</v>
      </c>
      <c r="T313" s="9">
        <f t="shared" si="56"/>
        <v>73.589800192585429</v>
      </c>
      <c r="U313" s="39" t="s">
        <v>7</v>
      </c>
      <c r="V313" s="10">
        <v>767.3</v>
      </c>
      <c r="W313" s="1">
        <f t="shared" si="50"/>
        <v>59.023076923076921</v>
      </c>
      <c r="X313" s="1">
        <f t="shared" si="55"/>
        <v>214589.70000000007</v>
      </c>
      <c r="Y313" s="1">
        <f>V313</f>
        <v>767.3</v>
      </c>
      <c r="Z313" s="39" t="s">
        <v>5</v>
      </c>
      <c r="AA313" s="1">
        <v>15.745738076679499</v>
      </c>
    </row>
    <row r="314" spans="1:27" s="1" customFormat="1" x14ac:dyDescent="0.25">
      <c r="A314" s="74"/>
      <c r="B314" s="36"/>
      <c r="C314" s="3">
        <v>41795</v>
      </c>
      <c r="D314" s="1">
        <v>14.2</v>
      </c>
      <c r="E314" s="1">
        <v>9.3000000000000007</v>
      </c>
      <c r="F314" s="1">
        <v>19</v>
      </c>
      <c r="G314" s="1">
        <f t="shared" si="52"/>
        <v>2686.4999999999991</v>
      </c>
      <c r="H314" s="1">
        <f t="shared" si="57"/>
        <v>27.2</v>
      </c>
      <c r="I314" s="1">
        <f>MIN(E313:E334)</f>
        <v>9.3000000000000007</v>
      </c>
      <c r="J314" s="1">
        <v>0</v>
      </c>
      <c r="K314" s="1">
        <f t="shared" si="53"/>
        <v>635.90000000000032</v>
      </c>
      <c r="L314" s="1">
        <v>4.2</v>
      </c>
      <c r="M314" s="1">
        <f t="shared" si="54"/>
        <v>375.59999999999991</v>
      </c>
      <c r="N314" s="5">
        <f t="shared" si="51"/>
        <v>-4.2</v>
      </c>
      <c r="O314" s="1">
        <v>91.400000000000034</v>
      </c>
      <c r="P314" s="1">
        <v>275</v>
      </c>
      <c r="Q314" s="11">
        <f t="shared" si="47"/>
        <v>0.86343283582089547</v>
      </c>
      <c r="R314" s="9">
        <f t="shared" si="48"/>
        <v>3.6264179104477612</v>
      </c>
      <c r="S314" s="9">
        <f t="shared" si="49"/>
        <v>-3.6264179104477612</v>
      </c>
      <c r="T314" s="9">
        <f t="shared" si="56"/>
        <v>69.963382282137673</v>
      </c>
      <c r="U314" s="1">
        <v>0</v>
      </c>
      <c r="V314" s="1">
        <v>2779.5</v>
      </c>
      <c r="W314" s="1">
        <f t="shared" si="50"/>
        <v>195.73943661971833</v>
      </c>
      <c r="X314" s="1">
        <f t="shared" si="55"/>
        <v>217369.20000000007</v>
      </c>
      <c r="Y314" s="1">
        <f t="shared" si="58"/>
        <v>3546.8</v>
      </c>
      <c r="Z314" s="1">
        <v>44548.1</v>
      </c>
      <c r="AA314" s="1">
        <v>15.7687558168754</v>
      </c>
    </row>
    <row r="315" spans="1:27" s="23" customFormat="1" x14ac:dyDescent="0.25">
      <c r="A315" s="74"/>
      <c r="B315" s="38">
        <v>600</v>
      </c>
      <c r="C315" s="22">
        <v>41796</v>
      </c>
      <c r="D315" s="23">
        <v>20.3</v>
      </c>
      <c r="E315" s="23">
        <v>10.5</v>
      </c>
      <c r="F315" s="57">
        <v>26.7</v>
      </c>
      <c r="G315" s="23">
        <f t="shared" si="52"/>
        <v>2706.7999999999993</v>
      </c>
      <c r="H315" s="23">
        <f t="shared" si="57"/>
        <v>47.5</v>
      </c>
      <c r="I315" s="39" t="s">
        <v>6</v>
      </c>
      <c r="J315" s="23">
        <v>0</v>
      </c>
      <c r="K315" s="23">
        <f t="shared" si="53"/>
        <v>635.90000000000032</v>
      </c>
      <c r="L315" s="23">
        <v>4.9000000000000004</v>
      </c>
      <c r="M315" s="23">
        <f t="shared" si="54"/>
        <v>380.49999999999989</v>
      </c>
      <c r="N315" s="25">
        <f t="shared" si="51"/>
        <v>-4.9000000000000004</v>
      </c>
      <c r="O315" s="23">
        <v>86.500000000000028</v>
      </c>
      <c r="P315" s="23">
        <v>276</v>
      </c>
      <c r="Q315" s="58">
        <f t="shared" si="47"/>
        <v>0.85149253731343277</v>
      </c>
      <c r="R315" s="26">
        <f t="shared" si="48"/>
        <v>4.1723134328358205</v>
      </c>
      <c r="S315" s="26">
        <f t="shared" si="49"/>
        <v>-4.1723134328358205</v>
      </c>
      <c r="T315" s="26">
        <f t="shared" si="56"/>
        <v>65.791068849301851</v>
      </c>
      <c r="U315" s="39" t="s">
        <v>10</v>
      </c>
      <c r="V315" s="23">
        <v>2746.4</v>
      </c>
      <c r="W315" s="23">
        <f t="shared" si="50"/>
        <v>135.29064039408868</v>
      </c>
      <c r="X315" s="23">
        <f t="shared" si="55"/>
        <v>220115.60000000006</v>
      </c>
      <c r="Y315" s="23">
        <f t="shared" si="58"/>
        <v>6293.2000000000007</v>
      </c>
      <c r="Z315" s="39" t="s">
        <v>8</v>
      </c>
      <c r="AA315" s="23">
        <v>15.7905737407762</v>
      </c>
    </row>
    <row r="316" spans="1:27" s="1" customFormat="1" ht="15" customHeight="1" x14ac:dyDescent="0.25">
      <c r="A316" s="74"/>
      <c r="B316" s="36"/>
      <c r="C316" s="3">
        <v>41797</v>
      </c>
      <c r="D316" s="1">
        <v>22.2</v>
      </c>
      <c r="E316" s="1">
        <v>18.5</v>
      </c>
      <c r="F316" s="6">
        <v>26.4</v>
      </c>
      <c r="G316" s="1">
        <f t="shared" si="52"/>
        <v>2728.9999999999991</v>
      </c>
      <c r="H316" s="1">
        <f t="shared" si="57"/>
        <v>69.7</v>
      </c>
      <c r="I316" s="1">
        <f>MAX(F313:F334)</f>
        <v>27.9</v>
      </c>
      <c r="J316" s="1">
        <v>4.2</v>
      </c>
      <c r="K316" s="1">
        <f t="shared" si="53"/>
        <v>640.10000000000036</v>
      </c>
      <c r="L316" s="1">
        <v>3.4</v>
      </c>
      <c r="M316" s="1">
        <f t="shared" si="54"/>
        <v>383.89999999999986</v>
      </c>
      <c r="N316" s="1">
        <f t="shared" si="51"/>
        <v>0.80000000000000027</v>
      </c>
      <c r="O316" s="1">
        <v>87.300000000000026</v>
      </c>
      <c r="P316" s="1">
        <v>277</v>
      </c>
      <c r="Q316" s="11">
        <f t="shared" si="47"/>
        <v>0.83955223880597007</v>
      </c>
      <c r="R316" s="9">
        <f t="shared" si="48"/>
        <v>2.8544776119402981</v>
      </c>
      <c r="S316" s="9">
        <f t="shared" si="49"/>
        <v>1.345522388059702</v>
      </c>
      <c r="T316" s="9">
        <f t="shared" si="56"/>
        <v>67.136591237361557</v>
      </c>
      <c r="U316" s="1">
        <v>1</v>
      </c>
      <c r="V316" s="1">
        <v>1800.2</v>
      </c>
      <c r="W316" s="1">
        <f t="shared" si="50"/>
        <v>81.090090090090101</v>
      </c>
      <c r="X316" s="1">
        <f t="shared" si="55"/>
        <v>221915.80000000008</v>
      </c>
      <c r="Y316" s="1">
        <f t="shared" si="58"/>
        <v>8093.4000000000005</v>
      </c>
      <c r="Z316" s="11">
        <f>(Z314/100)/I326</f>
        <v>1.1010405338606031</v>
      </c>
      <c r="AA316" s="1">
        <v>15.8111724627038</v>
      </c>
    </row>
    <row r="317" spans="1:27" s="1" customFormat="1" x14ac:dyDescent="0.25">
      <c r="A317" s="74"/>
      <c r="B317" s="36"/>
      <c r="C317" s="3">
        <v>41798</v>
      </c>
      <c r="D317" s="1">
        <v>23</v>
      </c>
      <c r="E317" s="1">
        <v>18.5</v>
      </c>
      <c r="F317" s="6">
        <v>27.9</v>
      </c>
      <c r="G317" s="1">
        <f t="shared" si="52"/>
        <v>2751.9999999999991</v>
      </c>
      <c r="H317" s="1">
        <f t="shared" si="57"/>
        <v>92.7</v>
      </c>
      <c r="I317" s="39" t="s">
        <v>9</v>
      </c>
      <c r="J317" s="1">
        <v>2.7</v>
      </c>
      <c r="K317" s="1">
        <f t="shared" si="53"/>
        <v>642.80000000000041</v>
      </c>
      <c r="L317" s="1">
        <v>3.1</v>
      </c>
      <c r="M317" s="1">
        <f t="shared" si="54"/>
        <v>386.99999999999989</v>
      </c>
      <c r="N317" s="5">
        <f t="shared" si="51"/>
        <v>-0.39999999999999991</v>
      </c>
      <c r="O317" s="1">
        <v>86.90000000000002</v>
      </c>
      <c r="P317" s="1">
        <v>278</v>
      </c>
      <c r="Q317" s="11">
        <f t="shared" si="47"/>
        <v>0.82761194029850738</v>
      </c>
      <c r="R317" s="9">
        <f t="shared" si="48"/>
        <v>2.5655970149253728</v>
      </c>
      <c r="S317" s="9">
        <f t="shared" si="49"/>
        <v>0.13440298507462733</v>
      </c>
      <c r="T317" s="9">
        <f t="shared" si="56"/>
        <v>67.270994222436187</v>
      </c>
      <c r="U317" s="39" t="s">
        <v>13</v>
      </c>
      <c r="V317" s="1">
        <v>1464</v>
      </c>
      <c r="W317" s="1">
        <f t="shared" si="50"/>
        <v>63.652173913043477</v>
      </c>
      <c r="X317" s="1">
        <f t="shared" si="55"/>
        <v>223379.80000000008</v>
      </c>
      <c r="Y317" s="1">
        <f t="shared" si="58"/>
        <v>9557.4000000000015</v>
      </c>
      <c r="Z317" s="39" t="s">
        <v>11</v>
      </c>
      <c r="AA317" s="1">
        <v>15.830533445586701</v>
      </c>
    </row>
    <row r="318" spans="1:27" s="1" customFormat="1" x14ac:dyDescent="0.25">
      <c r="A318" s="74"/>
      <c r="B318" s="36"/>
      <c r="C318" s="3">
        <v>41799</v>
      </c>
      <c r="D318" s="1">
        <v>20.8</v>
      </c>
      <c r="E318" s="1">
        <v>18.100000000000001</v>
      </c>
      <c r="F318" s="1">
        <v>24.7</v>
      </c>
      <c r="G318" s="1">
        <f t="shared" si="52"/>
        <v>2772.7999999999993</v>
      </c>
      <c r="H318" s="1">
        <f t="shared" si="57"/>
        <v>113.5</v>
      </c>
      <c r="I318" s="9">
        <f>AVERAGE(D313:D334)</f>
        <v>18.390909090909091</v>
      </c>
      <c r="J318" s="1">
        <v>17.399999999999999</v>
      </c>
      <c r="K318" s="1">
        <f t="shared" si="53"/>
        <v>660.20000000000039</v>
      </c>
      <c r="L318" s="1">
        <v>1.7</v>
      </c>
      <c r="M318" s="1">
        <f t="shared" si="54"/>
        <v>388.69999999999987</v>
      </c>
      <c r="N318" s="1">
        <f t="shared" si="51"/>
        <v>15.7</v>
      </c>
      <c r="O318" s="1">
        <v>102.60000000000002</v>
      </c>
      <c r="P318" s="1">
        <v>279</v>
      </c>
      <c r="Q318" s="11">
        <f t="shared" si="47"/>
        <v>0.81567164179104479</v>
      </c>
      <c r="R318" s="9">
        <f t="shared" si="48"/>
        <v>1.3866417910447761</v>
      </c>
      <c r="S318" s="9">
        <f t="shared" si="49"/>
        <v>16.013358208955221</v>
      </c>
      <c r="T318" s="9">
        <f t="shared" si="56"/>
        <v>83.284352431391412</v>
      </c>
      <c r="U318" s="9">
        <f>MIN(T313:T334)</f>
        <v>43.634128550794394</v>
      </c>
      <c r="V318" s="10">
        <v>776.8</v>
      </c>
      <c r="W318" s="1">
        <f t="shared" si="50"/>
        <v>37.34615384615384</v>
      </c>
      <c r="X318" s="1">
        <f t="shared" si="55"/>
        <v>224156.60000000006</v>
      </c>
      <c r="Y318" s="1">
        <f t="shared" si="58"/>
        <v>10334.200000000001</v>
      </c>
      <c r="Z318" s="1">
        <v>2</v>
      </c>
      <c r="AA318" s="1">
        <v>15.848639061348299</v>
      </c>
    </row>
    <row r="319" spans="1:27" s="1" customFormat="1" x14ac:dyDescent="0.25">
      <c r="A319" s="74"/>
      <c r="B319" s="36"/>
      <c r="C319" s="3">
        <v>41800</v>
      </c>
      <c r="D319" s="1">
        <v>18.3</v>
      </c>
      <c r="E319" s="1">
        <v>17.899999999999999</v>
      </c>
      <c r="F319" s="1">
        <v>20.7</v>
      </c>
      <c r="G319" s="1">
        <f t="shared" si="52"/>
        <v>2791.0999999999995</v>
      </c>
      <c r="H319" s="1">
        <f t="shared" si="57"/>
        <v>131.80000000000001</v>
      </c>
      <c r="I319" s="39" t="s">
        <v>12</v>
      </c>
      <c r="J319" s="1">
        <v>7.2</v>
      </c>
      <c r="K319" s="1">
        <f t="shared" si="53"/>
        <v>667.40000000000043</v>
      </c>
      <c r="L319" s="1">
        <v>2.2999999999999998</v>
      </c>
      <c r="M319" s="1">
        <f t="shared" si="54"/>
        <v>390.99999999999989</v>
      </c>
      <c r="N319" s="1">
        <f t="shared" si="51"/>
        <v>4.9000000000000004</v>
      </c>
      <c r="O319" s="1">
        <v>107.50000000000003</v>
      </c>
      <c r="P319" s="1">
        <v>280</v>
      </c>
      <c r="Q319" s="11">
        <f t="shared" si="47"/>
        <v>0.80373134328358198</v>
      </c>
      <c r="R319" s="9">
        <f t="shared" si="48"/>
        <v>1.8485820895522385</v>
      </c>
      <c r="S319" s="9">
        <f t="shared" si="49"/>
        <v>5.3514179104477613</v>
      </c>
      <c r="T319" s="9">
        <f t="shared" si="56"/>
        <v>88.635770341839176</v>
      </c>
      <c r="U319" s="39" t="s">
        <v>15</v>
      </c>
      <c r="V319" s="1">
        <v>1200.7</v>
      </c>
      <c r="W319" s="1">
        <f t="shared" si="50"/>
        <v>65.612021857923494</v>
      </c>
      <c r="X319" s="1">
        <f t="shared" si="55"/>
        <v>225357.30000000008</v>
      </c>
      <c r="Y319" s="1">
        <f t="shared" si="58"/>
        <v>11534.900000000001</v>
      </c>
      <c r="AA319" s="1">
        <v>15.8654726495367</v>
      </c>
    </row>
    <row r="320" spans="1:27" s="1" customFormat="1" x14ac:dyDescent="0.25">
      <c r="A320" s="74"/>
      <c r="B320" s="36"/>
      <c r="C320" s="3">
        <v>41801</v>
      </c>
      <c r="D320" s="1">
        <v>19.8</v>
      </c>
      <c r="E320" s="1">
        <v>14.3</v>
      </c>
      <c r="F320" s="1">
        <v>24</v>
      </c>
      <c r="G320" s="1">
        <f t="shared" si="52"/>
        <v>2810.8999999999996</v>
      </c>
      <c r="H320" s="1">
        <f t="shared" si="57"/>
        <v>151.60000000000002</v>
      </c>
      <c r="I320" s="1">
        <v>0</v>
      </c>
      <c r="J320" s="1">
        <v>0</v>
      </c>
      <c r="K320" s="1">
        <f t="shared" si="53"/>
        <v>667.40000000000043</v>
      </c>
      <c r="L320" s="1">
        <v>3.9</v>
      </c>
      <c r="M320" s="1">
        <f t="shared" si="54"/>
        <v>394.89999999999986</v>
      </c>
      <c r="N320" s="5">
        <f t="shared" si="51"/>
        <v>-3.9</v>
      </c>
      <c r="O320" s="1">
        <v>103.60000000000002</v>
      </c>
      <c r="P320" s="1">
        <v>281</v>
      </c>
      <c r="Q320" s="11">
        <f t="shared" si="47"/>
        <v>0.79179104477611939</v>
      </c>
      <c r="R320" s="9">
        <f t="shared" si="48"/>
        <v>3.0879850746268653</v>
      </c>
      <c r="S320" s="9">
        <f t="shared" si="49"/>
        <v>-3.0879850746268653</v>
      </c>
      <c r="T320" s="9">
        <f t="shared" si="56"/>
        <v>85.547785267212305</v>
      </c>
      <c r="U320" s="9">
        <f>MAX(T313:T334)</f>
        <v>88.635770341839176</v>
      </c>
      <c r="V320" s="1">
        <v>1992.3</v>
      </c>
      <c r="W320" s="1">
        <f t="shared" si="50"/>
        <v>100.62121212121211</v>
      </c>
      <c r="X320" s="1">
        <f t="shared" si="55"/>
        <v>227349.60000000006</v>
      </c>
      <c r="Y320" s="1">
        <f t="shared" si="58"/>
        <v>13527.2</v>
      </c>
      <c r="AA320" s="1">
        <v>15.881018573813099</v>
      </c>
    </row>
    <row r="321" spans="1:27" s="1" customFormat="1" x14ac:dyDescent="0.25">
      <c r="A321" s="74"/>
      <c r="B321" s="36"/>
      <c r="C321" s="3">
        <v>41802</v>
      </c>
      <c r="D321" s="1">
        <v>20.3</v>
      </c>
      <c r="E321" s="1">
        <v>16.5</v>
      </c>
      <c r="F321" s="1">
        <v>24.6</v>
      </c>
      <c r="G321" s="1">
        <f t="shared" si="52"/>
        <v>2831.2</v>
      </c>
      <c r="H321" s="1">
        <f t="shared" si="57"/>
        <v>171.90000000000003</v>
      </c>
      <c r="I321" s="39" t="s">
        <v>14</v>
      </c>
      <c r="J321" s="1">
        <v>0</v>
      </c>
      <c r="K321" s="1">
        <f t="shared" si="53"/>
        <v>667.40000000000043</v>
      </c>
      <c r="L321" s="1">
        <v>5.9</v>
      </c>
      <c r="M321" s="1">
        <f t="shared" si="54"/>
        <v>400.79999999999984</v>
      </c>
      <c r="N321" s="5">
        <f t="shared" si="51"/>
        <v>-5.9</v>
      </c>
      <c r="O321" s="1">
        <v>97.700000000000017</v>
      </c>
      <c r="P321" s="1">
        <v>282</v>
      </c>
      <c r="Q321" s="11">
        <f t="shared" si="47"/>
        <v>0.77985074626865658</v>
      </c>
      <c r="R321" s="9">
        <f t="shared" si="48"/>
        <v>4.6011194029850744</v>
      </c>
      <c r="S321" s="9">
        <f t="shared" si="49"/>
        <v>-4.6011194029850744</v>
      </c>
      <c r="T321" s="9">
        <f t="shared" si="56"/>
        <v>80.946665864227228</v>
      </c>
      <c r="U321" s="39" t="s">
        <v>17</v>
      </c>
      <c r="V321" s="1">
        <v>3141.4</v>
      </c>
      <c r="W321" s="1">
        <f t="shared" si="50"/>
        <v>154.74876847290639</v>
      </c>
      <c r="X321" s="1">
        <f t="shared" si="55"/>
        <v>230491.00000000006</v>
      </c>
      <c r="Y321" s="1">
        <f t="shared" si="58"/>
        <v>16668.600000000002</v>
      </c>
      <c r="AA321" s="1">
        <v>15.8952622759194</v>
      </c>
    </row>
    <row r="322" spans="1:27" s="1" customFormat="1" x14ac:dyDescent="0.25">
      <c r="A322" s="74"/>
      <c r="B322" s="36"/>
      <c r="C322" s="3">
        <v>41803</v>
      </c>
      <c r="D322" s="1">
        <v>19.600000000000001</v>
      </c>
      <c r="E322" s="1">
        <v>15.3</v>
      </c>
      <c r="F322" s="1">
        <v>24.3</v>
      </c>
      <c r="G322" s="1">
        <f t="shared" si="52"/>
        <v>2850.7999999999997</v>
      </c>
      <c r="H322" s="1">
        <f t="shared" si="57"/>
        <v>191.50000000000003</v>
      </c>
      <c r="I322" s="1">
        <v>4</v>
      </c>
      <c r="J322" s="1">
        <v>0</v>
      </c>
      <c r="K322" s="1">
        <f t="shared" si="53"/>
        <v>667.40000000000043</v>
      </c>
      <c r="L322" s="1">
        <v>5.6</v>
      </c>
      <c r="M322" s="1">
        <f t="shared" si="54"/>
        <v>406.39999999999986</v>
      </c>
      <c r="N322" s="5">
        <f t="shared" si="51"/>
        <v>-5.6</v>
      </c>
      <c r="O322" s="1">
        <v>92.100000000000023</v>
      </c>
      <c r="P322" s="1">
        <v>283</v>
      </c>
      <c r="Q322" s="11">
        <f t="shared" si="47"/>
        <v>0.76791044776119399</v>
      </c>
      <c r="R322" s="9">
        <f t="shared" si="48"/>
        <v>4.3002985074626858</v>
      </c>
      <c r="S322" s="9">
        <f t="shared" si="49"/>
        <v>-4.3002985074626858</v>
      </c>
      <c r="T322" s="9">
        <f t="shared" si="56"/>
        <v>76.646367356764543</v>
      </c>
      <c r="U322" s="11">
        <f>AVERAGE(T313:T334)</f>
        <v>66.593667221079329</v>
      </c>
      <c r="V322" s="1">
        <v>3020.1</v>
      </c>
      <c r="W322" s="1">
        <f t="shared" si="50"/>
        <v>154.08673469387753</v>
      </c>
      <c r="X322" s="1">
        <f t="shared" si="55"/>
        <v>233511.10000000006</v>
      </c>
      <c r="Y322" s="1">
        <f t="shared" si="58"/>
        <v>19688.7</v>
      </c>
      <c r="AA322" s="1">
        <v>15.908190326753701</v>
      </c>
    </row>
    <row r="323" spans="1:27" s="1" customFormat="1" x14ac:dyDescent="0.25">
      <c r="A323" s="74"/>
      <c r="B323" s="36"/>
      <c r="C323" s="3">
        <v>41804</v>
      </c>
      <c r="D323" s="1">
        <v>18.100000000000001</v>
      </c>
      <c r="E323" s="1">
        <v>14.7</v>
      </c>
      <c r="F323" s="1">
        <v>21.9</v>
      </c>
      <c r="G323" s="1">
        <f t="shared" si="52"/>
        <v>2868.8999999999996</v>
      </c>
      <c r="H323" s="1">
        <f t="shared" si="57"/>
        <v>209.60000000000002</v>
      </c>
      <c r="I323" s="39" t="s">
        <v>16</v>
      </c>
      <c r="J323" s="1">
        <v>0</v>
      </c>
      <c r="K323" s="1">
        <f t="shared" si="53"/>
        <v>667.40000000000043</v>
      </c>
      <c r="L323" s="1">
        <v>4</v>
      </c>
      <c r="M323" s="1">
        <f t="shared" si="54"/>
        <v>410.39999999999986</v>
      </c>
      <c r="N323" s="5">
        <f t="shared" si="51"/>
        <v>-4</v>
      </c>
      <c r="O323" s="1">
        <v>88.100000000000023</v>
      </c>
      <c r="P323" s="1">
        <v>284</v>
      </c>
      <c r="Q323" s="11">
        <f t="shared" si="47"/>
        <v>0.75597014925373129</v>
      </c>
      <c r="R323" s="9">
        <f t="shared" si="48"/>
        <v>3.0238805970149252</v>
      </c>
      <c r="S323" s="9">
        <f t="shared" si="49"/>
        <v>-3.0238805970149252</v>
      </c>
      <c r="T323" s="9">
        <f t="shared" si="56"/>
        <v>73.62248675974962</v>
      </c>
      <c r="U323" s="23"/>
      <c r="V323" s="1">
        <v>1969.3</v>
      </c>
      <c r="W323" s="1">
        <f t="shared" si="50"/>
        <v>108.80110497237568</v>
      </c>
      <c r="X323" s="1">
        <f t="shared" si="55"/>
        <v>235480.40000000005</v>
      </c>
      <c r="Y323" s="1">
        <f t="shared" si="58"/>
        <v>21658</v>
      </c>
      <c r="AA323" s="1">
        <v>15.9197904741906</v>
      </c>
    </row>
    <row r="324" spans="1:27" s="1" customFormat="1" x14ac:dyDescent="0.25">
      <c r="A324" s="74"/>
      <c r="B324" s="36"/>
      <c r="C324" s="3">
        <v>41805</v>
      </c>
      <c r="D324" s="1">
        <v>16</v>
      </c>
      <c r="E324" s="1">
        <v>12.5</v>
      </c>
      <c r="F324" s="1">
        <v>19.5</v>
      </c>
      <c r="G324" s="1">
        <f t="shared" si="52"/>
        <v>2884.8999999999996</v>
      </c>
      <c r="H324" s="1">
        <f t="shared" si="57"/>
        <v>225.60000000000002</v>
      </c>
      <c r="I324" s="1">
        <v>0</v>
      </c>
      <c r="J324" s="1">
        <v>0</v>
      </c>
      <c r="K324" s="1">
        <f t="shared" si="53"/>
        <v>667.40000000000043</v>
      </c>
      <c r="L324" s="1">
        <v>4</v>
      </c>
      <c r="M324" s="1">
        <f t="shared" si="54"/>
        <v>414.39999999999986</v>
      </c>
      <c r="N324" s="5">
        <f t="shared" si="51"/>
        <v>-4</v>
      </c>
      <c r="O324" s="1">
        <v>84.100000000000023</v>
      </c>
      <c r="P324" s="1">
        <v>285</v>
      </c>
      <c r="Q324" s="11">
        <f t="shared" si="47"/>
        <v>0.7440298507462686</v>
      </c>
      <c r="R324" s="9">
        <f t="shared" si="48"/>
        <v>2.9761194029850744</v>
      </c>
      <c r="S324" s="9">
        <f t="shared" si="49"/>
        <v>-2.9761194029850744</v>
      </c>
      <c r="T324" s="9">
        <f t="shared" si="56"/>
        <v>70.646367356764543</v>
      </c>
      <c r="U324" s="9">
        <f>(U322*100)/138.9</f>
        <v>47.943604910784252</v>
      </c>
      <c r="V324" s="1">
        <v>2145.5</v>
      </c>
      <c r="W324" s="1">
        <f t="shared" si="50"/>
        <v>134.09375</v>
      </c>
      <c r="X324" s="1">
        <f t="shared" si="55"/>
        <v>237625.90000000005</v>
      </c>
      <c r="Y324" s="1">
        <f t="shared" si="58"/>
        <v>23803.5</v>
      </c>
      <c r="AA324" s="1">
        <v>15.9300516873031</v>
      </c>
    </row>
    <row r="325" spans="1:27" s="1" customFormat="1" x14ac:dyDescent="0.25">
      <c r="A325" s="74"/>
      <c r="B325" s="36"/>
      <c r="C325" s="3">
        <v>41806</v>
      </c>
      <c r="D325" s="1">
        <v>16</v>
      </c>
      <c r="E325" s="1">
        <v>11.9</v>
      </c>
      <c r="F325" s="1">
        <v>21</v>
      </c>
      <c r="G325" s="1">
        <f t="shared" si="52"/>
        <v>2900.8999999999996</v>
      </c>
      <c r="H325" s="1">
        <f t="shared" si="57"/>
        <v>241.60000000000002</v>
      </c>
      <c r="I325" s="39" t="s">
        <v>18</v>
      </c>
      <c r="J325" s="1">
        <v>0</v>
      </c>
      <c r="K325" s="1">
        <f t="shared" si="53"/>
        <v>667.40000000000043</v>
      </c>
      <c r="L325" s="1">
        <v>4.5999999999999996</v>
      </c>
      <c r="M325" s="1">
        <f t="shared" si="54"/>
        <v>418.99999999999989</v>
      </c>
      <c r="N325" s="5">
        <f t="shared" si="51"/>
        <v>-4.5999999999999996</v>
      </c>
      <c r="O325" s="1">
        <v>79.500000000000028</v>
      </c>
      <c r="P325" s="1">
        <v>286</v>
      </c>
      <c r="Q325" s="11">
        <f t="shared" si="47"/>
        <v>0.73208955223880601</v>
      </c>
      <c r="R325" s="9">
        <f t="shared" si="48"/>
        <v>3.3676119402985072</v>
      </c>
      <c r="S325" s="9">
        <f t="shared" si="49"/>
        <v>-3.3676119402985072</v>
      </c>
      <c r="T325" s="9">
        <f t="shared" si="56"/>
        <v>67.278755416466041</v>
      </c>
      <c r="V325" s="1">
        <v>2357</v>
      </c>
      <c r="W325" s="1">
        <f t="shared" si="50"/>
        <v>147.3125</v>
      </c>
      <c r="X325" s="1">
        <f t="shared" si="55"/>
        <v>239982.90000000005</v>
      </c>
      <c r="Y325" s="1">
        <f t="shared" si="58"/>
        <v>26160.5</v>
      </c>
      <c r="AA325" s="1">
        <v>15.938964196657301</v>
      </c>
    </row>
    <row r="326" spans="1:27" s="1" customFormat="1" x14ac:dyDescent="0.25">
      <c r="A326" s="74"/>
      <c r="B326" s="36"/>
      <c r="C326" s="3">
        <v>41807</v>
      </c>
      <c r="D326" s="1">
        <v>14.9</v>
      </c>
      <c r="E326" s="1">
        <v>12.2</v>
      </c>
      <c r="F326" s="1">
        <v>18</v>
      </c>
      <c r="G326" s="1">
        <f t="shared" si="52"/>
        <v>2915.7999999999997</v>
      </c>
      <c r="H326" s="1">
        <f t="shared" si="57"/>
        <v>256.5</v>
      </c>
      <c r="I326" s="1">
        <v>404.6</v>
      </c>
      <c r="J326" s="1">
        <v>0</v>
      </c>
      <c r="K326" s="1">
        <f t="shared" si="53"/>
        <v>667.40000000000043</v>
      </c>
      <c r="L326" s="1">
        <v>2.4</v>
      </c>
      <c r="M326" s="1">
        <f t="shared" si="54"/>
        <v>421.39999999999986</v>
      </c>
      <c r="N326" s="5">
        <f t="shared" si="51"/>
        <v>-2.4</v>
      </c>
      <c r="O326" s="1">
        <v>77.100000000000023</v>
      </c>
      <c r="P326" s="1">
        <v>287</v>
      </c>
      <c r="Q326" s="11">
        <f t="shared" si="47"/>
        <v>0.7201492537313432</v>
      </c>
      <c r="R326" s="9">
        <f t="shared" si="48"/>
        <v>1.7283582089552236</v>
      </c>
      <c r="S326" s="9">
        <f t="shared" si="49"/>
        <v>-1.7283582089552236</v>
      </c>
      <c r="T326" s="9">
        <f t="shared" si="56"/>
        <v>65.550397207510812</v>
      </c>
      <c r="V326" s="1">
        <v>1085.4000000000001</v>
      </c>
      <c r="W326" s="1">
        <f t="shared" si="50"/>
        <v>72.845637583892625</v>
      </c>
      <c r="X326" s="1">
        <f t="shared" si="55"/>
        <v>241068.30000000005</v>
      </c>
      <c r="Y326" s="1">
        <f t="shared" si="58"/>
        <v>27245.9</v>
      </c>
      <c r="AA326" s="1">
        <v>15.9465195303799</v>
      </c>
    </row>
    <row r="327" spans="1:27" s="1" customFormat="1" x14ac:dyDescent="0.25">
      <c r="A327" s="74"/>
      <c r="B327" s="36"/>
      <c r="C327" s="3">
        <v>41808</v>
      </c>
      <c r="D327" s="1">
        <v>17.100000000000001</v>
      </c>
      <c r="E327" s="1">
        <v>12.8</v>
      </c>
      <c r="F327" s="1">
        <v>21.2</v>
      </c>
      <c r="G327" s="1">
        <f t="shared" si="52"/>
        <v>2932.8999999999996</v>
      </c>
      <c r="H327" s="1">
        <f t="shared" si="57"/>
        <v>273.60000000000002</v>
      </c>
      <c r="J327" s="1">
        <v>0</v>
      </c>
      <c r="K327" s="1">
        <f t="shared" si="53"/>
        <v>667.40000000000043</v>
      </c>
      <c r="L327" s="1">
        <v>2.8</v>
      </c>
      <c r="M327" s="1">
        <f t="shared" si="54"/>
        <v>424.19999999999987</v>
      </c>
      <c r="N327" s="5">
        <f t="shared" si="51"/>
        <v>-2.8</v>
      </c>
      <c r="O327" s="1">
        <v>74.300000000000026</v>
      </c>
      <c r="P327" s="1">
        <v>288</v>
      </c>
      <c r="Q327" s="11">
        <f t="shared" si="47"/>
        <v>0.7082089552238805</v>
      </c>
      <c r="R327" s="9">
        <f t="shared" si="48"/>
        <v>1.9829850746268654</v>
      </c>
      <c r="S327" s="9">
        <f t="shared" si="49"/>
        <v>-1.9829850746268654</v>
      </c>
      <c r="T327" s="9">
        <f t="shared" si="56"/>
        <v>63.567412132883945</v>
      </c>
      <c r="V327" s="1">
        <v>1340.6</v>
      </c>
      <c r="W327" s="1">
        <f t="shared" si="50"/>
        <v>78.397660818713433</v>
      </c>
      <c r="X327" s="1">
        <f t="shared" si="55"/>
        <v>242408.90000000005</v>
      </c>
      <c r="Y327" s="1">
        <f t="shared" si="58"/>
        <v>28586.5</v>
      </c>
      <c r="AA327" s="1">
        <v>15.9527105457221</v>
      </c>
    </row>
    <row r="328" spans="1:27" s="23" customFormat="1" x14ac:dyDescent="0.25">
      <c r="A328" s="74"/>
      <c r="B328" s="38"/>
      <c r="C328" s="22">
        <v>41809</v>
      </c>
      <c r="D328" s="23">
        <v>17.399999999999999</v>
      </c>
      <c r="E328" s="23">
        <v>13.5</v>
      </c>
      <c r="F328" s="23">
        <v>21.9</v>
      </c>
      <c r="G328" s="23">
        <f t="shared" si="52"/>
        <v>2950.2999999999997</v>
      </c>
      <c r="H328" s="1">
        <f t="shared" si="57"/>
        <v>291</v>
      </c>
      <c r="J328" s="23">
        <v>0</v>
      </c>
      <c r="K328" s="23">
        <f t="shared" si="53"/>
        <v>667.40000000000043</v>
      </c>
      <c r="L328" s="23">
        <v>3.5</v>
      </c>
      <c r="M328" s="23">
        <f t="shared" si="54"/>
        <v>427.69999999999987</v>
      </c>
      <c r="N328" s="25">
        <f t="shared" si="51"/>
        <v>-3.5</v>
      </c>
      <c r="O328" s="23">
        <v>70.800000000000026</v>
      </c>
      <c r="P328" s="23">
        <v>289</v>
      </c>
      <c r="Q328" s="11">
        <f t="shared" si="47"/>
        <v>0.6962686567164178</v>
      </c>
      <c r="R328" s="26">
        <f t="shared" si="48"/>
        <v>2.4369402985074622</v>
      </c>
      <c r="S328" s="26">
        <f t="shared" si="49"/>
        <v>-2.4369402985074622</v>
      </c>
      <c r="T328" s="9">
        <f t="shared" si="56"/>
        <v>61.130471834376479</v>
      </c>
      <c r="V328" s="23">
        <v>1920.5</v>
      </c>
      <c r="W328" s="23">
        <f t="shared" si="50"/>
        <v>110.37356321839081</v>
      </c>
      <c r="X328" s="23">
        <f t="shared" si="55"/>
        <v>244329.40000000005</v>
      </c>
      <c r="Y328" s="1">
        <f t="shared" si="58"/>
        <v>30507</v>
      </c>
      <c r="AA328" s="1">
        <v>15.9575314558762</v>
      </c>
    </row>
    <row r="329" spans="1:27" s="1" customFormat="1" ht="15" customHeight="1" x14ac:dyDescent="0.25">
      <c r="A329" s="74"/>
      <c r="B329" s="40"/>
      <c r="C329" s="3">
        <v>41810</v>
      </c>
      <c r="D329" s="1">
        <v>17.3</v>
      </c>
      <c r="E329" s="1">
        <v>11.9</v>
      </c>
      <c r="F329" s="1">
        <v>21.5</v>
      </c>
      <c r="G329" s="1">
        <f t="shared" si="52"/>
        <v>2967.6</v>
      </c>
      <c r="H329" s="1">
        <f t="shared" si="57"/>
        <v>308.3</v>
      </c>
      <c r="J329" s="1">
        <v>0</v>
      </c>
      <c r="K329" s="1">
        <f t="shared" si="53"/>
        <v>667.40000000000043</v>
      </c>
      <c r="L329" s="1">
        <v>3.4</v>
      </c>
      <c r="M329" s="1">
        <f t="shared" si="54"/>
        <v>431.09999999999985</v>
      </c>
      <c r="N329" s="5">
        <f t="shared" si="51"/>
        <v>-3.4</v>
      </c>
      <c r="O329" s="1">
        <v>67.40000000000002</v>
      </c>
      <c r="P329" s="1">
        <v>290</v>
      </c>
      <c r="Q329" s="11">
        <f t="shared" si="47"/>
        <v>0.68432835820895521</v>
      </c>
      <c r="R329" s="9">
        <f t="shared" si="48"/>
        <v>2.3267164179104478</v>
      </c>
      <c r="S329" s="9">
        <f t="shared" si="49"/>
        <v>-2.3267164179104478</v>
      </c>
      <c r="T329" s="9">
        <f t="shared" si="56"/>
        <v>58.803755416466032</v>
      </c>
      <c r="V329" s="1">
        <v>2047.1</v>
      </c>
      <c r="W329" s="1">
        <f t="shared" si="50"/>
        <v>118.32947976878611</v>
      </c>
      <c r="X329" s="1">
        <f t="shared" si="55"/>
        <v>246376.50000000006</v>
      </c>
      <c r="Y329" s="1">
        <f t="shared" si="58"/>
        <v>32554.1</v>
      </c>
      <c r="AA329" s="1">
        <v>15.9609778518367</v>
      </c>
    </row>
    <row r="330" spans="1:27" s="1" customFormat="1" x14ac:dyDescent="0.25">
      <c r="A330" s="74"/>
      <c r="B330" s="40"/>
      <c r="C330" s="3">
        <v>41811</v>
      </c>
      <c r="D330" s="1">
        <v>19.100000000000001</v>
      </c>
      <c r="E330" s="1">
        <v>13.5</v>
      </c>
      <c r="F330" s="1">
        <v>24.4</v>
      </c>
      <c r="G330" s="1">
        <f t="shared" si="52"/>
        <v>2986.7</v>
      </c>
      <c r="H330" s="1">
        <f t="shared" si="57"/>
        <v>327.40000000000003</v>
      </c>
      <c r="J330" s="1">
        <v>0</v>
      </c>
      <c r="K330" s="1">
        <f t="shared" si="53"/>
        <v>667.40000000000043</v>
      </c>
      <c r="L330" s="1">
        <v>6.2</v>
      </c>
      <c r="M330" s="1">
        <f t="shared" si="54"/>
        <v>437.29999999999984</v>
      </c>
      <c r="N330" s="5">
        <f t="shared" si="51"/>
        <v>-6.2</v>
      </c>
      <c r="O330" s="1">
        <v>61.200000000000017</v>
      </c>
      <c r="P330" s="1">
        <v>291</v>
      </c>
      <c r="Q330" s="11">
        <f t="shared" si="47"/>
        <v>0.67238805970149251</v>
      </c>
      <c r="R330" s="9">
        <f t="shared" si="48"/>
        <v>4.1688059701492541</v>
      </c>
      <c r="S330" s="9">
        <f t="shared" si="49"/>
        <v>-4.1688059701492541</v>
      </c>
      <c r="T330" s="9">
        <f t="shared" si="56"/>
        <v>54.634949446316782</v>
      </c>
      <c r="V330" s="1">
        <v>3236.4</v>
      </c>
      <c r="W330" s="1">
        <f t="shared" si="50"/>
        <v>169.44502617801047</v>
      </c>
      <c r="X330" s="1">
        <f t="shared" si="55"/>
        <v>249612.90000000005</v>
      </c>
      <c r="Y330" s="1">
        <f t="shared" si="58"/>
        <v>35790.5</v>
      </c>
      <c r="AA330" s="1">
        <v>15.963046719130899</v>
      </c>
    </row>
    <row r="331" spans="1:27" s="1" customFormat="1" x14ac:dyDescent="0.25">
      <c r="A331" s="74"/>
      <c r="B331" s="40"/>
      <c r="C331" s="3">
        <v>41812</v>
      </c>
      <c r="D331" s="1">
        <v>21</v>
      </c>
      <c r="E331" s="1">
        <v>14.7</v>
      </c>
      <c r="F331" s="6">
        <v>26.8</v>
      </c>
      <c r="G331" s="1">
        <f t="shared" si="52"/>
        <v>3007.7</v>
      </c>
      <c r="H331" s="1">
        <f t="shared" si="57"/>
        <v>348.40000000000003</v>
      </c>
      <c r="J331" s="1">
        <v>0</v>
      </c>
      <c r="K331" s="1">
        <f t="shared" si="53"/>
        <v>667.40000000000043</v>
      </c>
      <c r="L331" s="1">
        <v>5.7</v>
      </c>
      <c r="M331" s="1">
        <f t="shared" si="54"/>
        <v>442.99999999999983</v>
      </c>
      <c r="N331" s="5">
        <f t="shared" si="51"/>
        <v>-5.7</v>
      </c>
      <c r="O331" s="1">
        <v>55.500000000000014</v>
      </c>
      <c r="P331" s="1">
        <v>292</v>
      </c>
      <c r="Q331" s="11">
        <f t="shared" si="47"/>
        <v>0.66044776119402981</v>
      </c>
      <c r="R331" s="9">
        <f t="shared" si="48"/>
        <v>3.7645522388059702</v>
      </c>
      <c r="S331" s="9">
        <f t="shared" si="49"/>
        <v>-3.7645522388059702</v>
      </c>
      <c r="T331" s="9">
        <f t="shared" si="56"/>
        <v>50.870397207510813</v>
      </c>
      <c r="V331" s="1">
        <v>2627.1</v>
      </c>
      <c r="W331" s="1">
        <f t="shared" si="50"/>
        <v>125.1</v>
      </c>
      <c r="X331" s="1">
        <f t="shared" si="55"/>
        <v>252240.00000000006</v>
      </c>
      <c r="Y331" s="1">
        <f t="shared" si="58"/>
        <v>38417.599999999999</v>
      </c>
      <c r="AA331" s="1">
        <v>15.963736449289</v>
      </c>
    </row>
    <row r="332" spans="1:27" s="1" customFormat="1" x14ac:dyDescent="0.25">
      <c r="A332" s="74"/>
      <c r="B332" s="40"/>
      <c r="C332" s="3">
        <v>41813</v>
      </c>
      <c r="D332" s="1">
        <v>17.2</v>
      </c>
      <c r="E332" s="1">
        <v>14.9</v>
      </c>
      <c r="F332" s="1">
        <v>20.5</v>
      </c>
      <c r="G332" s="1">
        <f t="shared" si="52"/>
        <v>3024.8999999999996</v>
      </c>
      <c r="H332" s="1">
        <f t="shared" si="57"/>
        <v>365.6</v>
      </c>
      <c r="J332" s="1">
        <v>0.5</v>
      </c>
      <c r="K332" s="1">
        <f t="shared" si="53"/>
        <v>667.90000000000043</v>
      </c>
      <c r="L332" s="1">
        <v>2.4</v>
      </c>
      <c r="M332" s="1">
        <f t="shared" si="54"/>
        <v>445.39999999999981</v>
      </c>
      <c r="N332" s="5">
        <f t="shared" si="51"/>
        <v>-1.9</v>
      </c>
      <c r="O332" s="1">
        <v>53.600000000000016</v>
      </c>
      <c r="P332" s="1">
        <v>293</v>
      </c>
      <c r="Q332" s="11">
        <f t="shared" si="47"/>
        <v>0.64850746268656712</v>
      </c>
      <c r="R332" s="9">
        <f t="shared" si="48"/>
        <v>1.5564179104477611</v>
      </c>
      <c r="S332" s="9">
        <f t="shared" si="49"/>
        <v>-1.0564179104477611</v>
      </c>
      <c r="T332" s="9">
        <f t="shared" si="56"/>
        <v>49.81397929706305</v>
      </c>
      <c r="V332" s="1">
        <v>1290.8</v>
      </c>
      <c r="W332" s="1">
        <f t="shared" si="50"/>
        <v>75.04651162790698</v>
      </c>
      <c r="X332" s="1">
        <f t="shared" si="55"/>
        <v>253530.80000000005</v>
      </c>
      <c r="Y332" s="1">
        <f t="shared" si="58"/>
        <v>39708.400000000001</v>
      </c>
      <c r="AA332" s="1">
        <v>15.9630468459601</v>
      </c>
    </row>
    <row r="333" spans="1:27" s="1" customFormat="1" x14ac:dyDescent="0.25">
      <c r="A333" s="74"/>
      <c r="B333" s="40"/>
      <c r="C333" s="3">
        <v>41814</v>
      </c>
      <c r="D333" s="1">
        <v>19.7</v>
      </c>
      <c r="E333" s="1">
        <v>13</v>
      </c>
      <c r="F333" s="1">
        <v>24.8</v>
      </c>
      <c r="G333" s="1">
        <f t="shared" si="52"/>
        <v>3044.5999999999995</v>
      </c>
      <c r="H333" s="1">
        <f t="shared" si="57"/>
        <v>385.3</v>
      </c>
      <c r="J333" s="1">
        <v>0</v>
      </c>
      <c r="K333" s="1">
        <f t="shared" si="53"/>
        <v>667.90000000000043</v>
      </c>
      <c r="L333" s="1">
        <v>4.9000000000000004</v>
      </c>
      <c r="M333" s="1">
        <f t="shared" si="54"/>
        <v>450.29999999999978</v>
      </c>
      <c r="N333" s="5">
        <f t="shared" si="51"/>
        <v>-4.9000000000000004</v>
      </c>
      <c r="O333" s="1">
        <v>48.700000000000017</v>
      </c>
      <c r="P333" s="1">
        <v>294</v>
      </c>
      <c r="Q333" s="11">
        <f t="shared" si="47"/>
        <v>0.63656716417910442</v>
      </c>
      <c r="R333" s="9">
        <f t="shared" si="48"/>
        <v>3.1191791044776118</v>
      </c>
      <c r="S333" s="9">
        <f t="shared" si="49"/>
        <v>-3.1191791044776118</v>
      </c>
      <c r="T333" s="9">
        <f t="shared" si="56"/>
        <v>46.69480019258544</v>
      </c>
      <c r="V333" s="1">
        <v>2549.9</v>
      </c>
      <c r="W333" s="1">
        <f t="shared" si="50"/>
        <v>129.43654822335026</v>
      </c>
      <c r="X333" s="1">
        <f t="shared" si="55"/>
        <v>256080.70000000004</v>
      </c>
      <c r="Y333" s="1">
        <f t="shared" si="58"/>
        <v>42258.3</v>
      </c>
      <c r="AA333" s="1">
        <v>15.9609791256254</v>
      </c>
    </row>
    <row r="334" spans="1:27" s="48" customFormat="1" ht="15.75" thickBot="1" x14ac:dyDescent="0.3">
      <c r="A334" s="74"/>
      <c r="B334" s="55"/>
      <c r="C334" s="47">
        <v>41815</v>
      </c>
      <c r="D334" s="48">
        <v>19.3</v>
      </c>
      <c r="E334" s="48">
        <v>15.6</v>
      </c>
      <c r="F334" s="48">
        <v>24</v>
      </c>
      <c r="G334" s="48">
        <f t="shared" si="52"/>
        <v>3063.8999999999996</v>
      </c>
      <c r="H334" s="48">
        <f t="shared" si="57"/>
        <v>404.6</v>
      </c>
      <c r="J334" s="48">
        <v>0</v>
      </c>
      <c r="K334" s="48">
        <f t="shared" si="53"/>
        <v>667.90000000000043</v>
      </c>
      <c r="L334" s="48">
        <v>4.9000000000000004</v>
      </c>
      <c r="M334" s="48">
        <f t="shared" si="54"/>
        <v>455.19999999999976</v>
      </c>
      <c r="N334" s="53">
        <f t="shared" si="51"/>
        <v>-4.9000000000000004</v>
      </c>
      <c r="O334" s="56">
        <v>43.800000000000018</v>
      </c>
      <c r="P334" s="48">
        <v>295</v>
      </c>
      <c r="Q334" s="49">
        <f t="shared" si="47"/>
        <v>0.62462686567164172</v>
      </c>
      <c r="R334" s="50">
        <f t="shared" si="48"/>
        <v>3.0606716417910445</v>
      </c>
      <c r="S334" s="50">
        <f t="shared" si="49"/>
        <v>-3.0606716417910445</v>
      </c>
      <c r="T334" s="50">
        <f t="shared" si="56"/>
        <v>43.634128550794394</v>
      </c>
      <c r="V334" s="48">
        <v>2289.8000000000002</v>
      </c>
      <c r="W334" s="48">
        <f t="shared" si="50"/>
        <v>118.64248704663213</v>
      </c>
      <c r="X334" s="48">
        <f t="shared" si="55"/>
        <v>258370.50000000003</v>
      </c>
      <c r="Y334" s="48">
        <f t="shared" si="58"/>
        <v>44548.100000000006</v>
      </c>
      <c r="AA334" s="48">
        <v>15.957535912903101</v>
      </c>
    </row>
    <row r="335" spans="1:27" s="1" customFormat="1" x14ac:dyDescent="0.25">
      <c r="B335" s="40"/>
      <c r="C335" s="3">
        <v>41816</v>
      </c>
      <c r="D335" s="1">
        <v>18.600000000000001</v>
      </c>
      <c r="E335" s="1">
        <v>14.3</v>
      </c>
      <c r="F335" s="6">
        <v>25.4</v>
      </c>
      <c r="G335" s="1">
        <f t="shared" si="52"/>
        <v>3082.4999999999995</v>
      </c>
      <c r="H335" s="1">
        <f t="shared" si="57"/>
        <v>423.20000000000005</v>
      </c>
      <c r="J335" s="1">
        <v>3.9</v>
      </c>
      <c r="K335" s="1">
        <f t="shared" si="53"/>
        <v>671.80000000000041</v>
      </c>
      <c r="L335" s="1">
        <v>4.4000000000000004</v>
      </c>
      <c r="M335" s="1">
        <f t="shared" si="54"/>
        <v>459.59999999999974</v>
      </c>
      <c r="N335" s="5">
        <f t="shared" si="51"/>
        <v>-0.50000000000000044</v>
      </c>
      <c r="O335" s="41">
        <v>43.300000000000018</v>
      </c>
      <c r="P335" s="1">
        <v>296</v>
      </c>
      <c r="Q335" s="11">
        <f t="shared" si="47"/>
        <v>0.61268656716417902</v>
      </c>
      <c r="R335" s="9">
        <f t="shared" si="48"/>
        <v>2.6958208955223877</v>
      </c>
      <c r="S335" s="9">
        <f t="shared" si="49"/>
        <v>1.2041791044776122</v>
      </c>
      <c r="T335" s="9">
        <f t="shared" si="56"/>
        <v>44.838307655272004</v>
      </c>
      <c r="V335" s="1">
        <v>2093</v>
      </c>
      <c r="W335" s="1">
        <f t="shared" si="50"/>
        <v>112.5268817204301</v>
      </c>
      <c r="X335" s="1">
        <f t="shared" si="55"/>
        <v>260463.50000000003</v>
      </c>
      <c r="Y335" s="1">
        <f t="shared" si="58"/>
        <v>46641.100000000006</v>
      </c>
      <c r="AA335" s="1">
        <v>15.9527212304833</v>
      </c>
    </row>
    <row r="336" spans="1:27" s="1" customFormat="1" x14ac:dyDescent="0.25">
      <c r="B336" s="40"/>
      <c r="C336" s="3">
        <v>41817</v>
      </c>
      <c r="D336" s="1">
        <v>18.3</v>
      </c>
      <c r="E336" s="1">
        <v>13.6</v>
      </c>
      <c r="F336" s="1">
        <v>22.6</v>
      </c>
      <c r="G336" s="1">
        <f t="shared" si="52"/>
        <v>3100.7999999999997</v>
      </c>
      <c r="H336" s="1">
        <f t="shared" si="57"/>
        <v>441.50000000000006</v>
      </c>
      <c r="J336" s="1">
        <v>2.9</v>
      </c>
      <c r="K336" s="1">
        <f t="shared" si="53"/>
        <v>674.70000000000039</v>
      </c>
      <c r="L336" s="1">
        <v>3.1</v>
      </c>
      <c r="M336" s="1">
        <f t="shared" si="54"/>
        <v>462.69999999999976</v>
      </c>
      <c r="N336" s="5">
        <f t="shared" si="51"/>
        <v>-0.20000000000000018</v>
      </c>
      <c r="O336" s="41">
        <v>43.100000000000016</v>
      </c>
      <c r="P336" s="1">
        <v>297</v>
      </c>
      <c r="Q336" s="11">
        <f t="shared" si="47"/>
        <v>0.60074626865671643</v>
      </c>
      <c r="R336" s="9">
        <f t="shared" si="48"/>
        <v>1.8623134328358211</v>
      </c>
      <c r="S336" s="9">
        <f t="shared" si="49"/>
        <v>1.0376865671641788</v>
      </c>
      <c r="T336" s="9">
        <f t="shared" si="56"/>
        <v>45.875994222436184</v>
      </c>
      <c r="V336" s="1">
        <v>1840.3</v>
      </c>
      <c r="W336" s="1">
        <f t="shared" si="50"/>
        <v>100.56284153005464</v>
      </c>
      <c r="X336" s="1">
        <f t="shared" si="55"/>
        <v>262303.80000000005</v>
      </c>
      <c r="Y336" s="1">
        <f t="shared" si="58"/>
        <v>48481.400000000009</v>
      </c>
      <c r="AA336" s="1">
        <v>15.946540483770599</v>
      </c>
    </row>
    <row r="337" spans="1:27" s="23" customFormat="1" x14ac:dyDescent="0.25">
      <c r="B337" s="59"/>
      <c r="C337" s="22">
        <v>41818</v>
      </c>
      <c r="D337" s="23">
        <v>14.8</v>
      </c>
      <c r="E337" s="23">
        <v>14.3</v>
      </c>
      <c r="F337" s="23">
        <v>16.8</v>
      </c>
      <c r="G337" s="23">
        <f t="shared" si="52"/>
        <v>3115.6</v>
      </c>
      <c r="H337" s="23">
        <f t="shared" si="57"/>
        <v>456.30000000000007</v>
      </c>
      <c r="J337" s="23">
        <v>12.7</v>
      </c>
      <c r="K337" s="23">
        <f t="shared" si="53"/>
        <v>687.40000000000043</v>
      </c>
      <c r="L337" s="23">
        <v>1.5</v>
      </c>
      <c r="M337" s="23">
        <f t="shared" si="54"/>
        <v>464.19999999999976</v>
      </c>
      <c r="N337" s="23">
        <f t="shared" si="51"/>
        <v>11.2</v>
      </c>
      <c r="O337" s="23">
        <v>54.300000000000011</v>
      </c>
      <c r="P337" s="23">
        <v>298</v>
      </c>
      <c r="Q337" s="58">
        <f t="shared" si="47"/>
        <v>0.58880597014925362</v>
      </c>
      <c r="R337" s="26">
        <f t="shared" si="48"/>
        <v>0.88320895522388043</v>
      </c>
      <c r="S337" s="26">
        <f t="shared" si="49"/>
        <v>11.816791044776119</v>
      </c>
      <c r="T337" s="26">
        <f t="shared" si="56"/>
        <v>57.692785267212301</v>
      </c>
      <c r="V337" s="27">
        <v>787.6</v>
      </c>
      <c r="W337" s="23">
        <f t="shared" si="50"/>
        <v>53.216216216216218</v>
      </c>
      <c r="X337" s="23">
        <f t="shared" si="55"/>
        <v>263091.40000000002</v>
      </c>
      <c r="Y337" s="23">
        <f t="shared" si="58"/>
        <v>49269.000000000007</v>
      </c>
      <c r="AA337" s="23">
        <v>15.939000440360401</v>
      </c>
    </row>
    <row r="338" spans="1:27" s="1" customFormat="1" x14ac:dyDescent="0.25">
      <c r="A338" s="42"/>
      <c r="B338" s="40"/>
      <c r="C338" s="3">
        <v>41819</v>
      </c>
      <c r="D338" s="1">
        <v>15.3</v>
      </c>
      <c r="E338" s="1">
        <v>13.3</v>
      </c>
      <c r="F338" s="1">
        <v>18</v>
      </c>
      <c r="G338" s="1">
        <f t="shared" si="52"/>
        <v>3130.9</v>
      </c>
      <c r="H338" s="1">
        <f t="shared" si="57"/>
        <v>471.60000000000008</v>
      </c>
      <c r="J338" s="1">
        <v>2.9</v>
      </c>
      <c r="K338" s="1">
        <f t="shared" si="53"/>
        <v>690.30000000000041</v>
      </c>
      <c r="L338" s="1">
        <v>3.4</v>
      </c>
      <c r="M338" s="1">
        <f t="shared" si="54"/>
        <v>467.59999999999974</v>
      </c>
      <c r="N338" s="5">
        <f t="shared" si="51"/>
        <v>-0.5</v>
      </c>
      <c r="O338" s="1">
        <v>53.800000000000011</v>
      </c>
      <c r="P338" s="1">
        <v>299</v>
      </c>
      <c r="Q338" s="11">
        <f t="shared" si="47"/>
        <v>0.57686567164179103</v>
      </c>
      <c r="R338" s="9">
        <f t="shared" si="48"/>
        <v>1.9613432835820894</v>
      </c>
      <c r="S338" s="9">
        <f t="shared" si="49"/>
        <v>0.93865671641791049</v>
      </c>
      <c r="T338" s="9">
        <f t="shared" si="56"/>
        <v>58.631441983630211</v>
      </c>
      <c r="V338" s="1">
        <v>1992.8</v>
      </c>
      <c r="W338" s="1">
        <f t="shared" si="50"/>
        <v>130.24836601307189</v>
      </c>
      <c r="X338" s="1">
        <f t="shared" si="55"/>
        <v>265084.2</v>
      </c>
      <c r="Y338" s="1">
        <f t="shared" si="58"/>
        <v>51261.80000000001</v>
      </c>
      <c r="AA338" s="1">
        <v>15.9301092045072</v>
      </c>
    </row>
    <row r="339" spans="1:27" s="1" customFormat="1" x14ac:dyDescent="0.25">
      <c r="A339" s="42"/>
      <c r="B339" s="40"/>
      <c r="C339" s="3">
        <v>41820</v>
      </c>
      <c r="D339" s="1">
        <v>16.2</v>
      </c>
      <c r="E339" s="1">
        <v>10.9</v>
      </c>
      <c r="F339" s="1">
        <v>20.3</v>
      </c>
      <c r="G339" s="1">
        <f t="shared" si="52"/>
        <v>3147.1</v>
      </c>
      <c r="H339" s="1">
        <f t="shared" si="57"/>
        <v>487.80000000000007</v>
      </c>
      <c r="J339" s="1">
        <v>0</v>
      </c>
      <c r="K339" s="1">
        <f t="shared" si="53"/>
        <v>690.30000000000041</v>
      </c>
      <c r="L339" s="1">
        <v>3.3</v>
      </c>
      <c r="M339" s="1">
        <f t="shared" si="54"/>
        <v>470.89999999999975</v>
      </c>
      <c r="N339" s="5">
        <f t="shared" si="51"/>
        <v>-3.3</v>
      </c>
      <c r="O339" s="1">
        <v>50.500000000000014</v>
      </c>
      <c r="P339" s="1">
        <v>300</v>
      </c>
      <c r="Q339" s="11">
        <f t="shared" si="47"/>
        <v>0.56492537313432833</v>
      </c>
      <c r="R339" s="9">
        <f t="shared" si="48"/>
        <v>1.8642537313432834</v>
      </c>
      <c r="S339" s="9">
        <f t="shared" si="49"/>
        <v>-1.8642537313432834</v>
      </c>
      <c r="T339" s="9">
        <f t="shared" si="56"/>
        <v>56.767188252286928</v>
      </c>
      <c r="V339" s="1">
        <v>1853.1</v>
      </c>
      <c r="W339" s="1">
        <f t="shared" si="50"/>
        <v>114.38888888888889</v>
      </c>
      <c r="X339" s="1">
        <f t="shared" si="55"/>
        <v>266937.3</v>
      </c>
      <c r="Y339" s="1">
        <f t="shared" si="58"/>
        <v>53114.900000000009</v>
      </c>
      <c r="AA339" s="1">
        <v>15.919876186786899</v>
      </c>
    </row>
    <row r="340" spans="1:27" s="1" customFormat="1" x14ac:dyDescent="0.25">
      <c r="A340" s="42"/>
      <c r="B340" s="40"/>
      <c r="C340" s="3">
        <v>41821</v>
      </c>
      <c r="D340" s="1">
        <v>19.7</v>
      </c>
      <c r="E340" s="1">
        <v>12.7</v>
      </c>
      <c r="F340" s="6">
        <v>25.3</v>
      </c>
      <c r="G340" s="1">
        <f t="shared" si="52"/>
        <v>3166.7999999999997</v>
      </c>
      <c r="H340" s="1">
        <f t="shared" si="57"/>
        <v>507.50000000000006</v>
      </c>
      <c r="J340" s="1">
        <v>0</v>
      </c>
      <c r="K340" s="1">
        <f t="shared" si="53"/>
        <v>690.30000000000041</v>
      </c>
      <c r="L340" s="1">
        <v>3.4</v>
      </c>
      <c r="M340" s="1">
        <f t="shared" si="54"/>
        <v>474.29999999999973</v>
      </c>
      <c r="N340" s="5">
        <f t="shared" si="51"/>
        <v>-3.4</v>
      </c>
      <c r="O340" s="1">
        <v>47.100000000000016</v>
      </c>
      <c r="P340" s="1">
        <v>301</v>
      </c>
      <c r="Q340" s="11">
        <f t="shared" si="47"/>
        <v>0.55298507462686564</v>
      </c>
      <c r="R340" s="9">
        <f t="shared" si="48"/>
        <v>1.8801492537313431</v>
      </c>
      <c r="S340" s="9">
        <f t="shared" si="49"/>
        <v>-1.8801492537313431</v>
      </c>
      <c r="T340" s="9">
        <f t="shared" si="56"/>
        <v>54.887038998555582</v>
      </c>
      <c r="V340" s="1">
        <v>1288.9000000000001</v>
      </c>
      <c r="W340" s="1">
        <f t="shared" si="50"/>
        <v>65.426395939086305</v>
      </c>
      <c r="X340" s="1">
        <f t="shared" si="55"/>
        <v>268226.2</v>
      </c>
      <c r="Y340" s="1">
        <f t="shared" si="58"/>
        <v>54403.80000000001</v>
      </c>
      <c r="AA340" s="1">
        <v>15.908312069188501</v>
      </c>
    </row>
    <row r="341" spans="1:27" s="1" customFormat="1" x14ac:dyDescent="0.25">
      <c r="A341" s="42"/>
      <c r="B341" s="40"/>
      <c r="C341" s="3">
        <v>41822</v>
      </c>
      <c r="D341" s="1">
        <v>20.7</v>
      </c>
      <c r="E341" s="1">
        <v>15.4</v>
      </c>
      <c r="F341" s="6">
        <v>25.8</v>
      </c>
      <c r="G341" s="1">
        <f t="shared" si="52"/>
        <v>3187.4999999999995</v>
      </c>
      <c r="H341" s="1">
        <f t="shared" si="57"/>
        <v>528.20000000000005</v>
      </c>
      <c r="J341" s="1">
        <v>0</v>
      </c>
      <c r="K341" s="1">
        <f t="shared" si="53"/>
        <v>690.30000000000041</v>
      </c>
      <c r="L341" s="1">
        <v>5.8</v>
      </c>
      <c r="M341" s="1">
        <f t="shared" si="54"/>
        <v>480.09999999999974</v>
      </c>
      <c r="N341" s="5">
        <f t="shared" si="51"/>
        <v>-5.8</v>
      </c>
      <c r="O341" s="41">
        <v>41.300000000000018</v>
      </c>
      <c r="P341" s="1">
        <v>302</v>
      </c>
      <c r="Q341" s="11">
        <f t="shared" si="47"/>
        <v>0.54104477611940294</v>
      </c>
      <c r="R341" s="9">
        <f t="shared" si="48"/>
        <v>3.1380597014925371</v>
      </c>
      <c r="S341" s="9">
        <f t="shared" si="49"/>
        <v>-3.1380597014925371</v>
      </c>
      <c r="T341" s="9">
        <f t="shared" si="56"/>
        <v>51.748979297063045</v>
      </c>
      <c r="V341" s="1">
        <v>2600.1999999999998</v>
      </c>
      <c r="W341" s="1">
        <f t="shared" si="50"/>
        <v>125.61352657004831</v>
      </c>
      <c r="X341" s="1">
        <f t="shared" si="55"/>
        <v>270826.40000000002</v>
      </c>
      <c r="Y341" s="1">
        <f t="shared" si="58"/>
        <v>57004.000000000007</v>
      </c>
      <c r="AA341" s="1">
        <v>15.8954287659003</v>
      </c>
    </row>
    <row r="342" spans="1:27" s="1" customFormat="1" x14ac:dyDescent="0.25">
      <c r="A342" s="42"/>
      <c r="B342" s="40"/>
      <c r="C342" s="3">
        <v>41823</v>
      </c>
      <c r="D342" s="1">
        <v>22.9</v>
      </c>
      <c r="E342" s="1">
        <v>15</v>
      </c>
      <c r="F342" s="6">
        <v>28.6</v>
      </c>
      <c r="G342" s="1">
        <f t="shared" si="52"/>
        <v>3210.3999999999996</v>
      </c>
      <c r="H342" s="1">
        <f t="shared" si="57"/>
        <v>551.1</v>
      </c>
      <c r="J342" s="1">
        <v>0.2</v>
      </c>
      <c r="K342" s="1">
        <f t="shared" si="53"/>
        <v>690.50000000000045</v>
      </c>
      <c r="L342" s="1">
        <v>5.3</v>
      </c>
      <c r="M342" s="1">
        <f t="shared" si="54"/>
        <v>485.39999999999975</v>
      </c>
      <c r="N342" s="5">
        <f t="shared" si="51"/>
        <v>-5.0999999999999996</v>
      </c>
      <c r="O342" s="41">
        <v>36.200000000000017</v>
      </c>
      <c r="P342" s="1">
        <v>303</v>
      </c>
      <c r="Q342" s="11">
        <f t="shared" si="47"/>
        <v>0.52910447761194024</v>
      </c>
      <c r="R342" s="9">
        <f t="shared" si="48"/>
        <v>2.8042537313432834</v>
      </c>
      <c r="S342" s="9">
        <f t="shared" si="49"/>
        <v>-2.6042537313432832</v>
      </c>
      <c r="T342" s="9">
        <f t="shared" si="56"/>
        <v>49.14472556571976</v>
      </c>
      <c r="V342" s="1">
        <v>2467.3000000000002</v>
      </c>
      <c r="W342" s="1">
        <f t="shared" si="50"/>
        <v>107.74235807860263</v>
      </c>
      <c r="X342" s="1">
        <f t="shared" si="55"/>
        <v>273293.7</v>
      </c>
      <c r="Y342" s="1">
        <f t="shared" si="58"/>
        <v>59471.30000000001</v>
      </c>
      <c r="AA342" s="1">
        <v>15.8812393800885</v>
      </c>
    </row>
    <row r="343" spans="1:27" s="1" customFormat="1" x14ac:dyDescent="0.25">
      <c r="A343" s="42"/>
      <c r="B343" s="40"/>
      <c r="C343" s="3">
        <v>41824</v>
      </c>
      <c r="D343" s="1">
        <v>19.600000000000001</v>
      </c>
      <c r="E343" s="1">
        <v>18.100000000000001</v>
      </c>
      <c r="F343" s="1">
        <v>22.3</v>
      </c>
      <c r="G343" s="1">
        <f t="shared" si="52"/>
        <v>3229.9999999999995</v>
      </c>
      <c r="H343" s="1">
        <f t="shared" si="57"/>
        <v>570.70000000000005</v>
      </c>
      <c r="J343" s="1">
        <v>2.5</v>
      </c>
      <c r="K343" s="1">
        <f t="shared" si="53"/>
        <v>693.00000000000045</v>
      </c>
      <c r="L343" s="1">
        <v>1.6</v>
      </c>
      <c r="M343" s="1">
        <f t="shared" si="54"/>
        <v>486.99999999999977</v>
      </c>
      <c r="N343" s="1">
        <f t="shared" si="51"/>
        <v>0.89999999999999991</v>
      </c>
      <c r="O343" s="41">
        <v>37.100000000000016</v>
      </c>
      <c r="P343" s="1">
        <v>304</v>
      </c>
      <c r="Q343" s="11">
        <f t="shared" si="47"/>
        <v>0.51716417910447765</v>
      </c>
      <c r="R343" s="9">
        <f t="shared" si="48"/>
        <v>0.82746268656716426</v>
      </c>
      <c r="S343" s="9">
        <f t="shared" si="49"/>
        <v>1.6725373134328358</v>
      </c>
      <c r="T343" s="9">
        <f t="shared" si="56"/>
        <v>50.817262879152594</v>
      </c>
      <c r="V343" s="10">
        <v>720.7</v>
      </c>
      <c r="W343" s="1">
        <f t="shared" si="50"/>
        <v>36.770408163265309</v>
      </c>
      <c r="X343" s="1">
        <f t="shared" si="55"/>
        <v>274014.40000000002</v>
      </c>
      <c r="Y343" s="1">
        <f t="shared" si="58"/>
        <v>60192.000000000007</v>
      </c>
      <c r="AA343" s="1">
        <v>15.865758156986301</v>
      </c>
    </row>
    <row r="344" spans="1:27" s="1" customFormat="1" x14ac:dyDescent="0.25">
      <c r="A344" s="42"/>
      <c r="B344" s="40"/>
      <c r="C344" s="3">
        <v>41825</v>
      </c>
      <c r="D344" s="1">
        <v>19.899999999999999</v>
      </c>
      <c r="E344" s="1">
        <v>17.2</v>
      </c>
      <c r="F344" s="1">
        <v>22.3</v>
      </c>
      <c r="G344" s="1">
        <f t="shared" si="52"/>
        <v>3249.8999999999996</v>
      </c>
      <c r="H344" s="1">
        <f t="shared" si="57"/>
        <v>590.6</v>
      </c>
      <c r="J344" s="1">
        <v>1.4</v>
      </c>
      <c r="K344" s="1">
        <f t="shared" si="53"/>
        <v>694.40000000000043</v>
      </c>
      <c r="L344" s="1">
        <v>2.4</v>
      </c>
      <c r="M344" s="1">
        <f t="shared" si="54"/>
        <v>489.39999999999975</v>
      </c>
      <c r="N344" s="5">
        <f t="shared" si="51"/>
        <v>-1</v>
      </c>
      <c r="O344" s="41">
        <v>36.100000000000016</v>
      </c>
      <c r="P344" s="1">
        <v>305</v>
      </c>
      <c r="Q344" s="11">
        <f t="shared" si="47"/>
        <v>0.50522388059701484</v>
      </c>
      <c r="R344" s="9">
        <f t="shared" si="48"/>
        <v>1.2125373134328357</v>
      </c>
      <c r="S344" s="9">
        <f t="shared" si="49"/>
        <v>0.18746268656716425</v>
      </c>
      <c r="T344" s="9">
        <f t="shared" si="56"/>
        <v>51.00472556571976</v>
      </c>
      <c r="V344" s="10">
        <v>880.7</v>
      </c>
      <c r="W344" s="1">
        <f t="shared" si="50"/>
        <v>44.256281407035182</v>
      </c>
      <c r="X344" s="1">
        <f t="shared" si="55"/>
        <v>274895.10000000003</v>
      </c>
      <c r="Y344" s="1">
        <f t="shared" si="58"/>
        <v>61072.700000000004</v>
      </c>
      <c r="AA344" s="1">
        <v>15.849000433636499</v>
      </c>
    </row>
    <row r="345" spans="1:27" s="1" customFormat="1" x14ac:dyDescent="0.25">
      <c r="A345" s="42"/>
      <c r="B345" s="40"/>
      <c r="C345" s="3">
        <v>41826</v>
      </c>
      <c r="D345" s="1">
        <v>16.899999999999999</v>
      </c>
      <c r="E345" s="1">
        <v>16.899999999999999</v>
      </c>
      <c r="F345" s="1">
        <v>19.3</v>
      </c>
      <c r="G345" s="1">
        <f t="shared" si="52"/>
        <v>3266.7999999999997</v>
      </c>
      <c r="H345" s="1">
        <f t="shared" si="57"/>
        <v>607.5</v>
      </c>
      <c r="J345" s="1">
        <v>8.5</v>
      </c>
      <c r="K345" s="1">
        <f t="shared" si="53"/>
        <v>702.90000000000043</v>
      </c>
      <c r="L345" s="1">
        <v>1.9</v>
      </c>
      <c r="M345" s="1">
        <f t="shared" si="54"/>
        <v>491.29999999999973</v>
      </c>
      <c r="N345" s="1">
        <f t="shared" si="51"/>
        <v>6.6</v>
      </c>
      <c r="O345" s="41">
        <v>42.700000000000017</v>
      </c>
      <c r="P345" s="1">
        <v>306</v>
      </c>
      <c r="Q345" s="11">
        <f t="shared" si="47"/>
        <v>0.49328358208955214</v>
      </c>
      <c r="R345" s="9">
        <f t="shared" si="48"/>
        <v>0.93723880597014908</v>
      </c>
      <c r="S345" s="9">
        <f t="shared" si="49"/>
        <v>7.5627611940298509</v>
      </c>
      <c r="T345" s="9">
        <f t="shared" si="56"/>
        <v>58.567486759749613</v>
      </c>
      <c r="V345" s="10">
        <v>811.3</v>
      </c>
      <c r="W345" s="1">
        <f t="shared" si="50"/>
        <v>48.005917159763314</v>
      </c>
      <c r="X345" s="1">
        <f t="shared" si="55"/>
        <v>275706.40000000002</v>
      </c>
      <c r="Y345" s="1">
        <f t="shared" si="58"/>
        <v>61884.000000000007</v>
      </c>
      <c r="AA345" s="1">
        <v>15.830982585643801</v>
      </c>
    </row>
    <row r="346" spans="1:27" s="1" customFormat="1" x14ac:dyDescent="0.25">
      <c r="A346" s="42"/>
      <c r="B346" s="40"/>
      <c r="C346" s="3">
        <v>41827</v>
      </c>
      <c r="D346" s="1">
        <v>15.6</v>
      </c>
      <c r="E346" s="1">
        <v>11.5</v>
      </c>
      <c r="F346" s="1">
        <v>20.3</v>
      </c>
      <c r="G346" s="1">
        <f t="shared" si="52"/>
        <v>3282.3999999999996</v>
      </c>
      <c r="H346" s="1">
        <f t="shared" si="57"/>
        <v>623.1</v>
      </c>
      <c r="J346" s="1">
        <v>1</v>
      </c>
      <c r="K346" s="1">
        <f t="shared" si="53"/>
        <v>703.90000000000043</v>
      </c>
      <c r="L346" s="1">
        <v>1.2</v>
      </c>
      <c r="M346" s="1">
        <f t="shared" si="54"/>
        <v>492.49999999999972</v>
      </c>
      <c r="N346" s="5">
        <f t="shared" si="51"/>
        <v>-0.19999999999999996</v>
      </c>
      <c r="O346" s="41">
        <v>42.500000000000014</v>
      </c>
      <c r="P346" s="1">
        <v>307</v>
      </c>
      <c r="Q346" s="11">
        <f t="shared" si="47"/>
        <v>0.48134328358208955</v>
      </c>
      <c r="R346" s="9">
        <f t="shared" si="48"/>
        <v>0.57761194029850749</v>
      </c>
      <c r="S346" s="9">
        <f t="shared" si="49"/>
        <v>0.42238805970149251</v>
      </c>
      <c r="T346" s="9">
        <f t="shared" si="56"/>
        <v>58.989874819451103</v>
      </c>
      <c r="V346" s="10">
        <v>753.8</v>
      </c>
      <c r="W346" s="1">
        <f t="shared" si="50"/>
        <v>48.320512820512818</v>
      </c>
      <c r="X346" s="1">
        <f t="shared" si="55"/>
        <v>276460.2</v>
      </c>
      <c r="Y346" s="1">
        <f t="shared" si="58"/>
        <v>62637.80000000001</v>
      </c>
      <c r="AA346" s="1">
        <v>15.8117219713073</v>
      </c>
    </row>
    <row r="347" spans="1:27" s="1" customFormat="1" x14ac:dyDescent="0.25">
      <c r="A347" s="42"/>
      <c r="B347" s="40"/>
      <c r="C347" s="3">
        <v>41828</v>
      </c>
      <c r="D347" s="1">
        <v>15.9</v>
      </c>
      <c r="E347" s="1">
        <v>13.4</v>
      </c>
      <c r="F347" s="1">
        <v>19</v>
      </c>
      <c r="G347" s="1">
        <f t="shared" si="52"/>
        <v>3298.2999999999997</v>
      </c>
      <c r="H347" s="1">
        <f t="shared" si="57"/>
        <v>639</v>
      </c>
      <c r="J347" s="1">
        <v>1.7</v>
      </c>
      <c r="K347" s="1">
        <f t="shared" si="53"/>
        <v>705.60000000000048</v>
      </c>
      <c r="L347" s="1">
        <v>2.9</v>
      </c>
      <c r="M347" s="1">
        <f t="shared" si="54"/>
        <v>495.39999999999969</v>
      </c>
      <c r="N347" s="5">
        <f t="shared" si="51"/>
        <v>-1.2</v>
      </c>
      <c r="O347" s="41">
        <v>41.300000000000011</v>
      </c>
      <c r="P347" s="1">
        <v>308</v>
      </c>
      <c r="Q347" s="11">
        <f t="shared" si="47"/>
        <v>0.46940298507462686</v>
      </c>
      <c r="R347" s="9">
        <f t="shared" si="48"/>
        <v>1.3612686567164178</v>
      </c>
      <c r="S347" s="9">
        <f t="shared" si="49"/>
        <v>0.33873134328358212</v>
      </c>
      <c r="T347" s="9">
        <f t="shared" si="56"/>
        <v>59.328606162734687</v>
      </c>
      <c r="V347" s="1">
        <v>1674.3</v>
      </c>
      <c r="W347" s="1">
        <f t="shared" si="50"/>
        <v>105.30188679245282</v>
      </c>
      <c r="X347" s="1">
        <f t="shared" si="55"/>
        <v>278134.5</v>
      </c>
      <c r="Y347" s="1">
        <f t="shared" si="58"/>
        <v>64312.100000000013</v>
      </c>
      <c r="AA347" s="1">
        <v>15.791236873511901</v>
      </c>
    </row>
    <row r="348" spans="1:27" s="1" customFormat="1" x14ac:dyDescent="0.25">
      <c r="A348" s="42"/>
      <c r="B348" s="40"/>
      <c r="C348" s="3">
        <v>41829</v>
      </c>
      <c r="D348" s="1">
        <v>14.9</v>
      </c>
      <c r="E348" s="1">
        <v>12</v>
      </c>
      <c r="F348" s="1">
        <v>17.899999999999999</v>
      </c>
      <c r="G348" s="1">
        <f t="shared" si="52"/>
        <v>3313.2</v>
      </c>
      <c r="H348" s="1">
        <f t="shared" si="57"/>
        <v>653.9</v>
      </c>
      <c r="J348" s="1">
        <v>4.8</v>
      </c>
      <c r="K348" s="1">
        <f t="shared" si="53"/>
        <v>710.40000000000043</v>
      </c>
      <c r="L348" s="1">
        <v>2.7</v>
      </c>
      <c r="M348" s="1">
        <f t="shared" si="54"/>
        <v>498.09999999999968</v>
      </c>
      <c r="N348" s="1">
        <f t="shared" si="51"/>
        <v>2.0999999999999996</v>
      </c>
      <c r="O348" s="41">
        <v>43.400000000000013</v>
      </c>
      <c r="P348" s="1">
        <v>309</v>
      </c>
      <c r="Q348" s="11">
        <f t="shared" si="47"/>
        <v>0.45746268656716416</v>
      </c>
      <c r="R348" s="9">
        <f t="shared" si="48"/>
        <v>1.2351492537313433</v>
      </c>
      <c r="S348" s="9">
        <f t="shared" si="49"/>
        <v>3.5648507462686565</v>
      </c>
      <c r="T348" s="9">
        <f t="shared" si="56"/>
        <v>62.893456909003341</v>
      </c>
      <c r="V348" s="1">
        <v>1747.6</v>
      </c>
      <c r="W348" s="1">
        <f t="shared" si="50"/>
        <v>117.28859060402684</v>
      </c>
      <c r="X348" s="1">
        <f t="shared" si="55"/>
        <v>279882.09999999998</v>
      </c>
      <c r="Y348" s="1">
        <f t="shared" si="58"/>
        <v>66059.700000000012</v>
      </c>
      <c r="AA348" s="1">
        <v>15.7695464397589</v>
      </c>
    </row>
    <row r="349" spans="1:27" s="1" customFormat="1" x14ac:dyDescent="0.25">
      <c r="A349" s="42"/>
      <c r="B349" s="40"/>
      <c r="C349" s="3">
        <v>41830</v>
      </c>
      <c r="D349" s="1">
        <v>15.6</v>
      </c>
      <c r="E349" s="1">
        <v>13.9</v>
      </c>
      <c r="F349" s="1">
        <v>17.399999999999999</v>
      </c>
      <c r="G349" s="1">
        <f t="shared" si="52"/>
        <v>3328.7999999999997</v>
      </c>
      <c r="H349" s="1">
        <f t="shared" si="57"/>
        <v>669.5</v>
      </c>
      <c r="J349" s="1">
        <v>8</v>
      </c>
      <c r="K349" s="1">
        <f t="shared" si="53"/>
        <v>718.40000000000043</v>
      </c>
      <c r="L349" s="1">
        <v>1.4</v>
      </c>
      <c r="M349" s="1">
        <f t="shared" si="54"/>
        <v>499.49999999999966</v>
      </c>
      <c r="N349" s="1">
        <f t="shared" si="51"/>
        <v>6.6</v>
      </c>
      <c r="O349" s="1">
        <v>50.000000000000014</v>
      </c>
      <c r="P349" s="1">
        <v>310</v>
      </c>
      <c r="Q349" s="11">
        <f t="shared" si="47"/>
        <v>0.44552238805970146</v>
      </c>
      <c r="R349" s="9">
        <f t="shared" si="48"/>
        <v>0.62373134328358204</v>
      </c>
      <c r="S349" s="9">
        <f t="shared" si="49"/>
        <v>7.3762686567164177</v>
      </c>
      <c r="T349" s="9">
        <f t="shared" si="56"/>
        <v>70.269725565719753</v>
      </c>
      <c r="V349" s="10">
        <v>484.1</v>
      </c>
      <c r="W349" s="1">
        <f t="shared" si="50"/>
        <v>31.032051282051285</v>
      </c>
      <c r="X349" s="1">
        <f t="shared" si="55"/>
        <v>280366.19999999995</v>
      </c>
      <c r="Y349" s="1">
        <f t="shared" si="58"/>
        <v>66543.800000000017</v>
      </c>
      <c r="AA349" s="1">
        <v>15.746670620720201</v>
      </c>
    </row>
    <row r="350" spans="1:27" s="1" customFormat="1" x14ac:dyDescent="0.25">
      <c r="A350" s="42"/>
      <c r="B350" s="40"/>
      <c r="C350" s="3">
        <v>41831</v>
      </c>
      <c r="D350" s="1">
        <v>16.7</v>
      </c>
      <c r="E350" s="1">
        <v>14.8</v>
      </c>
      <c r="F350" s="1">
        <v>20.399999999999999</v>
      </c>
      <c r="G350" s="1">
        <f t="shared" si="52"/>
        <v>3345.4999999999995</v>
      </c>
      <c r="H350" s="1">
        <f t="shared" si="57"/>
        <v>686.2</v>
      </c>
      <c r="J350" s="1">
        <v>2.6</v>
      </c>
      <c r="K350" s="1">
        <f t="shared" si="53"/>
        <v>721.00000000000045</v>
      </c>
      <c r="L350" s="1">
        <v>2.7</v>
      </c>
      <c r="M350" s="1">
        <f t="shared" si="54"/>
        <v>502.19999999999965</v>
      </c>
      <c r="N350" s="5">
        <f t="shared" si="51"/>
        <v>-0.10000000000000009</v>
      </c>
      <c r="O350" s="1">
        <v>49.900000000000013</v>
      </c>
      <c r="P350" s="1">
        <v>311</v>
      </c>
      <c r="Q350" s="11">
        <f t="shared" si="47"/>
        <v>0.43358208955223876</v>
      </c>
      <c r="R350" s="9">
        <f t="shared" si="48"/>
        <v>1.1706716417910448</v>
      </c>
      <c r="S350" s="9">
        <f t="shared" si="49"/>
        <v>1.4293283582089553</v>
      </c>
      <c r="T350" s="9">
        <f t="shared" si="56"/>
        <v>71.699053923928702</v>
      </c>
      <c r="V350" s="1">
        <v>1359.8</v>
      </c>
      <c r="W350" s="1">
        <f t="shared" si="50"/>
        <v>81.425149700598809</v>
      </c>
      <c r="X350" s="1">
        <f t="shared" si="55"/>
        <v>281725.99999999994</v>
      </c>
      <c r="Y350" s="1">
        <f t="shared" si="58"/>
        <v>67903.60000000002</v>
      </c>
      <c r="AA350" s="1">
        <v>15.722630107692501</v>
      </c>
    </row>
    <row r="351" spans="1:27" s="1" customFormat="1" x14ac:dyDescent="0.25">
      <c r="A351" s="42"/>
      <c r="B351" s="40"/>
      <c r="C351" s="3">
        <v>41832</v>
      </c>
      <c r="D351" s="1">
        <v>16.3</v>
      </c>
      <c r="E351" s="1">
        <v>13.4</v>
      </c>
      <c r="F351" s="1">
        <v>18.3</v>
      </c>
      <c r="G351" s="1">
        <f t="shared" si="52"/>
        <v>3361.7999999999997</v>
      </c>
      <c r="H351" s="1">
        <f t="shared" si="57"/>
        <v>702.5</v>
      </c>
      <c r="J351" s="1">
        <v>0.2</v>
      </c>
      <c r="K351" s="1">
        <f t="shared" si="53"/>
        <v>721.2000000000005</v>
      </c>
      <c r="L351" s="1">
        <v>0.8</v>
      </c>
      <c r="M351" s="1">
        <f t="shared" si="54"/>
        <v>502.99999999999966</v>
      </c>
      <c r="N351" s="5">
        <f t="shared" si="51"/>
        <v>-0.60000000000000009</v>
      </c>
      <c r="O351" s="1">
        <v>49.300000000000011</v>
      </c>
      <c r="P351" s="1">
        <v>312</v>
      </c>
      <c r="Q351" s="11">
        <f t="shared" si="47"/>
        <v>0.42164179104477617</v>
      </c>
      <c r="R351" s="9">
        <f t="shared" si="48"/>
        <v>0.33731343283582094</v>
      </c>
      <c r="S351" s="9">
        <f t="shared" si="49"/>
        <v>-0.13731343283582093</v>
      </c>
      <c r="T351" s="9">
        <f t="shared" si="56"/>
        <v>71.561740491092877</v>
      </c>
      <c r="V351" s="10">
        <v>637.79999999999995</v>
      </c>
      <c r="W351" s="1">
        <f t="shared" si="50"/>
        <v>39.128834355828218</v>
      </c>
      <c r="X351" s="1">
        <f t="shared" si="55"/>
        <v>282363.79999999993</v>
      </c>
      <c r="Y351" s="1">
        <f t="shared" si="58"/>
        <v>68541.400000000023</v>
      </c>
      <c r="AA351" s="1">
        <v>15.6974462693234</v>
      </c>
    </row>
    <row r="352" spans="1:27" s="1" customFormat="1" x14ac:dyDescent="0.25">
      <c r="A352" s="42"/>
      <c r="B352" s="40"/>
      <c r="C352" s="3">
        <v>41833</v>
      </c>
      <c r="D352" s="1">
        <v>16.899999999999999</v>
      </c>
      <c r="E352" s="1">
        <v>16</v>
      </c>
      <c r="F352" s="1">
        <v>18.8</v>
      </c>
      <c r="G352" s="1">
        <f t="shared" si="52"/>
        <v>3378.7</v>
      </c>
      <c r="H352" s="1">
        <f t="shared" si="57"/>
        <v>719.4</v>
      </c>
      <c r="J352" s="1">
        <v>11.4</v>
      </c>
      <c r="K352" s="1">
        <f t="shared" si="53"/>
        <v>732.60000000000048</v>
      </c>
      <c r="L352" s="1">
        <v>1.2</v>
      </c>
      <c r="M352" s="1">
        <f t="shared" si="54"/>
        <v>504.19999999999965</v>
      </c>
      <c r="N352" s="1">
        <f t="shared" si="51"/>
        <v>10.200000000000001</v>
      </c>
      <c r="O352" s="1">
        <v>59.500000000000014</v>
      </c>
      <c r="P352" s="1">
        <v>313</v>
      </c>
      <c r="Q352" s="11">
        <f t="shared" si="47"/>
        <v>0.40970149253731336</v>
      </c>
      <c r="R352" s="9">
        <f t="shared" si="48"/>
        <v>0.49164179104477601</v>
      </c>
      <c r="S352" s="9">
        <f t="shared" si="49"/>
        <v>10.908358208955224</v>
      </c>
      <c r="T352" s="9">
        <f t="shared" si="56"/>
        <v>82.470098700048098</v>
      </c>
      <c r="V352" s="10">
        <v>592.79999999999995</v>
      </c>
      <c r="W352" s="1">
        <f t="shared" si="50"/>
        <v>35.07692307692308</v>
      </c>
      <c r="X352" s="1">
        <f t="shared" si="55"/>
        <v>282956.59999999992</v>
      </c>
      <c r="Y352" s="1">
        <f t="shared" si="58"/>
        <v>69134.200000000026</v>
      </c>
      <c r="AA352" s="1">
        <v>15.671141087969</v>
      </c>
    </row>
    <row r="353" spans="1:27" s="1" customFormat="1" x14ac:dyDescent="0.25">
      <c r="A353" s="42"/>
      <c r="B353" s="40"/>
      <c r="C353" s="3">
        <v>41834</v>
      </c>
      <c r="D353" s="1">
        <v>16.7</v>
      </c>
      <c r="E353" s="1">
        <v>13.2</v>
      </c>
      <c r="F353" s="1">
        <v>20.3</v>
      </c>
      <c r="G353" s="1">
        <f t="shared" si="52"/>
        <v>3395.3999999999996</v>
      </c>
      <c r="H353" s="1">
        <f t="shared" si="57"/>
        <v>736.1</v>
      </c>
      <c r="J353" s="1">
        <v>0</v>
      </c>
      <c r="K353" s="1">
        <f t="shared" si="53"/>
        <v>732.60000000000048</v>
      </c>
      <c r="L353" s="1">
        <v>2.9</v>
      </c>
      <c r="M353" s="1">
        <f t="shared" si="54"/>
        <v>507.09999999999962</v>
      </c>
      <c r="N353" s="5">
        <f t="shared" si="51"/>
        <v>-2.9</v>
      </c>
      <c r="O353" s="1">
        <v>56.600000000000016</v>
      </c>
      <c r="P353" s="1">
        <v>314</v>
      </c>
      <c r="Q353" s="11">
        <f t="shared" si="47"/>
        <v>0.39776119402985066</v>
      </c>
      <c r="R353" s="9">
        <f t="shared" si="48"/>
        <v>1.1535074626865669</v>
      </c>
      <c r="S353" s="9">
        <f t="shared" si="49"/>
        <v>-1.1535074626865669</v>
      </c>
      <c r="T353" s="9">
        <f t="shared" si="56"/>
        <v>81.316591237361536</v>
      </c>
      <c r="V353" s="1">
        <v>1636.3</v>
      </c>
      <c r="W353" s="1">
        <f t="shared" si="50"/>
        <v>97.982035928143716</v>
      </c>
      <c r="X353" s="1">
        <f t="shared" si="55"/>
        <v>284592.89999999991</v>
      </c>
      <c r="Y353" s="1">
        <f t="shared" si="58"/>
        <v>70770.500000000029</v>
      </c>
      <c r="AA353" s="1">
        <v>15.6437370960302</v>
      </c>
    </row>
    <row r="354" spans="1:27" s="1" customFormat="1" x14ac:dyDescent="0.25">
      <c r="A354" s="42"/>
      <c r="B354" s="40"/>
      <c r="C354" s="3">
        <v>41835</v>
      </c>
      <c r="D354" s="1">
        <v>19.8</v>
      </c>
      <c r="E354" s="1">
        <v>12.3</v>
      </c>
      <c r="F354" s="1">
        <v>24.6</v>
      </c>
      <c r="G354" s="1">
        <f t="shared" si="52"/>
        <v>3415.2</v>
      </c>
      <c r="H354" s="1">
        <f t="shared" si="57"/>
        <v>755.9</v>
      </c>
      <c r="J354" s="1">
        <v>0</v>
      </c>
      <c r="K354" s="1">
        <f t="shared" si="53"/>
        <v>732.60000000000048</v>
      </c>
      <c r="L354" s="1">
        <v>3.1</v>
      </c>
      <c r="M354" s="1">
        <f t="shared" si="54"/>
        <v>510.19999999999965</v>
      </c>
      <c r="N354" s="5">
        <f t="shared" si="51"/>
        <v>-3.1</v>
      </c>
      <c r="O354" s="1">
        <v>53.500000000000014</v>
      </c>
      <c r="P354" s="1">
        <v>315</v>
      </c>
      <c r="Q354" s="11">
        <f t="shared" si="47"/>
        <v>0.38582089552238807</v>
      </c>
      <c r="R354" s="9">
        <f t="shared" si="48"/>
        <v>1.1960447761194031</v>
      </c>
      <c r="S354" s="9">
        <f t="shared" si="49"/>
        <v>-1.1960447761194031</v>
      </c>
      <c r="T354" s="9">
        <f t="shared" si="56"/>
        <v>80.120546461242128</v>
      </c>
      <c r="V354" s="1">
        <v>1751</v>
      </c>
      <c r="W354" s="1">
        <f t="shared" si="50"/>
        <v>88.434343434343432</v>
      </c>
      <c r="X354" s="1">
        <f t="shared" si="55"/>
        <v>286343.89999999991</v>
      </c>
      <c r="Y354" s="1">
        <f t="shared" si="58"/>
        <v>72521.500000000029</v>
      </c>
      <c r="AA354" s="1">
        <v>15.615257312597</v>
      </c>
    </row>
    <row r="355" spans="1:27" s="1" customFormat="1" x14ac:dyDescent="0.25">
      <c r="A355" s="42"/>
      <c r="B355" s="40"/>
      <c r="C355" s="3">
        <v>41836</v>
      </c>
      <c r="D355" s="1">
        <v>23</v>
      </c>
      <c r="E355" s="1">
        <v>16.399999999999999</v>
      </c>
      <c r="F355" s="6">
        <v>28.9</v>
      </c>
      <c r="G355" s="1">
        <f t="shared" si="52"/>
        <v>3438.2</v>
      </c>
      <c r="H355" s="1">
        <f t="shared" si="57"/>
        <v>778.9</v>
      </c>
      <c r="J355" s="1">
        <v>0</v>
      </c>
      <c r="K355" s="1">
        <f t="shared" si="53"/>
        <v>732.60000000000048</v>
      </c>
      <c r="L355" s="1">
        <v>5.3</v>
      </c>
      <c r="M355" s="1">
        <f t="shared" si="54"/>
        <v>515.49999999999966</v>
      </c>
      <c r="N355" s="5">
        <f t="shared" si="51"/>
        <v>-5.3</v>
      </c>
      <c r="O355" s="1">
        <v>48.200000000000017</v>
      </c>
      <c r="P355" s="1">
        <v>316</v>
      </c>
      <c r="Q355" s="11">
        <f t="shared" ref="Q355:Q356" si="59">1.15+((P355-251)/67)*(0.35-1.15)</f>
        <v>0.37388059701492538</v>
      </c>
      <c r="R355" s="9">
        <f t="shared" si="48"/>
        <v>1.9815671641791044</v>
      </c>
      <c r="S355" s="9">
        <f t="shared" si="49"/>
        <v>-1.9815671641791044</v>
      </c>
      <c r="T355" s="9">
        <f t="shared" si="56"/>
        <v>78.138979297063017</v>
      </c>
      <c r="V355" s="1">
        <v>2491.3000000000002</v>
      </c>
      <c r="W355" s="1">
        <f t="shared" si="50"/>
        <v>108.31739130434784</v>
      </c>
      <c r="X355" s="1">
        <f t="shared" si="55"/>
        <v>288835.1999999999</v>
      </c>
      <c r="Y355" s="1">
        <f t="shared" si="58"/>
        <v>75012.800000000032</v>
      </c>
      <c r="AA355" s="1">
        <v>15.585725180714499</v>
      </c>
    </row>
    <row r="356" spans="1:27" s="1" customFormat="1" x14ac:dyDescent="0.25">
      <c r="A356" s="42"/>
      <c r="B356" s="40"/>
      <c r="C356" s="3">
        <v>41837</v>
      </c>
      <c r="D356" s="1">
        <v>25.5</v>
      </c>
      <c r="E356" s="1">
        <v>17.100000000000001</v>
      </c>
      <c r="F356" s="6">
        <v>32</v>
      </c>
      <c r="G356" s="1">
        <f t="shared" si="52"/>
        <v>3463.7</v>
      </c>
      <c r="H356" s="1">
        <f t="shared" si="57"/>
        <v>804.4</v>
      </c>
      <c r="J356" s="1">
        <v>0</v>
      </c>
      <c r="K356" s="1">
        <f t="shared" si="53"/>
        <v>732.60000000000048</v>
      </c>
      <c r="L356" s="1">
        <v>6</v>
      </c>
      <c r="M356" s="1">
        <f t="shared" si="54"/>
        <v>521.49999999999966</v>
      </c>
      <c r="N356" s="5">
        <f t="shared" si="51"/>
        <v>-6</v>
      </c>
      <c r="O356" s="41">
        <v>42.200000000000017</v>
      </c>
      <c r="P356" s="1">
        <v>317</v>
      </c>
      <c r="Q356" s="11">
        <f t="shared" si="59"/>
        <v>0.36194029850746268</v>
      </c>
      <c r="R356" s="9">
        <f t="shared" si="48"/>
        <v>2.1716417910447761</v>
      </c>
      <c r="S356" s="9">
        <f t="shared" si="49"/>
        <v>-2.1716417910447761</v>
      </c>
      <c r="T356" s="9">
        <f t="shared" si="56"/>
        <v>75.967337506018239</v>
      </c>
      <c r="V356" s="1">
        <v>2595</v>
      </c>
      <c r="W356" s="1">
        <f t="shared" si="50"/>
        <v>101.76470588235294</v>
      </c>
      <c r="X356" s="1">
        <f t="shared" si="55"/>
        <v>291430.1999999999</v>
      </c>
      <c r="Y356" s="1">
        <f t="shared" si="58"/>
        <v>77607.800000000032</v>
      </c>
      <c r="AA356" s="1">
        <v>15.5551645055604</v>
      </c>
    </row>
    <row r="357" spans="1:27" s="1" customFormat="1" x14ac:dyDescent="0.25">
      <c r="B357" s="2"/>
      <c r="C357" s="75" t="s">
        <v>25</v>
      </c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</row>
  </sheetData>
  <mergeCells count="15">
    <mergeCell ref="A39:Z39"/>
    <mergeCell ref="A40:A112"/>
    <mergeCell ref="A113:A149"/>
    <mergeCell ref="D1:I2"/>
    <mergeCell ref="J1:U2"/>
    <mergeCell ref="V1:Z2"/>
    <mergeCell ref="P3:T3"/>
    <mergeCell ref="G4:H4"/>
    <mergeCell ref="X4:Y4"/>
    <mergeCell ref="C357:Y357"/>
    <mergeCell ref="A243:A263"/>
    <mergeCell ref="A150:A242"/>
    <mergeCell ref="A264:A289"/>
    <mergeCell ref="A290:A312"/>
    <mergeCell ref="A313:A334"/>
  </mergeCells>
  <conditionalFormatting sqref="S40:S356">
    <cfRule type="cellIs" dxfId="4" priority="5" operator="lessThanOrEqual">
      <formula>0</formula>
    </cfRule>
  </conditionalFormatting>
  <conditionalFormatting sqref="U41 T5:T357">
    <cfRule type="cellIs" dxfId="3" priority="3" operator="equal">
      <formula>0</formula>
    </cfRule>
    <cfRule type="cellIs" dxfId="2" priority="4" operator="lessThanOrEqual">
      <formula>46.3</formula>
    </cfRule>
  </conditionalFormatting>
  <conditionalFormatting sqref="T1:T4">
    <cfRule type="cellIs" dxfId="1" priority="1" operator="equal">
      <formula>0</formula>
    </cfRule>
    <cfRule type="cellIs" dxfId="0" priority="2" operator="lessThanOrEqual">
      <formula>46.3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2019-11-06T15:47:44Z</dcterms:created>
  <dcterms:modified xsi:type="dcterms:W3CDTF">2019-11-26T15:22:04Z</dcterms:modified>
</cp:coreProperties>
</file>