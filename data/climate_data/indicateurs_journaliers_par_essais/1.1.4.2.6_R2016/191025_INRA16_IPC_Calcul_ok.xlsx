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ecorlouer\Documents\AA_FICHIERS_ELABORATION_IPC\Actualisation_2019_N\R2016\"/>
    </mc:Choice>
  </mc:AlternateContent>
  <bookViews>
    <workbookView xWindow="0" yWindow="0" windowWidth="28800" windowHeight="11700"/>
  </bookViews>
  <sheets>
    <sheet name="Feuil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181" i="1" l="1"/>
  <c r="AB173" i="1"/>
  <c r="U150" i="1" l="1"/>
  <c r="U289" i="1"/>
  <c r="U267" i="1"/>
  <c r="U238" i="1"/>
  <c r="U217" i="1"/>
  <c r="U165" i="1"/>
  <c r="U22" i="1"/>
  <c r="R315" i="1" l="1"/>
  <c r="S315" i="1" s="1"/>
  <c r="Q315" i="1"/>
  <c r="Q314" i="1"/>
  <c r="R314" i="1" s="1"/>
  <c r="S314" i="1" s="1"/>
  <c r="S313" i="1"/>
  <c r="Q313" i="1"/>
  <c r="R313" i="1" s="1"/>
  <c r="S312" i="1"/>
  <c r="Q312" i="1"/>
  <c r="R312" i="1" s="1"/>
  <c r="Q311" i="1"/>
  <c r="R311" i="1" s="1"/>
  <c r="S311" i="1" s="1"/>
  <c r="Y310" i="1"/>
  <c r="Y311" i="1" s="1"/>
  <c r="Y312" i="1" s="1"/>
  <c r="Y313" i="1" s="1"/>
  <c r="Y314" i="1" s="1"/>
  <c r="Y315" i="1" s="1"/>
  <c r="Q310" i="1"/>
  <c r="R310" i="1" s="1"/>
  <c r="S310" i="1" s="1"/>
  <c r="Q309" i="1"/>
  <c r="R309" i="1" s="1"/>
  <c r="S309" i="1" s="1"/>
  <c r="R308" i="1"/>
  <c r="S308" i="1" s="1"/>
  <c r="Q308" i="1"/>
  <c r="R307" i="1"/>
  <c r="S307" i="1" s="1"/>
  <c r="Q307" i="1"/>
  <c r="Q306" i="1"/>
  <c r="R306" i="1" s="1"/>
  <c r="S306" i="1" s="1"/>
  <c r="S305" i="1"/>
  <c r="R305" i="1"/>
  <c r="Q305" i="1"/>
  <c r="Q304" i="1"/>
  <c r="R304" i="1" s="1"/>
  <c r="S304" i="1" s="1"/>
  <c r="R303" i="1"/>
  <c r="S303" i="1" s="1"/>
  <c r="Q303" i="1"/>
  <c r="Y302" i="1"/>
  <c r="Y303" i="1" s="1"/>
  <c r="Y304" i="1" s="1"/>
  <c r="Y305" i="1" s="1"/>
  <c r="Y306" i="1" s="1"/>
  <c r="Y307" i="1" s="1"/>
  <c r="Y308" i="1" s="1"/>
  <c r="Y309" i="1" s="1"/>
  <c r="Q302" i="1"/>
  <c r="R302" i="1" s="1"/>
  <c r="S302" i="1" s="1"/>
  <c r="H302" i="1"/>
  <c r="H303" i="1" s="1"/>
  <c r="H304" i="1" s="1"/>
  <c r="H305" i="1" s="1"/>
  <c r="H306" i="1" s="1"/>
  <c r="H307" i="1" s="1"/>
  <c r="H308" i="1" s="1"/>
  <c r="H309" i="1" s="1"/>
  <c r="H310" i="1" s="1"/>
  <c r="H311" i="1" s="1"/>
  <c r="H312" i="1" s="1"/>
  <c r="H313" i="1" s="1"/>
  <c r="H314" i="1" s="1"/>
  <c r="H315" i="1" s="1"/>
  <c r="Q301" i="1"/>
  <c r="R301" i="1" s="1"/>
  <c r="S301" i="1" s="1"/>
  <c r="R300" i="1"/>
  <c r="S300" i="1" s="1"/>
  <c r="Q300" i="1"/>
  <c r="S299" i="1"/>
  <c r="R299" i="1"/>
  <c r="Q299" i="1"/>
  <c r="S298" i="1"/>
  <c r="Q298" i="1"/>
  <c r="R298" i="1" s="1"/>
  <c r="S297" i="1"/>
  <c r="Q297" i="1"/>
  <c r="R297" i="1" s="1"/>
  <c r="Q296" i="1"/>
  <c r="R296" i="1" s="1"/>
  <c r="S296" i="1" s="1"/>
  <c r="Q295" i="1"/>
  <c r="R295" i="1" s="1"/>
  <c r="S295" i="1" s="1"/>
  <c r="R294" i="1"/>
  <c r="S294" i="1" s="1"/>
  <c r="Q294" i="1"/>
  <c r="R293" i="1"/>
  <c r="S293" i="1" s="1"/>
  <c r="Q293" i="1"/>
  <c r="Q292" i="1"/>
  <c r="R292" i="1" s="1"/>
  <c r="S292" i="1" s="1"/>
  <c r="S291" i="1"/>
  <c r="R291" i="1"/>
  <c r="Q291" i="1"/>
  <c r="S290" i="1"/>
  <c r="Q290" i="1"/>
  <c r="R290" i="1" s="1"/>
  <c r="R289" i="1"/>
  <c r="S289" i="1" s="1"/>
  <c r="Q289" i="1"/>
  <c r="Q288" i="1"/>
  <c r="R288" i="1" s="1"/>
  <c r="S288" i="1" s="1"/>
  <c r="R287" i="1"/>
  <c r="S287" i="1" s="1"/>
  <c r="Q287" i="1"/>
  <c r="H287" i="1"/>
  <c r="H288" i="1" s="1"/>
  <c r="H289" i="1" s="1"/>
  <c r="H290" i="1" s="1"/>
  <c r="H291" i="1" s="1"/>
  <c r="H292" i="1" s="1"/>
  <c r="H293" i="1" s="1"/>
  <c r="H294" i="1" s="1"/>
  <c r="H295" i="1" s="1"/>
  <c r="H296" i="1" s="1"/>
  <c r="H297" i="1" s="1"/>
  <c r="H298" i="1" s="1"/>
  <c r="H299" i="1" s="1"/>
  <c r="H300" i="1" s="1"/>
  <c r="Q286" i="1"/>
  <c r="R286" i="1" s="1"/>
  <c r="S286" i="1" s="1"/>
  <c r="Q285" i="1"/>
  <c r="R285" i="1" s="1"/>
  <c r="S285" i="1" s="1"/>
  <c r="R284" i="1"/>
  <c r="S284" i="1" s="1"/>
  <c r="Q284" i="1"/>
  <c r="Q283" i="1"/>
  <c r="R283" i="1" s="1"/>
  <c r="S283" i="1" s="1"/>
  <c r="R282" i="1"/>
  <c r="S282" i="1" s="1"/>
  <c r="Q282" i="1"/>
  <c r="Y281" i="1"/>
  <c r="Y282" i="1" s="1"/>
  <c r="Y283" i="1" s="1"/>
  <c r="Y284" i="1" s="1"/>
  <c r="Y285" i="1" s="1"/>
  <c r="Y286" i="1" s="1"/>
  <c r="Y287" i="1" s="1"/>
  <c r="Y288" i="1" s="1"/>
  <c r="Y289" i="1" s="1"/>
  <c r="Y290" i="1" s="1"/>
  <c r="Y291" i="1" s="1"/>
  <c r="Y292" i="1" s="1"/>
  <c r="Y293" i="1" s="1"/>
  <c r="Y294" i="1" s="1"/>
  <c r="Y295" i="1" s="1"/>
  <c r="Y296" i="1" s="1"/>
  <c r="Y297" i="1" s="1"/>
  <c r="Y298" i="1" s="1"/>
  <c r="Y299" i="1" s="1"/>
  <c r="Y300" i="1" s="1"/>
  <c r="Q281" i="1"/>
  <c r="R281" i="1" s="1"/>
  <c r="S281" i="1" s="1"/>
  <c r="I281" i="1"/>
  <c r="R280" i="1"/>
  <c r="S280" i="1" s="1"/>
  <c r="Q280" i="1"/>
  <c r="Z279" i="1"/>
  <c r="Y279" i="1"/>
  <c r="Y280" i="1" s="1"/>
  <c r="Q279" i="1"/>
  <c r="R279" i="1" s="1"/>
  <c r="S279" i="1" s="1"/>
  <c r="I279" i="1"/>
  <c r="Y278" i="1"/>
  <c r="Q278" i="1"/>
  <c r="R278" i="1" s="1"/>
  <c r="S278" i="1" s="1"/>
  <c r="Y277" i="1"/>
  <c r="S277" i="1"/>
  <c r="Q277" i="1"/>
  <c r="R277" i="1" s="1"/>
  <c r="I277" i="1"/>
  <c r="H277" i="1"/>
  <c r="H278" i="1" s="1"/>
  <c r="H279" i="1" s="1"/>
  <c r="H280" i="1" s="1"/>
  <c r="H281" i="1" s="1"/>
  <c r="H282" i="1" s="1"/>
  <c r="H283" i="1" s="1"/>
  <c r="H284" i="1" s="1"/>
  <c r="H285" i="1" s="1"/>
  <c r="H286" i="1" s="1"/>
  <c r="Q276" i="1"/>
  <c r="R276" i="1" s="1"/>
  <c r="S276" i="1" s="1"/>
  <c r="Q275" i="1"/>
  <c r="R275" i="1" s="1"/>
  <c r="S275" i="1" s="1"/>
  <c r="S274" i="1"/>
  <c r="Q274" i="1"/>
  <c r="R274" i="1" s="1"/>
  <c r="S273" i="1"/>
  <c r="Q273" i="1"/>
  <c r="R273" i="1" s="1"/>
  <c r="Q272" i="1"/>
  <c r="R272" i="1" s="1"/>
  <c r="S272" i="1" s="1"/>
  <c r="Q271" i="1"/>
  <c r="R271" i="1" s="1"/>
  <c r="S271" i="1" s="1"/>
  <c r="Q270" i="1"/>
  <c r="R270" i="1" s="1"/>
  <c r="S270" i="1" s="1"/>
  <c r="R269" i="1"/>
  <c r="S269" i="1" s="1"/>
  <c r="Q269" i="1"/>
  <c r="R268" i="1"/>
  <c r="S268" i="1" s="1"/>
  <c r="Q268" i="1"/>
  <c r="Q267" i="1"/>
  <c r="R267" i="1" s="1"/>
  <c r="S267" i="1" s="1"/>
  <c r="S266" i="1"/>
  <c r="Q266" i="1"/>
  <c r="R266" i="1" s="1"/>
  <c r="Q265" i="1"/>
  <c r="R265" i="1" s="1"/>
  <c r="S265" i="1" s="1"/>
  <c r="S264" i="1"/>
  <c r="R264" i="1"/>
  <c r="Q264" i="1"/>
  <c r="S263" i="1"/>
  <c r="Q263" i="1"/>
  <c r="R263" i="1" s="1"/>
  <c r="S262" i="1"/>
  <c r="Q262" i="1"/>
  <c r="R262" i="1" s="1"/>
  <c r="R261" i="1"/>
  <c r="S261" i="1" s="1"/>
  <c r="Q261" i="1"/>
  <c r="R260" i="1"/>
  <c r="S260" i="1" s="1"/>
  <c r="Q260" i="1"/>
  <c r="S259" i="1"/>
  <c r="Q259" i="1"/>
  <c r="R259" i="1" s="1"/>
  <c r="I259" i="1"/>
  <c r="Q258" i="1"/>
  <c r="R258" i="1" s="1"/>
  <c r="S258" i="1" s="1"/>
  <c r="Z257" i="1"/>
  <c r="Q257" i="1"/>
  <c r="R257" i="1" s="1"/>
  <c r="S257" i="1" s="1"/>
  <c r="I257" i="1"/>
  <c r="H257" i="1"/>
  <c r="H258" i="1" s="1"/>
  <c r="H259" i="1" s="1"/>
  <c r="H260" i="1" s="1"/>
  <c r="H261" i="1" s="1"/>
  <c r="H262" i="1" s="1"/>
  <c r="H263" i="1" s="1"/>
  <c r="H264" i="1" s="1"/>
  <c r="H265" i="1" s="1"/>
  <c r="H266" i="1" s="1"/>
  <c r="H267" i="1" s="1"/>
  <c r="H268" i="1" s="1"/>
  <c r="H269" i="1" s="1"/>
  <c r="H270" i="1" s="1"/>
  <c r="H271" i="1" s="1"/>
  <c r="H272" i="1" s="1"/>
  <c r="H273" i="1" s="1"/>
  <c r="H274" i="1" s="1"/>
  <c r="H275" i="1" s="1"/>
  <c r="Y256" i="1"/>
  <c r="Y257" i="1" s="1"/>
  <c r="Y258" i="1" s="1"/>
  <c r="Y259" i="1" s="1"/>
  <c r="Y260" i="1" s="1"/>
  <c r="Y261" i="1" s="1"/>
  <c r="Y262" i="1" s="1"/>
  <c r="Y263" i="1" s="1"/>
  <c r="Y264" i="1" s="1"/>
  <c r="Y265" i="1" s="1"/>
  <c r="Y266" i="1" s="1"/>
  <c r="Y267" i="1" s="1"/>
  <c r="Y268" i="1" s="1"/>
  <c r="Y269" i="1" s="1"/>
  <c r="Y270" i="1" s="1"/>
  <c r="Y271" i="1" s="1"/>
  <c r="Y272" i="1" s="1"/>
  <c r="Y273" i="1" s="1"/>
  <c r="Y274" i="1" s="1"/>
  <c r="Y275" i="1" s="1"/>
  <c r="Q256" i="1"/>
  <c r="R256" i="1" s="1"/>
  <c r="S256" i="1" s="1"/>
  <c r="Y255" i="1"/>
  <c r="R255" i="1"/>
  <c r="S255" i="1" s="1"/>
  <c r="Q255" i="1"/>
  <c r="I255" i="1"/>
  <c r="H255" i="1"/>
  <c r="H256" i="1" s="1"/>
  <c r="R254" i="1"/>
  <c r="S254" i="1" s="1"/>
  <c r="Q254" i="1"/>
  <c r="R253" i="1"/>
  <c r="S253" i="1" s="1"/>
  <c r="R252" i="1"/>
  <c r="S252" i="1" s="1"/>
  <c r="S251" i="1"/>
  <c r="R251" i="1"/>
  <c r="R250" i="1"/>
  <c r="S250" i="1" s="1"/>
  <c r="R249" i="1"/>
  <c r="S249" i="1" s="1"/>
  <c r="S248" i="1"/>
  <c r="R248" i="1"/>
  <c r="R247" i="1"/>
  <c r="S247" i="1" s="1"/>
  <c r="R246" i="1"/>
  <c r="S246" i="1" s="1"/>
  <c r="S245" i="1"/>
  <c r="R245" i="1"/>
  <c r="Y244" i="1"/>
  <c r="Y245" i="1" s="1"/>
  <c r="Y246" i="1" s="1"/>
  <c r="Y247" i="1" s="1"/>
  <c r="Y248" i="1" s="1"/>
  <c r="Y249" i="1" s="1"/>
  <c r="Y250" i="1" s="1"/>
  <c r="Y251" i="1" s="1"/>
  <c r="Y252" i="1" s="1"/>
  <c r="Y253" i="1" s="1"/>
  <c r="S244" i="1"/>
  <c r="R244" i="1"/>
  <c r="H244" i="1"/>
  <c r="H245" i="1" s="1"/>
  <c r="H246" i="1" s="1"/>
  <c r="H247" i="1" s="1"/>
  <c r="H248" i="1" s="1"/>
  <c r="H249" i="1" s="1"/>
  <c r="H250" i="1" s="1"/>
  <c r="H251" i="1" s="1"/>
  <c r="H252" i="1" s="1"/>
  <c r="H253" i="1" s="1"/>
  <c r="R243" i="1"/>
  <c r="S243" i="1" s="1"/>
  <c r="R242" i="1"/>
  <c r="S242" i="1" s="1"/>
  <c r="S241" i="1"/>
  <c r="R241" i="1"/>
  <c r="S240" i="1"/>
  <c r="R240" i="1"/>
  <c r="R239" i="1"/>
  <c r="S239" i="1" s="1"/>
  <c r="R238" i="1"/>
  <c r="S238" i="1" s="1"/>
  <c r="Y237" i="1"/>
  <c r="Y238" i="1" s="1"/>
  <c r="Y239" i="1" s="1"/>
  <c r="Y240" i="1" s="1"/>
  <c r="Y241" i="1" s="1"/>
  <c r="Y242" i="1" s="1"/>
  <c r="Y243" i="1" s="1"/>
  <c r="S237" i="1"/>
  <c r="R237" i="1"/>
  <c r="R236" i="1"/>
  <c r="S236" i="1" s="1"/>
  <c r="S235" i="1"/>
  <c r="R235" i="1"/>
  <c r="S234" i="1"/>
  <c r="R234" i="1"/>
  <c r="R233" i="1"/>
  <c r="S233" i="1" s="1"/>
  <c r="S232" i="1"/>
  <c r="R232" i="1"/>
  <c r="R231" i="1"/>
  <c r="S231" i="1" s="1"/>
  <c r="R230" i="1"/>
  <c r="S230" i="1" s="1"/>
  <c r="I230" i="1"/>
  <c r="R229" i="1"/>
  <c r="S229" i="1" s="1"/>
  <c r="Z228" i="1"/>
  <c r="S228" i="1"/>
  <c r="R228" i="1"/>
  <c r="I228" i="1"/>
  <c r="H228" i="1"/>
  <c r="H229" i="1" s="1"/>
  <c r="H230" i="1" s="1"/>
  <c r="H231" i="1" s="1"/>
  <c r="H232" i="1" s="1"/>
  <c r="H233" i="1" s="1"/>
  <c r="H234" i="1" s="1"/>
  <c r="H235" i="1" s="1"/>
  <c r="H236" i="1" s="1"/>
  <c r="H237" i="1" s="1"/>
  <c r="H238" i="1" s="1"/>
  <c r="H239" i="1" s="1"/>
  <c r="H240" i="1" s="1"/>
  <c r="H241" i="1" s="1"/>
  <c r="H242" i="1" s="1"/>
  <c r="H243" i="1" s="1"/>
  <c r="Y227" i="1"/>
  <c r="Y228" i="1" s="1"/>
  <c r="Y229" i="1" s="1"/>
  <c r="Y230" i="1" s="1"/>
  <c r="Y231" i="1" s="1"/>
  <c r="Y232" i="1" s="1"/>
  <c r="Y233" i="1" s="1"/>
  <c r="Y234" i="1" s="1"/>
  <c r="Y235" i="1" s="1"/>
  <c r="Y236" i="1" s="1"/>
  <c r="S227" i="1"/>
  <c r="R227" i="1"/>
  <c r="H227" i="1"/>
  <c r="Y226" i="1"/>
  <c r="R226" i="1"/>
  <c r="S226" i="1" s="1"/>
  <c r="I226" i="1"/>
  <c r="H226" i="1"/>
  <c r="R225" i="1"/>
  <c r="S225" i="1" s="1"/>
  <c r="S224" i="1"/>
  <c r="R224" i="1"/>
  <c r="R223" i="1"/>
  <c r="S223" i="1" s="1"/>
  <c r="S222" i="1"/>
  <c r="R222" i="1"/>
  <c r="S221" i="1"/>
  <c r="R221" i="1"/>
  <c r="R220" i="1"/>
  <c r="S220" i="1" s="1"/>
  <c r="S219" i="1"/>
  <c r="R219" i="1"/>
  <c r="R218" i="1"/>
  <c r="S218" i="1" s="1"/>
  <c r="S217" i="1"/>
  <c r="R217" i="1"/>
  <c r="S216" i="1"/>
  <c r="R216" i="1"/>
  <c r="O216" i="1"/>
  <c r="O217" i="1" s="1"/>
  <c r="O218" i="1" s="1"/>
  <c r="O219" i="1" s="1"/>
  <c r="O220" i="1" s="1"/>
  <c r="O221" i="1" s="1"/>
  <c r="O222" i="1" s="1"/>
  <c r="O223" i="1" s="1"/>
  <c r="O224" i="1" s="1"/>
  <c r="O225" i="1" s="1"/>
  <c r="O226" i="1" s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O247" i="1" s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O268" i="1" s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O291" i="1" s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O312" i="1" s="1"/>
  <c r="O313" i="1" s="1"/>
  <c r="O314" i="1" s="1"/>
  <c r="O315" i="1" s="1"/>
  <c r="S215" i="1"/>
  <c r="R215" i="1"/>
  <c r="R214" i="1"/>
  <c r="S214" i="1" s="1"/>
  <c r="H214" i="1"/>
  <c r="H215" i="1" s="1"/>
  <c r="H216" i="1" s="1"/>
  <c r="H217" i="1" s="1"/>
  <c r="H218" i="1" s="1"/>
  <c r="H219" i="1" s="1"/>
  <c r="H220" i="1" s="1"/>
  <c r="H221" i="1" s="1"/>
  <c r="H222" i="1" s="1"/>
  <c r="H223" i="1" s="1"/>
  <c r="H224" i="1" s="1"/>
  <c r="S213" i="1"/>
  <c r="R213" i="1"/>
  <c r="O213" i="1"/>
  <c r="O214" i="1" s="1"/>
  <c r="O215" i="1" s="1"/>
  <c r="S212" i="1"/>
  <c r="R212" i="1"/>
  <c r="H212" i="1"/>
  <c r="H213" i="1" s="1"/>
  <c r="Y211" i="1"/>
  <c r="Y212" i="1" s="1"/>
  <c r="Y213" i="1" s="1"/>
  <c r="Y214" i="1" s="1"/>
  <c r="Y215" i="1" s="1"/>
  <c r="Y216" i="1" s="1"/>
  <c r="Y217" i="1" s="1"/>
  <c r="Y218" i="1" s="1"/>
  <c r="Y219" i="1" s="1"/>
  <c r="Y220" i="1" s="1"/>
  <c r="Y221" i="1" s="1"/>
  <c r="Y222" i="1" s="1"/>
  <c r="Y223" i="1" s="1"/>
  <c r="Y224" i="1" s="1"/>
  <c r="R211" i="1"/>
  <c r="S211" i="1" s="1"/>
  <c r="S210" i="1"/>
  <c r="R210" i="1"/>
  <c r="O210" i="1"/>
  <c r="O211" i="1" s="1"/>
  <c r="R209" i="1"/>
  <c r="S209" i="1" s="1"/>
  <c r="I209" i="1"/>
  <c r="S208" i="1"/>
  <c r="R208" i="1"/>
  <c r="Z207" i="1"/>
  <c r="R207" i="1"/>
  <c r="S207" i="1" s="1"/>
  <c r="I207" i="1"/>
  <c r="Y206" i="1"/>
  <c r="Y207" i="1" s="1"/>
  <c r="Y208" i="1" s="1"/>
  <c r="Y209" i="1" s="1"/>
  <c r="Y210" i="1" s="1"/>
  <c r="R206" i="1"/>
  <c r="S206" i="1" s="1"/>
  <c r="Y205" i="1"/>
  <c r="S205" i="1"/>
  <c r="R205" i="1"/>
  <c r="I205" i="1"/>
  <c r="H205" i="1"/>
  <c r="H206" i="1" s="1"/>
  <c r="H207" i="1" s="1"/>
  <c r="H208" i="1" s="1"/>
  <c r="H209" i="1" s="1"/>
  <c r="H210" i="1" s="1"/>
  <c r="H211" i="1" s="1"/>
  <c r="R204" i="1"/>
  <c r="S204" i="1" s="1"/>
  <c r="R203" i="1"/>
  <c r="S203" i="1" s="1"/>
  <c r="Q203" i="1"/>
  <c r="S202" i="1"/>
  <c r="R202" i="1"/>
  <c r="Q202" i="1"/>
  <c r="Q201" i="1"/>
  <c r="R201" i="1" s="1"/>
  <c r="S201" i="1" s="1"/>
  <c r="O201" i="1"/>
  <c r="O202" i="1" s="1"/>
  <c r="O203" i="1" s="1"/>
  <c r="O204" i="1" s="1"/>
  <c r="O205" i="1" s="1"/>
  <c r="O206" i="1" s="1"/>
  <c r="O207" i="1" s="1"/>
  <c r="O208" i="1" s="1"/>
  <c r="Q200" i="1"/>
  <c r="R200" i="1" s="1"/>
  <c r="S200" i="1" s="1"/>
  <c r="O200" i="1"/>
  <c r="S199" i="1"/>
  <c r="Q199" i="1"/>
  <c r="R199" i="1" s="1"/>
  <c r="Q198" i="1"/>
  <c r="R198" i="1" s="1"/>
  <c r="S198" i="1" s="1"/>
  <c r="R197" i="1"/>
  <c r="S197" i="1" s="1"/>
  <c r="Q197" i="1"/>
  <c r="Q196" i="1"/>
  <c r="R196" i="1" s="1"/>
  <c r="S196" i="1" s="1"/>
  <c r="R195" i="1"/>
  <c r="S195" i="1" s="1"/>
  <c r="Q195" i="1"/>
  <c r="O195" i="1"/>
  <c r="O196" i="1" s="1"/>
  <c r="O197" i="1" s="1"/>
  <c r="O198" i="1" s="1"/>
  <c r="O199" i="1" s="1"/>
  <c r="R194" i="1"/>
  <c r="S194" i="1" s="1"/>
  <c r="Q194" i="1"/>
  <c r="Q193" i="1"/>
  <c r="R193" i="1" s="1"/>
  <c r="S193" i="1" s="1"/>
  <c r="O193" i="1"/>
  <c r="O194" i="1" s="1"/>
  <c r="S192" i="1"/>
  <c r="Q192" i="1"/>
  <c r="R192" i="1" s="1"/>
  <c r="S191" i="1"/>
  <c r="R191" i="1"/>
  <c r="Q191" i="1"/>
  <c r="Q190" i="1"/>
  <c r="R190" i="1" s="1"/>
  <c r="S190" i="1" s="1"/>
  <c r="Q189" i="1"/>
  <c r="R189" i="1" s="1"/>
  <c r="S189" i="1" s="1"/>
  <c r="O189" i="1"/>
  <c r="Q188" i="1"/>
  <c r="R188" i="1" s="1"/>
  <c r="S188" i="1" s="1"/>
  <c r="O188" i="1"/>
  <c r="R187" i="1"/>
  <c r="S187" i="1" s="1"/>
  <c r="Q187" i="1"/>
  <c r="Q186" i="1"/>
  <c r="R186" i="1" s="1"/>
  <c r="S186" i="1" s="1"/>
  <c r="Q185" i="1"/>
  <c r="R185" i="1" s="1"/>
  <c r="S185" i="1" s="1"/>
  <c r="Q184" i="1"/>
  <c r="R184" i="1" s="1"/>
  <c r="S184" i="1" s="1"/>
  <c r="Q183" i="1"/>
  <c r="R183" i="1" s="1"/>
  <c r="S183" i="1" s="1"/>
  <c r="R182" i="1"/>
  <c r="S182" i="1" s="1"/>
  <c r="Q182" i="1"/>
  <c r="Q181" i="1"/>
  <c r="R181" i="1" s="1"/>
  <c r="S181" i="1" s="1"/>
  <c r="R180" i="1"/>
  <c r="S180" i="1" s="1"/>
  <c r="Q180" i="1"/>
  <c r="R179" i="1"/>
  <c r="S179" i="1" s="1"/>
  <c r="Q179" i="1"/>
  <c r="Q178" i="1"/>
  <c r="R178" i="1" s="1"/>
  <c r="S178" i="1" s="1"/>
  <c r="S177" i="1"/>
  <c r="Q177" i="1"/>
  <c r="R177" i="1" s="1"/>
  <c r="S176" i="1"/>
  <c r="Q176" i="1"/>
  <c r="R176" i="1" s="1"/>
  <c r="Q175" i="1"/>
  <c r="R175" i="1" s="1"/>
  <c r="S175" i="1" s="1"/>
  <c r="Q174" i="1"/>
  <c r="R174" i="1" s="1"/>
  <c r="S174" i="1" s="1"/>
  <c r="Q173" i="1"/>
  <c r="R173" i="1" s="1"/>
  <c r="S173" i="1" s="1"/>
  <c r="R172" i="1"/>
  <c r="S172" i="1" s="1"/>
  <c r="Q172" i="1"/>
  <c r="R171" i="1"/>
  <c r="S171" i="1" s="1"/>
  <c r="Q171" i="1"/>
  <c r="Q170" i="1"/>
  <c r="R170" i="1" s="1"/>
  <c r="S170" i="1" s="1"/>
  <c r="Q169" i="1"/>
  <c r="R169" i="1" s="1"/>
  <c r="S169" i="1" s="1"/>
  <c r="Q168" i="1"/>
  <c r="R168" i="1" s="1"/>
  <c r="S168" i="1" s="1"/>
  <c r="Q167" i="1"/>
  <c r="R167" i="1" s="1"/>
  <c r="S167" i="1" s="1"/>
  <c r="Q166" i="1"/>
  <c r="R166" i="1" s="1"/>
  <c r="S166" i="1" s="1"/>
  <c r="Q165" i="1"/>
  <c r="R165" i="1" s="1"/>
  <c r="S165" i="1" s="1"/>
  <c r="R164" i="1"/>
  <c r="S164" i="1" s="1"/>
  <c r="Q164" i="1"/>
  <c r="Q163" i="1"/>
  <c r="R163" i="1" s="1"/>
  <c r="S163" i="1" s="1"/>
  <c r="Q162" i="1"/>
  <c r="R162" i="1" s="1"/>
  <c r="S162" i="1" s="1"/>
  <c r="R161" i="1"/>
  <c r="S161" i="1" s="1"/>
  <c r="Q161" i="1"/>
  <c r="Q160" i="1"/>
  <c r="R160" i="1" s="1"/>
  <c r="S160" i="1" s="1"/>
  <c r="Q159" i="1"/>
  <c r="R159" i="1" s="1"/>
  <c r="S159" i="1" s="1"/>
  <c r="Q158" i="1"/>
  <c r="R158" i="1" s="1"/>
  <c r="S158" i="1" s="1"/>
  <c r="R157" i="1"/>
  <c r="S157" i="1" s="1"/>
  <c r="Q157" i="1"/>
  <c r="I157" i="1"/>
  <c r="Q156" i="1"/>
  <c r="R156" i="1" s="1"/>
  <c r="S156" i="1" s="1"/>
  <c r="Z155" i="1"/>
  <c r="R155" i="1"/>
  <c r="S155" i="1" s="1"/>
  <c r="Q155" i="1"/>
  <c r="I155" i="1"/>
  <c r="Q154" i="1"/>
  <c r="R154" i="1" s="1"/>
  <c r="S154" i="1" s="1"/>
  <c r="Q153" i="1"/>
  <c r="R153" i="1" s="1"/>
  <c r="S153" i="1" s="1"/>
  <c r="I153" i="1"/>
  <c r="R152" i="1"/>
  <c r="S152" i="1" s="1"/>
  <c r="Q152" i="1"/>
  <c r="Q151" i="1"/>
  <c r="R151" i="1" s="1"/>
  <c r="S151" i="1" s="1"/>
  <c r="H151" i="1"/>
  <c r="H152" i="1" s="1"/>
  <c r="H153" i="1" s="1"/>
  <c r="H154" i="1" s="1"/>
  <c r="H155" i="1" s="1"/>
  <c r="H156" i="1" s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H174" i="1" s="1"/>
  <c r="H175" i="1" s="1"/>
  <c r="H176" i="1" s="1"/>
  <c r="H177" i="1" s="1"/>
  <c r="H178" i="1" s="1"/>
  <c r="H179" i="1" s="1"/>
  <c r="H180" i="1" s="1"/>
  <c r="H181" i="1" s="1"/>
  <c r="H182" i="1" s="1"/>
  <c r="H183" i="1" s="1"/>
  <c r="H184" i="1" s="1"/>
  <c r="H185" i="1" s="1"/>
  <c r="H186" i="1" s="1"/>
  <c r="H187" i="1" s="1"/>
  <c r="H188" i="1" s="1"/>
  <c r="H189" i="1" s="1"/>
  <c r="H190" i="1" s="1"/>
  <c r="H191" i="1" s="1"/>
  <c r="H192" i="1" s="1"/>
  <c r="H193" i="1" s="1"/>
  <c r="H194" i="1" s="1"/>
  <c r="H195" i="1" s="1"/>
  <c r="H196" i="1" s="1"/>
  <c r="H197" i="1" s="1"/>
  <c r="H198" i="1" s="1"/>
  <c r="H199" i="1" s="1"/>
  <c r="H200" i="1" s="1"/>
  <c r="H201" i="1" s="1"/>
  <c r="H202" i="1" s="1"/>
  <c r="H203" i="1" s="1"/>
  <c r="Q150" i="1"/>
  <c r="R150" i="1" s="1"/>
  <c r="S150" i="1" s="1"/>
  <c r="S149" i="1"/>
  <c r="R149" i="1"/>
  <c r="Q149" i="1"/>
  <c r="Y148" i="1"/>
  <c r="Y149" i="1" s="1"/>
  <c r="Y150" i="1" s="1"/>
  <c r="Y151" i="1" s="1"/>
  <c r="Y152" i="1" s="1"/>
  <c r="Y153" i="1" s="1"/>
  <c r="Y154" i="1" s="1"/>
  <c r="Y155" i="1" s="1"/>
  <c r="Y156" i="1" s="1"/>
  <c r="Y157" i="1" s="1"/>
  <c r="Y158" i="1" s="1"/>
  <c r="Y159" i="1" s="1"/>
  <c r="Y160" i="1" s="1"/>
  <c r="Y161" i="1" s="1"/>
  <c r="Y162" i="1" s="1"/>
  <c r="Y163" i="1" s="1"/>
  <c r="Y164" i="1" s="1"/>
  <c r="Y165" i="1" s="1"/>
  <c r="Y166" i="1" s="1"/>
  <c r="Y167" i="1" s="1"/>
  <c r="Y168" i="1" s="1"/>
  <c r="Y169" i="1" s="1"/>
  <c r="Y170" i="1" s="1"/>
  <c r="Y171" i="1" s="1"/>
  <c r="Y172" i="1" s="1"/>
  <c r="Y173" i="1" s="1"/>
  <c r="Y174" i="1" s="1"/>
  <c r="Y175" i="1" s="1"/>
  <c r="Y176" i="1" s="1"/>
  <c r="Y177" i="1" s="1"/>
  <c r="Y178" i="1" s="1"/>
  <c r="Y179" i="1" s="1"/>
  <c r="Y180" i="1" s="1"/>
  <c r="Y181" i="1" s="1"/>
  <c r="Y182" i="1" s="1"/>
  <c r="Y183" i="1" s="1"/>
  <c r="Y184" i="1" s="1"/>
  <c r="Y185" i="1" s="1"/>
  <c r="Y186" i="1" s="1"/>
  <c r="Y187" i="1" s="1"/>
  <c r="Y188" i="1" s="1"/>
  <c r="Y189" i="1" s="1"/>
  <c r="Y190" i="1" s="1"/>
  <c r="Y191" i="1" s="1"/>
  <c r="Y192" i="1" s="1"/>
  <c r="Y193" i="1" s="1"/>
  <c r="Y194" i="1" s="1"/>
  <c r="Y195" i="1" s="1"/>
  <c r="Y196" i="1" s="1"/>
  <c r="Y197" i="1" s="1"/>
  <c r="Y198" i="1" s="1"/>
  <c r="Y199" i="1" s="1"/>
  <c r="Y200" i="1" s="1"/>
  <c r="Y201" i="1" s="1"/>
  <c r="Y202" i="1" s="1"/>
  <c r="Y203" i="1" s="1"/>
  <c r="Q148" i="1"/>
  <c r="R148" i="1" s="1"/>
  <c r="S148" i="1" s="1"/>
  <c r="H148" i="1"/>
  <c r="H149" i="1" s="1"/>
  <c r="H150" i="1" s="1"/>
  <c r="S147" i="1"/>
  <c r="Q147" i="1"/>
  <c r="R147" i="1" s="1"/>
  <c r="S146" i="1"/>
  <c r="R146" i="1"/>
  <c r="R145" i="1"/>
  <c r="S145" i="1" s="1"/>
  <c r="S144" i="1"/>
  <c r="R144" i="1"/>
  <c r="S143" i="1"/>
  <c r="R143" i="1"/>
  <c r="R142" i="1"/>
  <c r="S142" i="1" s="1"/>
  <c r="H142" i="1"/>
  <c r="H143" i="1" s="1"/>
  <c r="H144" i="1" s="1"/>
  <c r="H145" i="1" s="1"/>
  <c r="H146" i="1" s="1"/>
  <c r="R141" i="1"/>
  <c r="S141" i="1" s="1"/>
  <c r="R140" i="1"/>
  <c r="S140" i="1" s="1"/>
  <c r="I140" i="1"/>
  <c r="R139" i="1"/>
  <c r="S139" i="1" s="1"/>
  <c r="Z138" i="1"/>
  <c r="R138" i="1"/>
  <c r="S138" i="1" s="1"/>
  <c r="I138" i="1"/>
  <c r="R137" i="1"/>
  <c r="S137" i="1" s="1"/>
  <c r="S136" i="1"/>
  <c r="R136" i="1"/>
  <c r="I136" i="1"/>
  <c r="H136" i="1"/>
  <c r="H137" i="1" s="1"/>
  <c r="H138" i="1" s="1"/>
  <c r="H139" i="1" s="1"/>
  <c r="H140" i="1" s="1"/>
  <c r="H141" i="1" s="1"/>
  <c r="Y135" i="1"/>
  <c r="Y136" i="1" s="1"/>
  <c r="Y137" i="1" s="1"/>
  <c r="Y138" i="1" s="1"/>
  <c r="Y139" i="1" s="1"/>
  <c r="Y140" i="1" s="1"/>
  <c r="Y141" i="1" s="1"/>
  <c r="Y142" i="1" s="1"/>
  <c r="Y143" i="1" s="1"/>
  <c r="Y144" i="1" s="1"/>
  <c r="Y145" i="1" s="1"/>
  <c r="Y146" i="1" s="1"/>
  <c r="R135" i="1"/>
  <c r="S135" i="1" s="1"/>
  <c r="R134" i="1"/>
  <c r="S134" i="1" s="1"/>
  <c r="Q134" i="1"/>
  <c r="S133" i="1"/>
  <c r="Q133" i="1"/>
  <c r="R133" i="1" s="1"/>
  <c r="Q132" i="1"/>
  <c r="R132" i="1" s="1"/>
  <c r="S132" i="1" s="1"/>
  <c r="R131" i="1"/>
  <c r="S131" i="1" s="1"/>
  <c r="Q131" i="1"/>
  <c r="S130" i="1"/>
  <c r="R130" i="1"/>
  <c r="Q130" i="1"/>
  <c r="Q129" i="1"/>
  <c r="R129" i="1" s="1"/>
  <c r="S129" i="1" s="1"/>
  <c r="Q128" i="1"/>
  <c r="R128" i="1" s="1"/>
  <c r="S128" i="1" s="1"/>
  <c r="Q127" i="1"/>
  <c r="R127" i="1" s="1"/>
  <c r="S127" i="1" s="1"/>
  <c r="R126" i="1"/>
  <c r="S126" i="1" s="1"/>
  <c r="Q126" i="1"/>
  <c r="S125" i="1"/>
  <c r="Q125" i="1"/>
  <c r="R125" i="1" s="1"/>
  <c r="Q124" i="1"/>
  <c r="R124" i="1" s="1"/>
  <c r="S124" i="1" s="1"/>
  <c r="R123" i="1"/>
  <c r="S123" i="1" s="1"/>
  <c r="Q123" i="1"/>
  <c r="Q122" i="1"/>
  <c r="R122" i="1" s="1"/>
  <c r="S122" i="1" s="1"/>
  <c r="Q121" i="1"/>
  <c r="R121" i="1" s="1"/>
  <c r="S121" i="1" s="1"/>
  <c r="Q120" i="1"/>
  <c r="R120" i="1" s="1"/>
  <c r="S120" i="1" s="1"/>
  <c r="Q119" i="1"/>
  <c r="R119" i="1" s="1"/>
  <c r="S119" i="1" s="1"/>
  <c r="R118" i="1"/>
  <c r="S118" i="1" s="1"/>
  <c r="Q118" i="1"/>
  <c r="S117" i="1"/>
  <c r="Q117" i="1"/>
  <c r="R117" i="1" s="1"/>
  <c r="Q116" i="1"/>
  <c r="R116" i="1" s="1"/>
  <c r="S116" i="1" s="1"/>
  <c r="R115" i="1"/>
  <c r="S115" i="1" s="1"/>
  <c r="Q115" i="1"/>
  <c r="S114" i="1"/>
  <c r="Q114" i="1"/>
  <c r="R114" i="1" s="1"/>
  <c r="Q113" i="1"/>
  <c r="R113" i="1" s="1"/>
  <c r="S113" i="1" s="1"/>
  <c r="R112" i="1"/>
  <c r="S112" i="1" s="1"/>
  <c r="Q112" i="1"/>
  <c r="S111" i="1"/>
  <c r="Q111" i="1"/>
  <c r="R111" i="1" s="1"/>
  <c r="Q110" i="1"/>
  <c r="R110" i="1" s="1"/>
  <c r="S110" i="1" s="1"/>
  <c r="R109" i="1"/>
  <c r="S109" i="1" s="1"/>
  <c r="Q109" i="1"/>
  <c r="Q108" i="1"/>
  <c r="R108" i="1" s="1"/>
  <c r="S108" i="1" s="1"/>
  <c r="Q107" i="1"/>
  <c r="R107" i="1" s="1"/>
  <c r="S107" i="1" s="1"/>
  <c r="Q106" i="1"/>
  <c r="R106" i="1" s="1"/>
  <c r="S106" i="1" s="1"/>
  <c r="Q105" i="1"/>
  <c r="R105" i="1" s="1"/>
  <c r="S105" i="1" s="1"/>
  <c r="R104" i="1"/>
  <c r="S104" i="1" s="1"/>
  <c r="Q104" i="1"/>
  <c r="S103" i="1"/>
  <c r="Q103" i="1"/>
  <c r="R103" i="1" s="1"/>
  <c r="Q102" i="1"/>
  <c r="R102" i="1" s="1"/>
  <c r="S102" i="1" s="1"/>
  <c r="R101" i="1"/>
  <c r="S101" i="1" s="1"/>
  <c r="Q101" i="1"/>
  <c r="Q100" i="1"/>
  <c r="R100" i="1" s="1"/>
  <c r="S100" i="1" s="1"/>
  <c r="Q99" i="1"/>
  <c r="R99" i="1" s="1"/>
  <c r="S99" i="1" s="1"/>
  <c r="Q98" i="1"/>
  <c r="R98" i="1" s="1"/>
  <c r="S98" i="1" s="1"/>
  <c r="Q97" i="1"/>
  <c r="R97" i="1" s="1"/>
  <c r="S97" i="1" s="1"/>
  <c r="R96" i="1"/>
  <c r="S96" i="1" s="1"/>
  <c r="Q96" i="1"/>
  <c r="S95" i="1"/>
  <c r="Q95" i="1"/>
  <c r="R95" i="1" s="1"/>
  <c r="Q94" i="1"/>
  <c r="R94" i="1" s="1"/>
  <c r="S94" i="1" s="1"/>
  <c r="R93" i="1"/>
  <c r="S93" i="1" s="1"/>
  <c r="Q93" i="1"/>
  <c r="Q92" i="1"/>
  <c r="R92" i="1" s="1"/>
  <c r="S92" i="1" s="1"/>
  <c r="Q91" i="1"/>
  <c r="R91" i="1" s="1"/>
  <c r="S91" i="1" s="1"/>
  <c r="Q90" i="1"/>
  <c r="R90" i="1" s="1"/>
  <c r="S90" i="1" s="1"/>
  <c r="Q89" i="1"/>
  <c r="R89" i="1" s="1"/>
  <c r="S89" i="1" s="1"/>
  <c r="R88" i="1"/>
  <c r="S88" i="1" s="1"/>
  <c r="Q88" i="1"/>
  <c r="S87" i="1"/>
  <c r="Q87" i="1"/>
  <c r="R87" i="1" s="1"/>
  <c r="Q86" i="1"/>
  <c r="R86" i="1" s="1"/>
  <c r="S86" i="1" s="1"/>
  <c r="R85" i="1"/>
  <c r="S85" i="1" s="1"/>
  <c r="Q85" i="1"/>
  <c r="Q84" i="1"/>
  <c r="R84" i="1" s="1"/>
  <c r="S84" i="1" s="1"/>
  <c r="Q83" i="1"/>
  <c r="R83" i="1" s="1"/>
  <c r="S83" i="1" s="1"/>
  <c r="Q82" i="1"/>
  <c r="R82" i="1" s="1"/>
  <c r="S82" i="1" s="1"/>
  <c r="Q81" i="1"/>
  <c r="R81" i="1" s="1"/>
  <c r="S81" i="1" s="1"/>
  <c r="R80" i="1"/>
  <c r="S80" i="1" s="1"/>
  <c r="Q80" i="1"/>
  <c r="S79" i="1"/>
  <c r="Q79" i="1"/>
  <c r="R79" i="1" s="1"/>
  <c r="Q78" i="1"/>
  <c r="R78" i="1" s="1"/>
  <c r="S78" i="1" s="1"/>
  <c r="R77" i="1"/>
  <c r="S77" i="1" s="1"/>
  <c r="Q77" i="1"/>
  <c r="Q76" i="1"/>
  <c r="R76" i="1" s="1"/>
  <c r="S76" i="1" s="1"/>
  <c r="Q75" i="1"/>
  <c r="R75" i="1" s="1"/>
  <c r="S75" i="1" s="1"/>
  <c r="Q74" i="1"/>
  <c r="R74" i="1" s="1"/>
  <c r="S74" i="1" s="1"/>
  <c r="Q73" i="1"/>
  <c r="R73" i="1" s="1"/>
  <c r="S73" i="1" s="1"/>
  <c r="R72" i="1"/>
  <c r="S72" i="1" s="1"/>
  <c r="Q72" i="1"/>
  <c r="S71" i="1"/>
  <c r="Q71" i="1"/>
  <c r="R71" i="1" s="1"/>
  <c r="Q70" i="1"/>
  <c r="R70" i="1" s="1"/>
  <c r="S70" i="1" s="1"/>
  <c r="R69" i="1"/>
  <c r="S69" i="1" s="1"/>
  <c r="Q69" i="1"/>
  <c r="Q68" i="1"/>
  <c r="R68" i="1" s="1"/>
  <c r="S68" i="1" s="1"/>
  <c r="Q67" i="1"/>
  <c r="R67" i="1" s="1"/>
  <c r="S67" i="1" s="1"/>
  <c r="Q66" i="1"/>
  <c r="R66" i="1" s="1"/>
  <c r="S66" i="1" s="1"/>
  <c r="Q65" i="1"/>
  <c r="R65" i="1" s="1"/>
  <c r="S65" i="1" s="1"/>
  <c r="R64" i="1"/>
  <c r="S64" i="1" s="1"/>
  <c r="Q64" i="1"/>
  <c r="Q63" i="1"/>
  <c r="R63" i="1" s="1"/>
  <c r="S63" i="1" s="1"/>
  <c r="Q62" i="1"/>
  <c r="R62" i="1" s="1"/>
  <c r="S62" i="1" s="1"/>
  <c r="R61" i="1"/>
  <c r="S61" i="1" s="1"/>
  <c r="Q61" i="1"/>
  <c r="Q60" i="1"/>
  <c r="R60" i="1" s="1"/>
  <c r="S60" i="1" s="1"/>
  <c r="Q59" i="1"/>
  <c r="R59" i="1" s="1"/>
  <c r="S59" i="1" s="1"/>
  <c r="Q58" i="1"/>
  <c r="R58" i="1" s="1"/>
  <c r="S58" i="1" s="1"/>
  <c r="Q57" i="1"/>
  <c r="R57" i="1" s="1"/>
  <c r="S57" i="1" s="1"/>
  <c r="R56" i="1"/>
  <c r="S56" i="1" s="1"/>
  <c r="Q56" i="1"/>
  <c r="Q55" i="1"/>
  <c r="R55" i="1" s="1"/>
  <c r="S55" i="1" s="1"/>
  <c r="Q54" i="1"/>
  <c r="R54" i="1" s="1"/>
  <c r="S54" i="1" s="1"/>
  <c r="R53" i="1"/>
  <c r="S53" i="1" s="1"/>
  <c r="Q53" i="1"/>
  <c r="Q52" i="1"/>
  <c r="R52" i="1" s="1"/>
  <c r="S52" i="1" s="1"/>
  <c r="Q51" i="1"/>
  <c r="R51" i="1" s="1"/>
  <c r="S51" i="1" s="1"/>
  <c r="Q50" i="1"/>
  <c r="R50" i="1" s="1"/>
  <c r="S50" i="1" s="1"/>
  <c r="Q49" i="1"/>
  <c r="R49" i="1" s="1"/>
  <c r="S49" i="1" s="1"/>
  <c r="R48" i="1"/>
  <c r="S48" i="1" s="1"/>
  <c r="Q48" i="1"/>
  <c r="Q47" i="1"/>
  <c r="R47" i="1" s="1"/>
  <c r="S47" i="1" s="1"/>
  <c r="Q46" i="1"/>
  <c r="R46" i="1" s="1"/>
  <c r="S46" i="1" s="1"/>
  <c r="R45" i="1"/>
  <c r="S45" i="1" s="1"/>
  <c r="Q45" i="1"/>
  <c r="Q44" i="1"/>
  <c r="R44" i="1" s="1"/>
  <c r="S44" i="1" s="1"/>
  <c r="Q43" i="1"/>
  <c r="R43" i="1" s="1"/>
  <c r="S43" i="1" s="1"/>
  <c r="Q42" i="1"/>
  <c r="R42" i="1" s="1"/>
  <c r="S42" i="1" s="1"/>
  <c r="Q41" i="1"/>
  <c r="R41" i="1" s="1"/>
  <c r="S41" i="1" s="1"/>
  <c r="R40" i="1"/>
  <c r="S40" i="1" s="1"/>
  <c r="Q40" i="1"/>
  <c r="Q39" i="1"/>
  <c r="R39" i="1" s="1"/>
  <c r="S39" i="1" s="1"/>
  <c r="Q38" i="1"/>
  <c r="R38" i="1" s="1"/>
  <c r="S38" i="1" s="1"/>
  <c r="R37" i="1"/>
  <c r="S37" i="1" s="1"/>
  <c r="Q37" i="1"/>
  <c r="Q36" i="1"/>
  <c r="R36" i="1" s="1"/>
  <c r="S36" i="1" s="1"/>
  <c r="Q35" i="1"/>
  <c r="R35" i="1" s="1"/>
  <c r="S35" i="1" s="1"/>
  <c r="Q34" i="1"/>
  <c r="R34" i="1" s="1"/>
  <c r="S34" i="1" s="1"/>
  <c r="Q33" i="1"/>
  <c r="R33" i="1" s="1"/>
  <c r="S33" i="1" s="1"/>
  <c r="R32" i="1"/>
  <c r="S32" i="1" s="1"/>
  <c r="Q32" i="1"/>
  <c r="Q31" i="1"/>
  <c r="R31" i="1" s="1"/>
  <c r="S31" i="1" s="1"/>
  <c r="Q30" i="1"/>
  <c r="R30" i="1" s="1"/>
  <c r="S30" i="1" s="1"/>
  <c r="R29" i="1"/>
  <c r="S29" i="1" s="1"/>
  <c r="Q29" i="1"/>
  <c r="Q28" i="1"/>
  <c r="R28" i="1" s="1"/>
  <c r="S28" i="1" s="1"/>
  <c r="Q27" i="1"/>
  <c r="R27" i="1" s="1"/>
  <c r="S27" i="1" s="1"/>
  <c r="Q26" i="1"/>
  <c r="R26" i="1" s="1"/>
  <c r="S26" i="1" s="1"/>
  <c r="Q25" i="1"/>
  <c r="R25" i="1" s="1"/>
  <c r="S25" i="1" s="1"/>
  <c r="R24" i="1"/>
  <c r="S24" i="1" s="1"/>
  <c r="Q24" i="1"/>
  <c r="Q23" i="1"/>
  <c r="R23" i="1" s="1"/>
  <c r="S23" i="1" s="1"/>
  <c r="Q22" i="1"/>
  <c r="R22" i="1" s="1"/>
  <c r="S22" i="1" s="1"/>
  <c r="R21" i="1"/>
  <c r="S21" i="1" s="1"/>
  <c r="Q21" i="1"/>
  <c r="Q20" i="1"/>
  <c r="R20" i="1" s="1"/>
  <c r="S20" i="1" s="1"/>
  <c r="Q19" i="1"/>
  <c r="R19" i="1" s="1"/>
  <c r="S19" i="1" s="1"/>
  <c r="R18" i="1"/>
  <c r="S18" i="1" s="1"/>
  <c r="Q18" i="1"/>
  <c r="S17" i="1"/>
  <c r="R17" i="1"/>
  <c r="R16" i="1"/>
  <c r="S16" i="1" s="1"/>
  <c r="R15" i="1"/>
  <c r="S15" i="1" s="1"/>
  <c r="R14" i="1"/>
  <c r="S14" i="1" s="1"/>
  <c r="I14" i="1"/>
  <c r="R13" i="1"/>
  <c r="S13" i="1" s="1"/>
  <c r="Z12" i="1"/>
  <c r="S12" i="1"/>
  <c r="R12" i="1"/>
  <c r="I12" i="1"/>
  <c r="R11" i="1"/>
  <c r="S11" i="1" s="1"/>
  <c r="R10" i="1"/>
  <c r="S10" i="1" s="1"/>
  <c r="K10" i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2" i="1" s="1"/>
  <c r="K313" i="1" s="1"/>
  <c r="K314" i="1" s="1"/>
  <c r="K315" i="1" s="1"/>
  <c r="I10" i="1"/>
  <c r="X9" i="1"/>
  <c r="X10" i="1" s="1"/>
  <c r="X11" i="1" s="1"/>
  <c r="X12" i="1" s="1"/>
  <c r="X13" i="1" s="1"/>
  <c r="X14" i="1" s="1"/>
  <c r="X15" i="1" s="1"/>
  <c r="X16" i="1" s="1"/>
  <c r="X17" i="1" s="1"/>
  <c r="X18" i="1" s="1"/>
  <c r="X19" i="1" s="1"/>
  <c r="X20" i="1" s="1"/>
  <c r="X21" i="1" s="1"/>
  <c r="X22" i="1" s="1"/>
  <c r="X23" i="1" s="1"/>
  <c r="X24" i="1" s="1"/>
  <c r="X25" i="1" s="1"/>
  <c r="X26" i="1" s="1"/>
  <c r="X27" i="1" s="1"/>
  <c r="X28" i="1" s="1"/>
  <c r="X29" i="1" s="1"/>
  <c r="X30" i="1" s="1"/>
  <c r="X31" i="1" s="1"/>
  <c r="X32" i="1" s="1"/>
  <c r="X33" i="1" s="1"/>
  <c r="X34" i="1" s="1"/>
  <c r="X35" i="1" s="1"/>
  <c r="X36" i="1" s="1"/>
  <c r="X37" i="1" s="1"/>
  <c r="X38" i="1" s="1"/>
  <c r="X39" i="1" s="1"/>
  <c r="X40" i="1" s="1"/>
  <c r="X41" i="1" s="1"/>
  <c r="X42" i="1" s="1"/>
  <c r="X43" i="1" s="1"/>
  <c r="X44" i="1" s="1"/>
  <c r="X45" i="1" s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X56" i="1" s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X120" i="1" s="1"/>
  <c r="X121" i="1" s="1"/>
  <c r="X122" i="1" s="1"/>
  <c r="X123" i="1" s="1"/>
  <c r="X124" i="1" s="1"/>
  <c r="X125" i="1" s="1"/>
  <c r="X126" i="1" s="1"/>
  <c r="X127" i="1" s="1"/>
  <c r="X128" i="1" s="1"/>
  <c r="X129" i="1" s="1"/>
  <c r="X130" i="1" s="1"/>
  <c r="X131" i="1" s="1"/>
  <c r="X132" i="1" s="1"/>
  <c r="X133" i="1" s="1"/>
  <c r="X134" i="1" s="1"/>
  <c r="X135" i="1" s="1"/>
  <c r="X136" i="1" s="1"/>
  <c r="X137" i="1" s="1"/>
  <c r="X138" i="1" s="1"/>
  <c r="X139" i="1" s="1"/>
  <c r="X140" i="1" s="1"/>
  <c r="X141" i="1" s="1"/>
  <c r="X142" i="1" s="1"/>
  <c r="X143" i="1" s="1"/>
  <c r="X144" i="1" s="1"/>
  <c r="X145" i="1" s="1"/>
  <c r="X146" i="1" s="1"/>
  <c r="X147" i="1" s="1"/>
  <c r="X148" i="1" s="1"/>
  <c r="X149" i="1" s="1"/>
  <c r="X150" i="1" s="1"/>
  <c r="X151" i="1" s="1"/>
  <c r="X152" i="1" s="1"/>
  <c r="X153" i="1" s="1"/>
  <c r="X154" i="1" s="1"/>
  <c r="X155" i="1" s="1"/>
  <c r="X156" i="1" s="1"/>
  <c r="X157" i="1" s="1"/>
  <c r="X158" i="1" s="1"/>
  <c r="X159" i="1" s="1"/>
  <c r="X160" i="1" s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X171" i="1" s="1"/>
  <c r="X172" i="1" s="1"/>
  <c r="X173" i="1" s="1"/>
  <c r="X174" i="1" s="1"/>
  <c r="X175" i="1" s="1"/>
  <c r="X176" i="1" s="1"/>
  <c r="X177" i="1" s="1"/>
  <c r="X178" i="1" s="1"/>
  <c r="X179" i="1" s="1"/>
  <c r="X180" i="1" s="1"/>
  <c r="X181" i="1" s="1"/>
  <c r="X182" i="1" s="1"/>
  <c r="X183" i="1" s="1"/>
  <c r="X184" i="1" s="1"/>
  <c r="X185" i="1" s="1"/>
  <c r="X186" i="1" s="1"/>
  <c r="X187" i="1" s="1"/>
  <c r="X188" i="1" s="1"/>
  <c r="X189" i="1" s="1"/>
  <c r="X190" i="1" s="1"/>
  <c r="X191" i="1" s="1"/>
  <c r="X192" i="1" s="1"/>
  <c r="X193" i="1" s="1"/>
  <c r="X194" i="1" s="1"/>
  <c r="X195" i="1" s="1"/>
  <c r="X196" i="1" s="1"/>
  <c r="X197" i="1" s="1"/>
  <c r="X198" i="1" s="1"/>
  <c r="X199" i="1" s="1"/>
  <c r="X200" i="1" s="1"/>
  <c r="X201" i="1" s="1"/>
  <c r="X202" i="1" s="1"/>
  <c r="X203" i="1" s="1"/>
  <c r="X204" i="1" s="1"/>
  <c r="X205" i="1" s="1"/>
  <c r="X206" i="1" s="1"/>
  <c r="X207" i="1" s="1"/>
  <c r="X208" i="1" s="1"/>
  <c r="X209" i="1" s="1"/>
  <c r="X210" i="1" s="1"/>
  <c r="X211" i="1" s="1"/>
  <c r="X212" i="1" s="1"/>
  <c r="X213" i="1" s="1"/>
  <c r="X214" i="1" s="1"/>
  <c r="X215" i="1" s="1"/>
  <c r="X216" i="1" s="1"/>
  <c r="X217" i="1" s="1"/>
  <c r="X218" i="1" s="1"/>
  <c r="X219" i="1" s="1"/>
  <c r="X220" i="1" s="1"/>
  <c r="X221" i="1" s="1"/>
  <c r="X222" i="1" s="1"/>
  <c r="X223" i="1" s="1"/>
  <c r="X224" i="1" s="1"/>
  <c r="X225" i="1" s="1"/>
  <c r="X226" i="1" s="1"/>
  <c r="X227" i="1" s="1"/>
  <c r="X228" i="1" s="1"/>
  <c r="X229" i="1" s="1"/>
  <c r="X230" i="1" s="1"/>
  <c r="X231" i="1" s="1"/>
  <c r="X232" i="1" s="1"/>
  <c r="X233" i="1" s="1"/>
  <c r="X234" i="1" s="1"/>
  <c r="X235" i="1" s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8" i="1" s="1"/>
  <c r="X249" i="1" s="1"/>
  <c r="X250" i="1" s="1"/>
  <c r="X251" i="1" s="1"/>
  <c r="X252" i="1" s="1"/>
  <c r="X253" i="1" s="1"/>
  <c r="X254" i="1" s="1"/>
  <c r="X255" i="1" s="1"/>
  <c r="X256" i="1" s="1"/>
  <c r="X257" i="1" s="1"/>
  <c r="X258" i="1" s="1"/>
  <c r="X259" i="1" s="1"/>
  <c r="X260" i="1" s="1"/>
  <c r="X261" i="1" s="1"/>
  <c r="X262" i="1" s="1"/>
  <c r="X263" i="1" s="1"/>
  <c r="X264" i="1" s="1"/>
  <c r="X265" i="1" s="1"/>
  <c r="X266" i="1" s="1"/>
  <c r="X267" i="1" s="1"/>
  <c r="X268" i="1" s="1"/>
  <c r="X269" i="1" s="1"/>
  <c r="X270" i="1" s="1"/>
  <c r="X271" i="1" s="1"/>
  <c r="X272" i="1" s="1"/>
  <c r="X273" i="1" s="1"/>
  <c r="X274" i="1" s="1"/>
  <c r="X275" i="1" s="1"/>
  <c r="X276" i="1" s="1"/>
  <c r="X277" i="1" s="1"/>
  <c r="X278" i="1" s="1"/>
  <c r="X279" i="1" s="1"/>
  <c r="X280" i="1" s="1"/>
  <c r="X281" i="1" s="1"/>
  <c r="X282" i="1" s="1"/>
  <c r="X283" i="1" s="1"/>
  <c r="X284" i="1" s="1"/>
  <c r="X285" i="1" s="1"/>
  <c r="X286" i="1" s="1"/>
  <c r="X287" i="1" s="1"/>
  <c r="X288" i="1" s="1"/>
  <c r="X289" i="1" s="1"/>
  <c r="X290" i="1" s="1"/>
  <c r="X291" i="1" s="1"/>
  <c r="X292" i="1" s="1"/>
  <c r="X293" i="1" s="1"/>
  <c r="X294" i="1" s="1"/>
  <c r="X295" i="1" s="1"/>
  <c r="X296" i="1" s="1"/>
  <c r="X297" i="1" s="1"/>
  <c r="X298" i="1" s="1"/>
  <c r="X299" i="1" s="1"/>
  <c r="X300" i="1" s="1"/>
  <c r="X301" i="1" s="1"/>
  <c r="X302" i="1" s="1"/>
  <c r="X303" i="1" s="1"/>
  <c r="X304" i="1" s="1"/>
  <c r="X305" i="1" s="1"/>
  <c r="X306" i="1" s="1"/>
  <c r="X307" i="1" s="1"/>
  <c r="X308" i="1" s="1"/>
  <c r="X309" i="1" s="1"/>
  <c r="X310" i="1" s="1"/>
  <c r="X311" i="1" s="1"/>
  <c r="X312" i="1" s="1"/>
  <c r="X313" i="1" s="1"/>
  <c r="X314" i="1" s="1"/>
  <c r="X315" i="1" s="1"/>
  <c r="R9" i="1"/>
  <c r="S9" i="1" s="1"/>
  <c r="T9" i="1" s="1"/>
  <c r="O9" i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O27" i="1" s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O49" i="1" s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O69" i="1" s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O85" i="1" s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O107" i="1" s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O130" i="1" s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O149" i="1" s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O165" i="1" s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M9" i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K9" i="1"/>
  <c r="G9" i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G125" i="1" s="1"/>
  <c r="G126" i="1" s="1"/>
  <c r="G127" i="1" s="1"/>
  <c r="G128" i="1" s="1"/>
  <c r="G129" i="1" s="1"/>
  <c r="G130" i="1" s="1"/>
  <c r="G131" i="1" s="1"/>
  <c r="G132" i="1" s="1"/>
  <c r="G133" i="1" s="1"/>
  <c r="G134" i="1" s="1"/>
  <c r="G135" i="1" s="1"/>
  <c r="G136" i="1" s="1"/>
  <c r="G137" i="1" s="1"/>
  <c r="G138" i="1" s="1"/>
  <c r="G139" i="1" s="1"/>
  <c r="G140" i="1" s="1"/>
  <c r="G141" i="1" s="1"/>
  <c r="G142" i="1" s="1"/>
  <c r="G143" i="1" s="1"/>
  <c r="G144" i="1" s="1"/>
  <c r="G145" i="1" s="1"/>
  <c r="G146" i="1" s="1"/>
  <c r="G147" i="1" s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G158" i="1" s="1"/>
  <c r="G159" i="1" s="1"/>
  <c r="G160" i="1" s="1"/>
  <c r="G161" i="1" s="1"/>
  <c r="G162" i="1" s="1"/>
  <c r="G163" i="1" s="1"/>
  <c r="G164" i="1" s="1"/>
  <c r="G165" i="1" s="1"/>
  <c r="G166" i="1" s="1"/>
  <c r="G167" i="1" s="1"/>
  <c r="G168" i="1" s="1"/>
  <c r="G169" i="1" s="1"/>
  <c r="G170" i="1" s="1"/>
  <c r="G171" i="1" s="1"/>
  <c r="G172" i="1" s="1"/>
  <c r="G173" i="1" s="1"/>
  <c r="G174" i="1" s="1"/>
  <c r="G175" i="1" s="1"/>
  <c r="G176" i="1" s="1"/>
  <c r="G177" i="1" s="1"/>
  <c r="G178" i="1" s="1"/>
  <c r="G179" i="1" s="1"/>
  <c r="G180" i="1" s="1"/>
  <c r="G181" i="1" s="1"/>
  <c r="G182" i="1" s="1"/>
  <c r="G183" i="1" s="1"/>
  <c r="G184" i="1" s="1"/>
  <c r="G185" i="1" s="1"/>
  <c r="G186" i="1" s="1"/>
  <c r="G187" i="1" s="1"/>
  <c r="G188" i="1" s="1"/>
  <c r="G189" i="1" s="1"/>
  <c r="G190" i="1" s="1"/>
  <c r="G191" i="1" s="1"/>
  <c r="G192" i="1" s="1"/>
  <c r="G193" i="1" s="1"/>
  <c r="G194" i="1" s="1"/>
  <c r="G195" i="1" s="1"/>
  <c r="G196" i="1" s="1"/>
  <c r="G197" i="1" s="1"/>
  <c r="G198" i="1" s="1"/>
  <c r="G199" i="1" s="1"/>
  <c r="G200" i="1" s="1"/>
  <c r="G201" i="1" s="1"/>
  <c r="G202" i="1" s="1"/>
  <c r="G203" i="1" s="1"/>
  <c r="G204" i="1" s="1"/>
  <c r="G205" i="1" s="1"/>
  <c r="G206" i="1" s="1"/>
  <c r="G207" i="1" s="1"/>
  <c r="G208" i="1" s="1"/>
  <c r="G209" i="1" s="1"/>
  <c r="G210" i="1" s="1"/>
  <c r="G211" i="1" s="1"/>
  <c r="G212" i="1" s="1"/>
  <c r="G213" i="1" s="1"/>
  <c r="G214" i="1" s="1"/>
  <c r="G215" i="1" s="1"/>
  <c r="G216" i="1" s="1"/>
  <c r="G217" i="1" s="1"/>
  <c r="G218" i="1" s="1"/>
  <c r="G219" i="1" s="1"/>
  <c r="G220" i="1" s="1"/>
  <c r="G221" i="1" s="1"/>
  <c r="G222" i="1" s="1"/>
  <c r="G223" i="1" s="1"/>
  <c r="G224" i="1" s="1"/>
  <c r="G225" i="1" s="1"/>
  <c r="G226" i="1" s="1"/>
  <c r="G227" i="1" s="1"/>
  <c r="G228" i="1" s="1"/>
  <c r="G229" i="1" s="1"/>
  <c r="G230" i="1" s="1"/>
  <c r="G231" i="1" s="1"/>
  <c r="G232" i="1" s="1"/>
  <c r="G233" i="1" s="1"/>
  <c r="G234" i="1" s="1"/>
  <c r="G235" i="1" s="1"/>
  <c r="G236" i="1" s="1"/>
  <c r="G237" i="1" s="1"/>
  <c r="G238" i="1" s="1"/>
  <c r="G239" i="1" s="1"/>
  <c r="G240" i="1" s="1"/>
  <c r="G241" i="1" s="1"/>
  <c r="G242" i="1" s="1"/>
  <c r="G243" i="1" s="1"/>
  <c r="G244" i="1" s="1"/>
  <c r="G245" i="1" s="1"/>
  <c r="G246" i="1" s="1"/>
  <c r="G247" i="1" s="1"/>
  <c r="G248" i="1" s="1"/>
  <c r="G249" i="1" s="1"/>
  <c r="G250" i="1" s="1"/>
  <c r="G251" i="1" s="1"/>
  <c r="G252" i="1" s="1"/>
  <c r="G253" i="1" s="1"/>
  <c r="G254" i="1" s="1"/>
  <c r="G255" i="1" s="1"/>
  <c r="G256" i="1" s="1"/>
  <c r="G257" i="1" s="1"/>
  <c r="G258" i="1" s="1"/>
  <c r="G259" i="1" s="1"/>
  <c r="G260" i="1" s="1"/>
  <c r="G261" i="1" s="1"/>
  <c r="G262" i="1" s="1"/>
  <c r="G263" i="1" s="1"/>
  <c r="G264" i="1" s="1"/>
  <c r="G265" i="1" s="1"/>
  <c r="G266" i="1" s="1"/>
  <c r="G267" i="1" s="1"/>
  <c r="G268" i="1" s="1"/>
  <c r="G269" i="1" s="1"/>
  <c r="G270" i="1" s="1"/>
  <c r="G271" i="1" s="1"/>
  <c r="G272" i="1" s="1"/>
  <c r="G273" i="1" s="1"/>
  <c r="G274" i="1" s="1"/>
  <c r="G275" i="1" s="1"/>
  <c r="G276" i="1" s="1"/>
  <c r="G277" i="1" s="1"/>
  <c r="G278" i="1" s="1"/>
  <c r="G279" i="1" s="1"/>
  <c r="G280" i="1" s="1"/>
  <c r="G281" i="1" s="1"/>
  <c r="G282" i="1" s="1"/>
  <c r="G283" i="1" s="1"/>
  <c r="G284" i="1" s="1"/>
  <c r="G285" i="1" s="1"/>
  <c r="G286" i="1" s="1"/>
  <c r="G287" i="1" s="1"/>
  <c r="G288" i="1" s="1"/>
  <c r="G289" i="1" s="1"/>
  <c r="G290" i="1" s="1"/>
  <c r="G291" i="1" s="1"/>
  <c r="G292" i="1" s="1"/>
  <c r="G293" i="1" s="1"/>
  <c r="G294" i="1" s="1"/>
  <c r="G295" i="1" s="1"/>
  <c r="G296" i="1" s="1"/>
  <c r="G297" i="1" s="1"/>
  <c r="G298" i="1" s="1"/>
  <c r="G299" i="1" s="1"/>
  <c r="G300" i="1" s="1"/>
  <c r="G301" i="1" s="1"/>
  <c r="G302" i="1" s="1"/>
  <c r="G303" i="1" s="1"/>
  <c r="G304" i="1" s="1"/>
  <c r="G305" i="1" s="1"/>
  <c r="G306" i="1" s="1"/>
  <c r="G307" i="1" s="1"/>
  <c r="G308" i="1" s="1"/>
  <c r="G309" i="1" s="1"/>
  <c r="G310" i="1" s="1"/>
  <c r="G311" i="1" s="1"/>
  <c r="G312" i="1" s="1"/>
  <c r="G313" i="1" s="1"/>
  <c r="G314" i="1" s="1"/>
  <c r="G315" i="1" s="1"/>
  <c r="T10" i="1" l="1"/>
  <c r="T11" i="1" s="1"/>
  <c r="T12" i="1" s="1"/>
  <c r="T13" i="1" s="1"/>
  <c r="T14" i="1" s="1"/>
  <c r="T15" i="1" s="1"/>
  <c r="T16" i="1" s="1"/>
  <c r="T17" i="1" s="1"/>
  <c r="T18" i="1" s="1"/>
  <c r="T19" i="1" s="1"/>
  <c r="T20" i="1" s="1"/>
  <c r="T21" i="1" s="1"/>
  <c r="T22" i="1" s="1"/>
  <c r="T23" i="1" s="1"/>
  <c r="T24" i="1" s="1"/>
  <c r="T25" i="1" s="1"/>
  <c r="T26" i="1" s="1"/>
  <c r="T27" i="1" s="1"/>
  <c r="T28" i="1" s="1"/>
  <c r="T29" i="1" s="1"/>
  <c r="T30" i="1" s="1"/>
  <c r="T31" i="1" s="1"/>
  <c r="T32" i="1" s="1"/>
  <c r="T33" i="1" s="1"/>
  <c r="T34" i="1" s="1"/>
  <c r="T35" i="1" s="1"/>
  <c r="T36" i="1" s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T95" i="1" s="1"/>
  <c r="T96" i="1" s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T114" i="1" s="1"/>
  <c r="T115" i="1" s="1"/>
  <c r="T116" i="1" s="1"/>
  <c r="T117" i="1" s="1"/>
  <c r="T118" i="1" s="1"/>
  <c r="T119" i="1" s="1"/>
  <c r="T120" i="1" s="1"/>
  <c r="T121" i="1" s="1"/>
  <c r="T122" i="1" s="1"/>
  <c r="T123" i="1" s="1"/>
  <c r="T124" i="1" s="1"/>
  <c r="T125" i="1" s="1"/>
  <c r="T126" i="1" s="1"/>
  <c r="T127" i="1" s="1"/>
  <c r="T128" i="1" s="1"/>
  <c r="T129" i="1" s="1"/>
  <c r="T130" i="1" s="1"/>
  <c r="T131" i="1" s="1"/>
  <c r="T132" i="1" s="1"/>
  <c r="T133" i="1" s="1"/>
  <c r="T134" i="1" s="1"/>
  <c r="T135" i="1" s="1"/>
  <c r="T136" i="1" l="1"/>
  <c r="T137" i="1" s="1"/>
  <c r="T138" i="1" s="1"/>
  <c r="T139" i="1" s="1"/>
  <c r="T140" i="1" s="1"/>
  <c r="T141" i="1" s="1"/>
  <c r="T142" i="1" s="1"/>
  <c r="T143" i="1" s="1"/>
  <c r="T144" i="1" s="1"/>
  <c r="T145" i="1" s="1"/>
  <c r="T146" i="1" s="1"/>
  <c r="T147" i="1" s="1"/>
  <c r="U16" i="1"/>
  <c r="U20" i="1"/>
  <c r="U18" i="1"/>
  <c r="T148" i="1" l="1"/>
  <c r="T149" i="1" s="1"/>
  <c r="T150" i="1" s="1"/>
  <c r="T151" i="1" s="1"/>
  <c r="T152" i="1" s="1"/>
  <c r="T153" i="1" s="1"/>
  <c r="T154" i="1" s="1"/>
  <c r="T155" i="1" s="1"/>
  <c r="T156" i="1" s="1"/>
  <c r="T157" i="1" s="1"/>
  <c r="T158" i="1" s="1"/>
  <c r="T159" i="1" s="1"/>
  <c r="T160" i="1" s="1"/>
  <c r="T161" i="1" s="1"/>
  <c r="T162" i="1" s="1"/>
  <c r="T163" i="1" s="1"/>
  <c r="T164" i="1" s="1"/>
  <c r="T165" i="1" s="1"/>
  <c r="T166" i="1" s="1"/>
  <c r="T167" i="1" s="1"/>
  <c r="T168" i="1" s="1"/>
  <c r="T169" i="1" s="1"/>
  <c r="T170" i="1" s="1"/>
  <c r="T171" i="1" s="1"/>
  <c r="T172" i="1" s="1"/>
  <c r="T173" i="1" s="1"/>
  <c r="T174" i="1" s="1"/>
  <c r="T175" i="1" s="1"/>
  <c r="T176" i="1" s="1"/>
  <c r="T177" i="1" s="1"/>
  <c r="T178" i="1" s="1"/>
  <c r="T179" i="1" s="1"/>
  <c r="T180" i="1" s="1"/>
  <c r="T181" i="1" s="1"/>
  <c r="T182" i="1" s="1"/>
  <c r="T183" i="1" s="1"/>
  <c r="T184" i="1" s="1"/>
  <c r="T185" i="1" s="1"/>
  <c r="T186" i="1" s="1"/>
  <c r="T187" i="1" s="1"/>
  <c r="T188" i="1" s="1"/>
  <c r="T189" i="1" s="1"/>
  <c r="T190" i="1" s="1"/>
  <c r="T191" i="1" s="1"/>
  <c r="T192" i="1" s="1"/>
  <c r="T193" i="1" s="1"/>
  <c r="T194" i="1" s="1"/>
  <c r="T195" i="1" s="1"/>
  <c r="T196" i="1" s="1"/>
  <c r="T197" i="1" s="1"/>
  <c r="T198" i="1" s="1"/>
  <c r="T199" i="1" s="1"/>
  <c r="T200" i="1" s="1"/>
  <c r="T201" i="1" s="1"/>
  <c r="T202" i="1" s="1"/>
  <c r="T203" i="1" s="1"/>
  <c r="T204" i="1" s="1"/>
  <c r="U142" i="1"/>
  <c r="U146" i="1"/>
  <c r="U144" i="1"/>
  <c r="U161" i="1" l="1"/>
  <c r="U159" i="1"/>
  <c r="T205" i="1"/>
  <c r="T206" i="1" s="1"/>
  <c r="T207" i="1" s="1"/>
  <c r="T208" i="1" s="1"/>
  <c r="T209" i="1" s="1"/>
  <c r="T210" i="1" s="1"/>
  <c r="T211" i="1" s="1"/>
  <c r="T212" i="1" s="1"/>
  <c r="T213" i="1" s="1"/>
  <c r="T214" i="1" s="1"/>
  <c r="T215" i="1" s="1"/>
  <c r="T216" i="1" s="1"/>
  <c r="T217" i="1" s="1"/>
  <c r="T218" i="1" s="1"/>
  <c r="T219" i="1" s="1"/>
  <c r="T220" i="1" s="1"/>
  <c r="T221" i="1" s="1"/>
  <c r="T222" i="1" s="1"/>
  <c r="T223" i="1" s="1"/>
  <c r="T224" i="1" s="1"/>
  <c r="T225" i="1" s="1"/>
  <c r="U163" i="1"/>
  <c r="U213" i="1" l="1"/>
  <c r="U211" i="1"/>
  <c r="T226" i="1"/>
  <c r="T227" i="1" s="1"/>
  <c r="T228" i="1" s="1"/>
  <c r="T229" i="1" s="1"/>
  <c r="T230" i="1" s="1"/>
  <c r="T231" i="1" s="1"/>
  <c r="T232" i="1" s="1"/>
  <c r="T233" i="1" s="1"/>
  <c r="T234" i="1" s="1"/>
  <c r="T235" i="1" s="1"/>
  <c r="T236" i="1" s="1"/>
  <c r="T237" i="1" s="1"/>
  <c r="T238" i="1" s="1"/>
  <c r="T239" i="1" s="1"/>
  <c r="T240" i="1" s="1"/>
  <c r="T241" i="1" s="1"/>
  <c r="T242" i="1" s="1"/>
  <c r="T243" i="1" s="1"/>
  <c r="T244" i="1" s="1"/>
  <c r="T245" i="1" s="1"/>
  <c r="T246" i="1" s="1"/>
  <c r="T247" i="1" s="1"/>
  <c r="T248" i="1" s="1"/>
  <c r="T249" i="1" s="1"/>
  <c r="T250" i="1" s="1"/>
  <c r="T251" i="1" s="1"/>
  <c r="T252" i="1" s="1"/>
  <c r="T253" i="1" s="1"/>
  <c r="T254" i="1" s="1"/>
  <c r="U215" i="1"/>
  <c r="T255" i="1" l="1"/>
  <c r="T256" i="1" s="1"/>
  <c r="T257" i="1" s="1"/>
  <c r="T258" i="1" s="1"/>
  <c r="T259" i="1" s="1"/>
  <c r="T260" i="1" s="1"/>
  <c r="T261" i="1" s="1"/>
  <c r="T262" i="1" s="1"/>
  <c r="T263" i="1" s="1"/>
  <c r="T264" i="1" s="1"/>
  <c r="T265" i="1" s="1"/>
  <c r="T266" i="1" s="1"/>
  <c r="T267" i="1" s="1"/>
  <c r="T268" i="1" s="1"/>
  <c r="T269" i="1" s="1"/>
  <c r="T270" i="1" s="1"/>
  <c r="T271" i="1" s="1"/>
  <c r="T272" i="1" s="1"/>
  <c r="T273" i="1" s="1"/>
  <c r="T274" i="1" s="1"/>
  <c r="T275" i="1" s="1"/>
  <c r="T276" i="1" s="1"/>
  <c r="U232" i="1"/>
  <c r="U234" i="1"/>
  <c r="U236" i="1"/>
  <c r="T277" i="1" l="1"/>
  <c r="T278" i="1" s="1"/>
  <c r="T279" i="1" s="1"/>
  <c r="T280" i="1" s="1"/>
  <c r="T281" i="1" s="1"/>
  <c r="T282" i="1" s="1"/>
  <c r="T283" i="1" s="1"/>
  <c r="T284" i="1" s="1"/>
  <c r="T285" i="1" s="1"/>
  <c r="T286" i="1" s="1"/>
  <c r="T287" i="1" s="1"/>
  <c r="T288" i="1" s="1"/>
  <c r="T289" i="1" s="1"/>
  <c r="T290" i="1" s="1"/>
  <c r="T291" i="1" s="1"/>
  <c r="T292" i="1" s="1"/>
  <c r="T293" i="1" s="1"/>
  <c r="T294" i="1" s="1"/>
  <c r="T295" i="1" s="1"/>
  <c r="T296" i="1" s="1"/>
  <c r="T297" i="1" s="1"/>
  <c r="T298" i="1" s="1"/>
  <c r="T299" i="1" s="1"/>
  <c r="T300" i="1" s="1"/>
  <c r="T301" i="1" s="1"/>
  <c r="T302" i="1" s="1"/>
  <c r="T303" i="1" s="1"/>
  <c r="T304" i="1" s="1"/>
  <c r="T305" i="1" s="1"/>
  <c r="T306" i="1" s="1"/>
  <c r="T307" i="1" s="1"/>
  <c r="T308" i="1" s="1"/>
  <c r="T309" i="1" s="1"/>
  <c r="T310" i="1" s="1"/>
  <c r="T311" i="1" s="1"/>
  <c r="T312" i="1" s="1"/>
  <c r="T313" i="1" s="1"/>
  <c r="T314" i="1" s="1"/>
  <c r="T315" i="1" s="1"/>
  <c r="U261" i="1"/>
  <c r="U265" i="1"/>
  <c r="U263" i="1"/>
  <c r="U285" i="1" l="1"/>
  <c r="U287" i="1"/>
  <c r="U283" i="1"/>
</calcChain>
</file>

<file path=xl/sharedStrings.xml><?xml version="1.0" encoding="utf-8"?>
<sst xmlns="http://schemas.openxmlformats.org/spreadsheetml/2006/main" count="126" uniqueCount="30">
  <si>
    <t>SEMIS INRA16</t>
  </si>
  <si>
    <t>AUTOMNE</t>
  </si>
  <si>
    <t>Tmin</t>
  </si>
  <si>
    <t>nbj_sec</t>
  </si>
  <si>
    <t>crg</t>
  </si>
  <si>
    <t>Tmax</t>
  </si>
  <si>
    <t>nbj_water_deficit</t>
  </si>
  <si>
    <t>qpt_p</t>
  </si>
  <si>
    <t>Tmoy</t>
  </si>
  <si>
    <t>nbj_stress_hydro</t>
  </si>
  <si>
    <t>nbj_radinf_900</t>
  </si>
  <si>
    <t>nbj_tgel</t>
  </si>
  <si>
    <t>water_soil_content_min</t>
  </si>
  <si>
    <t>nbj_tsup25</t>
  </si>
  <si>
    <t>water_soil_content_max</t>
  </si>
  <si>
    <t>nbj_tinf5</t>
  </si>
  <si>
    <t>water_soil_content_moy</t>
  </si>
  <si>
    <t>gdd_p</t>
  </si>
  <si>
    <t>HIVER</t>
  </si>
  <si>
    <t>MONTAISON</t>
  </si>
  <si>
    <t>nbj_vern_opti</t>
  </si>
  <si>
    <t>A&amp;M</t>
  </si>
  <si>
    <t>Fin Flo</t>
  </si>
  <si>
    <t>RECOLTE INRA16</t>
  </si>
  <si>
    <t>N70</t>
  </si>
  <si>
    <t>WSC_I</t>
  </si>
  <si>
    <t>BI</t>
  </si>
  <si>
    <t>DRF</t>
  </si>
  <si>
    <t>TS</t>
  </si>
  <si>
    <t>IRF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</si>
</sst>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i/>
      <u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name val="Calibri"/>
      <family val="2"/>
    </font>
    <font>
      <b/>
      <i/>
      <u/>
      <sz val="11"/>
      <color rgb="FFFFC000"/>
      <name val="Calibri"/>
      <family val="2"/>
    </font>
    <font>
      <b/>
      <sz val="11"/>
      <color theme="1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DDD9C4"/>
        <bgColor rgb="FF000000"/>
      </patternFill>
    </fill>
    <fill>
      <patternFill patternType="solid">
        <fgColor rgb="FF0070C0"/>
        <bgColor rgb="FF000000"/>
      </patternFill>
    </fill>
    <fill>
      <patternFill patternType="lightGray">
        <fgColor rgb="FF000000"/>
        <bgColor rgb="FFFFFFFF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E26B0A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3"/>
        <bgColor rgb="FF000000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2" fillId="0" borderId="0" xfId="0" applyFont="1" applyFill="1" applyBorder="1"/>
    <xf numFmtId="0" fontId="3" fillId="0" borderId="0" xfId="0" applyFont="1" applyFill="1" applyBorder="1" applyAlignment="1">
      <alignment horizontal="center" vertical="center"/>
    </xf>
    <xf numFmtId="14" fontId="2" fillId="3" borderId="0" xfId="0" applyNumberFormat="1" applyFont="1" applyFill="1" applyBorder="1"/>
    <xf numFmtId="0" fontId="3" fillId="3" borderId="0" xfId="0" applyFont="1" applyFill="1" applyBorder="1"/>
    <xf numFmtId="164" fontId="2" fillId="0" borderId="0" xfId="0" applyNumberFormat="1" applyFont="1" applyFill="1" applyBorder="1"/>
    <xf numFmtId="0" fontId="2" fillId="4" borderId="0" xfId="0" applyFont="1" applyFill="1" applyBorder="1"/>
    <xf numFmtId="0" fontId="4" fillId="0" borderId="0" xfId="0" applyFont="1" applyFill="1" applyBorder="1"/>
    <xf numFmtId="0" fontId="3" fillId="6" borderId="0" xfId="0" applyFont="1" applyFill="1" applyBorder="1" applyAlignment="1">
      <alignment horizontal="center" vertical="center"/>
    </xf>
    <xf numFmtId="14" fontId="2" fillId="5" borderId="0" xfId="0" applyNumberFormat="1" applyFont="1" applyFill="1" applyBorder="1"/>
    <xf numFmtId="0" fontId="3" fillId="5" borderId="0" xfId="0" applyFont="1" applyFill="1" applyBorder="1"/>
    <xf numFmtId="14" fontId="2" fillId="7" borderId="0" xfId="0" applyNumberFormat="1" applyFont="1" applyFill="1" applyBorder="1"/>
    <xf numFmtId="2" fontId="2" fillId="0" borderId="0" xfId="0" applyNumberFormat="1" applyFont="1" applyFill="1" applyBorder="1"/>
    <xf numFmtId="0" fontId="3" fillId="0" borderId="0" xfId="0" applyFont="1" applyFill="1" applyBorder="1"/>
    <xf numFmtId="0" fontId="3" fillId="7" borderId="0" xfId="0" applyFont="1" applyFill="1" applyBorder="1"/>
    <xf numFmtId="0" fontId="3" fillId="8" borderId="0" xfId="0" applyFont="1" applyFill="1" applyBorder="1" applyAlignment="1">
      <alignment vertical="center"/>
    </xf>
    <xf numFmtId="0" fontId="2" fillId="0" borderId="0" xfId="0" applyFont="1" applyFill="1" applyBorder="1" applyAlignment="1"/>
    <xf numFmtId="14" fontId="2" fillId="8" borderId="0" xfId="0" applyNumberFormat="1" applyFont="1" applyFill="1" applyBorder="1"/>
    <xf numFmtId="0" fontId="3" fillId="8" borderId="0" xfId="0" applyFont="1" applyFill="1" applyBorder="1"/>
    <xf numFmtId="0" fontId="3" fillId="8" borderId="0" xfId="0" applyFont="1" applyFill="1" applyBorder="1" applyAlignment="1">
      <alignment horizontal="center" vertical="center"/>
    </xf>
    <xf numFmtId="0" fontId="5" fillId="0" borderId="0" xfId="0" applyFont="1" applyFill="1" applyBorder="1"/>
    <xf numFmtId="14" fontId="2" fillId="9" borderId="0" xfId="0" applyNumberFormat="1" applyFont="1" applyFill="1" applyBorder="1"/>
    <xf numFmtId="0" fontId="3" fillId="9" borderId="0" xfId="0" applyFont="1" applyFill="1" applyBorder="1"/>
    <xf numFmtId="14" fontId="2" fillId="10" borderId="0" xfId="0" applyNumberFormat="1" applyFont="1" applyFill="1" applyBorder="1"/>
    <xf numFmtId="0" fontId="3" fillId="10" borderId="0" xfId="0" applyFont="1" applyFill="1" applyBorder="1"/>
    <xf numFmtId="14" fontId="2" fillId="11" borderId="0" xfId="0" applyNumberFormat="1" applyFont="1" applyFill="1" applyBorder="1"/>
    <xf numFmtId="0" fontId="3" fillId="11" borderId="0" xfId="0" applyFont="1" applyFill="1" applyBorder="1"/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 wrapText="1"/>
    </xf>
    <xf numFmtId="14" fontId="2" fillId="0" borderId="0" xfId="0" applyNumberFormat="1" applyFont="1" applyFill="1" applyBorder="1"/>
    <xf numFmtId="0" fontId="4" fillId="0" borderId="1" xfId="0" applyFont="1" applyFill="1" applyBorder="1" applyAlignment="1">
      <alignment horizontal="center" vertical="center" wrapText="1"/>
    </xf>
    <xf numFmtId="14" fontId="4" fillId="11" borderId="1" xfId="0" applyNumberFormat="1" applyFont="1" applyFill="1" applyBorder="1"/>
    <xf numFmtId="0" fontId="4" fillId="0" borderId="1" xfId="0" applyFont="1" applyFill="1" applyBorder="1"/>
    <xf numFmtId="2" fontId="7" fillId="0" borderId="1" xfId="0" applyNumberFormat="1" applyFont="1" applyFill="1" applyBorder="1"/>
    <xf numFmtId="164" fontId="4" fillId="0" borderId="1" xfId="0" applyNumberFormat="1" applyFont="1" applyFill="1" applyBorder="1"/>
    <xf numFmtId="164" fontId="7" fillId="0" borderId="1" xfId="0" applyNumberFormat="1" applyFont="1" applyFill="1" applyBorder="1"/>
    <xf numFmtId="0" fontId="7" fillId="0" borderId="1" xfId="0" applyFont="1" applyFill="1" applyBorder="1"/>
    <xf numFmtId="0" fontId="4" fillId="0" borderId="1" xfId="0" applyFont="1" applyFill="1" applyBorder="1" applyAlignment="1">
      <alignment horizontal="center" vertical="center"/>
    </xf>
    <xf numFmtId="14" fontId="4" fillId="10" borderId="1" xfId="0" applyNumberFormat="1" applyFont="1" applyFill="1" applyBorder="1"/>
    <xf numFmtId="14" fontId="4" fillId="9" borderId="1" xfId="0" applyNumberFormat="1" applyFont="1" applyFill="1" applyBorder="1"/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/>
    <xf numFmtId="14" fontId="4" fillId="8" borderId="1" xfId="0" applyNumberFormat="1" applyFont="1" applyFill="1" applyBorder="1"/>
    <xf numFmtId="14" fontId="4" fillId="7" borderId="1" xfId="0" applyNumberFormat="1" applyFont="1" applyFill="1" applyBorder="1"/>
    <xf numFmtId="14" fontId="4" fillId="5" borderId="1" xfId="0" applyNumberFormat="1" applyFont="1" applyFill="1" applyBorder="1"/>
    <xf numFmtId="2" fontId="4" fillId="0" borderId="1" xfId="0" applyNumberFormat="1" applyFont="1" applyFill="1" applyBorder="1"/>
    <xf numFmtId="0" fontId="3" fillId="0" borderId="1" xfId="0" applyFont="1" applyFill="1" applyBorder="1" applyAlignment="1">
      <alignment horizontal="center" vertical="center"/>
    </xf>
    <xf numFmtId="14" fontId="4" fillId="3" borderId="1" xfId="0" applyNumberFormat="1" applyFont="1" applyFill="1" applyBorder="1"/>
    <xf numFmtId="0" fontId="7" fillId="4" borderId="1" xfId="0" applyFont="1" applyFill="1" applyBorder="1"/>
    <xf numFmtId="0" fontId="3" fillId="11" borderId="0" xfId="0" applyFont="1" applyFill="1" applyBorder="1" applyAlignment="1">
      <alignment horizontal="center" vertical="center" textRotation="255"/>
    </xf>
    <xf numFmtId="0" fontId="6" fillId="12" borderId="0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 textRotation="255"/>
    </xf>
    <xf numFmtId="0" fontId="3" fillId="5" borderId="0" xfId="0" applyFont="1" applyFill="1" applyBorder="1" applyAlignment="1">
      <alignment horizontal="center" vertical="center" textRotation="255"/>
    </xf>
    <xf numFmtId="0" fontId="3" fillId="7" borderId="0" xfId="0" applyFont="1" applyFill="1" applyBorder="1" applyAlignment="1">
      <alignment horizontal="center" vertical="center" textRotation="255"/>
    </xf>
    <xf numFmtId="0" fontId="3" fillId="9" borderId="0" xfId="0" applyFont="1" applyFill="1" applyBorder="1" applyAlignment="1">
      <alignment horizontal="center" vertical="center" textRotation="255"/>
    </xf>
    <xf numFmtId="0" fontId="3" fillId="10" borderId="0" xfId="0" applyFont="1" applyFill="1" applyBorder="1" applyAlignment="1">
      <alignment horizontal="center" vertical="center" textRotation="255"/>
    </xf>
    <xf numFmtId="0" fontId="3" fillId="13" borderId="0" xfId="0" applyFont="1" applyFill="1" applyBorder="1" applyAlignment="1">
      <alignment horizontal="center" vertical="center"/>
    </xf>
    <xf numFmtId="14" fontId="2" fillId="14" borderId="0" xfId="0" applyNumberFormat="1" applyFont="1" applyFill="1" applyBorder="1"/>
    <xf numFmtId="0" fontId="2" fillId="13" borderId="0" xfId="0" applyFont="1" applyFill="1" applyBorder="1"/>
    <xf numFmtId="2" fontId="2" fillId="13" borderId="0" xfId="0" applyNumberFormat="1" applyFont="1" applyFill="1" applyBorder="1"/>
    <xf numFmtId="164" fontId="2" fillId="13" borderId="0" xfId="0" applyNumberFormat="1" applyFont="1" applyFill="1" applyBorder="1"/>
    <xf numFmtId="0" fontId="2" fillId="15" borderId="0" xfId="0" applyFont="1" applyFill="1" applyBorder="1"/>
    <xf numFmtId="164" fontId="2" fillId="15" borderId="0" xfId="0" applyNumberFormat="1" applyFont="1" applyFill="1" applyBorder="1"/>
    <xf numFmtId="0" fontId="7" fillId="0" borderId="0" xfId="0" applyFont="1" applyFill="1" applyBorder="1"/>
  </cellXfs>
  <cellStyles count="1">
    <cellStyle name="Normal" xfId="0" builtinId="0"/>
  </cellStyles>
  <dxfs count="8">
    <dxf>
      <fill>
        <patternFill>
          <bgColor rgb="FFFABF8F"/>
        </patternFill>
      </fill>
    </dxf>
    <dxf>
      <fill>
        <patternFill>
          <bgColor rgb="FFDA9694"/>
        </patternFill>
      </fill>
    </dxf>
    <dxf>
      <fill>
        <patternFill>
          <bgColor rgb="FFF2DCDB"/>
        </patternFill>
      </fill>
    </dxf>
    <dxf>
      <fill>
        <patternFill>
          <bgColor rgb="FFCCC0DA"/>
        </patternFill>
      </fill>
    </dxf>
    <dxf>
      <fill>
        <patternFill>
          <bgColor rgb="FFF2DCDB"/>
        </patternFill>
      </fill>
    </dxf>
    <dxf>
      <fill>
        <patternFill>
          <bgColor rgb="FF00B0F0"/>
        </patternFill>
      </fill>
    </dxf>
    <dxf>
      <fill>
        <patternFill>
          <bgColor rgb="FFDAEEF3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B316"/>
  <sheetViews>
    <sheetView tabSelected="1" topLeftCell="A148" zoomScale="70" zoomScaleNormal="70" workbookViewId="0">
      <selection activeCell="Q188" sqref="Q188"/>
    </sheetView>
  </sheetViews>
  <sheetFormatPr baseColWidth="10" defaultRowHeight="15" x14ac:dyDescent="0.25"/>
  <sheetData>
    <row r="7" spans="1:27" x14ac:dyDescent="0.25">
      <c r="O7">
        <v>29.3</v>
      </c>
      <c r="T7">
        <v>29.3</v>
      </c>
    </row>
    <row r="8" spans="1:27" s="1" customFormat="1" x14ac:dyDescent="0.25">
      <c r="A8" s="51" t="s">
        <v>0</v>
      </c>
      <c r="B8" s="51"/>
      <c r="C8" s="51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</row>
    <row r="9" spans="1:27" s="1" customFormat="1" x14ac:dyDescent="0.25">
      <c r="A9" s="52" t="s">
        <v>1</v>
      </c>
      <c r="B9" s="2"/>
      <c r="C9" s="3">
        <v>42256</v>
      </c>
      <c r="D9" s="1">
        <v>16.2</v>
      </c>
      <c r="E9" s="1">
        <v>9.6</v>
      </c>
      <c r="F9" s="1">
        <v>22.2</v>
      </c>
      <c r="G9" s="1">
        <f>16.2</f>
        <v>16.2</v>
      </c>
      <c r="I9" s="4" t="s">
        <v>2</v>
      </c>
      <c r="J9" s="1">
        <v>0</v>
      </c>
      <c r="K9" s="1">
        <f>J9</f>
        <v>0</v>
      </c>
      <c r="L9" s="1">
        <v>3.8</v>
      </c>
      <c r="M9" s="1">
        <f>L9</f>
        <v>3.8</v>
      </c>
      <c r="N9" s="1">
        <v>-3.8</v>
      </c>
      <c r="O9" s="1">
        <f>O7+N9</f>
        <v>25.5</v>
      </c>
      <c r="P9" s="1">
        <v>1</v>
      </c>
      <c r="Q9" s="1">
        <v>0.35</v>
      </c>
      <c r="R9" s="5">
        <f t="shared" ref="R9:R72" si="0">Q9*L9</f>
        <v>1.3299999999999998</v>
      </c>
      <c r="S9" s="5">
        <f t="shared" ref="S9:S72" si="1">J9-R9</f>
        <v>-1.3299999999999998</v>
      </c>
      <c r="T9" s="5">
        <f>T7+S9</f>
        <v>27.970000000000002</v>
      </c>
      <c r="U9" s="4" t="s">
        <v>3</v>
      </c>
      <c r="V9" s="1">
        <v>2141.9</v>
      </c>
      <c r="X9" s="1">
        <f>V9</f>
        <v>2141.9</v>
      </c>
      <c r="Z9" s="4" t="s">
        <v>4</v>
      </c>
      <c r="AA9" s="1">
        <v>13.0116416538983</v>
      </c>
    </row>
    <row r="10" spans="1:27" s="1" customFormat="1" x14ac:dyDescent="0.25">
      <c r="A10" s="52"/>
      <c r="B10" s="2"/>
      <c r="C10" s="3">
        <v>42257</v>
      </c>
      <c r="D10" s="1">
        <v>16.7</v>
      </c>
      <c r="E10" s="1">
        <v>8.6</v>
      </c>
      <c r="F10" s="1">
        <v>23.8</v>
      </c>
      <c r="G10" s="1">
        <f>G9+D10</f>
        <v>32.9</v>
      </c>
      <c r="I10" s="1">
        <f>MIN(E9:E134)</f>
        <v>1.6</v>
      </c>
      <c r="J10" s="1">
        <v>0</v>
      </c>
      <c r="K10" s="1">
        <f>K9+J10</f>
        <v>0</v>
      </c>
      <c r="L10" s="1">
        <v>3.7</v>
      </c>
      <c r="M10" s="1">
        <f>M9+L10</f>
        <v>7.5</v>
      </c>
      <c r="N10" s="1">
        <v>-3.7</v>
      </c>
      <c r="O10" s="1">
        <f t="shared" ref="O10:O73" si="2">O9+N10</f>
        <v>21.8</v>
      </c>
      <c r="P10" s="1">
        <v>2</v>
      </c>
      <c r="Q10" s="1">
        <v>0.35</v>
      </c>
      <c r="R10" s="5">
        <f t="shared" si="0"/>
        <v>1.2949999999999999</v>
      </c>
      <c r="S10" s="5">
        <f t="shared" si="1"/>
        <v>-1.2949999999999999</v>
      </c>
      <c r="T10" s="5">
        <f>MIN(197.4,(T9+S10))</f>
        <v>26.675000000000004</v>
      </c>
      <c r="U10" s="1">
        <v>68</v>
      </c>
      <c r="V10" s="1">
        <v>2123.9</v>
      </c>
      <c r="X10" s="1">
        <f>X9+V10</f>
        <v>4265.8</v>
      </c>
      <c r="Z10" s="1">
        <v>69684.800000000003</v>
      </c>
      <c r="AA10" s="1">
        <v>12.9544310880942</v>
      </c>
    </row>
    <row r="11" spans="1:27" s="1" customFormat="1" x14ac:dyDescent="0.25">
      <c r="A11" s="52"/>
      <c r="B11" s="2"/>
      <c r="C11" s="3">
        <v>42258</v>
      </c>
      <c r="D11" s="1">
        <v>16.399999999999999</v>
      </c>
      <c r="E11" s="1">
        <v>11.3</v>
      </c>
      <c r="F11" s="1">
        <v>20.7</v>
      </c>
      <c r="G11" s="1">
        <f t="shared" ref="G11:G74" si="3">G10+D11</f>
        <v>49.3</v>
      </c>
      <c r="I11" s="4" t="s">
        <v>5</v>
      </c>
      <c r="J11" s="1">
        <v>3.4</v>
      </c>
      <c r="K11" s="1">
        <f t="shared" ref="K11:K74" si="4">K10+J11</f>
        <v>3.4</v>
      </c>
      <c r="L11" s="1">
        <v>1.9</v>
      </c>
      <c r="M11" s="1">
        <f t="shared" ref="M11:M74" si="5">M10+L11</f>
        <v>9.4</v>
      </c>
      <c r="N11" s="1">
        <v>1.5</v>
      </c>
      <c r="O11" s="1">
        <f t="shared" si="2"/>
        <v>23.3</v>
      </c>
      <c r="P11" s="1">
        <v>3</v>
      </c>
      <c r="Q11" s="1">
        <v>0.35</v>
      </c>
      <c r="R11" s="5">
        <f t="shared" si="0"/>
        <v>0.66499999999999992</v>
      </c>
      <c r="S11" s="5">
        <f t="shared" si="1"/>
        <v>2.7349999999999999</v>
      </c>
      <c r="T11" s="5">
        <f t="shared" ref="T11:T74" si="6">MIN(197.4,(T10+S11))</f>
        <v>29.410000000000004</v>
      </c>
      <c r="U11" s="4" t="s">
        <v>6</v>
      </c>
      <c r="V11" s="1">
        <v>1351.4</v>
      </c>
      <c r="X11" s="1">
        <f t="shared" ref="X11:X74" si="7">X10+V11</f>
        <v>5617.2000000000007</v>
      </c>
      <c r="Z11" s="4" t="s">
        <v>7</v>
      </c>
      <c r="AA11" s="1">
        <v>12.8971265156125</v>
      </c>
    </row>
    <row r="12" spans="1:27" s="1" customFormat="1" x14ac:dyDescent="0.25">
      <c r="A12" s="52"/>
      <c r="B12" s="2"/>
      <c r="C12" s="3">
        <v>42259</v>
      </c>
      <c r="D12" s="1">
        <v>16.2</v>
      </c>
      <c r="E12" s="1">
        <v>15</v>
      </c>
      <c r="F12" s="1">
        <v>19.600000000000001</v>
      </c>
      <c r="G12" s="1">
        <f t="shared" si="3"/>
        <v>65.5</v>
      </c>
      <c r="I12" s="1">
        <f>MAX(F9:F134)</f>
        <v>23.8</v>
      </c>
      <c r="J12" s="1">
        <v>1.6</v>
      </c>
      <c r="K12" s="1">
        <f t="shared" si="4"/>
        <v>5</v>
      </c>
      <c r="L12" s="1">
        <v>2.5</v>
      </c>
      <c r="M12" s="1">
        <f t="shared" si="5"/>
        <v>11.9</v>
      </c>
      <c r="N12" s="1">
        <v>-0.89999999999999991</v>
      </c>
      <c r="O12" s="1">
        <f t="shared" si="2"/>
        <v>22.400000000000002</v>
      </c>
      <c r="P12" s="1">
        <v>4</v>
      </c>
      <c r="Q12" s="1">
        <v>0.35</v>
      </c>
      <c r="R12" s="5">
        <f t="shared" si="0"/>
        <v>0.875</v>
      </c>
      <c r="S12" s="5">
        <f t="shared" si="1"/>
        <v>0.72500000000000009</v>
      </c>
      <c r="T12" s="5">
        <f t="shared" si="6"/>
        <v>30.135000000000005</v>
      </c>
      <c r="U12" s="1">
        <v>0</v>
      </c>
      <c r="V12" s="1">
        <v>1108.2</v>
      </c>
      <c r="X12" s="1">
        <f t="shared" si="7"/>
        <v>6725.4000000000005</v>
      </c>
      <c r="Z12" s="1">
        <f>(Z10/100)/I22</f>
        <v>0.48078377259555682</v>
      </c>
      <c r="AA12" s="1">
        <v>12.8397344490566</v>
      </c>
    </row>
    <row r="13" spans="1:27" s="1" customFormat="1" x14ac:dyDescent="0.25">
      <c r="A13" s="52"/>
      <c r="B13" s="2"/>
      <c r="C13" s="3">
        <v>42260</v>
      </c>
      <c r="D13" s="1">
        <v>13.9</v>
      </c>
      <c r="E13" s="1">
        <v>10.8</v>
      </c>
      <c r="F13" s="1">
        <v>17</v>
      </c>
      <c r="G13" s="1">
        <f t="shared" si="3"/>
        <v>79.400000000000006</v>
      </c>
      <c r="I13" s="4" t="s">
        <v>8</v>
      </c>
      <c r="J13" s="1">
        <v>5.3</v>
      </c>
      <c r="K13" s="1">
        <f t="shared" si="4"/>
        <v>10.3</v>
      </c>
      <c r="L13" s="1">
        <v>1</v>
      </c>
      <c r="M13" s="1">
        <f t="shared" si="5"/>
        <v>12.9</v>
      </c>
      <c r="N13" s="1">
        <v>4.3</v>
      </c>
      <c r="O13" s="1">
        <f t="shared" si="2"/>
        <v>26.700000000000003</v>
      </c>
      <c r="P13" s="1">
        <v>5</v>
      </c>
      <c r="Q13" s="1">
        <v>0.35</v>
      </c>
      <c r="R13" s="5">
        <f t="shared" si="0"/>
        <v>0.35</v>
      </c>
      <c r="S13" s="5">
        <f t="shared" si="1"/>
        <v>4.95</v>
      </c>
      <c r="T13" s="5">
        <f t="shared" si="6"/>
        <v>35.085000000000008</v>
      </c>
      <c r="U13" s="4" t="s">
        <v>9</v>
      </c>
      <c r="V13" s="1">
        <v>436.2</v>
      </c>
      <c r="X13" s="1">
        <f t="shared" si="7"/>
        <v>7161.6</v>
      </c>
      <c r="Z13" s="4" t="s">
        <v>10</v>
      </c>
      <c r="AA13" s="1">
        <v>12.78226122165</v>
      </c>
    </row>
    <row r="14" spans="1:27" s="1" customFormat="1" x14ac:dyDescent="0.25">
      <c r="A14" s="52"/>
      <c r="B14" s="2"/>
      <c r="C14" s="3">
        <v>42261</v>
      </c>
      <c r="D14" s="1">
        <v>14</v>
      </c>
      <c r="E14" s="1">
        <v>13.2</v>
      </c>
      <c r="F14" s="1">
        <v>16.5</v>
      </c>
      <c r="G14" s="1">
        <f t="shared" si="3"/>
        <v>93.4</v>
      </c>
      <c r="I14" s="1">
        <f>AVERAGE(D9:D134)</f>
        <v>11.503174603174605</v>
      </c>
      <c r="J14" s="1">
        <v>3.3</v>
      </c>
      <c r="K14" s="1">
        <f t="shared" si="4"/>
        <v>13.600000000000001</v>
      </c>
      <c r="L14" s="1">
        <v>2.4</v>
      </c>
      <c r="M14" s="1">
        <f t="shared" si="5"/>
        <v>15.3</v>
      </c>
      <c r="N14" s="1">
        <v>0.89999999999999991</v>
      </c>
      <c r="O14" s="1">
        <f t="shared" si="2"/>
        <v>27.6</v>
      </c>
      <c r="P14" s="1">
        <v>6</v>
      </c>
      <c r="Q14" s="1">
        <v>0.35</v>
      </c>
      <c r="R14" s="5">
        <f t="shared" si="0"/>
        <v>0.84</v>
      </c>
      <c r="S14" s="5">
        <f t="shared" si="1"/>
        <v>2.46</v>
      </c>
      <c r="T14" s="5">
        <f t="shared" si="6"/>
        <v>37.545000000000009</v>
      </c>
      <c r="U14" s="1">
        <v>50</v>
      </c>
      <c r="V14" s="1">
        <v>931.9</v>
      </c>
      <c r="X14" s="1">
        <f t="shared" si="7"/>
        <v>8093.5</v>
      </c>
      <c r="Z14" s="1">
        <v>99</v>
      </c>
      <c r="AA14" s="1">
        <v>12.7247130029575</v>
      </c>
    </row>
    <row r="15" spans="1:27" s="1" customFormat="1" x14ac:dyDescent="0.25">
      <c r="A15" s="52"/>
      <c r="B15" s="2"/>
      <c r="C15" s="3">
        <v>42262</v>
      </c>
      <c r="D15" s="1">
        <v>13.9</v>
      </c>
      <c r="E15" s="1">
        <v>8.5</v>
      </c>
      <c r="F15" s="1">
        <v>18.399999999999999</v>
      </c>
      <c r="G15" s="1">
        <f t="shared" si="3"/>
        <v>107.30000000000001</v>
      </c>
      <c r="I15" s="4" t="s">
        <v>11</v>
      </c>
      <c r="J15" s="1">
        <v>15.8</v>
      </c>
      <c r="K15" s="1">
        <f t="shared" si="4"/>
        <v>29.400000000000002</v>
      </c>
      <c r="L15" s="1">
        <v>2.2999999999999998</v>
      </c>
      <c r="M15" s="1">
        <f t="shared" si="5"/>
        <v>17.600000000000001</v>
      </c>
      <c r="N15" s="1">
        <v>13.5</v>
      </c>
      <c r="O15" s="1">
        <f t="shared" si="2"/>
        <v>41.1</v>
      </c>
      <c r="P15" s="1">
        <v>7</v>
      </c>
      <c r="Q15" s="1">
        <v>0.35</v>
      </c>
      <c r="R15" s="5">
        <f t="shared" si="0"/>
        <v>0.80499999999999994</v>
      </c>
      <c r="S15" s="5">
        <f t="shared" si="1"/>
        <v>14.995000000000001</v>
      </c>
      <c r="T15" s="5">
        <f t="shared" si="6"/>
        <v>52.540000000000006</v>
      </c>
      <c r="U15" s="4" t="s">
        <v>12</v>
      </c>
      <c r="V15" s="1">
        <v>1234.3</v>
      </c>
      <c r="X15" s="1">
        <f t="shared" si="7"/>
        <v>9327.7999999999993</v>
      </c>
      <c r="AA15" s="1">
        <v>12.667095814664201</v>
      </c>
    </row>
    <row r="16" spans="1:27" s="1" customFormat="1" x14ac:dyDescent="0.25">
      <c r="A16" s="52"/>
      <c r="B16" s="2"/>
      <c r="C16" s="3">
        <v>42263</v>
      </c>
      <c r="D16" s="1">
        <v>16.399999999999999</v>
      </c>
      <c r="E16" s="1">
        <v>15.1</v>
      </c>
      <c r="F16" s="1">
        <v>19.7</v>
      </c>
      <c r="G16" s="1">
        <f t="shared" si="3"/>
        <v>123.70000000000002</v>
      </c>
      <c r="I16" s="1">
        <v>0</v>
      </c>
      <c r="J16" s="1">
        <v>10.4</v>
      </c>
      <c r="K16" s="1">
        <f t="shared" si="4"/>
        <v>39.800000000000004</v>
      </c>
      <c r="L16" s="1">
        <v>1.9</v>
      </c>
      <c r="M16" s="1">
        <f t="shared" si="5"/>
        <v>19.5</v>
      </c>
      <c r="N16" s="1">
        <v>8.5</v>
      </c>
      <c r="O16" s="1">
        <f t="shared" si="2"/>
        <v>49.6</v>
      </c>
      <c r="P16" s="1">
        <v>8</v>
      </c>
      <c r="Q16" s="1">
        <v>0.35</v>
      </c>
      <c r="R16" s="5">
        <f t="shared" si="0"/>
        <v>0.66499999999999992</v>
      </c>
      <c r="S16" s="5">
        <f t="shared" si="1"/>
        <v>9.7350000000000012</v>
      </c>
      <c r="T16" s="5">
        <f t="shared" si="6"/>
        <v>62.275000000000006</v>
      </c>
      <c r="U16" s="5">
        <f>MIN(T9:T134)</f>
        <v>26.675000000000004</v>
      </c>
      <c r="V16" s="1">
        <v>540.79999999999995</v>
      </c>
      <c r="X16" s="1">
        <f t="shared" si="7"/>
        <v>9868.5999999999985</v>
      </c>
      <c r="AA16" s="1">
        <v>12.6094155464097</v>
      </c>
    </row>
    <row r="17" spans="1:27" s="1" customFormat="1" x14ac:dyDescent="0.25">
      <c r="A17" s="52"/>
      <c r="B17" s="2"/>
      <c r="C17" s="3">
        <v>42264</v>
      </c>
      <c r="D17" s="1">
        <v>14.7</v>
      </c>
      <c r="E17" s="1">
        <v>11.6</v>
      </c>
      <c r="F17" s="1">
        <v>18</v>
      </c>
      <c r="G17" s="1">
        <f t="shared" si="3"/>
        <v>138.4</v>
      </c>
      <c r="I17" s="4" t="s">
        <v>13</v>
      </c>
      <c r="J17" s="1">
        <v>1.3</v>
      </c>
      <c r="K17" s="1">
        <f t="shared" si="4"/>
        <v>41.1</v>
      </c>
      <c r="L17" s="1">
        <v>2.2000000000000002</v>
      </c>
      <c r="M17" s="1">
        <f t="shared" si="5"/>
        <v>21.7</v>
      </c>
      <c r="N17" s="1">
        <v>-0.90000000000000013</v>
      </c>
      <c r="O17" s="1">
        <f t="shared" si="2"/>
        <v>48.7</v>
      </c>
      <c r="P17" s="1">
        <v>9</v>
      </c>
      <c r="Q17" s="1">
        <v>0.35</v>
      </c>
      <c r="R17" s="5">
        <f t="shared" si="0"/>
        <v>0.77</v>
      </c>
      <c r="S17" s="5">
        <f t="shared" si="1"/>
        <v>0.53</v>
      </c>
      <c r="T17" s="5">
        <f t="shared" si="6"/>
        <v>62.805000000000007</v>
      </c>
      <c r="U17" s="4" t="s">
        <v>14</v>
      </c>
      <c r="V17" s="1">
        <v>1175.9000000000001</v>
      </c>
      <c r="X17" s="1">
        <f t="shared" si="7"/>
        <v>11044.499999999998</v>
      </c>
      <c r="AA17" s="1">
        <v>12.5516779716794</v>
      </c>
    </row>
    <row r="18" spans="1:27" s="1" customFormat="1" x14ac:dyDescent="0.25">
      <c r="A18" s="52"/>
      <c r="B18" s="2"/>
      <c r="C18" s="3">
        <v>42265</v>
      </c>
      <c r="D18" s="1">
        <v>14.8</v>
      </c>
      <c r="E18" s="1">
        <v>12</v>
      </c>
      <c r="F18" s="1">
        <v>18.7</v>
      </c>
      <c r="G18" s="1">
        <f t="shared" si="3"/>
        <v>153.20000000000002</v>
      </c>
      <c r="I18" s="1">
        <v>0</v>
      </c>
      <c r="J18" s="1">
        <v>2.1</v>
      </c>
      <c r="K18" s="1">
        <f t="shared" si="4"/>
        <v>43.2</v>
      </c>
      <c r="L18" s="1">
        <v>2</v>
      </c>
      <c r="M18" s="1">
        <f t="shared" si="5"/>
        <v>23.7</v>
      </c>
      <c r="N18" s="1">
        <v>0.10000000000000009</v>
      </c>
      <c r="O18" s="1">
        <f t="shared" si="2"/>
        <v>48.800000000000004</v>
      </c>
      <c r="P18" s="1">
        <v>10</v>
      </c>
      <c r="Q18" s="1">
        <f>0.35+((P18-9)/117)*(1-0.35)</f>
        <v>0.35555555555555551</v>
      </c>
      <c r="R18" s="5">
        <f t="shared" si="0"/>
        <v>0.71111111111111103</v>
      </c>
      <c r="S18" s="5">
        <f t="shared" si="1"/>
        <v>1.3888888888888891</v>
      </c>
      <c r="T18" s="5">
        <f t="shared" si="6"/>
        <v>64.193888888888893</v>
      </c>
      <c r="U18" s="5">
        <f>MAX(T9:T134)</f>
        <v>170.28000000000006</v>
      </c>
      <c r="V18" s="1">
        <v>940</v>
      </c>
      <c r="X18" s="1">
        <f t="shared" si="7"/>
        <v>11984.499999999998</v>
      </c>
      <c r="AA18" s="1">
        <v>12.4938887637508</v>
      </c>
    </row>
    <row r="19" spans="1:27" s="1" customFormat="1" x14ac:dyDescent="0.25">
      <c r="A19" s="52"/>
      <c r="B19" s="2"/>
      <c r="C19" s="3">
        <v>42266</v>
      </c>
      <c r="D19" s="1">
        <v>14.3</v>
      </c>
      <c r="E19" s="1">
        <v>10.4</v>
      </c>
      <c r="F19" s="1">
        <v>18.7</v>
      </c>
      <c r="G19" s="1">
        <f t="shared" si="3"/>
        <v>167.50000000000003</v>
      </c>
      <c r="I19" s="4" t="s">
        <v>15</v>
      </c>
      <c r="J19" s="1">
        <v>0.1</v>
      </c>
      <c r="K19" s="1">
        <f t="shared" si="4"/>
        <v>43.300000000000004</v>
      </c>
      <c r="L19" s="1">
        <v>1.6</v>
      </c>
      <c r="M19" s="1">
        <f t="shared" si="5"/>
        <v>25.3</v>
      </c>
      <c r="N19" s="1">
        <v>-1.5</v>
      </c>
      <c r="O19" s="1">
        <f t="shared" si="2"/>
        <v>47.300000000000004</v>
      </c>
      <c r="P19" s="1">
        <v>11</v>
      </c>
      <c r="Q19" s="1">
        <f t="shared" ref="Q19:Q82" si="8">0.35+((P19-9)/117)*(1-0.35)</f>
        <v>0.3611111111111111</v>
      </c>
      <c r="R19" s="5">
        <f t="shared" si="0"/>
        <v>0.57777777777777783</v>
      </c>
      <c r="S19" s="5">
        <f t="shared" si="1"/>
        <v>-0.47777777777777786</v>
      </c>
      <c r="T19" s="5">
        <f t="shared" si="6"/>
        <v>63.716111111111118</v>
      </c>
      <c r="U19" s="4" t="s">
        <v>16</v>
      </c>
      <c r="V19" s="1">
        <v>889.6</v>
      </c>
      <c r="X19" s="1">
        <f t="shared" si="7"/>
        <v>12874.099999999999</v>
      </c>
      <c r="AA19" s="1">
        <v>12.436053511699001</v>
      </c>
    </row>
    <row r="20" spans="1:27" s="1" customFormat="1" x14ac:dyDescent="0.25">
      <c r="A20" s="52"/>
      <c r="B20" s="2"/>
      <c r="C20" s="3">
        <v>42267</v>
      </c>
      <c r="D20" s="1">
        <v>14.1</v>
      </c>
      <c r="E20" s="1">
        <v>8.4</v>
      </c>
      <c r="F20" s="1">
        <v>19</v>
      </c>
      <c r="G20" s="1">
        <f t="shared" si="3"/>
        <v>181.60000000000002</v>
      </c>
      <c r="I20" s="1">
        <v>16</v>
      </c>
      <c r="J20" s="1">
        <v>0</v>
      </c>
      <c r="K20" s="1">
        <f t="shared" si="4"/>
        <v>43.300000000000004</v>
      </c>
      <c r="L20" s="1">
        <v>1.7</v>
      </c>
      <c r="M20" s="1">
        <f t="shared" si="5"/>
        <v>27</v>
      </c>
      <c r="N20" s="1">
        <v>-1.7</v>
      </c>
      <c r="O20" s="1">
        <f t="shared" si="2"/>
        <v>45.6</v>
      </c>
      <c r="P20" s="1">
        <v>12</v>
      </c>
      <c r="Q20" s="1">
        <f t="shared" si="8"/>
        <v>0.36666666666666664</v>
      </c>
      <c r="R20" s="5">
        <f t="shared" si="0"/>
        <v>0.62333333333333329</v>
      </c>
      <c r="S20" s="5">
        <f t="shared" si="1"/>
        <v>-0.62333333333333329</v>
      </c>
      <c r="T20" s="5">
        <f t="shared" si="6"/>
        <v>63.092777777777783</v>
      </c>
      <c r="U20" s="12">
        <f>AVERAGE(T9:T134)</f>
        <v>87.663725749559092</v>
      </c>
      <c r="V20" s="1">
        <v>1099.9000000000001</v>
      </c>
      <c r="X20" s="1">
        <f t="shared" si="7"/>
        <v>13973.999999999998</v>
      </c>
      <c r="AA20" s="1">
        <v>12.378177736463099</v>
      </c>
    </row>
    <row r="21" spans="1:27" s="1" customFormat="1" x14ac:dyDescent="0.25">
      <c r="A21" s="52"/>
      <c r="B21" s="2"/>
      <c r="C21" s="3">
        <v>42268</v>
      </c>
      <c r="D21" s="1">
        <v>13.5</v>
      </c>
      <c r="E21" s="1">
        <v>10.3</v>
      </c>
      <c r="F21" s="1">
        <v>17.399999999999999</v>
      </c>
      <c r="G21" s="1">
        <f t="shared" si="3"/>
        <v>195.10000000000002</v>
      </c>
      <c r="I21" s="4" t="s">
        <v>17</v>
      </c>
      <c r="J21" s="1">
        <v>3.3</v>
      </c>
      <c r="K21" s="1">
        <f t="shared" si="4"/>
        <v>46.6</v>
      </c>
      <c r="L21" s="1">
        <v>1.1000000000000001</v>
      </c>
      <c r="M21" s="1">
        <f t="shared" si="5"/>
        <v>28.1</v>
      </c>
      <c r="N21" s="1">
        <v>2.1999999999999997</v>
      </c>
      <c r="O21" s="1">
        <f t="shared" si="2"/>
        <v>47.800000000000004</v>
      </c>
      <c r="P21" s="1">
        <v>13</v>
      </c>
      <c r="Q21" s="1">
        <f t="shared" si="8"/>
        <v>0.37222222222222223</v>
      </c>
      <c r="R21" s="5">
        <f t="shared" si="0"/>
        <v>0.4094444444444445</v>
      </c>
      <c r="S21" s="5">
        <f t="shared" si="1"/>
        <v>2.8905555555555553</v>
      </c>
      <c r="T21" s="5">
        <f t="shared" si="6"/>
        <v>65.983333333333334</v>
      </c>
      <c r="V21" s="1">
        <v>401.6</v>
      </c>
      <c r="X21" s="1">
        <f t="shared" si="7"/>
        <v>14375.599999999999</v>
      </c>
      <c r="AA21" s="1">
        <v>12.320266906978199</v>
      </c>
    </row>
    <row r="22" spans="1:27" s="1" customFormat="1" x14ac:dyDescent="0.25">
      <c r="A22" s="52"/>
      <c r="B22" s="2"/>
      <c r="C22" s="3">
        <v>42269</v>
      </c>
      <c r="D22" s="1">
        <v>12.8</v>
      </c>
      <c r="E22" s="1">
        <v>11.5</v>
      </c>
      <c r="F22" s="1">
        <v>16.2</v>
      </c>
      <c r="G22" s="1">
        <f t="shared" si="3"/>
        <v>207.90000000000003</v>
      </c>
      <c r="I22" s="1">
        <v>1449.4</v>
      </c>
      <c r="J22" s="1">
        <v>1</v>
      </c>
      <c r="K22" s="1">
        <f t="shared" si="4"/>
        <v>47.6</v>
      </c>
      <c r="L22" s="1">
        <v>2</v>
      </c>
      <c r="M22" s="1">
        <f t="shared" si="5"/>
        <v>30.1</v>
      </c>
      <c r="N22" s="1">
        <v>-1</v>
      </c>
      <c r="O22" s="1">
        <f t="shared" si="2"/>
        <v>46.800000000000004</v>
      </c>
      <c r="P22" s="1">
        <v>14</v>
      </c>
      <c r="Q22" s="1">
        <f t="shared" si="8"/>
        <v>0.37777777777777777</v>
      </c>
      <c r="R22" s="5">
        <f t="shared" si="0"/>
        <v>0.75555555555555554</v>
      </c>
      <c r="S22" s="5">
        <f t="shared" si="1"/>
        <v>0.24444444444444446</v>
      </c>
      <c r="T22" s="5">
        <f t="shared" si="6"/>
        <v>66.227777777777774</v>
      </c>
      <c r="U22" s="5">
        <f>(U20*100)/197.4</f>
        <v>44.409182243950902</v>
      </c>
      <c r="V22" s="1">
        <v>891.3</v>
      </c>
      <c r="X22" s="1">
        <f t="shared" si="7"/>
        <v>15266.899999999998</v>
      </c>
      <c r="AA22" s="1">
        <v>12.2623264563753</v>
      </c>
    </row>
    <row r="23" spans="1:27" s="1" customFormat="1" x14ac:dyDescent="0.25">
      <c r="A23" s="52"/>
      <c r="B23" s="2"/>
      <c r="C23" s="3">
        <v>42270</v>
      </c>
      <c r="D23" s="1">
        <v>12.6</v>
      </c>
      <c r="E23" s="1">
        <v>7.1</v>
      </c>
      <c r="F23" s="1">
        <v>17.399999999999999</v>
      </c>
      <c r="G23" s="1">
        <f t="shared" si="3"/>
        <v>220.50000000000003</v>
      </c>
      <c r="J23" s="1">
        <v>0.4</v>
      </c>
      <c r="K23" s="1">
        <f t="shared" si="4"/>
        <v>48</v>
      </c>
      <c r="L23" s="1">
        <v>2.2999999999999998</v>
      </c>
      <c r="M23" s="1">
        <f t="shared" si="5"/>
        <v>32.4</v>
      </c>
      <c r="N23" s="1">
        <v>-1.9</v>
      </c>
      <c r="O23" s="1">
        <f t="shared" si="2"/>
        <v>44.900000000000006</v>
      </c>
      <c r="P23" s="1">
        <v>15</v>
      </c>
      <c r="Q23" s="1">
        <f t="shared" si="8"/>
        <v>0.3833333333333333</v>
      </c>
      <c r="R23" s="5">
        <f t="shared" si="0"/>
        <v>0.88166666666666649</v>
      </c>
      <c r="S23" s="5">
        <f t="shared" si="1"/>
        <v>-0.48166666666666647</v>
      </c>
      <c r="T23" s="5">
        <f t="shared" si="6"/>
        <v>65.746111111111105</v>
      </c>
      <c r="V23" s="1">
        <v>1462.5</v>
      </c>
      <c r="X23" s="1">
        <f t="shared" si="7"/>
        <v>16729.399999999998</v>
      </c>
      <c r="AA23" s="1">
        <v>12.2043617982565</v>
      </c>
    </row>
    <row r="24" spans="1:27" s="1" customFormat="1" x14ac:dyDescent="0.25">
      <c r="A24" s="52"/>
      <c r="B24" s="2"/>
      <c r="C24" s="3">
        <v>42271</v>
      </c>
      <c r="D24" s="1">
        <v>15.3</v>
      </c>
      <c r="E24" s="1">
        <v>12.2</v>
      </c>
      <c r="F24" s="1">
        <v>18.600000000000001</v>
      </c>
      <c r="G24" s="1">
        <f t="shared" si="3"/>
        <v>235.80000000000004</v>
      </c>
      <c r="J24" s="1">
        <v>0</v>
      </c>
      <c r="K24" s="1">
        <f t="shared" si="4"/>
        <v>48</v>
      </c>
      <c r="L24" s="1">
        <v>1.1000000000000001</v>
      </c>
      <c r="M24" s="1">
        <f t="shared" si="5"/>
        <v>33.5</v>
      </c>
      <c r="N24" s="1">
        <v>-1.1000000000000001</v>
      </c>
      <c r="O24" s="1">
        <f t="shared" si="2"/>
        <v>43.800000000000004</v>
      </c>
      <c r="P24" s="1">
        <v>16</v>
      </c>
      <c r="Q24" s="1">
        <f t="shared" si="8"/>
        <v>0.38888888888888884</v>
      </c>
      <c r="R24" s="5">
        <f t="shared" si="0"/>
        <v>0.42777777777777776</v>
      </c>
      <c r="S24" s="5">
        <f t="shared" si="1"/>
        <v>-0.42777777777777776</v>
      </c>
      <c r="T24" s="5">
        <f t="shared" si="6"/>
        <v>65.318333333333328</v>
      </c>
      <c r="V24" s="1">
        <v>410</v>
      </c>
      <c r="X24" s="1">
        <f t="shared" si="7"/>
        <v>17139.399999999998</v>
      </c>
      <c r="AA24" s="1">
        <v>12.1463783430485</v>
      </c>
    </row>
    <row r="25" spans="1:27" s="1" customFormat="1" x14ac:dyDescent="0.25">
      <c r="A25" s="52"/>
      <c r="B25" s="2"/>
      <c r="C25" s="3">
        <v>42272</v>
      </c>
      <c r="D25" s="1">
        <v>12.8</v>
      </c>
      <c r="E25" s="1">
        <v>7.6</v>
      </c>
      <c r="F25" s="1">
        <v>17.8</v>
      </c>
      <c r="G25" s="1">
        <f t="shared" si="3"/>
        <v>248.60000000000005</v>
      </c>
      <c r="J25" s="1">
        <v>0.1</v>
      </c>
      <c r="K25" s="1">
        <f t="shared" si="4"/>
        <v>48.1</v>
      </c>
      <c r="L25" s="1">
        <v>2</v>
      </c>
      <c r="M25" s="1">
        <f t="shared" si="5"/>
        <v>35.5</v>
      </c>
      <c r="N25" s="1">
        <v>-1.9</v>
      </c>
      <c r="O25" s="1">
        <f t="shared" si="2"/>
        <v>41.900000000000006</v>
      </c>
      <c r="P25" s="1">
        <v>17</v>
      </c>
      <c r="Q25" s="1">
        <f t="shared" si="8"/>
        <v>0.39444444444444443</v>
      </c>
      <c r="R25" s="5">
        <f t="shared" si="0"/>
        <v>0.78888888888888886</v>
      </c>
      <c r="S25" s="5">
        <f t="shared" si="1"/>
        <v>-0.68888888888888888</v>
      </c>
      <c r="T25" s="5">
        <f t="shared" si="6"/>
        <v>64.629444444444445</v>
      </c>
      <c r="V25" s="1">
        <v>1137.9000000000001</v>
      </c>
      <c r="X25" s="1">
        <f t="shared" si="7"/>
        <v>18277.3</v>
      </c>
      <c r="AA25" s="1">
        <v>12.0883815144407</v>
      </c>
    </row>
    <row r="26" spans="1:27" s="1" customFormat="1" x14ac:dyDescent="0.25">
      <c r="A26" s="52"/>
      <c r="B26" s="2"/>
      <c r="C26" s="3">
        <v>42273</v>
      </c>
      <c r="D26" s="1">
        <v>12.3</v>
      </c>
      <c r="E26" s="1">
        <v>7</v>
      </c>
      <c r="F26" s="1">
        <v>17.899999999999999</v>
      </c>
      <c r="G26" s="1">
        <f t="shared" si="3"/>
        <v>260.90000000000003</v>
      </c>
      <c r="J26" s="1">
        <v>0</v>
      </c>
      <c r="K26" s="1">
        <f t="shared" si="4"/>
        <v>48.1</v>
      </c>
      <c r="L26" s="1">
        <v>1.8</v>
      </c>
      <c r="M26" s="1">
        <f t="shared" si="5"/>
        <v>37.299999999999997</v>
      </c>
      <c r="N26" s="1">
        <v>-1.8</v>
      </c>
      <c r="O26" s="1">
        <f t="shared" si="2"/>
        <v>40.100000000000009</v>
      </c>
      <c r="P26" s="1">
        <v>18</v>
      </c>
      <c r="Q26" s="1">
        <f t="shared" si="8"/>
        <v>0.39999999999999997</v>
      </c>
      <c r="R26" s="5">
        <f t="shared" si="0"/>
        <v>0.72</v>
      </c>
      <c r="S26" s="5">
        <f t="shared" si="1"/>
        <v>-0.72</v>
      </c>
      <c r="T26" s="5">
        <f t="shared" si="6"/>
        <v>63.909444444444446</v>
      </c>
      <c r="V26" s="1">
        <v>1070.7</v>
      </c>
      <c r="X26" s="1">
        <f t="shared" si="7"/>
        <v>19348</v>
      </c>
      <c r="AA26" s="1">
        <v>12.030376765913299</v>
      </c>
    </row>
    <row r="27" spans="1:27" s="1" customFormat="1" x14ac:dyDescent="0.25">
      <c r="A27" s="52"/>
      <c r="B27" s="2"/>
      <c r="C27" s="3">
        <v>42274</v>
      </c>
      <c r="D27" s="1">
        <v>13.7</v>
      </c>
      <c r="E27" s="1">
        <v>8.1</v>
      </c>
      <c r="F27" s="1">
        <v>19.2</v>
      </c>
      <c r="G27" s="1">
        <f t="shared" si="3"/>
        <v>274.60000000000002</v>
      </c>
      <c r="J27" s="1">
        <v>0</v>
      </c>
      <c r="K27" s="1">
        <f t="shared" si="4"/>
        <v>48.1</v>
      </c>
      <c r="L27" s="1">
        <v>3.1</v>
      </c>
      <c r="M27" s="1">
        <f t="shared" si="5"/>
        <v>40.4</v>
      </c>
      <c r="N27" s="1">
        <v>-3.1</v>
      </c>
      <c r="O27" s="1">
        <f t="shared" si="2"/>
        <v>37.000000000000007</v>
      </c>
      <c r="P27" s="1">
        <v>19</v>
      </c>
      <c r="Q27" s="1">
        <f t="shared" si="8"/>
        <v>0.40555555555555556</v>
      </c>
      <c r="R27" s="5">
        <f t="shared" si="0"/>
        <v>1.2572222222222222</v>
      </c>
      <c r="S27" s="5">
        <f t="shared" si="1"/>
        <v>-1.2572222222222222</v>
      </c>
      <c r="T27" s="5">
        <f t="shared" si="6"/>
        <v>62.652222222222221</v>
      </c>
      <c r="V27" s="1">
        <v>1573.4</v>
      </c>
      <c r="X27" s="1">
        <f t="shared" si="7"/>
        <v>20921.400000000001</v>
      </c>
      <c r="AA27" s="1">
        <v>11.972369597360601</v>
      </c>
    </row>
    <row r="28" spans="1:27" s="1" customFormat="1" x14ac:dyDescent="0.25">
      <c r="A28" s="52"/>
      <c r="B28" s="2"/>
      <c r="C28" s="3">
        <v>42275</v>
      </c>
      <c r="D28" s="1">
        <v>14.5</v>
      </c>
      <c r="E28" s="1">
        <v>9.1999999999999993</v>
      </c>
      <c r="F28" s="1">
        <v>19.7</v>
      </c>
      <c r="G28" s="1">
        <f t="shared" si="3"/>
        <v>289.10000000000002</v>
      </c>
      <c r="J28" s="1">
        <v>0</v>
      </c>
      <c r="K28" s="1">
        <f t="shared" si="4"/>
        <v>48.1</v>
      </c>
      <c r="L28" s="1">
        <v>3.9</v>
      </c>
      <c r="M28" s="1">
        <f t="shared" si="5"/>
        <v>44.3</v>
      </c>
      <c r="N28" s="1">
        <v>-3.9</v>
      </c>
      <c r="O28" s="1">
        <f t="shared" si="2"/>
        <v>33.100000000000009</v>
      </c>
      <c r="P28" s="1">
        <v>20</v>
      </c>
      <c r="Q28" s="1">
        <f t="shared" si="8"/>
        <v>0.41111111111111109</v>
      </c>
      <c r="R28" s="5">
        <f t="shared" si="0"/>
        <v>1.6033333333333333</v>
      </c>
      <c r="S28" s="5">
        <f t="shared" si="1"/>
        <v>-1.6033333333333333</v>
      </c>
      <c r="T28" s="5">
        <f t="shared" si="6"/>
        <v>61.048888888888889</v>
      </c>
      <c r="V28" s="1">
        <v>1799</v>
      </c>
      <c r="X28" s="1">
        <f t="shared" si="7"/>
        <v>22720.400000000001</v>
      </c>
      <c r="AA28" s="1">
        <v>11.9143655718154</v>
      </c>
    </row>
    <row r="29" spans="1:27" s="1" customFormat="1" x14ac:dyDescent="0.25">
      <c r="A29" s="52"/>
      <c r="B29" s="2"/>
      <c r="C29" s="3">
        <v>42276</v>
      </c>
      <c r="D29" s="1">
        <v>13.7</v>
      </c>
      <c r="E29" s="1">
        <v>8.9</v>
      </c>
      <c r="F29" s="1">
        <v>18.600000000000001</v>
      </c>
      <c r="G29" s="1">
        <f t="shared" si="3"/>
        <v>302.8</v>
      </c>
      <c r="J29" s="1">
        <v>0</v>
      </c>
      <c r="K29" s="1">
        <f t="shared" si="4"/>
        <v>48.1</v>
      </c>
      <c r="L29" s="1">
        <v>3.9</v>
      </c>
      <c r="M29" s="1">
        <f t="shared" si="5"/>
        <v>48.199999999999996</v>
      </c>
      <c r="N29" s="1">
        <v>-3.9</v>
      </c>
      <c r="O29" s="1">
        <f t="shared" si="2"/>
        <v>29.20000000000001</v>
      </c>
      <c r="P29" s="1">
        <v>21</v>
      </c>
      <c r="Q29" s="1">
        <f t="shared" si="8"/>
        <v>0.41666666666666663</v>
      </c>
      <c r="R29" s="5">
        <f t="shared" si="0"/>
        <v>1.6249999999999998</v>
      </c>
      <c r="S29" s="5">
        <f t="shared" si="1"/>
        <v>-1.6249999999999998</v>
      </c>
      <c r="T29" s="5">
        <f t="shared" si="6"/>
        <v>59.423888888888889</v>
      </c>
      <c r="V29" s="1">
        <v>1804.5</v>
      </c>
      <c r="X29" s="1">
        <f t="shared" si="7"/>
        <v>24524.9</v>
      </c>
      <c r="AA29" s="1">
        <v>11.856370332278001</v>
      </c>
    </row>
    <row r="30" spans="1:27" s="1" customFormat="1" x14ac:dyDescent="0.25">
      <c r="A30" s="52"/>
      <c r="B30" s="2"/>
      <c r="C30" s="3">
        <v>42277</v>
      </c>
      <c r="D30" s="1">
        <v>12.6</v>
      </c>
      <c r="E30" s="1">
        <v>7.9</v>
      </c>
      <c r="F30" s="1">
        <v>18.3</v>
      </c>
      <c r="G30" s="1">
        <f t="shared" si="3"/>
        <v>315.40000000000003</v>
      </c>
      <c r="J30" s="1">
        <v>0</v>
      </c>
      <c r="K30" s="1">
        <f t="shared" si="4"/>
        <v>48.1</v>
      </c>
      <c r="L30" s="1">
        <v>3.2</v>
      </c>
      <c r="M30" s="1">
        <f t="shared" si="5"/>
        <v>51.4</v>
      </c>
      <c r="N30" s="1">
        <v>-3.2</v>
      </c>
      <c r="O30" s="1">
        <f t="shared" si="2"/>
        <v>26.000000000000011</v>
      </c>
      <c r="P30" s="1">
        <v>22</v>
      </c>
      <c r="Q30" s="1">
        <f t="shared" si="8"/>
        <v>0.42222222222222217</v>
      </c>
      <c r="R30" s="5">
        <f t="shared" si="0"/>
        <v>1.3511111111111109</v>
      </c>
      <c r="S30" s="5">
        <f t="shared" si="1"/>
        <v>-1.3511111111111109</v>
      </c>
      <c r="T30" s="5">
        <f t="shared" si="6"/>
        <v>58.07277777777778</v>
      </c>
      <c r="V30" s="1">
        <v>1792.8</v>
      </c>
      <c r="X30" s="1">
        <f t="shared" si="7"/>
        <v>26317.7</v>
      </c>
      <c r="AA30" s="1">
        <v>11.7983896186562</v>
      </c>
    </row>
    <row r="31" spans="1:27" s="1" customFormat="1" x14ac:dyDescent="0.25">
      <c r="A31" s="52"/>
      <c r="B31" s="2"/>
      <c r="C31" s="3">
        <v>42278</v>
      </c>
      <c r="D31" s="1">
        <v>11.6</v>
      </c>
      <c r="E31" s="1">
        <v>7.1</v>
      </c>
      <c r="F31" s="1">
        <v>17.100000000000001</v>
      </c>
      <c r="G31" s="1">
        <f t="shared" si="3"/>
        <v>327.00000000000006</v>
      </c>
      <c r="J31" s="1">
        <v>0</v>
      </c>
      <c r="K31" s="1">
        <f t="shared" si="4"/>
        <v>48.1</v>
      </c>
      <c r="L31" s="1">
        <v>3.4</v>
      </c>
      <c r="M31" s="1">
        <f t="shared" si="5"/>
        <v>54.8</v>
      </c>
      <c r="N31" s="1">
        <v>-3.4</v>
      </c>
      <c r="O31" s="1">
        <f t="shared" si="2"/>
        <v>22.600000000000012</v>
      </c>
      <c r="P31" s="1">
        <v>23</v>
      </c>
      <c r="Q31" s="1">
        <f t="shared" si="8"/>
        <v>0.42777777777777776</v>
      </c>
      <c r="R31" s="5">
        <f t="shared" si="0"/>
        <v>1.4544444444444444</v>
      </c>
      <c r="S31" s="5">
        <f t="shared" si="1"/>
        <v>-1.4544444444444444</v>
      </c>
      <c r="T31" s="5">
        <f t="shared" si="6"/>
        <v>56.618333333333339</v>
      </c>
      <c r="V31" s="1">
        <v>1741.6</v>
      </c>
      <c r="X31" s="1">
        <f t="shared" si="7"/>
        <v>28059.3</v>
      </c>
      <c r="AA31" s="1">
        <v>11.740429284817401</v>
      </c>
    </row>
    <row r="32" spans="1:27" s="1" customFormat="1" x14ac:dyDescent="0.25">
      <c r="A32" s="52"/>
      <c r="B32" s="2"/>
      <c r="C32" s="3">
        <v>42279</v>
      </c>
      <c r="D32" s="1">
        <v>12.7</v>
      </c>
      <c r="E32" s="1">
        <v>6.6</v>
      </c>
      <c r="F32" s="1">
        <v>18.3</v>
      </c>
      <c r="G32" s="1">
        <f t="shared" si="3"/>
        <v>339.70000000000005</v>
      </c>
      <c r="J32" s="1">
        <v>0</v>
      </c>
      <c r="K32" s="1">
        <f t="shared" si="4"/>
        <v>48.1</v>
      </c>
      <c r="L32" s="1">
        <v>2.5</v>
      </c>
      <c r="M32" s="1">
        <f t="shared" si="5"/>
        <v>57.3</v>
      </c>
      <c r="N32" s="1">
        <v>-2.5</v>
      </c>
      <c r="O32" s="1">
        <f t="shared" si="2"/>
        <v>20.100000000000012</v>
      </c>
      <c r="P32" s="1">
        <v>24</v>
      </c>
      <c r="Q32" s="1">
        <f t="shared" si="8"/>
        <v>0.43333333333333329</v>
      </c>
      <c r="R32" s="5">
        <f t="shared" si="0"/>
        <v>1.0833333333333333</v>
      </c>
      <c r="S32" s="5">
        <f t="shared" si="1"/>
        <v>-1.0833333333333333</v>
      </c>
      <c r="T32" s="5">
        <f t="shared" si="6"/>
        <v>55.535000000000004</v>
      </c>
      <c r="V32" s="1">
        <v>1537.5</v>
      </c>
      <c r="X32" s="1">
        <f t="shared" si="7"/>
        <v>29596.799999999999</v>
      </c>
      <c r="AA32" s="1">
        <v>11.6824953157588</v>
      </c>
    </row>
    <row r="33" spans="1:27" s="1" customFormat="1" x14ac:dyDescent="0.25">
      <c r="A33" s="52"/>
      <c r="B33" s="2"/>
      <c r="C33" s="3">
        <v>42280</v>
      </c>
      <c r="D33" s="1">
        <v>13.2</v>
      </c>
      <c r="E33" s="1">
        <v>10.4</v>
      </c>
      <c r="F33" s="1">
        <v>16.7</v>
      </c>
      <c r="G33" s="1">
        <f t="shared" si="3"/>
        <v>352.90000000000003</v>
      </c>
      <c r="J33" s="1">
        <v>0</v>
      </c>
      <c r="K33" s="1">
        <f t="shared" si="4"/>
        <v>48.1</v>
      </c>
      <c r="L33" s="1">
        <v>0.7</v>
      </c>
      <c r="M33" s="1">
        <f t="shared" si="5"/>
        <v>58</v>
      </c>
      <c r="N33" s="1">
        <v>-0.7</v>
      </c>
      <c r="O33" s="1">
        <f t="shared" si="2"/>
        <v>19.400000000000013</v>
      </c>
      <c r="P33" s="1">
        <v>25</v>
      </c>
      <c r="Q33" s="1">
        <f t="shared" si="8"/>
        <v>0.43888888888888888</v>
      </c>
      <c r="R33" s="5">
        <f t="shared" si="0"/>
        <v>0.30722222222222217</v>
      </c>
      <c r="S33" s="5">
        <f t="shared" si="1"/>
        <v>-0.30722222222222217</v>
      </c>
      <c r="T33" s="5">
        <f t="shared" si="6"/>
        <v>55.227777777777781</v>
      </c>
      <c r="V33" s="1">
        <v>326.60000000000002</v>
      </c>
      <c r="X33" s="1">
        <f t="shared" si="7"/>
        <v>29923.399999999998</v>
      </c>
      <c r="AA33" s="1">
        <v>11.624593844895101</v>
      </c>
    </row>
    <row r="34" spans="1:27" s="1" customFormat="1" x14ac:dyDescent="0.25">
      <c r="A34" s="52"/>
      <c r="B34" s="2"/>
      <c r="C34" s="3">
        <v>42281</v>
      </c>
      <c r="D34" s="1">
        <v>12</v>
      </c>
      <c r="E34" s="1">
        <v>9.1</v>
      </c>
      <c r="F34" s="1">
        <v>16.100000000000001</v>
      </c>
      <c r="G34" s="1">
        <f t="shared" si="3"/>
        <v>364.90000000000003</v>
      </c>
      <c r="J34" s="1">
        <v>6.8</v>
      </c>
      <c r="K34" s="1">
        <f t="shared" si="4"/>
        <v>54.9</v>
      </c>
      <c r="L34" s="1">
        <v>1.5</v>
      </c>
      <c r="M34" s="1">
        <f t="shared" si="5"/>
        <v>59.5</v>
      </c>
      <c r="N34" s="1">
        <v>5.3</v>
      </c>
      <c r="O34" s="1">
        <f t="shared" si="2"/>
        <v>24.700000000000014</v>
      </c>
      <c r="P34" s="1">
        <v>26</v>
      </c>
      <c r="Q34" s="1">
        <f t="shared" si="8"/>
        <v>0.44444444444444442</v>
      </c>
      <c r="R34" s="5">
        <f t="shared" si="0"/>
        <v>0.66666666666666663</v>
      </c>
      <c r="S34" s="5">
        <f t="shared" si="1"/>
        <v>6.1333333333333329</v>
      </c>
      <c r="T34" s="5">
        <f t="shared" si="6"/>
        <v>61.361111111111114</v>
      </c>
      <c r="V34" s="1">
        <v>728.7</v>
      </c>
      <c r="X34" s="1">
        <f t="shared" si="7"/>
        <v>30652.1</v>
      </c>
      <c r="AA34" s="1">
        <v>11.566731171465699</v>
      </c>
    </row>
    <row r="35" spans="1:27" s="1" customFormat="1" x14ac:dyDescent="0.25">
      <c r="A35" s="52"/>
      <c r="B35" s="2"/>
      <c r="C35" s="3">
        <v>42282</v>
      </c>
      <c r="D35" s="1">
        <v>16.8</v>
      </c>
      <c r="E35" s="1">
        <v>12.6</v>
      </c>
      <c r="F35" s="1">
        <v>17.899999999999999</v>
      </c>
      <c r="G35" s="1">
        <f t="shared" si="3"/>
        <v>381.70000000000005</v>
      </c>
      <c r="J35" s="1">
        <v>7.4</v>
      </c>
      <c r="K35" s="1">
        <f t="shared" si="4"/>
        <v>62.3</v>
      </c>
      <c r="L35" s="1">
        <v>0.2</v>
      </c>
      <c r="M35" s="1">
        <f t="shared" si="5"/>
        <v>59.7</v>
      </c>
      <c r="N35" s="1">
        <v>7.2</v>
      </c>
      <c r="O35" s="1">
        <f t="shared" si="2"/>
        <v>31.900000000000013</v>
      </c>
      <c r="P35" s="1">
        <v>27</v>
      </c>
      <c r="Q35" s="1">
        <f t="shared" si="8"/>
        <v>0.44999999999999996</v>
      </c>
      <c r="R35" s="5">
        <f t="shared" si="0"/>
        <v>0.09</v>
      </c>
      <c r="S35" s="5">
        <f t="shared" si="1"/>
        <v>7.3100000000000005</v>
      </c>
      <c r="T35" s="5">
        <f t="shared" si="6"/>
        <v>68.671111111111117</v>
      </c>
      <c r="V35" s="1">
        <v>277.2</v>
      </c>
      <c r="X35" s="1">
        <f t="shared" si="7"/>
        <v>30929.3</v>
      </c>
      <c r="AA35" s="1">
        <v>11.5089137780611</v>
      </c>
    </row>
    <row r="36" spans="1:27" s="1" customFormat="1" x14ac:dyDescent="0.25">
      <c r="A36" s="52"/>
      <c r="B36" s="2"/>
      <c r="C36" s="3">
        <v>42283</v>
      </c>
      <c r="D36" s="1">
        <v>15.6</v>
      </c>
      <c r="E36" s="1">
        <v>15</v>
      </c>
      <c r="F36" s="1">
        <v>18.600000000000001</v>
      </c>
      <c r="G36" s="1">
        <f t="shared" si="3"/>
        <v>397.30000000000007</v>
      </c>
      <c r="J36" s="1">
        <v>0.9</v>
      </c>
      <c r="K36" s="1">
        <f t="shared" si="4"/>
        <v>63.199999999999996</v>
      </c>
      <c r="L36" s="1">
        <v>1.8</v>
      </c>
      <c r="M36" s="1">
        <f t="shared" si="5"/>
        <v>61.5</v>
      </c>
      <c r="N36" s="1">
        <v>-0.9</v>
      </c>
      <c r="O36" s="1">
        <f t="shared" si="2"/>
        <v>31.000000000000014</v>
      </c>
      <c r="P36" s="1">
        <v>28</v>
      </c>
      <c r="Q36" s="1">
        <f t="shared" si="8"/>
        <v>0.45555555555555555</v>
      </c>
      <c r="R36" s="5">
        <f t="shared" si="0"/>
        <v>0.82</v>
      </c>
      <c r="S36" s="5">
        <f t="shared" si="1"/>
        <v>8.0000000000000071E-2</v>
      </c>
      <c r="T36" s="5">
        <f t="shared" si="6"/>
        <v>68.751111111111115</v>
      </c>
      <c r="V36" s="1">
        <v>355.9</v>
      </c>
      <c r="X36" s="1">
        <f t="shared" si="7"/>
        <v>31285.200000000001</v>
      </c>
      <c r="AA36" s="1">
        <v>11.451148348265299</v>
      </c>
    </row>
    <row r="37" spans="1:27" s="1" customFormat="1" x14ac:dyDescent="0.25">
      <c r="A37" s="52"/>
      <c r="B37" s="2"/>
      <c r="C37" s="3">
        <v>42284</v>
      </c>
      <c r="D37" s="1">
        <v>13</v>
      </c>
      <c r="E37" s="1">
        <v>11.8</v>
      </c>
      <c r="F37" s="1">
        <v>16.2</v>
      </c>
      <c r="G37" s="1">
        <f t="shared" si="3"/>
        <v>410.30000000000007</v>
      </c>
      <c r="J37" s="1">
        <v>0</v>
      </c>
      <c r="K37" s="1">
        <f t="shared" si="4"/>
        <v>63.199999999999996</v>
      </c>
      <c r="L37" s="1">
        <v>1.9</v>
      </c>
      <c r="M37" s="1">
        <f t="shared" si="5"/>
        <v>63.4</v>
      </c>
      <c r="N37" s="1">
        <v>-1.9</v>
      </c>
      <c r="O37" s="1">
        <f t="shared" si="2"/>
        <v>29.100000000000016</v>
      </c>
      <c r="P37" s="1">
        <v>29</v>
      </c>
      <c r="Q37" s="1">
        <f t="shared" si="8"/>
        <v>0.46111111111111108</v>
      </c>
      <c r="R37" s="5">
        <f t="shared" si="0"/>
        <v>0.87611111111111106</v>
      </c>
      <c r="S37" s="5">
        <f t="shared" si="1"/>
        <v>-0.87611111111111106</v>
      </c>
      <c r="T37" s="5">
        <f t="shared" si="6"/>
        <v>67.875</v>
      </c>
      <c r="V37" s="1">
        <v>1086.8</v>
      </c>
      <c r="X37" s="1">
        <f t="shared" si="7"/>
        <v>32372</v>
      </c>
      <c r="AA37" s="1">
        <v>11.393441784411801</v>
      </c>
    </row>
    <row r="38" spans="1:27" s="1" customFormat="1" x14ac:dyDescent="0.25">
      <c r="A38" s="52"/>
      <c r="B38" s="2"/>
      <c r="C38" s="3">
        <v>42285</v>
      </c>
      <c r="D38" s="1">
        <v>12.7</v>
      </c>
      <c r="E38" s="1">
        <v>9.4</v>
      </c>
      <c r="F38" s="1">
        <v>17.3</v>
      </c>
      <c r="G38" s="1">
        <f t="shared" si="3"/>
        <v>423.00000000000006</v>
      </c>
      <c r="J38" s="1">
        <v>0</v>
      </c>
      <c r="K38" s="1">
        <f t="shared" si="4"/>
        <v>63.199999999999996</v>
      </c>
      <c r="L38" s="1">
        <v>1</v>
      </c>
      <c r="M38" s="1">
        <f t="shared" si="5"/>
        <v>64.400000000000006</v>
      </c>
      <c r="N38" s="1">
        <v>-1</v>
      </c>
      <c r="O38" s="1">
        <f t="shared" si="2"/>
        <v>28.100000000000016</v>
      </c>
      <c r="P38" s="1">
        <v>30</v>
      </c>
      <c r="Q38" s="1">
        <f t="shared" si="8"/>
        <v>0.46666666666666667</v>
      </c>
      <c r="R38" s="5">
        <f t="shared" si="0"/>
        <v>0.46666666666666667</v>
      </c>
      <c r="S38" s="5">
        <f t="shared" si="1"/>
        <v>-0.46666666666666667</v>
      </c>
      <c r="T38" s="5">
        <f t="shared" si="6"/>
        <v>67.408333333333331</v>
      </c>
      <c r="V38" s="1">
        <v>868.4</v>
      </c>
      <c r="X38" s="1">
        <f t="shared" si="7"/>
        <v>33240.400000000001</v>
      </c>
      <c r="AA38" s="1">
        <v>11.335801225446801</v>
      </c>
    </row>
    <row r="39" spans="1:27" s="1" customFormat="1" x14ac:dyDescent="0.25">
      <c r="A39" s="52"/>
      <c r="B39" s="2"/>
      <c r="C39" s="3">
        <v>42286</v>
      </c>
      <c r="D39" s="1">
        <v>10.6</v>
      </c>
      <c r="E39" s="1">
        <v>5.8</v>
      </c>
      <c r="F39" s="1">
        <v>15.3</v>
      </c>
      <c r="G39" s="1">
        <f t="shared" si="3"/>
        <v>433.60000000000008</v>
      </c>
      <c r="J39" s="1">
        <v>0</v>
      </c>
      <c r="K39" s="1">
        <f t="shared" si="4"/>
        <v>63.199999999999996</v>
      </c>
      <c r="L39" s="1">
        <v>1.7</v>
      </c>
      <c r="M39" s="1">
        <f t="shared" si="5"/>
        <v>66.100000000000009</v>
      </c>
      <c r="N39" s="1">
        <v>-1.7</v>
      </c>
      <c r="O39" s="1">
        <f t="shared" si="2"/>
        <v>26.400000000000016</v>
      </c>
      <c r="P39" s="1">
        <v>31</v>
      </c>
      <c r="Q39" s="1">
        <f t="shared" si="8"/>
        <v>0.47222222222222221</v>
      </c>
      <c r="R39" s="5">
        <f t="shared" si="0"/>
        <v>0.8027777777777777</v>
      </c>
      <c r="S39" s="5">
        <f t="shared" si="1"/>
        <v>-0.8027777777777777</v>
      </c>
      <c r="T39" s="5">
        <f t="shared" si="6"/>
        <v>66.605555555555554</v>
      </c>
      <c r="V39" s="1">
        <v>1119.5999999999999</v>
      </c>
      <c r="X39" s="1">
        <f t="shared" si="7"/>
        <v>34360</v>
      </c>
      <c r="AA39" s="1">
        <v>11.278234064892301</v>
      </c>
    </row>
    <row r="40" spans="1:27" s="1" customFormat="1" x14ac:dyDescent="0.25">
      <c r="A40" s="52"/>
      <c r="B40" s="2"/>
      <c r="C40" s="3">
        <v>42287</v>
      </c>
      <c r="D40" s="1">
        <v>11.8</v>
      </c>
      <c r="E40" s="1">
        <v>6.9</v>
      </c>
      <c r="F40" s="1">
        <v>16.100000000000001</v>
      </c>
      <c r="G40" s="1">
        <f t="shared" si="3"/>
        <v>445.40000000000009</v>
      </c>
      <c r="J40" s="1">
        <v>0</v>
      </c>
      <c r="K40" s="1">
        <f t="shared" si="4"/>
        <v>63.199999999999996</v>
      </c>
      <c r="L40" s="1">
        <v>1.4</v>
      </c>
      <c r="M40" s="1">
        <f t="shared" si="5"/>
        <v>67.500000000000014</v>
      </c>
      <c r="N40" s="1">
        <v>-1.4</v>
      </c>
      <c r="O40" s="1">
        <f t="shared" si="2"/>
        <v>25.000000000000018</v>
      </c>
      <c r="P40" s="1">
        <v>32</v>
      </c>
      <c r="Q40" s="1">
        <f t="shared" si="8"/>
        <v>0.47777777777777775</v>
      </c>
      <c r="R40" s="5">
        <f t="shared" si="0"/>
        <v>0.66888888888888876</v>
      </c>
      <c r="S40" s="5">
        <f t="shared" si="1"/>
        <v>-0.66888888888888876</v>
      </c>
      <c r="T40" s="5">
        <f t="shared" si="6"/>
        <v>65.936666666666667</v>
      </c>
      <c r="V40" s="1">
        <v>828.2</v>
      </c>
      <c r="X40" s="1">
        <f t="shared" si="7"/>
        <v>35188.199999999997</v>
      </c>
      <c r="AA40" s="1">
        <v>11.220747968898101</v>
      </c>
    </row>
    <row r="41" spans="1:27" s="1" customFormat="1" x14ac:dyDescent="0.25">
      <c r="A41" s="52"/>
      <c r="B41" s="2"/>
      <c r="C41" s="3">
        <v>42288</v>
      </c>
      <c r="D41" s="1">
        <v>13.3</v>
      </c>
      <c r="E41" s="1">
        <v>10.5</v>
      </c>
      <c r="F41" s="1">
        <v>17.3</v>
      </c>
      <c r="G41" s="1">
        <f t="shared" si="3"/>
        <v>458.7000000000001</v>
      </c>
      <c r="J41" s="1">
        <v>0</v>
      </c>
      <c r="K41" s="1">
        <f t="shared" si="4"/>
        <v>63.199999999999996</v>
      </c>
      <c r="L41" s="1">
        <v>2.2000000000000002</v>
      </c>
      <c r="M41" s="1">
        <f t="shared" si="5"/>
        <v>69.700000000000017</v>
      </c>
      <c r="N41" s="1">
        <v>-2.2000000000000002</v>
      </c>
      <c r="O41" s="1">
        <f t="shared" si="2"/>
        <v>22.800000000000018</v>
      </c>
      <c r="P41" s="1">
        <v>33</v>
      </c>
      <c r="Q41" s="1">
        <f t="shared" si="8"/>
        <v>0.48333333333333328</v>
      </c>
      <c r="R41" s="5">
        <f t="shared" si="0"/>
        <v>1.0633333333333332</v>
      </c>
      <c r="S41" s="5">
        <f t="shared" si="1"/>
        <v>-1.0633333333333332</v>
      </c>
      <c r="T41" s="5">
        <f t="shared" si="6"/>
        <v>64.873333333333335</v>
      </c>
      <c r="V41" s="1">
        <v>1103.7</v>
      </c>
      <c r="X41" s="1">
        <f t="shared" si="7"/>
        <v>36291.899999999994</v>
      </c>
      <c r="AA41" s="1">
        <v>11.163350894371</v>
      </c>
    </row>
    <row r="42" spans="1:27" s="1" customFormat="1" x14ac:dyDescent="0.25">
      <c r="A42" s="52"/>
      <c r="B42" s="2"/>
      <c r="C42" s="3">
        <v>42289</v>
      </c>
      <c r="D42" s="1">
        <v>12.1</v>
      </c>
      <c r="E42" s="1">
        <v>9.8000000000000007</v>
      </c>
      <c r="F42" s="1">
        <v>16.100000000000001</v>
      </c>
      <c r="G42" s="1">
        <f t="shared" si="3"/>
        <v>470.80000000000013</v>
      </c>
      <c r="J42" s="1">
        <v>0</v>
      </c>
      <c r="K42" s="1">
        <f t="shared" si="4"/>
        <v>63.199999999999996</v>
      </c>
      <c r="L42" s="1">
        <v>1.6</v>
      </c>
      <c r="M42" s="1">
        <f t="shared" si="5"/>
        <v>71.300000000000011</v>
      </c>
      <c r="N42" s="1">
        <v>-1.6</v>
      </c>
      <c r="O42" s="1">
        <f t="shared" si="2"/>
        <v>21.200000000000017</v>
      </c>
      <c r="P42" s="1">
        <v>34</v>
      </c>
      <c r="Q42" s="1">
        <f t="shared" si="8"/>
        <v>0.48888888888888887</v>
      </c>
      <c r="R42" s="5">
        <f t="shared" si="0"/>
        <v>0.78222222222222226</v>
      </c>
      <c r="S42" s="5">
        <f t="shared" si="1"/>
        <v>-0.78222222222222226</v>
      </c>
      <c r="T42" s="5">
        <f t="shared" si="6"/>
        <v>64.091111111111118</v>
      </c>
      <c r="V42" s="1">
        <v>676.5</v>
      </c>
      <c r="X42" s="1">
        <f t="shared" si="7"/>
        <v>36968.399999999994</v>
      </c>
      <c r="AA42" s="1">
        <v>11.1060511071659</v>
      </c>
    </row>
    <row r="43" spans="1:27" s="1" customFormat="1" x14ac:dyDescent="0.25">
      <c r="A43" s="52"/>
      <c r="B43" s="2"/>
      <c r="C43" s="3">
        <v>42290</v>
      </c>
      <c r="D43" s="1">
        <v>9.8000000000000007</v>
      </c>
      <c r="E43" s="1">
        <v>6.8</v>
      </c>
      <c r="F43" s="1">
        <v>13.7</v>
      </c>
      <c r="G43" s="1">
        <f t="shared" si="3"/>
        <v>480.60000000000014</v>
      </c>
      <c r="J43" s="1">
        <v>0</v>
      </c>
      <c r="K43" s="1">
        <f t="shared" si="4"/>
        <v>63.199999999999996</v>
      </c>
      <c r="L43" s="1">
        <v>1.6</v>
      </c>
      <c r="M43" s="1">
        <f t="shared" si="5"/>
        <v>72.900000000000006</v>
      </c>
      <c r="N43" s="1">
        <v>-1.6</v>
      </c>
      <c r="O43" s="1">
        <f t="shared" si="2"/>
        <v>19.600000000000016</v>
      </c>
      <c r="P43" s="1">
        <v>35</v>
      </c>
      <c r="Q43" s="1">
        <f t="shared" si="8"/>
        <v>0.49444444444444441</v>
      </c>
      <c r="R43" s="5">
        <f t="shared" si="0"/>
        <v>0.7911111111111111</v>
      </c>
      <c r="S43" s="5">
        <f t="shared" si="1"/>
        <v>-0.7911111111111111</v>
      </c>
      <c r="T43" s="5">
        <f t="shared" si="6"/>
        <v>63.300000000000004</v>
      </c>
      <c r="V43" s="1">
        <v>948.4</v>
      </c>
      <c r="X43" s="1">
        <f t="shared" si="7"/>
        <v>37916.799999999996</v>
      </c>
      <c r="AA43" s="1">
        <v>11.0488572003194</v>
      </c>
    </row>
    <row r="44" spans="1:27" s="1" customFormat="1" x14ac:dyDescent="0.25">
      <c r="A44" s="52"/>
      <c r="B44" s="2"/>
      <c r="C44" s="3">
        <v>42291</v>
      </c>
      <c r="D44" s="1">
        <v>9.1</v>
      </c>
      <c r="E44" s="1">
        <v>6.5</v>
      </c>
      <c r="F44" s="1">
        <v>13.4</v>
      </c>
      <c r="G44" s="1">
        <f t="shared" si="3"/>
        <v>489.70000000000016</v>
      </c>
      <c r="J44" s="1">
        <v>0</v>
      </c>
      <c r="K44" s="1">
        <f t="shared" si="4"/>
        <v>63.199999999999996</v>
      </c>
      <c r="L44" s="1">
        <v>1.3</v>
      </c>
      <c r="M44" s="1">
        <f t="shared" si="5"/>
        <v>74.2</v>
      </c>
      <c r="N44" s="1">
        <v>-1.3</v>
      </c>
      <c r="O44" s="1">
        <f t="shared" si="2"/>
        <v>18.300000000000015</v>
      </c>
      <c r="P44" s="1">
        <v>36</v>
      </c>
      <c r="Q44" s="1">
        <f t="shared" si="8"/>
        <v>0.5</v>
      </c>
      <c r="R44" s="5">
        <f t="shared" si="0"/>
        <v>0.65</v>
      </c>
      <c r="S44" s="5">
        <f t="shared" si="1"/>
        <v>-0.65</v>
      </c>
      <c r="T44" s="5">
        <f t="shared" si="6"/>
        <v>62.650000000000006</v>
      </c>
      <c r="V44" s="1">
        <v>627</v>
      </c>
      <c r="X44" s="1">
        <f t="shared" si="7"/>
        <v>38543.799999999996</v>
      </c>
      <c r="AA44" s="1">
        <v>10.9917781123049</v>
      </c>
    </row>
    <row r="45" spans="1:27" s="1" customFormat="1" x14ac:dyDescent="0.25">
      <c r="A45" s="52"/>
      <c r="B45" s="2"/>
      <c r="C45" s="3">
        <v>42292</v>
      </c>
      <c r="D45" s="1">
        <v>7.5</v>
      </c>
      <c r="E45" s="1">
        <v>5.4</v>
      </c>
      <c r="F45" s="1">
        <v>11.1</v>
      </c>
      <c r="G45" s="1">
        <f t="shared" si="3"/>
        <v>497.20000000000016</v>
      </c>
      <c r="J45" s="1">
        <v>0</v>
      </c>
      <c r="K45" s="1">
        <f t="shared" si="4"/>
        <v>63.199999999999996</v>
      </c>
      <c r="L45" s="1">
        <v>1.5</v>
      </c>
      <c r="M45" s="1">
        <f t="shared" si="5"/>
        <v>75.7</v>
      </c>
      <c r="N45" s="1">
        <v>-1.5</v>
      </c>
      <c r="O45" s="1">
        <f t="shared" si="2"/>
        <v>16.800000000000015</v>
      </c>
      <c r="P45" s="1">
        <v>37</v>
      </c>
      <c r="Q45" s="1">
        <f t="shared" si="8"/>
        <v>0.50555555555555554</v>
      </c>
      <c r="R45" s="5">
        <f t="shared" si="0"/>
        <v>0.7583333333333333</v>
      </c>
      <c r="S45" s="5">
        <f t="shared" si="1"/>
        <v>-0.7583333333333333</v>
      </c>
      <c r="T45" s="5">
        <f t="shared" si="6"/>
        <v>61.891666666666673</v>
      </c>
      <c r="V45" s="1">
        <v>970.6</v>
      </c>
      <c r="X45" s="1">
        <f t="shared" si="7"/>
        <v>39514.399999999994</v>
      </c>
      <c r="AA45" s="1">
        <v>10.9348231452836</v>
      </c>
    </row>
    <row r="46" spans="1:27" s="1" customFormat="1" x14ac:dyDescent="0.25">
      <c r="A46" s="52"/>
      <c r="B46" s="2"/>
      <c r="C46" s="3">
        <v>42293</v>
      </c>
      <c r="D46" s="1">
        <v>10</v>
      </c>
      <c r="E46" s="1">
        <v>3.2</v>
      </c>
      <c r="F46" s="1">
        <v>14.4</v>
      </c>
      <c r="G46" s="1">
        <f t="shared" si="3"/>
        <v>507.20000000000016</v>
      </c>
      <c r="J46" s="1">
        <v>0</v>
      </c>
      <c r="K46" s="1">
        <f t="shared" si="4"/>
        <v>63.199999999999996</v>
      </c>
      <c r="L46" s="1">
        <v>0.5</v>
      </c>
      <c r="M46" s="1">
        <f t="shared" si="5"/>
        <v>76.2</v>
      </c>
      <c r="N46" s="1">
        <v>-0.5</v>
      </c>
      <c r="O46" s="1">
        <f t="shared" si="2"/>
        <v>16.300000000000015</v>
      </c>
      <c r="P46" s="1">
        <v>38</v>
      </c>
      <c r="Q46" s="1">
        <f t="shared" si="8"/>
        <v>0.51111111111111107</v>
      </c>
      <c r="R46" s="5">
        <f t="shared" si="0"/>
        <v>0.25555555555555554</v>
      </c>
      <c r="S46" s="5">
        <f t="shared" si="1"/>
        <v>-0.25555555555555554</v>
      </c>
      <c r="T46" s="5">
        <f t="shared" si="6"/>
        <v>61.63611111111112</v>
      </c>
      <c r="V46" s="1">
        <v>335</v>
      </c>
      <c r="X46" s="1">
        <f t="shared" si="7"/>
        <v>39849.399999999994</v>
      </c>
      <c r="AA46" s="1">
        <v>10.878001983322999</v>
      </c>
    </row>
    <row r="47" spans="1:27" s="1" customFormat="1" x14ac:dyDescent="0.25">
      <c r="A47" s="52"/>
      <c r="B47" s="2"/>
      <c r="C47" s="3">
        <v>42294</v>
      </c>
      <c r="D47" s="1">
        <v>11.4</v>
      </c>
      <c r="E47" s="1">
        <v>10.9</v>
      </c>
      <c r="F47" s="1">
        <v>15</v>
      </c>
      <c r="G47" s="1">
        <f t="shared" si="3"/>
        <v>518.60000000000014</v>
      </c>
      <c r="J47" s="1">
        <v>0</v>
      </c>
      <c r="K47" s="1">
        <f t="shared" si="4"/>
        <v>63.199999999999996</v>
      </c>
      <c r="L47" s="1">
        <v>1.2</v>
      </c>
      <c r="M47" s="1">
        <f t="shared" si="5"/>
        <v>77.400000000000006</v>
      </c>
      <c r="N47" s="1">
        <v>-1.2</v>
      </c>
      <c r="O47" s="1">
        <f t="shared" si="2"/>
        <v>15.100000000000016</v>
      </c>
      <c r="P47" s="1">
        <v>39</v>
      </c>
      <c r="Q47" s="1">
        <f t="shared" si="8"/>
        <v>0.51666666666666661</v>
      </c>
      <c r="R47" s="5">
        <f t="shared" si="0"/>
        <v>0.61999999999999988</v>
      </c>
      <c r="S47" s="5">
        <f t="shared" si="1"/>
        <v>-0.61999999999999988</v>
      </c>
      <c r="T47" s="5">
        <f t="shared" si="6"/>
        <v>61.016111111111123</v>
      </c>
      <c r="V47" s="1">
        <v>583.4</v>
      </c>
      <c r="X47" s="1">
        <f t="shared" si="7"/>
        <v>40432.799999999996</v>
      </c>
      <c r="AA47" s="1">
        <v>10.8213247105489</v>
      </c>
    </row>
    <row r="48" spans="1:27" s="1" customFormat="1" x14ac:dyDescent="0.25">
      <c r="A48" s="52"/>
      <c r="B48" s="2"/>
      <c r="C48" s="3">
        <v>42295</v>
      </c>
      <c r="D48" s="1">
        <v>10</v>
      </c>
      <c r="E48" s="1">
        <v>5.8</v>
      </c>
      <c r="F48" s="1">
        <v>14.5</v>
      </c>
      <c r="G48" s="1">
        <f t="shared" si="3"/>
        <v>528.60000000000014</v>
      </c>
      <c r="J48" s="1">
        <v>0</v>
      </c>
      <c r="K48" s="1">
        <f t="shared" si="4"/>
        <v>63.199999999999996</v>
      </c>
      <c r="L48" s="1">
        <v>0.7</v>
      </c>
      <c r="M48" s="1">
        <f t="shared" si="5"/>
        <v>78.100000000000009</v>
      </c>
      <c r="N48" s="1">
        <v>-0.7</v>
      </c>
      <c r="O48" s="1">
        <f t="shared" si="2"/>
        <v>14.400000000000016</v>
      </c>
      <c r="P48" s="1">
        <v>40</v>
      </c>
      <c r="Q48" s="1">
        <f t="shared" si="8"/>
        <v>0.52222222222222214</v>
      </c>
      <c r="R48" s="5">
        <f t="shared" si="0"/>
        <v>0.36555555555555547</v>
      </c>
      <c r="S48" s="5">
        <f t="shared" si="1"/>
        <v>-0.36555555555555547</v>
      </c>
      <c r="T48" s="5">
        <f t="shared" si="6"/>
        <v>60.65055555555557</v>
      </c>
      <c r="V48" s="1">
        <v>522</v>
      </c>
      <c r="X48" s="1">
        <f t="shared" si="7"/>
        <v>40954.799999999996</v>
      </c>
      <c r="AA48" s="1">
        <v>10.764801829194701</v>
      </c>
    </row>
    <row r="49" spans="1:27" s="1" customFormat="1" x14ac:dyDescent="0.25">
      <c r="A49" s="52"/>
      <c r="B49" s="2"/>
      <c r="C49" s="3">
        <v>42296</v>
      </c>
      <c r="D49" s="1">
        <v>10.6</v>
      </c>
      <c r="E49" s="1">
        <v>4.7</v>
      </c>
      <c r="F49" s="1">
        <v>15.2</v>
      </c>
      <c r="G49" s="1">
        <f t="shared" si="3"/>
        <v>539.20000000000016</v>
      </c>
      <c r="J49" s="1">
        <v>0</v>
      </c>
      <c r="K49" s="1">
        <f t="shared" si="4"/>
        <v>63.199999999999996</v>
      </c>
      <c r="L49" s="1">
        <v>1.8</v>
      </c>
      <c r="M49" s="1">
        <f t="shared" si="5"/>
        <v>79.900000000000006</v>
      </c>
      <c r="N49" s="1">
        <v>-1.8</v>
      </c>
      <c r="O49" s="1">
        <f t="shared" si="2"/>
        <v>12.600000000000016</v>
      </c>
      <c r="P49" s="1">
        <v>41</v>
      </c>
      <c r="Q49" s="1">
        <f t="shared" si="8"/>
        <v>0.52777777777777779</v>
      </c>
      <c r="R49" s="5">
        <f t="shared" si="0"/>
        <v>0.95000000000000007</v>
      </c>
      <c r="S49" s="5">
        <f t="shared" si="1"/>
        <v>-0.95000000000000007</v>
      </c>
      <c r="T49" s="5">
        <f t="shared" si="6"/>
        <v>59.700555555555567</v>
      </c>
      <c r="V49" s="1">
        <v>1146.4000000000001</v>
      </c>
      <c r="X49" s="1">
        <f t="shared" si="7"/>
        <v>42101.2</v>
      </c>
      <c r="AA49" s="1">
        <v>10.7084442775047</v>
      </c>
    </row>
    <row r="50" spans="1:27" s="1" customFormat="1" x14ac:dyDescent="0.25">
      <c r="A50" s="52"/>
      <c r="B50" s="2"/>
      <c r="C50" s="3">
        <v>42297</v>
      </c>
      <c r="D50" s="1">
        <v>10.8</v>
      </c>
      <c r="E50" s="1">
        <v>9.6</v>
      </c>
      <c r="F50" s="1">
        <v>13.5</v>
      </c>
      <c r="G50" s="1">
        <f t="shared" si="3"/>
        <v>550.00000000000011</v>
      </c>
      <c r="J50" s="1">
        <v>0</v>
      </c>
      <c r="K50" s="1">
        <f t="shared" si="4"/>
        <v>63.199999999999996</v>
      </c>
      <c r="L50" s="1">
        <v>0.9</v>
      </c>
      <c r="M50" s="1">
        <f t="shared" si="5"/>
        <v>80.800000000000011</v>
      </c>
      <c r="N50" s="1">
        <v>-0.9</v>
      </c>
      <c r="O50" s="1">
        <f t="shared" si="2"/>
        <v>11.700000000000015</v>
      </c>
      <c r="P50" s="1">
        <v>42</v>
      </c>
      <c r="Q50" s="1">
        <f t="shared" si="8"/>
        <v>0.53333333333333333</v>
      </c>
      <c r="R50" s="5">
        <f t="shared" si="0"/>
        <v>0.48</v>
      </c>
      <c r="S50" s="5">
        <f t="shared" si="1"/>
        <v>-0.48</v>
      </c>
      <c r="T50" s="5">
        <f t="shared" si="6"/>
        <v>59.22055555555557</v>
      </c>
      <c r="V50" s="1">
        <v>366.6</v>
      </c>
      <c r="X50" s="1">
        <f t="shared" si="7"/>
        <v>42467.799999999996</v>
      </c>
      <c r="AA50" s="1">
        <v>10.652263447446201</v>
      </c>
    </row>
    <row r="51" spans="1:27" s="1" customFormat="1" x14ac:dyDescent="0.25">
      <c r="A51" s="52"/>
      <c r="B51" s="2"/>
      <c r="C51" s="3">
        <v>42298</v>
      </c>
      <c r="D51" s="1">
        <v>9.4</v>
      </c>
      <c r="E51" s="1">
        <v>4.9000000000000004</v>
      </c>
      <c r="F51" s="1">
        <v>12.3</v>
      </c>
      <c r="G51" s="1">
        <f t="shared" si="3"/>
        <v>559.40000000000009</v>
      </c>
      <c r="J51" s="1">
        <v>1.7</v>
      </c>
      <c r="K51" s="1">
        <f t="shared" si="4"/>
        <v>64.899999999999991</v>
      </c>
      <c r="L51" s="1">
        <v>0.4</v>
      </c>
      <c r="M51" s="1">
        <f t="shared" si="5"/>
        <v>81.200000000000017</v>
      </c>
      <c r="N51" s="1">
        <v>1.2999999999999998</v>
      </c>
      <c r="O51" s="1">
        <f t="shared" si="2"/>
        <v>13.000000000000014</v>
      </c>
      <c r="P51" s="1">
        <v>43</v>
      </c>
      <c r="Q51" s="1">
        <f t="shared" si="8"/>
        <v>0.53888888888888886</v>
      </c>
      <c r="R51" s="5">
        <f t="shared" si="0"/>
        <v>0.21555555555555556</v>
      </c>
      <c r="S51" s="5">
        <f t="shared" si="1"/>
        <v>1.4844444444444445</v>
      </c>
      <c r="T51" s="5">
        <f t="shared" si="6"/>
        <v>60.705000000000013</v>
      </c>
      <c r="V51" s="1">
        <v>187</v>
      </c>
      <c r="X51" s="1">
        <f t="shared" si="7"/>
        <v>42654.799999999996</v>
      </c>
      <c r="AA51" s="1">
        <v>10.5962712021773</v>
      </c>
    </row>
    <row r="52" spans="1:27" s="1" customFormat="1" x14ac:dyDescent="0.25">
      <c r="A52" s="52"/>
      <c r="B52" s="2"/>
      <c r="C52" s="3">
        <v>42299</v>
      </c>
      <c r="D52" s="1">
        <v>12.4</v>
      </c>
      <c r="E52" s="1">
        <v>11.4</v>
      </c>
      <c r="F52" s="1">
        <v>14</v>
      </c>
      <c r="G52" s="1">
        <f t="shared" si="3"/>
        <v>571.80000000000007</v>
      </c>
      <c r="J52" s="1">
        <v>0.1</v>
      </c>
      <c r="K52" s="1">
        <f t="shared" si="4"/>
        <v>64.999999999999986</v>
      </c>
      <c r="L52" s="1">
        <v>0.7</v>
      </c>
      <c r="M52" s="1">
        <f t="shared" si="5"/>
        <v>81.90000000000002</v>
      </c>
      <c r="N52" s="1">
        <v>-0.6</v>
      </c>
      <c r="O52" s="1">
        <f t="shared" si="2"/>
        <v>12.400000000000015</v>
      </c>
      <c r="P52" s="1">
        <v>44</v>
      </c>
      <c r="Q52" s="1">
        <f t="shared" si="8"/>
        <v>0.5444444444444444</v>
      </c>
      <c r="R52" s="5">
        <f t="shared" si="0"/>
        <v>0.38111111111111107</v>
      </c>
      <c r="S52" s="5">
        <f t="shared" si="1"/>
        <v>-0.28111111111111109</v>
      </c>
      <c r="T52" s="5">
        <f t="shared" si="6"/>
        <v>60.423888888888904</v>
      </c>
      <c r="V52" s="1">
        <v>185.7</v>
      </c>
      <c r="X52" s="1">
        <f t="shared" si="7"/>
        <v>42840.499999999993</v>
      </c>
      <c r="AA52" s="1">
        <v>10.540479893213901</v>
      </c>
    </row>
    <row r="53" spans="1:27" s="1" customFormat="1" x14ac:dyDescent="0.25">
      <c r="A53" s="52"/>
      <c r="B53" s="2"/>
      <c r="C53" s="3">
        <v>42300</v>
      </c>
      <c r="D53" s="1">
        <v>12.5</v>
      </c>
      <c r="E53" s="1">
        <v>10.3</v>
      </c>
      <c r="F53" s="1">
        <v>14.9</v>
      </c>
      <c r="G53" s="1">
        <f t="shared" si="3"/>
        <v>584.30000000000007</v>
      </c>
      <c r="J53" s="1">
        <v>0</v>
      </c>
      <c r="K53" s="1">
        <f t="shared" si="4"/>
        <v>64.999999999999986</v>
      </c>
      <c r="L53" s="1">
        <v>0.9</v>
      </c>
      <c r="M53" s="1">
        <f t="shared" si="5"/>
        <v>82.800000000000026</v>
      </c>
      <c r="N53" s="1">
        <v>-0.9</v>
      </c>
      <c r="O53" s="1">
        <f t="shared" si="2"/>
        <v>11.500000000000014</v>
      </c>
      <c r="P53" s="1">
        <v>45</v>
      </c>
      <c r="Q53" s="1">
        <f t="shared" si="8"/>
        <v>0.55000000000000004</v>
      </c>
      <c r="R53" s="5">
        <f t="shared" si="0"/>
        <v>0.49500000000000005</v>
      </c>
      <c r="S53" s="5">
        <f t="shared" si="1"/>
        <v>-0.49500000000000005</v>
      </c>
      <c r="T53" s="5">
        <f t="shared" si="6"/>
        <v>59.928888888888906</v>
      </c>
      <c r="V53" s="1">
        <v>184.6</v>
      </c>
      <c r="X53" s="1">
        <f t="shared" si="7"/>
        <v>43025.099999999991</v>
      </c>
      <c r="AA53" s="1">
        <v>10.4849023772331</v>
      </c>
    </row>
    <row r="54" spans="1:27" s="1" customFormat="1" x14ac:dyDescent="0.25">
      <c r="A54" s="52"/>
      <c r="B54" s="2"/>
      <c r="C54" s="3">
        <v>42301</v>
      </c>
      <c r="D54" s="1">
        <v>11.8</v>
      </c>
      <c r="E54" s="1">
        <v>9.4</v>
      </c>
      <c r="F54" s="1">
        <v>14.7</v>
      </c>
      <c r="G54" s="1">
        <f t="shared" si="3"/>
        <v>596.1</v>
      </c>
      <c r="J54" s="1">
        <v>0.9</v>
      </c>
      <c r="K54" s="1">
        <f t="shared" si="4"/>
        <v>65.899999999999991</v>
      </c>
      <c r="L54" s="1">
        <v>0.6</v>
      </c>
      <c r="M54" s="1">
        <f t="shared" si="5"/>
        <v>83.40000000000002</v>
      </c>
      <c r="N54" s="1">
        <v>0.30000000000000004</v>
      </c>
      <c r="O54" s="1">
        <f t="shared" si="2"/>
        <v>11.800000000000015</v>
      </c>
      <c r="P54" s="1">
        <v>46</v>
      </c>
      <c r="Q54" s="1">
        <f t="shared" si="8"/>
        <v>0.55555555555555558</v>
      </c>
      <c r="R54" s="5">
        <f t="shared" si="0"/>
        <v>0.33333333333333331</v>
      </c>
      <c r="S54" s="5">
        <f t="shared" si="1"/>
        <v>0.56666666666666665</v>
      </c>
      <c r="T54" s="5">
        <f t="shared" si="6"/>
        <v>60.495555555555576</v>
      </c>
      <c r="V54" s="1">
        <v>271.7</v>
      </c>
      <c r="X54" s="1">
        <f t="shared" si="7"/>
        <v>43296.799999999988</v>
      </c>
      <c r="AA54" s="1">
        <v>10.429552032444199</v>
      </c>
    </row>
    <row r="55" spans="1:27" s="1" customFormat="1" x14ac:dyDescent="0.25">
      <c r="A55" s="52"/>
      <c r="B55" s="2"/>
      <c r="C55" s="3">
        <v>42302</v>
      </c>
      <c r="D55" s="1">
        <v>8.9</v>
      </c>
      <c r="E55" s="1">
        <v>3.7</v>
      </c>
      <c r="F55" s="1">
        <v>14.1</v>
      </c>
      <c r="G55" s="1">
        <f t="shared" si="3"/>
        <v>605</v>
      </c>
      <c r="J55" s="1">
        <v>0</v>
      </c>
      <c r="K55" s="1">
        <f t="shared" si="4"/>
        <v>65.899999999999991</v>
      </c>
      <c r="L55" s="1">
        <v>1.5</v>
      </c>
      <c r="M55" s="1">
        <f t="shared" si="5"/>
        <v>84.90000000000002</v>
      </c>
      <c r="N55" s="1">
        <v>-1.5</v>
      </c>
      <c r="O55" s="1">
        <f t="shared" si="2"/>
        <v>10.300000000000015</v>
      </c>
      <c r="P55" s="1">
        <v>47</v>
      </c>
      <c r="Q55" s="1">
        <f t="shared" si="8"/>
        <v>0.56111111111111112</v>
      </c>
      <c r="R55" s="5">
        <f t="shared" si="0"/>
        <v>0.84166666666666667</v>
      </c>
      <c r="S55" s="5">
        <f t="shared" si="1"/>
        <v>-0.84166666666666667</v>
      </c>
      <c r="T55" s="5">
        <f t="shared" si="6"/>
        <v>59.653888888888908</v>
      </c>
      <c r="V55" s="1">
        <v>884.8</v>
      </c>
      <c r="X55" s="1">
        <f t="shared" si="7"/>
        <v>44181.599999999991</v>
      </c>
      <c r="AA55" s="1">
        <v>10.374442774453</v>
      </c>
    </row>
    <row r="56" spans="1:27" s="1" customFormat="1" x14ac:dyDescent="0.25">
      <c r="A56" s="52"/>
      <c r="B56" s="2"/>
      <c r="C56" s="3">
        <v>42303</v>
      </c>
      <c r="D56" s="1">
        <v>12.2</v>
      </c>
      <c r="E56" s="1">
        <v>7.4</v>
      </c>
      <c r="F56" s="1">
        <v>15.1</v>
      </c>
      <c r="G56" s="1">
        <f t="shared" si="3"/>
        <v>617.20000000000005</v>
      </c>
      <c r="J56" s="1">
        <v>1.9</v>
      </c>
      <c r="K56" s="1">
        <f t="shared" si="4"/>
        <v>67.8</v>
      </c>
      <c r="L56" s="1">
        <v>1</v>
      </c>
      <c r="M56" s="1">
        <f t="shared" si="5"/>
        <v>85.90000000000002</v>
      </c>
      <c r="N56" s="1">
        <v>0.89999999999999991</v>
      </c>
      <c r="O56" s="1">
        <f t="shared" si="2"/>
        <v>11.200000000000015</v>
      </c>
      <c r="P56" s="1">
        <v>48</v>
      </c>
      <c r="Q56" s="1">
        <f t="shared" si="8"/>
        <v>0.56666666666666665</v>
      </c>
      <c r="R56" s="5">
        <f t="shared" si="0"/>
        <v>0.56666666666666665</v>
      </c>
      <c r="S56" s="5">
        <f t="shared" si="1"/>
        <v>1.3333333333333333</v>
      </c>
      <c r="T56" s="5">
        <f t="shared" si="6"/>
        <v>60.987222222222243</v>
      </c>
      <c r="V56" s="1">
        <v>704.4</v>
      </c>
      <c r="X56" s="1">
        <f t="shared" si="7"/>
        <v>44885.999999999993</v>
      </c>
      <c r="AA56" s="1">
        <v>10.3195890715385</v>
      </c>
    </row>
    <row r="57" spans="1:27" s="1" customFormat="1" x14ac:dyDescent="0.25">
      <c r="A57" s="52"/>
      <c r="B57" s="2"/>
      <c r="C57" s="3">
        <v>42304</v>
      </c>
      <c r="D57" s="1">
        <v>12.2</v>
      </c>
      <c r="E57" s="1">
        <v>11.8</v>
      </c>
      <c r="F57" s="1">
        <v>13.3</v>
      </c>
      <c r="G57" s="1">
        <f t="shared" si="3"/>
        <v>629.40000000000009</v>
      </c>
      <c r="J57" s="1">
        <v>4.9000000000000004</v>
      </c>
      <c r="K57" s="1">
        <f t="shared" si="4"/>
        <v>72.7</v>
      </c>
      <c r="L57" s="1">
        <v>0.5</v>
      </c>
      <c r="M57" s="1">
        <f t="shared" si="5"/>
        <v>86.40000000000002</v>
      </c>
      <c r="N57" s="1">
        <v>4.4000000000000004</v>
      </c>
      <c r="O57" s="1">
        <f t="shared" si="2"/>
        <v>15.600000000000016</v>
      </c>
      <c r="P57" s="1">
        <v>49</v>
      </c>
      <c r="Q57" s="1">
        <f t="shared" si="8"/>
        <v>0.57222222222222219</v>
      </c>
      <c r="R57" s="5">
        <f t="shared" si="0"/>
        <v>0.28611111111111109</v>
      </c>
      <c r="S57" s="5">
        <f t="shared" si="1"/>
        <v>4.6138888888888889</v>
      </c>
      <c r="T57" s="5">
        <f t="shared" si="6"/>
        <v>65.601111111111138</v>
      </c>
      <c r="V57" s="1">
        <v>139.80000000000001</v>
      </c>
      <c r="X57" s="1">
        <f t="shared" si="7"/>
        <v>45025.799999999996</v>
      </c>
      <c r="AA57" s="1">
        <v>10.265005959254699</v>
      </c>
    </row>
    <row r="58" spans="1:27" s="1" customFormat="1" x14ac:dyDescent="0.25">
      <c r="A58" s="52"/>
      <c r="B58" s="2"/>
      <c r="C58" s="3">
        <v>42305</v>
      </c>
      <c r="D58" s="1">
        <v>10.7</v>
      </c>
      <c r="E58" s="1">
        <v>9.5</v>
      </c>
      <c r="F58" s="1">
        <v>12.5</v>
      </c>
      <c r="G58" s="1">
        <f t="shared" si="3"/>
        <v>640.10000000000014</v>
      </c>
      <c r="J58" s="1">
        <v>0.2</v>
      </c>
      <c r="K58" s="1">
        <f t="shared" si="4"/>
        <v>72.900000000000006</v>
      </c>
      <c r="L58" s="1">
        <v>0.5</v>
      </c>
      <c r="M58" s="1">
        <f t="shared" si="5"/>
        <v>86.90000000000002</v>
      </c>
      <c r="N58" s="1">
        <v>-0.3</v>
      </c>
      <c r="O58" s="1">
        <f t="shared" si="2"/>
        <v>15.300000000000015</v>
      </c>
      <c r="P58" s="1">
        <v>50</v>
      </c>
      <c r="Q58" s="1">
        <f t="shared" si="8"/>
        <v>0.57777777777777772</v>
      </c>
      <c r="R58" s="5">
        <f t="shared" si="0"/>
        <v>0.28888888888888886</v>
      </c>
      <c r="S58" s="5">
        <f t="shared" si="1"/>
        <v>-8.8888888888888851E-2</v>
      </c>
      <c r="T58" s="5">
        <f t="shared" si="6"/>
        <v>65.512222222222249</v>
      </c>
      <c r="V58" s="1">
        <v>298</v>
      </c>
      <c r="X58" s="1">
        <f t="shared" si="7"/>
        <v>45323.799999999996</v>
      </c>
      <c r="AA58" s="1">
        <v>10.210709054264401</v>
      </c>
    </row>
    <row r="59" spans="1:27" s="1" customFormat="1" x14ac:dyDescent="0.25">
      <c r="A59" s="52"/>
      <c r="B59" s="2"/>
      <c r="C59" s="3">
        <v>42306</v>
      </c>
      <c r="D59" s="1">
        <v>13.8</v>
      </c>
      <c r="E59" s="1">
        <v>11.2</v>
      </c>
      <c r="F59" s="1">
        <v>15.6</v>
      </c>
      <c r="G59" s="1">
        <f t="shared" si="3"/>
        <v>653.90000000000009</v>
      </c>
      <c r="J59" s="1">
        <v>0.5</v>
      </c>
      <c r="K59" s="1">
        <f t="shared" si="4"/>
        <v>73.400000000000006</v>
      </c>
      <c r="L59" s="1">
        <v>0.5</v>
      </c>
      <c r="M59" s="1">
        <f t="shared" si="5"/>
        <v>87.40000000000002</v>
      </c>
      <c r="N59" s="1">
        <v>0</v>
      </c>
      <c r="O59" s="1">
        <f t="shared" si="2"/>
        <v>15.300000000000015</v>
      </c>
      <c r="P59" s="1">
        <v>51</v>
      </c>
      <c r="Q59" s="1">
        <f t="shared" si="8"/>
        <v>0.58333333333333326</v>
      </c>
      <c r="R59" s="5">
        <f t="shared" si="0"/>
        <v>0.29166666666666663</v>
      </c>
      <c r="S59" s="5">
        <f t="shared" si="1"/>
        <v>0.20833333333333337</v>
      </c>
      <c r="T59" s="5">
        <f t="shared" si="6"/>
        <v>65.720555555555578</v>
      </c>
      <c r="V59" s="1">
        <v>177.4</v>
      </c>
      <c r="X59" s="1">
        <f t="shared" si="7"/>
        <v>45501.2</v>
      </c>
      <c r="AA59" s="1">
        <v>10.1567145673041</v>
      </c>
    </row>
    <row r="60" spans="1:27" s="1" customFormat="1" x14ac:dyDescent="0.25">
      <c r="A60" s="52"/>
      <c r="B60" s="2"/>
      <c r="C60" s="3">
        <v>42307</v>
      </c>
      <c r="D60" s="1">
        <v>14.5</v>
      </c>
      <c r="E60" s="1">
        <v>13.7</v>
      </c>
      <c r="F60" s="1">
        <v>16</v>
      </c>
      <c r="G60" s="1">
        <f t="shared" si="3"/>
        <v>668.40000000000009</v>
      </c>
      <c r="J60" s="1">
        <v>0</v>
      </c>
      <c r="K60" s="1">
        <f t="shared" si="4"/>
        <v>73.400000000000006</v>
      </c>
      <c r="L60" s="1">
        <v>1.4</v>
      </c>
      <c r="M60" s="1">
        <f t="shared" si="5"/>
        <v>88.800000000000026</v>
      </c>
      <c r="N60" s="1">
        <v>-1.4</v>
      </c>
      <c r="O60" s="1">
        <f t="shared" si="2"/>
        <v>13.900000000000015</v>
      </c>
      <c r="P60" s="1">
        <v>52</v>
      </c>
      <c r="Q60" s="1">
        <f t="shared" si="8"/>
        <v>0.58888888888888891</v>
      </c>
      <c r="R60" s="5">
        <f t="shared" si="0"/>
        <v>0.82444444444444442</v>
      </c>
      <c r="S60" s="5">
        <f t="shared" si="1"/>
        <v>-0.82444444444444442</v>
      </c>
      <c r="T60" s="5">
        <f t="shared" si="6"/>
        <v>64.896111111111139</v>
      </c>
      <c r="V60" s="1">
        <v>267.5</v>
      </c>
      <c r="X60" s="1">
        <f t="shared" si="7"/>
        <v>45768.7</v>
      </c>
      <c r="AA60" s="1">
        <v>10.1030393151739</v>
      </c>
    </row>
    <row r="61" spans="1:27" s="1" customFormat="1" x14ac:dyDescent="0.25">
      <c r="A61" s="52"/>
      <c r="B61" s="2"/>
      <c r="C61" s="3">
        <v>42308</v>
      </c>
      <c r="D61" s="1">
        <v>13.2</v>
      </c>
      <c r="E61" s="1">
        <v>9.8000000000000007</v>
      </c>
      <c r="F61" s="1">
        <v>17.399999999999999</v>
      </c>
      <c r="G61" s="1">
        <f t="shared" si="3"/>
        <v>681.60000000000014</v>
      </c>
      <c r="J61" s="1">
        <v>0</v>
      </c>
      <c r="K61" s="1">
        <f t="shared" si="4"/>
        <v>73.400000000000006</v>
      </c>
      <c r="L61" s="1">
        <v>2.2000000000000002</v>
      </c>
      <c r="M61" s="1">
        <f t="shared" si="5"/>
        <v>91.000000000000028</v>
      </c>
      <c r="N61" s="1">
        <v>-2.2000000000000002</v>
      </c>
      <c r="O61" s="1">
        <f t="shared" si="2"/>
        <v>11.700000000000014</v>
      </c>
      <c r="P61" s="1">
        <v>53</v>
      </c>
      <c r="Q61" s="1">
        <f t="shared" si="8"/>
        <v>0.59444444444444444</v>
      </c>
      <c r="R61" s="5">
        <f t="shared" si="0"/>
        <v>1.3077777777777779</v>
      </c>
      <c r="S61" s="5">
        <f t="shared" si="1"/>
        <v>-1.3077777777777779</v>
      </c>
      <c r="T61" s="5">
        <f t="shared" si="6"/>
        <v>63.58833333333336</v>
      </c>
      <c r="V61" s="1">
        <v>1058.3</v>
      </c>
      <c r="X61" s="1">
        <f t="shared" si="7"/>
        <v>46827</v>
      </c>
      <c r="AA61" s="1">
        <v>10.0497007316379</v>
      </c>
    </row>
    <row r="62" spans="1:27" s="1" customFormat="1" x14ac:dyDescent="0.25">
      <c r="A62" s="52"/>
      <c r="B62" s="2"/>
      <c r="C62" s="3">
        <v>42309</v>
      </c>
      <c r="D62" s="1">
        <v>12.1</v>
      </c>
      <c r="E62" s="1">
        <v>7.5</v>
      </c>
      <c r="F62" s="1">
        <v>18.399999999999999</v>
      </c>
      <c r="G62" s="1">
        <f t="shared" si="3"/>
        <v>693.70000000000016</v>
      </c>
      <c r="J62" s="1">
        <v>0.1</v>
      </c>
      <c r="K62" s="1">
        <f t="shared" si="4"/>
        <v>73.5</v>
      </c>
      <c r="L62" s="1">
        <v>2.1</v>
      </c>
      <c r="M62" s="1">
        <f t="shared" si="5"/>
        <v>93.100000000000023</v>
      </c>
      <c r="N62" s="1">
        <v>-2</v>
      </c>
      <c r="O62" s="1">
        <f t="shared" si="2"/>
        <v>9.7000000000000135</v>
      </c>
      <c r="P62" s="1">
        <v>54</v>
      </c>
      <c r="Q62" s="1">
        <f t="shared" si="8"/>
        <v>0.6</v>
      </c>
      <c r="R62" s="5">
        <f t="shared" si="0"/>
        <v>1.26</v>
      </c>
      <c r="S62" s="5">
        <f t="shared" si="1"/>
        <v>-1.1599999999999999</v>
      </c>
      <c r="T62" s="5">
        <f t="shared" si="6"/>
        <v>62.428333333333363</v>
      </c>
      <c r="V62" s="1">
        <v>1041.5</v>
      </c>
      <c r="X62" s="1">
        <f t="shared" si="7"/>
        <v>47868.5</v>
      </c>
      <c r="AA62" s="1">
        <v>9.9967168771169792</v>
      </c>
    </row>
    <row r="63" spans="1:27" s="1" customFormat="1" x14ac:dyDescent="0.25">
      <c r="A63" s="52"/>
      <c r="B63" s="2"/>
      <c r="C63" s="3">
        <v>42310</v>
      </c>
      <c r="D63" s="1">
        <v>11.4</v>
      </c>
      <c r="E63" s="1">
        <v>5.4</v>
      </c>
      <c r="F63" s="1">
        <v>18</v>
      </c>
      <c r="G63" s="1">
        <f t="shared" si="3"/>
        <v>705.10000000000014</v>
      </c>
      <c r="J63" s="1">
        <v>0.5</v>
      </c>
      <c r="K63" s="1">
        <f t="shared" si="4"/>
        <v>74</v>
      </c>
      <c r="L63" s="1">
        <v>2.1</v>
      </c>
      <c r="M63" s="1">
        <f t="shared" si="5"/>
        <v>95.200000000000017</v>
      </c>
      <c r="N63" s="1">
        <v>-1.6</v>
      </c>
      <c r="O63" s="1">
        <f t="shared" si="2"/>
        <v>8.1000000000000139</v>
      </c>
      <c r="P63" s="1">
        <v>55</v>
      </c>
      <c r="Q63" s="1">
        <f t="shared" si="8"/>
        <v>0.60555555555555551</v>
      </c>
      <c r="R63" s="5">
        <f t="shared" si="0"/>
        <v>1.2716666666666667</v>
      </c>
      <c r="S63" s="5">
        <f t="shared" si="1"/>
        <v>-0.77166666666666672</v>
      </c>
      <c r="T63" s="5">
        <f t="shared" si="6"/>
        <v>61.656666666666695</v>
      </c>
      <c r="V63" s="1">
        <v>1016.1</v>
      </c>
      <c r="X63" s="1">
        <f t="shared" si="7"/>
        <v>48884.6</v>
      </c>
      <c r="AA63" s="1">
        <v>9.9441064470457103</v>
      </c>
    </row>
    <row r="64" spans="1:27" s="1" customFormat="1" x14ac:dyDescent="0.25">
      <c r="A64" s="52"/>
      <c r="B64" s="2"/>
      <c r="C64" s="3">
        <v>42311</v>
      </c>
      <c r="D64" s="1">
        <v>13.6</v>
      </c>
      <c r="E64" s="1">
        <v>12</v>
      </c>
      <c r="F64" s="1">
        <v>16.3</v>
      </c>
      <c r="G64" s="1">
        <f t="shared" si="3"/>
        <v>718.70000000000016</v>
      </c>
      <c r="J64" s="1">
        <v>1.3</v>
      </c>
      <c r="K64" s="1">
        <f t="shared" si="4"/>
        <v>75.3</v>
      </c>
      <c r="L64" s="1">
        <v>1.2</v>
      </c>
      <c r="M64" s="1">
        <f t="shared" si="5"/>
        <v>96.40000000000002</v>
      </c>
      <c r="N64" s="1">
        <v>0.10000000000000009</v>
      </c>
      <c r="O64" s="1">
        <f t="shared" si="2"/>
        <v>8.2000000000000135</v>
      </c>
      <c r="P64" s="1">
        <v>56</v>
      </c>
      <c r="Q64" s="1">
        <f t="shared" si="8"/>
        <v>0.61111111111111116</v>
      </c>
      <c r="R64" s="5">
        <f t="shared" si="0"/>
        <v>0.73333333333333339</v>
      </c>
      <c r="S64" s="5">
        <f t="shared" si="1"/>
        <v>0.56666666666666665</v>
      </c>
      <c r="T64" s="5">
        <f t="shared" si="6"/>
        <v>62.223333333333365</v>
      </c>
      <c r="V64" s="1">
        <v>312.39999999999998</v>
      </c>
      <c r="X64" s="1">
        <f t="shared" si="7"/>
        <v>49197</v>
      </c>
      <c r="AA64" s="1">
        <v>9.8918887787624996</v>
      </c>
    </row>
    <row r="65" spans="1:27" s="1" customFormat="1" x14ac:dyDescent="0.25">
      <c r="A65" s="52"/>
      <c r="B65" s="2"/>
      <c r="C65" s="3">
        <v>42312</v>
      </c>
      <c r="D65" s="1">
        <v>14</v>
      </c>
      <c r="E65" s="1">
        <v>12.5</v>
      </c>
      <c r="F65" s="1">
        <v>15.7</v>
      </c>
      <c r="G65" s="1">
        <f t="shared" si="3"/>
        <v>732.70000000000016</v>
      </c>
      <c r="J65" s="1">
        <v>0.6</v>
      </c>
      <c r="K65" s="1">
        <f t="shared" si="4"/>
        <v>75.899999999999991</v>
      </c>
      <c r="L65" s="1">
        <v>0.9</v>
      </c>
      <c r="M65" s="1">
        <f t="shared" si="5"/>
        <v>97.300000000000026</v>
      </c>
      <c r="N65" s="1">
        <v>-0.30000000000000004</v>
      </c>
      <c r="O65" s="1">
        <f t="shared" si="2"/>
        <v>7.9000000000000137</v>
      </c>
      <c r="P65" s="1">
        <v>57</v>
      </c>
      <c r="Q65" s="1">
        <f t="shared" si="8"/>
        <v>0.6166666666666667</v>
      </c>
      <c r="R65" s="5">
        <f t="shared" si="0"/>
        <v>0.55500000000000005</v>
      </c>
      <c r="S65" s="5">
        <f t="shared" si="1"/>
        <v>4.4999999999999929E-2</v>
      </c>
      <c r="T65" s="5">
        <f t="shared" si="6"/>
        <v>62.268333333333366</v>
      </c>
      <c r="V65" s="1">
        <v>564</v>
      </c>
      <c r="X65" s="1">
        <f t="shared" si="7"/>
        <v>49761</v>
      </c>
      <c r="AA65" s="1">
        <v>9.8400838567940205</v>
      </c>
    </row>
    <row r="66" spans="1:27" s="1" customFormat="1" x14ac:dyDescent="0.25">
      <c r="A66" s="52"/>
      <c r="B66" s="2"/>
      <c r="C66" s="3">
        <v>42313</v>
      </c>
      <c r="D66" s="1">
        <v>14.7</v>
      </c>
      <c r="E66" s="1">
        <v>13.5</v>
      </c>
      <c r="F66" s="1">
        <v>15.2</v>
      </c>
      <c r="G66" s="1">
        <f t="shared" si="3"/>
        <v>747.4000000000002</v>
      </c>
      <c r="J66" s="1">
        <v>3.2</v>
      </c>
      <c r="K66" s="1">
        <f t="shared" si="4"/>
        <v>79.099999999999994</v>
      </c>
      <c r="L66" s="1">
        <v>0.4</v>
      </c>
      <c r="M66" s="1">
        <f t="shared" si="5"/>
        <v>97.700000000000031</v>
      </c>
      <c r="N66" s="1">
        <v>2.8000000000000003</v>
      </c>
      <c r="O66" s="1">
        <f t="shared" si="2"/>
        <v>10.700000000000014</v>
      </c>
      <c r="P66" s="1">
        <v>58</v>
      </c>
      <c r="Q66" s="1">
        <f t="shared" si="8"/>
        <v>0.62222222222222223</v>
      </c>
      <c r="R66" s="5">
        <f t="shared" si="0"/>
        <v>0.24888888888888891</v>
      </c>
      <c r="S66" s="5">
        <f t="shared" si="1"/>
        <v>2.9511111111111115</v>
      </c>
      <c r="T66" s="5">
        <f t="shared" si="6"/>
        <v>65.219444444444477</v>
      </c>
      <c r="V66" s="1">
        <v>159.6</v>
      </c>
      <c r="X66" s="1">
        <f t="shared" si="7"/>
        <v>49920.6</v>
      </c>
      <c r="AA66" s="1">
        <v>9.7887123163906296</v>
      </c>
    </row>
    <row r="67" spans="1:27" s="1" customFormat="1" x14ac:dyDescent="0.25">
      <c r="A67" s="52"/>
      <c r="B67" s="2"/>
      <c r="C67" s="3">
        <v>42314</v>
      </c>
      <c r="D67" s="1">
        <v>16.100000000000001</v>
      </c>
      <c r="E67" s="1">
        <v>15</v>
      </c>
      <c r="F67" s="1">
        <v>17</v>
      </c>
      <c r="G67" s="1">
        <f t="shared" si="3"/>
        <v>763.50000000000023</v>
      </c>
      <c r="J67" s="1">
        <v>9.3000000000000007</v>
      </c>
      <c r="K67" s="1">
        <f t="shared" si="4"/>
        <v>88.399999999999991</v>
      </c>
      <c r="L67" s="1">
        <v>0.5</v>
      </c>
      <c r="M67" s="1">
        <f t="shared" si="5"/>
        <v>98.200000000000031</v>
      </c>
      <c r="N67" s="1">
        <v>8.8000000000000007</v>
      </c>
      <c r="O67" s="1">
        <f t="shared" si="2"/>
        <v>19.500000000000014</v>
      </c>
      <c r="P67" s="1">
        <v>59</v>
      </c>
      <c r="Q67" s="1">
        <f t="shared" si="8"/>
        <v>0.62777777777777777</v>
      </c>
      <c r="R67" s="5">
        <f t="shared" si="0"/>
        <v>0.31388888888888888</v>
      </c>
      <c r="S67" s="5">
        <f t="shared" si="1"/>
        <v>8.9861111111111125</v>
      </c>
      <c r="T67" s="5">
        <f t="shared" si="6"/>
        <v>74.205555555555591</v>
      </c>
      <c r="V67" s="1">
        <v>98.3</v>
      </c>
      <c r="X67" s="1">
        <f t="shared" si="7"/>
        <v>50018.9</v>
      </c>
      <c r="AA67" s="1">
        <v>9.7377954451645401</v>
      </c>
    </row>
    <row r="68" spans="1:27" s="1" customFormat="1" x14ac:dyDescent="0.25">
      <c r="A68" s="52"/>
      <c r="B68" s="2"/>
      <c r="C68" s="3">
        <v>42315</v>
      </c>
      <c r="D68" s="1">
        <v>16.600000000000001</v>
      </c>
      <c r="E68" s="1">
        <v>15.1</v>
      </c>
      <c r="F68" s="1">
        <v>20.6</v>
      </c>
      <c r="G68" s="1">
        <f t="shared" si="3"/>
        <v>780.10000000000025</v>
      </c>
      <c r="J68" s="1">
        <v>0.3</v>
      </c>
      <c r="K68" s="1">
        <f t="shared" si="4"/>
        <v>88.699999999999989</v>
      </c>
      <c r="L68" s="1">
        <v>1.3</v>
      </c>
      <c r="M68" s="1">
        <f t="shared" si="5"/>
        <v>99.500000000000028</v>
      </c>
      <c r="N68" s="1">
        <v>-1</v>
      </c>
      <c r="O68" s="1">
        <f t="shared" si="2"/>
        <v>18.500000000000014</v>
      </c>
      <c r="P68" s="1">
        <v>60</v>
      </c>
      <c r="Q68" s="1">
        <f t="shared" si="8"/>
        <v>0.6333333333333333</v>
      </c>
      <c r="R68" s="5">
        <f t="shared" si="0"/>
        <v>0.82333333333333336</v>
      </c>
      <c r="S68" s="5">
        <f t="shared" si="1"/>
        <v>-0.52333333333333343</v>
      </c>
      <c r="T68" s="5">
        <f t="shared" si="6"/>
        <v>73.682222222222265</v>
      </c>
      <c r="V68" s="1">
        <v>510.3</v>
      </c>
      <c r="X68" s="1">
        <f t="shared" si="7"/>
        <v>50529.200000000004</v>
      </c>
      <c r="AA68" s="1">
        <v>9.6873551826779796</v>
      </c>
    </row>
    <row r="69" spans="1:27" s="1" customFormat="1" x14ac:dyDescent="0.25">
      <c r="A69" s="52"/>
      <c r="B69" s="2"/>
      <c r="C69" s="3">
        <v>42316</v>
      </c>
      <c r="D69" s="1">
        <v>15.9</v>
      </c>
      <c r="E69" s="1">
        <v>14.3</v>
      </c>
      <c r="F69" s="1">
        <v>17.7</v>
      </c>
      <c r="G69" s="1">
        <f t="shared" si="3"/>
        <v>796.00000000000023</v>
      </c>
      <c r="J69" s="1">
        <v>0</v>
      </c>
      <c r="K69" s="1">
        <f t="shared" si="4"/>
        <v>88.699999999999989</v>
      </c>
      <c r="L69" s="1">
        <v>0.7</v>
      </c>
      <c r="M69" s="1">
        <f t="shared" si="5"/>
        <v>100.20000000000003</v>
      </c>
      <c r="N69" s="1">
        <v>-0.7</v>
      </c>
      <c r="O69" s="1">
        <f t="shared" si="2"/>
        <v>17.800000000000015</v>
      </c>
      <c r="P69" s="1">
        <v>61</v>
      </c>
      <c r="Q69" s="1">
        <f t="shared" si="8"/>
        <v>0.63888888888888884</v>
      </c>
      <c r="R69" s="5">
        <f t="shared" si="0"/>
        <v>0.44722222222222213</v>
      </c>
      <c r="S69" s="5">
        <f t="shared" si="1"/>
        <v>-0.44722222222222213</v>
      </c>
      <c r="T69" s="5">
        <f t="shared" si="6"/>
        <v>73.235000000000042</v>
      </c>
      <c r="V69" s="1">
        <v>148.5</v>
      </c>
      <c r="X69" s="1">
        <f t="shared" si="7"/>
        <v>50677.700000000004</v>
      </c>
      <c r="AA69" s="1">
        <v>9.6374141178255108</v>
      </c>
    </row>
    <row r="70" spans="1:27" s="1" customFormat="1" x14ac:dyDescent="0.25">
      <c r="A70" s="52"/>
      <c r="B70" s="2"/>
      <c r="C70" s="3">
        <v>42317</v>
      </c>
      <c r="D70" s="1">
        <v>12.9</v>
      </c>
      <c r="E70" s="1">
        <v>10.3</v>
      </c>
      <c r="F70" s="1">
        <v>16.600000000000001</v>
      </c>
      <c r="G70" s="1">
        <f t="shared" si="3"/>
        <v>808.9000000000002</v>
      </c>
      <c r="J70" s="1">
        <v>0</v>
      </c>
      <c r="K70" s="1">
        <f t="shared" si="4"/>
        <v>88.699999999999989</v>
      </c>
      <c r="L70" s="1">
        <v>1.5</v>
      </c>
      <c r="M70" s="1">
        <f t="shared" si="5"/>
        <v>101.70000000000003</v>
      </c>
      <c r="N70" s="1">
        <v>-1.5</v>
      </c>
      <c r="O70" s="1">
        <f t="shared" si="2"/>
        <v>16.300000000000015</v>
      </c>
      <c r="P70" s="1">
        <v>62</v>
      </c>
      <c r="Q70" s="1">
        <f t="shared" si="8"/>
        <v>0.64444444444444438</v>
      </c>
      <c r="R70" s="5">
        <f t="shared" si="0"/>
        <v>0.96666666666666656</v>
      </c>
      <c r="S70" s="5">
        <f t="shared" si="1"/>
        <v>-0.96666666666666656</v>
      </c>
      <c r="T70" s="5">
        <f t="shared" si="6"/>
        <v>72.268333333333374</v>
      </c>
      <c r="V70" s="1">
        <v>792.9</v>
      </c>
      <c r="X70" s="1">
        <f t="shared" si="7"/>
        <v>51470.600000000006</v>
      </c>
      <c r="AA70" s="1">
        <v>9.5879954838522501</v>
      </c>
    </row>
    <row r="71" spans="1:27" s="1" customFormat="1" x14ac:dyDescent="0.25">
      <c r="A71" s="52"/>
      <c r="B71" s="2"/>
      <c r="C71" s="3">
        <v>42318</v>
      </c>
      <c r="D71" s="1">
        <v>11.4</v>
      </c>
      <c r="E71" s="1">
        <v>8.4</v>
      </c>
      <c r="F71" s="1">
        <v>15</v>
      </c>
      <c r="G71" s="1">
        <f t="shared" si="3"/>
        <v>820.30000000000018</v>
      </c>
      <c r="J71" s="1">
        <v>0.1</v>
      </c>
      <c r="K71" s="1">
        <f t="shared" si="4"/>
        <v>88.799999999999983</v>
      </c>
      <c r="L71" s="1">
        <v>0.8</v>
      </c>
      <c r="M71" s="1">
        <f t="shared" si="5"/>
        <v>102.50000000000003</v>
      </c>
      <c r="N71" s="1">
        <v>-0.70000000000000007</v>
      </c>
      <c r="O71" s="1">
        <f t="shared" si="2"/>
        <v>15.600000000000016</v>
      </c>
      <c r="P71" s="1">
        <v>63</v>
      </c>
      <c r="Q71" s="1">
        <f t="shared" si="8"/>
        <v>0.65</v>
      </c>
      <c r="R71" s="5">
        <f t="shared" si="0"/>
        <v>0.52</v>
      </c>
      <c r="S71" s="5">
        <f t="shared" si="1"/>
        <v>-0.42000000000000004</v>
      </c>
      <c r="T71" s="5">
        <f t="shared" si="6"/>
        <v>71.848333333333372</v>
      </c>
      <c r="V71" s="1">
        <v>273.10000000000002</v>
      </c>
      <c r="X71" s="1">
        <f t="shared" si="7"/>
        <v>51743.700000000004</v>
      </c>
      <c r="AA71" s="1">
        <v>9.5391231508480097</v>
      </c>
    </row>
    <row r="72" spans="1:27" s="1" customFormat="1" x14ac:dyDescent="0.25">
      <c r="A72" s="52"/>
      <c r="B72" s="2"/>
      <c r="C72" s="3">
        <v>42319</v>
      </c>
      <c r="D72" s="1">
        <v>12.3</v>
      </c>
      <c r="E72" s="1">
        <v>11.3</v>
      </c>
      <c r="F72" s="1">
        <v>14.5</v>
      </c>
      <c r="G72" s="1">
        <f t="shared" si="3"/>
        <v>832.60000000000014</v>
      </c>
      <c r="J72" s="1">
        <v>0.8</v>
      </c>
      <c r="K72" s="1">
        <f t="shared" si="4"/>
        <v>89.59999999999998</v>
      </c>
      <c r="L72" s="1">
        <v>0.4</v>
      </c>
      <c r="M72" s="1">
        <f t="shared" si="5"/>
        <v>102.90000000000003</v>
      </c>
      <c r="N72" s="1">
        <v>0.4</v>
      </c>
      <c r="O72" s="1">
        <f t="shared" si="2"/>
        <v>16.000000000000014</v>
      </c>
      <c r="P72" s="1">
        <v>64</v>
      </c>
      <c r="Q72" s="1">
        <f t="shared" si="8"/>
        <v>0.65555555555555556</v>
      </c>
      <c r="R72" s="5">
        <f t="shared" si="0"/>
        <v>0.26222222222222225</v>
      </c>
      <c r="S72" s="5">
        <f t="shared" si="1"/>
        <v>0.5377777777777778</v>
      </c>
      <c r="T72" s="5">
        <f t="shared" si="6"/>
        <v>72.386111111111148</v>
      </c>
      <c r="V72" s="1">
        <v>164.9</v>
      </c>
      <c r="X72" s="1">
        <f t="shared" si="7"/>
        <v>51908.600000000006</v>
      </c>
      <c r="AA72" s="1">
        <v>9.4908216155575502</v>
      </c>
    </row>
    <row r="73" spans="1:27" s="1" customFormat="1" x14ac:dyDescent="0.25">
      <c r="A73" s="52"/>
      <c r="B73" s="2"/>
      <c r="C73" s="3">
        <v>42320</v>
      </c>
      <c r="D73" s="1">
        <v>12.5</v>
      </c>
      <c r="E73" s="1">
        <v>9.6</v>
      </c>
      <c r="F73" s="1">
        <v>14.4</v>
      </c>
      <c r="G73" s="1">
        <f t="shared" si="3"/>
        <v>845.10000000000014</v>
      </c>
      <c r="J73" s="1">
        <v>0.5</v>
      </c>
      <c r="K73" s="1">
        <f t="shared" si="4"/>
        <v>90.09999999999998</v>
      </c>
      <c r="L73" s="1">
        <v>0.4</v>
      </c>
      <c r="M73" s="1">
        <f t="shared" si="5"/>
        <v>103.30000000000004</v>
      </c>
      <c r="N73" s="1">
        <v>9.9999999999999978E-2</v>
      </c>
      <c r="O73" s="1">
        <f t="shared" si="2"/>
        <v>16.100000000000016</v>
      </c>
      <c r="P73" s="1">
        <v>65</v>
      </c>
      <c r="Q73" s="1">
        <f t="shared" si="8"/>
        <v>0.66111111111111109</v>
      </c>
      <c r="R73" s="5">
        <f t="shared" ref="R73:R136" si="9">Q73*L73</f>
        <v>0.26444444444444443</v>
      </c>
      <c r="S73" s="5">
        <f t="shared" ref="S73:S136" si="10">J73-R73</f>
        <v>0.23555555555555557</v>
      </c>
      <c r="T73" s="5">
        <f t="shared" si="6"/>
        <v>72.621666666666698</v>
      </c>
      <c r="V73" s="1">
        <v>302.5</v>
      </c>
      <c r="X73" s="1">
        <f t="shared" si="7"/>
        <v>52211.100000000006</v>
      </c>
      <c r="AA73" s="1">
        <v>9.4431159883480404</v>
      </c>
    </row>
    <row r="74" spans="1:27" s="1" customFormat="1" x14ac:dyDescent="0.25">
      <c r="A74" s="52"/>
      <c r="B74" s="2"/>
      <c r="C74" s="3">
        <v>42321</v>
      </c>
      <c r="D74" s="1">
        <v>11.7</v>
      </c>
      <c r="E74" s="1">
        <v>10.5</v>
      </c>
      <c r="F74" s="1">
        <v>14</v>
      </c>
      <c r="G74" s="1">
        <f t="shared" si="3"/>
        <v>856.80000000000018</v>
      </c>
      <c r="J74" s="1">
        <v>0</v>
      </c>
      <c r="K74" s="1">
        <f t="shared" si="4"/>
        <v>90.09999999999998</v>
      </c>
      <c r="L74" s="1">
        <v>1.3</v>
      </c>
      <c r="M74" s="1">
        <f t="shared" si="5"/>
        <v>104.60000000000004</v>
      </c>
      <c r="N74" s="1">
        <v>-1.3</v>
      </c>
      <c r="O74" s="1">
        <f t="shared" ref="O74:O137" si="11">O73+N74</f>
        <v>14.800000000000015</v>
      </c>
      <c r="P74" s="1">
        <v>66</v>
      </c>
      <c r="Q74" s="1">
        <f t="shared" si="8"/>
        <v>0.66666666666666663</v>
      </c>
      <c r="R74" s="5">
        <f t="shared" si="9"/>
        <v>0.8666666666666667</v>
      </c>
      <c r="S74" s="5">
        <f t="shared" si="10"/>
        <v>-0.8666666666666667</v>
      </c>
      <c r="T74" s="5">
        <f t="shared" si="6"/>
        <v>71.755000000000038</v>
      </c>
      <c r="V74" s="1">
        <v>588.1</v>
      </c>
      <c r="X74" s="1">
        <f t="shared" si="7"/>
        <v>52799.200000000004</v>
      </c>
      <c r="AA74" s="1">
        <v>9.3960319771778806</v>
      </c>
    </row>
    <row r="75" spans="1:27" s="1" customFormat="1" x14ac:dyDescent="0.25">
      <c r="A75" s="52"/>
      <c r="B75" s="2"/>
      <c r="C75" s="3">
        <v>42322</v>
      </c>
      <c r="D75" s="1">
        <v>10.3</v>
      </c>
      <c r="E75" s="1">
        <v>5.9</v>
      </c>
      <c r="F75" s="1">
        <v>13.3</v>
      </c>
      <c r="G75" s="1">
        <f t="shared" ref="G75:G138" si="12">G74+D75</f>
        <v>867.10000000000014</v>
      </c>
      <c r="J75" s="1">
        <v>0</v>
      </c>
      <c r="K75" s="1">
        <f t="shared" ref="K75:K138" si="13">K74+J75</f>
        <v>90.09999999999998</v>
      </c>
      <c r="L75" s="1">
        <v>0.8</v>
      </c>
      <c r="M75" s="1">
        <f t="shared" ref="M75:M138" si="14">M74+L75</f>
        <v>105.40000000000003</v>
      </c>
      <c r="N75" s="1">
        <v>-0.8</v>
      </c>
      <c r="O75" s="1">
        <f t="shared" si="11"/>
        <v>14.000000000000014</v>
      </c>
      <c r="P75" s="1">
        <v>67</v>
      </c>
      <c r="Q75" s="1">
        <f t="shared" si="8"/>
        <v>0.67222222222222228</v>
      </c>
      <c r="R75" s="5">
        <f t="shared" si="9"/>
        <v>0.5377777777777778</v>
      </c>
      <c r="S75" s="5">
        <f t="shared" si="10"/>
        <v>-0.5377777777777778</v>
      </c>
      <c r="T75" s="5">
        <f t="shared" ref="T75:T138" si="15">MIN(197.4,(T74+S75))</f>
        <v>71.217222222222262</v>
      </c>
      <c r="V75" s="1">
        <v>401.8</v>
      </c>
      <c r="X75" s="1">
        <f t="shared" ref="X75:X138" si="16">X74+V75</f>
        <v>53201.000000000007</v>
      </c>
      <c r="AA75" s="1">
        <v>9.3495958684151308</v>
      </c>
    </row>
    <row r="76" spans="1:27" s="1" customFormat="1" x14ac:dyDescent="0.25">
      <c r="A76" s="52"/>
      <c r="B76" s="2"/>
      <c r="C76" s="3">
        <v>42323</v>
      </c>
      <c r="D76" s="1">
        <v>14</v>
      </c>
      <c r="E76" s="1">
        <v>11.8</v>
      </c>
      <c r="F76" s="1">
        <v>16.600000000000001</v>
      </c>
      <c r="G76" s="1">
        <f t="shared" si="12"/>
        <v>881.10000000000014</v>
      </c>
      <c r="J76" s="1">
        <v>0</v>
      </c>
      <c r="K76" s="1">
        <f t="shared" si="13"/>
        <v>90.09999999999998</v>
      </c>
      <c r="L76" s="1">
        <v>1.9</v>
      </c>
      <c r="M76" s="1">
        <f t="shared" si="14"/>
        <v>107.30000000000004</v>
      </c>
      <c r="N76" s="1">
        <v>-1.9</v>
      </c>
      <c r="O76" s="1">
        <f t="shared" si="11"/>
        <v>12.100000000000014</v>
      </c>
      <c r="P76" s="1">
        <v>68</v>
      </c>
      <c r="Q76" s="1">
        <f t="shared" si="8"/>
        <v>0.67777777777777781</v>
      </c>
      <c r="R76" s="5">
        <f t="shared" si="9"/>
        <v>1.2877777777777777</v>
      </c>
      <c r="S76" s="5">
        <f t="shared" si="10"/>
        <v>-1.2877777777777777</v>
      </c>
      <c r="T76" s="5">
        <f t="shared" si="15"/>
        <v>69.929444444444485</v>
      </c>
      <c r="V76" s="1">
        <v>689.7</v>
      </c>
      <c r="X76" s="1">
        <f t="shared" si="16"/>
        <v>53890.700000000004</v>
      </c>
      <c r="AA76" s="1">
        <v>9.3038345043603208</v>
      </c>
    </row>
    <row r="77" spans="1:27" s="1" customFormat="1" x14ac:dyDescent="0.25">
      <c r="A77" s="52"/>
      <c r="B77" s="2"/>
      <c r="C77" s="3">
        <v>42324</v>
      </c>
      <c r="D77" s="1">
        <v>14</v>
      </c>
      <c r="E77" s="1">
        <v>12.8</v>
      </c>
      <c r="F77" s="1">
        <v>15.4</v>
      </c>
      <c r="G77" s="1">
        <f t="shared" si="12"/>
        <v>895.10000000000014</v>
      </c>
      <c r="J77" s="1">
        <v>4.2</v>
      </c>
      <c r="K77" s="1">
        <f t="shared" si="13"/>
        <v>94.299999999999983</v>
      </c>
      <c r="L77" s="1">
        <v>0.9</v>
      </c>
      <c r="M77" s="1">
        <f t="shared" si="14"/>
        <v>108.20000000000005</v>
      </c>
      <c r="N77" s="1">
        <v>3.3000000000000003</v>
      </c>
      <c r="O77" s="1">
        <f t="shared" si="11"/>
        <v>15.400000000000015</v>
      </c>
      <c r="P77" s="1">
        <v>69</v>
      </c>
      <c r="Q77" s="1">
        <f t="shared" si="8"/>
        <v>0.68333333333333335</v>
      </c>
      <c r="R77" s="5">
        <f t="shared" si="9"/>
        <v>0.61499999999999999</v>
      </c>
      <c r="S77" s="5">
        <f t="shared" si="10"/>
        <v>3.585</v>
      </c>
      <c r="T77" s="5">
        <f t="shared" si="15"/>
        <v>73.514444444444479</v>
      </c>
      <c r="V77" s="1">
        <v>142</v>
      </c>
      <c r="X77" s="1">
        <f t="shared" si="16"/>
        <v>54032.700000000004</v>
      </c>
      <c r="AA77" s="1">
        <v>9.2587752573368096</v>
      </c>
    </row>
    <row r="78" spans="1:27" s="1" customFormat="1" x14ac:dyDescent="0.25">
      <c r="A78" s="52"/>
      <c r="B78" s="2"/>
      <c r="C78" s="3">
        <v>42325</v>
      </c>
      <c r="D78" s="1">
        <v>15.2</v>
      </c>
      <c r="E78" s="1">
        <v>14.3</v>
      </c>
      <c r="F78" s="1">
        <v>15.9</v>
      </c>
      <c r="G78" s="1">
        <f t="shared" si="12"/>
        <v>910.30000000000018</v>
      </c>
      <c r="J78" s="1">
        <v>1</v>
      </c>
      <c r="K78" s="1">
        <f t="shared" si="13"/>
        <v>95.299999999999983</v>
      </c>
      <c r="L78" s="1">
        <v>0.7</v>
      </c>
      <c r="M78" s="1">
        <f t="shared" si="14"/>
        <v>108.90000000000005</v>
      </c>
      <c r="N78" s="1">
        <v>0.30000000000000004</v>
      </c>
      <c r="O78" s="1">
        <f t="shared" si="11"/>
        <v>15.700000000000015</v>
      </c>
      <c r="P78" s="1">
        <v>70</v>
      </c>
      <c r="Q78" s="1">
        <f t="shared" si="8"/>
        <v>0.68888888888888888</v>
      </c>
      <c r="R78" s="5">
        <f t="shared" si="9"/>
        <v>0.48222222222222216</v>
      </c>
      <c r="S78" s="5">
        <f t="shared" si="10"/>
        <v>0.51777777777777789</v>
      </c>
      <c r="T78" s="5">
        <f t="shared" si="15"/>
        <v>74.032222222222259</v>
      </c>
      <c r="V78" s="1">
        <v>103.9</v>
      </c>
      <c r="X78" s="1">
        <f t="shared" si="16"/>
        <v>54136.600000000006</v>
      </c>
      <c r="AA78" s="1">
        <v>9.2144460002220008</v>
      </c>
    </row>
    <row r="79" spans="1:27" s="1" customFormat="1" x14ac:dyDescent="0.25">
      <c r="A79" s="52"/>
      <c r="B79" s="2"/>
      <c r="C79" s="3">
        <v>42326</v>
      </c>
      <c r="D79" s="1">
        <v>13.8</v>
      </c>
      <c r="E79" s="1">
        <v>10.3</v>
      </c>
      <c r="F79" s="1">
        <v>17</v>
      </c>
      <c r="G79" s="1">
        <f t="shared" si="12"/>
        <v>924.10000000000014</v>
      </c>
      <c r="J79" s="1">
        <v>0</v>
      </c>
      <c r="K79" s="1">
        <f t="shared" si="13"/>
        <v>95.299999999999983</v>
      </c>
      <c r="L79" s="1">
        <v>0.9</v>
      </c>
      <c r="M79" s="1">
        <f t="shared" si="14"/>
        <v>109.80000000000005</v>
      </c>
      <c r="N79" s="1">
        <v>-0.9</v>
      </c>
      <c r="O79" s="1">
        <f t="shared" si="11"/>
        <v>14.800000000000015</v>
      </c>
      <c r="P79" s="1">
        <v>71</v>
      </c>
      <c r="Q79" s="1">
        <f t="shared" si="8"/>
        <v>0.69444444444444442</v>
      </c>
      <c r="R79" s="5">
        <f t="shared" si="9"/>
        <v>0.625</v>
      </c>
      <c r="S79" s="5">
        <f t="shared" si="10"/>
        <v>-0.625</v>
      </c>
      <c r="T79" s="5">
        <f t="shared" si="15"/>
        <v>73.407222222222259</v>
      </c>
      <c r="V79" s="1">
        <v>179.5</v>
      </c>
      <c r="X79" s="1">
        <f t="shared" si="16"/>
        <v>54316.100000000006</v>
      </c>
      <c r="AA79" s="1">
        <v>9.1708750733060302</v>
      </c>
    </row>
    <row r="80" spans="1:27" s="1" customFormat="1" x14ac:dyDescent="0.25">
      <c r="A80" s="52"/>
      <c r="B80" s="2"/>
      <c r="C80" s="3">
        <v>42327</v>
      </c>
      <c r="D80" s="1">
        <v>14.7</v>
      </c>
      <c r="E80" s="1">
        <v>13.5</v>
      </c>
      <c r="F80" s="1">
        <v>16.100000000000001</v>
      </c>
      <c r="G80" s="1">
        <f t="shared" si="12"/>
        <v>938.80000000000018</v>
      </c>
      <c r="J80" s="1">
        <v>10.6</v>
      </c>
      <c r="K80" s="1">
        <f t="shared" si="13"/>
        <v>105.89999999999998</v>
      </c>
      <c r="L80" s="1">
        <v>0.7</v>
      </c>
      <c r="M80" s="1">
        <f t="shared" si="14"/>
        <v>110.50000000000006</v>
      </c>
      <c r="N80" s="1">
        <v>9.9</v>
      </c>
      <c r="O80" s="1">
        <f t="shared" si="11"/>
        <v>24.700000000000017</v>
      </c>
      <c r="P80" s="1">
        <v>72</v>
      </c>
      <c r="Q80" s="1">
        <f t="shared" si="8"/>
        <v>0.7</v>
      </c>
      <c r="R80" s="5">
        <f t="shared" si="9"/>
        <v>0.48999999999999994</v>
      </c>
      <c r="S80" s="5">
        <f t="shared" si="10"/>
        <v>10.11</v>
      </c>
      <c r="T80" s="5">
        <f t="shared" si="15"/>
        <v>83.517222222222259</v>
      </c>
      <c r="V80" s="1">
        <v>121.3</v>
      </c>
      <c r="X80" s="1">
        <f t="shared" si="16"/>
        <v>54437.400000000009</v>
      </c>
      <c r="AA80" s="1">
        <v>9.1280912473793894</v>
      </c>
    </row>
    <row r="81" spans="1:27" s="1" customFormat="1" x14ac:dyDescent="0.25">
      <c r="A81" s="52"/>
      <c r="B81" s="2"/>
      <c r="C81" s="3">
        <v>42328</v>
      </c>
      <c r="D81" s="1">
        <v>11.3</v>
      </c>
      <c r="E81" s="1">
        <v>9.4</v>
      </c>
      <c r="F81" s="1">
        <v>14.3</v>
      </c>
      <c r="G81" s="1">
        <f t="shared" si="12"/>
        <v>950.10000000000014</v>
      </c>
      <c r="J81" s="1">
        <v>14.4</v>
      </c>
      <c r="K81" s="1">
        <f t="shared" si="13"/>
        <v>120.29999999999998</v>
      </c>
      <c r="L81" s="1">
        <v>0.4</v>
      </c>
      <c r="M81" s="1">
        <f t="shared" si="14"/>
        <v>110.90000000000006</v>
      </c>
      <c r="N81" s="1">
        <v>14</v>
      </c>
      <c r="O81" s="1">
        <f t="shared" si="11"/>
        <v>38.700000000000017</v>
      </c>
      <c r="P81" s="1">
        <v>73</v>
      </c>
      <c r="Q81" s="1">
        <f t="shared" si="8"/>
        <v>0.7055555555555556</v>
      </c>
      <c r="R81" s="5">
        <f t="shared" si="9"/>
        <v>0.28222222222222226</v>
      </c>
      <c r="S81" s="5">
        <f t="shared" si="10"/>
        <v>14.117777777777778</v>
      </c>
      <c r="T81" s="5">
        <f t="shared" si="15"/>
        <v>97.635000000000034</v>
      </c>
      <c r="V81" s="1">
        <v>129.30000000000001</v>
      </c>
      <c r="X81" s="1">
        <f t="shared" si="16"/>
        <v>54566.700000000012</v>
      </c>
      <c r="AA81" s="1">
        <v>9.0861236829689993</v>
      </c>
    </row>
    <row r="82" spans="1:27" s="1" customFormat="1" x14ac:dyDescent="0.25">
      <c r="A82" s="52"/>
      <c r="B82" s="2"/>
      <c r="C82" s="3">
        <v>42329</v>
      </c>
      <c r="D82" s="1">
        <v>5.3</v>
      </c>
      <c r="E82" s="1">
        <v>3.5</v>
      </c>
      <c r="F82" s="1">
        <v>6.6</v>
      </c>
      <c r="G82" s="1">
        <f t="shared" si="12"/>
        <v>955.40000000000009</v>
      </c>
      <c r="J82" s="1">
        <v>4.5999999999999996</v>
      </c>
      <c r="K82" s="1">
        <f t="shared" si="13"/>
        <v>124.89999999999998</v>
      </c>
      <c r="L82" s="1">
        <v>0.7</v>
      </c>
      <c r="M82" s="1">
        <f t="shared" si="14"/>
        <v>111.60000000000007</v>
      </c>
      <c r="N82" s="1">
        <v>3.8999999999999995</v>
      </c>
      <c r="O82" s="1">
        <f t="shared" si="11"/>
        <v>42.600000000000016</v>
      </c>
      <c r="P82" s="1">
        <v>74</v>
      </c>
      <c r="Q82" s="1">
        <f t="shared" si="8"/>
        <v>0.71111111111111114</v>
      </c>
      <c r="R82" s="5">
        <f t="shared" si="9"/>
        <v>0.49777777777777776</v>
      </c>
      <c r="S82" s="5">
        <f t="shared" si="10"/>
        <v>4.1022222222222222</v>
      </c>
      <c r="T82" s="5">
        <f t="shared" si="15"/>
        <v>101.73722222222226</v>
      </c>
      <c r="V82" s="1">
        <v>149.4</v>
      </c>
      <c r="X82" s="1">
        <f t="shared" si="16"/>
        <v>54716.100000000013</v>
      </c>
      <c r="AA82" s="1">
        <v>9.0450018856624599</v>
      </c>
    </row>
    <row r="83" spans="1:27" s="1" customFormat="1" x14ac:dyDescent="0.25">
      <c r="A83" s="52"/>
      <c r="B83" s="2"/>
      <c r="C83" s="3">
        <v>42330</v>
      </c>
      <c r="D83" s="1">
        <v>4.9000000000000004</v>
      </c>
      <c r="E83" s="1">
        <v>1.6</v>
      </c>
      <c r="F83" s="1">
        <v>7.8</v>
      </c>
      <c r="G83" s="1">
        <f t="shared" si="12"/>
        <v>960.30000000000007</v>
      </c>
      <c r="J83" s="1">
        <v>0.8</v>
      </c>
      <c r="K83" s="1">
        <f t="shared" si="13"/>
        <v>125.69999999999997</v>
      </c>
      <c r="L83" s="1">
        <v>0.4</v>
      </c>
      <c r="M83" s="1">
        <f t="shared" si="14"/>
        <v>112.00000000000007</v>
      </c>
      <c r="N83" s="1">
        <v>0.4</v>
      </c>
      <c r="O83" s="1">
        <f t="shared" si="11"/>
        <v>43.000000000000014</v>
      </c>
      <c r="P83" s="1">
        <v>75</v>
      </c>
      <c r="Q83" s="1">
        <f t="shared" ref="Q83:Q134" si="17">0.35+((P83-9)/117)*(1-0.35)</f>
        <v>0.71666666666666667</v>
      </c>
      <c r="R83" s="5">
        <f t="shared" si="9"/>
        <v>0.28666666666666668</v>
      </c>
      <c r="S83" s="5">
        <f t="shared" si="10"/>
        <v>0.51333333333333342</v>
      </c>
      <c r="T83" s="5">
        <f t="shared" si="15"/>
        <v>102.25055555555559</v>
      </c>
      <c r="V83" s="1">
        <v>596.4</v>
      </c>
      <c r="X83" s="1">
        <f t="shared" si="16"/>
        <v>55312.500000000015</v>
      </c>
      <c r="AA83" s="1">
        <v>9.0047556574835408</v>
      </c>
    </row>
    <row r="84" spans="1:27" s="1" customFormat="1" x14ac:dyDescent="0.25">
      <c r="A84" s="52"/>
      <c r="B84" s="2"/>
      <c r="C84" s="3">
        <v>42331</v>
      </c>
      <c r="D84" s="1">
        <v>5.0999999999999996</v>
      </c>
      <c r="E84" s="1">
        <v>3.1</v>
      </c>
      <c r="F84" s="1">
        <v>8.3000000000000007</v>
      </c>
      <c r="G84" s="1">
        <f t="shared" si="12"/>
        <v>965.40000000000009</v>
      </c>
      <c r="J84" s="1">
        <v>1.4</v>
      </c>
      <c r="K84" s="1">
        <f t="shared" si="13"/>
        <v>127.09999999999998</v>
      </c>
      <c r="L84" s="1">
        <v>0.8</v>
      </c>
      <c r="M84" s="1">
        <f t="shared" si="14"/>
        <v>112.80000000000007</v>
      </c>
      <c r="N84" s="1">
        <v>0.59999999999999987</v>
      </c>
      <c r="O84" s="1">
        <f t="shared" si="11"/>
        <v>43.600000000000016</v>
      </c>
      <c r="P84" s="1">
        <v>76</v>
      </c>
      <c r="Q84" s="1">
        <f t="shared" si="17"/>
        <v>0.72222222222222221</v>
      </c>
      <c r="R84" s="5">
        <f t="shared" si="9"/>
        <v>0.57777777777777783</v>
      </c>
      <c r="S84" s="5">
        <f t="shared" si="10"/>
        <v>0.82222222222222208</v>
      </c>
      <c r="T84" s="5">
        <f t="shared" si="15"/>
        <v>103.07277777777782</v>
      </c>
      <c r="V84" s="1">
        <v>670.5</v>
      </c>
      <c r="X84" s="1">
        <f t="shared" si="16"/>
        <v>55983.000000000015</v>
      </c>
      <c r="AA84" s="6">
        <v>8.9654150443073704</v>
      </c>
    </row>
    <row r="85" spans="1:27" s="1" customFormat="1" x14ac:dyDescent="0.25">
      <c r="A85" s="52"/>
      <c r="B85" s="2"/>
      <c r="C85" s="3">
        <v>42332</v>
      </c>
      <c r="D85" s="1">
        <v>8.3000000000000007</v>
      </c>
      <c r="E85" s="1">
        <v>4.0999999999999996</v>
      </c>
      <c r="F85" s="1">
        <v>10.9</v>
      </c>
      <c r="G85" s="1">
        <f t="shared" si="12"/>
        <v>973.7</v>
      </c>
      <c r="J85" s="1">
        <v>4.2</v>
      </c>
      <c r="K85" s="1">
        <f t="shared" si="13"/>
        <v>131.29999999999998</v>
      </c>
      <c r="L85" s="1">
        <v>0.2</v>
      </c>
      <c r="M85" s="1">
        <f t="shared" si="14"/>
        <v>113.00000000000007</v>
      </c>
      <c r="N85" s="1">
        <v>4</v>
      </c>
      <c r="O85" s="1">
        <f t="shared" si="11"/>
        <v>47.600000000000016</v>
      </c>
      <c r="P85" s="1">
        <v>77</v>
      </c>
      <c r="Q85" s="1">
        <f t="shared" si="17"/>
        <v>0.72777777777777786</v>
      </c>
      <c r="R85" s="5">
        <f t="shared" si="9"/>
        <v>0.14555555555555558</v>
      </c>
      <c r="S85" s="5">
        <f t="shared" si="10"/>
        <v>4.054444444444445</v>
      </c>
      <c r="T85" s="5">
        <f t="shared" si="15"/>
        <v>107.12722222222226</v>
      </c>
      <c r="V85" s="1">
        <v>97.1</v>
      </c>
      <c r="X85" s="1">
        <f t="shared" si="16"/>
        <v>56080.100000000013</v>
      </c>
      <c r="AA85" s="6">
        <v>8.9270102793325297</v>
      </c>
    </row>
    <row r="86" spans="1:27" s="1" customFormat="1" x14ac:dyDescent="0.25">
      <c r="A86" s="52"/>
      <c r="B86" s="2"/>
      <c r="C86" s="3">
        <v>42333</v>
      </c>
      <c r="D86" s="1">
        <v>10.7</v>
      </c>
      <c r="E86" s="1">
        <v>9</v>
      </c>
      <c r="F86" s="1">
        <v>12.2</v>
      </c>
      <c r="G86" s="1">
        <f t="shared" si="12"/>
        <v>984.40000000000009</v>
      </c>
      <c r="J86" s="1">
        <v>3.2</v>
      </c>
      <c r="K86" s="1">
        <f t="shared" si="13"/>
        <v>134.49999999999997</v>
      </c>
      <c r="L86" s="1">
        <v>0.5</v>
      </c>
      <c r="M86" s="1">
        <f t="shared" si="14"/>
        <v>113.50000000000007</v>
      </c>
      <c r="N86" s="1">
        <v>2.7</v>
      </c>
      <c r="O86" s="1">
        <f t="shared" si="11"/>
        <v>50.300000000000018</v>
      </c>
      <c r="P86" s="1">
        <v>78</v>
      </c>
      <c r="Q86" s="1">
        <f t="shared" si="17"/>
        <v>0.73333333333333339</v>
      </c>
      <c r="R86" s="5">
        <f t="shared" si="9"/>
        <v>0.3666666666666667</v>
      </c>
      <c r="S86" s="5">
        <f t="shared" si="10"/>
        <v>2.8333333333333335</v>
      </c>
      <c r="T86" s="5">
        <f t="shared" si="15"/>
        <v>109.96055555555559</v>
      </c>
      <c r="V86" s="1">
        <v>132.19999999999999</v>
      </c>
      <c r="X86" s="1">
        <f t="shared" si="16"/>
        <v>56212.30000000001</v>
      </c>
      <c r="AA86" s="6">
        <v>8.8895717226579496</v>
      </c>
    </row>
    <row r="87" spans="1:27" s="1" customFormat="1" x14ac:dyDescent="0.25">
      <c r="A87" s="52"/>
      <c r="B87" s="2"/>
      <c r="C87" s="3">
        <v>42334</v>
      </c>
      <c r="D87" s="1">
        <v>9.6</v>
      </c>
      <c r="E87" s="1">
        <v>8.5</v>
      </c>
      <c r="F87" s="1">
        <v>11</v>
      </c>
      <c r="G87" s="1">
        <f t="shared" si="12"/>
        <v>994.00000000000011</v>
      </c>
      <c r="J87" s="1">
        <v>0.5</v>
      </c>
      <c r="K87" s="1">
        <f t="shared" si="13"/>
        <v>134.99999999999997</v>
      </c>
      <c r="L87" s="1">
        <v>0.4</v>
      </c>
      <c r="M87" s="1">
        <f t="shared" si="14"/>
        <v>113.90000000000008</v>
      </c>
      <c r="N87" s="1">
        <v>9.9999999999999978E-2</v>
      </c>
      <c r="O87" s="1">
        <f t="shared" si="11"/>
        <v>50.40000000000002</v>
      </c>
      <c r="P87" s="1">
        <v>79</v>
      </c>
      <c r="Q87" s="1">
        <f t="shared" si="17"/>
        <v>0.73888888888888893</v>
      </c>
      <c r="R87" s="5">
        <f t="shared" si="9"/>
        <v>0.29555555555555557</v>
      </c>
      <c r="S87" s="5">
        <f t="shared" si="10"/>
        <v>0.20444444444444443</v>
      </c>
      <c r="T87" s="5">
        <f t="shared" si="15"/>
        <v>110.16500000000003</v>
      </c>
      <c r="V87" s="1">
        <v>68.099999999999994</v>
      </c>
      <c r="X87" s="1">
        <f t="shared" si="16"/>
        <v>56280.400000000009</v>
      </c>
      <c r="AA87" s="6">
        <v>8.8531297970460692</v>
      </c>
    </row>
    <row r="88" spans="1:27" s="1" customFormat="1" x14ac:dyDescent="0.25">
      <c r="A88" s="52"/>
      <c r="B88" s="2"/>
      <c r="C88" s="3">
        <v>42335</v>
      </c>
      <c r="D88" s="1">
        <v>9</v>
      </c>
      <c r="E88" s="1">
        <v>7.2</v>
      </c>
      <c r="F88" s="1">
        <v>10.8</v>
      </c>
      <c r="G88" s="1">
        <f t="shared" si="12"/>
        <v>1003.0000000000001</v>
      </c>
      <c r="J88" s="1">
        <v>1.4</v>
      </c>
      <c r="K88" s="1">
        <f t="shared" si="13"/>
        <v>136.39999999999998</v>
      </c>
      <c r="L88" s="1">
        <v>0.4</v>
      </c>
      <c r="M88" s="1">
        <f t="shared" si="14"/>
        <v>114.30000000000008</v>
      </c>
      <c r="N88" s="1">
        <v>0.99999999999999989</v>
      </c>
      <c r="O88" s="1">
        <f t="shared" si="11"/>
        <v>51.40000000000002</v>
      </c>
      <c r="P88" s="1">
        <v>80</v>
      </c>
      <c r="Q88" s="1">
        <f t="shared" si="17"/>
        <v>0.74444444444444446</v>
      </c>
      <c r="R88" s="5">
        <f t="shared" si="9"/>
        <v>0.29777777777777781</v>
      </c>
      <c r="S88" s="5">
        <f t="shared" si="10"/>
        <v>1.1022222222222222</v>
      </c>
      <c r="T88" s="5">
        <f t="shared" si="15"/>
        <v>111.26722222222226</v>
      </c>
      <c r="V88" s="1">
        <v>140.5</v>
      </c>
      <c r="X88" s="1">
        <f t="shared" si="16"/>
        <v>56420.900000000009</v>
      </c>
      <c r="AA88" s="6">
        <v>8.8177149199891005</v>
      </c>
    </row>
    <row r="89" spans="1:27" s="1" customFormat="1" x14ac:dyDescent="0.25">
      <c r="A89" s="52"/>
      <c r="B89" s="2"/>
      <c r="C89" s="3">
        <v>42336</v>
      </c>
      <c r="D89" s="1">
        <v>7.9</v>
      </c>
      <c r="E89" s="1">
        <v>3.6</v>
      </c>
      <c r="F89" s="1">
        <v>11.2</v>
      </c>
      <c r="G89" s="1">
        <f t="shared" si="12"/>
        <v>1010.9000000000001</v>
      </c>
      <c r="J89" s="1">
        <v>0</v>
      </c>
      <c r="K89" s="1">
        <f t="shared" si="13"/>
        <v>136.39999999999998</v>
      </c>
      <c r="L89" s="1">
        <v>0.9</v>
      </c>
      <c r="M89" s="1">
        <f t="shared" si="14"/>
        <v>115.20000000000009</v>
      </c>
      <c r="N89" s="1">
        <v>-0.9</v>
      </c>
      <c r="O89" s="1">
        <f t="shared" si="11"/>
        <v>50.500000000000021</v>
      </c>
      <c r="P89" s="1">
        <v>81</v>
      </c>
      <c r="Q89" s="1">
        <f t="shared" si="17"/>
        <v>0.75</v>
      </c>
      <c r="R89" s="5">
        <f t="shared" si="9"/>
        <v>0.67500000000000004</v>
      </c>
      <c r="S89" s="5">
        <f t="shared" si="10"/>
        <v>-0.67500000000000004</v>
      </c>
      <c r="T89" s="5">
        <f t="shared" si="15"/>
        <v>110.59222222222226</v>
      </c>
      <c r="V89" s="1">
        <v>645.79999999999995</v>
      </c>
      <c r="X89" s="1">
        <f t="shared" si="16"/>
        <v>57066.700000000012</v>
      </c>
      <c r="AA89" s="6">
        <v>8.7833574322332097</v>
      </c>
    </row>
    <row r="90" spans="1:27" s="1" customFormat="1" x14ac:dyDescent="0.25">
      <c r="A90" s="52"/>
      <c r="B90" s="2"/>
      <c r="C90" s="3">
        <v>42337</v>
      </c>
      <c r="D90" s="1">
        <v>12.1</v>
      </c>
      <c r="E90" s="1">
        <v>8.8000000000000007</v>
      </c>
      <c r="F90" s="1">
        <v>13.4</v>
      </c>
      <c r="G90" s="1">
        <f t="shared" si="12"/>
        <v>1023.0000000000001</v>
      </c>
      <c r="J90" s="1">
        <v>0</v>
      </c>
      <c r="K90" s="1">
        <f t="shared" si="13"/>
        <v>136.39999999999998</v>
      </c>
      <c r="L90" s="1">
        <v>1.4</v>
      </c>
      <c r="M90" s="1">
        <f t="shared" si="14"/>
        <v>116.60000000000009</v>
      </c>
      <c r="N90" s="1">
        <v>-1.4</v>
      </c>
      <c r="O90" s="1">
        <f t="shared" si="11"/>
        <v>49.100000000000023</v>
      </c>
      <c r="P90" s="1">
        <v>82</v>
      </c>
      <c r="Q90" s="1">
        <f t="shared" si="17"/>
        <v>0.75555555555555554</v>
      </c>
      <c r="R90" s="5">
        <f t="shared" si="9"/>
        <v>1.0577777777777777</v>
      </c>
      <c r="S90" s="5">
        <f t="shared" si="10"/>
        <v>-1.0577777777777777</v>
      </c>
      <c r="T90" s="5">
        <f t="shared" si="15"/>
        <v>109.53444444444449</v>
      </c>
      <c r="V90" s="1">
        <v>170.7</v>
      </c>
      <c r="X90" s="1">
        <f t="shared" si="16"/>
        <v>57237.400000000009</v>
      </c>
      <c r="AA90" s="6">
        <v>8.7500875229543809</v>
      </c>
    </row>
    <row r="91" spans="1:27" s="1" customFormat="1" x14ac:dyDescent="0.25">
      <c r="A91" s="52"/>
      <c r="B91" s="2"/>
      <c r="C91" s="3">
        <v>42338</v>
      </c>
      <c r="D91" s="1">
        <v>11.8</v>
      </c>
      <c r="E91" s="1">
        <v>10.6</v>
      </c>
      <c r="F91" s="1">
        <v>12.8</v>
      </c>
      <c r="G91" s="1">
        <f t="shared" si="12"/>
        <v>1034.8000000000002</v>
      </c>
      <c r="J91" s="1">
        <v>0.6</v>
      </c>
      <c r="K91" s="1">
        <f t="shared" si="13"/>
        <v>136.99999999999997</v>
      </c>
      <c r="L91" s="1">
        <v>1.2</v>
      </c>
      <c r="M91" s="1">
        <f t="shared" si="14"/>
        <v>117.8000000000001</v>
      </c>
      <c r="N91" s="1">
        <v>-0.6</v>
      </c>
      <c r="O91" s="1">
        <f t="shared" si="11"/>
        <v>48.500000000000021</v>
      </c>
      <c r="P91" s="1">
        <v>83</v>
      </c>
      <c r="Q91" s="1">
        <f t="shared" si="17"/>
        <v>0.76111111111111107</v>
      </c>
      <c r="R91" s="5">
        <f t="shared" si="9"/>
        <v>0.91333333333333322</v>
      </c>
      <c r="S91" s="5">
        <f t="shared" si="10"/>
        <v>-0.31333333333333324</v>
      </c>
      <c r="T91" s="5">
        <f t="shared" si="15"/>
        <v>109.22111111111116</v>
      </c>
      <c r="V91" s="1">
        <v>144.80000000000001</v>
      </c>
      <c r="X91" s="1">
        <f t="shared" si="16"/>
        <v>57382.200000000012</v>
      </c>
      <c r="AA91" s="6">
        <v>8.7179351518204609</v>
      </c>
    </row>
    <row r="92" spans="1:27" s="1" customFormat="1" x14ac:dyDescent="0.25">
      <c r="A92" s="52"/>
      <c r="B92" s="2"/>
      <c r="C92" s="3">
        <v>42339</v>
      </c>
      <c r="D92" s="1">
        <v>11.2</v>
      </c>
      <c r="E92" s="1">
        <v>9.1</v>
      </c>
      <c r="F92" s="1">
        <v>13.4</v>
      </c>
      <c r="G92" s="1">
        <f t="shared" si="12"/>
        <v>1046.0000000000002</v>
      </c>
      <c r="J92" s="1">
        <v>0</v>
      </c>
      <c r="K92" s="1">
        <f t="shared" si="13"/>
        <v>136.99999999999997</v>
      </c>
      <c r="L92" s="1">
        <v>1.1000000000000001</v>
      </c>
      <c r="M92" s="1">
        <f t="shared" si="14"/>
        <v>118.90000000000009</v>
      </c>
      <c r="N92" s="1">
        <v>-1.1000000000000001</v>
      </c>
      <c r="O92" s="1">
        <f t="shared" si="11"/>
        <v>47.40000000000002</v>
      </c>
      <c r="P92" s="1">
        <v>84</v>
      </c>
      <c r="Q92" s="1">
        <f t="shared" si="17"/>
        <v>0.76666666666666672</v>
      </c>
      <c r="R92" s="5">
        <f t="shared" si="9"/>
        <v>0.84333333333333349</v>
      </c>
      <c r="S92" s="5">
        <f t="shared" si="10"/>
        <v>-0.84333333333333349</v>
      </c>
      <c r="T92" s="5">
        <f t="shared" si="15"/>
        <v>108.37777777777782</v>
      </c>
      <c r="V92" s="1">
        <v>167.6</v>
      </c>
      <c r="X92" s="1">
        <f t="shared" si="16"/>
        <v>57549.80000000001</v>
      </c>
      <c r="AA92" s="6">
        <v>8.6869299682154892</v>
      </c>
    </row>
    <row r="93" spans="1:27" s="1" customFormat="1" x14ac:dyDescent="0.25">
      <c r="A93" s="52"/>
      <c r="B93" s="2"/>
      <c r="C93" s="3">
        <v>42340</v>
      </c>
      <c r="D93" s="1">
        <v>10.7</v>
      </c>
      <c r="E93" s="1">
        <v>10.1</v>
      </c>
      <c r="F93" s="1">
        <v>11.4</v>
      </c>
      <c r="G93" s="1">
        <f t="shared" si="12"/>
        <v>1056.7000000000003</v>
      </c>
      <c r="J93" s="1">
        <v>0.4</v>
      </c>
      <c r="K93" s="1">
        <f t="shared" si="13"/>
        <v>137.39999999999998</v>
      </c>
      <c r="L93" s="1">
        <v>0.9</v>
      </c>
      <c r="M93" s="1">
        <f t="shared" si="14"/>
        <v>119.8000000000001</v>
      </c>
      <c r="N93" s="1">
        <v>-0.5</v>
      </c>
      <c r="O93" s="1">
        <f t="shared" si="11"/>
        <v>46.90000000000002</v>
      </c>
      <c r="P93" s="1">
        <v>85</v>
      </c>
      <c r="Q93" s="1">
        <f t="shared" si="17"/>
        <v>0.77222222222222225</v>
      </c>
      <c r="R93" s="5">
        <f t="shared" si="9"/>
        <v>0.69500000000000006</v>
      </c>
      <c r="S93" s="5">
        <f t="shared" si="10"/>
        <v>-0.29500000000000004</v>
      </c>
      <c r="T93" s="5">
        <f t="shared" si="15"/>
        <v>108.08277777777782</v>
      </c>
      <c r="V93" s="1">
        <v>114.3</v>
      </c>
      <c r="X93" s="1">
        <f t="shared" si="16"/>
        <v>57664.100000000013</v>
      </c>
      <c r="AA93" s="6">
        <v>8.6571012279438708</v>
      </c>
    </row>
    <row r="94" spans="1:27" s="1" customFormat="1" x14ac:dyDescent="0.25">
      <c r="A94" s="52"/>
      <c r="B94" s="2"/>
      <c r="C94" s="3">
        <v>42341</v>
      </c>
      <c r="D94" s="1">
        <v>10.5</v>
      </c>
      <c r="E94" s="1">
        <v>9</v>
      </c>
      <c r="F94" s="1">
        <v>12.7</v>
      </c>
      <c r="G94" s="1">
        <f t="shared" si="12"/>
        <v>1067.2000000000003</v>
      </c>
      <c r="J94" s="1">
        <v>1.4</v>
      </c>
      <c r="K94" s="1">
        <f t="shared" si="13"/>
        <v>138.79999999999998</v>
      </c>
      <c r="L94" s="1">
        <v>1.2</v>
      </c>
      <c r="M94" s="1">
        <f t="shared" si="14"/>
        <v>121.0000000000001</v>
      </c>
      <c r="N94" s="1">
        <v>0.19999999999999996</v>
      </c>
      <c r="O94" s="1">
        <f t="shared" si="11"/>
        <v>47.100000000000023</v>
      </c>
      <c r="P94" s="1">
        <v>86</v>
      </c>
      <c r="Q94" s="1">
        <f t="shared" si="17"/>
        <v>0.77777777777777779</v>
      </c>
      <c r="R94" s="5">
        <f t="shared" si="9"/>
        <v>0.93333333333333335</v>
      </c>
      <c r="S94" s="5">
        <f t="shared" si="10"/>
        <v>0.46666666666666656</v>
      </c>
      <c r="T94" s="5">
        <f t="shared" si="15"/>
        <v>108.54944444444449</v>
      </c>
      <c r="V94" s="1">
        <v>285.7</v>
      </c>
      <c r="X94" s="1">
        <f t="shared" si="16"/>
        <v>57949.80000000001</v>
      </c>
      <c r="AA94" s="6">
        <v>8.6284777077740902</v>
      </c>
    </row>
    <row r="95" spans="1:27" s="1" customFormat="1" x14ac:dyDescent="0.25">
      <c r="A95" s="52"/>
      <c r="B95" s="2"/>
      <c r="C95" s="3">
        <v>42342</v>
      </c>
      <c r="D95" s="1">
        <v>8.4</v>
      </c>
      <c r="E95" s="1">
        <v>6.5</v>
      </c>
      <c r="F95" s="1">
        <v>11.8</v>
      </c>
      <c r="G95" s="1">
        <f t="shared" si="12"/>
        <v>1075.6000000000004</v>
      </c>
      <c r="J95" s="1">
        <v>0</v>
      </c>
      <c r="K95" s="1">
        <f t="shared" si="13"/>
        <v>138.79999999999998</v>
      </c>
      <c r="L95" s="1">
        <v>1</v>
      </c>
      <c r="M95" s="1">
        <f t="shared" si="14"/>
        <v>122.0000000000001</v>
      </c>
      <c r="N95" s="1">
        <v>-1</v>
      </c>
      <c r="O95" s="1">
        <f t="shared" si="11"/>
        <v>46.100000000000023</v>
      </c>
      <c r="P95" s="1">
        <v>87</v>
      </c>
      <c r="Q95" s="1">
        <f t="shared" si="17"/>
        <v>0.78333333333333333</v>
      </c>
      <c r="R95" s="5">
        <f t="shared" si="9"/>
        <v>0.78333333333333333</v>
      </c>
      <c r="S95" s="5">
        <f t="shared" si="10"/>
        <v>-0.78333333333333333</v>
      </c>
      <c r="T95" s="5">
        <f t="shared" si="15"/>
        <v>107.76611111111116</v>
      </c>
      <c r="V95" s="1">
        <v>629</v>
      </c>
      <c r="X95" s="1">
        <f t="shared" si="16"/>
        <v>58578.80000000001</v>
      </c>
      <c r="AA95" s="6">
        <v>8.6010876182217704</v>
      </c>
    </row>
    <row r="96" spans="1:27" s="1" customFormat="1" x14ac:dyDescent="0.25">
      <c r="A96" s="52"/>
      <c r="B96" s="2"/>
      <c r="C96" s="3">
        <v>42343</v>
      </c>
      <c r="D96" s="1">
        <v>8.4</v>
      </c>
      <c r="E96" s="1">
        <v>4.5999999999999996</v>
      </c>
      <c r="F96" s="1">
        <v>11.2</v>
      </c>
      <c r="G96" s="1">
        <f t="shared" si="12"/>
        <v>1084.0000000000005</v>
      </c>
      <c r="J96" s="1">
        <v>0</v>
      </c>
      <c r="K96" s="1">
        <f t="shared" si="13"/>
        <v>138.79999999999998</v>
      </c>
      <c r="L96" s="1">
        <v>0.6</v>
      </c>
      <c r="M96" s="1">
        <f t="shared" si="14"/>
        <v>122.60000000000009</v>
      </c>
      <c r="N96" s="1">
        <v>-0.6</v>
      </c>
      <c r="O96" s="1">
        <f t="shared" si="11"/>
        <v>45.500000000000021</v>
      </c>
      <c r="P96" s="1">
        <v>88</v>
      </c>
      <c r="Q96" s="1">
        <f t="shared" si="17"/>
        <v>0.78888888888888897</v>
      </c>
      <c r="R96" s="5">
        <f t="shared" si="9"/>
        <v>0.47333333333333338</v>
      </c>
      <c r="S96" s="5">
        <f t="shared" si="10"/>
        <v>-0.47333333333333338</v>
      </c>
      <c r="T96" s="5">
        <f t="shared" si="15"/>
        <v>107.29277777777783</v>
      </c>
      <c r="V96" s="1">
        <v>115.6</v>
      </c>
      <c r="X96" s="1">
        <f t="shared" si="16"/>
        <v>58694.400000000009</v>
      </c>
      <c r="AA96" s="6">
        <v>8.5749585150120193</v>
      </c>
    </row>
    <row r="97" spans="1:27" s="1" customFormat="1" x14ac:dyDescent="0.25">
      <c r="A97" s="52"/>
      <c r="B97" s="2"/>
      <c r="C97" s="3">
        <v>42344</v>
      </c>
      <c r="D97" s="1">
        <v>12</v>
      </c>
      <c r="E97" s="1">
        <v>9.9</v>
      </c>
      <c r="F97" s="1">
        <v>12.9</v>
      </c>
      <c r="G97" s="1">
        <f t="shared" si="12"/>
        <v>1096.0000000000005</v>
      </c>
      <c r="J97" s="1">
        <v>1.4</v>
      </c>
      <c r="K97" s="1">
        <f t="shared" si="13"/>
        <v>140.19999999999999</v>
      </c>
      <c r="L97" s="1">
        <v>0.4</v>
      </c>
      <c r="M97" s="1">
        <f t="shared" si="14"/>
        <v>123.0000000000001</v>
      </c>
      <c r="N97" s="1">
        <v>0.99999999999999989</v>
      </c>
      <c r="O97" s="1">
        <f t="shared" si="11"/>
        <v>46.500000000000021</v>
      </c>
      <c r="P97" s="1">
        <v>89</v>
      </c>
      <c r="Q97" s="1">
        <f t="shared" si="17"/>
        <v>0.79444444444444451</v>
      </c>
      <c r="R97" s="5">
        <f t="shared" si="9"/>
        <v>0.31777777777777783</v>
      </c>
      <c r="S97" s="5">
        <f t="shared" si="10"/>
        <v>1.0822222222222222</v>
      </c>
      <c r="T97" s="5">
        <f t="shared" si="15"/>
        <v>108.37500000000006</v>
      </c>
      <c r="V97" s="1">
        <v>96.4</v>
      </c>
      <c r="X97" s="1">
        <f t="shared" si="16"/>
        <v>58790.80000000001</v>
      </c>
      <c r="AA97" s="6">
        <v>8.5501172096972606</v>
      </c>
    </row>
    <row r="98" spans="1:27" s="1" customFormat="1" x14ac:dyDescent="0.25">
      <c r="A98" s="52"/>
      <c r="B98" s="2"/>
      <c r="C98" s="3">
        <v>42345</v>
      </c>
      <c r="D98" s="1">
        <v>11</v>
      </c>
      <c r="E98" s="1">
        <v>9</v>
      </c>
      <c r="F98" s="1">
        <v>12.8</v>
      </c>
      <c r="G98" s="1">
        <f t="shared" si="12"/>
        <v>1107.0000000000005</v>
      </c>
      <c r="J98" s="1">
        <v>3.2</v>
      </c>
      <c r="K98" s="1">
        <f t="shared" si="13"/>
        <v>143.39999999999998</v>
      </c>
      <c r="L98" s="1">
        <v>1</v>
      </c>
      <c r="M98" s="1">
        <f t="shared" si="14"/>
        <v>124.0000000000001</v>
      </c>
      <c r="N98" s="1">
        <v>2.2000000000000002</v>
      </c>
      <c r="O98" s="1">
        <f t="shared" si="11"/>
        <v>48.700000000000024</v>
      </c>
      <c r="P98" s="1">
        <v>90</v>
      </c>
      <c r="Q98" s="1">
        <f t="shared" si="17"/>
        <v>0.8</v>
      </c>
      <c r="R98" s="5">
        <f t="shared" si="9"/>
        <v>0.8</v>
      </c>
      <c r="S98" s="5">
        <f t="shared" si="10"/>
        <v>2.4000000000000004</v>
      </c>
      <c r="T98" s="5">
        <f t="shared" si="15"/>
        <v>110.77500000000006</v>
      </c>
      <c r="V98" s="1">
        <v>607.1</v>
      </c>
      <c r="X98" s="1">
        <f t="shared" si="16"/>
        <v>59397.900000000009</v>
      </c>
      <c r="AA98" s="6">
        <v>8.5265896799417202</v>
      </c>
    </row>
    <row r="99" spans="1:27" s="1" customFormat="1" x14ac:dyDescent="0.25">
      <c r="A99" s="52"/>
      <c r="B99" s="2"/>
      <c r="C99" s="3">
        <v>42346</v>
      </c>
      <c r="D99" s="1">
        <v>10.3</v>
      </c>
      <c r="E99" s="1">
        <v>8.5</v>
      </c>
      <c r="F99" s="1">
        <v>12.9</v>
      </c>
      <c r="G99" s="1">
        <f t="shared" si="12"/>
        <v>1117.3000000000004</v>
      </c>
      <c r="J99" s="1">
        <v>2.1</v>
      </c>
      <c r="K99" s="1">
        <f t="shared" si="13"/>
        <v>145.49999999999997</v>
      </c>
      <c r="L99" s="1">
        <v>0.6</v>
      </c>
      <c r="M99" s="1">
        <f t="shared" si="14"/>
        <v>124.60000000000009</v>
      </c>
      <c r="N99" s="1">
        <v>1.5</v>
      </c>
      <c r="O99" s="1">
        <f t="shared" si="11"/>
        <v>50.200000000000024</v>
      </c>
      <c r="P99" s="1">
        <v>91</v>
      </c>
      <c r="Q99" s="1">
        <f t="shared" si="17"/>
        <v>0.80555555555555558</v>
      </c>
      <c r="R99" s="5">
        <f t="shared" si="9"/>
        <v>0.48333333333333334</v>
      </c>
      <c r="S99" s="5">
        <f t="shared" si="10"/>
        <v>1.6166666666666667</v>
      </c>
      <c r="T99" s="5">
        <f t="shared" si="15"/>
        <v>112.39166666666672</v>
      </c>
      <c r="V99" s="1">
        <v>277</v>
      </c>
      <c r="X99" s="1">
        <f t="shared" si="16"/>
        <v>59674.900000000009</v>
      </c>
      <c r="AA99" s="6">
        <v>8.5044009800137506</v>
      </c>
    </row>
    <row r="100" spans="1:27" s="1" customFormat="1" x14ac:dyDescent="0.25">
      <c r="A100" s="52"/>
      <c r="B100" s="2"/>
      <c r="C100" s="3">
        <v>42347</v>
      </c>
      <c r="D100" s="1">
        <v>6.6</v>
      </c>
      <c r="E100" s="1">
        <v>2.2000000000000002</v>
      </c>
      <c r="F100" s="1">
        <v>11.4</v>
      </c>
      <c r="G100" s="1">
        <f t="shared" si="12"/>
        <v>1123.9000000000003</v>
      </c>
      <c r="J100" s="1">
        <v>0.2</v>
      </c>
      <c r="K100" s="1">
        <f t="shared" si="13"/>
        <v>145.69999999999996</v>
      </c>
      <c r="L100" s="1">
        <v>0.7</v>
      </c>
      <c r="M100" s="1">
        <f t="shared" si="14"/>
        <v>125.3000000000001</v>
      </c>
      <c r="N100" s="1">
        <v>-0.49999999999999994</v>
      </c>
      <c r="O100" s="1">
        <f t="shared" si="11"/>
        <v>49.700000000000024</v>
      </c>
      <c r="P100" s="1">
        <v>92</v>
      </c>
      <c r="Q100" s="1">
        <f t="shared" si="17"/>
        <v>0.81111111111111112</v>
      </c>
      <c r="R100" s="5">
        <f t="shared" si="9"/>
        <v>0.56777777777777771</v>
      </c>
      <c r="S100" s="5">
        <f t="shared" si="10"/>
        <v>-0.3677777777777777</v>
      </c>
      <c r="T100" s="5">
        <f t="shared" si="15"/>
        <v>112.02388888888895</v>
      </c>
      <c r="V100" s="1">
        <v>635.79999999999995</v>
      </c>
      <c r="X100" s="1">
        <f t="shared" si="16"/>
        <v>60310.700000000012</v>
      </c>
      <c r="AA100" s="6">
        <v>8.4835751520538096</v>
      </c>
    </row>
    <row r="101" spans="1:27" s="1" customFormat="1" x14ac:dyDescent="0.25">
      <c r="A101" s="52"/>
      <c r="B101" s="2"/>
      <c r="C101" s="3">
        <v>42348</v>
      </c>
      <c r="D101" s="1">
        <v>5.4</v>
      </c>
      <c r="E101" s="1">
        <v>3.8</v>
      </c>
      <c r="F101" s="1">
        <v>8</v>
      </c>
      <c r="G101" s="1">
        <f t="shared" si="12"/>
        <v>1129.3000000000004</v>
      </c>
      <c r="J101" s="1">
        <v>0</v>
      </c>
      <c r="K101" s="1">
        <f t="shared" si="13"/>
        <v>145.69999999999996</v>
      </c>
      <c r="L101" s="1">
        <v>0.6</v>
      </c>
      <c r="M101" s="1">
        <f t="shared" si="14"/>
        <v>125.90000000000009</v>
      </c>
      <c r="N101" s="1">
        <v>-0.6</v>
      </c>
      <c r="O101" s="1">
        <f t="shared" si="11"/>
        <v>49.100000000000023</v>
      </c>
      <c r="P101" s="1">
        <v>93</v>
      </c>
      <c r="Q101" s="1">
        <f t="shared" si="17"/>
        <v>0.81666666666666665</v>
      </c>
      <c r="R101" s="5">
        <f t="shared" si="9"/>
        <v>0.49</v>
      </c>
      <c r="S101" s="5">
        <f t="shared" si="10"/>
        <v>-0.49</v>
      </c>
      <c r="T101" s="5">
        <f t="shared" si="15"/>
        <v>111.53388888888895</v>
      </c>
      <c r="V101" s="1">
        <v>136.6</v>
      </c>
      <c r="X101" s="1">
        <f t="shared" si="16"/>
        <v>60447.30000000001</v>
      </c>
      <c r="AA101" s="6">
        <v>8.4641351387067392</v>
      </c>
    </row>
    <row r="102" spans="1:27" s="1" customFormat="1" x14ac:dyDescent="0.25">
      <c r="A102" s="52"/>
      <c r="B102" s="2"/>
      <c r="C102" s="3">
        <v>42349</v>
      </c>
      <c r="D102" s="1">
        <v>9.6999999999999993</v>
      </c>
      <c r="E102" s="1">
        <v>5</v>
      </c>
      <c r="F102" s="1">
        <v>13.7</v>
      </c>
      <c r="G102" s="1">
        <f t="shared" si="12"/>
        <v>1139.0000000000005</v>
      </c>
      <c r="J102" s="1">
        <v>0</v>
      </c>
      <c r="K102" s="1">
        <f t="shared" si="13"/>
        <v>145.69999999999996</v>
      </c>
      <c r="L102" s="1">
        <v>0.4</v>
      </c>
      <c r="M102" s="1">
        <f t="shared" si="14"/>
        <v>126.3000000000001</v>
      </c>
      <c r="N102" s="1">
        <v>-0.4</v>
      </c>
      <c r="O102" s="1">
        <f t="shared" si="11"/>
        <v>48.700000000000024</v>
      </c>
      <c r="P102" s="1">
        <v>94</v>
      </c>
      <c r="Q102" s="1">
        <f t="shared" si="17"/>
        <v>0.82222222222222219</v>
      </c>
      <c r="R102" s="5">
        <f t="shared" si="9"/>
        <v>0.3288888888888889</v>
      </c>
      <c r="S102" s="5">
        <f t="shared" si="10"/>
        <v>-0.3288888888888889</v>
      </c>
      <c r="T102" s="5">
        <f t="shared" si="15"/>
        <v>111.20500000000007</v>
      </c>
      <c r="V102" s="1">
        <v>194.6</v>
      </c>
      <c r="X102" s="1">
        <f t="shared" si="16"/>
        <v>60641.900000000009</v>
      </c>
      <c r="AA102" s="6">
        <v>8.4461026977227203</v>
      </c>
    </row>
    <row r="103" spans="1:27" s="1" customFormat="1" x14ac:dyDescent="0.25">
      <c r="A103" s="52"/>
      <c r="B103" s="2"/>
      <c r="C103" s="3">
        <v>42350</v>
      </c>
      <c r="D103" s="1">
        <v>9.6999999999999993</v>
      </c>
      <c r="E103" s="1">
        <v>8.1999999999999993</v>
      </c>
      <c r="F103" s="1">
        <v>12.2</v>
      </c>
      <c r="G103" s="1">
        <f t="shared" si="12"/>
        <v>1148.7000000000005</v>
      </c>
      <c r="J103" s="1">
        <v>0.2</v>
      </c>
      <c r="K103" s="1">
        <f t="shared" si="13"/>
        <v>145.89999999999995</v>
      </c>
      <c r="L103" s="1">
        <v>0.5</v>
      </c>
      <c r="M103" s="1">
        <f t="shared" si="14"/>
        <v>126.8000000000001</v>
      </c>
      <c r="N103" s="1">
        <v>-0.3</v>
      </c>
      <c r="O103" s="1">
        <f t="shared" si="11"/>
        <v>48.400000000000027</v>
      </c>
      <c r="P103" s="1">
        <v>95</v>
      </c>
      <c r="Q103" s="1">
        <f t="shared" si="17"/>
        <v>0.82777777777777772</v>
      </c>
      <c r="R103" s="5">
        <f t="shared" si="9"/>
        <v>0.41388888888888886</v>
      </c>
      <c r="S103" s="5">
        <f t="shared" si="10"/>
        <v>-0.21388888888888885</v>
      </c>
      <c r="T103" s="5">
        <f t="shared" si="15"/>
        <v>110.99111111111118</v>
      </c>
      <c r="V103" s="1">
        <v>215.2</v>
      </c>
      <c r="X103" s="1">
        <f t="shared" si="16"/>
        <v>60857.100000000006</v>
      </c>
      <c r="AA103" s="6">
        <v>8.4294983191401904</v>
      </c>
    </row>
    <row r="104" spans="1:27" s="1" customFormat="1" x14ac:dyDescent="0.25">
      <c r="A104" s="52"/>
      <c r="B104" s="2"/>
      <c r="C104" s="3">
        <v>42351</v>
      </c>
      <c r="D104" s="1">
        <v>5.0999999999999996</v>
      </c>
      <c r="E104" s="1">
        <v>3</v>
      </c>
      <c r="F104" s="1">
        <v>6.9</v>
      </c>
      <c r="G104" s="1">
        <f t="shared" si="12"/>
        <v>1153.8000000000004</v>
      </c>
      <c r="J104" s="1">
        <v>0</v>
      </c>
      <c r="K104" s="1">
        <f t="shared" si="13"/>
        <v>145.89999999999995</v>
      </c>
      <c r="L104" s="1">
        <v>0.4</v>
      </c>
      <c r="M104" s="1">
        <f t="shared" si="14"/>
        <v>127.2000000000001</v>
      </c>
      <c r="N104" s="1">
        <v>-0.4</v>
      </c>
      <c r="O104" s="1">
        <f t="shared" si="11"/>
        <v>48.000000000000028</v>
      </c>
      <c r="P104" s="1">
        <v>96</v>
      </c>
      <c r="Q104" s="1">
        <f t="shared" si="17"/>
        <v>0.83333333333333326</v>
      </c>
      <c r="R104" s="5">
        <f t="shared" si="9"/>
        <v>0.33333333333333331</v>
      </c>
      <c r="S104" s="5">
        <f t="shared" si="10"/>
        <v>-0.33333333333333331</v>
      </c>
      <c r="T104" s="5">
        <f t="shared" si="15"/>
        <v>110.65777777777785</v>
      </c>
      <c r="V104" s="1">
        <v>162.19999999999999</v>
      </c>
      <c r="X104" s="1">
        <f t="shared" si="16"/>
        <v>61019.3</v>
      </c>
      <c r="AA104" s="6">
        <v>8.4143411456663699</v>
      </c>
    </row>
    <row r="105" spans="1:27" s="1" customFormat="1" x14ac:dyDescent="0.25">
      <c r="A105" s="52"/>
      <c r="B105" s="2"/>
      <c r="C105" s="3">
        <v>42352</v>
      </c>
      <c r="D105" s="1">
        <v>8</v>
      </c>
      <c r="E105" s="1">
        <v>5.4</v>
      </c>
      <c r="F105" s="1">
        <v>10.1</v>
      </c>
      <c r="G105" s="1">
        <f t="shared" si="12"/>
        <v>1161.8000000000004</v>
      </c>
      <c r="J105" s="1">
        <v>1.6</v>
      </c>
      <c r="K105" s="1">
        <f t="shared" si="13"/>
        <v>147.49999999999994</v>
      </c>
      <c r="L105" s="1">
        <v>0.6</v>
      </c>
      <c r="M105" s="1">
        <f t="shared" si="14"/>
        <v>127.8000000000001</v>
      </c>
      <c r="N105" s="1">
        <v>1</v>
      </c>
      <c r="O105" s="1">
        <f t="shared" si="11"/>
        <v>49.000000000000028</v>
      </c>
      <c r="P105" s="1">
        <v>97</v>
      </c>
      <c r="Q105" s="1">
        <f t="shared" si="17"/>
        <v>0.83888888888888891</v>
      </c>
      <c r="R105" s="5">
        <f t="shared" si="9"/>
        <v>0.5033333333333333</v>
      </c>
      <c r="S105" s="5">
        <f t="shared" si="10"/>
        <v>1.0966666666666667</v>
      </c>
      <c r="T105" s="5">
        <f t="shared" si="15"/>
        <v>111.75444444444452</v>
      </c>
      <c r="V105" s="1">
        <v>272.7</v>
      </c>
      <c r="X105" s="1">
        <f t="shared" si="16"/>
        <v>61292</v>
      </c>
      <c r="AA105" s="6">
        <v>8.4006488968663096</v>
      </c>
    </row>
    <row r="106" spans="1:27" s="1" customFormat="1" x14ac:dyDescent="0.25">
      <c r="A106" s="52"/>
      <c r="B106" s="2"/>
      <c r="C106" s="3">
        <v>42353</v>
      </c>
      <c r="D106" s="1">
        <v>11.5</v>
      </c>
      <c r="E106" s="1">
        <v>9.4</v>
      </c>
      <c r="F106" s="1">
        <v>14.3</v>
      </c>
      <c r="G106" s="1">
        <f t="shared" si="12"/>
        <v>1173.3000000000004</v>
      </c>
      <c r="J106" s="1">
        <v>8.8000000000000007</v>
      </c>
      <c r="K106" s="1">
        <f t="shared" si="13"/>
        <v>156.29999999999995</v>
      </c>
      <c r="L106" s="1">
        <v>0.6</v>
      </c>
      <c r="M106" s="1">
        <f t="shared" si="14"/>
        <v>128.40000000000009</v>
      </c>
      <c r="N106" s="1">
        <v>8.2000000000000011</v>
      </c>
      <c r="O106" s="1">
        <f t="shared" si="11"/>
        <v>57.200000000000031</v>
      </c>
      <c r="P106" s="1">
        <v>98</v>
      </c>
      <c r="Q106" s="1">
        <f t="shared" si="17"/>
        <v>0.84444444444444444</v>
      </c>
      <c r="R106" s="5">
        <f t="shared" si="9"/>
        <v>0.5066666666666666</v>
      </c>
      <c r="S106" s="5">
        <f t="shared" si="10"/>
        <v>8.2933333333333348</v>
      </c>
      <c r="T106" s="5">
        <f t="shared" si="15"/>
        <v>120.04777777777785</v>
      </c>
      <c r="V106" s="1">
        <v>84.4</v>
      </c>
      <c r="X106" s="1">
        <f t="shared" si="16"/>
        <v>61376.4</v>
      </c>
      <c r="AA106" s="6">
        <v>8.3884377977584599</v>
      </c>
    </row>
    <row r="107" spans="1:27" s="1" customFormat="1" x14ac:dyDescent="0.25">
      <c r="A107" s="52"/>
      <c r="B107" s="2"/>
      <c r="C107" s="3">
        <v>42354</v>
      </c>
      <c r="D107" s="1">
        <v>13.7</v>
      </c>
      <c r="E107" s="1">
        <v>12.9</v>
      </c>
      <c r="F107" s="1">
        <v>14.7</v>
      </c>
      <c r="G107" s="1">
        <f t="shared" si="12"/>
        <v>1187.0000000000005</v>
      </c>
      <c r="J107" s="1">
        <v>0.6</v>
      </c>
      <c r="K107" s="1">
        <f t="shared" si="13"/>
        <v>156.89999999999995</v>
      </c>
      <c r="L107" s="1">
        <v>0.6</v>
      </c>
      <c r="M107" s="1">
        <f t="shared" si="14"/>
        <v>129.00000000000009</v>
      </c>
      <c r="N107" s="1">
        <v>0</v>
      </c>
      <c r="O107" s="1">
        <f t="shared" si="11"/>
        <v>57.200000000000031</v>
      </c>
      <c r="P107" s="1">
        <v>99</v>
      </c>
      <c r="Q107" s="1">
        <f t="shared" si="17"/>
        <v>0.85</v>
      </c>
      <c r="R107" s="5">
        <f t="shared" si="9"/>
        <v>0.51</v>
      </c>
      <c r="S107" s="5">
        <f t="shared" si="10"/>
        <v>8.9999999999999969E-2</v>
      </c>
      <c r="T107" s="5">
        <f t="shared" si="15"/>
        <v>120.13777777777786</v>
      </c>
      <c r="V107" s="1">
        <v>98.7</v>
      </c>
      <c r="X107" s="1">
        <f t="shared" si="16"/>
        <v>61475.1</v>
      </c>
      <c r="AA107" s="6">
        <v>8.3777225123951595</v>
      </c>
    </row>
    <row r="108" spans="1:27" s="1" customFormat="1" x14ac:dyDescent="0.25">
      <c r="A108" s="52"/>
      <c r="B108" s="2"/>
      <c r="C108" s="3">
        <v>42355</v>
      </c>
      <c r="D108" s="1">
        <v>11.7</v>
      </c>
      <c r="E108" s="1">
        <v>9.4</v>
      </c>
      <c r="F108" s="1">
        <v>13.4</v>
      </c>
      <c r="G108" s="1">
        <f t="shared" si="12"/>
        <v>1198.7000000000005</v>
      </c>
      <c r="J108" s="1">
        <v>0.1</v>
      </c>
      <c r="K108" s="1">
        <f t="shared" si="13"/>
        <v>156.99999999999994</v>
      </c>
      <c r="L108" s="1">
        <v>0.7</v>
      </c>
      <c r="M108" s="1">
        <f t="shared" si="14"/>
        <v>129.70000000000007</v>
      </c>
      <c r="N108" s="1">
        <v>-0.6</v>
      </c>
      <c r="O108" s="1">
        <f t="shared" si="11"/>
        <v>56.60000000000003</v>
      </c>
      <c r="P108" s="1">
        <v>100</v>
      </c>
      <c r="Q108" s="1">
        <f t="shared" si="17"/>
        <v>0.85555555555555551</v>
      </c>
      <c r="R108" s="5">
        <f t="shared" si="9"/>
        <v>0.5988888888888888</v>
      </c>
      <c r="S108" s="5">
        <f t="shared" si="10"/>
        <v>-0.49888888888888883</v>
      </c>
      <c r="T108" s="5">
        <f t="shared" si="15"/>
        <v>119.63888888888897</v>
      </c>
      <c r="V108" s="1">
        <v>430.5</v>
      </c>
      <c r="X108" s="1">
        <f t="shared" si="16"/>
        <v>61905.599999999999</v>
      </c>
      <c r="AA108" s="6">
        <v>8.3685160829780205</v>
      </c>
    </row>
    <row r="109" spans="1:27" s="1" customFormat="1" x14ac:dyDescent="0.25">
      <c r="A109" s="52"/>
      <c r="B109" s="2"/>
      <c r="C109" s="3">
        <v>42356</v>
      </c>
      <c r="D109" s="1">
        <v>12.4</v>
      </c>
      <c r="E109" s="1">
        <v>9.6999999999999993</v>
      </c>
      <c r="F109" s="1">
        <v>14.6</v>
      </c>
      <c r="G109" s="1">
        <f t="shared" si="12"/>
        <v>1211.1000000000006</v>
      </c>
      <c r="J109" s="1">
        <v>0</v>
      </c>
      <c r="K109" s="1">
        <f t="shared" si="13"/>
        <v>156.99999999999994</v>
      </c>
      <c r="L109" s="1">
        <v>0.3</v>
      </c>
      <c r="M109" s="1">
        <f t="shared" si="14"/>
        <v>130.00000000000009</v>
      </c>
      <c r="N109" s="1">
        <v>-0.3</v>
      </c>
      <c r="O109" s="1">
        <f t="shared" si="11"/>
        <v>56.300000000000033</v>
      </c>
      <c r="P109" s="1">
        <v>101</v>
      </c>
      <c r="Q109" s="1">
        <f t="shared" si="17"/>
        <v>0.86111111111111105</v>
      </c>
      <c r="R109" s="5">
        <f t="shared" si="9"/>
        <v>0.2583333333333333</v>
      </c>
      <c r="S109" s="5">
        <f t="shared" si="10"/>
        <v>-0.2583333333333333</v>
      </c>
      <c r="T109" s="5">
        <f t="shared" si="15"/>
        <v>119.38055555555563</v>
      </c>
      <c r="V109" s="1">
        <v>156.19999999999999</v>
      </c>
      <c r="X109" s="1">
        <f t="shared" si="16"/>
        <v>62061.799999999996</v>
      </c>
      <c r="AA109" s="6">
        <v>8.3608298750230894</v>
      </c>
    </row>
    <row r="110" spans="1:27" s="1" customFormat="1" x14ac:dyDescent="0.25">
      <c r="A110" s="52"/>
      <c r="B110" s="2"/>
      <c r="C110" s="3">
        <v>42357</v>
      </c>
      <c r="D110" s="1">
        <v>13.1</v>
      </c>
      <c r="E110" s="1">
        <v>11.5</v>
      </c>
      <c r="F110" s="1">
        <v>15.2</v>
      </c>
      <c r="G110" s="1">
        <f t="shared" si="12"/>
        <v>1224.2000000000005</v>
      </c>
      <c r="J110" s="1">
        <v>0</v>
      </c>
      <c r="K110" s="1">
        <f t="shared" si="13"/>
        <v>156.99999999999994</v>
      </c>
      <c r="L110" s="1">
        <v>1.6</v>
      </c>
      <c r="M110" s="1">
        <f t="shared" si="14"/>
        <v>131.60000000000008</v>
      </c>
      <c r="N110" s="1">
        <v>-1.6</v>
      </c>
      <c r="O110" s="1">
        <f t="shared" si="11"/>
        <v>54.700000000000031</v>
      </c>
      <c r="P110" s="1">
        <v>102</v>
      </c>
      <c r="Q110" s="1">
        <f t="shared" si="17"/>
        <v>0.86666666666666659</v>
      </c>
      <c r="R110" s="5">
        <f t="shared" si="9"/>
        <v>1.3866666666666667</v>
      </c>
      <c r="S110" s="5">
        <f t="shared" si="10"/>
        <v>-1.3866666666666667</v>
      </c>
      <c r="T110" s="5">
        <f t="shared" si="15"/>
        <v>117.99388888888896</v>
      </c>
      <c r="V110" s="1">
        <v>574.1</v>
      </c>
      <c r="X110" s="1">
        <f t="shared" si="16"/>
        <v>62635.899999999994</v>
      </c>
      <c r="AA110" s="6">
        <v>8.3546735290476395</v>
      </c>
    </row>
    <row r="111" spans="1:27" s="1" customFormat="1" x14ac:dyDescent="0.25">
      <c r="A111" s="52"/>
      <c r="B111" s="2"/>
      <c r="C111" s="3">
        <v>42358</v>
      </c>
      <c r="D111" s="1">
        <v>12.1</v>
      </c>
      <c r="E111" s="1">
        <v>11.8</v>
      </c>
      <c r="F111" s="1">
        <v>13.5</v>
      </c>
      <c r="G111" s="1">
        <f t="shared" si="12"/>
        <v>1236.3000000000004</v>
      </c>
      <c r="J111" s="1">
        <v>1.5</v>
      </c>
      <c r="K111" s="1">
        <f t="shared" si="13"/>
        <v>158.49999999999994</v>
      </c>
      <c r="L111" s="1">
        <v>1</v>
      </c>
      <c r="M111" s="1">
        <f t="shared" si="14"/>
        <v>132.60000000000008</v>
      </c>
      <c r="N111" s="1">
        <v>0.5</v>
      </c>
      <c r="O111" s="1">
        <f t="shared" si="11"/>
        <v>55.200000000000031</v>
      </c>
      <c r="P111" s="1">
        <v>103</v>
      </c>
      <c r="Q111" s="1">
        <f t="shared" si="17"/>
        <v>0.87222222222222223</v>
      </c>
      <c r="R111" s="5">
        <f t="shared" si="9"/>
        <v>0.87222222222222223</v>
      </c>
      <c r="S111" s="5">
        <f t="shared" si="10"/>
        <v>0.62777777777777777</v>
      </c>
      <c r="T111" s="5">
        <f t="shared" si="15"/>
        <v>118.62166666666674</v>
      </c>
      <c r="V111" s="1">
        <v>158</v>
      </c>
      <c r="X111" s="1">
        <f t="shared" si="16"/>
        <v>62793.899999999994</v>
      </c>
      <c r="AA111" s="6">
        <v>8.3500549192009093</v>
      </c>
    </row>
    <row r="112" spans="1:27" s="1" customFormat="1" x14ac:dyDescent="0.25">
      <c r="A112" s="52"/>
      <c r="B112" s="2"/>
      <c r="C112" s="3">
        <v>42359</v>
      </c>
      <c r="D112" s="1">
        <v>11.1</v>
      </c>
      <c r="E112" s="1">
        <v>7.9</v>
      </c>
      <c r="F112" s="1">
        <v>13.4</v>
      </c>
      <c r="G112" s="1">
        <f t="shared" si="12"/>
        <v>1247.4000000000003</v>
      </c>
      <c r="J112" s="1">
        <v>1.5</v>
      </c>
      <c r="K112" s="1">
        <f t="shared" si="13"/>
        <v>159.99999999999994</v>
      </c>
      <c r="L112" s="1">
        <v>0.8</v>
      </c>
      <c r="M112" s="1">
        <f t="shared" si="14"/>
        <v>133.40000000000009</v>
      </c>
      <c r="N112" s="1">
        <v>0.7</v>
      </c>
      <c r="O112" s="1">
        <f t="shared" si="11"/>
        <v>55.900000000000034</v>
      </c>
      <c r="P112" s="1">
        <v>104</v>
      </c>
      <c r="Q112" s="1">
        <f t="shared" si="17"/>
        <v>0.87777777777777777</v>
      </c>
      <c r="R112" s="5">
        <f t="shared" si="9"/>
        <v>0.7022222222222223</v>
      </c>
      <c r="S112" s="5">
        <f t="shared" si="10"/>
        <v>0.7977777777777777</v>
      </c>
      <c r="T112" s="5">
        <f t="shared" si="15"/>
        <v>119.41944444444452</v>
      </c>
      <c r="V112" s="1">
        <v>189.1</v>
      </c>
      <c r="X112" s="1">
        <f t="shared" si="16"/>
        <v>62982.999999999993</v>
      </c>
      <c r="AA112" s="6">
        <v>8.3469801192051296</v>
      </c>
    </row>
    <row r="113" spans="1:27" s="1" customFormat="1" x14ac:dyDescent="0.25">
      <c r="A113" s="52"/>
      <c r="B113" s="2"/>
      <c r="C113" s="3">
        <v>42360</v>
      </c>
      <c r="D113" s="1">
        <v>12.7</v>
      </c>
      <c r="E113" s="1">
        <v>12.2</v>
      </c>
      <c r="F113" s="1">
        <v>13.1</v>
      </c>
      <c r="G113" s="1">
        <f t="shared" si="12"/>
        <v>1260.1000000000004</v>
      </c>
      <c r="J113" s="1">
        <v>2.8</v>
      </c>
      <c r="K113" s="1">
        <f t="shared" si="13"/>
        <v>162.79999999999995</v>
      </c>
      <c r="L113" s="1">
        <v>0.5</v>
      </c>
      <c r="M113" s="1">
        <f t="shared" si="14"/>
        <v>133.90000000000009</v>
      </c>
      <c r="N113" s="1">
        <v>2.2999999999999998</v>
      </c>
      <c r="O113" s="1">
        <f t="shared" si="11"/>
        <v>58.200000000000031</v>
      </c>
      <c r="P113" s="1">
        <v>105</v>
      </c>
      <c r="Q113" s="1">
        <f t="shared" si="17"/>
        <v>0.8833333333333333</v>
      </c>
      <c r="R113" s="5">
        <f t="shared" si="9"/>
        <v>0.44166666666666665</v>
      </c>
      <c r="S113" s="5">
        <f t="shared" si="10"/>
        <v>2.3583333333333334</v>
      </c>
      <c r="T113" s="5">
        <f t="shared" si="15"/>
        <v>121.77777777777786</v>
      </c>
      <c r="V113" s="1">
        <v>91.8</v>
      </c>
      <c r="X113" s="1">
        <f t="shared" si="16"/>
        <v>63074.799999999996</v>
      </c>
      <c r="AA113" s="6">
        <v>8.3454533759116405</v>
      </c>
    </row>
    <row r="114" spans="1:27" s="1" customFormat="1" x14ac:dyDescent="0.25">
      <c r="A114" s="52"/>
      <c r="B114" s="2"/>
      <c r="C114" s="3">
        <v>42361</v>
      </c>
      <c r="D114" s="1">
        <v>10.7</v>
      </c>
      <c r="E114" s="1">
        <v>8.9</v>
      </c>
      <c r="F114" s="1">
        <v>13.2</v>
      </c>
      <c r="G114" s="1">
        <f t="shared" si="12"/>
        <v>1270.8000000000004</v>
      </c>
      <c r="J114" s="1">
        <v>0.6</v>
      </c>
      <c r="K114" s="1">
        <f t="shared" si="13"/>
        <v>163.39999999999995</v>
      </c>
      <c r="L114" s="1">
        <v>1</v>
      </c>
      <c r="M114" s="1">
        <f t="shared" si="14"/>
        <v>134.90000000000009</v>
      </c>
      <c r="N114" s="1">
        <v>-0.4</v>
      </c>
      <c r="O114" s="1">
        <f t="shared" si="11"/>
        <v>57.800000000000033</v>
      </c>
      <c r="P114" s="1">
        <v>106</v>
      </c>
      <c r="Q114" s="1">
        <f t="shared" si="17"/>
        <v>0.88888888888888895</v>
      </c>
      <c r="R114" s="5">
        <f t="shared" si="9"/>
        <v>0.88888888888888895</v>
      </c>
      <c r="S114" s="5">
        <f t="shared" si="10"/>
        <v>-0.28888888888888897</v>
      </c>
      <c r="T114" s="5">
        <f t="shared" si="15"/>
        <v>121.48888888888897</v>
      </c>
      <c r="V114" s="1">
        <v>562.29999999999995</v>
      </c>
      <c r="X114" s="1">
        <f t="shared" si="16"/>
        <v>63637.1</v>
      </c>
      <c r="AA114" s="6">
        <v>8.3454770907109808</v>
      </c>
    </row>
    <row r="115" spans="1:27" s="1" customFormat="1" x14ac:dyDescent="0.25">
      <c r="A115" s="52"/>
      <c r="B115" s="2"/>
      <c r="C115" s="3">
        <v>42362</v>
      </c>
      <c r="D115" s="1">
        <v>11.1</v>
      </c>
      <c r="E115" s="1">
        <v>9.3000000000000007</v>
      </c>
      <c r="F115" s="1">
        <v>12.8</v>
      </c>
      <c r="G115" s="1">
        <f t="shared" si="12"/>
        <v>1281.9000000000003</v>
      </c>
      <c r="J115" s="1">
        <v>4.4000000000000004</v>
      </c>
      <c r="K115" s="1">
        <f t="shared" si="13"/>
        <v>167.79999999999995</v>
      </c>
      <c r="L115" s="1">
        <v>0.6</v>
      </c>
      <c r="M115" s="1">
        <f t="shared" si="14"/>
        <v>135.50000000000009</v>
      </c>
      <c r="N115" s="1">
        <v>3.8000000000000003</v>
      </c>
      <c r="O115" s="1">
        <f t="shared" si="11"/>
        <v>61.60000000000003</v>
      </c>
      <c r="P115" s="1">
        <v>107</v>
      </c>
      <c r="Q115" s="1">
        <f t="shared" si="17"/>
        <v>0.89444444444444449</v>
      </c>
      <c r="R115" s="5">
        <f t="shared" si="9"/>
        <v>0.53666666666666663</v>
      </c>
      <c r="S115" s="5">
        <f t="shared" si="10"/>
        <v>3.8633333333333337</v>
      </c>
      <c r="T115" s="5">
        <f t="shared" si="15"/>
        <v>125.3522222222223</v>
      </c>
      <c r="V115" s="1">
        <v>232.3</v>
      </c>
      <c r="X115" s="1">
        <f t="shared" si="16"/>
        <v>63869.4</v>
      </c>
      <c r="AA115" s="6">
        <v>8.3470518089656096</v>
      </c>
    </row>
    <row r="116" spans="1:27" s="1" customFormat="1" x14ac:dyDescent="0.25">
      <c r="A116" s="52"/>
      <c r="B116" s="2"/>
      <c r="C116" s="3">
        <v>42363</v>
      </c>
      <c r="D116" s="1">
        <v>12.5</v>
      </c>
      <c r="E116" s="1">
        <v>9.1999999999999993</v>
      </c>
      <c r="F116" s="1">
        <v>14.6</v>
      </c>
      <c r="G116" s="1">
        <f t="shared" si="12"/>
        <v>1294.4000000000003</v>
      </c>
      <c r="J116" s="1">
        <v>0.6</v>
      </c>
      <c r="K116" s="1">
        <f t="shared" si="13"/>
        <v>168.39999999999995</v>
      </c>
      <c r="L116" s="1">
        <v>0.4</v>
      </c>
      <c r="M116" s="1">
        <f t="shared" si="14"/>
        <v>135.90000000000009</v>
      </c>
      <c r="N116" s="1">
        <v>0.19999999999999996</v>
      </c>
      <c r="O116" s="1">
        <f t="shared" si="11"/>
        <v>61.800000000000033</v>
      </c>
      <c r="P116" s="1">
        <v>108</v>
      </c>
      <c r="Q116" s="1">
        <f t="shared" si="17"/>
        <v>0.9</v>
      </c>
      <c r="R116" s="5">
        <f t="shared" si="9"/>
        <v>0.36000000000000004</v>
      </c>
      <c r="S116" s="5">
        <f t="shared" si="10"/>
        <v>0.23999999999999994</v>
      </c>
      <c r="T116" s="5">
        <f t="shared" si="15"/>
        <v>125.59222222222229</v>
      </c>
      <c r="V116" s="1">
        <v>181.7</v>
      </c>
      <c r="X116" s="1">
        <f t="shared" si="16"/>
        <v>64051.1</v>
      </c>
      <c r="AA116" s="6">
        <v>8.3501762175618701</v>
      </c>
    </row>
    <row r="117" spans="1:27" s="1" customFormat="1" x14ac:dyDescent="0.25">
      <c r="A117" s="52"/>
      <c r="B117" s="2"/>
      <c r="C117" s="3">
        <v>42364</v>
      </c>
      <c r="D117" s="1">
        <v>10.4</v>
      </c>
      <c r="E117" s="1">
        <v>9.5</v>
      </c>
      <c r="F117" s="1">
        <v>11.2</v>
      </c>
      <c r="G117" s="1">
        <f t="shared" si="12"/>
        <v>1304.8000000000004</v>
      </c>
      <c r="J117" s="1">
        <v>0</v>
      </c>
      <c r="K117" s="1">
        <f t="shared" si="13"/>
        <v>168.39999999999995</v>
      </c>
      <c r="L117" s="1">
        <v>0.8</v>
      </c>
      <c r="M117" s="1">
        <f t="shared" si="14"/>
        <v>136.7000000000001</v>
      </c>
      <c r="N117" s="1">
        <v>-0.8</v>
      </c>
      <c r="O117" s="1">
        <f t="shared" si="11"/>
        <v>61.000000000000036</v>
      </c>
      <c r="P117" s="1">
        <v>109</v>
      </c>
      <c r="Q117" s="1">
        <f t="shared" si="17"/>
        <v>0.90555555555555556</v>
      </c>
      <c r="R117" s="5">
        <f t="shared" si="9"/>
        <v>0.72444444444444445</v>
      </c>
      <c r="S117" s="5">
        <f t="shared" si="10"/>
        <v>-0.72444444444444445</v>
      </c>
      <c r="T117" s="5">
        <f t="shared" si="15"/>
        <v>124.86777777777785</v>
      </c>
      <c r="V117" s="1">
        <v>581</v>
      </c>
      <c r="X117" s="1">
        <f t="shared" si="16"/>
        <v>64632.1</v>
      </c>
      <c r="AA117" s="6">
        <v>8.3548471506033692</v>
      </c>
    </row>
    <row r="118" spans="1:27" s="1" customFormat="1" x14ac:dyDescent="0.25">
      <c r="A118" s="52"/>
      <c r="B118" s="2"/>
      <c r="C118" s="3">
        <v>42365</v>
      </c>
      <c r="D118" s="1">
        <v>10.199999999999999</v>
      </c>
      <c r="E118" s="1">
        <v>9.6999999999999993</v>
      </c>
      <c r="F118" s="1">
        <v>12.3</v>
      </c>
      <c r="G118" s="1">
        <f t="shared" si="12"/>
        <v>1315.0000000000005</v>
      </c>
      <c r="J118" s="1">
        <v>0</v>
      </c>
      <c r="K118" s="1">
        <f t="shared" si="13"/>
        <v>168.39999999999995</v>
      </c>
      <c r="L118" s="1">
        <v>0.6</v>
      </c>
      <c r="M118" s="1">
        <f t="shared" si="14"/>
        <v>137.3000000000001</v>
      </c>
      <c r="N118" s="1">
        <v>-0.6</v>
      </c>
      <c r="O118" s="1">
        <f t="shared" si="11"/>
        <v>60.400000000000034</v>
      </c>
      <c r="P118" s="1">
        <v>110</v>
      </c>
      <c r="Q118" s="1">
        <f t="shared" si="17"/>
        <v>0.91111111111111109</v>
      </c>
      <c r="R118" s="5">
        <f t="shared" si="9"/>
        <v>0.54666666666666663</v>
      </c>
      <c r="S118" s="5">
        <f t="shared" si="10"/>
        <v>-0.54666666666666663</v>
      </c>
      <c r="T118" s="5">
        <f t="shared" si="15"/>
        <v>124.32111111111118</v>
      </c>
      <c r="V118" s="1">
        <v>232.1</v>
      </c>
      <c r="X118" s="1">
        <f t="shared" si="16"/>
        <v>64864.2</v>
      </c>
      <c r="AA118" s="6">
        <v>8.3610596031940396</v>
      </c>
    </row>
    <row r="119" spans="1:27" s="1" customFormat="1" x14ac:dyDescent="0.25">
      <c r="A119" s="52"/>
      <c r="B119" s="2"/>
      <c r="C119" s="3">
        <v>42366</v>
      </c>
      <c r="D119" s="1">
        <v>10.4</v>
      </c>
      <c r="E119" s="1">
        <v>7.5</v>
      </c>
      <c r="F119" s="1">
        <v>12.1</v>
      </c>
      <c r="G119" s="1">
        <f t="shared" si="12"/>
        <v>1325.4000000000005</v>
      </c>
      <c r="J119" s="1">
        <v>1.1000000000000001</v>
      </c>
      <c r="K119" s="1">
        <f t="shared" si="13"/>
        <v>169.49999999999994</v>
      </c>
      <c r="L119" s="1">
        <v>1.1000000000000001</v>
      </c>
      <c r="M119" s="1">
        <f t="shared" si="14"/>
        <v>138.40000000000009</v>
      </c>
      <c r="N119" s="1">
        <v>0</v>
      </c>
      <c r="O119" s="1">
        <f t="shared" si="11"/>
        <v>60.400000000000034</v>
      </c>
      <c r="P119" s="1">
        <v>111</v>
      </c>
      <c r="Q119" s="1">
        <f t="shared" si="17"/>
        <v>0.91666666666666663</v>
      </c>
      <c r="R119" s="5">
        <f t="shared" si="9"/>
        <v>1.0083333333333333</v>
      </c>
      <c r="S119" s="5">
        <f t="shared" si="10"/>
        <v>9.1666666666666785E-2</v>
      </c>
      <c r="T119" s="5">
        <f t="shared" si="15"/>
        <v>124.41277777777785</v>
      </c>
      <c r="V119" s="1">
        <v>502.9</v>
      </c>
      <c r="X119" s="1">
        <f t="shared" si="16"/>
        <v>65367.1</v>
      </c>
      <c r="AA119" s="6">
        <v>8.3688067531851402</v>
      </c>
    </row>
    <row r="120" spans="1:27" s="1" customFormat="1" x14ac:dyDescent="0.25">
      <c r="A120" s="52"/>
      <c r="B120" s="2"/>
      <c r="C120" s="3">
        <v>42367</v>
      </c>
      <c r="D120" s="1">
        <v>10.5</v>
      </c>
      <c r="E120" s="1">
        <v>7.9</v>
      </c>
      <c r="F120" s="1">
        <v>11.8</v>
      </c>
      <c r="G120" s="1">
        <f t="shared" si="12"/>
        <v>1335.9000000000005</v>
      </c>
      <c r="J120" s="1">
        <v>0.1</v>
      </c>
      <c r="K120" s="1">
        <f t="shared" si="13"/>
        <v>169.59999999999994</v>
      </c>
      <c r="L120" s="1">
        <v>1</v>
      </c>
      <c r="M120" s="1">
        <f t="shared" si="14"/>
        <v>139.40000000000009</v>
      </c>
      <c r="N120" s="1">
        <v>-0.9</v>
      </c>
      <c r="O120" s="1">
        <f t="shared" si="11"/>
        <v>59.500000000000036</v>
      </c>
      <c r="P120" s="1">
        <v>112</v>
      </c>
      <c r="Q120" s="1">
        <f t="shared" si="17"/>
        <v>0.92222222222222217</v>
      </c>
      <c r="R120" s="5">
        <f t="shared" si="9"/>
        <v>0.92222222222222217</v>
      </c>
      <c r="S120" s="5">
        <f t="shared" si="10"/>
        <v>-0.82222222222222219</v>
      </c>
      <c r="T120" s="5">
        <f t="shared" si="15"/>
        <v>123.59055555555562</v>
      </c>
      <c r="V120" s="1">
        <v>562.9</v>
      </c>
      <c r="X120" s="1">
        <f t="shared" si="16"/>
        <v>65930</v>
      </c>
      <c r="AA120" s="6">
        <v>8.3780799906893897</v>
      </c>
    </row>
    <row r="121" spans="1:27" s="1" customFormat="1" x14ac:dyDescent="0.25">
      <c r="A121" s="52"/>
      <c r="B121" s="2"/>
      <c r="C121" s="3">
        <v>42368</v>
      </c>
      <c r="D121" s="1">
        <v>11.1</v>
      </c>
      <c r="E121" s="1">
        <v>9.9</v>
      </c>
      <c r="F121" s="1">
        <v>12.5</v>
      </c>
      <c r="G121" s="1">
        <f t="shared" si="12"/>
        <v>1347.0000000000005</v>
      </c>
      <c r="J121" s="1">
        <v>2.9</v>
      </c>
      <c r="K121" s="1">
        <f t="shared" si="13"/>
        <v>172.49999999999994</v>
      </c>
      <c r="L121" s="1">
        <v>1.7</v>
      </c>
      <c r="M121" s="1">
        <f t="shared" si="14"/>
        <v>141.10000000000008</v>
      </c>
      <c r="N121" s="1">
        <v>1.2</v>
      </c>
      <c r="O121" s="1">
        <f t="shared" si="11"/>
        <v>60.700000000000038</v>
      </c>
      <c r="P121" s="1">
        <v>113</v>
      </c>
      <c r="Q121" s="1">
        <f t="shared" si="17"/>
        <v>0.9277777777777777</v>
      </c>
      <c r="R121" s="5">
        <f t="shared" si="9"/>
        <v>1.5772222222222221</v>
      </c>
      <c r="S121" s="5">
        <f t="shared" si="10"/>
        <v>1.3227777777777778</v>
      </c>
      <c r="T121" s="5">
        <f t="shared" si="15"/>
        <v>124.9133333333334</v>
      </c>
      <c r="V121" s="1">
        <v>169.2</v>
      </c>
      <c r="X121" s="1">
        <f t="shared" si="16"/>
        <v>66099.199999999997</v>
      </c>
      <c r="AA121" s="6">
        <v>8.3888689550965605</v>
      </c>
    </row>
    <row r="122" spans="1:27" s="1" customFormat="1" x14ac:dyDescent="0.25">
      <c r="A122" s="52"/>
      <c r="B122" s="2"/>
      <c r="C122" s="3">
        <v>42369</v>
      </c>
      <c r="D122" s="1">
        <v>8</v>
      </c>
      <c r="E122" s="1">
        <v>5.5</v>
      </c>
      <c r="F122" s="1">
        <v>11.4</v>
      </c>
      <c r="G122" s="1">
        <f t="shared" si="12"/>
        <v>1355.0000000000005</v>
      </c>
      <c r="J122" s="1">
        <v>2.1</v>
      </c>
      <c r="K122" s="1">
        <f t="shared" si="13"/>
        <v>174.59999999999994</v>
      </c>
      <c r="L122" s="1">
        <v>1</v>
      </c>
      <c r="M122" s="1">
        <f t="shared" si="14"/>
        <v>142.10000000000008</v>
      </c>
      <c r="N122" s="1">
        <v>1.1000000000000001</v>
      </c>
      <c r="O122" s="1">
        <f t="shared" si="11"/>
        <v>61.80000000000004</v>
      </c>
      <c r="P122" s="1">
        <v>114</v>
      </c>
      <c r="Q122" s="1">
        <f t="shared" si="17"/>
        <v>0.93333333333333335</v>
      </c>
      <c r="R122" s="5">
        <f t="shared" si="9"/>
        <v>0.93333333333333335</v>
      </c>
      <c r="S122" s="5">
        <f t="shared" si="10"/>
        <v>1.1666666666666667</v>
      </c>
      <c r="T122" s="5">
        <f t="shared" si="15"/>
        <v>126.08000000000007</v>
      </c>
      <c r="V122" s="1">
        <v>552.9</v>
      </c>
      <c r="X122" s="1">
        <f t="shared" si="16"/>
        <v>66652.099999999991</v>
      </c>
      <c r="AA122" s="6">
        <v>8.4011615792606609</v>
      </c>
    </row>
    <row r="123" spans="1:27" s="1" customFormat="1" x14ac:dyDescent="0.25">
      <c r="A123" s="52"/>
      <c r="B123" s="2"/>
      <c r="C123" s="3">
        <v>42370</v>
      </c>
      <c r="D123" s="1">
        <v>8.3000000000000007</v>
      </c>
      <c r="E123" s="1">
        <v>4.7</v>
      </c>
      <c r="F123" s="1">
        <v>11.6</v>
      </c>
      <c r="G123" s="1">
        <f t="shared" si="12"/>
        <v>1363.3000000000004</v>
      </c>
      <c r="J123" s="1">
        <v>0.8</v>
      </c>
      <c r="K123" s="1">
        <f t="shared" si="13"/>
        <v>175.39999999999995</v>
      </c>
      <c r="L123" s="1">
        <v>0.6</v>
      </c>
      <c r="M123" s="1">
        <f t="shared" si="14"/>
        <v>142.70000000000007</v>
      </c>
      <c r="N123" s="1">
        <v>0.20000000000000007</v>
      </c>
      <c r="O123" s="1">
        <f t="shared" si="11"/>
        <v>62.000000000000043</v>
      </c>
      <c r="P123" s="1">
        <v>115</v>
      </c>
      <c r="Q123" s="1">
        <f t="shared" si="17"/>
        <v>0.93888888888888888</v>
      </c>
      <c r="R123" s="5">
        <f t="shared" si="9"/>
        <v>0.56333333333333335</v>
      </c>
      <c r="S123" s="5">
        <f t="shared" si="10"/>
        <v>0.23666666666666669</v>
      </c>
      <c r="T123" s="5">
        <f t="shared" si="15"/>
        <v>126.31666666666673</v>
      </c>
      <c r="V123" s="1">
        <v>178.1</v>
      </c>
      <c r="X123" s="1">
        <f t="shared" si="16"/>
        <v>66830.2</v>
      </c>
      <c r="AA123" s="6">
        <v>8.4193892160187005</v>
      </c>
    </row>
    <row r="124" spans="1:27" s="1" customFormat="1" x14ac:dyDescent="0.25">
      <c r="A124" s="52"/>
      <c r="B124" s="2"/>
      <c r="C124" s="3">
        <v>42371</v>
      </c>
      <c r="D124" s="1">
        <v>9</v>
      </c>
      <c r="E124" s="1">
        <v>7.7</v>
      </c>
      <c r="F124" s="1">
        <v>10.1</v>
      </c>
      <c r="G124" s="1">
        <f t="shared" si="12"/>
        <v>1372.3000000000004</v>
      </c>
      <c r="J124" s="1">
        <v>2.4</v>
      </c>
      <c r="K124" s="1">
        <f t="shared" si="13"/>
        <v>177.79999999999995</v>
      </c>
      <c r="L124" s="1">
        <v>1.1000000000000001</v>
      </c>
      <c r="M124" s="1">
        <f t="shared" si="14"/>
        <v>143.80000000000007</v>
      </c>
      <c r="N124" s="1">
        <v>1.2999999999999998</v>
      </c>
      <c r="O124" s="1">
        <f t="shared" si="11"/>
        <v>63.30000000000004</v>
      </c>
      <c r="P124" s="1">
        <v>116</v>
      </c>
      <c r="Q124" s="1">
        <f t="shared" si="17"/>
        <v>0.94444444444444442</v>
      </c>
      <c r="R124" s="5">
        <f t="shared" si="9"/>
        <v>1.038888888888889</v>
      </c>
      <c r="S124" s="5">
        <f t="shared" si="10"/>
        <v>1.3611111111111109</v>
      </c>
      <c r="T124" s="5">
        <f t="shared" si="15"/>
        <v>127.67777777777785</v>
      </c>
      <c r="V124" s="1">
        <v>165.3</v>
      </c>
      <c r="X124" s="1">
        <f t="shared" si="16"/>
        <v>66995.5</v>
      </c>
      <c r="AA124" s="6">
        <v>8.4350877093723202</v>
      </c>
    </row>
    <row r="125" spans="1:27" s="1" customFormat="1" x14ac:dyDescent="0.25">
      <c r="A125" s="52"/>
      <c r="B125" s="2"/>
      <c r="C125" s="3">
        <v>42372</v>
      </c>
      <c r="D125" s="1">
        <v>8.1999999999999993</v>
      </c>
      <c r="E125" s="1">
        <v>5.6</v>
      </c>
      <c r="F125" s="1">
        <v>10.199999999999999</v>
      </c>
      <c r="G125" s="1">
        <f t="shared" si="12"/>
        <v>1380.5000000000005</v>
      </c>
      <c r="J125" s="1">
        <v>11.2</v>
      </c>
      <c r="K125" s="1">
        <f t="shared" si="13"/>
        <v>188.99999999999994</v>
      </c>
      <c r="L125" s="1">
        <v>0.4</v>
      </c>
      <c r="M125" s="1">
        <f t="shared" si="14"/>
        <v>144.20000000000007</v>
      </c>
      <c r="N125" s="1">
        <v>10.799999999999999</v>
      </c>
      <c r="O125" s="1">
        <f t="shared" si="11"/>
        <v>74.100000000000037</v>
      </c>
      <c r="P125" s="1">
        <v>117</v>
      </c>
      <c r="Q125" s="1">
        <f t="shared" si="17"/>
        <v>0.95000000000000007</v>
      </c>
      <c r="R125" s="5">
        <f t="shared" si="9"/>
        <v>0.38000000000000006</v>
      </c>
      <c r="S125" s="5">
        <f t="shared" si="10"/>
        <v>10.819999999999999</v>
      </c>
      <c r="T125" s="5">
        <f t="shared" si="15"/>
        <v>138.49777777777786</v>
      </c>
      <c r="V125" s="1">
        <v>75.2</v>
      </c>
      <c r="X125" s="1">
        <f t="shared" si="16"/>
        <v>67070.7</v>
      </c>
      <c r="AA125" s="6">
        <v>8.4522385901356891</v>
      </c>
    </row>
    <row r="126" spans="1:27" s="1" customFormat="1" x14ac:dyDescent="0.25">
      <c r="A126" s="52"/>
      <c r="B126" s="2"/>
      <c r="C126" s="3">
        <v>42373</v>
      </c>
      <c r="D126" s="1">
        <v>8</v>
      </c>
      <c r="E126" s="1">
        <v>6</v>
      </c>
      <c r="F126" s="1">
        <v>11.5</v>
      </c>
      <c r="G126" s="1">
        <f t="shared" si="12"/>
        <v>1388.5000000000005</v>
      </c>
      <c r="J126" s="1">
        <v>0.4</v>
      </c>
      <c r="K126" s="1">
        <f t="shared" si="13"/>
        <v>189.39999999999995</v>
      </c>
      <c r="L126" s="1">
        <v>1.2</v>
      </c>
      <c r="M126" s="1">
        <f t="shared" si="14"/>
        <v>145.40000000000006</v>
      </c>
      <c r="N126" s="1">
        <v>-0.79999999999999993</v>
      </c>
      <c r="O126" s="1">
        <f t="shared" si="11"/>
        <v>73.30000000000004</v>
      </c>
      <c r="P126" s="1">
        <v>118</v>
      </c>
      <c r="Q126" s="1">
        <f t="shared" si="17"/>
        <v>0.9555555555555556</v>
      </c>
      <c r="R126" s="5">
        <f t="shared" si="9"/>
        <v>1.1466666666666667</v>
      </c>
      <c r="S126" s="5">
        <f t="shared" si="10"/>
        <v>-0.7466666666666667</v>
      </c>
      <c r="T126" s="5">
        <f t="shared" si="15"/>
        <v>137.75111111111119</v>
      </c>
      <c r="V126" s="1">
        <v>230.4</v>
      </c>
      <c r="X126" s="1">
        <f t="shared" si="16"/>
        <v>67301.099999999991</v>
      </c>
      <c r="AA126" s="6">
        <v>8.4708231076445308</v>
      </c>
    </row>
    <row r="127" spans="1:27" s="1" customFormat="1" x14ac:dyDescent="0.25">
      <c r="A127" s="52"/>
      <c r="B127" s="2"/>
      <c r="C127" s="3">
        <v>42374</v>
      </c>
      <c r="D127" s="1">
        <v>7.7</v>
      </c>
      <c r="E127" s="1">
        <v>6.8</v>
      </c>
      <c r="F127" s="1">
        <v>9.1999999999999993</v>
      </c>
      <c r="G127" s="1">
        <f t="shared" si="12"/>
        <v>1396.2000000000005</v>
      </c>
      <c r="J127" s="1">
        <v>0.2</v>
      </c>
      <c r="K127" s="1">
        <f t="shared" si="13"/>
        <v>189.59999999999994</v>
      </c>
      <c r="L127" s="1">
        <v>0.8</v>
      </c>
      <c r="M127" s="1">
        <f t="shared" si="14"/>
        <v>146.20000000000007</v>
      </c>
      <c r="N127" s="1">
        <v>-0.60000000000000009</v>
      </c>
      <c r="O127" s="1">
        <f t="shared" si="11"/>
        <v>72.700000000000045</v>
      </c>
      <c r="P127" s="1">
        <v>119</v>
      </c>
      <c r="Q127" s="1">
        <f t="shared" si="17"/>
        <v>0.96111111111111114</v>
      </c>
      <c r="R127" s="5">
        <f t="shared" si="9"/>
        <v>0.76888888888888896</v>
      </c>
      <c r="S127" s="5">
        <f t="shared" si="10"/>
        <v>-0.568888888888889</v>
      </c>
      <c r="T127" s="5">
        <f t="shared" si="15"/>
        <v>137.18222222222229</v>
      </c>
      <c r="V127" s="1">
        <v>414</v>
      </c>
      <c r="X127" s="1">
        <f t="shared" si="16"/>
        <v>67715.099999999991</v>
      </c>
      <c r="AA127" s="6">
        <v>8.4908211407778005</v>
      </c>
    </row>
    <row r="128" spans="1:27" s="1" customFormat="1" x14ac:dyDescent="0.25">
      <c r="A128" s="52"/>
      <c r="B128" s="2"/>
      <c r="C128" s="3">
        <v>42375</v>
      </c>
      <c r="D128" s="1">
        <v>8.1</v>
      </c>
      <c r="E128" s="1">
        <v>5.4</v>
      </c>
      <c r="F128" s="1">
        <v>12.7</v>
      </c>
      <c r="G128" s="1">
        <f t="shared" si="12"/>
        <v>1404.3000000000004</v>
      </c>
      <c r="J128" s="1">
        <v>13.5</v>
      </c>
      <c r="K128" s="1">
        <f t="shared" si="13"/>
        <v>203.09999999999994</v>
      </c>
      <c r="L128" s="1">
        <v>1.1000000000000001</v>
      </c>
      <c r="M128" s="1">
        <f t="shared" si="14"/>
        <v>147.30000000000007</v>
      </c>
      <c r="N128" s="1">
        <v>12.4</v>
      </c>
      <c r="O128" s="1">
        <f t="shared" si="11"/>
        <v>85.100000000000051</v>
      </c>
      <c r="P128" s="1">
        <v>120</v>
      </c>
      <c r="Q128" s="1">
        <f t="shared" si="17"/>
        <v>0.96666666666666667</v>
      </c>
      <c r="R128" s="5">
        <f t="shared" si="9"/>
        <v>1.0633333333333335</v>
      </c>
      <c r="S128" s="5">
        <f t="shared" si="10"/>
        <v>12.436666666666667</v>
      </c>
      <c r="T128" s="5">
        <f t="shared" si="15"/>
        <v>149.61888888888896</v>
      </c>
      <c r="V128" s="1">
        <v>489.8</v>
      </c>
      <c r="X128" s="1">
        <f t="shared" si="16"/>
        <v>68204.899999999994</v>
      </c>
      <c r="AA128" s="6">
        <v>8.5122112765059796</v>
      </c>
    </row>
    <row r="129" spans="1:27" s="1" customFormat="1" x14ac:dyDescent="0.25">
      <c r="A129" s="52"/>
      <c r="B129" s="2"/>
      <c r="C129" s="3">
        <v>42376</v>
      </c>
      <c r="D129" s="1">
        <v>8.6999999999999993</v>
      </c>
      <c r="E129" s="1">
        <v>5.8</v>
      </c>
      <c r="F129" s="1">
        <v>12.4</v>
      </c>
      <c r="G129" s="1">
        <f t="shared" si="12"/>
        <v>1413.0000000000005</v>
      </c>
      <c r="J129" s="1">
        <v>0.2</v>
      </c>
      <c r="K129" s="1">
        <f t="shared" si="13"/>
        <v>203.29999999999993</v>
      </c>
      <c r="L129" s="1">
        <v>1.1000000000000001</v>
      </c>
      <c r="M129" s="1">
        <f t="shared" si="14"/>
        <v>148.40000000000006</v>
      </c>
      <c r="N129" s="1">
        <v>-0.90000000000000013</v>
      </c>
      <c r="O129" s="1">
        <f t="shared" si="11"/>
        <v>84.200000000000045</v>
      </c>
      <c r="P129" s="1">
        <v>121</v>
      </c>
      <c r="Q129" s="1">
        <f t="shared" si="17"/>
        <v>0.97222222222222221</v>
      </c>
      <c r="R129" s="5">
        <f t="shared" si="9"/>
        <v>1.0694444444444444</v>
      </c>
      <c r="S129" s="5">
        <f t="shared" si="10"/>
        <v>-0.86944444444444446</v>
      </c>
      <c r="T129" s="5">
        <f t="shared" si="15"/>
        <v>148.74944444444452</v>
      </c>
      <c r="V129" s="1">
        <v>255.6</v>
      </c>
      <c r="X129" s="1">
        <f t="shared" si="16"/>
        <v>68460.5</v>
      </c>
      <c r="AA129" s="6">
        <v>8.5349708918221392</v>
      </c>
    </row>
    <row r="130" spans="1:27" s="1" customFormat="1" x14ac:dyDescent="0.25">
      <c r="A130" s="52"/>
      <c r="B130" s="2"/>
      <c r="C130" s="3">
        <v>42377</v>
      </c>
      <c r="D130" s="1">
        <v>7.6</v>
      </c>
      <c r="E130" s="1">
        <v>3.9</v>
      </c>
      <c r="F130" s="1">
        <v>9</v>
      </c>
      <c r="G130" s="1">
        <f t="shared" si="12"/>
        <v>1420.6000000000004</v>
      </c>
      <c r="J130" s="1">
        <v>5.4</v>
      </c>
      <c r="K130" s="1">
        <f t="shared" si="13"/>
        <v>208.69999999999993</v>
      </c>
      <c r="L130" s="1">
        <v>0.1</v>
      </c>
      <c r="M130" s="1">
        <f t="shared" si="14"/>
        <v>148.50000000000006</v>
      </c>
      <c r="N130" s="1">
        <v>5.3000000000000007</v>
      </c>
      <c r="O130" s="1">
        <f t="shared" si="11"/>
        <v>89.500000000000043</v>
      </c>
      <c r="P130" s="1">
        <v>122</v>
      </c>
      <c r="Q130" s="1">
        <f t="shared" si="17"/>
        <v>0.97777777777777775</v>
      </c>
      <c r="R130" s="5">
        <f t="shared" si="9"/>
        <v>9.7777777777777783E-2</v>
      </c>
      <c r="S130" s="5">
        <f t="shared" si="10"/>
        <v>5.3022222222222224</v>
      </c>
      <c r="T130" s="5">
        <f t="shared" si="15"/>
        <v>154.05166666666673</v>
      </c>
      <c r="V130" s="1">
        <v>95.2</v>
      </c>
      <c r="X130" s="1">
        <f t="shared" si="16"/>
        <v>68555.7</v>
      </c>
      <c r="AA130" s="6">
        <v>8.5590762384411292</v>
      </c>
    </row>
    <row r="131" spans="1:27" s="1" customFormat="1" x14ac:dyDescent="0.25">
      <c r="A131" s="52"/>
      <c r="B131" s="2"/>
      <c r="C131" s="3">
        <v>42378</v>
      </c>
      <c r="D131" s="1">
        <v>8.8000000000000007</v>
      </c>
      <c r="E131" s="1">
        <v>7.2</v>
      </c>
      <c r="F131" s="1">
        <v>11.9</v>
      </c>
      <c r="G131" s="1">
        <f t="shared" si="12"/>
        <v>1429.4000000000003</v>
      </c>
      <c r="J131" s="1">
        <v>5.7</v>
      </c>
      <c r="K131" s="1">
        <f t="shared" si="13"/>
        <v>214.39999999999992</v>
      </c>
      <c r="L131" s="1">
        <v>1</v>
      </c>
      <c r="M131" s="1">
        <f t="shared" si="14"/>
        <v>149.50000000000006</v>
      </c>
      <c r="N131" s="1">
        <v>4.7</v>
      </c>
      <c r="O131" s="1">
        <f t="shared" si="11"/>
        <v>94.200000000000045</v>
      </c>
      <c r="P131" s="1">
        <v>123</v>
      </c>
      <c r="Q131" s="1">
        <f t="shared" si="17"/>
        <v>0.98333333333333328</v>
      </c>
      <c r="R131" s="5">
        <f t="shared" si="9"/>
        <v>0.98333333333333328</v>
      </c>
      <c r="S131" s="5">
        <f t="shared" si="10"/>
        <v>4.7166666666666668</v>
      </c>
      <c r="T131" s="5">
        <f t="shared" si="15"/>
        <v>158.7683333333334</v>
      </c>
      <c r="V131" s="1">
        <v>154.19999999999999</v>
      </c>
      <c r="X131" s="1">
        <f t="shared" si="16"/>
        <v>68709.899999999994</v>
      </c>
      <c r="AA131" s="6">
        <v>8.5845025296519992</v>
      </c>
    </row>
    <row r="132" spans="1:27" s="1" customFormat="1" x14ac:dyDescent="0.25">
      <c r="A132" s="52"/>
      <c r="B132" s="2"/>
      <c r="C132" s="3">
        <v>42379</v>
      </c>
      <c r="D132" s="1">
        <v>6.7</v>
      </c>
      <c r="E132" s="1">
        <v>5.3</v>
      </c>
      <c r="F132" s="1">
        <v>7.6</v>
      </c>
      <c r="G132" s="1">
        <f t="shared" si="12"/>
        <v>1436.1000000000004</v>
      </c>
      <c r="J132" s="1">
        <v>9.1</v>
      </c>
      <c r="K132" s="1">
        <f t="shared" si="13"/>
        <v>223.49999999999991</v>
      </c>
      <c r="L132" s="1">
        <v>0.6</v>
      </c>
      <c r="M132" s="1">
        <f t="shared" si="14"/>
        <v>150.10000000000005</v>
      </c>
      <c r="N132" s="1">
        <v>8.5</v>
      </c>
      <c r="O132" s="1">
        <f t="shared" si="11"/>
        <v>102.70000000000005</v>
      </c>
      <c r="P132" s="1">
        <v>124</v>
      </c>
      <c r="Q132" s="1">
        <f t="shared" si="17"/>
        <v>0.98888888888888882</v>
      </c>
      <c r="R132" s="5">
        <f t="shared" si="9"/>
        <v>0.59333333333333327</v>
      </c>
      <c r="S132" s="5">
        <f t="shared" si="10"/>
        <v>8.5066666666666659</v>
      </c>
      <c r="T132" s="5">
        <f t="shared" si="15"/>
        <v>167.27500000000006</v>
      </c>
      <c r="V132" s="1">
        <v>254.8</v>
      </c>
      <c r="X132" s="1">
        <f t="shared" si="16"/>
        <v>68964.7</v>
      </c>
      <c r="AA132" s="6">
        <v>8.61122402871605</v>
      </c>
    </row>
    <row r="133" spans="1:27" s="1" customFormat="1" x14ac:dyDescent="0.25">
      <c r="A133" s="52"/>
      <c r="B133" s="2"/>
      <c r="C133" s="3">
        <v>42380</v>
      </c>
      <c r="D133" s="1">
        <v>7.2</v>
      </c>
      <c r="E133" s="1">
        <v>6.2</v>
      </c>
      <c r="F133" s="1">
        <v>8.1</v>
      </c>
      <c r="G133" s="1">
        <f t="shared" si="12"/>
        <v>1443.3000000000004</v>
      </c>
      <c r="J133" s="1">
        <v>3.9</v>
      </c>
      <c r="K133" s="1">
        <f t="shared" si="13"/>
        <v>227.39999999999992</v>
      </c>
      <c r="L133" s="1">
        <v>0.9</v>
      </c>
      <c r="M133" s="1">
        <f t="shared" si="14"/>
        <v>151.00000000000006</v>
      </c>
      <c r="N133" s="1">
        <v>3</v>
      </c>
      <c r="O133" s="1">
        <f t="shared" si="11"/>
        <v>105.70000000000005</v>
      </c>
      <c r="P133" s="1">
        <v>125</v>
      </c>
      <c r="Q133" s="1">
        <f t="shared" si="17"/>
        <v>0.99444444444444446</v>
      </c>
      <c r="R133" s="5">
        <f t="shared" si="9"/>
        <v>0.89500000000000002</v>
      </c>
      <c r="S133" s="5">
        <f t="shared" si="10"/>
        <v>3.0049999999999999</v>
      </c>
      <c r="T133" s="5">
        <f t="shared" si="15"/>
        <v>170.28000000000006</v>
      </c>
      <c r="V133" s="1">
        <v>379.1</v>
      </c>
      <c r="X133" s="1">
        <f t="shared" si="16"/>
        <v>69343.8</v>
      </c>
      <c r="AA133" s="6">
        <v>8.6392141382164898</v>
      </c>
    </row>
    <row r="134" spans="1:27" s="32" customFormat="1" ht="15.75" thickBot="1" x14ac:dyDescent="0.3">
      <c r="A134" s="52"/>
      <c r="B134" s="46"/>
      <c r="C134" s="47">
        <v>42381</v>
      </c>
      <c r="D134" s="32">
        <v>6.1</v>
      </c>
      <c r="E134" s="32">
        <v>5.7</v>
      </c>
      <c r="F134" s="32">
        <v>7.8</v>
      </c>
      <c r="G134" s="32">
        <f t="shared" si="12"/>
        <v>1449.4000000000003</v>
      </c>
      <c r="J134" s="32">
        <v>0.1</v>
      </c>
      <c r="K134" s="32">
        <f t="shared" si="13"/>
        <v>227.49999999999991</v>
      </c>
      <c r="L134" s="32">
        <v>1.3</v>
      </c>
      <c r="M134" s="32">
        <f t="shared" si="14"/>
        <v>152.30000000000007</v>
      </c>
      <c r="N134" s="32">
        <v>-1.2</v>
      </c>
      <c r="O134" s="32">
        <f t="shared" si="11"/>
        <v>104.50000000000004</v>
      </c>
      <c r="P134" s="32">
        <v>126</v>
      </c>
      <c r="Q134" s="36">
        <f t="shared" si="17"/>
        <v>1</v>
      </c>
      <c r="R134" s="34">
        <f t="shared" si="9"/>
        <v>1.3</v>
      </c>
      <c r="S134" s="34">
        <f t="shared" si="10"/>
        <v>-1.2</v>
      </c>
      <c r="T134" s="35">
        <f t="shared" si="15"/>
        <v>169.08000000000007</v>
      </c>
      <c r="V134" s="32">
        <v>341</v>
      </c>
      <c r="X134" s="32">
        <f t="shared" si="16"/>
        <v>69684.800000000003</v>
      </c>
      <c r="AA134" s="48">
        <v>8.6684454897849594</v>
      </c>
    </row>
    <row r="135" spans="1:27" s="1" customFormat="1" x14ac:dyDescent="0.25">
      <c r="A135" s="53" t="s">
        <v>18</v>
      </c>
      <c r="B135" s="8"/>
      <c r="C135" s="9">
        <v>42382</v>
      </c>
      <c r="D135" s="1">
        <v>4.4000000000000004</v>
      </c>
      <c r="E135" s="1">
        <v>1.6</v>
      </c>
      <c r="F135" s="1">
        <v>7.5</v>
      </c>
      <c r="G135" s="1">
        <f t="shared" si="12"/>
        <v>1453.8000000000004</v>
      </c>
      <c r="H135" s="1">
        <v>4.4000000000000004</v>
      </c>
      <c r="I135" s="10" t="s">
        <v>2</v>
      </c>
      <c r="J135" s="1">
        <v>2.5</v>
      </c>
      <c r="K135" s="1">
        <f t="shared" si="13"/>
        <v>229.99999999999991</v>
      </c>
      <c r="L135" s="1">
        <v>0.6</v>
      </c>
      <c r="M135" s="1">
        <f t="shared" si="14"/>
        <v>152.90000000000006</v>
      </c>
      <c r="N135" s="1">
        <v>1.9</v>
      </c>
      <c r="O135" s="1">
        <f t="shared" si="11"/>
        <v>106.40000000000005</v>
      </c>
      <c r="P135" s="1">
        <v>127</v>
      </c>
      <c r="Q135" s="1">
        <v>1</v>
      </c>
      <c r="R135" s="5">
        <f t="shared" si="9"/>
        <v>0.6</v>
      </c>
      <c r="S135" s="5">
        <f t="shared" si="10"/>
        <v>1.9</v>
      </c>
      <c r="T135" s="5">
        <f t="shared" si="15"/>
        <v>170.98000000000008</v>
      </c>
      <c r="U135" s="10" t="s">
        <v>3</v>
      </c>
      <c r="V135" s="1">
        <v>397.9</v>
      </c>
      <c r="X135" s="1">
        <f t="shared" si="16"/>
        <v>70082.7</v>
      </c>
      <c r="Y135" s="1">
        <f>V135</f>
        <v>397.9</v>
      </c>
      <c r="Z135" s="10" t="s">
        <v>4</v>
      </c>
      <c r="AA135" s="6">
        <v>8.6988900336550294</v>
      </c>
    </row>
    <row r="136" spans="1:27" s="1" customFormat="1" x14ac:dyDescent="0.25">
      <c r="A136" s="53"/>
      <c r="B136" s="8"/>
      <c r="C136" s="9">
        <v>42383</v>
      </c>
      <c r="D136" s="1">
        <v>4.9000000000000004</v>
      </c>
      <c r="E136" s="1">
        <v>4.0999999999999996</v>
      </c>
      <c r="F136" s="1">
        <v>7.9</v>
      </c>
      <c r="G136" s="1">
        <f t="shared" si="12"/>
        <v>1458.7000000000005</v>
      </c>
      <c r="H136" s="1">
        <f>H135+D136</f>
        <v>9.3000000000000007</v>
      </c>
      <c r="I136" s="1">
        <f>MIN(E135:E146)</f>
        <v>-1.6</v>
      </c>
      <c r="J136" s="1">
        <v>1.6</v>
      </c>
      <c r="K136" s="1">
        <f t="shared" si="13"/>
        <v>231.59999999999991</v>
      </c>
      <c r="L136" s="1">
        <v>0.9</v>
      </c>
      <c r="M136" s="1">
        <f t="shared" si="14"/>
        <v>153.80000000000007</v>
      </c>
      <c r="N136" s="1">
        <v>0.70000000000000007</v>
      </c>
      <c r="O136" s="1">
        <f t="shared" si="11"/>
        <v>107.10000000000005</v>
      </c>
      <c r="P136" s="1">
        <v>128</v>
      </c>
      <c r="Q136" s="1">
        <v>1</v>
      </c>
      <c r="R136" s="5">
        <f t="shared" si="9"/>
        <v>0.9</v>
      </c>
      <c r="S136" s="5">
        <f t="shared" si="10"/>
        <v>0.70000000000000007</v>
      </c>
      <c r="T136" s="5">
        <f t="shared" si="15"/>
        <v>171.68000000000006</v>
      </c>
      <c r="U136" s="1">
        <v>3</v>
      </c>
      <c r="V136" s="1">
        <v>487.3</v>
      </c>
      <c r="X136" s="1">
        <f t="shared" si="16"/>
        <v>70570</v>
      </c>
      <c r="Y136" s="1">
        <f>Y135+V136</f>
        <v>885.2</v>
      </c>
      <c r="Z136" s="1">
        <v>3707.9</v>
      </c>
      <c r="AA136" s="6">
        <v>8.7305191275220508</v>
      </c>
    </row>
    <row r="137" spans="1:27" s="1" customFormat="1" x14ac:dyDescent="0.25">
      <c r="A137" s="53"/>
      <c r="B137" s="8"/>
      <c r="C137" s="9">
        <v>42384</v>
      </c>
      <c r="D137" s="1">
        <v>2.7</v>
      </c>
      <c r="E137" s="1">
        <v>0.5</v>
      </c>
      <c r="F137" s="1">
        <v>5.8</v>
      </c>
      <c r="G137" s="1">
        <f t="shared" si="12"/>
        <v>1461.4000000000005</v>
      </c>
      <c r="H137" s="1">
        <f t="shared" ref="H137:H200" si="18">H136+D137</f>
        <v>12</v>
      </c>
      <c r="I137" s="10" t="s">
        <v>5</v>
      </c>
      <c r="J137" s="1">
        <v>2.8</v>
      </c>
      <c r="K137" s="1">
        <f t="shared" si="13"/>
        <v>234.39999999999992</v>
      </c>
      <c r="L137" s="1">
        <v>0.7</v>
      </c>
      <c r="M137" s="1">
        <f t="shared" si="14"/>
        <v>154.50000000000006</v>
      </c>
      <c r="N137" s="1">
        <v>2.0999999999999996</v>
      </c>
      <c r="O137" s="1">
        <f t="shared" si="11"/>
        <v>109.20000000000005</v>
      </c>
      <c r="P137" s="1">
        <v>129</v>
      </c>
      <c r="Q137" s="1">
        <v>1</v>
      </c>
      <c r="R137" s="5">
        <f t="shared" ref="R137:R200" si="19">Q137*L137</f>
        <v>0.7</v>
      </c>
      <c r="S137" s="5">
        <f t="shared" ref="S137:S200" si="20">J137-R137</f>
        <v>2.0999999999999996</v>
      </c>
      <c r="T137" s="5">
        <f t="shared" si="15"/>
        <v>173.78000000000006</v>
      </c>
      <c r="U137" s="10" t="s">
        <v>6</v>
      </c>
      <c r="V137" s="1">
        <v>581.5</v>
      </c>
      <c r="X137" s="1">
        <f t="shared" si="16"/>
        <v>71151.5</v>
      </c>
      <c r="Y137" s="1">
        <f t="shared" ref="Y137:Y200" si="21">Y136+V137</f>
        <v>1466.7</v>
      </c>
      <c r="Z137" s="10" t="s">
        <v>7</v>
      </c>
      <c r="AA137" s="6">
        <v>8.7633036242218001</v>
      </c>
    </row>
    <row r="138" spans="1:27" s="1" customFormat="1" x14ac:dyDescent="0.25">
      <c r="A138" s="53"/>
      <c r="B138" s="8"/>
      <c r="C138" s="9">
        <v>42385</v>
      </c>
      <c r="D138" s="1">
        <v>3</v>
      </c>
      <c r="E138" s="1">
        <v>0.3</v>
      </c>
      <c r="F138" s="1">
        <v>7.4</v>
      </c>
      <c r="G138" s="1">
        <f t="shared" si="12"/>
        <v>1464.4000000000005</v>
      </c>
      <c r="H138" s="1">
        <f t="shared" si="18"/>
        <v>15</v>
      </c>
      <c r="I138" s="1">
        <f>MAX(F135:F146)</f>
        <v>14.4</v>
      </c>
      <c r="J138" s="1">
        <v>0.8</v>
      </c>
      <c r="K138" s="1">
        <f t="shared" si="13"/>
        <v>235.19999999999993</v>
      </c>
      <c r="L138" s="1">
        <v>0.6</v>
      </c>
      <c r="M138" s="1">
        <f t="shared" si="14"/>
        <v>155.10000000000005</v>
      </c>
      <c r="N138" s="1">
        <v>0.20000000000000007</v>
      </c>
      <c r="O138" s="1">
        <f t="shared" ref="O138:O185" si="22">O137+N138</f>
        <v>109.40000000000005</v>
      </c>
      <c r="P138" s="1">
        <v>130</v>
      </c>
      <c r="Q138" s="1">
        <v>1</v>
      </c>
      <c r="R138" s="5">
        <f t="shared" si="19"/>
        <v>0.6</v>
      </c>
      <c r="S138" s="5">
        <f t="shared" si="20"/>
        <v>0.20000000000000007</v>
      </c>
      <c r="T138" s="5">
        <f t="shared" si="15"/>
        <v>173.98000000000005</v>
      </c>
      <c r="U138" s="1">
        <v>0</v>
      </c>
      <c r="V138" s="1">
        <v>493.5</v>
      </c>
      <c r="X138" s="1">
        <f t="shared" si="16"/>
        <v>71645</v>
      </c>
      <c r="Y138" s="1">
        <f t="shared" si="21"/>
        <v>1960.2</v>
      </c>
      <c r="Z138" s="1">
        <f>(Z136/100)/I148</f>
        <v>0.75363821138211384</v>
      </c>
      <c r="AA138" s="6">
        <v>8.7972139577765898</v>
      </c>
    </row>
    <row r="139" spans="1:27" s="1" customFormat="1" x14ac:dyDescent="0.25">
      <c r="A139" s="53"/>
      <c r="B139" s="8"/>
      <c r="C139" s="9">
        <v>42386</v>
      </c>
      <c r="D139" s="1">
        <v>2.2999999999999998</v>
      </c>
      <c r="E139" s="1">
        <v>-1.6</v>
      </c>
      <c r="F139" s="1">
        <v>5</v>
      </c>
      <c r="G139" s="1">
        <f t="shared" ref="G139:G202" si="23">G138+D139</f>
        <v>1466.7000000000005</v>
      </c>
      <c r="H139" s="1">
        <f t="shared" si="18"/>
        <v>17.3</v>
      </c>
      <c r="I139" s="10" t="s">
        <v>8</v>
      </c>
      <c r="J139" s="1">
        <v>4.7</v>
      </c>
      <c r="K139" s="1">
        <f t="shared" ref="K139:K202" si="24">K138+J139</f>
        <v>239.89999999999992</v>
      </c>
      <c r="L139" s="1">
        <v>0.3</v>
      </c>
      <c r="M139" s="1">
        <f t="shared" ref="M139:M202" si="25">M138+L139</f>
        <v>155.40000000000006</v>
      </c>
      <c r="N139" s="1">
        <v>4.4000000000000004</v>
      </c>
      <c r="O139" s="1">
        <f t="shared" si="22"/>
        <v>113.80000000000005</v>
      </c>
      <c r="P139" s="1">
        <v>131</v>
      </c>
      <c r="Q139" s="1">
        <v>1</v>
      </c>
      <c r="R139" s="5">
        <f t="shared" si="19"/>
        <v>0.3</v>
      </c>
      <c r="S139" s="5">
        <f t="shared" si="20"/>
        <v>4.4000000000000004</v>
      </c>
      <c r="T139" s="5">
        <f t="shared" ref="T139:T202" si="26">MIN(197.4,(T138+S139))</f>
        <v>178.38000000000005</v>
      </c>
      <c r="U139" s="10" t="s">
        <v>9</v>
      </c>
      <c r="V139" s="1">
        <v>449.9</v>
      </c>
      <c r="X139" s="1">
        <f t="shared" ref="X139:X202" si="27">X138+V139</f>
        <v>72094.899999999994</v>
      </c>
      <c r="Y139" s="1">
        <f t="shared" si="21"/>
        <v>2410.1</v>
      </c>
      <c r="Z139" s="10" t="s">
        <v>10</v>
      </c>
      <c r="AA139" s="6">
        <v>8.8322202273963804</v>
      </c>
    </row>
    <row r="140" spans="1:27" s="1" customFormat="1" x14ac:dyDescent="0.25">
      <c r="A140" s="53"/>
      <c r="B140" s="8"/>
      <c r="C140" s="9">
        <v>42387</v>
      </c>
      <c r="D140" s="1">
        <v>2.2000000000000002</v>
      </c>
      <c r="E140" s="1">
        <v>2</v>
      </c>
      <c r="F140" s="1">
        <v>2.2000000000000002</v>
      </c>
      <c r="G140" s="1">
        <f t="shared" si="23"/>
        <v>1468.9000000000005</v>
      </c>
      <c r="H140" s="1">
        <f t="shared" si="18"/>
        <v>19.5</v>
      </c>
      <c r="I140" s="1">
        <f>AVERAGE(D135:D146)</f>
        <v>4.0999999999999996</v>
      </c>
      <c r="J140" s="1">
        <v>2.5</v>
      </c>
      <c r="K140" s="1">
        <f t="shared" si="24"/>
        <v>242.39999999999992</v>
      </c>
      <c r="L140" s="1">
        <v>0.3</v>
      </c>
      <c r="M140" s="1">
        <f t="shared" si="25"/>
        <v>155.70000000000007</v>
      </c>
      <c r="N140" s="1">
        <v>2.2000000000000002</v>
      </c>
      <c r="O140" s="1">
        <f t="shared" si="22"/>
        <v>116.00000000000006</v>
      </c>
      <c r="P140" s="1">
        <v>132</v>
      </c>
      <c r="Q140" s="1">
        <v>1</v>
      </c>
      <c r="R140" s="5">
        <f t="shared" si="19"/>
        <v>0.3</v>
      </c>
      <c r="S140" s="5">
        <f t="shared" si="20"/>
        <v>2.2000000000000002</v>
      </c>
      <c r="T140" s="5">
        <f t="shared" si="26"/>
        <v>180.58000000000004</v>
      </c>
      <c r="U140" s="1">
        <v>0</v>
      </c>
      <c r="V140" s="1">
        <v>78.5</v>
      </c>
      <c r="X140" s="1">
        <f t="shared" si="27"/>
        <v>72173.399999999994</v>
      </c>
      <c r="Y140" s="1">
        <f t="shared" si="21"/>
        <v>2488.6</v>
      </c>
      <c r="Z140" s="1">
        <v>12</v>
      </c>
      <c r="AA140" s="6">
        <v>8.8682922790623309</v>
      </c>
    </row>
    <row r="141" spans="1:27" s="1" customFormat="1" x14ac:dyDescent="0.25">
      <c r="A141" s="53"/>
      <c r="B141" s="8"/>
      <c r="C141" s="9">
        <v>42388</v>
      </c>
      <c r="D141" s="1">
        <v>1.8</v>
      </c>
      <c r="E141" s="1">
        <v>1.4</v>
      </c>
      <c r="F141" s="1">
        <v>2.2000000000000002</v>
      </c>
      <c r="G141" s="1">
        <f t="shared" si="23"/>
        <v>1470.7000000000005</v>
      </c>
      <c r="H141" s="1">
        <f t="shared" si="18"/>
        <v>21.3</v>
      </c>
      <c r="I141" s="10" t="s">
        <v>11</v>
      </c>
      <c r="J141" s="1">
        <v>0</v>
      </c>
      <c r="K141" s="1">
        <f t="shared" si="24"/>
        <v>242.39999999999992</v>
      </c>
      <c r="L141" s="1">
        <v>0.3</v>
      </c>
      <c r="M141" s="1">
        <f t="shared" si="25"/>
        <v>156.00000000000009</v>
      </c>
      <c r="N141" s="1">
        <v>-0.3</v>
      </c>
      <c r="O141" s="1">
        <f t="shared" si="22"/>
        <v>115.70000000000006</v>
      </c>
      <c r="P141" s="1">
        <v>133</v>
      </c>
      <c r="Q141" s="1">
        <v>1</v>
      </c>
      <c r="R141" s="5">
        <f t="shared" si="19"/>
        <v>0.3</v>
      </c>
      <c r="S141" s="5">
        <f t="shared" si="20"/>
        <v>-0.3</v>
      </c>
      <c r="T141" s="5">
        <f t="shared" si="26"/>
        <v>180.28000000000003</v>
      </c>
      <c r="U141" s="10" t="s">
        <v>12</v>
      </c>
      <c r="V141" s="1">
        <v>105.9</v>
      </c>
      <c r="X141" s="1">
        <f t="shared" si="27"/>
        <v>72279.299999999988</v>
      </c>
      <c r="Y141" s="1">
        <f t="shared" si="21"/>
        <v>2594.5</v>
      </c>
      <c r="AA141" s="6">
        <v>8.9053997843622401</v>
      </c>
    </row>
    <row r="142" spans="1:27" s="1" customFormat="1" x14ac:dyDescent="0.25">
      <c r="A142" s="53"/>
      <c r="B142" s="8"/>
      <c r="C142" s="9">
        <v>42389</v>
      </c>
      <c r="D142" s="1">
        <v>2.2999999999999998</v>
      </c>
      <c r="E142" s="1">
        <v>2</v>
      </c>
      <c r="F142" s="1">
        <v>3</v>
      </c>
      <c r="G142" s="1">
        <f t="shared" si="23"/>
        <v>1473.0000000000005</v>
      </c>
      <c r="H142" s="1">
        <f t="shared" si="18"/>
        <v>23.6</v>
      </c>
      <c r="I142" s="1">
        <v>2</v>
      </c>
      <c r="J142" s="1">
        <v>0</v>
      </c>
      <c r="K142" s="1">
        <f t="shared" si="24"/>
        <v>242.39999999999992</v>
      </c>
      <c r="L142" s="1">
        <v>0.4</v>
      </c>
      <c r="M142" s="1">
        <f t="shared" si="25"/>
        <v>156.40000000000009</v>
      </c>
      <c r="N142" s="1">
        <v>-0.4</v>
      </c>
      <c r="O142" s="1">
        <f t="shared" si="22"/>
        <v>115.30000000000005</v>
      </c>
      <c r="P142" s="1">
        <v>134</v>
      </c>
      <c r="Q142" s="1">
        <v>1</v>
      </c>
      <c r="R142" s="5">
        <f t="shared" si="19"/>
        <v>0.4</v>
      </c>
      <c r="S142" s="5">
        <f t="shared" si="20"/>
        <v>-0.4</v>
      </c>
      <c r="T142" s="5">
        <f t="shared" si="26"/>
        <v>179.88000000000002</v>
      </c>
      <c r="U142" s="5">
        <f>MIN(T135:T146)</f>
        <v>170.98000000000008</v>
      </c>
      <c r="V142" s="1">
        <v>154.19999999999999</v>
      </c>
      <c r="X142" s="1">
        <f t="shared" si="27"/>
        <v>72433.499999999985</v>
      </c>
      <c r="Y142" s="1">
        <f t="shared" si="21"/>
        <v>2748.7</v>
      </c>
      <c r="AA142" s="6">
        <v>8.9435123162883503</v>
      </c>
    </row>
    <row r="143" spans="1:27" s="1" customFormat="1" x14ac:dyDescent="0.25">
      <c r="A143" s="53"/>
      <c r="B143" s="8"/>
      <c r="C143" s="9">
        <v>42390</v>
      </c>
      <c r="D143" s="1">
        <v>1.2</v>
      </c>
      <c r="E143" s="1">
        <v>-0.3</v>
      </c>
      <c r="F143" s="1">
        <v>5.5</v>
      </c>
      <c r="G143" s="1">
        <f t="shared" si="23"/>
        <v>1474.2000000000005</v>
      </c>
      <c r="H143" s="1">
        <f t="shared" si="18"/>
        <v>24.8</v>
      </c>
      <c r="I143" s="10" t="s">
        <v>13</v>
      </c>
      <c r="J143" s="1">
        <v>4.3</v>
      </c>
      <c r="K143" s="1">
        <f t="shared" si="24"/>
        <v>246.69999999999993</v>
      </c>
      <c r="L143" s="1">
        <v>0.7</v>
      </c>
      <c r="M143" s="1">
        <f t="shared" si="25"/>
        <v>157.10000000000008</v>
      </c>
      <c r="N143" s="1">
        <v>3.5999999999999996</v>
      </c>
      <c r="O143" s="1">
        <f t="shared" si="22"/>
        <v>118.90000000000005</v>
      </c>
      <c r="P143" s="1">
        <v>135</v>
      </c>
      <c r="Q143" s="1">
        <v>1</v>
      </c>
      <c r="R143" s="5">
        <f t="shared" si="19"/>
        <v>0.7</v>
      </c>
      <c r="S143" s="5">
        <f t="shared" si="20"/>
        <v>3.5999999999999996</v>
      </c>
      <c r="T143" s="5">
        <f t="shared" si="26"/>
        <v>183.48000000000002</v>
      </c>
      <c r="U143" s="10" t="s">
        <v>14</v>
      </c>
      <c r="V143" s="1">
        <v>175.9</v>
      </c>
      <c r="X143" s="1">
        <f t="shared" si="27"/>
        <v>72609.39999999998</v>
      </c>
      <c r="Y143" s="1">
        <f t="shared" si="21"/>
        <v>2924.6</v>
      </c>
      <c r="AA143" s="6">
        <v>8.9825994217501801</v>
      </c>
    </row>
    <row r="144" spans="1:27" s="1" customFormat="1" x14ac:dyDescent="0.25">
      <c r="A144" s="53"/>
      <c r="B144" s="2"/>
      <c r="C144" s="9">
        <v>42391</v>
      </c>
      <c r="D144" s="1">
        <v>7.1</v>
      </c>
      <c r="E144" s="1">
        <v>2</v>
      </c>
      <c r="F144" s="1">
        <v>10.3</v>
      </c>
      <c r="G144" s="1">
        <f t="shared" si="23"/>
        <v>1481.3000000000004</v>
      </c>
      <c r="H144" s="1">
        <f t="shared" si="18"/>
        <v>31.9</v>
      </c>
      <c r="I144" s="1">
        <v>0</v>
      </c>
      <c r="J144" s="1">
        <v>4.5999999999999996</v>
      </c>
      <c r="K144" s="1">
        <f t="shared" si="24"/>
        <v>251.29999999999993</v>
      </c>
      <c r="L144" s="1">
        <v>0.3</v>
      </c>
      <c r="M144" s="1">
        <f t="shared" si="25"/>
        <v>157.40000000000009</v>
      </c>
      <c r="N144" s="1">
        <v>4.3</v>
      </c>
      <c r="O144" s="1">
        <f t="shared" si="22"/>
        <v>123.20000000000005</v>
      </c>
      <c r="P144" s="1">
        <v>136</v>
      </c>
      <c r="Q144" s="1">
        <v>1</v>
      </c>
      <c r="R144" s="5">
        <f t="shared" si="19"/>
        <v>0.3</v>
      </c>
      <c r="S144" s="5">
        <f t="shared" si="20"/>
        <v>4.3</v>
      </c>
      <c r="T144" s="5">
        <f t="shared" si="26"/>
        <v>187.78000000000003</v>
      </c>
      <c r="U144" s="5">
        <f>MAX(T135:T146)</f>
        <v>188.18000000000004</v>
      </c>
      <c r="V144" s="1">
        <v>120.1</v>
      </c>
      <c r="X144" s="1">
        <f t="shared" si="27"/>
        <v>72729.499999999985</v>
      </c>
      <c r="Y144" s="1">
        <f t="shared" si="21"/>
        <v>3044.7</v>
      </c>
      <c r="AA144" s="1">
        <v>9.02263069059555</v>
      </c>
    </row>
    <row r="145" spans="1:27" s="1" customFormat="1" x14ac:dyDescent="0.25">
      <c r="A145" s="53"/>
      <c r="B145" s="2"/>
      <c r="C145" s="9">
        <v>42392</v>
      </c>
      <c r="D145" s="1">
        <v>5.8</v>
      </c>
      <c r="E145" s="1">
        <v>2.4</v>
      </c>
      <c r="F145" s="1">
        <v>10.5</v>
      </c>
      <c r="G145" s="1">
        <f t="shared" si="23"/>
        <v>1487.1000000000004</v>
      </c>
      <c r="H145" s="1">
        <f t="shared" si="18"/>
        <v>37.699999999999996</v>
      </c>
      <c r="I145" s="10" t="s">
        <v>15</v>
      </c>
      <c r="J145" s="1">
        <v>1</v>
      </c>
      <c r="K145" s="1">
        <f t="shared" si="24"/>
        <v>252.29999999999993</v>
      </c>
      <c r="L145" s="1">
        <v>0.6</v>
      </c>
      <c r="M145" s="1">
        <f t="shared" si="25"/>
        <v>158.00000000000009</v>
      </c>
      <c r="N145" s="1">
        <v>0.4</v>
      </c>
      <c r="O145" s="1">
        <f t="shared" si="22"/>
        <v>123.60000000000005</v>
      </c>
      <c r="P145" s="1">
        <v>137</v>
      </c>
      <c r="Q145" s="1">
        <v>1</v>
      </c>
      <c r="R145" s="5">
        <f t="shared" si="19"/>
        <v>0.6</v>
      </c>
      <c r="S145" s="5">
        <f t="shared" si="20"/>
        <v>0.4</v>
      </c>
      <c r="T145" s="5">
        <f t="shared" si="26"/>
        <v>188.18000000000004</v>
      </c>
      <c r="U145" s="10" t="s">
        <v>16</v>
      </c>
      <c r="V145" s="1">
        <v>135.30000000000001</v>
      </c>
      <c r="X145" s="1">
        <f t="shared" si="27"/>
        <v>72864.799999999988</v>
      </c>
      <c r="Y145" s="1">
        <f t="shared" si="21"/>
        <v>3180</v>
      </c>
      <c r="AA145" s="1">
        <v>9.0635758209727104</v>
      </c>
    </row>
    <row r="146" spans="1:27" s="32" customFormat="1" ht="15.75" thickBot="1" x14ac:dyDescent="0.3">
      <c r="A146" s="53"/>
      <c r="B146" s="37"/>
      <c r="C146" s="44">
        <v>42393</v>
      </c>
      <c r="D146" s="32">
        <v>11.5</v>
      </c>
      <c r="E146" s="32">
        <v>8.6999999999999993</v>
      </c>
      <c r="F146" s="32">
        <v>14.4</v>
      </c>
      <c r="G146" s="32">
        <f t="shared" si="23"/>
        <v>1498.6000000000004</v>
      </c>
      <c r="H146" s="32">
        <f t="shared" si="18"/>
        <v>49.199999999999996</v>
      </c>
      <c r="I146" s="32">
        <v>9</v>
      </c>
      <c r="J146" s="32">
        <v>0</v>
      </c>
      <c r="K146" s="32">
        <f t="shared" si="24"/>
        <v>252.29999999999993</v>
      </c>
      <c r="L146" s="32">
        <v>0.9</v>
      </c>
      <c r="M146" s="32">
        <f t="shared" si="25"/>
        <v>158.90000000000009</v>
      </c>
      <c r="N146" s="32">
        <v>-0.9</v>
      </c>
      <c r="O146" s="32">
        <f t="shared" si="22"/>
        <v>122.70000000000005</v>
      </c>
      <c r="P146" s="32">
        <v>138</v>
      </c>
      <c r="Q146" s="32">
        <v>1</v>
      </c>
      <c r="R146" s="34">
        <f t="shared" si="19"/>
        <v>0.9</v>
      </c>
      <c r="S146" s="34">
        <f t="shared" si="20"/>
        <v>-0.9</v>
      </c>
      <c r="T146" s="35">
        <f t="shared" si="26"/>
        <v>187.28000000000003</v>
      </c>
      <c r="U146" s="45">
        <f>AVERAGE(T135:T146)</f>
        <v>179.68833333333336</v>
      </c>
      <c r="V146" s="32">
        <v>527.9</v>
      </c>
      <c r="X146" s="32">
        <f t="shared" si="27"/>
        <v>73392.699999999983</v>
      </c>
      <c r="Y146" s="36">
        <f t="shared" si="21"/>
        <v>3707.9</v>
      </c>
      <c r="AA146" s="36">
        <v>9.1054046809047993</v>
      </c>
    </row>
    <row r="147" spans="1:27" s="1" customFormat="1" ht="15" customHeight="1" x14ac:dyDescent="0.25">
      <c r="A147" s="54" t="s">
        <v>19</v>
      </c>
      <c r="B147" s="2"/>
      <c r="C147" s="11">
        <v>42394</v>
      </c>
      <c r="D147" s="1">
        <v>9.6999999999999993</v>
      </c>
      <c r="E147" s="1">
        <v>4.9000000000000004</v>
      </c>
      <c r="F147" s="1">
        <v>12.7</v>
      </c>
      <c r="G147" s="1">
        <f t="shared" si="23"/>
        <v>1508.3000000000004</v>
      </c>
      <c r="H147" s="1">
        <v>9.6999999999999993</v>
      </c>
      <c r="I147" s="10" t="s">
        <v>17</v>
      </c>
      <c r="J147" s="1">
        <v>0.1</v>
      </c>
      <c r="K147" s="1">
        <f t="shared" si="24"/>
        <v>252.39999999999992</v>
      </c>
      <c r="L147" s="1">
        <v>0.4</v>
      </c>
      <c r="M147" s="1">
        <f t="shared" si="25"/>
        <v>159.3000000000001</v>
      </c>
      <c r="N147" s="1">
        <v>-0.30000000000000004</v>
      </c>
      <c r="O147" s="1">
        <f t="shared" si="22"/>
        <v>122.40000000000005</v>
      </c>
      <c r="P147" s="1">
        <v>139</v>
      </c>
      <c r="Q147" s="12">
        <f>1+((P147-138)/57)*(1.15-1)</f>
        <v>1.0026315789473683</v>
      </c>
      <c r="R147" s="5">
        <f t="shared" si="19"/>
        <v>0.40105263157894733</v>
      </c>
      <c r="S147" s="5">
        <f t="shared" si="20"/>
        <v>-0.30105263157894735</v>
      </c>
      <c r="T147" s="5">
        <f t="shared" si="26"/>
        <v>186.97894736842107</v>
      </c>
      <c r="U147" s="10" t="s">
        <v>20</v>
      </c>
      <c r="V147" s="1">
        <v>280.39999999999998</v>
      </c>
      <c r="X147" s="1">
        <f t="shared" si="27"/>
        <v>73673.099999999977</v>
      </c>
      <c r="Y147" s="1">
        <v>280.39999999999998</v>
      </c>
      <c r="AA147" s="1">
        <v>9.1480873659837592</v>
      </c>
    </row>
    <row r="148" spans="1:27" s="1" customFormat="1" x14ac:dyDescent="0.25">
      <c r="A148" s="54"/>
      <c r="B148" s="2"/>
      <c r="C148" s="11">
        <v>42395</v>
      </c>
      <c r="D148" s="1">
        <v>10.3</v>
      </c>
      <c r="E148" s="1">
        <v>6.9</v>
      </c>
      <c r="F148" s="1">
        <v>12.2</v>
      </c>
      <c r="G148" s="1">
        <f t="shared" si="23"/>
        <v>1518.6000000000004</v>
      </c>
      <c r="H148" s="1">
        <f t="shared" si="18"/>
        <v>20</v>
      </c>
      <c r="I148" s="1">
        <v>49.2</v>
      </c>
      <c r="J148" s="1">
        <v>0.6</v>
      </c>
      <c r="K148" s="1">
        <f t="shared" si="24"/>
        <v>252.99999999999991</v>
      </c>
      <c r="L148" s="1">
        <v>0.6</v>
      </c>
      <c r="M148" s="1">
        <f t="shared" si="25"/>
        <v>159.90000000000009</v>
      </c>
      <c r="N148" s="1">
        <v>0</v>
      </c>
      <c r="O148" s="1">
        <f t="shared" si="22"/>
        <v>122.40000000000005</v>
      </c>
      <c r="P148" s="1">
        <v>140</v>
      </c>
      <c r="Q148" s="12">
        <f t="shared" ref="Q148:Q203" si="28">1+((P148-138)/57)*(1.15-1)</f>
        <v>1.0052631578947369</v>
      </c>
      <c r="R148" s="5">
        <f t="shared" si="19"/>
        <v>0.60315789473684212</v>
      </c>
      <c r="S148" s="5">
        <f t="shared" si="20"/>
        <v>-3.1578947368421373E-3</v>
      </c>
      <c r="T148" s="5">
        <f t="shared" si="26"/>
        <v>186.97578947368424</v>
      </c>
      <c r="U148" s="5">
        <v>9</v>
      </c>
      <c r="V148" s="1">
        <v>405</v>
      </c>
      <c r="X148" s="1">
        <f t="shared" si="27"/>
        <v>74078.099999999977</v>
      </c>
      <c r="Y148" s="1">
        <f t="shared" si="21"/>
        <v>685.4</v>
      </c>
      <c r="AA148" s="1">
        <v>9.1915942531253005</v>
      </c>
    </row>
    <row r="149" spans="1:27" s="1" customFormat="1" x14ac:dyDescent="0.25">
      <c r="A149" s="54"/>
      <c r="B149" s="2"/>
      <c r="C149" s="11">
        <v>42396</v>
      </c>
      <c r="D149" s="1">
        <v>11.1</v>
      </c>
      <c r="E149" s="1">
        <v>11.2</v>
      </c>
      <c r="F149" s="1">
        <v>11.6</v>
      </c>
      <c r="G149" s="1">
        <f t="shared" si="23"/>
        <v>1529.7000000000003</v>
      </c>
      <c r="H149" s="1">
        <f t="shared" si="18"/>
        <v>31.1</v>
      </c>
      <c r="J149" s="1">
        <v>15.3</v>
      </c>
      <c r="K149" s="1">
        <f t="shared" si="24"/>
        <v>268.2999999999999</v>
      </c>
      <c r="L149" s="1">
        <v>0.7</v>
      </c>
      <c r="M149" s="1">
        <f t="shared" si="25"/>
        <v>160.60000000000008</v>
      </c>
      <c r="N149" s="1">
        <v>14.600000000000001</v>
      </c>
      <c r="O149" s="1">
        <f t="shared" si="22"/>
        <v>137.00000000000006</v>
      </c>
      <c r="P149" s="1">
        <v>141</v>
      </c>
      <c r="Q149" s="12">
        <f t="shared" si="28"/>
        <v>1.0078947368421052</v>
      </c>
      <c r="R149" s="5">
        <f t="shared" si="19"/>
        <v>0.70552631578947356</v>
      </c>
      <c r="S149" s="5">
        <f t="shared" si="20"/>
        <v>14.594473684210527</v>
      </c>
      <c r="T149" s="5">
        <f t="shared" si="26"/>
        <v>197.4</v>
      </c>
      <c r="V149" s="1">
        <v>84.5</v>
      </c>
      <c r="X149" s="1">
        <f t="shared" si="27"/>
        <v>74162.599999999977</v>
      </c>
      <c r="Y149" s="1">
        <f t="shared" si="21"/>
        <v>769.9</v>
      </c>
      <c r="AA149" s="1">
        <v>9.2358960503577805</v>
      </c>
    </row>
    <row r="150" spans="1:27" s="1" customFormat="1" x14ac:dyDescent="0.25">
      <c r="A150" s="54"/>
      <c r="B150" s="2"/>
      <c r="C150" s="11">
        <v>42397</v>
      </c>
      <c r="D150" s="1">
        <v>6.7</v>
      </c>
      <c r="E150" s="1">
        <v>5.8</v>
      </c>
      <c r="F150" s="1">
        <v>9.5</v>
      </c>
      <c r="G150" s="1">
        <f t="shared" si="23"/>
        <v>1536.4000000000003</v>
      </c>
      <c r="H150" s="1">
        <f t="shared" si="18"/>
        <v>37.800000000000004</v>
      </c>
      <c r="J150" s="1">
        <v>0.3</v>
      </c>
      <c r="K150" s="1">
        <f t="shared" si="24"/>
        <v>268.59999999999991</v>
      </c>
      <c r="L150" s="1">
        <v>0.6</v>
      </c>
      <c r="M150" s="1">
        <f t="shared" si="25"/>
        <v>161.20000000000007</v>
      </c>
      <c r="N150" s="1">
        <v>-0.3</v>
      </c>
      <c r="O150" s="1">
        <f t="shared" si="22"/>
        <v>136.70000000000005</v>
      </c>
      <c r="P150" s="1">
        <v>142</v>
      </c>
      <c r="Q150" s="12">
        <f t="shared" si="28"/>
        <v>1.0105263157894737</v>
      </c>
      <c r="R150" s="5">
        <f t="shared" si="19"/>
        <v>0.60631578947368425</v>
      </c>
      <c r="S150" s="5">
        <f t="shared" si="20"/>
        <v>-0.30631578947368426</v>
      </c>
      <c r="T150" s="5">
        <f t="shared" si="26"/>
        <v>197.09368421052633</v>
      </c>
      <c r="U150" s="5">
        <f>(U146*100)/197.4</f>
        <v>91.027524484971309</v>
      </c>
      <c r="V150" s="1">
        <v>434</v>
      </c>
      <c r="X150" s="1">
        <f t="shared" si="27"/>
        <v>74596.599999999977</v>
      </c>
      <c r="Y150" s="1">
        <f t="shared" si="21"/>
        <v>1203.9000000000001</v>
      </c>
      <c r="AA150" s="1">
        <v>9.2809638426474006</v>
      </c>
    </row>
    <row r="151" spans="1:27" s="1" customFormat="1" x14ac:dyDescent="0.25">
      <c r="A151" s="54"/>
      <c r="B151" s="2"/>
      <c r="C151" s="11">
        <v>42398</v>
      </c>
      <c r="D151" s="1">
        <v>9</v>
      </c>
      <c r="E151" s="1">
        <v>2.6</v>
      </c>
      <c r="F151" s="1">
        <v>11.5</v>
      </c>
      <c r="G151" s="1">
        <f t="shared" si="23"/>
        <v>1545.4000000000003</v>
      </c>
      <c r="H151" s="1">
        <f t="shared" si="18"/>
        <v>46.800000000000004</v>
      </c>
      <c r="J151" s="1">
        <v>0.7</v>
      </c>
      <c r="K151" s="1">
        <f t="shared" si="24"/>
        <v>269.2999999999999</v>
      </c>
      <c r="L151" s="1">
        <v>0.2</v>
      </c>
      <c r="M151" s="1">
        <f t="shared" si="25"/>
        <v>161.40000000000006</v>
      </c>
      <c r="N151" s="1">
        <v>0.49999999999999994</v>
      </c>
      <c r="O151" s="1">
        <f t="shared" si="22"/>
        <v>137.20000000000005</v>
      </c>
      <c r="P151" s="1">
        <v>143</v>
      </c>
      <c r="Q151" s="12">
        <f t="shared" si="28"/>
        <v>1.013157894736842</v>
      </c>
      <c r="R151" s="5">
        <f t="shared" si="19"/>
        <v>0.20263157894736841</v>
      </c>
      <c r="S151" s="5">
        <f t="shared" si="20"/>
        <v>0.49736842105263157</v>
      </c>
      <c r="T151" s="5">
        <f t="shared" si="26"/>
        <v>197.4</v>
      </c>
      <c r="V151" s="1">
        <v>148.5</v>
      </c>
      <c r="X151" s="1">
        <f t="shared" si="27"/>
        <v>74745.099999999977</v>
      </c>
      <c r="Y151" s="1">
        <f t="shared" si="21"/>
        <v>1352.4</v>
      </c>
      <c r="AA151" s="1">
        <v>9.3267691337885896</v>
      </c>
    </row>
    <row r="152" spans="1:27" s="1" customFormat="1" x14ac:dyDescent="0.25">
      <c r="A152" s="54"/>
      <c r="B152" s="2"/>
      <c r="C152" s="11">
        <v>42399</v>
      </c>
      <c r="D152" s="1">
        <v>10</v>
      </c>
      <c r="E152" s="1">
        <v>8.9</v>
      </c>
      <c r="F152" s="1">
        <v>11.7</v>
      </c>
      <c r="G152" s="1">
        <f t="shared" si="23"/>
        <v>1555.4000000000003</v>
      </c>
      <c r="H152" s="1">
        <f t="shared" si="18"/>
        <v>56.800000000000004</v>
      </c>
      <c r="I152" s="14" t="s">
        <v>2</v>
      </c>
      <c r="J152" s="1">
        <v>9.3000000000000007</v>
      </c>
      <c r="K152" s="1">
        <f t="shared" si="24"/>
        <v>278.59999999999991</v>
      </c>
      <c r="L152" s="1">
        <v>0.6</v>
      </c>
      <c r="M152" s="1">
        <f t="shared" si="25"/>
        <v>162.00000000000006</v>
      </c>
      <c r="N152" s="1">
        <v>8.7000000000000011</v>
      </c>
      <c r="O152" s="1">
        <f t="shared" si="22"/>
        <v>145.90000000000003</v>
      </c>
      <c r="P152" s="1">
        <v>144</v>
      </c>
      <c r="Q152" s="12">
        <f t="shared" si="28"/>
        <v>1.0157894736842106</v>
      </c>
      <c r="R152" s="5">
        <f t="shared" si="19"/>
        <v>0.60947368421052628</v>
      </c>
      <c r="S152" s="5">
        <f t="shared" si="20"/>
        <v>8.6905263157894748</v>
      </c>
      <c r="T152" s="5">
        <f t="shared" si="26"/>
        <v>197.4</v>
      </c>
      <c r="U152" s="14" t="s">
        <v>3</v>
      </c>
      <c r="V152" s="1">
        <v>99.9</v>
      </c>
      <c r="X152" s="1">
        <f t="shared" si="27"/>
        <v>74844.999999999971</v>
      </c>
      <c r="Y152" s="1">
        <f t="shared" si="21"/>
        <v>1452.3000000000002</v>
      </c>
      <c r="Z152" s="14" t="s">
        <v>4</v>
      </c>
      <c r="AA152" s="1">
        <v>9.37328388441213</v>
      </c>
    </row>
    <row r="153" spans="1:27" s="1" customFormat="1" x14ac:dyDescent="0.25">
      <c r="A153" s="54"/>
      <c r="B153" s="2"/>
      <c r="C153" s="11">
        <v>42400</v>
      </c>
      <c r="D153" s="1">
        <v>12.6</v>
      </c>
      <c r="E153" s="1">
        <v>8</v>
      </c>
      <c r="F153" s="1">
        <v>14.4</v>
      </c>
      <c r="G153" s="1">
        <f t="shared" si="23"/>
        <v>1568.0000000000002</v>
      </c>
      <c r="H153" s="1">
        <f t="shared" si="18"/>
        <v>69.400000000000006</v>
      </c>
      <c r="I153" s="1">
        <f>MIN(E147:E203)</f>
        <v>-2.4</v>
      </c>
      <c r="J153" s="1">
        <v>0.2</v>
      </c>
      <c r="K153" s="1">
        <f t="shared" si="24"/>
        <v>278.7999999999999</v>
      </c>
      <c r="L153" s="1">
        <v>0.3</v>
      </c>
      <c r="M153" s="1">
        <f t="shared" si="25"/>
        <v>162.30000000000007</v>
      </c>
      <c r="N153" s="1">
        <v>-9.9999999999999978E-2</v>
      </c>
      <c r="O153" s="1">
        <f t="shared" si="22"/>
        <v>145.80000000000004</v>
      </c>
      <c r="P153" s="1">
        <v>145</v>
      </c>
      <c r="Q153" s="12">
        <f t="shared" si="28"/>
        <v>1.0184210526315789</v>
      </c>
      <c r="R153" s="5">
        <f t="shared" si="19"/>
        <v>0.30552631578947365</v>
      </c>
      <c r="S153" s="5">
        <f t="shared" si="20"/>
        <v>-0.10552631578947363</v>
      </c>
      <c r="T153" s="5">
        <f t="shared" si="26"/>
        <v>197.29447368421054</v>
      </c>
      <c r="U153" s="1">
        <v>31</v>
      </c>
      <c r="V153" s="1">
        <v>135.4</v>
      </c>
      <c r="X153" s="1">
        <f t="shared" si="27"/>
        <v>74980.399999999965</v>
      </c>
      <c r="Y153" s="1">
        <f t="shared" si="21"/>
        <v>1587.7000000000003</v>
      </c>
      <c r="Z153" s="1">
        <v>34188.799999999988</v>
      </c>
      <c r="AA153" s="1">
        <v>9.4204805461851908</v>
      </c>
    </row>
    <row r="154" spans="1:27" s="1" customFormat="1" x14ac:dyDescent="0.25">
      <c r="A154" s="54"/>
      <c r="B154" s="2"/>
      <c r="C154" s="11">
        <v>42401</v>
      </c>
      <c r="D154" s="1">
        <v>11.9</v>
      </c>
      <c r="E154" s="1">
        <v>11.5</v>
      </c>
      <c r="F154" s="1">
        <v>12.8</v>
      </c>
      <c r="G154" s="1">
        <f t="shared" si="23"/>
        <v>1579.9000000000003</v>
      </c>
      <c r="H154" s="1">
        <f t="shared" si="18"/>
        <v>81.300000000000011</v>
      </c>
      <c r="I154" s="14" t="s">
        <v>5</v>
      </c>
      <c r="J154" s="1">
        <v>0.1</v>
      </c>
      <c r="K154" s="1">
        <f t="shared" si="24"/>
        <v>278.89999999999992</v>
      </c>
      <c r="L154" s="1">
        <v>1</v>
      </c>
      <c r="M154" s="1">
        <f t="shared" si="25"/>
        <v>163.30000000000007</v>
      </c>
      <c r="N154" s="1">
        <v>-0.9</v>
      </c>
      <c r="O154" s="1">
        <f t="shared" si="22"/>
        <v>144.90000000000003</v>
      </c>
      <c r="P154" s="1">
        <v>146</v>
      </c>
      <c r="Q154" s="12">
        <f t="shared" si="28"/>
        <v>1.0210526315789474</v>
      </c>
      <c r="R154" s="5">
        <f t="shared" si="19"/>
        <v>1.0210526315789474</v>
      </c>
      <c r="S154" s="5">
        <f t="shared" si="20"/>
        <v>-0.92105263157894746</v>
      </c>
      <c r="T154" s="5">
        <f t="shared" si="26"/>
        <v>196.37342105263158</v>
      </c>
      <c r="U154" s="14" t="s">
        <v>6</v>
      </c>
      <c r="V154" s="1">
        <v>165</v>
      </c>
      <c r="X154" s="1">
        <f t="shared" si="27"/>
        <v>75145.399999999965</v>
      </c>
      <c r="Y154" s="1">
        <f t="shared" si="21"/>
        <v>1752.7000000000003</v>
      </c>
      <c r="Z154" s="14" t="s">
        <v>7</v>
      </c>
      <c r="AA154" s="1">
        <v>9.4683320922958405</v>
      </c>
    </row>
    <row r="155" spans="1:27" s="1" customFormat="1" x14ac:dyDescent="0.25">
      <c r="A155" s="54"/>
      <c r="B155" s="2"/>
      <c r="C155" s="11">
        <v>42402</v>
      </c>
      <c r="D155" s="1">
        <v>10.3</v>
      </c>
      <c r="E155" s="1">
        <v>7.2</v>
      </c>
      <c r="F155" s="1">
        <v>13.5</v>
      </c>
      <c r="G155" s="1">
        <f t="shared" si="23"/>
        <v>1590.2000000000003</v>
      </c>
      <c r="H155" s="1">
        <f t="shared" si="18"/>
        <v>91.600000000000009</v>
      </c>
      <c r="I155" s="1">
        <f>MAX(F147:F203)</f>
        <v>14.4</v>
      </c>
      <c r="J155" s="1">
        <v>4.0999999999999996</v>
      </c>
      <c r="K155" s="1">
        <f t="shared" si="24"/>
        <v>282.99999999999994</v>
      </c>
      <c r="L155" s="1">
        <v>0.5</v>
      </c>
      <c r="M155" s="1">
        <f t="shared" si="25"/>
        <v>163.80000000000007</v>
      </c>
      <c r="N155" s="1">
        <v>3.5999999999999996</v>
      </c>
      <c r="O155" s="1">
        <f t="shared" si="22"/>
        <v>148.50000000000003</v>
      </c>
      <c r="P155" s="1">
        <v>147</v>
      </c>
      <c r="Q155" s="12">
        <f t="shared" si="28"/>
        <v>1.0236842105263158</v>
      </c>
      <c r="R155" s="5">
        <f t="shared" si="19"/>
        <v>0.51184210526315788</v>
      </c>
      <c r="S155" s="5">
        <f t="shared" si="20"/>
        <v>3.5881578947368418</v>
      </c>
      <c r="T155" s="5">
        <f t="shared" si="26"/>
        <v>197.4</v>
      </c>
      <c r="U155" s="1">
        <v>0</v>
      </c>
      <c r="V155" s="1">
        <v>174.2</v>
      </c>
      <c r="X155" s="1">
        <f t="shared" si="27"/>
        <v>75319.599999999962</v>
      </c>
      <c r="Y155" s="1">
        <f t="shared" si="21"/>
        <v>1926.9000000000003</v>
      </c>
      <c r="Z155" s="1">
        <f>(Z153/100)/I165</f>
        <v>0.85536152114085529</v>
      </c>
      <c r="AA155" s="1">
        <v>9.5168120443305408</v>
      </c>
    </row>
    <row r="156" spans="1:27" s="1" customFormat="1" x14ac:dyDescent="0.25">
      <c r="A156" s="54"/>
      <c r="B156" s="2"/>
      <c r="C156" s="11">
        <v>42403</v>
      </c>
      <c r="D156" s="1">
        <v>6</v>
      </c>
      <c r="E156" s="1">
        <v>4.9000000000000004</v>
      </c>
      <c r="F156" s="1">
        <v>9.1999999999999993</v>
      </c>
      <c r="G156" s="1">
        <f t="shared" si="23"/>
        <v>1596.2000000000003</v>
      </c>
      <c r="H156" s="1">
        <f t="shared" si="18"/>
        <v>97.600000000000009</v>
      </c>
      <c r="I156" s="14" t="s">
        <v>8</v>
      </c>
      <c r="J156" s="1">
        <v>0.2</v>
      </c>
      <c r="K156" s="1">
        <f t="shared" si="24"/>
        <v>283.19999999999993</v>
      </c>
      <c r="L156" s="1">
        <v>1.4</v>
      </c>
      <c r="M156" s="1">
        <f t="shared" si="25"/>
        <v>165.20000000000007</v>
      </c>
      <c r="N156" s="1">
        <v>-1.2</v>
      </c>
      <c r="O156" s="1">
        <f t="shared" si="22"/>
        <v>147.30000000000004</v>
      </c>
      <c r="P156" s="1">
        <v>148</v>
      </c>
      <c r="Q156" s="12">
        <f t="shared" si="28"/>
        <v>1.0263157894736843</v>
      </c>
      <c r="R156" s="5">
        <f t="shared" si="19"/>
        <v>1.4368421052631579</v>
      </c>
      <c r="S156" s="5">
        <f t="shared" si="20"/>
        <v>-1.236842105263158</v>
      </c>
      <c r="T156" s="5">
        <f t="shared" si="26"/>
        <v>196.16315789473686</v>
      </c>
      <c r="U156" s="14" t="s">
        <v>9</v>
      </c>
      <c r="V156" s="1">
        <v>356</v>
      </c>
      <c r="X156" s="1">
        <f t="shared" si="27"/>
        <v>75675.599999999962</v>
      </c>
      <c r="Y156" s="1">
        <f t="shared" si="21"/>
        <v>2282.9000000000005</v>
      </c>
      <c r="Z156" s="14" t="s">
        <v>10</v>
      </c>
      <c r="AA156" s="1">
        <v>9.5658944956672105</v>
      </c>
    </row>
    <row r="157" spans="1:27" s="1" customFormat="1" x14ac:dyDescent="0.25">
      <c r="A157" s="54"/>
      <c r="B157" s="2"/>
      <c r="C157" s="11">
        <v>42404</v>
      </c>
      <c r="D157" s="1">
        <v>9.1999999999999993</v>
      </c>
      <c r="E157" s="1">
        <v>2.5</v>
      </c>
      <c r="F157" s="1">
        <v>11.7</v>
      </c>
      <c r="G157" s="1">
        <f t="shared" si="23"/>
        <v>1605.4000000000003</v>
      </c>
      <c r="H157" s="1">
        <f t="shared" si="18"/>
        <v>106.80000000000001</v>
      </c>
      <c r="I157" s="5">
        <f>AVERAGE(D147:D203)</f>
        <v>7.0122807017543911</v>
      </c>
      <c r="J157" s="1">
        <v>0.1</v>
      </c>
      <c r="K157" s="1">
        <f t="shared" si="24"/>
        <v>283.29999999999995</v>
      </c>
      <c r="L157" s="1">
        <v>0</v>
      </c>
      <c r="M157" s="1">
        <f t="shared" si="25"/>
        <v>165.20000000000007</v>
      </c>
      <c r="N157" s="1">
        <v>0.1</v>
      </c>
      <c r="O157" s="1">
        <f t="shared" si="22"/>
        <v>147.40000000000003</v>
      </c>
      <c r="P157" s="1">
        <v>149</v>
      </c>
      <c r="Q157" s="12">
        <f t="shared" si="28"/>
        <v>1.0289473684210526</v>
      </c>
      <c r="R157" s="5">
        <f t="shared" si="19"/>
        <v>0</v>
      </c>
      <c r="S157" s="5">
        <f t="shared" si="20"/>
        <v>0.1</v>
      </c>
      <c r="T157" s="5">
        <f t="shared" si="26"/>
        <v>196.26315789473685</v>
      </c>
      <c r="U157" s="1">
        <v>0</v>
      </c>
      <c r="V157" s="1">
        <v>152.69999999999999</v>
      </c>
      <c r="X157" s="1">
        <f t="shared" si="27"/>
        <v>75828.299999999959</v>
      </c>
      <c r="Y157" s="1">
        <f t="shared" si="21"/>
        <v>2435.6000000000004</v>
      </c>
      <c r="Z157" s="1">
        <v>43</v>
      </c>
      <c r="AA157" s="1">
        <v>9.6155541315168893</v>
      </c>
    </row>
    <row r="158" spans="1:27" s="1" customFormat="1" x14ac:dyDescent="0.25">
      <c r="A158" s="54"/>
      <c r="B158" s="2"/>
      <c r="C158" s="11">
        <v>42405</v>
      </c>
      <c r="D158" s="1">
        <v>9.8000000000000007</v>
      </c>
      <c r="E158" s="1">
        <v>9.1999999999999993</v>
      </c>
      <c r="F158" s="1">
        <v>10.7</v>
      </c>
      <c r="G158" s="1">
        <f t="shared" si="23"/>
        <v>1615.2000000000003</v>
      </c>
      <c r="H158" s="1">
        <f t="shared" si="18"/>
        <v>116.60000000000001</v>
      </c>
      <c r="I158" s="14" t="s">
        <v>11</v>
      </c>
      <c r="J158" s="1">
        <v>0.1</v>
      </c>
      <c r="K158" s="1">
        <f t="shared" si="24"/>
        <v>283.39999999999998</v>
      </c>
      <c r="L158" s="1">
        <v>0.5</v>
      </c>
      <c r="M158" s="1">
        <f t="shared" si="25"/>
        <v>165.70000000000007</v>
      </c>
      <c r="N158" s="1">
        <v>-0.4</v>
      </c>
      <c r="O158" s="1">
        <f t="shared" si="22"/>
        <v>147.00000000000003</v>
      </c>
      <c r="P158" s="1">
        <v>150</v>
      </c>
      <c r="Q158" s="12">
        <f t="shared" si="28"/>
        <v>1.0315789473684209</v>
      </c>
      <c r="R158" s="5">
        <f t="shared" si="19"/>
        <v>0.51578947368421046</v>
      </c>
      <c r="S158" s="5">
        <f t="shared" si="20"/>
        <v>-0.41578947368421049</v>
      </c>
      <c r="T158" s="5">
        <f t="shared" si="26"/>
        <v>195.84736842105264</v>
      </c>
      <c r="U158" s="14" t="s">
        <v>12</v>
      </c>
      <c r="V158" s="1">
        <v>244.7</v>
      </c>
      <c r="X158" s="1">
        <f t="shared" si="27"/>
        <v>76072.999999999956</v>
      </c>
      <c r="Y158" s="1">
        <f t="shared" si="21"/>
        <v>2680.3</v>
      </c>
      <c r="AA158" s="1">
        <v>9.6657662457569504</v>
      </c>
    </row>
    <row r="159" spans="1:27" s="1" customFormat="1" x14ac:dyDescent="0.25">
      <c r="A159" s="54"/>
      <c r="B159" s="2"/>
      <c r="C159" s="11">
        <v>42406</v>
      </c>
      <c r="D159" s="1">
        <v>10.5</v>
      </c>
      <c r="E159" s="1">
        <v>9.6</v>
      </c>
      <c r="F159" s="1">
        <v>12.2</v>
      </c>
      <c r="G159" s="1">
        <f t="shared" si="23"/>
        <v>1625.7000000000003</v>
      </c>
      <c r="H159" s="1">
        <f t="shared" si="18"/>
        <v>127.10000000000001</v>
      </c>
      <c r="I159" s="1">
        <v>6</v>
      </c>
      <c r="J159" s="1">
        <v>5.6</v>
      </c>
      <c r="K159" s="1">
        <f t="shared" si="24"/>
        <v>289</v>
      </c>
      <c r="L159" s="1">
        <v>1.6</v>
      </c>
      <c r="M159" s="1">
        <f t="shared" si="25"/>
        <v>167.30000000000007</v>
      </c>
      <c r="N159" s="1">
        <v>3.9999999999999996</v>
      </c>
      <c r="O159" s="1">
        <f t="shared" si="22"/>
        <v>151.00000000000003</v>
      </c>
      <c r="P159" s="1">
        <v>151</v>
      </c>
      <c r="Q159" s="12">
        <f t="shared" si="28"/>
        <v>1.0342105263157895</v>
      </c>
      <c r="R159" s="5">
        <f t="shared" si="19"/>
        <v>1.6547368421052633</v>
      </c>
      <c r="S159" s="5">
        <f t="shared" si="20"/>
        <v>3.9452631578947361</v>
      </c>
      <c r="T159" s="5">
        <f t="shared" si="26"/>
        <v>197.4</v>
      </c>
      <c r="U159" s="5">
        <f>MIN(T147:T203)</f>
        <v>175.65394736842109</v>
      </c>
      <c r="V159" s="1">
        <v>226.1</v>
      </c>
      <c r="X159" s="1">
        <f t="shared" si="27"/>
        <v>76299.099999999962</v>
      </c>
      <c r="Y159" s="1">
        <f t="shared" si="21"/>
        <v>2906.4</v>
      </c>
      <c r="AA159" s="1">
        <v>9.7165067547050707</v>
      </c>
    </row>
    <row r="160" spans="1:27" s="1" customFormat="1" x14ac:dyDescent="0.25">
      <c r="A160" s="54"/>
      <c r="B160" s="2"/>
      <c r="C160" s="11">
        <v>42407</v>
      </c>
      <c r="D160" s="1">
        <v>8.5</v>
      </c>
      <c r="E160" s="1">
        <v>4.8</v>
      </c>
      <c r="F160" s="1">
        <v>11.6</v>
      </c>
      <c r="G160" s="1">
        <f t="shared" si="23"/>
        <v>1634.2000000000003</v>
      </c>
      <c r="H160" s="1">
        <f t="shared" si="18"/>
        <v>135.60000000000002</v>
      </c>
      <c r="I160" s="14" t="s">
        <v>13</v>
      </c>
      <c r="J160" s="1">
        <v>2.5</v>
      </c>
      <c r="K160" s="1">
        <f t="shared" si="24"/>
        <v>291.5</v>
      </c>
      <c r="L160" s="1">
        <v>1.3</v>
      </c>
      <c r="M160" s="1">
        <f t="shared" si="25"/>
        <v>168.60000000000008</v>
      </c>
      <c r="N160" s="1">
        <v>1.2</v>
      </c>
      <c r="O160" s="1">
        <f t="shared" si="22"/>
        <v>152.20000000000002</v>
      </c>
      <c r="P160" s="1">
        <v>152</v>
      </c>
      <c r="Q160" s="12">
        <f t="shared" si="28"/>
        <v>1.0368421052631578</v>
      </c>
      <c r="R160" s="5">
        <f t="shared" si="19"/>
        <v>1.3478947368421053</v>
      </c>
      <c r="S160" s="5">
        <f t="shared" si="20"/>
        <v>1.1521052631578947</v>
      </c>
      <c r="T160" s="5">
        <f t="shared" si="26"/>
        <v>197.4</v>
      </c>
      <c r="U160" s="14" t="s">
        <v>14</v>
      </c>
      <c r="V160" s="1">
        <v>458.1</v>
      </c>
      <c r="X160" s="1">
        <f t="shared" si="27"/>
        <v>76757.199999999968</v>
      </c>
      <c r="Y160" s="1">
        <f t="shared" si="21"/>
        <v>3364.5</v>
      </c>
      <c r="AA160" s="1">
        <v>9.7677522079885293</v>
      </c>
    </row>
    <row r="161" spans="1:28" s="1" customFormat="1" x14ac:dyDescent="0.25">
      <c r="A161" s="54"/>
      <c r="B161" s="2"/>
      <c r="C161" s="11">
        <v>42408</v>
      </c>
      <c r="D161" s="1">
        <v>10</v>
      </c>
      <c r="E161" s="1">
        <v>8.9</v>
      </c>
      <c r="F161" s="1">
        <v>12</v>
      </c>
      <c r="G161" s="1">
        <f t="shared" si="23"/>
        <v>1644.2000000000003</v>
      </c>
      <c r="H161" s="1">
        <f t="shared" si="18"/>
        <v>145.60000000000002</v>
      </c>
      <c r="I161" s="1">
        <v>0</v>
      </c>
      <c r="J161" s="1">
        <v>7.6</v>
      </c>
      <c r="K161" s="1">
        <f t="shared" si="24"/>
        <v>299.10000000000002</v>
      </c>
      <c r="L161" s="1">
        <v>2.1</v>
      </c>
      <c r="M161" s="1">
        <f t="shared" si="25"/>
        <v>170.70000000000007</v>
      </c>
      <c r="N161" s="1">
        <v>5.5</v>
      </c>
      <c r="O161" s="1">
        <f t="shared" si="22"/>
        <v>157.70000000000002</v>
      </c>
      <c r="P161" s="1">
        <v>153</v>
      </c>
      <c r="Q161" s="12">
        <f t="shared" si="28"/>
        <v>1.0394736842105263</v>
      </c>
      <c r="R161" s="5">
        <f t="shared" si="19"/>
        <v>2.1828947368421052</v>
      </c>
      <c r="S161" s="5">
        <f t="shared" si="20"/>
        <v>5.4171052631578949</v>
      </c>
      <c r="T161" s="5">
        <f t="shared" si="26"/>
        <v>197.4</v>
      </c>
      <c r="U161" s="5">
        <f>MAX(T147:T203)</f>
        <v>197.4</v>
      </c>
      <c r="V161" s="1">
        <v>347.3</v>
      </c>
      <c r="X161" s="1">
        <f t="shared" si="27"/>
        <v>77104.499999999971</v>
      </c>
      <c r="Y161" s="1">
        <f t="shared" si="21"/>
        <v>3711.8</v>
      </c>
      <c r="AA161" s="1">
        <v>9.8194797966666592</v>
      </c>
    </row>
    <row r="162" spans="1:28" s="1" customFormat="1" x14ac:dyDescent="0.25">
      <c r="A162" s="54"/>
      <c r="B162" s="2"/>
      <c r="C162" s="11">
        <v>42409</v>
      </c>
      <c r="D162" s="1">
        <v>6.9</v>
      </c>
      <c r="E162" s="1">
        <v>4.0999999999999996</v>
      </c>
      <c r="F162" s="1">
        <v>11.1</v>
      </c>
      <c r="G162" s="1">
        <f t="shared" si="23"/>
        <v>1651.1000000000004</v>
      </c>
      <c r="H162" s="1">
        <f t="shared" si="18"/>
        <v>152.50000000000003</v>
      </c>
      <c r="I162" s="14" t="s">
        <v>15</v>
      </c>
      <c r="J162" s="1">
        <v>3.6</v>
      </c>
      <c r="K162" s="1">
        <f t="shared" si="24"/>
        <v>302.70000000000005</v>
      </c>
      <c r="L162" s="1">
        <v>0.9</v>
      </c>
      <c r="M162" s="1">
        <f t="shared" si="25"/>
        <v>171.60000000000008</v>
      </c>
      <c r="N162" s="1">
        <v>2.7</v>
      </c>
      <c r="O162" s="1">
        <f t="shared" si="22"/>
        <v>160.4</v>
      </c>
      <c r="P162" s="1">
        <v>154</v>
      </c>
      <c r="Q162" s="12">
        <f t="shared" si="28"/>
        <v>1.0421052631578946</v>
      </c>
      <c r="R162" s="5">
        <f t="shared" si="19"/>
        <v>0.93789473684210523</v>
      </c>
      <c r="S162" s="5">
        <f t="shared" si="20"/>
        <v>2.662105263157895</v>
      </c>
      <c r="T162" s="5">
        <f t="shared" si="26"/>
        <v>197.4</v>
      </c>
      <c r="U162" s="14" t="s">
        <v>16</v>
      </c>
      <c r="V162" s="1">
        <v>222.7</v>
      </c>
      <c r="X162" s="1">
        <f t="shared" si="27"/>
        <v>77327.199999999968</v>
      </c>
      <c r="Y162" s="1">
        <f t="shared" si="21"/>
        <v>3934.5</v>
      </c>
      <c r="AA162" s="1">
        <v>9.87166735876594</v>
      </c>
    </row>
    <row r="163" spans="1:28" s="1" customFormat="1" x14ac:dyDescent="0.25">
      <c r="A163" s="54"/>
      <c r="B163" s="2"/>
      <c r="C163" s="11">
        <v>42410</v>
      </c>
      <c r="D163" s="1">
        <v>4.3</v>
      </c>
      <c r="E163" s="1">
        <v>2.2000000000000002</v>
      </c>
      <c r="F163" s="1">
        <v>8.4</v>
      </c>
      <c r="G163" s="1">
        <f t="shared" si="23"/>
        <v>1655.4000000000003</v>
      </c>
      <c r="H163" s="1">
        <f t="shared" si="18"/>
        <v>156.80000000000004</v>
      </c>
      <c r="I163" s="1">
        <v>29</v>
      </c>
      <c r="J163" s="1">
        <v>0</v>
      </c>
      <c r="K163" s="1">
        <f t="shared" si="24"/>
        <v>302.70000000000005</v>
      </c>
      <c r="L163" s="1">
        <v>1.2</v>
      </c>
      <c r="M163" s="1">
        <f t="shared" si="25"/>
        <v>172.80000000000007</v>
      </c>
      <c r="N163" s="1">
        <v>-1.2</v>
      </c>
      <c r="O163" s="1">
        <f t="shared" si="22"/>
        <v>159.20000000000002</v>
      </c>
      <c r="P163" s="1">
        <v>155</v>
      </c>
      <c r="Q163" s="12">
        <f t="shared" si="28"/>
        <v>1.0447368421052632</v>
      </c>
      <c r="R163" s="5">
        <f t="shared" si="19"/>
        <v>1.2536842105263157</v>
      </c>
      <c r="S163" s="5">
        <f t="shared" si="20"/>
        <v>-1.2536842105263157</v>
      </c>
      <c r="T163" s="5">
        <f t="shared" si="26"/>
        <v>196.1463157894737</v>
      </c>
      <c r="U163" s="12">
        <f>AVERAGE(T147:T203)</f>
        <v>194.04190212373032</v>
      </c>
      <c r="V163" s="1">
        <v>943.7</v>
      </c>
      <c r="X163" s="1">
        <f t="shared" si="27"/>
        <v>78270.899999999965</v>
      </c>
      <c r="Y163" s="1">
        <f t="shared" si="21"/>
        <v>4878.2</v>
      </c>
      <c r="AA163" s="1">
        <v>9.9242933823874697</v>
      </c>
    </row>
    <row r="164" spans="1:28" s="1" customFormat="1" x14ac:dyDescent="0.25">
      <c r="A164" s="54"/>
      <c r="B164" s="2"/>
      <c r="C164" s="11">
        <v>42411</v>
      </c>
      <c r="D164" s="1">
        <v>4.3</v>
      </c>
      <c r="E164" s="1">
        <v>-1</v>
      </c>
      <c r="F164" s="1">
        <v>8.8000000000000007</v>
      </c>
      <c r="G164" s="1">
        <f t="shared" si="23"/>
        <v>1659.7000000000003</v>
      </c>
      <c r="H164" s="1">
        <f t="shared" si="18"/>
        <v>161.10000000000005</v>
      </c>
      <c r="I164" s="14" t="s">
        <v>17</v>
      </c>
      <c r="J164" s="1">
        <v>5.5</v>
      </c>
      <c r="K164" s="1">
        <f t="shared" si="24"/>
        <v>308.20000000000005</v>
      </c>
      <c r="L164" s="1">
        <v>0.8</v>
      </c>
      <c r="M164" s="1">
        <f t="shared" si="25"/>
        <v>173.60000000000008</v>
      </c>
      <c r="N164" s="1">
        <v>4.7</v>
      </c>
      <c r="O164" s="1">
        <f t="shared" si="22"/>
        <v>163.9</v>
      </c>
      <c r="P164" s="1">
        <v>156</v>
      </c>
      <c r="Q164" s="12">
        <f t="shared" si="28"/>
        <v>1.0473684210526315</v>
      </c>
      <c r="R164" s="5">
        <f t="shared" si="19"/>
        <v>0.83789473684210525</v>
      </c>
      <c r="S164" s="5">
        <f t="shared" si="20"/>
        <v>4.662105263157895</v>
      </c>
      <c r="T164" s="5">
        <f t="shared" si="26"/>
        <v>197.4</v>
      </c>
      <c r="V164" s="1">
        <v>782.1</v>
      </c>
      <c r="X164" s="1">
        <f t="shared" si="27"/>
        <v>79052.999999999971</v>
      </c>
      <c r="Y164" s="1">
        <f t="shared" si="21"/>
        <v>5660.3</v>
      </c>
      <c r="AA164" s="1">
        <v>9.9773370065455698</v>
      </c>
    </row>
    <row r="165" spans="1:28" s="1" customFormat="1" x14ac:dyDescent="0.25">
      <c r="A165" s="54"/>
      <c r="B165" s="2"/>
      <c r="C165" s="11">
        <v>42412</v>
      </c>
      <c r="D165" s="1">
        <v>7.3</v>
      </c>
      <c r="E165" s="1">
        <v>5.0999999999999996</v>
      </c>
      <c r="F165" s="1">
        <v>9.5</v>
      </c>
      <c r="G165" s="1">
        <f t="shared" si="23"/>
        <v>1667.0000000000002</v>
      </c>
      <c r="H165" s="1">
        <f t="shared" si="18"/>
        <v>168.40000000000006</v>
      </c>
      <c r="I165" s="1">
        <v>399.7</v>
      </c>
      <c r="J165" s="1">
        <v>7.3</v>
      </c>
      <c r="K165" s="1">
        <f t="shared" si="24"/>
        <v>315.50000000000006</v>
      </c>
      <c r="L165" s="1">
        <v>0.6</v>
      </c>
      <c r="M165" s="1">
        <f t="shared" si="25"/>
        <v>174.20000000000007</v>
      </c>
      <c r="N165" s="1">
        <v>6.7</v>
      </c>
      <c r="O165" s="1">
        <f t="shared" si="22"/>
        <v>170.6</v>
      </c>
      <c r="P165" s="1">
        <v>157</v>
      </c>
      <c r="Q165" s="12">
        <f t="shared" si="28"/>
        <v>1.05</v>
      </c>
      <c r="R165" s="5">
        <f t="shared" si="19"/>
        <v>0.63</v>
      </c>
      <c r="S165" s="5">
        <f t="shared" si="20"/>
        <v>6.67</v>
      </c>
      <c r="T165" s="5">
        <f t="shared" si="26"/>
        <v>197.4</v>
      </c>
      <c r="U165" s="5">
        <f>(U163*100)/197.4</f>
        <v>98.298835928941401</v>
      </c>
      <c r="V165" s="1">
        <v>147.9</v>
      </c>
      <c r="X165" s="1">
        <f t="shared" si="27"/>
        <v>79200.899999999965</v>
      </c>
      <c r="Y165" s="1">
        <f t="shared" si="21"/>
        <v>5808.2</v>
      </c>
      <c r="AA165" s="1">
        <v>10.0307780198942</v>
      </c>
    </row>
    <row r="166" spans="1:28" s="1" customFormat="1" x14ac:dyDescent="0.25">
      <c r="A166" s="54"/>
      <c r="B166" s="2">
        <v>4</v>
      </c>
      <c r="C166" s="11">
        <v>42413</v>
      </c>
      <c r="D166" s="1">
        <v>8.3000000000000007</v>
      </c>
      <c r="E166" s="1">
        <v>4.8</v>
      </c>
      <c r="F166" s="1">
        <v>11.1</v>
      </c>
      <c r="G166" s="1">
        <f t="shared" si="23"/>
        <v>1675.3000000000002</v>
      </c>
      <c r="H166" s="1">
        <f t="shared" si="18"/>
        <v>176.70000000000007</v>
      </c>
      <c r="J166" s="1">
        <v>1.7</v>
      </c>
      <c r="K166" s="1">
        <f t="shared" si="24"/>
        <v>317.20000000000005</v>
      </c>
      <c r="L166" s="1">
        <v>0.7</v>
      </c>
      <c r="M166" s="1">
        <f t="shared" si="25"/>
        <v>174.90000000000006</v>
      </c>
      <c r="N166" s="1">
        <v>1</v>
      </c>
      <c r="O166" s="1">
        <f t="shared" si="22"/>
        <v>171.6</v>
      </c>
      <c r="P166" s="1">
        <v>158</v>
      </c>
      <c r="Q166" s="12">
        <f t="shared" si="28"/>
        <v>1.0526315789473684</v>
      </c>
      <c r="R166" s="5">
        <f t="shared" si="19"/>
        <v>0.73684210526315785</v>
      </c>
      <c r="S166" s="5">
        <f t="shared" si="20"/>
        <v>0.9631578947368421</v>
      </c>
      <c r="T166" s="5">
        <f t="shared" si="26"/>
        <v>197.4</v>
      </c>
      <c r="V166" s="1">
        <v>252.2</v>
      </c>
      <c r="X166" s="1">
        <f t="shared" si="27"/>
        <v>79453.099999999962</v>
      </c>
      <c r="Y166" s="1">
        <f t="shared" si="21"/>
        <v>6060.4</v>
      </c>
      <c r="AA166" s="1">
        <v>10.084596857494899</v>
      </c>
    </row>
    <row r="167" spans="1:28" s="1" customFormat="1" x14ac:dyDescent="0.25">
      <c r="A167" s="54"/>
      <c r="B167" s="2"/>
      <c r="C167" s="11">
        <v>42414</v>
      </c>
      <c r="D167" s="1">
        <v>6.4</v>
      </c>
      <c r="E167" s="1">
        <v>5.0999999999999996</v>
      </c>
      <c r="F167" s="1">
        <v>9.1999999999999993</v>
      </c>
      <c r="G167" s="1">
        <f t="shared" si="23"/>
        <v>1681.7000000000003</v>
      </c>
      <c r="H167" s="1">
        <f t="shared" si="18"/>
        <v>183.10000000000008</v>
      </c>
      <c r="J167" s="1">
        <v>1.1000000000000001</v>
      </c>
      <c r="K167" s="1">
        <f t="shared" si="24"/>
        <v>318.30000000000007</v>
      </c>
      <c r="L167" s="1">
        <v>1</v>
      </c>
      <c r="M167" s="1">
        <f t="shared" si="25"/>
        <v>175.90000000000006</v>
      </c>
      <c r="N167" s="1">
        <v>0.10000000000000009</v>
      </c>
      <c r="O167" s="1">
        <f t="shared" si="22"/>
        <v>171.7</v>
      </c>
      <c r="P167" s="1">
        <v>159</v>
      </c>
      <c r="Q167" s="12">
        <f t="shared" si="28"/>
        <v>1.0552631578947369</v>
      </c>
      <c r="R167" s="5">
        <f t="shared" si="19"/>
        <v>1.0552631578947369</v>
      </c>
      <c r="S167" s="5">
        <f t="shared" si="20"/>
        <v>4.4736842105263186E-2</v>
      </c>
      <c r="T167" s="5">
        <f t="shared" si="26"/>
        <v>197.4</v>
      </c>
      <c r="V167" s="1">
        <v>621.20000000000005</v>
      </c>
      <c r="X167" s="1">
        <f t="shared" si="27"/>
        <v>80074.299999999959</v>
      </c>
      <c r="Y167" s="1">
        <f t="shared" si="21"/>
        <v>6681.5999999999995</v>
      </c>
      <c r="AA167" s="1">
        <v>10.138774595775301</v>
      </c>
    </row>
    <row r="168" spans="1:28" s="1" customFormat="1" x14ac:dyDescent="0.25">
      <c r="A168" s="54"/>
      <c r="B168" s="2"/>
      <c r="C168" s="11">
        <v>42415</v>
      </c>
      <c r="D168" s="1">
        <v>3.6</v>
      </c>
      <c r="E168" s="1">
        <v>3</v>
      </c>
      <c r="F168" s="1">
        <v>6.6</v>
      </c>
      <c r="G168" s="1">
        <f t="shared" si="23"/>
        <v>1685.3000000000002</v>
      </c>
      <c r="H168" s="1">
        <f t="shared" si="18"/>
        <v>186.70000000000007</v>
      </c>
      <c r="J168" s="1">
        <v>0</v>
      </c>
      <c r="K168" s="1">
        <f t="shared" si="24"/>
        <v>318.30000000000007</v>
      </c>
      <c r="L168" s="1">
        <v>1.4</v>
      </c>
      <c r="M168" s="1">
        <f t="shared" si="25"/>
        <v>177.30000000000007</v>
      </c>
      <c r="N168" s="1">
        <v>-1.4</v>
      </c>
      <c r="O168" s="1">
        <f t="shared" si="22"/>
        <v>170.29999999999998</v>
      </c>
      <c r="P168" s="1">
        <v>160</v>
      </c>
      <c r="Q168" s="12">
        <f t="shared" si="28"/>
        <v>1.0578947368421052</v>
      </c>
      <c r="R168" s="5">
        <f t="shared" si="19"/>
        <v>1.4810526315789472</v>
      </c>
      <c r="S168" s="5">
        <f t="shared" si="20"/>
        <v>-1.4810526315789472</v>
      </c>
      <c r="T168" s="5">
        <f t="shared" si="26"/>
        <v>195.91894736842107</v>
      </c>
      <c r="V168" s="1">
        <v>765.9</v>
      </c>
      <c r="X168" s="1">
        <f t="shared" si="27"/>
        <v>80840.199999999953</v>
      </c>
      <c r="Y168" s="1">
        <f t="shared" si="21"/>
        <v>7447.4999999999991</v>
      </c>
      <c r="AA168" s="1">
        <v>10.193292945824201</v>
      </c>
    </row>
    <row r="169" spans="1:28" s="1" customFormat="1" x14ac:dyDescent="0.25">
      <c r="A169" s="54"/>
      <c r="B169" s="2"/>
      <c r="C169" s="11">
        <v>42416</v>
      </c>
      <c r="D169" s="1">
        <v>2.1</v>
      </c>
      <c r="E169" s="1">
        <v>-2.4</v>
      </c>
      <c r="F169" s="1">
        <v>8.1</v>
      </c>
      <c r="G169" s="1">
        <f t="shared" si="23"/>
        <v>1687.4</v>
      </c>
      <c r="H169" s="1">
        <f t="shared" si="18"/>
        <v>188.80000000000007</v>
      </c>
      <c r="J169" s="1">
        <v>0</v>
      </c>
      <c r="K169" s="1">
        <f t="shared" si="24"/>
        <v>318.30000000000007</v>
      </c>
      <c r="L169" s="1">
        <v>0.9</v>
      </c>
      <c r="M169" s="1">
        <f t="shared" si="25"/>
        <v>178.20000000000007</v>
      </c>
      <c r="N169" s="1">
        <v>-0.9</v>
      </c>
      <c r="O169" s="1">
        <f t="shared" si="22"/>
        <v>169.39999999999998</v>
      </c>
      <c r="P169" s="1">
        <v>161</v>
      </c>
      <c r="Q169" s="12">
        <f t="shared" si="28"/>
        <v>1.0605263157894735</v>
      </c>
      <c r="R169" s="5">
        <f t="shared" si="19"/>
        <v>0.95447368421052625</v>
      </c>
      <c r="S169" s="5">
        <f t="shared" si="20"/>
        <v>-0.95447368421052625</v>
      </c>
      <c r="T169" s="5">
        <f t="shared" si="26"/>
        <v>194.96447368421056</v>
      </c>
      <c r="V169" s="1">
        <v>663.4</v>
      </c>
      <c r="X169" s="1">
        <f t="shared" si="27"/>
        <v>81503.599999999948</v>
      </c>
      <c r="Y169" s="1">
        <f t="shared" si="21"/>
        <v>8110.8999999999987</v>
      </c>
      <c r="AA169" s="1">
        <v>10.248134245162101</v>
      </c>
    </row>
    <row r="170" spans="1:28" s="1" customFormat="1" x14ac:dyDescent="0.25">
      <c r="A170" s="54"/>
      <c r="B170" s="2"/>
      <c r="C170" s="11">
        <v>42417</v>
      </c>
      <c r="D170" s="1">
        <v>1.9</v>
      </c>
      <c r="E170" s="1">
        <v>-2.1</v>
      </c>
      <c r="F170" s="1">
        <v>5.0999999999999996</v>
      </c>
      <c r="G170" s="1">
        <f t="shared" si="23"/>
        <v>1689.3000000000002</v>
      </c>
      <c r="H170" s="1">
        <f t="shared" si="18"/>
        <v>190.70000000000007</v>
      </c>
      <c r="J170" s="1">
        <v>6.7</v>
      </c>
      <c r="K170" s="1">
        <f t="shared" si="24"/>
        <v>325.00000000000006</v>
      </c>
      <c r="L170" s="1">
        <v>0.8</v>
      </c>
      <c r="M170" s="1">
        <f t="shared" si="25"/>
        <v>179.00000000000009</v>
      </c>
      <c r="N170" s="1">
        <v>5.9</v>
      </c>
      <c r="O170" s="1">
        <f t="shared" si="22"/>
        <v>175.29999999999998</v>
      </c>
      <c r="P170" s="1">
        <v>162</v>
      </c>
      <c r="Q170" s="12">
        <f t="shared" si="28"/>
        <v>1.0631578947368421</v>
      </c>
      <c r="R170" s="5">
        <f t="shared" si="19"/>
        <v>0.85052631578947369</v>
      </c>
      <c r="S170" s="5">
        <f t="shared" si="20"/>
        <v>5.8494736842105262</v>
      </c>
      <c r="T170" s="5">
        <f t="shared" si="26"/>
        <v>197.4</v>
      </c>
      <c r="V170" s="1">
        <v>429.1</v>
      </c>
      <c r="X170" s="1">
        <f t="shared" si="27"/>
        <v>81932.699999999953</v>
      </c>
      <c r="Y170" s="1">
        <f t="shared" si="21"/>
        <v>8539.9999999999982</v>
      </c>
      <c r="AA170" s="1">
        <v>10.3032814481223</v>
      </c>
    </row>
    <row r="171" spans="1:28" s="1" customFormat="1" x14ac:dyDescent="0.25">
      <c r="A171" s="54"/>
      <c r="B171" s="2"/>
      <c r="C171" s="11">
        <v>42418</v>
      </c>
      <c r="D171" s="1">
        <v>3.4</v>
      </c>
      <c r="E171" s="1">
        <v>1.1000000000000001</v>
      </c>
      <c r="F171" s="1">
        <v>7.7</v>
      </c>
      <c r="G171" s="1">
        <f t="shared" si="23"/>
        <v>1692.7000000000003</v>
      </c>
      <c r="H171" s="1">
        <f t="shared" si="18"/>
        <v>194.10000000000008</v>
      </c>
      <c r="J171" s="1">
        <v>0.7</v>
      </c>
      <c r="K171" s="1">
        <f t="shared" si="24"/>
        <v>325.70000000000005</v>
      </c>
      <c r="L171" s="1">
        <v>0.7</v>
      </c>
      <c r="M171" s="1">
        <f t="shared" si="25"/>
        <v>179.70000000000007</v>
      </c>
      <c r="N171" s="1">
        <v>0</v>
      </c>
      <c r="O171" s="1">
        <f t="shared" si="22"/>
        <v>175.29999999999998</v>
      </c>
      <c r="P171" s="1">
        <v>163</v>
      </c>
      <c r="Q171" s="12">
        <f t="shared" si="28"/>
        <v>1.0657894736842104</v>
      </c>
      <c r="R171" s="5">
        <f t="shared" si="19"/>
        <v>0.74605263157894719</v>
      </c>
      <c r="S171" s="5">
        <f t="shared" si="20"/>
        <v>-4.6052631578947234E-2</v>
      </c>
      <c r="T171" s="5">
        <f t="shared" si="26"/>
        <v>197.35394736842105</v>
      </c>
      <c r="V171" s="1">
        <v>608.5</v>
      </c>
      <c r="X171" s="1">
        <f t="shared" si="27"/>
        <v>82541.199999999953</v>
      </c>
      <c r="Y171" s="1">
        <f t="shared" si="21"/>
        <v>9148.4999999999982</v>
      </c>
      <c r="AA171" s="1">
        <v>10.358718114969401</v>
      </c>
    </row>
    <row r="172" spans="1:28" s="1" customFormat="1" x14ac:dyDescent="0.25">
      <c r="A172" s="54"/>
      <c r="B172" s="2"/>
      <c r="C172" s="11">
        <v>42419</v>
      </c>
      <c r="D172" s="1">
        <v>5.6</v>
      </c>
      <c r="E172" s="1">
        <v>-1.2</v>
      </c>
      <c r="F172" s="1">
        <v>10.4</v>
      </c>
      <c r="G172" s="1">
        <f t="shared" si="23"/>
        <v>1698.3000000000002</v>
      </c>
      <c r="H172" s="1">
        <f t="shared" si="18"/>
        <v>199.70000000000007</v>
      </c>
      <c r="J172" s="62">
        <v>1</v>
      </c>
      <c r="K172" s="1">
        <f t="shared" si="24"/>
        <v>326.70000000000005</v>
      </c>
      <c r="L172" s="1">
        <v>0.8</v>
      </c>
      <c r="M172" s="1">
        <f t="shared" si="25"/>
        <v>180.50000000000009</v>
      </c>
      <c r="N172" s="1">
        <v>0.19999999999999996</v>
      </c>
      <c r="O172" s="1">
        <f t="shared" si="22"/>
        <v>175.49999999999997</v>
      </c>
      <c r="P172" s="1">
        <v>164</v>
      </c>
      <c r="Q172" s="12">
        <f t="shared" si="28"/>
        <v>1.0684210526315789</v>
      </c>
      <c r="R172" s="5">
        <f t="shared" si="19"/>
        <v>0.85473684210526324</v>
      </c>
      <c r="S172" s="5">
        <f t="shared" si="20"/>
        <v>0.14526315789473676</v>
      </c>
      <c r="T172" s="5">
        <f t="shared" si="26"/>
        <v>197.4</v>
      </c>
      <c r="V172" s="1">
        <v>880.3</v>
      </c>
      <c r="X172" s="1">
        <f t="shared" si="27"/>
        <v>83421.499999999956</v>
      </c>
      <c r="Y172" s="1">
        <f t="shared" si="21"/>
        <v>10028.799999999997</v>
      </c>
      <c r="AA172" s="1">
        <v>10.4144283998791</v>
      </c>
      <c r="AB172" s="64" t="s">
        <v>25</v>
      </c>
    </row>
    <row r="173" spans="1:28" s="1" customFormat="1" x14ac:dyDescent="0.25">
      <c r="A173" s="54"/>
      <c r="B173" s="2">
        <v>5</v>
      </c>
      <c r="C173" s="11">
        <v>42420</v>
      </c>
      <c r="D173" s="1">
        <v>11.3</v>
      </c>
      <c r="E173" s="1">
        <v>8.6</v>
      </c>
      <c r="F173" s="1">
        <v>12.3</v>
      </c>
      <c r="G173" s="1">
        <f t="shared" si="23"/>
        <v>1709.6000000000001</v>
      </c>
      <c r="H173" s="1">
        <f t="shared" si="18"/>
        <v>211.00000000000009</v>
      </c>
      <c r="J173" s="62">
        <v>0.3</v>
      </c>
      <c r="K173" s="1">
        <f t="shared" si="24"/>
        <v>327.00000000000006</v>
      </c>
      <c r="L173" s="1">
        <v>0.4</v>
      </c>
      <c r="M173" s="1">
        <f t="shared" si="25"/>
        <v>180.90000000000009</v>
      </c>
      <c r="N173" s="1">
        <v>-0.10000000000000003</v>
      </c>
      <c r="O173" s="1">
        <f t="shared" si="22"/>
        <v>175.39999999999998</v>
      </c>
      <c r="P173" s="1">
        <v>165</v>
      </c>
      <c r="Q173" s="12">
        <f t="shared" si="28"/>
        <v>1.0710526315789473</v>
      </c>
      <c r="R173" s="5">
        <f t="shared" si="19"/>
        <v>0.42842105263157892</v>
      </c>
      <c r="S173" s="5">
        <f t="shared" si="20"/>
        <v>-0.12842105263157894</v>
      </c>
      <c r="T173" s="5">
        <f t="shared" si="26"/>
        <v>197.27157894736843</v>
      </c>
      <c r="V173" s="1">
        <v>251.8</v>
      </c>
      <c r="X173" s="1">
        <f t="shared" si="27"/>
        <v>83673.299999999959</v>
      </c>
      <c r="Y173" s="1">
        <f t="shared" si="21"/>
        <v>10280.599999999997</v>
      </c>
      <c r="AA173" s="1">
        <v>10.4703970378929</v>
      </c>
      <c r="AB173" s="12">
        <f>AVERAGE(T179:T192)</f>
        <v>195.18535714285719</v>
      </c>
    </row>
    <row r="174" spans="1:28" s="1" customFormat="1" x14ac:dyDescent="0.25">
      <c r="A174" s="54"/>
      <c r="B174" s="2"/>
      <c r="C174" s="11">
        <v>42421</v>
      </c>
      <c r="D174" s="1">
        <v>10.8</v>
      </c>
      <c r="E174" s="1">
        <v>10.1</v>
      </c>
      <c r="F174" s="1">
        <v>11.7</v>
      </c>
      <c r="G174" s="1">
        <f t="shared" si="23"/>
        <v>1720.4</v>
      </c>
      <c r="H174" s="1">
        <f t="shared" si="18"/>
        <v>221.8000000000001</v>
      </c>
      <c r="J174" s="62">
        <v>0</v>
      </c>
      <c r="K174" s="1">
        <f t="shared" si="24"/>
        <v>327.00000000000006</v>
      </c>
      <c r="L174" s="1">
        <v>0.7</v>
      </c>
      <c r="M174" s="1">
        <f t="shared" si="25"/>
        <v>181.60000000000008</v>
      </c>
      <c r="N174" s="1">
        <v>-0.7</v>
      </c>
      <c r="O174" s="1">
        <f t="shared" si="22"/>
        <v>174.7</v>
      </c>
      <c r="P174" s="1">
        <v>166</v>
      </c>
      <c r="Q174" s="12">
        <f t="shared" si="28"/>
        <v>1.0736842105263158</v>
      </c>
      <c r="R174" s="5">
        <f t="shared" si="19"/>
        <v>0.75157894736842101</v>
      </c>
      <c r="S174" s="5">
        <f t="shared" si="20"/>
        <v>-0.75157894736842101</v>
      </c>
      <c r="T174" s="5">
        <f t="shared" si="26"/>
        <v>196.52</v>
      </c>
      <c r="V174" s="1">
        <v>181.9</v>
      </c>
      <c r="X174" s="1">
        <f t="shared" si="27"/>
        <v>83855.199999999953</v>
      </c>
      <c r="Y174" s="1">
        <f t="shared" si="21"/>
        <v>10462.499999999996</v>
      </c>
      <c r="AA174" s="1">
        <v>10.526609330957299</v>
      </c>
      <c r="AB174" s="64" t="s">
        <v>26</v>
      </c>
    </row>
    <row r="175" spans="1:28" s="1" customFormat="1" x14ac:dyDescent="0.25">
      <c r="A175" s="54"/>
      <c r="B175" s="2"/>
      <c r="C175" s="11">
        <v>42422</v>
      </c>
      <c r="D175" s="1">
        <v>11</v>
      </c>
      <c r="E175" s="1">
        <v>9.9</v>
      </c>
      <c r="F175" s="1">
        <v>12.5</v>
      </c>
      <c r="G175" s="1">
        <f t="shared" si="23"/>
        <v>1731.4</v>
      </c>
      <c r="H175" s="1">
        <f t="shared" si="18"/>
        <v>232.8000000000001</v>
      </c>
      <c r="J175" s="62">
        <v>3.7</v>
      </c>
      <c r="K175" s="1">
        <f t="shared" si="24"/>
        <v>330.70000000000005</v>
      </c>
      <c r="L175" s="1">
        <v>0.8</v>
      </c>
      <c r="M175" s="1">
        <f t="shared" si="25"/>
        <v>182.40000000000009</v>
      </c>
      <c r="N175" s="1">
        <v>2.9000000000000004</v>
      </c>
      <c r="O175" s="1">
        <f t="shared" si="22"/>
        <v>177.6</v>
      </c>
      <c r="P175" s="1">
        <v>167</v>
      </c>
      <c r="Q175" s="12">
        <f t="shared" si="28"/>
        <v>1.0763157894736841</v>
      </c>
      <c r="R175" s="5">
        <f t="shared" si="19"/>
        <v>0.86105263157894729</v>
      </c>
      <c r="S175" s="5">
        <f t="shared" si="20"/>
        <v>2.8389473684210529</v>
      </c>
      <c r="T175" s="5">
        <f t="shared" si="26"/>
        <v>197.4</v>
      </c>
      <c r="V175" s="1">
        <v>184.3</v>
      </c>
      <c r="X175" s="1">
        <f t="shared" si="27"/>
        <v>84039.499999999956</v>
      </c>
      <c r="Y175" s="1">
        <f t="shared" si="21"/>
        <v>10646.799999999996</v>
      </c>
      <c r="AA175" s="1">
        <v>10.5830511331501</v>
      </c>
      <c r="AB175" s="1">
        <v>3</v>
      </c>
    </row>
    <row r="176" spans="1:28" s="1" customFormat="1" x14ac:dyDescent="0.25">
      <c r="A176" s="54"/>
      <c r="B176" s="2"/>
      <c r="C176" s="11">
        <v>42423</v>
      </c>
      <c r="D176" s="1">
        <v>8</v>
      </c>
      <c r="E176" s="1">
        <v>6.3</v>
      </c>
      <c r="F176" s="1">
        <v>9.1</v>
      </c>
      <c r="G176" s="1">
        <f t="shared" si="23"/>
        <v>1739.4</v>
      </c>
      <c r="H176" s="1">
        <f t="shared" si="18"/>
        <v>240.8000000000001</v>
      </c>
      <c r="J176" s="62">
        <v>2.2999999999999998</v>
      </c>
      <c r="K176" s="1">
        <f t="shared" si="24"/>
        <v>333.00000000000006</v>
      </c>
      <c r="L176" s="1">
        <v>0.8</v>
      </c>
      <c r="M176" s="1">
        <f t="shared" si="25"/>
        <v>183.2000000000001</v>
      </c>
      <c r="N176" s="1">
        <v>1.4999999999999998</v>
      </c>
      <c r="O176" s="1">
        <f t="shared" si="22"/>
        <v>179.1</v>
      </c>
      <c r="P176" s="1">
        <v>168</v>
      </c>
      <c r="Q176" s="12">
        <f t="shared" si="28"/>
        <v>1.0789473684210527</v>
      </c>
      <c r="R176" s="5">
        <f t="shared" si="19"/>
        <v>0.86315789473684212</v>
      </c>
      <c r="S176" s="5">
        <f t="shared" si="20"/>
        <v>1.4368421052631577</v>
      </c>
      <c r="T176" s="5">
        <f t="shared" si="26"/>
        <v>197.4</v>
      </c>
      <c r="V176" s="1">
        <v>280.10000000000002</v>
      </c>
      <c r="X176" s="1">
        <f t="shared" si="27"/>
        <v>84319.599999999962</v>
      </c>
      <c r="Y176" s="1">
        <f t="shared" si="21"/>
        <v>10926.899999999996</v>
      </c>
      <c r="AA176" s="1">
        <v>10.639708835189101</v>
      </c>
      <c r="AB176" s="64" t="s">
        <v>27</v>
      </c>
    </row>
    <row r="177" spans="1:28" s="1" customFormat="1" x14ac:dyDescent="0.25">
      <c r="A177" s="54"/>
      <c r="B177" s="2"/>
      <c r="C177" s="11">
        <v>42424</v>
      </c>
      <c r="D177" s="1">
        <v>5.2</v>
      </c>
      <c r="E177" s="1">
        <v>4.9000000000000004</v>
      </c>
      <c r="F177" s="1">
        <v>5.8</v>
      </c>
      <c r="G177" s="1">
        <f t="shared" si="23"/>
        <v>1744.6000000000001</v>
      </c>
      <c r="H177" s="1">
        <f t="shared" si="18"/>
        <v>246.00000000000009</v>
      </c>
      <c r="J177" s="62">
        <v>11.2</v>
      </c>
      <c r="K177" s="1">
        <f t="shared" si="24"/>
        <v>344.20000000000005</v>
      </c>
      <c r="L177" s="1">
        <v>0.6</v>
      </c>
      <c r="M177" s="1">
        <f t="shared" si="25"/>
        <v>183.8000000000001</v>
      </c>
      <c r="N177" s="1">
        <v>10.6</v>
      </c>
      <c r="O177" s="1">
        <f t="shared" si="22"/>
        <v>189.7</v>
      </c>
      <c r="P177" s="1">
        <v>169</v>
      </c>
      <c r="Q177" s="12">
        <f t="shared" si="28"/>
        <v>1.081578947368421</v>
      </c>
      <c r="R177" s="5">
        <f t="shared" si="19"/>
        <v>0.64894736842105261</v>
      </c>
      <c r="S177" s="5">
        <f t="shared" si="20"/>
        <v>10.551052631578946</v>
      </c>
      <c r="T177" s="5">
        <f t="shared" si="26"/>
        <v>197.4</v>
      </c>
      <c r="V177" s="1">
        <v>175.9</v>
      </c>
      <c r="X177" s="1">
        <f t="shared" si="27"/>
        <v>84495.499999999956</v>
      </c>
      <c r="Y177" s="1">
        <f t="shared" si="21"/>
        <v>11102.799999999996</v>
      </c>
      <c r="AA177" s="1">
        <v>10.696569348312501</v>
      </c>
      <c r="AB177" s="1">
        <v>0</v>
      </c>
    </row>
    <row r="178" spans="1:28" s="1" customFormat="1" x14ac:dyDescent="0.25">
      <c r="A178" s="54"/>
      <c r="B178" s="2"/>
      <c r="C178" s="11">
        <v>42425</v>
      </c>
      <c r="D178" s="1">
        <v>4.0999999999999996</v>
      </c>
      <c r="E178" s="1">
        <v>0.7</v>
      </c>
      <c r="F178" s="1">
        <v>8</v>
      </c>
      <c r="G178" s="1">
        <f t="shared" si="23"/>
        <v>1748.7</v>
      </c>
      <c r="H178" s="1">
        <f t="shared" si="18"/>
        <v>250.10000000000008</v>
      </c>
      <c r="J178" s="62">
        <v>0.2</v>
      </c>
      <c r="K178" s="1">
        <f t="shared" si="24"/>
        <v>344.40000000000003</v>
      </c>
      <c r="L178" s="1">
        <v>0.9</v>
      </c>
      <c r="M178" s="1">
        <f t="shared" si="25"/>
        <v>184.7000000000001</v>
      </c>
      <c r="N178" s="1">
        <v>-0.7</v>
      </c>
      <c r="O178" s="1">
        <f t="shared" si="22"/>
        <v>189</v>
      </c>
      <c r="P178" s="1">
        <v>170</v>
      </c>
      <c r="Q178" s="12">
        <f t="shared" si="28"/>
        <v>1.0842105263157895</v>
      </c>
      <c r="R178" s="5">
        <f t="shared" si="19"/>
        <v>0.97578947368421054</v>
      </c>
      <c r="S178" s="5">
        <f t="shared" si="20"/>
        <v>-0.77578947368421058</v>
      </c>
      <c r="T178" s="5">
        <f t="shared" si="26"/>
        <v>196.62421052631581</v>
      </c>
      <c r="V178" s="1">
        <v>586.70000000000005</v>
      </c>
      <c r="X178" s="1">
        <f t="shared" si="27"/>
        <v>85082.199999999953</v>
      </c>
      <c r="Y178" s="1">
        <f t="shared" si="21"/>
        <v>11689.499999999996</v>
      </c>
      <c r="AA178" s="1">
        <v>10.7536200876135</v>
      </c>
      <c r="AB178" s="64" t="s">
        <v>28</v>
      </c>
    </row>
    <row r="179" spans="1:28" s="1" customFormat="1" x14ac:dyDescent="0.25">
      <c r="A179" s="54"/>
      <c r="B179" s="2"/>
      <c r="C179" s="11">
        <v>42426</v>
      </c>
      <c r="D179" s="1">
        <v>4.7</v>
      </c>
      <c r="E179" s="1">
        <v>1.4</v>
      </c>
      <c r="F179" s="1">
        <v>8.5</v>
      </c>
      <c r="G179" s="1">
        <f t="shared" si="23"/>
        <v>1753.4</v>
      </c>
      <c r="H179" s="1">
        <f t="shared" si="18"/>
        <v>254.80000000000007</v>
      </c>
      <c r="J179" s="62">
        <v>0</v>
      </c>
      <c r="K179" s="1">
        <f t="shared" si="24"/>
        <v>344.40000000000003</v>
      </c>
      <c r="L179" s="1">
        <v>1.4</v>
      </c>
      <c r="M179" s="1">
        <f t="shared" si="25"/>
        <v>186.10000000000011</v>
      </c>
      <c r="N179" s="1">
        <v>-1.4</v>
      </c>
      <c r="O179" s="1">
        <f t="shared" si="22"/>
        <v>187.6</v>
      </c>
      <c r="P179" s="1">
        <v>171</v>
      </c>
      <c r="Q179" s="12">
        <f t="shared" si="28"/>
        <v>1.0868421052631578</v>
      </c>
      <c r="R179" s="5">
        <f t="shared" si="19"/>
        <v>1.5215789473684209</v>
      </c>
      <c r="S179" s="5">
        <f t="shared" si="20"/>
        <v>-1.5215789473684209</v>
      </c>
      <c r="T179" s="63">
        <f t="shared" si="26"/>
        <v>195.10263157894738</v>
      </c>
      <c r="V179" s="1">
        <v>930</v>
      </c>
      <c r="X179" s="1">
        <f t="shared" si="27"/>
        <v>86012.199999999953</v>
      </c>
      <c r="Y179" s="1">
        <f t="shared" si="21"/>
        <v>12619.499999999996</v>
      </c>
      <c r="AA179" s="1">
        <v>10.810848954906399</v>
      </c>
      <c r="AB179" s="1">
        <v>6</v>
      </c>
    </row>
    <row r="180" spans="1:28" s="1" customFormat="1" x14ac:dyDescent="0.25">
      <c r="A180" s="54"/>
      <c r="B180" s="2">
        <v>6</v>
      </c>
      <c r="C180" s="11">
        <v>42427</v>
      </c>
      <c r="D180" s="1">
        <v>4.5999999999999996</v>
      </c>
      <c r="E180" s="1">
        <v>2.5</v>
      </c>
      <c r="F180" s="1">
        <v>7.1</v>
      </c>
      <c r="G180" s="1">
        <f t="shared" si="23"/>
        <v>1758</v>
      </c>
      <c r="H180" s="1">
        <f t="shared" si="18"/>
        <v>259.40000000000009</v>
      </c>
      <c r="J180" s="62">
        <v>0</v>
      </c>
      <c r="K180" s="1">
        <f t="shared" si="24"/>
        <v>344.40000000000003</v>
      </c>
      <c r="L180" s="1">
        <v>2</v>
      </c>
      <c r="M180" s="1">
        <f t="shared" si="25"/>
        <v>188.10000000000011</v>
      </c>
      <c r="N180" s="1">
        <v>-2</v>
      </c>
      <c r="O180" s="1">
        <f t="shared" si="22"/>
        <v>185.6</v>
      </c>
      <c r="P180" s="1">
        <v>172</v>
      </c>
      <c r="Q180" s="12">
        <f t="shared" si="28"/>
        <v>1.0894736842105264</v>
      </c>
      <c r="R180" s="5">
        <f t="shared" si="19"/>
        <v>2.1789473684210527</v>
      </c>
      <c r="S180" s="5">
        <f t="shared" si="20"/>
        <v>-2.1789473684210527</v>
      </c>
      <c r="T180" s="63">
        <f t="shared" si="26"/>
        <v>192.92368421052632</v>
      </c>
      <c r="V180" s="1">
        <v>1042.5999999999999</v>
      </c>
      <c r="X180" s="1">
        <f t="shared" si="27"/>
        <v>87054.799999999959</v>
      </c>
      <c r="Y180" s="1">
        <f t="shared" si="21"/>
        <v>13662.099999999997</v>
      </c>
      <c r="AA180" s="1">
        <v>10.868244321193201</v>
      </c>
      <c r="AB180" s="64" t="s">
        <v>29</v>
      </c>
    </row>
    <row r="181" spans="1:28" s="1" customFormat="1" x14ac:dyDescent="0.25">
      <c r="A181" s="54"/>
      <c r="B181" s="2"/>
      <c r="C181" s="11">
        <v>42428</v>
      </c>
      <c r="D181" s="1">
        <v>4.5999999999999996</v>
      </c>
      <c r="E181" s="1">
        <v>2.6</v>
      </c>
      <c r="F181" s="1">
        <v>7.5</v>
      </c>
      <c r="G181" s="1">
        <f t="shared" si="23"/>
        <v>1762.6</v>
      </c>
      <c r="H181" s="1">
        <f t="shared" si="18"/>
        <v>264.00000000000011</v>
      </c>
      <c r="J181" s="62">
        <v>0</v>
      </c>
      <c r="K181" s="1">
        <f t="shared" si="24"/>
        <v>344.40000000000003</v>
      </c>
      <c r="L181" s="1">
        <v>2</v>
      </c>
      <c r="M181" s="1">
        <f t="shared" si="25"/>
        <v>190.10000000000011</v>
      </c>
      <c r="N181" s="1">
        <v>-2</v>
      </c>
      <c r="O181" s="1">
        <f t="shared" si="22"/>
        <v>183.6</v>
      </c>
      <c r="P181" s="1">
        <v>173</v>
      </c>
      <c r="Q181" s="12">
        <f t="shared" si="28"/>
        <v>1.0921052631578947</v>
      </c>
      <c r="R181" s="5">
        <f t="shared" si="19"/>
        <v>2.1842105263157894</v>
      </c>
      <c r="S181" s="5">
        <f t="shared" si="20"/>
        <v>-2.1842105263157894</v>
      </c>
      <c r="T181" s="63">
        <f t="shared" si="26"/>
        <v>190.73947368421054</v>
      </c>
      <c r="V181" s="1">
        <v>1171.4000000000001</v>
      </c>
      <c r="X181" s="1">
        <f t="shared" si="27"/>
        <v>88226.199999999953</v>
      </c>
      <c r="Y181" s="1">
        <f t="shared" si="21"/>
        <v>14833.499999999996</v>
      </c>
      <c r="AA181" s="1">
        <v>10.9257950087975</v>
      </c>
      <c r="AB181" s="5">
        <f>SUM(J183:J192)</f>
        <v>51</v>
      </c>
    </row>
    <row r="182" spans="1:28" s="59" customFormat="1" x14ac:dyDescent="0.25">
      <c r="A182" s="54"/>
      <c r="B182" s="57" t="s">
        <v>24</v>
      </c>
      <c r="C182" s="58">
        <v>42429</v>
      </c>
      <c r="D182" s="59">
        <v>4.5</v>
      </c>
      <c r="E182" s="59">
        <v>1.1000000000000001</v>
      </c>
      <c r="F182" s="59">
        <v>8.1999999999999993</v>
      </c>
      <c r="G182" s="59">
        <f t="shared" si="23"/>
        <v>1767.1</v>
      </c>
      <c r="H182" s="59">
        <f t="shared" si="18"/>
        <v>268.50000000000011</v>
      </c>
      <c r="J182" s="59">
        <v>0</v>
      </c>
      <c r="K182" s="59">
        <f t="shared" si="24"/>
        <v>344.40000000000003</v>
      </c>
      <c r="L182" s="59">
        <v>1.8</v>
      </c>
      <c r="M182" s="59">
        <f t="shared" si="25"/>
        <v>191.90000000000012</v>
      </c>
      <c r="N182" s="59">
        <v>-1.8</v>
      </c>
      <c r="O182" s="59">
        <f t="shared" si="22"/>
        <v>181.79999999999998</v>
      </c>
      <c r="P182" s="59">
        <v>174</v>
      </c>
      <c r="Q182" s="60">
        <f t="shared" si="28"/>
        <v>1.094736842105263</v>
      </c>
      <c r="R182" s="61">
        <f t="shared" si="19"/>
        <v>1.9705263157894735</v>
      </c>
      <c r="S182" s="61">
        <f t="shared" si="20"/>
        <v>-1.9705263157894735</v>
      </c>
      <c r="T182" s="61">
        <f t="shared" si="26"/>
        <v>188.76894736842107</v>
      </c>
      <c r="V182" s="59">
        <v>1398.9</v>
      </c>
      <c r="X182" s="59">
        <f t="shared" si="27"/>
        <v>89625.099999999948</v>
      </c>
      <c r="Y182" s="59">
        <f t="shared" si="21"/>
        <v>16232.399999999996</v>
      </c>
      <c r="AA182" s="59">
        <v>10.9834902732216</v>
      </c>
    </row>
    <row r="183" spans="1:28" s="1" customFormat="1" x14ac:dyDescent="0.25">
      <c r="A183" s="54"/>
      <c r="B183" s="2"/>
      <c r="C183" s="11">
        <v>42430</v>
      </c>
      <c r="D183" s="1">
        <v>8.6999999999999993</v>
      </c>
      <c r="E183" s="1">
        <v>3.7</v>
      </c>
      <c r="F183" s="1">
        <v>11.1</v>
      </c>
      <c r="G183" s="1">
        <f t="shared" si="23"/>
        <v>1775.8</v>
      </c>
      <c r="H183" s="1">
        <f t="shared" si="18"/>
        <v>277.2000000000001</v>
      </c>
      <c r="J183" s="62">
        <v>3.3</v>
      </c>
      <c r="K183" s="1">
        <f t="shared" si="24"/>
        <v>347.70000000000005</v>
      </c>
      <c r="L183" s="1">
        <v>0.4</v>
      </c>
      <c r="M183" s="1">
        <f t="shared" si="25"/>
        <v>192.30000000000013</v>
      </c>
      <c r="N183" s="1">
        <v>2.9</v>
      </c>
      <c r="O183" s="1">
        <f t="shared" si="22"/>
        <v>184.7</v>
      </c>
      <c r="P183" s="1">
        <v>175</v>
      </c>
      <c r="Q183" s="12">
        <f t="shared" si="28"/>
        <v>1.0973684210526315</v>
      </c>
      <c r="R183" s="5">
        <f t="shared" si="19"/>
        <v>0.43894736842105264</v>
      </c>
      <c r="S183" s="5">
        <f t="shared" si="20"/>
        <v>2.8610526315789473</v>
      </c>
      <c r="T183" s="63">
        <f t="shared" si="26"/>
        <v>191.63000000000002</v>
      </c>
      <c r="V183" s="1">
        <v>363.6</v>
      </c>
      <c r="X183" s="1">
        <f t="shared" si="27"/>
        <v>89988.699999999953</v>
      </c>
      <c r="Y183" s="1">
        <f t="shared" si="21"/>
        <v>16595.999999999996</v>
      </c>
      <c r="AA183" s="1">
        <v>11.0413197847836</v>
      </c>
    </row>
    <row r="184" spans="1:28" s="1" customFormat="1" x14ac:dyDescent="0.25">
      <c r="A184" s="54"/>
      <c r="B184" s="2"/>
      <c r="C184" s="11">
        <v>42431</v>
      </c>
      <c r="D184" s="1">
        <v>7.6</v>
      </c>
      <c r="E184" s="1">
        <v>7</v>
      </c>
      <c r="F184" s="1">
        <v>7.8</v>
      </c>
      <c r="G184" s="1">
        <f t="shared" si="23"/>
        <v>1783.3999999999999</v>
      </c>
      <c r="H184" s="1">
        <f t="shared" si="18"/>
        <v>284.80000000000013</v>
      </c>
      <c r="J184" s="62">
        <v>6.1</v>
      </c>
      <c r="K184" s="1">
        <f t="shared" si="24"/>
        <v>353.80000000000007</v>
      </c>
      <c r="L184" s="1">
        <v>1.1000000000000001</v>
      </c>
      <c r="M184" s="1">
        <f t="shared" si="25"/>
        <v>193.40000000000012</v>
      </c>
      <c r="N184" s="1">
        <v>5</v>
      </c>
      <c r="O184" s="1">
        <f t="shared" si="22"/>
        <v>189.7</v>
      </c>
      <c r="P184" s="1">
        <v>176</v>
      </c>
      <c r="Q184" s="12">
        <f t="shared" si="28"/>
        <v>1.0999999999999999</v>
      </c>
      <c r="R184" s="5">
        <f t="shared" si="19"/>
        <v>1.21</v>
      </c>
      <c r="S184" s="5">
        <f t="shared" si="20"/>
        <v>4.8899999999999997</v>
      </c>
      <c r="T184" s="63">
        <f t="shared" si="26"/>
        <v>196.52</v>
      </c>
      <c r="V184" s="1">
        <v>659.4</v>
      </c>
      <c r="X184" s="1">
        <f t="shared" si="27"/>
        <v>90648.099999999948</v>
      </c>
      <c r="Y184" s="1">
        <f t="shared" si="21"/>
        <v>17255.399999999998</v>
      </c>
      <c r="AA184" s="1">
        <v>11.0992736100799</v>
      </c>
    </row>
    <row r="185" spans="1:28" s="1" customFormat="1" x14ac:dyDescent="0.25">
      <c r="A185" s="54"/>
      <c r="B185" s="2"/>
      <c r="C185" s="11">
        <v>42432</v>
      </c>
      <c r="D185" s="1">
        <v>7.6</v>
      </c>
      <c r="E185" s="1">
        <v>5.2</v>
      </c>
      <c r="F185" s="1">
        <v>9.1999999999999993</v>
      </c>
      <c r="G185" s="1">
        <f t="shared" si="23"/>
        <v>1790.9999999999998</v>
      </c>
      <c r="H185" s="1">
        <f t="shared" si="18"/>
        <v>292.40000000000015</v>
      </c>
      <c r="J185" s="62">
        <v>5.9</v>
      </c>
      <c r="K185" s="1">
        <f t="shared" si="24"/>
        <v>359.70000000000005</v>
      </c>
      <c r="L185" s="1">
        <v>0.7</v>
      </c>
      <c r="M185" s="1">
        <f t="shared" si="25"/>
        <v>194.10000000000011</v>
      </c>
      <c r="N185" s="1">
        <v>5.2</v>
      </c>
      <c r="O185" s="1">
        <f t="shared" si="22"/>
        <v>194.89999999999998</v>
      </c>
      <c r="P185" s="1">
        <v>177</v>
      </c>
      <c r="Q185" s="12">
        <f t="shared" si="28"/>
        <v>1.1026315789473684</v>
      </c>
      <c r="R185" s="5">
        <f t="shared" si="19"/>
        <v>0.77184210526315788</v>
      </c>
      <c r="S185" s="5">
        <f t="shared" si="20"/>
        <v>5.1281578947368427</v>
      </c>
      <c r="T185" s="63">
        <f t="shared" si="26"/>
        <v>197.4</v>
      </c>
      <c r="V185" s="1">
        <v>334.5</v>
      </c>
      <c r="X185" s="1">
        <f t="shared" si="27"/>
        <v>90982.599999999948</v>
      </c>
      <c r="Y185" s="1">
        <f t="shared" si="21"/>
        <v>17589.899999999998</v>
      </c>
      <c r="AA185" s="1">
        <v>11.157342193318399</v>
      </c>
    </row>
    <row r="186" spans="1:28" s="1" customFormat="1" x14ac:dyDescent="0.25">
      <c r="A186" s="54"/>
      <c r="B186" s="2"/>
      <c r="C186" s="11">
        <v>42433</v>
      </c>
      <c r="D186" s="1">
        <v>5.5</v>
      </c>
      <c r="E186" s="1">
        <v>3.2</v>
      </c>
      <c r="F186" s="1">
        <v>8</v>
      </c>
      <c r="G186" s="1">
        <f t="shared" si="23"/>
        <v>1796.4999999999998</v>
      </c>
      <c r="H186" s="1">
        <f t="shared" si="18"/>
        <v>297.90000000000015</v>
      </c>
      <c r="J186" s="62">
        <v>6.1</v>
      </c>
      <c r="K186" s="1">
        <f t="shared" si="24"/>
        <v>365.80000000000007</v>
      </c>
      <c r="L186" s="1">
        <v>0.5</v>
      </c>
      <c r="M186" s="1">
        <f t="shared" si="25"/>
        <v>194.60000000000011</v>
      </c>
      <c r="N186" s="1">
        <v>5.6</v>
      </c>
      <c r="O186" s="1">
        <v>197.4</v>
      </c>
      <c r="P186" s="1">
        <v>178</v>
      </c>
      <c r="Q186" s="12">
        <f t="shared" si="28"/>
        <v>1.1052631578947367</v>
      </c>
      <c r="R186" s="5">
        <f t="shared" si="19"/>
        <v>0.55263157894736836</v>
      </c>
      <c r="S186" s="5">
        <f t="shared" si="20"/>
        <v>5.5473684210526315</v>
      </c>
      <c r="T186" s="63">
        <f t="shared" si="26"/>
        <v>197.4</v>
      </c>
      <c r="V186" s="1">
        <v>254.3</v>
      </c>
      <c r="X186" s="1">
        <f t="shared" si="27"/>
        <v>91236.899999999951</v>
      </c>
      <c r="Y186" s="1">
        <f t="shared" si="21"/>
        <v>17844.199999999997</v>
      </c>
      <c r="AA186" s="1">
        <v>11.215516337560899</v>
      </c>
    </row>
    <row r="187" spans="1:28" s="1" customFormat="1" x14ac:dyDescent="0.25">
      <c r="A187" s="54"/>
      <c r="B187" s="2">
        <v>7</v>
      </c>
      <c r="C187" s="11">
        <v>42434</v>
      </c>
      <c r="D187" s="1">
        <v>4</v>
      </c>
      <c r="E187" s="1">
        <v>2</v>
      </c>
      <c r="F187" s="1">
        <v>7.7</v>
      </c>
      <c r="G187" s="1">
        <f t="shared" si="23"/>
        <v>1800.4999999999998</v>
      </c>
      <c r="H187" s="1">
        <f t="shared" si="18"/>
        <v>301.90000000000015</v>
      </c>
      <c r="J187" s="62">
        <v>1.8</v>
      </c>
      <c r="K187" s="1">
        <f t="shared" si="24"/>
        <v>367.60000000000008</v>
      </c>
      <c r="L187" s="1">
        <v>1</v>
      </c>
      <c r="M187" s="1">
        <f t="shared" si="25"/>
        <v>195.60000000000011</v>
      </c>
      <c r="N187" s="1">
        <v>0.8</v>
      </c>
      <c r="O187" s="1">
        <v>197.4</v>
      </c>
      <c r="P187" s="1">
        <v>179</v>
      </c>
      <c r="Q187" s="12">
        <f t="shared" si="28"/>
        <v>1.1078947368421053</v>
      </c>
      <c r="R187" s="5">
        <f t="shared" si="19"/>
        <v>1.1078947368421053</v>
      </c>
      <c r="S187" s="5">
        <f t="shared" si="20"/>
        <v>0.69210526315789478</v>
      </c>
      <c r="T187" s="63">
        <f t="shared" si="26"/>
        <v>197.4</v>
      </c>
      <c r="V187" s="1">
        <v>530.6</v>
      </c>
      <c r="X187" s="1">
        <f t="shared" si="27"/>
        <v>91767.499999999956</v>
      </c>
      <c r="Y187" s="1">
        <f t="shared" si="21"/>
        <v>18374.799999999996</v>
      </c>
      <c r="AA187" s="1">
        <v>11.2737871859081</v>
      </c>
    </row>
    <row r="188" spans="1:28" s="1" customFormat="1" x14ac:dyDescent="0.25">
      <c r="A188" s="54"/>
      <c r="B188" s="2"/>
      <c r="C188" s="11">
        <v>42435</v>
      </c>
      <c r="D188" s="1">
        <v>4.0999999999999996</v>
      </c>
      <c r="E188" s="1">
        <v>1.7</v>
      </c>
      <c r="F188" s="1">
        <v>7</v>
      </c>
      <c r="G188" s="1">
        <f t="shared" si="23"/>
        <v>1804.5999999999997</v>
      </c>
      <c r="H188" s="1">
        <f t="shared" si="18"/>
        <v>306.00000000000017</v>
      </c>
      <c r="J188" s="62">
        <v>0.7</v>
      </c>
      <c r="K188" s="1">
        <f t="shared" si="24"/>
        <v>368.30000000000007</v>
      </c>
      <c r="L188" s="1">
        <v>1.2</v>
      </c>
      <c r="M188" s="1">
        <f t="shared" si="25"/>
        <v>196.8000000000001</v>
      </c>
      <c r="N188" s="1">
        <v>-0.5</v>
      </c>
      <c r="O188" s="1">
        <f>O187+N188</f>
        <v>196.9</v>
      </c>
      <c r="P188" s="1">
        <v>180</v>
      </c>
      <c r="Q188" s="12">
        <f t="shared" si="28"/>
        <v>1.1105263157894736</v>
      </c>
      <c r="R188" s="5">
        <f t="shared" si="19"/>
        <v>1.3326315789473682</v>
      </c>
      <c r="S188" s="5">
        <f t="shared" si="20"/>
        <v>-0.63263157894736821</v>
      </c>
      <c r="T188" s="63">
        <f t="shared" si="26"/>
        <v>196.76736842105265</v>
      </c>
      <c r="V188" s="1">
        <v>1089.9000000000001</v>
      </c>
      <c r="X188" s="1">
        <f t="shared" si="27"/>
        <v>92857.399999999951</v>
      </c>
      <c r="Y188" s="1">
        <f t="shared" si="21"/>
        <v>19464.699999999997</v>
      </c>
      <c r="AA188" s="1">
        <v>11.332146202658601</v>
      </c>
    </row>
    <row r="189" spans="1:28" s="1" customFormat="1" x14ac:dyDescent="0.25">
      <c r="A189" s="54"/>
      <c r="B189" s="2"/>
      <c r="C189" s="11">
        <v>42436</v>
      </c>
      <c r="D189" s="1">
        <v>3.5</v>
      </c>
      <c r="E189" s="1">
        <v>0.1</v>
      </c>
      <c r="F189" s="1">
        <v>7.3</v>
      </c>
      <c r="G189" s="1">
        <f t="shared" si="23"/>
        <v>1808.0999999999997</v>
      </c>
      <c r="H189" s="1">
        <f t="shared" si="18"/>
        <v>309.50000000000017</v>
      </c>
      <c r="J189" s="62">
        <v>0.2</v>
      </c>
      <c r="K189" s="1">
        <f t="shared" si="24"/>
        <v>368.50000000000006</v>
      </c>
      <c r="L189" s="1">
        <v>1.1000000000000001</v>
      </c>
      <c r="M189" s="1">
        <f t="shared" si="25"/>
        <v>197.90000000000009</v>
      </c>
      <c r="N189" s="1">
        <v>-0.90000000000000013</v>
      </c>
      <c r="O189" s="1">
        <f>O188+N189</f>
        <v>196</v>
      </c>
      <c r="P189" s="1">
        <v>181</v>
      </c>
      <c r="Q189" s="12">
        <f t="shared" si="28"/>
        <v>1.1131578947368421</v>
      </c>
      <c r="R189" s="5">
        <f t="shared" si="19"/>
        <v>1.2244736842105264</v>
      </c>
      <c r="S189" s="5">
        <f t="shared" si="20"/>
        <v>-1.0244736842105264</v>
      </c>
      <c r="T189" s="63">
        <f t="shared" si="26"/>
        <v>195.74289473684212</v>
      </c>
      <c r="V189" s="1">
        <v>732.3</v>
      </c>
      <c r="X189" s="1">
        <f t="shared" si="27"/>
        <v>93589.699999999953</v>
      </c>
      <c r="Y189" s="1">
        <f t="shared" si="21"/>
        <v>20196.999999999996</v>
      </c>
      <c r="AA189" s="1">
        <v>11.390585154468599</v>
      </c>
    </row>
    <row r="190" spans="1:28" s="1" customFormat="1" x14ac:dyDescent="0.25">
      <c r="A190" s="54"/>
      <c r="B190" s="2"/>
      <c r="C190" s="11">
        <v>42437</v>
      </c>
      <c r="D190" s="1">
        <v>5.5</v>
      </c>
      <c r="E190" s="1">
        <v>-1</v>
      </c>
      <c r="F190" s="1">
        <v>8.9</v>
      </c>
      <c r="G190" s="1">
        <f t="shared" si="23"/>
        <v>1813.5999999999997</v>
      </c>
      <c r="H190" s="1">
        <f t="shared" si="18"/>
        <v>315.00000000000017</v>
      </c>
      <c r="J190" s="62">
        <v>10.8</v>
      </c>
      <c r="K190" s="1">
        <f t="shared" si="24"/>
        <v>379.30000000000007</v>
      </c>
      <c r="L190" s="1">
        <v>0.2</v>
      </c>
      <c r="M190" s="1">
        <f t="shared" si="25"/>
        <v>198.10000000000008</v>
      </c>
      <c r="N190" s="1">
        <v>10.600000000000001</v>
      </c>
      <c r="O190" s="1">
        <v>197.4</v>
      </c>
      <c r="P190" s="1">
        <v>182</v>
      </c>
      <c r="Q190" s="12">
        <f t="shared" si="28"/>
        <v>1.1157894736842104</v>
      </c>
      <c r="R190" s="5">
        <f t="shared" si="19"/>
        <v>0.22315789473684211</v>
      </c>
      <c r="S190" s="5">
        <f t="shared" si="20"/>
        <v>10.576842105263159</v>
      </c>
      <c r="T190" s="63">
        <f t="shared" si="26"/>
        <v>197.4</v>
      </c>
      <c r="V190" s="1">
        <v>264.3</v>
      </c>
      <c r="X190" s="1">
        <f t="shared" si="27"/>
        <v>93853.999999999956</v>
      </c>
      <c r="Y190" s="1">
        <f t="shared" si="21"/>
        <v>20461.299999999996</v>
      </c>
      <c r="AA190" s="1">
        <v>11.4490960915339</v>
      </c>
    </row>
    <row r="191" spans="1:28" s="1" customFormat="1" x14ac:dyDescent="0.25">
      <c r="A191" s="54"/>
      <c r="B191" s="2"/>
      <c r="C191" s="11">
        <v>42438</v>
      </c>
      <c r="D191" s="1">
        <v>7</v>
      </c>
      <c r="E191" s="1">
        <v>5.4</v>
      </c>
      <c r="F191" s="1">
        <v>7.9</v>
      </c>
      <c r="G191" s="1">
        <f t="shared" si="23"/>
        <v>1820.5999999999997</v>
      </c>
      <c r="H191" s="1">
        <f t="shared" si="18"/>
        <v>322.00000000000017</v>
      </c>
      <c r="J191" s="62">
        <v>15.1</v>
      </c>
      <c r="K191" s="1">
        <f t="shared" si="24"/>
        <v>394.40000000000009</v>
      </c>
      <c r="L191" s="1">
        <v>0.9</v>
      </c>
      <c r="M191" s="1">
        <f t="shared" si="25"/>
        <v>199.00000000000009</v>
      </c>
      <c r="N191" s="1">
        <v>14.2</v>
      </c>
      <c r="O191" s="1">
        <v>197.4</v>
      </c>
      <c r="P191" s="1">
        <v>183</v>
      </c>
      <c r="Q191" s="12">
        <f t="shared" si="28"/>
        <v>1.118421052631579</v>
      </c>
      <c r="R191" s="5">
        <f t="shared" si="19"/>
        <v>1.006578947368421</v>
      </c>
      <c r="S191" s="5">
        <f t="shared" si="20"/>
        <v>14.093421052631578</v>
      </c>
      <c r="T191" s="63">
        <f t="shared" si="26"/>
        <v>197.4</v>
      </c>
      <c r="V191" s="1">
        <v>249.3</v>
      </c>
      <c r="X191" s="1">
        <f t="shared" si="27"/>
        <v>94103.299999999959</v>
      </c>
      <c r="Y191" s="1">
        <f t="shared" si="21"/>
        <v>20710.599999999995</v>
      </c>
      <c r="AA191" s="1">
        <v>11.507671328814601</v>
      </c>
    </row>
    <row r="192" spans="1:28" s="1" customFormat="1" x14ac:dyDescent="0.25">
      <c r="A192" s="54"/>
      <c r="B192" s="2"/>
      <c r="C192" s="11">
        <v>42439</v>
      </c>
      <c r="D192" s="1">
        <v>7.1</v>
      </c>
      <c r="E192" s="1">
        <v>5.6</v>
      </c>
      <c r="F192" s="1">
        <v>8.1</v>
      </c>
      <c r="G192" s="1">
        <f t="shared" si="23"/>
        <v>1827.6999999999996</v>
      </c>
      <c r="H192" s="1">
        <f t="shared" si="18"/>
        <v>329.10000000000019</v>
      </c>
      <c r="J192" s="62">
        <v>1</v>
      </c>
      <c r="K192" s="1">
        <f t="shared" si="24"/>
        <v>395.40000000000009</v>
      </c>
      <c r="L192" s="1">
        <v>0.8</v>
      </c>
      <c r="M192" s="1">
        <f t="shared" si="25"/>
        <v>199.8000000000001</v>
      </c>
      <c r="N192" s="1">
        <v>0.19999999999999996</v>
      </c>
      <c r="O192" s="1">
        <v>197.4</v>
      </c>
      <c r="P192" s="1">
        <v>184</v>
      </c>
      <c r="Q192" s="12">
        <f t="shared" si="28"/>
        <v>1.1210526315789473</v>
      </c>
      <c r="R192" s="5">
        <f t="shared" si="19"/>
        <v>0.89684210526315788</v>
      </c>
      <c r="S192" s="5">
        <f t="shared" si="20"/>
        <v>0.10315789473684212</v>
      </c>
      <c r="T192" s="63">
        <f t="shared" si="26"/>
        <v>197.4</v>
      </c>
      <c r="V192" s="1">
        <v>247.2</v>
      </c>
      <c r="X192" s="1">
        <f t="shared" si="27"/>
        <v>94350.499999999956</v>
      </c>
      <c r="Y192" s="1">
        <f t="shared" si="21"/>
        <v>20957.799999999996</v>
      </c>
      <c r="AA192" s="1">
        <v>11.5663034273196</v>
      </c>
    </row>
    <row r="193" spans="1:27" s="1" customFormat="1" x14ac:dyDescent="0.25">
      <c r="A193" s="54"/>
      <c r="B193" s="2"/>
      <c r="C193" s="11">
        <v>42440</v>
      </c>
      <c r="D193" s="1">
        <v>6.6</v>
      </c>
      <c r="E193" s="1">
        <v>5.2</v>
      </c>
      <c r="F193" s="1">
        <v>9.4</v>
      </c>
      <c r="G193" s="1">
        <f t="shared" si="23"/>
        <v>1834.2999999999995</v>
      </c>
      <c r="H193" s="1">
        <f t="shared" si="18"/>
        <v>335.70000000000022</v>
      </c>
      <c r="J193" s="1">
        <v>0.1</v>
      </c>
      <c r="K193" s="1">
        <f t="shared" si="24"/>
        <v>395.50000000000011</v>
      </c>
      <c r="L193" s="1">
        <v>0.9</v>
      </c>
      <c r="M193" s="1">
        <f t="shared" si="25"/>
        <v>200.7000000000001</v>
      </c>
      <c r="N193" s="1">
        <v>-0.8</v>
      </c>
      <c r="O193" s="1">
        <f t="shared" ref="O193:O208" si="29">O192+N193</f>
        <v>196.6</v>
      </c>
      <c r="P193" s="1">
        <v>185</v>
      </c>
      <c r="Q193" s="12">
        <f t="shared" si="28"/>
        <v>1.1236842105263156</v>
      </c>
      <c r="R193" s="5">
        <f t="shared" si="19"/>
        <v>1.0113157894736842</v>
      </c>
      <c r="S193" s="5">
        <f t="shared" si="20"/>
        <v>-0.91131578947368419</v>
      </c>
      <c r="T193" s="5">
        <f t="shared" si="26"/>
        <v>196.48868421052632</v>
      </c>
      <c r="V193" s="1">
        <v>554.79999999999995</v>
      </c>
      <c r="X193" s="1">
        <f t="shared" si="27"/>
        <v>94905.299999999959</v>
      </c>
      <c r="Y193" s="1">
        <f t="shared" si="21"/>
        <v>21512.599999999995</v>
      </c>
      <c r="AA193" s="1">
        <v>11.6249851754635</v>
      </c>
    </row>
    <row r="194" spans="1:27" s="1" customFormat="1" x14ac:dyDescent="0.25">
      <c r="A194" s="54"/>
      <c r="B194" s="2">
        <v>8</v>
      </c>
      <c r="C194" s="11">
        <v>42441</v>
      </c>
      <c r="D194" s="1">
        <v>4.8</v>
      </c>
      <c r="E194" s="1">
        <v>-1.3</v>
      </c>
      <c r="F194" s="1">
        <v>9.6</v>
      </c>
      <c r="G194" s="1">
        <f t="shared" si="23"/>
        <v>1839.0999999999995</v>
      </c>
      <c r="H194" s="1">
        <f t="shared" si="18"/>
        <v>340.50000000000023</v>
      </c>
      <c r="J194" s="1">
        <v>0</v>
      </c>
      <c r="K194" s="1">
        <f t="shared" si="24"/>
        <v>395.50000000000011</v>
      </c>
      <c r="L194" s="1">
        <v>1.5</v>
      </c>
      <c r="M194" s="1">
        <f t="shared" si="25"/>
        <v>202.2000000000001</v>
      </c>
      <c r="N194" s="1">
        <v>-1.5</v>
      </c>
      <c r="O194" s="1">
        <f t="shared" si="29"/>
        <v>195.1</v>
      </c>
      <c r="P194" s="1">
        <v>186</v>
      </c>
      <c r="Q194" s="12">
        <f t="shared" si="28"/>
        <v>1.1263157894736842</v>
      </c>
      <c r="R194" s="5">
        <f t="shared" si="19"/>
        <v>1.6894736842105262</v>
      </c>
      <c r="S194" s="5">
        <f t="shared" si="20"/>
        <v>-1.6894736842105262</v>
      </c>
      <c r="T194" s="5">
        <f t="shared" si="26"/>
        <v>194.79921052631579</v>
      </c>
      <c r="V194" s="1">
        <v>1405.6</v>
      </c>
      <c r="X194" s="1">
        <f t="shared" si="27"/>
        <v>96310.899999999965</v>
      </c>
      <c r="Y194" s="1">
        <f t="shared" si="21"/>
        <v>22918.199999999993</v>
      </c>
      <c r="AA194" s="1">
        <v>11.6837095705081</v>
      </c>
    </row>
    <row r="195" spans="1:27" s="1" customFormat="1" x14ac:dyDescent="0.25">
      <c r="A195" s="54"/>
      <c r="B195" s="2"/>
      <c r="C195" s="11">
        <v>42442</v>
      </c>
      <c r="D195" s="1">
        <v>5.3</v>
      </c>
      <c r="E195" s="1">
        <v>0</v>
      </c>
      <c r="F195" s="1">
        <v>10.6</v>
      </c>
      <c r="G195" s="1">
        <f t="shared" si="23"/>
        <v>1844.3999999999994</v>
      </c>
      <c r="H195" s="1">
        <f t="shared" si="18"/>
        <v>345.80000000000024</v>
      </c>
      <c r="J195" s="1">
        <v>0</v>
      </c>
      <c r="K195" s="1">
        <f t="shared" si="24"/>
        <v>395.50000000000011</v>
      </c>
      <c r="L195" s="1">
        <v>1.8</v>
      </c>
      <c r="M195" s="1">
        <f t="shared" si="25"/>
        <v>204.00000000000011</v>
      </c>
      <c r="N195" s="1">
        <v>-1.8</v>
      </c>
      <c r="O195" s="1">
        <f t="shared" si="29"/>
        <v>193.29999999999998</v>
      </c>
      <c r="P195" s="1">
        <v>187</v>
      </c>
      <c r="Q195" s="12">
        <f t="shared" si="28"/>
        <v>1.1289473684210525</v>
      </c>
      <c r="R195" s="5">
        <f t="shared" si="19"/>
        <v>2.0321052631578946</v>
      </c>
      <c r="S195" s="5">
        <f t="shared" si="20"/>
        <v>-2.0321052631578946</v>
      </c>
      <c r="T195" s="5">
        <f t="shared" si="26"/>
        <v>192.7671052631579</v>
      </c>
      <c r="V195" s="1">
        <v>1596.3</v>
      </c>
      <c r="X195" s="1">
        <f t="shared" si="27"/>
        <v>97907.199999999968</v>
      </c>
      <c r="Y195" s="1">
        <f t="shared" si="21"/>
        <v>24514.499999999993</v>
      </c>
      <c r="AA195" s="1">
        <v>11.7424698000957</v>
      </c>
    </row>
    <row r="196" spans="1:27" s="1" customFormat="1" x14ac:dyDescent="0.25">
      <c r="A196" s="54"/>
      <c r="B196" s="2"/>
      <c r="C196" s="11">
        <v>42443</v>
      </c>
      <c r="D196" s="1">
        <v>6.1</v>
      </c>
      <c r="E196" s="1">
        <v>2.2000000000000002</v>
      </c>
      <c r="F196" s="1">
        <v>11.3</v>
      </c>
      <c r="G196" s="1">
        <f t="shared" si="23"/>
        <v>1850.4999999999993</v>
      </c>
      <c r="H196" s="1">
        <f t="shared" si="18"/>
        <v>351.90000000000026</v>
      </c>
      <c r="J196" s="1">
        <v>0.1</v>
      </c>
      <c r="K196" s="1">
        <f t="shared" si="24"/>
        <v>395.60000000000014</v>
      </c>
      <c r="L196" s="1">
        <v>2.2000000000000002</v>
      </c>
      <c r="M196" s="1">
        <f t="shared" si="25"/>
        <v>206.2000000000001</v>
      </c>
      <c r="N196" s="1">
        <v>-2.1</v>
      </c>
      <c r="O196" s="1">
        <f t="shared" si="29"/>
        <v>191.2</v>
      </c>
      <c r="P196" s="1">
        <v>188</v>
      </c>
      <c r="Q196" s="12">
        <f t="shared" si="28"/>
        <v>1.131578947368421</v>
      </c>
      <c r="R196" s="5">
        <f t="shared" si="19"/>
        <v>2.4894736842105263</v>
      </c>
      <c r="S196" s="5">
        <f t="shared" si="20"/>
        <v>-2.3894736842105262</v>
      </c>
      <c r="T196" s="5">
        <f t="shared" si="26"/>
        <v>190.37763157894739</v>
      </c>
      <c r="V196" s="1">
        <v>1473.5</v>
      </c>
      <c r="X196" s="1">
        <f t="shared" si="27"/>
        <v>99380.699999999968</v>
      </c>
      <c r="Y196" s="1">
        <f t="shared" si="21"/>
        <v>25987.999999999993</v>
      </c>
      <c r="AA196" s="1">
        <v>11.8012592238835</v>
      </c>
    </row>
    <row r="197" spans="1:27" s="1" customFormat="1" x14ac:dyDescent="0.25">
      <c r="A197" s="54"/>
      <c r="B197" s="2"/>
      <c r="C197" s="11">
        <v>42444</v>
      </c>
      <c r="D197" s="1">
        <v>6.8</v>
      </c>
      <c r="E197" s="1">
        <v>0</v>
      </c>
      <c r="F197" s="1">
        <v>11.7</v>
      </c>
      <c r="G197" s="1">
        <f t="shared" si="23"/>
        <v>1857.2999999999993</v>
      </c>
      <c r="H197" s="1">
        <f t="shared" si="18"/>
        <v>358.70000000000027</v>
      </c>
      <c r="J197" s="1">
        <v>0</v>
      </c>
      <c r="K197" s="1">
        <f t="shared" si="24"/>
        <v>395.60000000000014</v>
      </c>
      <c r="L197" s="1">
        <v>2</v>
      </c>
      <c r="M197" s="1">
        <f t="shared" si="25"/>
        <v>208.2000000000001</v>
      </c>
      <c r="N197" s="1">
        <v>-2</v>
      </c>
      <c r="O197" s="1">
        <f t="shared" si="29"/>
        <v>189.2</v>
      </c>
      <c r="P197" s="1">
        <v>189</v>
      </c>
      <c r="Q197" s="12">
        <f t="shared" si="28"/>
        <v>1.1342105263157893</v>
      </c>
      <c r="R197" s="5">
        <f t="shared" si="19"/>
        <v>2.2684210526315787</v>
      </c>
      <c r="S197" s="5">
        <f t="shared" si="20"/>
        <v>-2.2684210526315787</v>
      </c>
      <c r="T197" s="5">
        <f t="shared" si="26"/>
        <v>188.10921052631582</v>
      </c>
      <c r="V197" s="1">
        <v>1718</v>
      </c>
      <c r="X197" s="1">
        <f t="shared" si="27"/>
        <v>101098.69999999997</v>
      </c>
      <c r="Y197" s="1">
        <f t="shared" si="21"/>
        <v>27705.999999999993</v>
      </c>
      <c r="AA197" s="1">
        <v>11.8600713552808</v>
      </c>
    </row>
    <row r="198" spans="1:27" s="1" customFormat="1" x14ac:dyDescent="0.25">
      <c r="A198" s="54"/>
      <c r="B198" s="2"/>
      <c r="C198" s="11">
        <v>42445</v>
      </c>
      <c r="D198" s="1">
        <v>7.5</v>
      </c>
      <c r="E198" s="1">
        <v>6.4</v>
      </c>
      <c r="F198" s="1">
        <v>10.5</v>
      </c>
      <c r="G198" s="1">
        <f t="shared" si="23"/>
        <v>1864.7999999999993</v>
      </c>
      <c r="H198" s="1">
        <f t="shared" si="18"/>
        <v>366.20000000000027</v>
      </c>
      <c r="J198" s="1">
        <v>0</v>
      </c>
      <c r="K198" s="1">
        <f t="shared" si="24"/>
        <v>395.60000000000014</v>
      </c>
      <c r="L198" s="1">
        <v>2.2000000000000002</v>
      </c>
      <c r="M198" s="1">
        <f t="shared" si="25"/>
        <v>210.40000000000009</v>
      </c>
      <c r="N198" s="1">
        <v>-2.2000000000000002</v>
      </c>
      <c r="O198" s="1">
        <f t="shared" si="29"/>
        <v>187</v>
      </c>
      <c r="P198" s="1">
        <v>190</v>
      </c>
      <c r="Q198" s="12">
        <f t="shared" si="28"/>
        <v>1.1368421052631579</v>
      </c>
      <c r="R198" s="5">
        <f t="shared" si="19"/>
        <v>2.5010526315789474</v>
      </c>
      <c r="S198" s="5">
        <f t="shared" si="20"/>
        <v>-2.5010526315789474</v>
      </c>
      <c r="T198" s="5">
        <f t="shared" si="26"/>
        <v>185.60815789473688</v>
      </c>
      <c r="V198" s="1">
        <v>1045.0999999999999</v>
      </c>
      <c r="X198" s="1">
        <f t="shared" si="27"/>
        <v>102143.79999999997</v>
      </c>
      <c r="Y198" s="1">
        <f t="shared" si="21"/>
        <v>28751.099999999991</v>
      </c>
      <c r="AA198" s="1">
        <v>11.9188998432952</v>
      </c>
    </row>
    <row r="199" spans="1:27" s="1" customFormat="1" x14ac:dyDescent="0.25">
      <c r="A199" s="54"/>
      <c r="B199" s="2"/>
      <c r="C199" s="11">
        <v>42446</v>
      </c>
      <c r="D199" s="1">
        <v>7.1</v>
      </c>
      <c r="E199" s="1">
        <v>4</v>
      </c>
      <c r="F199" s="1">
        <v>10.7</v>
      </c>
      <c r="G199" s="1">
        <f t="shared" si="23"/>
        <v>1871.8999999999992</v>
      </c>
      <c r="H199" s="1">
        <f t="shared" si="18"/>
        <v>373.3000000000003</v>
      </c>
      <c r="J199" s="1">
        <v>0</v>
      </c>
      <c r="K199" s="1">
        <f t="shared" si="24"/>
        <v>395.60000000000014</v>
      </c>
      <c r="L199" s="1">
        <v>2.2999999999999998</v>
      </c>
      <c r="M199" s="1">
        <f t="shared" si="25"/>
        <v>212.7000000000001</v>
      </c>
      <c r="N199" s="1">
        <v>-2.2999999999999998</v>
      </c>
      <c r="O199" s="1">
        <f t="shared" si="29"/>
        <v>184.7</v>
      </c>
      <c r="P199" s="1">
        <v>191</v>
      </c>
      <c r="Q199" s="12">
        <f t="shared" si="28"/>
        <v>1.1394736842105262</v>
      </c>
      <c r="R199" s="5">
        <f t="shared" si="19"/>
        <v>2.6207894736842099</v>
      </c>
      <c r="S199" s="5">
        <f t="shared" si="20"/>
        <v>-2.6207894736842099</v>
      </c>
      <c r="T199" s="5">
        <f t="shared" si="26"/>
        <v>182.98736842105268</v>
      </c>
      <c r="V199" s="1">
        <v>1648.5</v>
      </c>
      <c r="X199" s="1">
        <f t="shared" si="27"/>
        <v>103792.29999999997</v>
      </c>
      <c r="Y199" s="1">
        <f t="shared" si="21"/>
        <v>30399.599999999991</v>
      </c>
      <c r="AA199" s="1">
        <v>11.9777384544863</v>
      </c>
    </row>
    <row r="200" spans="1:27" s="1" customFormat="1" x14ac:dyDescent="0.25">
      <c r="A200" s="54"/>
      <c r="B200" s="2"/>
      <c r="C200" s="11">
        <v>42447</v>
      </c>
      <c r="D200" s="1">
        <v>6</v>
      </c>
      <c r="E200" s="1">
        <v>0</v>
      </c>
      <c r="F200" s="1">
        <v>12</v>
      </c>
      <c r="G200" s="1">
        <f t="shared" si="23"/>
        <v>1877.8999999999992</v>
      </c>
      <c r="H200" s="1">
        <f t="shared" si="18"/>
        <v>379.3000000000003</v>
      </c>
      <c r="J200" s="1">
        <v>0</v>
      </c>
      <c r="K200" s="1">
        <f t="shared" si="24"/>
        <v>395.60000000000014</v>
      </c>
      <c r="L200" s="1">
        <v>2.1</v>
      </c>
      <c r="M200" s="1">
        <f t="shared" si="25"/>
        <v>214.8000000000001</v>
      </c>
      <c r="N200" s="1">
        <v>-2.1</v>
      </c>
      <c r="O200" s="1">
        <f t="shared" si="29"/>
        <v>182.6</v>
      </c>
      <c r="P200" s="1">
        <v>192</v>
      </c>
      <c r="Q200" s="12">
        <f t="shared" si="28"/>
        <v>1.1421052631578947</v>
      </c>
      <c r="R200" s="5">
        <f t="shared" si="19"/>
        <v>2.398421052631579</v>
      </c>
      <c r="S200" s="5">
        <f t="shared" si="20"/>
        <v>-2.398421052631579</v>
      </c>
      <c r="T200" s="5">
        <f t="shared" si="26"/>
        <v>180.58894736842109</v>
      </c>
      <c r="V200" s="1">
        <v>1652.5</v>
      </c>
      <c r="X200" s="1">
        <f t="shared" si="27"/>
        <v>105444.79999999997</v>
      </c>
      <c r="Y200" s="1">
        <f t="shared" si="21"/>
        <v>32052.099999999991</v>
      </c>
      <c r="AA200" s="1">
        <v>12.0365810550304</v>
      </c>
    </row>
    <row r="201" spans="1:27" s="1" customFormat="1" x14ac:dyDescent="0.25">
      <c r="A201" s="54"/>
      <c r="B201" s="2">
        <v>9</v>
      </c>
      <c r="C201" s="11">
        <v>42448</v>
      </c>
      <c r="D201" s="1">
        <v>5.4</v>
      </c>
      <c r="E201" s="1">
        <v>0.5</v>
      </c>
      <c r="F201" s="1">
        <v>9.6</v>
      </c>
      <c r="G201" s="1">
        <f t="shared" si="23"/>
        <v>1883.2999999999993</v>
      </c>
      <c r="H201" s="1">
        <f t="shared" ref="H201:H264" si="30">H200+D201</f>
        <v>384.70000000000027</v>
      </c>
      <c r="J201" s="1">
        <v>0</v>
      </c>
      <c r="K201" s="1">
        <f t="shared" si="24"/>
        <v>395.60000000000014</v>
      </c>
      <c r="L201" s="1">
        <v>1.1000000000000001</v>
      </c>
      <c r="M201" s="1">
        <f t="shared" si="25"/>
        <v>215.90000000000009</v>
      </c>
      <c r="N201" s="1">
        <v>-1.1000000000000001</v>
      </c>
      <c r="O201" s="1">
        <f t="shared" si="29"/>
        <v>181.5</v>
      </c>
      <c r="P201" s="1">
        <v>193</v>
      </c>
      <c r="Q201" s="12">
        <f t="shared" si="28"/>
        <v>1.1447368421052631</v>
      </c>
      <c r="R201" s="5">
        <f t="shared" ref="R201:R264" si="31">Q201*L201</f>
        <v>1.2592105263157896</v>
      </c>
      <c r="S201" s="5">
        <f t="shared" ref="S201:S264" si="32">J201-R201</f>
        <v>-1.2592105263157896</v>
      </c>
      <c r="T201" s="5">
        <f t="shared" si="26"/>
        <v>179.32973684210529</v>
      </c>
      <c r="V201" s="1">
        <v>918.6</v>
      </c>
      <c r="X201" s="1">
        <f t="shared" si="27"/>
        <v>106363.39999999998</v>
      </c>
      <c r="Y201" s="1">
        <f t="shared" ref="Y201:Y264" si="33">Y200+V201</f>
        <v>32970.69999999999</v>
      </c>
      <c r="AA201" s="1">
        <v>12.095421592892601</v>
      </c>
    </row>
    <row r="202" spans="1:27" s="1" customFormat="1" x14ac:dyDescent="0.25">
      <c r="A202" s="54"/>
      <c r="B202" s="2"/>
      <c r="C202" s="11">
        <v>42449</v>
      </c>
      <c r="D202" s="1">
        <v>6.9</v>
      </c>
      <c r="E202" s="1">
        <v>4.9000000000000004</v>
      </c>
      <c r="F202" s="1">
        <v>8.1999999999999993</v>
      </c>
      <c r="G202" s="1">
        <f t="shared" si="23"/>
        <v>1890.1999999999994</v>
      </c>
      <c r="H202" s="1">
        <f t="shared" si="30"/>
        <v>391.60000000000025</v>
      </c>
      <c r="J202" s="1">
        <v>0</v>
      </c>
      <c r="K202" s="1">
        <f t="shared" si="24"/>
        <v>395.60000000000014</v>
      </c>
      <c r="L202" s="1">
        <v>1.6</v>
      </c>
      <c r="M202" s="1">
        <f t="shared" si="25"/>
        <v>217.50000000000009</v>
      </c>
      <c r="N202" s="1">
        <v>-1.6</v>
      </c>
      <c r="O202" s="1">
        <f t="shared" si="29"/>
        <v>179.9</v>
      </c>
      <c r="P202" s="1">
        <v>194</v>
      </c>
      <c r="Q202" s="12">
        <f t="shared" si="28"/>
        <v>1.1473684210526316</v>
      </c>
      <c r="R202" s="5">
        <f t="shared" si="31"/>
        <v>1.8357894736842106</v>
      </c>
      <c r="S202" s="5">
        <f t="shared" si="32"/>
        <v>-1.8357894736842106</v>
      </c>
      <c r="T202" s="5">
        <f t="shared" si="26"/>
        <v>177.49394736842109</v>
      </c>
      <c r="V202" s="1">
        <v>748.7</v>
      </c>
      <c r="X202" s="1">
        <f t="shared" si="27"/>
        <v>107112.09999999998</v>
      </c>
      <c r="Y202" s="1">
        <f t="shared" si="33"/>
        <v>33719.399999999987</v>
      </c>
      <c r="AA202" s="1">
        <v>12.1542540801066</v>
      </c>
    </row>
    <row r="203" spans="1:27" s="32" customFormat="1" ht="15.75" thickBot="1" x14ac:dyDescent="0.3">
      <c r="A203" s="54"/>
      <c r="B203" s="37"/>
      <c r="C203" s="43">
        <v>42450</v>
      </c>
      <c r="D203" s="32">
        <v>8.1</v>
      </c>
      <c r="E203" s="32">
        <v>4.5999999999999996</v>
      </c>
      <c r="F203" s="32">
        <v>10.7</v>
      </c>
      <c r="G203" s="32">
        <f t="shared" ref="G203:G266" si="34">G202+D203</f>
        <v>1898.2999999999993</v>
      </c>
      <c r="H203" s="32">
        <f t="shared" si="30"/>
        <v>399.70000000000027</v>
      </c>
      <c r="J203" s="32">
        <v>0</v>
      </c>
      <c r="K203" s="32">
        <f t="shared" ref="K203:K266" si="35">K202+J203</f>
        <v>395.60000000000014</v>
      </c>
      <c r="L203" s="32">
        <v>1.6</v>
      </c>
      <c r="M203" s="32">
        <f t="shared" ref="M203:M266" si="36">M202+L203</f>
        <v>219.10000000000008</v>
      </c>
      <c r="N203" s="32">
        <v>-1.6</v>
      </c>
      <c r="O203" s="32">
        <f t="shared" si="29"/>
        <v>178.3</v>
      </c>
      <c r="P203" s="32">
        <v>195</v>
      </c>
      <c r="Q203" s="33">
        <f t="shared" si="28"/>
        <v>1.1499999999999999</v>
      </c>
      <c r="R203" s="34">
        <f t="shared" si="31"/>
        <v>1.8399999999999999</v>
      </c>
      <c r="S203" s="34">
        <f t="shared" si="32"/>
        <v>-1.8399999999999999</v>
      </c>
      <c r="T203" s="35">
        <f t="shared" ref="T203:T266" si="37">MIN(197.4,(T202+S203))</f>
        <v>175.65394736842109</v>
      </c>
      <c r="V203" s="32">
        <v>469.4</v>
      </c>
      <c r="X203" s="32">
        <f t="shared" ref="X203:X266" si="38">X202+V203</f>
        <v>107581.49999999997</v>
      </c>
      <c r="Y203" s="36">
        <f t="shared" si="33"/>
        <v>34188.799999999988</v>
      </c>
      <c r="AA203" s="36">
        <v>12.2130725751594</v>
      </c>
    </row>
    <row r="204" spans="1:27" s="1" customFormat="1" ht="15" customHeight="1" x14ac:dyDescent="0.25">
      <c r="A204" s="15" t="s">
        <v>21</v>
      </c>
      <c r="B204" s="16"/>
      <c r="C204" s="17">
        <v>42451</v>
      </c>
      <c r="D204" s="1">
        <v>6.5</v>
      </c>
      <c r="E204" s="1">
        <v>1.5</v>
      </c>
      <c r="F204" s="1">
        <v>11.2</v>
      </c>
      <c r="G204" s="1">
        <f t="shared" si="34"/>
        <v>1904.7999999999993</v>
      </c>
      <c r="H204" s="1">
        <v>6.5</v>
      </c>
      <c r="I204" s="18" t="s">
        <v>2</v>
      </c>
      <c r="J204" s="1">
        <v>0</v>
      </c>
      <c r="K204" s="1">
        <f t="shared" si="35"/>
        <v>395.60000000000014</v>
      </c>
      <c r="L204" s="1">
        <v>1.8</v>
      </c>
      <c r="M204" s="1">
        <f t="shared" si="36"/>
        <v>220.90000000000009</v>
      </c>
      <c r="N204" s="1">
        <v>-1.8</v>
      </c>
      <c r="O204" s="1">
        <f t="shared" si="29"/>
        <v>176.5</v>
      </c>
      <c r="P204" s="1">
        <v>196</v>
      </c>
      <c r="Q204" s="1">
        <v>1.1499999999999999</v>
      </c>
      <c r="R204" s="5">
        <f t="shared" si="31"/>
        <v>2.0699999999999998</v>
      </c>
      <c r="S204" s="5">
        <f t="shared" si="32"/>
        <v>-2.0699999999999998</v>
      </c>
      <c r="T204" s="5">
        <f t="shared" si="37"/>
        <v>173.58394736842109</v>
      </c>
      <c r="U204" s="18" t="s">
        <v>3</v>
      </c>
      <c r="V204" s="1">
        <v>1424.8</v>
      </c>
      <c r="X204" s="1">
        <f t="shared" si="38"/>
        <v>109006.29999999997</v>
      </c>
      <c r="Y204" s="1">
        <v>1424.8</v>
      </c>
      <c r="Z204" s="18" t="s">
        <v>4</v>
      </c>
      <c r="AA204" s="1">
        <v>12.2718711654767</v>
      </c>
    </row>
    <row r="205" spans="1:27" s="1" customFormat="1" x14ac:dyDescent="0.25">
      <c r="A205" s="19"/>
      <c r="B205" s="16"/>
      <c r="C205" s="17">
        <v>42452</v>
      </c>
      <c r="D205" s="1">
        <v>6.5</v>
      </c>
      <c r="E205" s="1">
        <v>0.2</v>
      </c>
      <c r="F205" s="1">
        <v>12.8</v>
      </c>
      <c r="G205" s="1">
        <f t="shared" si="34"/>
        <v>1911.2999999999993</v>
      </c>
      <c r="H205" s="1">
        <f t="shared" si="30"/>
        <v>13</v>
      </c>
      <c r="I205" s="1">
        <f>MIN(E204:E224)</f>
        <v>0.2</v>
      </c>
      <c r="J205" s="1">
        <v>0</v>
      </c>
      <c r="K205" s="1">
        <f t="shared" si="35"/>
        <v>395.60000000000014</v>
      </c>
      <c r="L205" s="1">
        <v>2</v>
      </c>
      <c r="M205" s="1">
        <f t="shared" si="36"/>
        <v>222.90000000000009</v>
      </c>
      <c r="N205" s="1">
        <v>-2</v>
      </c>
      <c r="O205" s="1">
        <f t="shared" si="29"/>
        <v>174.5</v>
      </c>
      <c r="P205" s="1">
        <v>197</v>
      </c>
      <c r="Q205" s="1">
        <v>1.1499999999999999</v>
      </c>
      <c r="R205" s="5">
        <f t="shared" si="31"/>
        <v>2.2999999999999998</v>
      </c>
      <c r="S205" s="5">
        <f t="shared" si="32"/>
        <v>-2.2999999999999998</v>
      </c>
      <c r="T205" s="5">
        <f t="shared" si="37"/>
        <v>171.28394736842108</v>
      </c>
      <c r="U205" s="1">
        <v>14</v>
      </c>
      <c r="V205" s="1">
        <v>1532.4</v>
      </c>
      <c r="X205" s="1">
        <f t="shared" si="38"/>
        <v>110538.69999999997</v>
      </c>
      <c r="Y205" s="1">
        <f t="shared" si="33"/>
        <v>2957.2</v>
      </c>
      <c r="Z205" s="1">
        <v>19329.100000000002</v>
      </c>
      <c r="AA205" s="1">
        <v>12.3306439500082</v>
      </c>
    </row>
    <row r="206" spans="1:27" s="1" customFormat="1" x14ac:dyDescent="0.25">
      <c r="A206" s="19"/>
      <c r="B206" s="16"/>
      <c r="C206" s="17">
        <v>42453</v>
      </c>
      <c r="D206" s="1">
        <v>7.6</v>
      </c>
      <c r="E206" s="1">
        <v>2.8</v>
      </c>
      <c r="F206" s="1">
        <v>10.4</v>
      </c>
      <c r="G206" s="1">
        <f t="shared" si="34"/>
        <v>1918.8999999999992</v>
      </c>
      <c r="H206" s="1">
        <f t="shared" si="30"/>
        <v>20.6</v>
      </c>
      <c r="I206" s="18" t="s">
        <v>5</v>
      </c>
      <c r="J206" s="1">
        <v>4.2</v>
      </c>
      <c r="K206" s="1">
        <f t="shared" si="35"/>
        <v>399.80000000000013</v>
      </c>
      <c r="L206" s="1">
        <v>0.8</v>
      </c>
      <c r="M206" s="1">
        <f t="shared" si="36"/>
        <v>223.7000000000001</v>
      </c>
      <c r="N206" s="1">
        <v>3.4000000000000004</v>
      </c>
      <c r="O206" s="1">
        <f t="shared" si="29"/>
        <v>177.9</v>
      </c>
      <c r="P206" s="1">
        <v>198</v>
      </c>
      <c r="Q206" s="1">
        <v>1.1499999999999999</v>
      </c>
      <c r="R206" s="5">
        <f t="shared" si="31"/>
        <v>0.91999999999999993</v>
      </c>
      <c r="S206" s="5">
        <f t="shared" si="32"/>
        <v>3.2800000000000002</v>
      </c>
      <c r="T206" s="5">
        <f t="shared" si="37"/>
        <v>174.56394736842108</v>
      </c>
      <c r="U206" s="18" t="s">
        <v>6</v>
      </c>
      <c r="V206" s="1">
        <v>545.9</v>
      </c>
      <c r="X206" s="1">
        <f t="shared" si="38"/>
        <v>111084.59999999996</v>
      </c>
      <c r="Y206" s="1">
        <f t="shared" si="33"/>
        <v>3503.1</v>
      </c>
      <c r="Z206" s="18" t="s">
        <v>7</v>
      </c>
      <c r="AA206" s="1">
        <v>12.389385021906101</v>
      </c>
    </row>
    <row r="207" spans="1:27" s="1" customFormat="1" x14ac:dyDescent="0.25">
      <c r="A207" s="19"/>
      <c r="B207" s="16"/>
      <c r="C207" s="17">
        <v>42454</v>
      </c>
      <c r="D207" s="1">
        <v>10.9</v>
      </c>
      <c r="E207" s="1">
        <v>7.8</v>
      </c>
      <c r="F207" s="1">
        <v>13.2</v>
      </c>
      <c r="G207" s="1">
        <f t="shared" si="34"/>
        <v>1929.7999999999993</v>
      </c>
      <c r="H207" s="1">
        <f t="shared" si="30"/>
        <v>31.5</v>
      </c>
      <c r="I207" s="1">
        <f>MAX(F204:F224)</f>
        <v>16.100000000000001</v>
      </c>
      <c r="J207" s="1">
        <v>0.2</v>
      </c>
      <c r="K207" s="1">
        <f t="shared" si="35"/>
        <v>400.00000000000011</v>
      </c>
      <c r="L207" s="1">
        <v>1.2</v>
      </c>
      <c r="M207" s="1">
        <f t="shared" si="36"/>
        <v>224.90000000000009</v>
      </c>
      <c r="N207" s="1">
        <v>-1</v>
      </c>
      <c r="O207" s="1">
        <f t="shared" si="29"/>
        <v>176.9</v>
      </c>
      <c r="P207" s="1">
        <v>199</v>
      </c>
      <c r="Q207" s="1">
        <v>1.1499999999999999</v>
      </c>
      <c r="R207" s="5">
        <f t="shared" si="31"/>
        <v>1.38</v>
      </c>
      <c r="S207" s="5">
        <f t="shared" si="32"/>
        <v>-1.18</v>
      </c>
      <c r="T207" s="5">
        <f t="shared" si="37"/>
        <v>173.38394736842108</v>
      </c>
      <c r="U207" s="1">
        <v>0</v>
      </c>
      <c r="V207" s="1">
        <v>469.4</v>
      </c>
      <c r="X207" s="1">
        <f t="shared" si="38"/>
        <v>111553.99999999996</v>
      </c>
      <c r="Y207" s="1">
        <f t="shared" si="33"/>
        <v>3972.5</v>
      </c>
      <c r="Z207" s="1">
        <f>(Z205/100)/I217</f>
        <v>1.0828627450980393</v>
      </c>
      <c r="AA207" s="1">
        <v>12.4480884512964</v>
      </c>
    </row>
    <row r="208" spans="1:27" s="1" customFormat="1" x14ac:dyDescent="0.25">
      <c r="A208" s="19"/>
      <c r="B208" s="16"/>
      <c r="C208" s="17">
        <v>42455</v>
      </c>
      <c r="D208" s="1">
        <v>10.7</v>
      </c>
      <c r="E208" s="1">
        <v>8</v>
      </c>
      <c r="F208" s="1">
        <v>13.5</v>
      </c>
      <c r="G208" s="1">
        <f t="shared" si="34"/>
        <v>1940.4999999999993</v>
      </c>
      <c r="H208" s="1">
        <f t="shared" si="30"/>
        <v>42.2</v>
      </c>
      <c r="I208" s="18" t="s">
        <v>8</v>
      </c>
      <c r="J208" s="1">
        <v>12.4</v>
      </c>
      <c r="K208" s="1">
        <f t="shared" si="35"/>
        <v>412.40000000000009</v>
      </c>
      <c r="L208" s="1">
        <v>0.7</v>
      </c>
      <c r="M208" s="1">
        <f t="shared" si="36"/>
        <v>225.60000000000008</v>
      </c>
      <c r="N208" s="1">
        <v>11.700000000000001</v>
      </c>
      <c r="O208" s="1">
        <f t="shared" si="29"/>
        <v>188.6</v>
      </c>
      <c r="P208" s="1">
        <v>200</v>
      </c>
      <c r="Q208" s="1">
        <v>1.1499999999999999</v>
      </c>
      <c r="R208" s="5">
        <f t="shared" si="31"/>
        <v>0.80499999999999994</v>
      </c>
      <c r="S208" s="5">
        <f t="shared" si="32"/>
        <v>11.595000000000001</v>
      </c>
      <c r="T208" s="5">
        <f t="shared" si="37"/>
        <v>184.97894736842107</v>
      </c>
      <c r="U208" s="18" t="s">
        <v>9</v>
      </c>
      <c r="V208" s="1">
        <v>254.6</v>
      </c>
      <c r="X208" s="1">
        <f t="shared" si="38"/>
        <v>111808.59999999996</v>
      </c>
      <c r="Y208" s="1">
        <f t="shared" si="33"/>
        <v>4227.1000000000004</v>
      </c>
      <c r="Z208" s="18" t="s">
        <v>10</v>
      </c>
      <c r="AA208" s="1">
        <v>12.506748268137301</v>
      </c>
    </row>
    <row r="209" spans="1:27" s="1" customFormat="1" x14ac:dyDescent="0.25">
      <c r="A209" s="19"/>
      <c r="B209" s="16"/>
      <c r="C209" s="17">
        <v>42456</v>
      </c>
      <c r="D209" s="1">
        <v>8.6999999999999993</v>
      </c>
      <c r="E209" s="1">
        <v>6.5</v>
      </c>
      <c r="F209" s="1">
        <v>11.2</v>
      </c>
      <c r="G209" s="1">
        <f t="shared" si="34"/>
        <v>1949.1999999999994</v>
      </c>
      <c r="H209" s="1">
        <f t="shared" si="30"/>
        <v>50.900000000000006</v>
      </c>
      <c r="I209" s="5">
        <f>AVERAGE(D204:D224)</f>
        <v>8.5</v>
      </c>
      <c r="J209" s="1">
        <v>20.9</v>
      </c>
      <c r="K209" s="1">
        <f t="shared" si="35"/>
        <v>433.30000000000007</v>
      </c>
      <c r="L209" s="1">
        <v>1.4</v>
      </c>
      <c r="M209" s="1">
        <f t="shared" si="36"/>
        <v>227.00000000000009</v>
      </c>
      <c r="N209" s="1">
        <v>19.5</v>
      </c>
      <c r="O209" s="1">
        <v>197.4</v>
      </c>
      <c r="P209" s="1">
        <v>201</v>
      </c>
      <c r="Q209" s="1">
        <v>1.1499999999999999</v>
      </c>
      <c r="R209" s="5">
        <f t="shared" si="31"/>
        <v>1.6099999999999999</v>
      </c>
      <c r="S209" s="5">
        <f t="shared" si="32"/>
        <v>19.29</v>
      </c>
      <c r="T209" s="5">
        <f t="shared" si="37"/>
        <v>197.4</v>
      </c>
      <c r="U209" s="1">
        <v>0</v>
      </c>
      <c r="V209" s="1">
        <v>861.4</v>
      </c>
      <c r="X209" s="1">
        <f t="shared" si="38"/>
        <v>112669.99999999996</v>
      </c>
      <c r="Y209" s="1">
        <f t="shared" si="33"/>
        <v>5088.5</v>
      </c>
      <c r="Z209" s="1">
        <v>11</v>
      </c>
      <c r="AA209" s="1">
        <v>12.565358445162101</v>
      </c>
    </row>
    <row r="210" spans="1:27" s="1" customFormat="1" x14ac:dyDescent="0.25">
      <c r="A210" s="19"/>
      <c r="B210" s="16"/>
      <c r="C210" s="17">
        <v>42457</v>
      </c>
      <c r="D210" s="1">
        <v>9.6</v>
      </c>
      <c r="E210" s="1">
        <v>8</v>
      </c>
      <c r="F210" s="1">
        <v>13.5</v>
      </c>
      <c r="G210" s="1">
        <f t="shared" si="34"/>
        <v>1958.7999999999993</v>
      </c>
      <c r="H210" s="1">
        <f t="shared" si="30"/>
        <v>60.500000000000007</v>
      </c>
      <c r="I210" s="18" t="s">
        <v>11</v>
      </c>
      <c r="J210" s="1">
        <v>2.1</v>
      </c>
      <c r="K210" s="1">
        <f t="shared" si="35"/>
        <v>435.40000000000009</v>
      </c>
      <c r="L210" s="1">
        <v>2.5</v>
      </c>
      <c r="M210" s="1">
        <f t="shared" si="36"/>
        <v>229.50000000000009</v>
      </c>
      <c r="N210" s="1">
        <v>-0.39999999999999991</v>
      </c>
      <c r="O210" s="1">
        <f>O209+N210</f>
        <v>197</v>
      </c>
      <c r="P210" s="1">
        <v>202</v>
      </c>
      <c r="Q210" s="1">
        <v>1.1499999999999999</v>
      </c>
      <c r="R210" s="5">
        <f t="shared" si="31"/>
        <v>2.875</v>
      </c>
      <c r="S210" s="5">
        <f t="shared" si="32"/>
        <v>-0.77499999999999991</v>
      </c>
      <c r="T210" s="5">
        <f t="shared" si="37"/>
        <v>196.625</v>
      </c>
      <c r="U210" s="18" t="s">
        <v>12</v>
      </c>
      <c r="V210" s="1">
        <v>762.7</v>
      </c>
      <c r="X210" s="1">
        <f t="shared" si="38"/>
        <v>113432.69999999995</v>
      </c>
      <c r="Y210" s="1">
        <f t="shared" si="33"/>
        <v>5851.2</v>
      </c>
      <c r="AA210" s="1">
        <v>12.6239128809042</v>
      </c>
    </row>
    <row r="211" spans="1:27" s="1" customFormat="1" x14ac:dyDescent="0.25">
      <c r="A211" s="19"/>
      <c r="B211" s="16"/>
      <c r="C211" s="17">
        <v>42458</v>
      </c>
      <c r="D211" s="1">
        <v>9.4</v>
      </c>
      <c r="E211" s="1">
        <v>4.2</v>
      </c>
      <c r="F211" s="1">
        <v>14</v>
      </c>
      <c r="G211" s="1">
        <f t="shared" si="34"/>
        <v>1968.1999999999994</v>
      </c>
      <c r="H211" s="1">
        <f t="shared" si="30"/>
        <v>69.900000000000006</v>
      </c>
      <c r="I211" s="1">
        <v>0</v>
      </c>
      <c r="J211" s="1">
        <v>1.3</v>
      </c>
      <c r="K211" s="1">
        <f t="shared" si="35"/>
        <v>436.7000000000001</v>
      </c>
      <c r="L211" s="1">
        <v>1.7</v>
      </c>
      <c r="M211" s="1">
        <f t="shared" si="36"/>
        <v>231.20000000000007</v>
      </c>
      <c r="N211" s="1">
        <v>-0.39999999999999991</v>
      </c>
      <c r="O211" s="1">
        <f>O210+N211</f>
        <v>196.6</v>
      </c>
      <c r="P211" s="1">
        <v>203</v>
      </c>
      <c r="Q211" s="1">
        <v>1.1499999999999999</v>
      </c>
      <c r="R211" s="5">
        <f t="shared" si="31"/>
        <v>1.9549999999999998</v>
      </c>
      <c r="S211" s="5">
        <f t="shared" si="32"/>
        <v>-0.6549999999999998</v>
      </c>
      <c r="T211" s="5">
        <f t="shared" si="37"/>
        <v>195.97</v>
      </c>
      <c r="U211" s="5">
        <f>MIN(T204:T224)</f>
        <v>171.28394736842108</v>
      </c>
      <c r="V211" s="1">
        <v>1047.5999999999999</v>
      </c>
      <c r="X211" s="1">
        <f t="shared" si="38"/>
        <v>114480.29999999996</v>
      </c>
      <c r="Y211" s="1">
        <f t="shared" si="33"/>
        <v>6898.7999999999993</v>
      </c>
      <c r="AA211" s="1">
        <v>12.6824053828018</v>
      </c>
    </row>
    <row r="212" spans="1:27" s="1" customFormat="1" x14ac:dyDescent="0.25">
      <c r="A212" s="19"/>
      <c r="B212" s="16"/>
      <c r="C212" s="17">
        <v>42459</v>
      </c>
      <c r="D212" s="1">
        <v>7.5</v>
      </c>
      <c r="E212" s="1">
        <v>6.8</v>
      </c>
      <c r="F212" s="1">
        <v>8.8000000000000007</v>
      </c>
      <c r="G212" s="1">
        <f t="shared" si="34"/>
        <v>1975.6999999999994</v>
      </c>
      <c r="H212" s="1">
        <f t="shared" si="30"/>
        <v>77.400000000000006</v>
      </c>
      <c r="I212" s="18" t="s">
        <v>13</v>
      </c>
      <c r="J212" s="1">
        <v>8</v>
      </c>
      <c r="K212" s="1">
        <f t="shared" si="35"/>
        <v>444.7000000000001</v>
      </c>
      <c r="L212" s="1">
        <v>0.7</v>
      </c>
      <c r="M212" s="1">
        <f t="shared" si="36"/>
        <v>231.90000000000006</v>
      </c>
      <c r="N212" s="1">
        <v>7.3</v>
      </c>
      <c r="O212" s="1">
        <v>197.4</v>
      </c>
      <c r="P212" s="1">
        <v>204</v>
      </c>
      <c r="Q212" s="1">
        <v>1.1499999999999999</v>
      </c>
      <c r="R212" s="5">
        <f t="shared" si="31"/>
        <v>0.80499999999999994</v>
      </c>
      <c r="S212" s="5">
        <f t="shared" si="32"/>
        <v>7.1950000000000003</v>
      </c>
      <c r="T212" s="5">
        <f t="shared" si="37"/>
        <v>197.4</v>
      </c>
      <c r="U212" s="18" t="s">
        <v>14</v>
      </c>
      <c r="V212" s="1">
        <v>330.2</v>
      </c>
      <c r="X212" s="1">
        <f t="shared" si="38"/>
        <v>114810.49999999996</v>
      </c>
      <c r="Y212" s="1">
        <f t="shared" si="33"/>
        <v>7228.9999999999991</v>
      </c>
      <c r="AA212" s="1">
        <v>12.7408296503808</v>
      </c>
    </row>
    <row r="213" spans="1:27" s="1" customFormat="1" x14ac:dyDescent="0.25">
      <c r="A213" s="19"/>
      <c r="B213" s="16"/>
      <c r="C213" s="17">
        <v>42460</v>
      </c>
      <c r="D213" s="1">
        <v>7.4</v>
      </c>
      <c r="E213" s="1">
        <v>4.5</v>
      </c>
      <c r="F213" s="1">
        <v>11.1</v>
      </c>
      <c r="G213" s="1">
        <f t="shared" si="34"/>
        <v>1983.0999999999995</v>
      </c>
      <c r="H213" s="1">
        <f t="shared" si="30"/>
        <v>84.800000000000011</v>
      </c>
      <c r="I213" s="1">
        <v>0</v>
      </c>
      <c r="J213" s="1">
        <v>0.5</v>
      </c>
      <c r="K213" s="1">
        <f t="shared" si="35"/>
        <v>445.2000000000001</v>
      </c>
      <c r="L213" s="1">
        <v>1.6</v>
      </c>
      <c r="M213" s="1">
        <f t="shared" si="36"/>
        <v>233.50000000000006</v>
      </c>
      <c r="N213" s="1">
        <v>-1.1000000000000001</v>
      </c>
      <c r="O213" s="1">
        <f t="shared" ref="O213:O276" si="39">O212+N213</f>
        <v>196.3</v>
      </c>
      <c r="P213" s="1">
        <v>205</v>
      </c>
      <c r="Q213" s="1">
        <v>1.1499999999999999</v>
      </c>
      <c r="R213" s="5">
        <f t="shared" si="31"/>
        <v>1.8399999999999999</v>
      </c>
      <c r="S213" s="5">
        <f t="shared" si="32"/>
        <v>-1.3399999999999999</v>
      </c>
      <c r="T213" s="5">
        <f t="shared" si="37"/>
        <v>196.06</v>
      </c>
      <c r="U213" s="5">
        <f>MAX(T204:T224)</f>
        <v>197.4</v>
      </c>
      <c r="V213" s="1">
        <v>1009.5</v>
      </c>
      <c r="X213" s="1">
        <f t="shared" si="38"/>
        <v>115819.99999999996</v>
      </c>
      <c r="Y213" s="1">
        <f t="shared" si="33"/>
        <v>8238.5</v>
      </c>
      <c r="AA213" s="1">
        <v>12.7991792585143</v>
      </c>
    </row>
    <row r="214" spans="1:27" s="1" customFormat="1" x14ac:dyDescent="0.25">
      <c r="A214" s="19"/>
      <c r="B214" s="16"/>
      <c r="C214" s="17">
        <v>42461</v>
      </c>
      <c r="D214" s="1">
        <v>7.2</v>
      </c>
      <c r="E214" s="1">
        <v>0.4</v>
      </c>
      <c r="F214" s="1">
        <v>12.4</v>
      </c>
      <c r="G214" s="1">
        <f t="shared" si="34"/>
        <v>1990.2999999999995</v>
      </c>
      <c r="H214" s="1">
        <f t="shared" si="30"/>
        <v>92.000000000000014</v>
      </c>
      <c r="I214" s="18" t="s">
        <v>15</v>
      </c>
      <c r="J214" s="1">
        <v>0.1</v>
      </c>
      <c r="K214" s="1">
        <f t="shared" si="35"/>
        <v>445.30000000000013</v>
      </c>
      <c r="L214" s="1">
        <v>2.2000000000000002</v>
      </c>
      <c r="M214" s="1">
        <f t="shared" si="36"/>
        <v>235.70000000000005</v>
      </c>
      <c r="N214" s="1">
        <v>-2.1</v>
      </c>
      <c r="O214" s="1">
        <f t="shared" si="39"/>
        <v>194.20000000000002</v>
      </c>
      <c r="P214" s="1">
        <v>206</v>
      </c>
      <c r="Q214" s="1">
        <v>1.1499999999999999</v>
      </c>
      <c r="R214" s="5">
        <f t="shared" si="31"/>
        <v>2.5299999999999998</v>
      </c>
      <c r="S214" s="5">
        <f t="shared" si="32"/>
        <v>-2.4299999999999997</v>
      </c>
      <c r="T214" s="5">
        <f t="shared" si="37"/>
        <v>193.63</v>
      </c>
      <c r="U214" s="18" t="s">
        <v>16</v>
      </c>
      <c r="V214" s="1">
        <v>1658.6</v>
      </c>
      <c r="X214" s="1">
        <f t="shared" si="38"/>
        <v>117478.59999999996</v>
      </c>
      <c r="Y214" s="1">
        <f t="shared" si="33"/>
        <v>9897.1</v>
      </c>
      <c r="AA214" s="1">
        <v>12.8574476407617</v>
      </c>
    </row>
    <row r="215" spans="1:27" s="1" customFormat="1" x14ac:dyDescent="0.25">
      <c r="A215" s="19"/>
      <c r="B215" s="16"/>
      <c r="C215" s="17">
        <v>42462</v>
      </c>
      <c r="D215" s="1">
        <v>6.5</v>
      </c>
      <c r="E215" s="1">
        <v>1.4</v>
      </c>
      <c r="F215" s="1">
        <v>10.6</v>
      </c>
      <c r="G215" s="1">
        <f t="shared" si="34"/>
        <v>1996.7999999999995</v>
      </c>
      <c r="H215" s="1">
        <f t="shared" si="30"/>
        <v>98.500000000000014</v>
      </c>
      <c r="I215" s="1">
        <v>12</v>
      </c>
      <c r="J215" s="1">
        <v>0</v>
      </c>
      <c r="K215" s="1">
        <f t="shared" si="35"/>
        <v>445.30000000000013</v>
      </c>
      <c r="L215" s="1">
        <v>1.1000000000000001</v>
      </c>
      <c r="M215" s="1">
        <f t="shared" si="36"/>
        <v>236.80000000000004</v>
      </c>
      <c r="N215" s="1">
        <v>-1.1000000000000001</v>
      </c>
      <c r="O215" s="1">
        <f t="shared" si="39"/>
        <v>193.10000000000002</v>
      </c>
      <c r="P215" s="1">
        <v>207</v>
      </c>
      <c r="Q215" s="1">
        <v>1.1499999999999999</v>
      </c>
      <c r="R215" s="5">
        <f t="shared" si="31"/>
        <v>1.2649999999999999</v>
      </c>
      <c r="S215" s="5">
        <f t="shared" si="32"/>
        <v>-1.2649999999999999</v>
      </c>
      <c r="T215" s="5">
        <f t="shared" si="37"/>
        <v>192.36500000000001</v>
      </c>
      <c r="U215" s="12">
        <f>AVERAGE(T204:T224)</f>
        <v>188.9090350877193</v>
      </c>
      <c r="V215" s="1">
        <v>801.7</v>
      </c>
      <c r="X215" s="1">
        <f t="shared" si="38"/>
        <v>118280.29999999996</v>
      </c>
      <c r="Y215" s="1">
        <f t="shared" si="33"/>
        <v>10698.800000000001</v>
      </c>
      <c r="AA215" s="1">
        <v>12.915628072785401</v>
      </c>
    </row>
    <row r="216" spans="1:27" s="1" customFormat="1" x14ac:dyDescent="0.25">
      <c r="A216" s="19"/>
      <c r="B216" s="16"/>
      <c r="C216" s="17">
        <v>42463</v>
      </c>
      <c r="D216" s="1">
        <v>9.6</v>
      </c>
      <c r="E216" s="1">
        <v>5.4</v>
      </c>
      <c r="F216" s="1">
        <v>16.100000000000001</v>
      </c>
      <c r="G216" s="1">
        <f t="shared" si="34"/>
        <v>2006.3999999999994</v>
      </c>
      <c r="H216" s="1">
        <f t="shared" si="30"/>
        <v>108.10000000000001</v>
      </c>
      <c r="I216" s="18" t="s">
        <v>17</v>
      </c>
      <c r="J216" s="1">
        <v>0.5</v>
      </c>
      <c r="K216" s="1">
        <f t="shared" si="35"/>
        <v>445.80000000000013</v>
      </c>
      <c r="L216" s="1">
        <v>1.3</v>
      </c>
      <c r="M216" s="1">
        <f t="shared" si="36"/>
        <v>238.10000000000005</v>
      </c>
      <c r="N216" s="1">
        <v>-0.8</v>
      </c>
      <c r="O216" s="1">
        <f t="shared" si="39"/>
        <v>192.3</v>
      </c>
      <c r="P216" s="1">
        <v>208</v>
      </c>
      <c r="Q216" s="1">
        <v>1.1499999999999999</v>
      </c>
      <c r="R216" s="5">
        <f t="shared" si="31"/>
        <v>1.4949999999999999</v>
      </c>
      <c r="S216" s="5">
        <f t="shared" si="32"/>
        <v>-0.99499999999999988</v>
      </c>
      <c r="T216" s="5">
        <f t="shared" si="37"/>
        <v>191.37</v>
      </c>
      <c r="V216" s="1">
        <v>472.7</v>
      </c>
      <c r="X216" s="1">
        <f t="shared" si="38"/>
        <v>118752.99999999996</v>
      </c>
      <c r="Y216" s="1">
        <f t="shared" si="33"/>
        <v>11171.500000000002</v>
      </c>
      <c r="AA216" s="1">
        <v>12.973713655852</v>
      </c>
    </row>
    <row r="217" spans="1:27" s="1" customFormat="1" x14ac:dyDescent="0.25">
      <c r="A217" s="19"/>
      <c r="B217" s="16"/>
      <c r="C217" s="17">
        <v>42464</v>
      </c>
      <c r="D217" s="1">
        <v>10.3</v>
      </c>
      <c r="E217" s="1">
        <v>7.5</v>
      </c>
      <c r="F217" s="1">
        <v>14.2</v>
      </c>
      <c r="G217" s="1">
        <f t="shared" si="34"/>
        <v>2016.6999999999994</v>
      </c>
      <c r="H217" s="1">
        <f t="shared" si="30"/>
        <v>118.4</v>
      </c>
      <c r="I217" s="1">
        <v>178.5</v>
      </c>
      <c r="J217" s="1">
        <v>2.1</v>
      </c>
      <c r="K217" s="1">
        <f t="shared" si="35"/>
        <v>447.90000000000015</v>
      </c>
      <c r="L217" s="1">
        <v>1.2</v>
      </c>
      <c r="M217" s="1">
        <f t="shared" si="36"/>
        <v>239.30000000000004</v>
      </c>
      <c r="N217" s="1">
        <v>0.90000000000000013</v>
      </c>
      <c r="O217" s="1">
        <f t="shared" si="39"/>
        <v>193.20000000000002</v>
      </c>
      <c r="P217" s="1">
        <v>209</v>
      </c>
      <c r="Q217" s="1">
        <v>1.1499999999999999</v>
      </c>
      <c r="R217" s="5">
        <f t="shared" si="31"/>
        <v>1.38</v>
      </c>
      <c r="S217" s="5">
        <f t="shared" si="32"/>
        <v>0.7200000000000002</v>
      </c>
      <c r="T217" s="5">
        <f t="shared" si="37"/>
        <v>192.09</v>
      </c>
      <c r="U217" s="5">
        <f>(U215*100)/197.4</f>
        <v>95.69859933521748</v>
      </c>
      <c r="V217" s="1">
        <v>551.1</v>
      </c>
      <c r="X217" s="1">
        <f t="shared" si="38"/>
        <v>119304.09999999996</v>
      </c>
      <c r="Y217" s="1">
        <f t="shared" si="33"/>
        <v>11722.600000000002</v>
      </c>
      <c r="AA217" s="1">
        <v>13.0316973004188</v>
      </c>
    </row>
    <row r="218" spans="1:27" s="1" customFormat="1" x14ac:dyDescent="0.25">
      <c r="A218" s="19"/>
      <c r="B218" s="16"/>
      <c r="C218" s="17">
        <v>42465</v>
      </c>
      <c r="D218" s="1">
        <v>9.3000000000000007</v>
      </c>
      <c r="E218" s="1">
        <v>3</v>
      </c>
      <c r="F218" s="1">
        <v>14</v>
      </c>
      <c r="G218" s="1">
        <f t="shared" si="34"/>
        <v>2025.9999999999993</v>
      </c>
      <c r="H218" s="1">
        <f t="shared" si="30"/>
        <v>127.7</v>
      </c>
      <c r="J218" s="1">
        <v>0</v>
      </c>
      <c r="K218" s="1">
        <f t="shared" si="35"/>
        <v>447.90000000000015</v>
      </c>
      <c r="L218" s="1">
        <v>1.7</v>
      </c>
      <c r="M218" s="1">
        <f t="shared" si="36"/>
        <v>241.00000000000003</v>
      </c>
      <c r="N218" s="1">
        <v>-1.7</v>
      </c>
      <c r="O218" s="1">
        <f t="shared" si="39"/>
        <v>191.50000000000003</v>
      </c>
      <c r="P218" s="1">
        <v>210</v>
      </c>
      <c r="Q218" s="1">
        <v>1.1499999999999999</v>
      </c>
      <c r="R218" s="5">
        <f t="shared" si="31"/>
        <v>1.9549999999999998</v>
      </c>
      <c r="S218" s="5">
        <f t="shared" si="32"/>
        <v>-1.9549999999999998</v>
      </c>
      <c r="T218" s="5">
        <f t="shared" si="37"/>
        <v>190.13499999999999</v>
      </c>
      <c r="V218" s="1">
        <v>1268.5</v>
      </c>
      <c r="X218" s="1">
        <f t="shared" si="38"/>
        <v>120572.59999999996</v>
      </c>
      <c r="Y218" s="1">
        <f t="shared" si="33"/>
        <v>12991.100000000002</v>
      </c>
      <c r="AA218" s="1">
        <v>13.0895717098142</v>
      </c>
    </row>
    <row r="219" spans="1:27" s="1" customFormat="1" x14ac:dyDescent="0.25">
      <c r="A219" s="19"/>
      <c r="B219" s="16"/>
      <c r="C219" s="17">
        <v>42466</v>
      </c>
      <c r="D219" s="1">
        <v>8.6999999999999993</v>
      </c>
      <c r="E219" s="1">
        <v>4.9000000000000004</v>
      </c>
      <c r="F219" s="1">
        <v>11.4</v>
      </c>
      <c r="G219" s="1">
        <f t="shared" si="34"/>
        <v>2034.6999999999994</v>
      </c>
      <c r="H219" s="1">
        <f t="shared" si="30"/>
        <v>136.4</v>
      </c>
      <c r="J219" s="1">
        <v>2.1</v>
      </c>
      <c r="K219" s="1">
        <f t="shared" si="35"/>
        <v>450.00000000000017</v>
      </c>
      <c r="L219" s="1">
        <v>0.9</v>
      </c>
      <c r="M219" s="1">
        <f t="shared" si="36"/>
        <v>241.90000000000003</v>
      </c>
      <c r="N219" s="1">
        <v>1.2000000000000002</v>
      </c>
      <c r="O219" s="1">
        <f t="shared" si="39"/>
        <v>192.70000000000002</v>
      </c>
      <c r="P219" s="1">
        <v>211</v>
      </c>
      <c r="Q219" s="1">
        <v>1.1499999999999999</v>
      </c>
      <c r="R219" s="5">
        <f t="shared" si="31"/>
        <v>1.0349999999999999</v>
      </c>
      <c r="S219" s="5">
        <f t="shared" si="32"/>
        <v>1.0650000000000002</v>
      </c>
      <c r="T219" s="5">
        <f t="shared" si="37"/>
        <v>191.2</v>
      </c>
      <c r="V219" s="1">
        <v>711.1</v>
      </c>
      <c r="X219" s="1">
        <f t="shared" si="38"/>
        <v>121283.69999999997</v>
      </c>
      <c r="Y219" s="1">
        <f t="shared" si="33"/>
        <v>13702.200000000003</v>
      </c>
      <c r="AA219" s="1">
        <v>13.1473293640191</v>
      </c>
    </row>
    <row r="220" spans="1:27" s="1" customFormat="1" x14ac:dyDescent="0.25">
      <c r="A220" s="19"/>
      <c r="B220" s="16"/>
      <c r="C220" s="17">
        <v>42467</v>
      </c>
      <c r="D220" s="1">
        <v>7.4</v>
      </c>
      <c r="E220" s="1">
        <v>4.2</v>
      </c>
      <c r="F220" s="1">
        <v>10.7</v>
      </c>
      <c r="G220" s="1">
        <f t="shared" si="34"/>
        <v>2042.0999999999995</v>
      </c>
      <c r="H220" s="1">
        <f t="shared" si="30"/>
        <v>143.80000000000001</v>
      </c>
      <c r="J220" s="1">
        <v>1.5</v>
      </c>
      <c r="K220" s="1">
        <f t="shared" si="35"/>
        <v>451.50000000000017</v>
      </c>
      <c r="L220" s="1">
        <v>1.8</v>
      </c>
      <c r="M220" s="1">
        <f t="shared" si="36"/>
        <v>243.70000000000005</v>
      </c>
      <c r="N220" s="1">
        <v>-0.30000000000000004</v>
      </c>
      <c r="O220" s="1">
        <f t="shared" si="39"/>
        <v>192.4</v>
      </c>
      <c r="P220" s="1">
        <v>212</v>
      </c>
      <c r="Q220" s="1">
        <v>1.1499999999999999</v>
      </c>
      <c r="R220" s="5">
        <f t="shared" si="31"/>
        <v>2.0699999999999998</v>
      </c>
      <c r="S220" s="5">
        <f t="shared" si="32"/>
        <v>-0.56999999999999984</v>
      </c>
      <c r="T220" s="5">
        <f t="shared" si="37"/>
        <v>190.63</v>
      </c>
      <c r="V220" s="1">
        <v>1501.6</v>
      </c>
      <c r="W220" s="20"/>
      <c r="X220" s="20">
        <f t="shared" si="38"/>
        <v>122785.29999999997</v>
      </c>
      <c r="Y220" s="1">
        <f t="shared" si="33"/>
        <v>15203.800000000003</v>
      </c>
      <c r="AA220" s="1">
        <v>13.204962503558599</v>
      </c>
    </row>
    <row r="221" spans="1:27" s="1" customFormat="1" ht="15" customHeight="1" x14ac:dyDescent="0.25">
      <c r="A221" s="19"/>
      <c r="B221" s="16"/>
      <c r="C221" s="17">
        <v>42468</v>
      </c>
      <c r="D221" s="1">
        <v>8.1999999999999993</v>
      </c>
      <c r="E221" s="1">
        <v>3.6</v>
      </c>
      <c r="F221" s="1">
        <v>11.5</v>
      </c>
      <c r="G221" s="1">
        <f t="shared" si="34"/>
        <v>2050.2999999999993</v>
      </c>
      <c r="H221" s="1">
        <f t="shared" si="30"/>
        <v>152</v>
      </c>
      <c r="J221" s="1">
        <v>3.3</v>
      </c>
      <c r="K221" s="1">
        <f t="shared" si="35"/>
        <v>454.80000000000018</v>
      </c>
      <c r="L221" s="1">
        <v>1.6</v>
      </c>
      <c r="M221" s="1">
        <f t="shared" si="36"/>
        <v>245.30000000000004</v>
      </c>
      <c r="N221" s="1">
        <v>1.6999999999999997</v>
      </c>
      <c r="O221" s="1">
        <f t="shared" si="39"/>
        <v>194.1</v>
      </c>
      <c r="P221" s="1">
        <v>213</v>
      </c>
      <c r="Q221" s="1">
        <v>1.1499999999999999</v>
      </c>
      <c r="R221" s="5">
        <f t="shared" si="31"/>
        <v>1.8399999999999999</v>
      </c>
      <c r="S221" s="5">
        <f t="shared" si="32"/>
        <v>1.46</v>
      </c>
      <c r="T221" s="5">
        <f t="shared" si="37"/>
        <v>192.09</v>
      </c>
      <c r="U221" s="13"/>
      <c r="V221" s="1">
        <v>1151.5</v>
      </c>
      <c r="X221" s="1">
        <f t="shared" si="38"/>
        <v>123936.79999999997</v>
      </c>
      <c r="Y221" s="1">
        <f t="shared" si="33"/>
        <v>16355.300000000003</v>
      </c>
      <c r="AA221" s="1">
        <v>13.2624631135172</v>
      </c>
    </row>
    <row r="222" spans="1:27" s="1" customFormat="1" x14ac:dyDescent="0.25">
      <c r="A222" s="19"/>
      <c r="B222" s="16"/>
      <c r="C222" s="17">
        <v>42469</v>
      </c>
      <c r="D222" s="1">
        <v>7.6</v>
      </c>
      <c r="E222" s="1">
        <v>7.6</v>
      </c>
      <c r="F222" s="1">
        <v>10</v>
      </c>
      <c r="G222" s="1">
        <f t="shared" si="34"/>
        <v>2057.8999999999992</v>
      </c>
      <c r="H222" s="1">
        <f t="shared" si="30"/>
        <v>159.6</v>
      </c>
      <c r="J222" s="1">
        <v>1.5</v>
      </c>
      <c r="K222" s="1">
        <f t="shared" si="35"/>
        <v>456.30000000000018</v>
      </c>
      <c r="L222" s="1">
        <v>1.8</v>
      </c>
      <c r="M222" s="1">
        <f t="shared" si="36"/>
        <v>247.10000000000005</v>
      </c>
      <c r="N222" s="1">
        <v>-0.30000000000000004</v>
      </c>
      <c r="O222" s="1">
        <f t="shared" si="39"/>
        <v>193.79999999999998</v>
      </c>
      <c r="P222" s="1">
        <v>214</v>
      </c>
      <c r="Q222" s="1">
        <v>1.1499999999999999</v>
      </c>
      <c r="R222" s="5">
        <f t="shared" si="31"/>
        <v>2.0699999999999998</v>
      </c>
      <c r="S222" s="5">
        <f t="shared" si="32"/>
        <v>-0.56999999999999984</v>
      </c>
      <c r="T222" s="5">
        <f t="shared" si="37"/>
        <v>191.52</v>
      </c>
      <c r="V222" s="1">
        <v>1076.0999999999999</v>
      </c>
      <c r="X222" s="1">
        <f t="shared" si="38"/>
        <v>125012.89999999998</v>
      </c>
      <c r="Y222" s="1">
        <f t="shared" si="33"/>
        <v>17431.400000000001</v>
      </c>
      <c r="AA222" s="1">
        <v>13.319822907690501</v>
      </c>
    </row>
    <row r="223" spans="1:27" s="1" customFormat="1" x14ac:dyDescent="0.25">
      <c r="A223" s="19"/>
      <c r="B223" s="16"/>
      <c r="C223" s="17">
        <v>42470</v>
      </c>
      <c r="D223" s="1">
        <v>9</v>
      </c>
      <c r="E223" s="1">
        <v>3.3</v>
      </c>
      <c r="F223" s="1">
        <v>13.9</v>
      </c>
      <c r="G223" s="1">
        <f t="shared" si="34"/>
        <v>2066.8999999999992</v>
      </c>
      <c r="H223" s="1">
        <f t="shared" si="30"/>
        <v>168.6</v>
      </c>
      <c r="J223" s="1">
        <v>1</v>
      </c>
      <c r="K223" s="1">
        <f t="shared" si="35"/>
        <v>457.30000000000018</v>
      </c>
      <c r="L223" s="1">
        <v>1.2</v>
      </c>
      <c r="M223" s="1">
        <f t="shared" si="36"/>
        <v>248.30000000000004</v>
      </c>
      <c r="N223" s="1">
        <v>-0.19999999999999996</v>
      </c>
      <c r="O223" s="1">
        <f t="shared" si="39"/>
        <v>193.6</v>
      </c>
      <c r="P223" s="1">
        <v>215</v>
      </c>
      <c r="Q223" s="1">
        <v>1.1499999999999999</v>
      </c>
      <c r="R223" s="5">
        <f t="shared" si="31"/>
        <v>1.38</v>
      </c>
      <c r="S223" s="5">
        <f t="shared" si="32"/>
        <v>-0.37999999999999989</v>
      </c>
      <c r="T223" s="5">
        <f t="shared" si="37"/>
        <v>191.14000000000001</v>
      </c>
      <c r="V223" s="1">
        <v>675.5</v>
      </c>
      <c r="X223" s="1">
        <f t="shared" si="38"/>
        <v>125688.39999999998</v>
      </c>
      <c r="Y223" s="1">
        <f t="shared" si="33"/>
        <v>18106.900000000001</v>
      </c>
      <c r="AA223" s="1">
        <v>13.3770333128915</v>
      </c>
    </row>
    <row r="224" spans="1:27" s="32" customFormat="1" ht="15.75" thickBot="1" x14ac:dyDescent="0.3">
      <c r="A224" s="40" t="s">
        <v>22</v>
      </c>
      <c r="B224" s="41"/>
      <c r="C224" s="42">
        <v>42471</v>
      </c>
      <c r="D224" s="32">
        <v>9.9</v>
      </c>
      <c r="E224" s="32">
        <v>5.7</v>
      </c>
      <c r="F224" s="32">
        <v>14.7</v>
      </c>
      <c r="G224" s="32">
        <f t="shared" si="34"/>
        <v>2076.7999999999993</v>
      </c>
      <c r="H224" s="32">
        <f t="shared" si="30"/>
        <v>178.5</v>
      </c>
      <c r="J224" s="32">
        <v>0.6</v>
      </c>
      <c r="K224" s="32">
        <f t="shared" si="35"/>
        <v>457.9000000000002</v>
      </c>
      <c r="L224" s="32">
        <v>1.8</v>
      </c>
      <c r="M224" s="32">
        <f t="shared" si="36"/>
        <v>250.10000000000005</v>
      </c>
      <c r="N224" s="32">
        <v>-1.2000000000000002</v>
      </c>
      <c r="O224" s="32">
        <f t="shared" si="39"/>
        <v>192.4</v>
      </c>
      <c r="P224" s="32">
        <v>216</v>
      </c>
      <c r="Q224" s="36">
        <v>1.1499999999999999</v>
      </c>
      <c r="R224" s="34">
        <f t="shared" si="31"/>
        <v>2.0699999999999998</v>
      </c>
      <c r="S224" s="34">
        <f t="shared" si="32"/>
        <v>-1.4699999999999998</v>
      </c>
      <c r="T224" s="35">
        <f t="shared" si="37"/>
        <v>189.67000000000002</v>
      </c>
      <c r="V224" s="32">
        <v>1222.2</v>
      </c>
      <c r="X224" s="32">
        <f t="shared" si="38"/>
        <v>126910.59999999998</v>
      </c>
      <c r="Y224" s="36">
        <f t="shared" si="33"/>
        <v>19329.100000000002</v>
      </c>
      <c r="AA224" s="36">
        <v>13.4340854534294</v>
      </c>
    </row>
    <row r="225" spans="1:27" s="1" customFormat="1" x14ac:dyDescent="0.25">
      <c r="A225" s="55">
        <v>300</v>
      </c>
      <c r="B225" s="2"/>
      <c r="C225" s="21">
        <v>42472</v>
      </c>
      <c r="D225" s="1">
        <v>10.3</v>
      </c>
      <c r="E225" s="1">
        <v>4.0999999999999996</v>
      </c>
      <c r="F225" s="1">
        <v>17.2</v>
      </c>
      <c r="G225" s="1">
        <f t="shared" si="34"/>
        <v>2087.0999999999995</v>
      </c>
      <c r="H225" s="1">
        <v>10.3</v>
      </c>
      <c r="I225" s="22" t="s">
        <v>2</v>
      </c>
      <c r="J225" s="1">
        <v>0.8</v>
      </c>
      <c r="K225" s="1">
        <f t="shared" si="35"/>
        <v>458.70000000000022</v>
      </c>
      <c r="L225" s="1">
        <v>2</v>
      </c>
      <c r="M225" s="1">
        <f t="shared" si="36"/>
        <v>252.10000000000005</v>
      </c>
      <c r="N225" s="1">
        <v>-1.2</v>
      </c>
      <c r="O225" s="1">
        <f t="shared" si="39"/>
        <v>191.20000000000002</v>
      </c>
      <c r="P225" s="1">
        <v>217</v>
      </c>
      <c r="Q225" s="1">
        <v>1.1499999999999999</v>
      </c>
      <c r="R225" s="5">
        <f t="shared" si="31"/>
        <v>2.2999999999999998</v>
      </c>
      <c r="S225" s="5">
        <f t="shared" si="32"/>
        <v>-1.4999999999999998</v>
      </c>
      <c r="T225" s="5">
        <f t="shared" si="37"/>
        <v>188.17000000000002</v>
      </c>
      <c r="U225" s="22" t="s">
        <v>3</v>
      </c>
      <c r="V225" s="1">
        <v>1185.2</v>
      </c>
      <c r="X225" s="1">
        <f t="shared" si="38"/>
        <v>128095.79999999997</v>
      </c>
      <c r="Y225" s="1">
        <v>1185.2</v>
      </c>
      <c r="Z225" s="22" t="s">
        <v>4</v>
      </c>
      <c r="AA225" s="1">
        <v>13.490970135784</v>
      </c>
    </row>
    <row r="226" spans="1:27" s="1" customFormat="1" x14ac:dyDescent="0.25">
      <c r="A226" s="55"/>
      <c r="B226" s="2"/>
      <c r="C226" s="21">
        <v>42473</v>
      </c>
      <c r="D226" s="1">
        <v>10.4</v>
      </c>
      <c r="E226" s="1">
        <v>4.4000000000000004</v>
      </c>
      <c r="F226" s="1">
        <v>16</v>
      </c>
      <c r="G226" s="1">
        <f t="shared" si="34"/>
        <v>2097.4999999999995</v>
      </c>
      <c r="H226" s="1">
        <f t="shared" si="30"/>
        <v>20.700000000000003</v>
      </c>
      <c r="I226" s="1">
        <f>MIN(E225:E253)</f>
        <v>0</v>
      </c>
      <c r="J226" s="1">
        <v>0.2</v>
      </c>
      <c r="K226" s="1">
        <f t="shared" si="35"/>
        <v>458.9000000000002</v>
      </c>
      <c r="L226" s="1">
        <v>2.2000000000000002</v>
      </c>
      <c r="M226" s="1">
        <f t="shared" si="36"/>
        <v>254.30000000000004</v>
      </c>
      <c r="N226" s="1">
        <v>-2</v>
      </c>
      <c r="O226" s="1">
        <f t="shared" si="39"/>
        <v>189.20000000000002</v>
      </c>
      <c r="P226" s="1">
        <v>218</v>
      </c>
      <c r="Q226" s="1">
        <v>1.1499999999999999</v>
      </c>
      <c r="R226" s="5">
        <f t="shared" si="31"/>
        <v>2.5299999999999998</v>
      </c>
      <c r="S226" s="5">
        <f t="shared" si="32"/>
        <v>-2.3299999999999996</v>
      </c>
      <c r="T226" s="5">
        <f t="shared" si="37"/>
        <v>185.84</v>
      </c>
      <c r="U226" s="1">
        <v>25</v>
      </c>
      <c r="V226" s="1">
        <v>1720.6</v>
      </c>
      <c r="X226" s="1">
        <f t="shared" si="38"/>
        <v>129816.39999999998</v>
      </c>
      <c r="Y226" s="1">
        <f t="shared" si="33"/>
        <v>2905.8</v>
      </c>
      <c r="Z226" s="1">
        <v>43065.700000000012</v>
      </c>
      <c r="AA226" s="1">
        <v>13.547677833501201</v>
      </c>
    </row>
    <row r="227" spans="1:27" s="1" customFormat="1" x14ac:dyDescent="0.25">
      <c r="A227" s="55"/>
      <c r="B227" s="2"/>
      <c r="C227" s="21">
        <v>42474</v>
      </c>
      <c r="D227" s="1">
        <v>9.8000000000000007</v>
      </c>
      <c r="E227" s="1">
        <v>6.7</v>
      </c>
      <c r="F227" s="1">
        <v>12.9</v>
      </c>
      <c r="G227" s="1">
        <f t="shared" si="34"/>
        <v>2107.2999999999997</v>
      </c>
      <c r="H227" s="1">
        <f t="shared" si="30"/>
        <v>30.500000000000004</v>
      </c>
      <c r="I227" s="22" t="s">
        <v>5</v>
      </c>
      <c r="J227" s="1">
        <v>4.3</v>
      </c>
      <c r="K227" s="1">
        <f t="shared" si="35"/>
        <v>463.20000000000022</v>
      </c>
      <c r="L227" s="1">
        <v>0.8</v>
      </c>
      <c r="M227" s="1">
        <f t="shared" si="36"/>
        <v>255.10000000000005</v>
      </c>
      <c r="N227" s="1">
        <v>3.5</v>
      </c>
      <c r="O227" s="1">
        <f t="shared" si="39"/>
        <v>192.70000000000002</v>
      </c>
      <c r="P227" s="1">
        <v>219</v>
      </c>
      <c r="Q227" s="1">
        <v>1.1499999999999999</v>
      </c>
      <c r="R227" s="5">
        <f t="shared" si="31"/>
        <v>0.91999999999999993</v>
      </c>
      <c r="S227" s="5">
        <f t="shared" si="32"/>
        <v>3.38</v>
      </c>
      <c r="T227" s="5">
        <f t="shared" si="37"/>
        <v>189.22</v>
      </c>
      <c r="U227" s="22" t="s">
        <v>6</v>
      </c>
      <c r="V227" s="1">
        <v>488.1</v>
      </c>
      <c r="X227" s="1">
        <f t="shared" si="38"/>
        <v>130304.49999999999</v>
      </c>
      <c r="Y227" s="1">
        <f t="shared" si="33"/>
        <v>3393.9</v>
      </c>
      <c r="Z227" s="22" t="s">
        <v>7</v>
      </c>
      <c r="AA227" s="1">
        <v>13.6041986723355</v>
      </c>
    </row>
    <row r="228" spans="1:27" s="1" customFormat="1" x14ac:dyDescent="0.25">
      <c r="A228" s="55"/>
      <c r="B228" s="2"/>
      <c r="C228" s="21">
        <v>42475</v>
      </c>
      <c r="D228" s="1">
        <v>11.6</v>
      </c>
      <c r="E228" s="1">
        <v>9.1</v>
      </c>
      <c r="F228" s="1">
        <v>15.2</v>
      </c>
      <c r="G228" s="1">
        <f t="shared" si="34"/>
        <v>2118.8999999999996</v>
      </c>
      <c r="H228" s="1">
        <f t="shared" si="30"/>
        <v>42.1</v>
      </c>
      <c r="I228" s="1">
        <f>MAX(F225:F253)</f>
        <v>20.9</v>
      </c>
      <c r="J228" s="1">
        <v>0.1</v>
      </c>
      <c r="K228" s="1">
        <f t="shared" si="35"/>
        <v>463.30000000000024</v>
      </c>
      <c r="L228" s="1">
        <v>2.9</v>
      </c>
      <c r="M228" s="1">
        <f t="shared" si="36"/>
        <v>258.00000000000006</v>
      </c>
      <c r="N228" s="1">
        <v>-2.8</v>
      </c>
      <c r="O228" s="1">
        <f t="shared" si="39"/>
        <v>189.9</v>
      </c>
      <c r="P228" s="1">
        <v>220</v>
      </c>
      <c r="Q228" s="1">
        <v>1.1499999999999999</v>
      </c>
      <c r="R228" s="5">
        <f t="shared" si="31"/>
        <v>3.3349999999999995</v>
      </c>
      <c r="S228" s="5">
        <f t="shared" si="32"/>
        <v>-3.2349999999999994</v>
      </c>
      <c r="T228" s="5">
        <f t="shared" si="37"/>
        <v>185.98500000000001</v>
      </c>
      <c r="U228" s="1">
        <v>0</v>
      </c>
      <c r="V228" s="1">
        <v>1567.4</v>
      </c>
      <c r="X228" s="1">
        <f t="shared" si="38"/>
        <v>131871.9</v>
      </c>
      <c r="Y228" s="1">
        <f t="shared" si="33"/>
        <v>4961.3</v>
      </c>
      <c r="Z228" s="1">
        <f>(Z226/100)/I238</f>
        <v>1.3781024000000004</v>
      </c>
      <c r="AA228" s="1">
        <v>13.660522415674199</v>
      </c>
    </row>
    <row r="229" spans="1:27" s="1" customFormat="1" x14ac:dyDescent="0.25">
      <c r="A229" s="55"/>
      <c r="B229" s="2"/>
      <c r="C229" s="21">
        <v>42476</v>
      </c>
      <c r="D229" s="1">
        <v>9.1999999999999993</v>
      </c>
      <c r="E229" s="1">
        <v>8.4</v>
      </c>
      <c r="F229" s="1">
        <v>13.5</v>
      </c>
      <c r="G229" s="1">
        <f t="shared" si="34"/>
        <v>2128.0999999999995</v>
      </c>
      <c r="H229" s="1">
        <f t="shared" si="30"/>
        <v>51.3</v>
      </c>
      <c r="I229" s="22" t="s">
        <v>8</v>
      </c>
      <c r="J229" s="1">
        <v>0</v>
      </c>
      <c r="K229" s="1">
        <f t="shared" si="35"/>
        <v>463.30000000000024</v>
      </c>
      <c r="L229" s="1">
        <v>2.4</v>
      </c>
      <c r="M229" s="1">
        <f t="shared" si="36"/>
        <v>260.40000000000003</v>
      </c>
      <c r="N229" s="1">
        <v>-2.4</v>
      </c>
      <c r="O229" s="1">
        <f t="shared" si="39"/>
        <v>187.5</v>
      </c>
      <c r="P229" s="1">
        <v>221</v>
      </c>
      <c r="Q229" s="1">
        <v>1.1499999999999999</v>
      </c>
      <c r="R229" s="5">
        <f t="shared" si="31"/>
        <v>2.76</v>
      </c>
      <c r="S229" s="5">
        <f t="shared" si="32"/>
        <v>-2.76</v>
      </c>
      <c r="T229" s="5">
        <f t="shared" si="37"/>
        <v>183.22500000000002</v>
      </c>
      <c r="U229" s="22" t="s">
        <v>9</v>
      </c>
      <c r="V229" s="1">
        <v>1483.1</v>
      </c>
      <c r="X229" s="1">
        <f t="shared" si="38"/>
        <v>133355</v>
      </c>
      <c r="Y229" s="1">
        <f t="shared" si="33"/>
        <v>6444.4</v>
      </c>
      <c r="Z229" s="22" t="s">
        <v>10</v>
      </c>
      <c r="AA229" s="1">
        <v>13.7166384502749</v>
      </c>
    </row>
    <row r="230" spans="1:27" s="1" customFormat="1" x14ac:dyDescent="0.25">
      <c r="A230" s="55"/>
      <c r="B230" s="2"/>
      <c r="C230" s="21">
        <v>42477</v>
      </c>
      <c r="D230" s="1">
        <v>5.7</v>
      </c>
      <c r="E230" s="1">
        <v>1.2</v>
      </c>
      <c r="F230" s="1">
        <v>11.5</v>
      </c>
      <c r="G230" s="1">
        <f t="shared" si="34"/>
        <v>2133.7999999999993</v>
      </c>
      <c r="H230" s="1">
        <f t="shared" si="30"/>
        <v>57</v>
      </c>
      <c r="I230" s="5">
        <f>AVERAGE(D225:D253)</f>
        <v>10.775862068965518</v>
      </c>
      <c r="J230" s="1">
        <v>0</v>
      </c>
      <c r="K230" s="1">
        <f t="shared" si="35"/>
        <v>463.30000000000024</v>
      </c>
      <c r="L230" s="1">
        <v>2.1</v>
      </c>
      <c r="M230" s="1">
        <f t="shared" si="36"/>
        <v>262.50000000000006</v>
      </c>
      <c r="N230" s="1">
        <v>-2.1</v>
      </c>
      <c r="O230" s="1">
        <f t="shared" si="39"/>
        <v>185.4</v>
      </c>
      <c r="P230" s="1">
        <v>222</v>
      </c>
      <c r="Q230" s="1">
        <v>1.1499999999999999</v>
      </c>
      <c r="R230" s="5">
        <f t="shared" si="31"/>
        <v>2.415</v>
      </c>
      <c r="S230" s="5">
        <f t="shared" si="32"/>
        <v>-2.415</v>
      </c>
      <c r="T230" s="5">
        <f t="shared" si="37"/>
        <v>180.81000000000003</v>
      </c>
      <c r="U230" s="1">
        <v>0</v>
      </c>
      <c r="V230" s="1">
        <v>1582.8</v>
      </c>
      <c r="X230" s="1">
        <f t="shared" si="38"/>
        <v>134937.79999999999</v>
      </c>
      <c r="Y230" s="1">
        <f t="shared" si="33"/>
        <v>8027.2</v>
      </c>
      <c r="Z230" s="1">
        <v>8</v>
      </c>
      <c r="AA230" s="1">
        <v>13.772535772356401</v>
      </c>
    </row>
    <row r="231" spans="1:27" s="1" customFormat="1" x14ac:dyDescent="0.25">
      <c r="A231" s="55"/>
      <c r="B231" s="2"/>
      <c r="C231" s="21">
        <v>42478</v>
      </c>
      <c r="D231" s="1">
        <v>7.1</v>
      </c>
      <c r="E231" s="1">
        <v>0</v>
      </c>
      <c r="F231" s="1">
        <v>13.3</v>
      </c>
      <c r="G231" s="1">
        <f t="shared" si="34"/>
        <v>2140.8999999999992</v>
      </c>
      <c r="H231" s="1">
        <f t="shared" si="30"/>
        <v>64.099999999999994</v>
      </c>
      <c r="I231" s="22" t="s">
        <v>11</v>
      </c>
      <c r="J231" s="1">
        <v>0</v>
      </c>
      <c r="K231" s="1">
        <f t="shared" si="35"/>
        <v>463.30000000000024</v>
      </c>
      <c r="L231" s="1">
        <v>3.2</v>
      </c>
      <c r="M231" s="1">
        <f t="shared" si="36"/>
        <v>265.70000000000005</v>
      </c>
      <c r="N231" s="1">
        <v>-3.2</v>
      </c>
      <c r="O231" s="1">
        <f t="shared" si="39"/>
        <v>182.20000000000002</v>
      </c>
      <c r="P231" s="1">
        <v>223</v>
      </c>
      <c r="Q231" s="1">
        <v>1.1499999999999999</v>
      </c>
      <c r="R231" s="5">
        <f t="shared" si="31"/>
        <v>3.6799999999999997</v>
      </c>
      <c r="S231" s="5">
        <f t="shared" si="32"/>
        <v>-3.6799999999999997</v>
      </c>
      <c r="T231" s="5">
        <f t="shared" si="37"/>
        <v>177.13000000000002</v>
      </c>
      <c r="U231" s="22" t="s">
        <v>12</v>
      </c>
      <c r="V231" s="1">
        <v>2460.1999999999998</v>
      </c>
      <c r="X231" s="1">
        <f t="shared" si="38"/>
        <v>137398</v>
      </c>
      <c r="Y231" s="1">
        <f t="shared" si="33"/>
        <v>10487.4</v>
      </c>
      <c r="AA231" s="1">
        <v>13.828202974085199</v>
      </c>
    </row>
    <row r="232" spans="1:27" s="1" customFormat="1" x14ac:dyDescent="0.25">
      <c r="A232" s="55"/>
      <c r="B232" s="2"/>
      <c r="C232" s="21">
        <v>42479</v>
      </c>
      <c r="D232" s="1">
        <v>10.7</v>
      </c>
      <c r="E232" s="1">
        <v>2.7</v>
      </c>
      <c r="F232" s="1">
        <v>16.600000000000001</v>
      </c>
      <c r="G232" s="1">
        <f t="shared" si="34"/>
        <v>2151.599999999999</v>
      </c>
      <c r="H232" s="1">
        <f t="shared" si="30"/>
        <v>74.8</v>
      </c>
      <c r="I232" s="1">
        <v>0</v>
      </c>
      <c r="J232" s="1">
        <v>0</v>
      </c>
      <c r="K232" s="1">
        <f t="shared" si="35"/>
        <v>463.30000000000024</v>
      </c>
      <c r="L232" s="1">
        <v>3.5</v>
      </c>
      <c r="M232" s="1">
        <f t="shared" si="36"/>
        <v>269.20000000000005</v>
      </c>
      <c r="N232" s="1">
        <v>-3.5</v>
      </c>
      <c r="O232" s="1">
        <f t="shared" si="39"/>
        <v>178.70000000000002</v>
      </c>
      <c r="P232" s="1">
        <v>224</v>
      </c>
      <c r="Q232" s="1">
        <v>1.1499999999999999</v>
      </c>
      <c r="R232" s="5">
        <f t="shared" si="31"/>
        <v>4.0249999999999995</v>
      </c>
      <c r="S232" s="5">
        <f t="shared" si="32"/>
        <v>-4.0249999999999995</v>
      </c>
      <c r="T232" s="5">
        <f t="shared" si="37"/>
        <v>173.10500000000002</v>
      </c>
      <c r="U232" s="5">
        <f>MIN(T225:T253)</f>
        <v>146.82500000000002</v>
      </c>
      <c r="V232" s="1">
        <v>2601.9</v>
      </c>
      <c r="X232" s="1">
        <f t="shared" si="38"/>
        <v>139999.9</v>
      </c>
      <c r="Y232" s="1">
        <f t="shared" si="33"/>
        <v>13089.3</v>
      </c>
      <c r="AA232" s="1">
        <v>13.8836282305015</v>
      </c>
    </row>
    <row r="233" spans="1:27" s="1" customFormat="1" x14ac:dyDescent="0.25">
      <c r="A233" s="55"/>
      <c r="B233" s="2"/>
      <c r="C233" s="21">
        <v>42480</v>
      </c>
      <c r="D233" s="1">
        <v>13.1</v>
      </c>
      <c r="E233" s="1">
        <v>8.6</v>
      </c>
      <c r="F233" s="1">
        <v>17</v>
      </c>
      <c r="G233" s="1">
        <f t="shared" si="34"/>
        <v>2164.6999999999989</v>
      </c>
      <c r="H233" s="1">
        <f t="shared" si="30"/>
        <v>87.899999999999991</v>
      </c>
      <c r="I233" s="22" t="s">
        <v>13</v>
      </c>
      <c r="J233" s="1">
        <v>0.7</v>
      </c>
      <c r="K233" s="1">
        <f t="shared" si="35"/>
        <v>464.00000000000023</v>
      </c>
      <c r="L233" s="1">
        <v>2.7</v>
      </c>
      <c r="M233" s="1">
        <f t="shared" si="36"/>
        <v>271.90000000000003</v>
      </c>
      <c r="N233" s="1">
        <v>-2</v>
      </c>
      <c r="O233" s="1">
        <f t="shared" si="39"/>
        <v>176.70000000000002</v>
      </c>
      <c r="P233" s="1">
        <v>225</v>
      </c>
      <c r="Q233" s="1">
        <v>1.1499999999999999</v>
      </c>
      <c r="R233" s="5">
        <f t="shared" si="31"/>
        <v>3.105</v>
      </c>
      <c r="S233" s="5">
        <f t="shared" si="32"/>
        <v>-2.4050000000000002</v>
      </c>
      <c r="T233" s="5">
        <f t="shared" si="37"/>
        <v>170.70000000000002</v>
      </c>
      <c r="U233" s="22" t="s">
        <v>14</v>
      </c>
      <c r="V233" s="1">
        <v>903.4</v>
      </c>
      <c r="X233" s="1">
        <f t="shared" si="38"/>
        <v>140903.29999999999</v>
      </c>
      <c r="Y233" s="1">
        <f t="shared" si="33"/>
        <v>13992.699999999999</v>
      </c>
      <c r="AA233" s="1">
        <v>13.938799286936201</v>
      </c>
    </row>
    <row r="234" spans="1:27" s="1" customFormat="1" x14ac:dyDescent="0.25">
      <c r="A234" s="55"/>
      <c r="B234" s="2"/>
      <c r="C234" s="21">
        <v>42481</v>
      </c>
      <c r="D234" s="1">
        <v>13.9</v>
      </c>
      <c r="E234" s="1">
        <v>11.5</v>
      </c>
      <c r="F234" s="1">
        <v>17.8</v>
      </c>
      <c r="G234" s="1">
        <f t="shared" si="34"/>
        <v>2178.599999999999</v>
      </c>
      <c r="H234" s="1">
        <f t="shared" si="30"/>
        <v>101.8</v>
      </c>
      <c r="I234" s="1">
        <v>0</v>
      </c>
      <c r="J234" s="1">
        <v>8.5</v>
      </c>
      <c r="K234" s="1">
        <f t="shared" si="35"/>
        <v>472.50000000000023</v>
      </c>
      <c r="L234" s="1">
        <v>1.2</v>
      </c>
      <c r="M234" s="1">
        <f t="shared" si="36"/>
        <v>273.10000000000002</v>
      </c>
      <c r="N234" s="1">
        <v>7.3</v>
      </c>
      <c r="O234" s="1">
        <f t="shared" si="39"/>
        <v>184.00000000000003</v>
      </c>
      <c r="P234" s="1">
        <v>226</v>
      </c>
      <c r="Q234" s="1">
        <v>1.1499999999999999</v>
      </c>
      <c r="R234" s="5">
        <f t="shared" si="31"/>
        <v>1.38</v>
      </c>
      <c r="S234" s="5">
        <f t="shared" si="32"/>
        <v>7.12</v>
      </c>
      <c r="T234" s="5">
        <f t="shared" si="37"/>
        <v>177.82000000000002</v>
      </c>
      <c r="U234" s="5">
        <f>MAX(T225:T253)</f>
        <v>189.22</v>
      </c>
      <c r="V234" s="1">
        <v>337.8</v>
      </c>
      <c r="X234" s="1">
        <f t="shared" si="38"/>
        <v>141241.09999999998</v>
      </c>
      <c r="Y234" s="1">
        <f t="shared" si="33"/>
        <v>14330.499999999998</v>
      </c>
      <c r="AA234" s="1">
        <v>13.9937034469721</v>
      </c>
    </row>
    <row r="235" spans="1:27" s="1" customFormat="1" x14ac:dyDescent="0.25">
      <c r="A235" s="55"/>
      <c r="B235" s="2"/>
      <c r="C235" s="21">
        <v>42482</v>
      </c>
      <c r="D235" s="1">
        <v>12.9</v>
      </c>
      <c r="E235" s="1">
        <v>12.1</v>
      </c>
      <c r="F235" s="1">
        <v>14.5</v>
      </c>
      <c r="G235" s="1">
        <f t="shared" si="34"/>
        <v>2191.4999999999991</v>
      </c>
      <c r="H235" s="1">
        <f t="shared" si="30"/>
        <v>114.7</v>
      </c>
      <c r="I235" s="22" t="s">
        <v>15</v>
      </c>
      <c r="J235" s="1">
        <v>0.8</v>
      </c>
      <c r="K235" s="1">
        <f t="shared" si="35"/>
        <v>473.30000000000024</v>
      </c>
      <c r="L235" s="1">
        <v>1</v>
      </c>
      <c r="M235" s="1">
        <f t="shared" si="36"/>
        <v>274.10000000000002</v>
      </c>
      <c r="N235" s="1">
        <v>-0.19999999999999996</v>
      </c>
      <c r="O235" s="1">
        <f t="shared" si="39"/>
        <v>183.80000000000004</v>
      </c>
      <c r="P235" s="1">
        <v>227</v>
      </c>
      <c r="Q235" s="1">
        <v>1.1499999999999999</v>
      </c>
      <c r="R235" s="5">
        <f t="shared" si="31"/>
        <v>1.1499999999999999</v>
      </c>
      <c r="S235" s="5">
        <f t="shared" si="32"/>
        <v>-0.34999999999999987</v>
      </c>
      <c r="T235" s="5">
        <f t="shared" si="37"/>
        <v>177.47000000000003</v>
      </c>
      <c r="U235" s="22" t="s">
        <v>16</v>
      </c>
      <c r="V235" s="1">
        <v>553.6</v>
      </c>
      <c r="X235" s="1">
        <f t="shared" si="38"/>
        <v>141794.69999999998</v>
      </c>
      <c r="Y235" s="1">
        <f t="shared" si="33"/>
        <v>14884.099999999999</v>
      </c>
      <c r="AA235" s="1">
        <v>14.0483275610059</v>
      </c>
    </row>
    <row r="236" spans="1:27" s="1" customFormat="1" x14ac:dyDescent="0.25">
      <c r="A236" s="55"/>
      <c r="B236" s="2"/>
      <c r="C236" s="21">
        <v>42483</v>
      </c>
      <c r="D236" s="1">
        <v>8.8000000000000007</v>
      </c>
      <c r="E236" s="1">
        <v>8.8000000000000007</v>
      </c>
      <c r="F236" s="1">
        <v>10.4</v>
      </c>
      <c r="G236" s="1">
        <f t="shared" si="34"/>
        <v>2200.2999999999993</v>
      </c>
      <c r="H236" s="1">
        <f t="shared" si="30"/>
        <v>123.5</v>
      </c>
      <c r="I236" s="1">
        <v>13</v>
      </c>
      <c r="J236" s="1">
        <v>0</v>
      </c>
      <c r="K236" s="1">
        <f t="shared" si="35"/>
        <v>473.30000000000024</v>
      </c>
      <c r="L236" s="1">
        <v>1.4</v>
      </c>
      <c r="M236" s="1">
        <f t="shared" si="36"/>
        <v>275.5</v>
      </c>
      <c r="N236" s="1">
        <v>-1.4</v>
      </c>
      <c r="O236" s="1">
        <f t="shared" si="39"/>
        <v>182.40000000000003</v>
      </c>
      <c r="P236" s="1">
        <v>228</v>
      </c>
      <c r="Q236" s="1">
        <v>1.1499999999999999</v>
      </c>
      <c r="R236" s="5">
        <f t="shared" si="31"/>
        <v>1.6099999999999999</v>
      </c>
      <c r="S236" s="5">
        <f t="shared" si="32"/>
        <v>-1.6099999999999999</v>
      </c>
      <c r="T236" s="5">
        <f t="shared" si="37"/>
        <v>175.86</v>
      </c>
      <c r="U236" s="12">
        <f>AVERAGE(T225:T253)</f>
        <v>171.31741379310344</v>
      </c>
      <c r="V236" s="1">
        <v>648.70000000000005</v>
      </c>
      <c r="X236" s="1">
        <f t="shared" si="38"/>
        <v>142443.4</v>
      </c>
      <c r="Y236" s="1">
        <f t="shared" si="33"/>
        <v>15532.8</v>
      </c>
      <c r="AA236" s="1">
        <v>14.102658015474701</v>
      </c>
    </row>
    <row r="237" spans="1:27" s="1" customFormat="1" x14ac:dyDescent="0.25">
      <c r="A237" s="55"/>
      <c r="B237" s="2"/>
      <c r="C237" s="21">
        <v>42484</v>
      </c>
      <c r="D237" s="1">
        <v>5.8</v>
      </c>
      <c r="E237" s="1">
        <v>2.2000000000000002</v>
      </c>
      <c r="F237" s="1">
        <v>9.1</v>
      </c>
      <c r="G237" s="1">
        <f t="shared" si="34"/>
        <v>2206.0999999999995</v>
      </c>
      <c r="H237" s="1">
        <f t="shared" si="30"/>
        <v>129.30000000000001</v>
      </c>
      <c r="I237" s="22" t="s">
        <v>17</v>
      </c>
      <c r="J237" s="1">
        <v>0</v>
      </c>
      <c r="K237" s="1">
        <f t="shared" si="35"/>
        <v>473.30000000000024</v>
      </c>
      <c r="L237" s="1">
        <v>0.8</v>
      </c>
      <c r="M237" s="1">
        <f t="shared" si="36"/>
        <v>276.3</v>
      </c>
      <c r="N237" s="1">
        <v>-0.8</v>
      </c>
      <c r="O237" s="1">
        <f t="shared" si="39"/>
        <v>181.60000000000002</v>
      </c>
      <c r="P237" s="1">
        <v>229</v>
      </c>
      <c r="Q237" s="1">
        <v>1.1499999999999999</v>
      </c>
      <c r="R237" s="5">
        <f t="shared" si="31"/>
        <v>0.91999999999999993</v>
      </c>
      <c r="S237" s="5">
        <f t="shared" si="32"/>
        <v>-0.91999999999999993</v>
      </c>
      <c r="T237" s="5">
        <f t="shared" si="37"/>
        <v>174.94000000000003</v>
      </c>
      <c r="V237" s="1">
        <v>721.7</v>
      </c>
      <c r="X237" s="1">
        <f t="shared" si="38"/>
        <v>143165.1</v>
      </c>
      <c r="Y237" s="1">
        <f t="shared" si="33"/>
        <v>16254.5</v>
      </c>
      <c r="AA237" s="1">
        <v>14.156680722811201</v>
      </c>
    </row>
    <row r="238" spans="1:27" s="1" customFormat="1" x14ac:dyDescent="0.25">
      <c r="A238" s="55"/>
      <c r="B238" s="2"/>
      <c r="C238" s="21">
        <v>42485</v>
      </c>
      <c r="D238" s="1">
        <v>7.2</v>
      </c>
      <c r="E238" s="1">
        <v>1.5</v>
      </c>
      <c r="F238" s="1">
        <v>10.8</v>
      </c>
      <c r="G238" s="1">
        <f t="shared" si="34"/>
        <v>2213.2999999999993</v>
      </c>
      <c r="H238" s="1">
        <f t="shared" si="30"/>
        <v>136.5</v>
      </c>
      <c r="I238" s="1">
        <v>312.5</v>
      </c>
      <c r="J238" s="1">
        <v>0.9</v>
      </c>
      <c r="K238" s="1">
        <f t="shared" si="35"/>
        <v>474.20000000000022</v>
      </c>
      <c r="L238" s="1">
        <v>1.3</v>
      </c>
      <c r="M238" s="1">
        <f t="shared" si="36"/>
        <v>277.60000000000002</v>
      </c>
      <c r="N238" s="1">
        <v>-0.4</v>
      </c>
      <c r="O238" s="1">
        <f t="shared" si="39"/>
        <v>181.20000000000002</v>
      </c>
      <c r="P238" s="1">
        <v>230</v>
      </c>
      <c r="Q238" s="1">
        <v>1.1499999999999999</v>
      </c>
      <c r="R238" s="5">
        <f t="shared" si="31"/>
        <v>1.4949999999999999</v>
      </c>
      <c r="S238" s="5">
        <f t="shared" si="32"/>
        <v>-0.59499999999999986</v>
      </c>
      <c r="T238" s="5">
        <f t="shared" si="37"/>
        <v>174.34500000000003</v>
      </c>
      <c r="U238" s="5">
        <f>(U236*100)/197.4</f>
        <v>86.786937078573175</v>
      </c>
      <c r="V238" s="1">
        <v>1063.5999999999999</v>
      </c>
      <c r="X238" s="1">
        <f t="shared" si="38"/>
        <v>144228.70000000001</v>
      </c>
      <c r="Y238" s="1">
        <f t="shared" si="33"/>
        <v>17318.099999999999</v>
      </c>
      <c r="AA238" s="1">
        <v>14.210381112199199</v>
      </c>
    </row>
    <row r="239" spans="1:27" s="1" customFormat="1" x14ac:dyDescent="0.25">
      <c r="A239" s="55"/>
      <c r="B239" s="2"/>
      <c r="C239" s="21">
        <v>42486</v>
      </c>
      <c r="D239" s="1">
        <v>6.9</v>
      </c>
      <c r="E239" s="1">
        <v>6.5</v>
      </c>
      <c r="F239" s="1">
        <v>9</v>
      </c>
      <c r="G239" s="1">
        <f t="shared" si="34"/>
        <v>2220.1999999999994</v>
      </c>
      <c r="H239" s="1">
        <f t="shared" si="30"/>
        <v>143.4</v>
      </c>
      <c r="J239" s="1">
        <v>0.1</v>
      </c>
      <c r="K239" s="1">
        <f t="shared" si="35"/>
        <v>474.30000000000024</v>
      </c>
      <c r="L239" s="1">
        <v>2.5</v>
      </c>
      <c r="M239" s="1">
        <f t="shared" si="36"/>
        <v>280.10000000000002</v>
      </c>
      <c r="N239" s="1">
        <v>-2.4</v>
      </c>
      <c r="O239" s="1">
        <f t="shared" si="39"/>
        <v>178.8</v>
      </c>
      <c r="P239" s="1">
        <v>231</v>
      </c>
      <c r="Q239" s="1">
        <v>1.1499999999999999</v>
      </c>
      <c r="R239" s="5">
        <f t="shared" si="31"/>
        <v>2.875</v>
      </c>
      <c r="S239" s="5">
        <f t="shared" si="32"/>
        <v>-2.7749999999999999</v>
      </c>
      <c r="T239" s="5">
        <f t="shared" si="37"/>
        <v>171.57000000000002</v>
      </c>
      <c r="V239" s="1">
        <v>1562.2</v>
      </c>
      <c r="X239" s="1">
        <f t="shared" si="38"/>
        <v>145790.90000000002</v>
      </c>
      <c r="Y239" s="1">
        <f t="shared" si="33"/>
        <v>18880.3</v>
      </c>
      <c r="AA239" s="1">
        <v>14.2637441212025</v>
      </c>
    </row>
    <row r="240" spans="1:27" s="1" customFormat="1" x14ac:dyDescent="0.25">
      <c r="A240" s="55"/>
      <c r="B240" s="2"/>
      <c r="C240" s="21">
        <v>42487</v>
      </c>
      <c r="D240" s="1">
        <v>5.4</v>
      </c>
      <c r="E240" s="1">
        <v>1.5</v>
      </c>
      <c r="F240" s="1">
        <v>11.5</v>
      </c>
      <c r="G240" s="1">
        <f t="shared" si="34"/>
        <v>2225.5999999999995</v>
      </c>
      <c r="H240" s="1">
        <f t="shared" si="30"/>
        <v>148.80000000000001</v>
      </c>
      <c r="J240" s="1">
        <v>1.6</v>
      </c>
      <c r="K240" s="1">
        <f t="shared" si="35"/>
        <v>475.90000000000026</v>
      </c>
      <c r="L240" s="1">
        <v>2.2999999999999998</v>
      </c>
      <c r="M240" s="1">
        <f t="shared" si="36"/>
        <v>282.40000000000003</v>
      </c>
      <c r="N240" s="1">
        <v>-0.69999999999999973</v>
      </c>
      <c r="O240" s="1">
        <f t="shared" si="39"/>
        <v>178.10000000000002</v>
      </c>
      <c r="P240" s="1">
        <v>232</v>
      </c>
      <c r="Q240" s="1">
        <v>1.1499999999999999</v>
      </c>
      <c r="R240" s="5">
        <f t="shared" si="31"/>
        <v>2.6449999999999996</v>
      </c>
      <c r="S240" s="5">
        <f t="shared" si="32"/>
        <v>-1.0449999999999995</v>
      </c>
      <c r="T240" s="5">
        <f t="shared" si="37"/>
        <v>170.52500000000003</v>
      </c>
      <c r="V240" s="1">
        <v>1637.5</v>
      </c>
      <c r="X240" s="1">
        <f t="shared" si="38"/>
        <v>147428.40000000002</v>
      </c>
      <c r="Y240" s="1">
        <f t="shared" si="33"/>
        <v>20517.8</v>
      </c>
      <c r="AA240" s="1">
        <v>14.316754188346501</v>
      </c>
    </row>
    <row r="241" spans="1:27" s="1" customFormat="1" x14ac:dyDescent="0.25">
      <c r="A241" s="55"/>
      <c r="B241" s="2"/>
      <c r="C241" s="21">
        <v>42488</v>
      </c>
      <c r="D241" s="1">
        <v>6.7</v>
      </c>
      <c r="E241" s="1">
        <v>2.2000000000000002</v>
      </c>
      <c r="F241" s="1">
        <v>10.6</v>
      </c>
      <c r="G241" s="1">
        <f t="shared" si="34"/>
        <v>2232.2999999999993</v>
      </c>
      <c r="H241" s="1">
        <f t="shared" si="30"/>
        <v>155.5</v>
      </c>
      <c r="J241" s="1">
        <v>0</v>
      </c>
      <c r="K241" s="1">
        <f t="shared" si="35"/>
        <v>475.90000000000026</v>
      </c>
      <c r="L241" s="1">
        <v>1.9</v>
      </c>
      <c r="M241" s="1">
        <f t="shared" si="36"/>
        <v>284.3</v>
      </c>
      <c r="N241" s="1">
        <v>-1.9</v>
      </c>
      <c r="O241" s="1">
        <f t="shared" si="39"/>
        <v>176.20000000000002</v>
      </c>
      <c r="P241" s="1">
        <v>233</v>
      </c>
      <c r="Q241" s="1">
        <v>1.1499999999999999</v>
      </c>
      <c r="R241" s="5">
        <f t="shared" si="31"/>
        <v>2.1849999999999996</v>
      </c>
      <c r="S241" s="5">
        <f t="shared" si="32"/>
        <v>-2.1849999999999996</v>
      </c>
      <c r="T241" s="5">
        <f t="shared" si="37"/>
        <v>168.34000000000003</v>
      </c>
      <c r="V241" s="1">
        <v>1577.1</v>
      </c>
      <c r="X241" s="1">
        <f t="shared" si="38"/>
        <v>149005.50000000003</v>
      </c>
      <c r="Y241" s="1">
        <f t="shared" si="33"/>
        <v>22094.899999999998</v>
      </c>
      <c r="AA241" s="1">
        <v>14.3693952467345</v>
      </c>
    </row>
    <row r="242" spans="1:27" s="1" customFormat="1" x14ac:dyDescent="0.25">
      <c r="A242" s="55"/>
      <c r="B242" s="2"/>
      <c r="C242" s="21">
        <v>42489</v>
      </c>
      <c r="D242" s="1">
        <v>7.9</v>
      </c>
      <c r="E242" s="1">
        <v>4.7</v>
      </c>
      <c r="F242" s="1">
        <v>13.4</v>
      </c>
      <c r="G242" s="1">
        <f t="shared" si="34"/>
        <v>2240.1999999999994</v>
      </c>
      <c r="H242" s="1">
        <f t="shared" si="30"/>
        <v>163.4</v>
      </c>
      <c r="J242" s="1">
        <v>14.1</v>
      </c>
      <c r="K242" s="1">
        <f t="shared" si="35"/>
        <v>490.00000000000028</v>
      </c>
      <c r="L242" s="1">
        <v>1.4</v>
      </c>
      <c r="M242" s="1">
        <f t="shared" si="36"/>
        <v>285.7</v>
      </c>
      <c r="N242" s="1">
        <v>12.7</v>
      </c>
      <c r="O242" s="1">
        <f t="shared" si="39"/>
        <v>188.9</v>
      </c>
      <c r="P242" s="1">
        <v>234</v>
      </c>
      <c r="Q242" s="1">
        <v>1.1499999999999999</v>
      </c>
      <c r="R242" s="5">
        <f t="shared" si="31"/>
        <v>1.6099999999999999</v>
      </c>
      <c r="S242" s="5">
        <f t="shared" si="32"/>
        <v>12.49</v>
      </c>
      <c r="T242" s="5">
        <f t="shared" si="37"/>
        <v>180.83000000000004</v>
      </c>
      <c r="V242" s="1">
        <v>853.1</v>
      </c>
      <c r="X242" s="1">
        <f t="shared" si="38"/>
        <v>149858.60000000003</v>
      </c>
      <c r="Y242" s="1">
        <f t="shared" si="33"/>
        <v>22947.999999999996</v>
      </c>
      <c r="AA242" s="1">
        <v>14.421650718784701</v>
      </c>
    </row>
    <row r="243" spans="1:27" s="1" customFormat="1" x14ac:dyDescent="0.25">
      <c r="A243" s="55"/>
      <c r="B243" s="2"/>
      <c r="C243" s="21">
        <v>42490</v>
      </c>
      <c r="D243" s="1">
        <v>7.9</v>
      </c>
      <c r="E243" s="1">
        <v>4.3</v>
      </c>
      <c r="F243" s="1">
        <v>12.4</v>
      </c>
      <c r="G243" s="1">
        <f t="shared" si="34"/>
        <v>2248.0999999999995</v>
      </c>
      <c r="H243" s="1">
        <f t="shared" si="30"/>
        <v>171.3</v>
      </c>
      <c r="J243" s="1">
        <v>0</v>
      </c>
      <c r="K243" s="1">
        <f t="shared" si="35"/>
        <v>490.00000000000028</v>
      </c>
      <c r="L243" s="1">
        <v>2.9</v>
      </c>
      <c r="M243" s="1">
        <f t="shared" si="36"/>
        <v>288.59999999999997</v>
      </c>
      <c r="N243" s="1">
        <v>-2.9</v>
      </c>
      <c r="O243" s="1">
        <f t="shared" si="39"/>
        <v>186</v>
      </c>
      <c r="P243" s="1">
        <v>235</v>
      </c>
      <c r="Q243" s="1">
        <v>1.1499999999999999</v>
      </c>
      <c r="R243" s="5">
        <f t="shared" si="31"/>
        <v>3.3349999999999995</v>
      </c>
      <c r="S243" s="5">
        <f t="shared" si="32"/>
        <v>-3.3349999999999995</v>
      </c>
      <c r="T243" s="5">
        <f t="shared" si="37"/>
        <v>177.49500000000003</v>
      </c>
      <c r="V243" s="1">
        <v>2004.2</v>
      </c>
      <c r="X243" s="1">
        <f t="shared" si="38"/>
        <v>151862.80000000005</v>
      </c>
      <c r="Y243" s="1">
        <f t="shared" si="33"/>
        <v>24952.199999999997</v>
      </c>
      <c r="AA243" s="1">
        <v>14.4735035121777</v>
      </c>
    </row>
    <row r="244" spans="1:27" s="1" customFormat="1" x14ac:dyDescent="0.25">
      <c r="A244" s="55"/>
      <c r="B244" s="2"/>
      <c r="C244" s="21">
        <v>42491</v>
      </c>
      <c r="D244" s="1">
        <v>9.3000000000000007</v>
      </c>
      <c r="E244" s="1">
        <v>2.1</v>
      </c>
      <c r="F244" s="1">
        <v>15</v>
      </c>
      <c r="G244" s="1">
        <f t="shared" si="34"/>
        <v>2257.3999999999996</v>
      </c>
      <c r="H244" s="1">
        <f t="shared" si="30"/>
        <v>180.60000000000002</v>
      </c>
      <c r="J244" s="1">
        <v>0</v>
      </c>
      <c r="K244" s="1">
        <f t="shared" si="35"/>
        <v>490.00000000000028</v>
      </c>
      <c r="L244" s="1">
        <v>3.4</v>
      </c>
      <c r="M244" s="1">
        <f t="shared" si="36"/>
        <v>291.99999999999994</v>
      </c>
      <c r="N244" s="1">
        <v>-3.4</v>
      </c>
      <c r="O244" s="1">
        <f t="shared" si="39"/>
        <v>182.6</v>
      </c>
      <c r="P244" s="1">
        <v>236</v>
      </c>
      <c r="Q244" s="1">
        <v>1.1499999999999999</v>
      </c>
      <c r="R244" s="5">
        <f t="shared" si="31"/>
        <v>3.9099999999999997</v>
      </c>
      <c r="S244" s="5">
        <f t="shared" si="32"/>
        <v>-3.9099999999999997</v>
      </c>
      <c r="T244" s="5">
        <f t="shared" si="37"/>
        <v>173.58500000000004</v>
      </c>
      <c r="V244" s="1">
        <v>2451.6999999999998</v>
      </c>
      <c r="X244" s="1">
        <f t="shared" si="38"/>
        <v>154314.50000000006</v>
      </c>
      <c r="Y244" s="1">
        <f t="shared" si="33"/>
        <v>27403.899999999998</v>
      </c>
      <c r="AA244" s="1">
        <v>14.5249360171082</v>
      </c>
    </row>
    <row r="245" spans="1:27" s="1" customFormat="1" x14ac:dyDescent="0.25">
      <c r="A245" s="55"/>
      <c r="B245" s="2"/>
      <c r="C245" s="21">
        <v>42492</v>
      </c>
      <c r="D245" s="1">
        <v>12.4</v>
      </c>
      <c r="E245" s="1">
        <v>8.3000000000000007</v>
      </c>
      <c r="F245" s="1">
        <v>15.5</v>
      </c>
      <c r="G245" s="1">
        <f t="shared" si="34"/>
        <v>2269.7999999999997</v>
      </c>
      <c r="H245" s="1">
        <f t="shared" si="30"/>
        <v>193.00000000000003</v>
      </c>
      <c r="J245" s="1">
        <v>0</v>
      </c>
      <c r="K245" s="1">
        <f t="shared" si="35"/>
        <v>490.00000000000028</v>
      </c>
      <c r="L245" s="1">
        <v>1.2</v>
      </c>
      <c r="M245" s="1">
        <f t="shared" si="36"/>
        <v>293.19999999999993</v>
      </c>
      <c r="N245" s="1">
        <v>-1.2</v>
      </c>
      <c r="O245" s="1">
        <f t="shared" si="39"/>
        <v>181.4</v>
      </c>
      <c r="P245" s="1">
        <v>237</v>
      </c>
      <c r="Q245" s="1">
        <v>1.1499999999999999</v>
      </c>
      <c r="R245" s="5">
        <f t="shared" si="31"/>
        <v>1.38</v>
      </c>
      <c r="S245" s="5">
        <f t="shared" si="32"/>
        <v>-1.38</v>
      </c>
      <c r="T245" s="5">
        <f t="shared" si="37"/>
        <v>172.20500000000004</v>
      </c>
      <c r="V245" s="1">
        <v>701.4</v>
      </c>
      <c r="X245" s="1">
        <f t="shared" si="38"/>
        <v>155015.90000000005</v>
      </c>
      <c r="Y245" s="1">
        <f t="shared" si="33"/>
        <v>28105.3</v>
      </c>
      <c r="AA245" s="1">
        <v>14.575930104935701</v>
      </c>
    </row>
    <row r="246" spans="1:27" s="1" customFormat="1" x14ac:dyDescent="0.25">
      <c r="A246" s="55"/>
      <c r="B246" s="2"/>
      <c r="C246" s="21">
        <v>42493</v>
      </c>
      <c r="D246" s="1">
        <v>10.6</v>
      </c>
      <c r="E246" s="1">
        <v>6.4</v>
      </c>
      <c r="F246" s="1">
        <v>14.9</v>
      </c>
      <c r="G246" s="1">
        <f t="shared" si="34"/>
        <v>2280.3999999999996</v>
      </c>
      <c r="H246" s="1">
        <f t="shared" si="30"/>
        <v>203.60000000000002</v>
      </c>
      <c r="J246" s="1">
        <v>0</v>
      </c>
      <c r="K246" s="1">
        <f t="shared" si="35"/>
        <v>490.00000000000028</v>
      </c>
      <c r="L246" s="1">
        <v>3.1</v>
      </c>
      <c r="M246" s="1">
        <f t="shared" si="36"/>
        <v>296.29999999999995</v>
      </c>
      <c r="N246" s="1">
        <v>-3.1</v>
      </c>
      <c r="O246" s="1">
        <f t="shared" si="39"/>
        <v>178.3</v>
      </c>
      <c r="P246" s="1">
        <v>238</v>
      </c>
      <c r="Q246" s="1">
        <v>1.1499999999999999</v>
      </c>
      <c r="R246" s="5">
        <f t="shared" si="31"/>
        <v>3.5649999999999999</v>
      </c>
      <c r="S246" s="5">
        <f t="shared" si="32"/>
        <v>-3.5649999999999999</v>
      </c>
      <c r="T246" s="5">
        <f t="shared" si="37"/>
        <v>168.64000000000004</v>
      </c>
      <c r="V246" s="1">
        <v>2156.1999999999998</v>
      </c>
      <c r="X246" s="1">
        <f t="shared" si="38"/>
        <v>157172.10000000006</v>
      </c>
      <c r="Y246" s="1">
        <f t="shared" si="33"/>
        <v>30261.5</v>
      </c>
      <c r="AA246" s="1">
        <v>14.6264671283348</v>
      </c>
    </row>
    <row r="247" spans="1:27" s="1" customFormat="1" x14ac:dyDescent="0.25">
      <c r="A247" s="55"/>
      <c r="B247" s="2"/>
      <c r="C247" s="21">
        <v>42494</v>
      </c>
      <c r="D247" s="1">
        <v>11.9</v>
      </c>
      <c r="E247" s="1">
        <v>4.4000000000000004</v>
      </c>
      <c r="F247" s="1">
        <v>18.100000000000001</v>
      </c>
      <c r="G247" s="1">
        <f t="shared" si="34"/>
        <v>2292.2999999999997</v>
      </c>
      <c r="H247" s="1">
        <f t="shared" si="30"/>
        <v>215.50000000000003</v>
      </c>
      <c r="J247" s="1">
        <v>0</v>
      </c>
      <c r="K247" s="1">
        <f t="shared" si="35"/>
        <v>490.00000000000028</v>
      </c>
      <c r="L247" s="1">
        <v>4.4000000000000004</v>
      </c>
      <c r="M247" s="1">
        <f t="shared" si="36"/>
        <v>300.69999999999993</v>
      </c>
      <c r="N247" s="1">
        <v>-4.4000000000000004</v>
      </c>
      <c r="O247" s="1">
        <f t="shared" si="39"/>
        <v>173.9</v>
      </c>
      <c r="P247" s="1">
        <v>239</v>
      </c>
      <c r="Q247" s="1">
        <v>1.1499999999999999</v>
      </c>
      <c r="R247" s="5">
        <f t="shared" si="31"/>
        <v>5.0599999999999996</v>
      </c>
      <c r="S247" s="5">
        <f t="shared" si="32"/>
        <v>-5.0599999999999996</v>
      </c>
      <c r="T247" s="5">
        <f t="shared" si="37"/>
        <v>163.58000000000004</v>
      </c>
      <c r="V247" s="1">
        <v>2890.8</v>
      </c>
      <c r="X247" s="1">
        <f t="shared" si="38"/>
        <v>160062.90000000005</v>
      </c>
      <c r="Y247" s="1">
        <f t="shared" si="33"/>
        <v>33152.300000000003</v>
      </c>
      <c r="AA247" s="1">
        <v>14.676527923044199</v>
      </c>
    </row>
    <row r="248" spans="1:27" s="1" customFormat="1" x14ac:dyDescent="0.25">
      <c r="A248" s="55"/>
      <c r="B248" s="2"/>
      <c r="C248" s="21">
        <v>42495</v>
      </c>
      <c r="D248" s="1">
        <v>15.1</v>
      </c>
      <c r="E248" s="1">
        <v>8.4</v>
      </c>
      <c r="F248" s="1">
        <v>20.6</v>
      </c>
      <c r="G248" s="1">
        <f t="shared" si="34"/>
        <v>2307.3999999999996</v>
      </c>
      <c r="H248" s="1">
        <f t="shared" si="30"/>
        <v>230.60000000000002</v>
      </c>
      <c r="J248" s="1">
        <v>0</v>
      </c>
      <c r="K248" s="1">
        <f t="shared" si="35"/>
        <v>490.00000000000028</v>
      </c>
      <c r="L248" s="1">
        <v>5.0999999999999996</v>
      </c>
      <c r="M248" s="1">
        <f t="shared" si="36"/>
        <v>305.79999999999995</v>
      </c>
      <c r="N248" s="1">
        <v>-5.0999999999999996</v>
      </c>
      <c r="O248" s="1">
        <f t="shared" si="39"/>
        <v>168.8</v>
      </c>
      <c r="P248" s="1">
        <v>240</v>
      </c>
      <c r="Q248" s="1">
        <v>1.1499999999999999</v>
      </c>
      <c r="R248" s="5">
        <f t="shared" si="31"/>
        <v>5.8649999999999993</v>
      </c>
      <c r="S248" s="5">
        <f t="shared" si="32"/>
        <v>-5.8649999999999993</v>
      </c>
      <c r="T248" s="5">
        <f t="shared" si="37"/>
        <v>157.71500000000003</v>
      </c>
      <c r="V248" s="1">
        <v>2841.4</v>
      </c>
      <c r="X248" s="1">
        <f t="shared" si="38"/>
        <v>162904.30000000005</v>
      </c>
      <c r="Y248" s="1">
        <f t="shared" si="33"/>
        <v>35993.700000000004</v>
      </c>
      <c r="AA248" s="1">
        <v>14.7260928113191</v>
      </c>
    </row>
    <row r="249" spans="1:27" s="1" customFormat="1" x14ac:dyDescent="0.25">
      <c r="A249" s="55"/>
      <c r="B249" s="2"/>
      <c r="C249" s="21">
        <v>42496</v>
      </c>
      <c r="D249" s="1">
        <v>15.8</v>
      </c>
      <c r="E249" s="1">
        <v>10.4</v>
      </c>
      <c r="F249" s="1">
        <v>20.2</v>
      </c>
      <c r="G249" s="1">
        <f t="shared" si="34"/>
        <v>2323.1999999999998</v>
      </c>
      <c r="H249" s="1">
        <f t="shared" si="30"/>
        <v>246.40000000000003</v>
      </c>
      <c r="J249" s="1">
        <v>0.5</v>
      </c>
      <c r="K249" s="1">
        <f t="shared" si="35"/>
        <v>490.50000000000028</v>
      </c>
      <c r="L249" s="1">
        <v>3.4</v>
      </c>
      <c r="M249" s="1">
        <f t="shared" si="36"/>
        <v>309.19999999999993</v>
      </c>
      <c r="N249" s="1">
        <v>-2.9</v>
      </c>
      <c r="O249" s="1">
        <f t="shared" si="39"/>
        <v>165.9</v>
      </c>
      <c r="P249" s="1">
        <v>241</v>
      </c>
      <c r="Q249" s="1">
        <v>1.1499999999999999</v>
      </c>
      <c r="R249" s="5">
        <f t="shared" si="31"/>
        <v>3.9099999999999997</v>
      </c>
      <c r="S249" s="5">
        <f t="shared" si="32"/>
        <v>-3.4099999999999997</v>
      </c>
      <c r="T249" s="5">
        <f t="shared" si="37"/>
        <v>154.30500000000004</v>
      </c>
      <c r="V249" s="1">
        <v>1865.3</v>
      </c>
      <c r="X249" s="1">
        <f t="shared" si="38"/>
        <v>164769.60000000003</v>
      </c>
      <c r="Y249" s="1">
        <f t="shared" si="33"/>
        <v>37859.000000000007</v>
      </c>
      <c r="AA249" s="1">
        <v>14.7751416071881</v>
      </c>
    </row>
    <row r="250" spans="1:27" s="1" customFormat="1" x14ac:dyDescent="0.25">
      <c r="A250" s="55"/>
      <c r="B250" s="2"/>
      <c r="C250" s="21">
        <v>42497</v>
      </c>
      <c r="D250" s="1">
        <v>17.2</v>
      </c>
      <c r="E250" s="1">
        <v>14.2</v>
      </c>
      <c r="F250" s="1">
        <v>20.9</v>
      </c>
      <c r="G250" s="1">
        <f t="shared" si="34"/>
        <v>2340.3999999999996</v>
      </c>
      <c r="H250" s="1">
        <f t="shared" si="30"/>
        <v>263.60000000000002</v>
      </c>
      <c r="J250" s="1">
        <v>0.8</v>
      </c>
      <c r="K250" s="1">
        <f t="shared" si="35"/>
        <v>491.3000000000003</v>
      </c>
      <c r="L250" s="1">
        <v>3</v>
      </c>
      <c r="M250" s="1">
        <f t="shared" si="36"/>
        <v>312.19999999999993</v>
      </c>
      <c r="N250" s="1">
        <v>-2.2000000000000002</v>
      </c>
      <c r="O250" s="1">
        <f t="shared" si="39"/>
        <v>163.70000000000002</v>
      </c>
      <c r="P250" s="1">
        <v>242</v>
      </c>
      <c r="Q250" s="1">
        <v>1.1499999999999999</v>
      </c>
      <c r="R250" s="5">
        <f t="shared" si="31"/>
        <v>3.4499999999999997</v>
      </c>
      <c r="S250" s="5">
        <f t="shared" si="32"/>
        <v>-2.6499999999999995</v>
      </c>
      <c r="T250" s="5">
        <f t="shared" si="37"/>
        <v>151.65500000000003</v>
      </c>
      <c r="V250" s="1">
        <v>1326.2</v>
      </c>
      <c r="X250" s="1">
        <f t="shared" si="38"/>
        <v>166095.80000000005</v>
      </c>
      <c r="Y250" s="1">
        <f t="shared" si="33"/>
        <v>39185.200000000004</v>
      </c>
      <c r="AA250" s="1">
        <v>14.823653623621601</v>
      </c>
    </row>
    <row r="251" spans="1:27" s="1" customFormat="1" x14ac:dyDescent="0.25">
      <c r="A251" s="55"/>
      <c r="B251" s="2"/>
      <c r="C251" s="21">
        <v>42498</v>
      </c>
      <c r="D251" s="1">
        <v>17.399999999999999</v>
      </c>
      <c r="E251" s="1">
        <v>14.1</v>
      </c>
      <c r="F251" s="1">
        <v>20.399999999999999</v>
      </c>
      <c r="G251" s="1">
        <f t="shared" si="34"/>
        <v>2357.7999999999997</v>
      </c>
      <c r="H251" s="1">
        <f t="shared" si="30"/>
        <v>281</v>
      </c>
      <c r="J251" s="1">
        <v>0</v>
      </c>
      <c r="K251" s="1">
        <f t="shared" si="35"/>
        <v>491.3000000000003</v>
      </c>
      <c r="L251" s="1">
        <v>3.5</v>
      </c>
      <c r="M251" s="1">
        <f t="shared" si="36"/>
        <v>315.69999999999993</v>
      </c>
      <c r="N251" s="1">
        <v>-3.5</v>
      </c>
      <c r="O251" s="1">
        <f t="shared" si="39"/>
        <v>160.20000000000002</v>
      </c>
      <c r="P251" s="1">
        <v>243</v>
      </c>
      <c r="Q251" s="1">
        <v>1.1499999999999999</v>
      </c>
      <c r="R251" s="5">
        <f t="shared" si="31"/>
        <v>4.0249999999999995</v>
      </c>
      <c r="S251" s="5">
        <f t="shared" si="32"/>
        <v>-4.0249999999999995</v>
      </c>
      <c r="T251" s="5">
        <f t="shared" si="37"/>
        <v>147.63000000000002</v>
      </c>
      <c r="V251" s="1">
        <v>1556.8</v>
      </c>
      <c r="W251" s="20"/>
      <c r="X251" s="20">
        <f t="shared" si="38"/>
        <v>167652.60000000003</v>
      </c>
      <c r="Y251" s="1">
        <f t="shared" si="33"/>
        <v>40742.000000000007</v>
      </c>
      <c r="AA251" s="1">
        <v>14.8716076817126</v>
      </c>
    </row>
    <row r="252" spans="1:27" s="1" customFormat="1" ht="15" customHeight="1" x14ac:dyDescent="0.25">
      <c r="A252" s="55"/>
      <c r="B252" s="2"/>
      <c r="C252" s="21">
        <v>42499</v>
      </c>
      <c r="D252" s="1">
        <v>16.3</v>
      </c>
      <c r="E252" s="1">
        <v>15.1</v>
      </c>
      <c r="F252" s="1">
        <v>17.8</v>
      </c>
      <c r="G252" s="1">
        <f t="shared" si="34"/>
        <v>2374.1</v>
      </c>
      <c r="H252" s="1">
        <f t="shared" si="30"/>
        <v>297.3</v>
      </c>
      <c r="J252" s="1">
        <v>2.2999999999999998</v>
      </c>
      <c r="K252" s="1">
        <f t="shared" si="35"/>
        <v>493.60000000000031</v>
      </c>
      <c r="L252" s="1">
        <v>2.7</v>
      </c>
      <c r="M252" s="1">
        <f t="shared" si="36"/>
        <v>318.39999999999992</v>
      </c>
      <c r="N252" s="1">
        <v>-0.40000000000000036</v>
      </c>
      <c r="O252" s="1">
        <f t="shared" si="39"/>
        <v>159.80000000000001</v>
      </c>
      <c r="P252" s="1">
        <v>244</v>
      </c>
      <c r="Q252" s="1">
        <v>1.1499999999999999</v>
      </c>
      <c r="R252" s="5">
        <f t="shared" si="31"/>
        <v>3.105</v>
      </c>
      <c r="S252" s="5">
        <f t="shared" si="32"/>
        <v>-0.80500000000000016</v>
      </c>
      <c r="T252" s="5">
        <f t="shared" si="37"/>
        <v>146.82500000000002</v>
      </c>
      <c r="U252" s="13"/>
      <c r="V252" s="1">
        <v>1499.8</v>
      </c>
      <c r="X252" s="1">
        <f t="shared" si="38"/>
        <v>169152.40000000002</v>
      </c>
      <c r="Y252" s="1">
        <f t="shared" si="33"/>
        <v>42241.80000000001</v>
      </c>
      <c r="AA252" s="1">
        <v>14.9189821219744</v>
      </c>
    </row>
    <row r="253" spans="1:27" s="32" customFormat="1" ht="15.75" thickBot="1" x14ac:dyDescent="0.3">
      <c r="A253" s="55"/>
      <c r="B253" s="37">
        <v>300</v>
      </c>
      <c r="C253" s="39">
        <v>42500</v>
      </c>
      <c r="D253" s="32">
        <v>15.2</v>
      </c>
      <c r="E253" s="32">
        <v>13.2</v>
      </c>
      <c r="F253" s="32">
        <v>17.600000000000001</v>
      </c>
      <c r="G253" s="32">
        <f t="shared" si="34"/>
        <v>2389.2999999999997</v>
      </c>
      <c r="H253" s="32">
        <f t="shared" si="30"/>
        <v>312.5</v>
      </c>
      <c r="J253" s="32">
        <v>3.7</v>
      </c>
      <c r="K253" s="32">
        <f t="shared" si="35"/>
        <v>497.3000000000003</v>
      </c>
      <c r="L253" s="32">
        <v>1.6</v>
      </c>
      <c r="M253" s="32">
        <f t="shared" si="36"/>
        <v>319.99999999999994</v>
      </c>
      <c r="N253" s="32">
        <v>2.1</v>
      </c>
      <c r="O253" s="32">
        <f t="shared" si="39"/>
        <v>161.9</v>
      </c>
      <c r="P253" s="32">
        <v>245</v>
      </c>
      <c r="Q253" s="36">
        <v>1.1499999999999999</v>
      </c>
      <c r="R253" s="34">
        <f t="shared" si="31"/>
        <v>1.8399999999999999</v>
      </c>
      <c r="S253" s="34">
        <f t="shared" si="32"/>
        <v>1.8600000000000003</v>
      </c>
      <c r="T253" s="35">
        <f t="shared" si="37"/>
        <v>148.68500000000003</v>
      </c>
      <c r="V253" s="32">
        <v>823.9</v>
      </c>
      <c r="X253" s="32">
        <f t="shared" si="38"/>
        <v>169976.30000000002</v>
      </c>
      <c r="Y253" s="36">
        <f t="shared" si="33"/>
        <v>43065.700000000012</v>
      </c>
      <c r="AA253" s="36">
        <v>14.9657548178534</v>
      </c>
    </row>
    <row r="254" spans="1:27" s="1" customFormat="1" x14ac:dyDescent="0.25">
      <c r="A254" s="56">
        <v>600</v>
      </c>
      <c r="B254" s="2"/>
      <c r="C254" s="23">
        <v>42501</v>
      </c>
      <c r="D254" s="1">
        <v>14.4</v>
      </c>
      <c r="E254" s="1">
        <v>11.3</v>
      </c>
      <c r="F254" s="1">
        <v>17.2</v>
      </c>
      <c r="G254" s="1">
        <f t="shared" si="34"/>
        <v>2403.6999999999998</v>
      </c>
      <c r="H254" s="1">
        <v>14.4</v>
      </c>
      <c r="I254" s="24" t="s">
        <v>2</v>
      </c>
      <c r="J254" s="1">
        <v>1.4</v>
      </c>
      <c r="K254" s="1">
        <f t="shared" si="35"/>
        <v>498.70000000000027</v>
      </c>
      <c r="L254" s="1">
        <v>1.3</v>
      </c>
      <c r="M254" s="1">
        <f t="shared" si="36"/>
        <v>321.29999999999995</v>
      </c>
      <c r="N254" s="1">
        <v>9.9999999999999867E-2</v>
      </c>
      <c r="O254" s="1">
        <f t="shared" si="39"/>
        <v>162</v>
      </c>
      <c r="P254" s="1">
        <v>246</v>
      </c>
      <c r="Q254" s="12">
        <f>1.15+((P254-245)/62)*(0.35-1.15)</f>
        <v>1.1370967741935483</v>
      </c>
      <c r="R254" s="5">
        <f t="shared" si="31"/>
        <v>1.4782258064516127</v>
      </c>
      <c r="S254" s="5">
        <f t="shared" si="32"/>
        <v>-7.8225806451612812E-2</v>
      </c>
      <c r="T254" s="5">
        <f t="shared" si="37"/>
        <v>148.6067741935484</v>
      </c>
      <c r="U254" s="24" t="s">
        <v>3</v>
      </c>
      <c r="V254" s="1">
        <v>916</v>
      </c>
      <c r="X254" s="1">
        <f t="shared" si="38"/>
        <v>170892.30000000002</v>
      </c>
      <c r="Y254" s="1">
        <v>916</v>
      </c>
      <c r="Z254" s="24" t="s">
        <v>4</v>
      </c>
      <c r="AA254" s="1">
        <v>15.011903191555099</v>
      </c>
    </row>
    <row r="255" spans="1:27" s="1" customFormat="1" x14ac:dyDescent="0.25">
      <c r="A255" s="56"/>
      <c r="B255" s="2"/>
      <c r="C255" s="23">
        <v>42502</v>
      </c>
      <c r="D255" s="1">
        <v>13.3</v>
      </c>
      <c r="E255" s="1">
        <v>12.4</v>
      </c>
      <c r="F255" s="1">
        <v>14.3</v>
      </c>
      <c r="G255" s="1">
        <f t="shared" si="34"/>
        <v>2417</v>
      </c>
      <c r="H255" s="1">
        <f t="shared" si="30"/>
        <v>27.700000000000003</v>
      </c>
      <c r="I255" s="1">
        <f>MIN(E254:E275)</f>
        <v>4.8</v>
      </c>
      <c r="J255" s="1">
        <v>3.8</v>
      </c>
      <c r="K255" s="1">
        <f t="shared" si="35"/>
        <v>502.50000000000028</v>
      </c>
      <c r="L255" s="1">
        <v>0.8</v>
      </c>
      <c r="M255" s="1">
        <f t="shared" si="36"/>
        <v>322.09999999999997</v>
      </c>
      <c r="N255" s="1">
        <v>3</v>
      </c>
      <c r="O255" s="1">
        <f t="shared" si="39"/>
        <v>165</v>
      </c>
      <c r="P255" s="1">
        <v>247</v>
      </c>
      <c r="Q255" s="12">
        <f t="shared" ref="Q255:Q315" si="40">1.15+((P255-245)/62)*(0.35-1.15)</f>
        <v>1.1241935483870966</v>
      </c>
      <c r="R255" s="5">
        <f t="shared" si="31"/>
        <v>0.89935483870967736</v>
      </c>
      <c r="S255" s="5">
        <f t="shared" si="32"/>
        <v>2.9006451612903223</v>
      </c>
      <c r="T255" s="5">
        <f t="shared" si="37"/>
        <v>151.50741935483873</v>
      </c>
      <c r="U255" s="1">
        <v>17</v>
      </c>
      <c r="V255" s="1">
        <v>403.5</v>
      </c>
      <c r="X255" s="1">
        <f t="shared" si="38"/>
        <v>171295.80000000002</v>
      </c>
      <c r="Y255" s="1">
        <f t="shared" si="33"/>
        <v>1319.5</v>
      </c>
      <c r="Z255" s="1">
        <v>27898.6</v>
      </c>
      <c r="AA255" s="1">
        <v>15.0574042322748</v>
      </c>
    </row>
    <row r="256" spans="1:27" s="1" customFormat="1" x14ac:dyDescent="0.25">
      <c r="A256" s="56"/>
      <c r="B256" s="2"/>
      <c r="C256" s="23">
        <v>42503</v>
      </c>
      <c r="D256" s="1">
        <v>13.9</v>
      </c>
      <c r="E256" s="1">
        <v>12.9</v>
      </c>
      <c r="F256" s="1">
        <v>15.4</v>
      </c>
      <c r="G256" s="1">
        <f t="shared" si="34"/>
        <v>2430.9</v>
      </c>
      <c r="H256" s="1">
        <f t="shared" si="30"/>
        <v>41.6</v>
      </c>
      <c r="I256" s="24" t="s">
        <v>5</v>
      </c>
      <c r="J256" s="1">
        <v>0.1</v>
      </c>
      <c r="K256" s="1">
        <f t="shared" si="35"/>
        <v>502.60000000000031</v>
      </c>
      <c r="L256" s="1">
        <v>1.1000000000000001</v>
      </c>
      <c r="M256" s="1">
        <f t="shared" si="36"/>
        <v>323.2</v>
      </c>
      <c r="N256" s="1">
        <v>-1</v>
      </c>
      <c r="O256" s="1">
        <f t="shared" si="39"/>
        <v>164</v>
      </c>
      <c r="P256" s="1">
        <v>248</v>
      </c>
      <c r="Q256" s="12">
        <f t="shared" si="40"/>
        <v>1.111290322580645</v>
      </c>
      <c r="R256" s="5">
        <f t="shared" si="31"/>
        <v>1.2224193548387097</v>
      </c>
      <c r="S256" s="5">
        <f t="shared" si="32"/>
        <v>-1.1224193548387096</v>
      </c>
      <c r="T256" s="5">
        <f t="shared" si="37"/>
        <v>150.38500000000002</v>
      </c>
      <c r="U256" s="24" t="s">
        <v>6</v>
      </c>
      <c r="V256" s="1">
        <v>509</v>
      </c>
      <c r="X256" s="1">
        <f t="shared" si="38"/>
        <v>171804.80000000002</v>
      </c>
      <c r="Y256" s="1">
        <f t="shared" si="33"/>
        <v>1828.5</v>
      </c>
      <c r="Z256" s="24" t="s">
        <v>7</v>
      </c>
      <c r="AA256" s="1">
        <v>15.1022345169196</v>
      </c>
    </row>
    <row r="257" spans="1:27" s="1" customFormat="1" x14ac:dyDescent="0.25">
      <c r="A257" s="56"/>
      <c r="B257" s="2"/>
      <c r="C257" s="23">
        <v>42504</v>
      </c>
      <c r="D257" s="1">
        <v>11.2</v>
      </c>
      <c r="E257" s="1">
        <v>9.6999999999999993</v>
      </c>
      <c r="F257" s="1">
        <v>14.1</v>
      </c>
      <c r="G257" s="1">
        <f t="shared" si="34"/>
        <v>2442.1</v>
      </c>
      <c r="H257" s="1">
        <f t="shared" si="30"/>
        <v>52.8</v>
      </c>
      <c r="I257" s="1">
        <f>MAX(F254:F275)</f>
        <v>21.7</v>
      </c>
      <c r="J257" s="1">
        <v>0</v>
      </c>
      <c r="K257" s="1">
        <f t="shared" si="35"/>
        <v>502.60000000000031</v>
      </c>
      <c r="L257" s="1">
        <v>1.7</v>
      </c>
      <c r="M257" s="1">
        <f t="shared" si="36"/>
        <v>324.89999999999998</v>
      </c>
      <c r="N257" s="1">
        <v>-1.7</v>
      </c>
      <c r="O257" s="1">
        <f t="shared" si="39"/>
        <v>162.30000000000001</v>
      </c>
      <c r="P257" s="1">
        <v>249</v>
      </c>
      <c r="Q257" s="12">
        <f t="shared" si="40"/>
        <v>1.0983870967741935</v>
      </c>
      <c r="R257" s="5">
        <f t="shared" si="31"/>
        <v>1.867258064516129</v>
      </c>
      <c r="S257" s="5">
        <f t="shared" si="32"/>
        <v>-1.867258064516129</v>
      </c>
      <c r="T257" s="5">
        <f t="shared" si="37"/>
        <v>148.51774193548388</v>
      </c>
      <c r="U257" s="1">
        <v>0</v>
      </c>
      <c r="V257" s="1">
        <v>668.9</v>
      </c>
      <c r="X257" s="1">
        <f t="shared" si="38"/>
        <v>172473.7</v>
      </c>
      <c r="Y257" s="1">
        <f t="shared" si="33"/>
        <v>2497.4</v>
      </c>
      <c r="Z257" s="1">
        <f>(Z255/100)/I267</f>
        <v>0.91082598759386213</v>
      </c>
      <c r="AA257" s="1">
        <v>15.1463702334015</v>
      </c>
    </row>
    <row r="258" spans="1:27" s="1" customFormat="1" x14ac:dyDescent="0.25">
      <c r="A258" s="56"/>
      <c r="B258" s="2"/>
      <c r="C258" s="23">
        <v>42505</v>
      </c>
      <c r="D258" s="1">
        <v>11.4</v>
      </c>
      <c r="E258" s="1">
        <v>4.8</v>
      </c>
      <c r="F258" s="1">
        <v>17</v>
      </c>
      <c r="G258" s="1">
        <f t="shared" si="34"/>
        <v>2453.5</v>
      </c>
      <c r="H258" s="1">
        <f t="shared" si="30"/>
        <v>64.2</v>
      </c>
      <c r="I258" s="24" t="s">
        <v>8</v>
      </c>
      <c r="J258" s="1">
        <v>0</v>
      </c>
      <c r="K258" s="1">
        <f t="shared" si="35"/>
        <v>502.60000000000031</v>
      </c>
      <c r="L258" s="1">
        <v>2</v>
      </c>
      <c r="M258" s="1">
        <f t="shared" si="36"/>
        <v>326.89999999999998</v>
      </c>
      <c r="N258" s="1">
        <v>-2</v>
      </c>
      <c r="O258" s="1">
        <f t="shared" si="39"/>
        <v>160.30000000000001</v>
      </c>
      <c r="P258" s="1">
        <v>250</v>
      </c>
      <c r="Q258" s="12">
        <f t="shared" si="40"/>
        <v>1.0854838709677419</v>
      </c>
      <c r="R258" s="5">
        <f t="shared" si="31"/>
        <v>2.1709677419354838</v>
      </c>
      <c r="S258" s="5">
        <f t="shared" si="32"/>
        <v>-2.1709677419354838</v>
      </c>
      <c r="T258" s="5">
        <f t="shared" si="37"/>
        <v>146.34677419354841</v>
      </c>
      <c r="U258" s="24" t="s">
        <v>9</v>
      </c>
      <c r="V258" s="1">
        <v>1589.8</v>
      </c>
      <c r="X258" s="1">
        <f t="shared" si="38"/>
        <v>174063.5</v>
      </c>
      <c r="Y258" s="1">
        <f t="shared" si="33"/>
        <v>4087.2</v>
      </c>
      <c r="Z258" s="24" t="s">
        <v>10</v>
      </c>
      <c r="AA258" s="1">
        <v>15.1897872065722</v>
      </c>
    </row>
    <row r="259" spans="1:27" s="1" customFormat="1" x14ac:dyDescent="0.25">
      <c r="A259" s="56"/>
      <c r="B259" s="2"/>
      <c r="C259" s="23">
        <v>42506</v>
      </c>
      <c r="D259" s="1">
        <v>12.8</v>
      </c>
      <c r="E259" s="1">
        <v>9.4</v>
      </c>
      <c r="F259" s="1">
        <v>16.5</v>
      </c>
      <c r="G259" s="1">
        <f t="shared" si="34"/>
        <v>2466.3000000000002</v>
      </c>
      <c r="H259" s="1">
        <f t="shared" si="30"/>
        <v>77</v>
      </c>
      <c r="I259" s="5">
        <f>AVERAGE(D254:D275)</f>
        <v>13.922727272727274</v>
      </c>
      <c r="J259" s="1">
        <v>0</v>
      </c>
      <c r="K259" s="1">
        <f t="shared" si="35"/>
        <v>502.60000000000031</v>
      </c>
      <c r="L259" s="1">
        <v>2.9</v>
      </c>
      <c r="M259" s="1">
        <f t="shared" si="36"/>
        <v>329.79999999999995</v>
      </c>
      <c r="N259" s="1">
        <v>-2.9</v>
      </c>
      <c r="O259" s="1">
        <f t="shared" si="39"/>
        <v>157.4</v>
      </c>
      <c r="P259" s="1">
        <v>251</v>
      </c>
      <c r="Q259" s="12">
        <f t="shared" si="40"/>
        <v>1.0725806451612903</v>
      </c>
      <c r="R259" s="5">
        <f t="shared" si="31"/>
        <v>3.1104838709677418</v>
      </c>
      <c r="S259" s="5">
        <f t="shared" si="32"/>
        <v>-3.1104838709677418</v>
      </c>
      <c r="T259" s="5">
        <f t="shared" si="37"/>
        <v>143.23629032258066</v>
      </c>
      <c r="U259" s="1">
        <v>0</v>
      </c>
      <c r="V259" s="1">
        <v>1840.6</v>
      </c>
      <c r="X259" s="1">
        <f t="shared" si="38"/>
        <v>175904.1</v>
      </c>
      <c r="Y259" s="1">
        <f t="shared" si="33"/>
        <v>5927.7999999999993</v>
      </c>
      <c r="Z259" s="1">
        <v>8</v>
      </c>
      <c r="AA259" s="1">
        <v>15.2324609268607</v>
      </c>
    </row>
    <row r="260" spans="1:27" s="1" customFormat="1" x14ac:dyDescent="0.25">
      <c r="A260" s="56"/>
      <c r="B260" s="2"/>
      <c r="C260" s="23">
        <v>42507</v>
      </c>
      <c r="D260" s="1">
        <v>12.2</v>
      </c>
      <c r="E260" s="1">
        <v>8.3000000000000007</v>
      </c>
      <c r="F260" s="1">
        <v>16.3</v>
      </c>
      <c r="G260" s="1">
        <f t="shared" si="34"/>
        <v>2478.5</v>
      </c>
      <c r="H260" s="1">
        <f t="shared" si="30"/>
        <v>89.2</v>
      </c>
      <c r="I260" s="24" t="s">
        <v>11</v>
      </c>
      <c r="J260" s="1">
        <v>0</v>
      </c>
      <c r="K260" s="1">
        <f t="shared" si="35"/>
        <v>502.60000000000031</v>
      </c>
      <c r="L260" s="1">
        <v>1</v>
      </c>
      <c r="M260" s="1">
        <f t="shared" si="36"/>
        <v>330.79999999999995</v>
      </c>
      <c r="N260" s="1">
        <v>-1</v>
      </c>
      <c r="O260" s="1">
        <f t="shared" si="39"/>
        <v>156.4</v>
      </c>
      <c r="P260" s="1">
        <v>252</v>
      </c>
      <c r="Q260" s="12">
        <f t="shared" si="40"/>
        <v>1.0596774193548386</v>
      </c>
      <c r="R260" s="5">
        <f t="shared" si="31"/>
        <v>1.0596774193548386</v>
      </c>
      <c r="S260" s="5">
        <f t="shared" si="32"/>
        <v>-1.0596774193548386</v>
      </c>
      <c r="T260" s="5">
        <f t="shared" si="37"/>
        <v>142.17661290322582</v>
      </c>
      <c r="U260" s="24" t="s">
        <v>12</v>
      </c>
      <c r="V260" s="1">
        <v>763.3</v>
      </c>
      <c r="X260" s="1">
        <f t="shared" si="38"/>
        <v>176667.4</v>
      </c>
      <c r="Y260" s="1">
        <f t="shared" si="33"/>
        <v>6691.0999999999995</v>
      </c>
      <c r="AA260" s="1">
        <v>15.274366581663999</v>
      </c>
    </row>
    <row r="261" spans="1:27" s="1" customFormat="1" x14ac:dyDescent="0.25">
      <c r="A261" s="56"/>
      <c r="B261" s="2"/>
      <c r="C261" s="23">
        <v>42508</v>
      </c>
      <c r="D261" s="1">
        <v>12.1</v>
      </c>
      <c r="E261" s="1">
        <v>9</v>
      </c>
      <c r="F261" s="1">
        <v>13.6</v>
      </c>
      <c r="G261" s="1">
        <f t="shared" si="34"/>
        <v>2490.6</v>
      </c>
      <c r="H261" s="1">
        <f t="shared" si="30"/>
        <v>101.3</v>
      </c>
      <c r="I261" s="1">
        <v>0</v>
      </c>
      <c r="J261" s="1">
        <v>4.5999999999999996</v>
      </c>
      <c r="K261" s="1">
        <f t="shared" si="35"/>
        <v>507.20000000000033</v>
      </c>
      <c r="L261" s="1">
        <v>1.2</v>
      </c>
      <c r="M261" s="1">
        <f t="shared" si="36"/>
        <v>331.99999999999994</v>
      </c>
      <c r="N261" s="1">
        <v>3.3999999999999995</v>
      </c>
      <c r="O261" s="1">
        <f t="shared" si="39"/>
        <v>159.80000000000001</v>
      </c>
      <c r="P261" s="1">
        <v>253</v>
      </c>
      <c r="Q261" s="12">
        <f t="shared" si="40"/>
        <v>1.046774193548387</v>
      </c>
      <c r="R261" s="5">
        <f t="shared" si="31"/>
        <v>1.2561290322580643</v>
      </c>
      <c r="S261" s="5">
        <f t="shared" si="32"/>
        <v>3.3438709677419354</v>
      </c>
      <c r="T261" s="5">
        <f t="shared" si="37"/>
        <v>145.52048387096775</v>
      </c>
      <c r="U261" s="5">
        <f>MIN(T254:T275)</f>
        <v>134.04516129032257</v>
      </c>
      <c r="V261" s="1">
        <v>754.4</v>
      </c>
      <c r="X261" s="1">
        <f t="shared" si="38"/>
        <v>177421.8</v>
      </c>
      <c r="Y261" s="1">
        <f t="shared" si="33"/>
        <v>7445.4999999999991</v>
      </c>
      <c r="AA261" s="1">
        <v>15.315479089526701</v>
      </c>
    </row>
    <row r="262" spans="1:27" s="1" customFormat="1" x14ac:dyDescent="0.25">
      <c r="A262" s="56"/>
      <c r="B262" s="2"/>
      <c r="C262" s="23">
        <v>42509</v>
      </c>
      <c r="D262" s="1">
        <v>13.2</v>
      </c>
      <c r="E262" s="1">
        <v>10</v>
      </c>
      <c r="F262" s="1">
        <v>17</v>
      </c>
      <c r="G262" s="1">
        <f t="shared" si="34"/>
        <v>2503.7999999999997</v>
      </c>
      <c r="H262" s="1">
        <f t="shared" si="30"/>
        <v>114.5</v>
      </c>
      <c r="I262" s="24" t="s">
        <v>13</v>
      </c>
      <c r="J262" s="1">
        <v>0.1</v>
      </c>
      <c r="K262" s="1">
        <f t="shared" si="35"/>
        <v>507.30000000000035</v>
      </c>
      <c r="L262" s="1">
        <v>3.1</v>
      </c>
      <c r="M262" s="1">
        <f t="shared" si="36"/>
        <v>335.09999999999997</v>
      </c>
      <c r="N262" s="1">
        <v>-3</v>
      </c>
      <c r="O262" s="1">
        <f t="shared" si="39"/>
        <v>156.80000000000001</v>
      </c>
      <c r="P262" s="1">
        <v>254</v>
      </c>
      <c r="Q262" s="12">
        <f t="shared" si="40"/>
        <v>1.0338709677419353</v>
      </c>
      <c r="R262" s="5">
        <f t="shared" si="31"/>
        <v>3.2049999999999996</v>
      </c>
      <c r="S262" s="5">
        <f t="shared" si="32"/>
        <v>-3.1049999999999995</v>
      </c>
      <c r="T262" s="5">
        <f t="shared" si="37"/>
        <v>142.41548387096776</v>
      </c>
      <c r="U262" s="24" t="s">
        <v>14</v>
      </c>
      <c r="V262" s="1">
        <v>1869.8</v>
      </c>
      <c r="X262" s="1">
        <f t="shared" si="38"/>
        <v>179291.59999999998</v>
      </c>
      <c r="Y262" s="1">
        <f t="shared" si="33"/>
        <v>9315.2999999999993</v>
      </c>
      <c r="AA262" s="1">
        <v>15.355773137132701</v>
      </c>
    </row>
    <row r="263" spans="1:27" s="1" customFormat="1" x14ac:dyDescent="0.25">
      <c r="A263" s="56"/>
      <c r="B263" s="2"/>
      <c r="C263" s="23">
        <v>42510</v>
      </c>
      <c r="D263" s="1">
        <v>15.6</v>
      </c>
      <c r="E263" s="1">
        <v>13.2</v>
      </c>
      <c r="F263" s="1">
        <v>18.399999999999999</v>
      </c>
      <c r="G263" s="1">
        <f t="shared" si="34"/>
        <v>2519.3999999999996</v>
      </c>
      <c r="H263" s="1">
        <f t="shared" si="30"/>
        <v>130.1</v>
      </c>
      <c r="I263" s="1">
        <v>0</v>
      </c>
      <c r="J263" s="1">
        <v>0</v>
      </c>
      <c r="K263" s="1">
        <f t="shared" si="35"/>
        <v>507.30000000000035</v>
      </c>
      <c r="L263" s="1">
        <v>1.6</v>
      </c>
      <c r="M263" s="1">
        <f t="shared" si="36"/>
        <v>336.7</v>
      </c>
      <c r="N263" s="1">
        <v>-1.6</v>
      </c>
      <c r="O263" s="1">
        <f t="shared" si="39"/>
        <v>155.20000000000002</v>
      </c>
      <c r="P263" s="1">
        <v>255</v>
      </c>
      <c r="Q263" s="12">
        <f t="shared" si="40"/>
        <v>1.0209677419354839</v>
      </c>
      <c r="R263" s="5">
        <f t="shared" si="31"/>
        <v>1.6335483870967744</v>
      </c>
      <c r="S263" s="5">
        <f t="shared" si="32"/>
        <v>-1.6335483870967744</v>
      </c>
      <c r="T263" s="5">
        <f t="shared" si="37"/>
        <v>140.781935483871</v>
      </c>
      <c r="U263" s="5">
        <f>MAX(T254:T275)</f>
        <v>151.50741935483873</v>
      </c>
      <c r="V263" s="1">
        <v>786.5</v>
      </c>
      <c r="X263" s="1">
        <f t="shared" si="38"/>
        <v>180078.09999999998</v>
      </c>
      <c r="Y263" s="1">
        <f t="shared" si="33"/>
        <v>10101.799999999999</v>
      </c>
      <c r="AA263" s="1">
        <v>15.3952232191133</v>
      </c>
    </row>
    <row r="264" spans="1:27" s="1" customFormat="1" x14ac:dyDescent="0.25">
      <c r="A264" s="56"/>
      <c r="B264" s="2"/>
      <c r="C264" s="23">
        <v>42511</v>
      </c>
      <c r="D264" s="1">
        <v>16.5</v>
      </c>
      <c r="E264" s="1">
        <v>12.8</v>
      </c>
      <c r="F264" s="1">
        <v>20.9</v>
      </c>
      <c r="G264" s="1">
        <f t="shared" si="34"/>
        <v>2535.8999999999996</v>
      </c>
      <c r="H264" s="1">
        <f t="shared" si="30"/>
        <v>146.6</v>
      </c>
      <c r="I264" s="24" t="s">
        <v>15</v>
      </c>
      <c r="J264" s="1">
        <v>4.3</v>
      </c>
      <c r="K264" s="1">
        <f t="shared" si="35"/>
        <v>511.60000000000036</v>
      </c>
      <c r="L264" s="1">
        <v>3.7</v>
      </c>
      <c r="M264" s="1">
        <f t="shared" si="36"/>
        <v>340.4</v>
      </c>
      <c r="N264" s="1">
        <v>0.59999999999999964</v>
      </c>
      <c r="O264" s="1">
        <f t="shared" si="39"/>
        <v>155.80000000000001</v>
      </c>
      <c r="P264" s="1">
        <v>256</v>
      </c>
      <c r="Q264" s="12">
        <f t="shared" si="40"/>
        <v>1.0080645161290323</v>
      </c>
      <c r="R264" s="5">
        <f t="shared" si="31"/>
        <v>3.7298387096774195</v>
      </c>
      <c r="S264" s="5">
        <f t="shared" si="32"/>
        <v>0.57016129032258034</v>
      </c>
      <c r="T264" s="5">
        <f t="shared" si="37"/>
        <v>141.35209677419357</v>
      </c>
      <c r="U264" s="24" t="s">
        <v>16</v>
      </c>
      <c r="V264" s="1">
        <v>2165.8000000000002</v>
      </c>
      <c r="X264" s="1">
        <f t="shared" si="38"/>
        <v>182243.89999999997</v>
      </c>
      <c r="Y264" s="1">
        <f t="shared" si="33"/>
        <v>12267.599999999999</v>
      </c>
      <c r="AA264" s="1">
        <v>15.433803680661301</v>
      </c>
    </row>
    <row r="265" spans="1:27" s="1" customFormat="1" x14ac:dyDescent="0.25">
      <c r="A265" s="56"/>
      <c r="B265" s="2"/>
      <c r="C265" s="23">
        <v>42512</v>
      </c>
      <c r="D265" s="1">
        <v>12.2</v>
      </c>
      <c r="E265" s="1">
        <v>9.8000000000000007</v>
      </c>
      <c r="F265" s="1">
        <v>16.3</v>
      </c>
      <c r="G265" s="1">
        <f t="shared" si="34"/>
        <v>2548.0999999999995</v>
      </c>
      <c r="H265" s="1">
        <f t="shared" ref="H265:H315" si="41">H264+D265</f>
        <v>158.79999999999998</v>
      </c>
      <c r="I265" s="1">
        <v>1</v>
      </c>
      <c r="J265" s="1">
        <v>10.1</v>
      </c>
      <c r="K265" s="1">
        <f t="shared" si="35"/>
        <v>521.70000000000039</v>
      </c>
      <c r="L265" s="1">
        <v>1.5</v>
      </c>
      <c r="M265" s="1">
        <f t="shared" si="36"/>
        <v>341.9</v>
      </c>
      <c r="N265" s="1">
        <v>8.6</v>
      </c>
      <c r="O265" s="1">
        <f t="shared" si="39"/>
        <v>164.4</v>
      </c>
      <c r="P265" s="1">
        <v>257</v>
      </c>
      <c r="Q265" s="12">
        <f t="shared" si="40"/>
        <v>0.99516129032258061</v>
      </c>
      <c r="R265" s="5">
        <f t="shared" ref="R265:R315" si="42">Q265*L265</f>
        <v>1.4927419354838709</v>
      </c>
      <c r="S265" s="5">
        <f t="shared" ref="S265:S315" si="43">J265-R265</f>
        <v>8.6072580645161292</v>
      </c>
      <c r="T265" s="5">
        <f t="shared" si="37"/>
        <v>149.95935483870969</v>
      </c>
      <c r="U265" s="12">
        <f>AVERAGE(T254:T275)</f>
        <v>143.36120967741937</v>
      </c>
      <c r="V265" s="1">
        <v>881.8</v>
      </c>
      <c r="X265" s="1">
        <f t="shared" si="38"/>
        <v>183125.69999999995</v>
      </c>
      <c r="Y265" s="1">
        <f t="shared" ref="Y265:Y315" si="44">Y264+V265</f>
        <v>13149.399999999998</v>
      </c>
      <c r="AA265" s="1">
        <v>15.471488762918799</v>
      </c>
    </row>
    <row r="266" spans="1:27" s="1" customFormat="1" x14ac:dyDescent="0.25">
      <c r="A266" s="56"/>
      <c r="B266" s="2"/>
      <c r="C266" s="23">
        <v>42513</v>
      </c>
      <c r="D266" s="1">
        <v>12.3</v>
      </c>
      <c r="E266" s="1">
        <v>8</v>
      </c>
      <c r="F266" s="1">
        <v>17</v>
      </c>
      <c r="G266" s="1">
        <f t="shared" si="34"/>
        <v>2560.3999999999996</v>
      </c>
      <c r="H266" s="1">
        <f t="shared" si="41"/>
        <v>171.1</v>
      </c>
      <c r="I266" s="24" t="s">
        <v>17</v>
      </c>
      <c r="J266" s="1">
        <v>0</v>
      </c>
      <c r="K266" s="1">
        <f t="shared" si="35"/>
        <v>521.70000000000039</v>
      </c>
      <c r="L266" s="1">
        <v>2.9</v>
      </c>
      <c r="M266" s="1">
        <f t="shared" si="36"/>
        <v>344.79999999999995</v>
      </c>
      <c r="N266" s="1">
        <v>-2.9</v>
      </c>
      <c r="O266" s="1">
        <f t="shared" si="39"/>
        <v>161.5</v>
      </c>
      <c r="P266" s="1">
        <v>258</v>
      </c>
      <c r="Q266" s="12">
        <f t="shared" si="40"/>
        <v>0.98225806451612896</v>
      </c>
      <c r="R266" s="5">
        <f t="shared" si="42"/>
        <v>2.8485483870967738</v>
      </c>
      <c r="S266" s="5">
        <f t="shared" si="43"/>
        <v>-2.8485483870967738</v>
      </c>
      <c r="T266" s="5">
        <f t="shared" si="37"/>
        <v>147.11080645161292</v>
      </c>
      <c r="V266" s="1">
        <v>1786.8</v>
      </c>
      <c r="X266" s="1">
        <f t="shared" si="38"/>
        <v>184912.49999999994</v>
      </c>
      <c r="Y266" s="1">
        <f t="shared" si="44"/>
        <v>14936.199999999997</v>
      </c>
      <c r="AA266" s="1">
        <v>15.508252651086901</v>
      </c>
    </row>
    <row r="267" spans="1:27" s="1" customFormat="1" x14ac:dyDescent="0.25">
      <c r="A267" s="56"/>
      <c r="B267" s="2"/>
      <c r="C267" s="23">
        <v>42514</v>
      </c>
      <c r="D267" s="1">
        <v>13.5</v>
      </c>
      <c r="E267" s="1">
        <v>6.7</v>
      </c>
      <c r="F267" s="1">
        <v>18.7</v>
      </c>
      <c r="G267" s="1">
        <f t="shared" ref="G267:G315" si="45">G266+D267</f>
        <v>2573.8999999999996</v>
      </c>
      <c r="H267" s="1">
        <f t="shared" si="41"/>
        <v>184.6</v>
      </c>
      <c r="I267" s="1">
        <v>306.3</v>
      </c>
      <c r="J267" s="1">
        <v>0</v>
      </c>
      <c r="K267" s="1">
        <f t="shared" ref="K267:K314" si="46">K266+J267</f>
        <v>521.70000000000039</v>
      </c>
      <c r="L267" s="1">
        <v>3.9</v>
      </c>
      <c r="M267" s="1">
        <f t="shared" ref="M267:M315" si="47">M266+L267</f>
        <v>348.69999999999993</v>
      </c>
      <c r="N267" s="1">
        <v>-3.9</v>
      </c>
      <c r="O267" s="1">
        <f t="shared" si="39"/>
        <v>157.6</v>
      </c>
      <c r="P267" s="1">
        <v>259</v>
      </c>
      <c r="Q267" s="12">
        <f t="shared" si="40"/>
        <v>0.96935483870967731</v>
      </c>
      <c r="R267" s="5">
        <f t="shared" si="42"/>
        <v>3.7804838709677413</v>
      </c>
      <c r="S267" s="5">
        <f t="shared" si="43"/>
        <v>-3.7804838709677413</v>
      </c>
      <c r="T267" s="5">
        <f t="shared" ref="T267:T315" si="48">MIN(197.4,(T266+S267))</f>
        <v>143.33032258064517</v>
      </c>
      <c r="U267" s="5">
        <f>(U265*100)/197.4</f>
        <v>72.624726280354295</v>
      </c>
      <c r="V267" s="1">
        <v>2577.1</v>
      </c>
      <c r="X267" s="1">
        <f t="shared" ref="X267:X315" si="49">X266+V267</f>
        <v>187489.59999999995</v>
      </c>
      <c r="Y267" s="1">
        <f t="shared" si="44"/>
        <v>17513.299999999996</v>
      </c>
      <c r="AA267" s="1">
        <v>15.544069525182699</v>
      </c>
    </row>
    <row r="268" spans="1:27" s="1" customFormat="1" x14ac:dyDescent="0.25">
      <c r="A268" s="56"/>
      <c r="B268" s="2"/>
      <c r="C268" s="23">
        <v>42515</v>
      </c>
      <c r="D268" s="1">
        <v>14.8</v>
      </c>
      <c r="E268" s="1">
        <v>10.1</v>
      </c>
      <c r="F268" s="1">
        <v>18.7</v>
      </c>
      <c r="G268" s="1">
        <f t="shared" si="45"/>
        <v>2588.6999999999998</v>
      </c>
      <c r="H268" s="1">
        <f t="shared" si="41"/>
        <v>199.4</v>
      </c>
      <c r="J268" s="1">
        <v>0</v>
      </c>
      <c r="K268" s="1">
        <f t="shared" si="46"/>
        <v>521.70000000000039</v>
      </c>
      <c r="L268" s="1">
        <v>2.5</v>
      </c>
      <c r="M268" s="1">
        <f t="shared" si="47"/>
        <v>351.19999999999993</v>
      </c>
      <c r="N268" s="1">
        <v>-2.5</v>
      </c>
      <c r="O268" s="1">
        <f t="shared" si="39"/>
        <v>155.1</v>
      </c>
      <c r="P268" s="1">
        <v>260</v>
      </c>
      <c r="Q268" s="12">
        <f t="shared" si="40"/>
        <v>0.95645161290322567</v>
      </c>
      <c r="R268" s="5">
        <f t="shared" si="42"/>
        <v>2.3911290322580641</v>
      </c>
      <c r="S268" s="5">
        <f t="shared" si="43"/>
        <v>-2.3911290322580641</v>
      </c>
      <c r="T268" s="5">
        <f t="shared" si="48"/>
        <v>140.9391935483871</v>
      </c>
      <c r="V268" s="1">
        <v>1249.9000000000001</v>
      </c>
      <c r="X268" s="1">
        <f t="shared" si="49"/>
        <v>188739.49999999994</v>
      </c>
      <c r="Y268" s="1">
        <f t="shared" si="44"/>
        <v>18763.199999999997</v>
      </c>
      <c r="AA268" s="1">
        <v>15.578913613345801</v>
      </c>
    </row>
    <row r="269" spans="1:27" s="1" customFormat="1" x14ac:dyDescent="0.25">
      <c r="A269" s="56"/>
      <c r="B269" s="2"/>
      <c r="C269" s="23">
        <v>42516</v>
      </c>
      <c r="D269" s="1">
        <v>16.600000000000001</v>
      </c>
      <c r="E269" s="1">
        <v>12.6</v>
      </c>
      <c r="F269" s="1">
        <v>21.7</v>
      </c>
      <c r="G269" s="1">
        <f t="shared" si="45"/>
        <v>2605.2999999999997</v>
      </c>
      <c r="H269" s="1">
        <f t="shared" si="41"/>
        <v>216</v>
      </c>
      <c r="J269" s="1">
        <v>4.9000000000000004</v>
      </c>
      <c r="K269" s="1">
        <f t="shared" si="46"/>
        <v>526.60000000000036</v>
      </c>
      <c r="L269" s="1">
        <v>2.2000000000000002</v>
      </c>
      <c r="M269" s="1">
        <f t="shared" si="47"/>
        <v>353.39999999999992</v>
      </c>
      <c r="N269" s="1">
        <v>2.7</v>
      </c>
      <c r="O269" s="1">
        <f t="shared" si="39"/>
        <v>157.79999999999998</v>
      </c>
      <c r="P269" s="1">
        <v>261</v>
      </c>
      <c r="Q269" s="12">
        <f t="shared" si="40"/>
        <v>0.94354838709677413</v>
      </c>
      <c r="R269" s="5">
        <f t="shared" si="42"/>
        <v>2.0758064516129031</v>
      </c>
      <c r="S269" s="5">
        <f t="shared" si="43"/>
        <v>2.8241935483870972</v>
      </c>
      <c r="T269" s="5">
        <f t="shared" si="48"/>
        <v>143.76338709677418</v>
      </c>
      <c r="V269" s="1">
        <v>1317.5</v>
      </c>
      <c r="X269" s="1">
        <f t="shared" si="49"/>
        <v>190056.99999999994</v>
      </c>
      <c r="Y269" s="1">
        <f t="shared" si="44"/>
        <v>20080.699999999997</v>
      </c>
      <c r="AA269" s="1">
        <v>15.612759247572299</v>
      </c>
    </row>
    <row r="270" spans="1:27" s="1" customFormat="1" x14ac:dyDescent="0.25">
      <c r="A270" s="56"/>
      <c r="B270" s="2"/>
      <c r="C270" s="23">
        <v>42517</v>
      </c>
      <c r="D270" s="1">
        <v>14.9</v>
      </c>
      <c r="E270" s="1">
        <v>11</v>
      </c>
      <c r="F270" s="1">
        <v>20.100000000000001</v>
      </c>
      <c r="G270" s="1">
        <f t="shared" si="45"/>
        <v>2620.1999999999998</v>
      </c>
      <c r="H270" s="1">
        <f t="shared" si="41"/>
        <v>230.9</v>
      </c>
      <c r="J270" s="1">
        <v>0</v>
      </c>
      <c r="K270" s="1">
        <f t="shared" si="46"/>
        <v>526.60000000000036</v>
      </c>
      <c r="L270" s="1">
        <v>1.6</v>
      </c>
      <c r="M270" s="1">
        <f t="shared" si="47"/>
        <v>354.99999999999994</v>
      </c>
      <c r="N270" s="1">
        <v>-1.6</v>
      </c>
      <c r="O270" s="1">
        <f t="shared" si="39"/>
        <v>156.19999999999999</v>
      </c>
      <c r="P270" s="1">
        <v>262</v>
      </c>
      <c r="Q270" s="12">
        <f t="shared" si="40"/>
        <v>0.93064516129032249</v>
      </c>
      <c r="R270" s="5">
        <f t="shared" si="42"/>
        <v>1.4890322580645161</v>
      </c>
      <c r="S270" s="5">
        <f t="shared" si="43"/>
        <v>-1.4890322580645161</v>
      </c>
      <c r="T270" s="5">
        <f t="shared" si="48"/>
        <v>142.27435483870966</v>
      </c>
      <c r="V270" s="1">
        <v>702.2</v>
      </c>
      <c r="X270" s="1">
        <f t="shared" si="49"/>
        <v>190759.19999999995</v>
      </c>
      <c r="Y270" s="1">
        <f t="shared" si="44"/>
        <v>20782.899999999998</v>
      </c>
      <c r="AA270" s="1">
        <v>15.6455809217266</v>
      </c>
    </row>
    <row r="271" spans="1:27" s="1" customFormat="1" x14ac:dyDescent="0.25">
      <c r="A271" s="56"/>
      <c r="B271" s="2"/>
      <c r="C271" s="23">
        <v>42518</v>
      </c>
      <c r="D271" s="1">
        <v>15.6</v>
      </c>
      <c r="E271" s="1">
        <v>11.4</v>
      </c>
      <c r="F271" s="1">
        <v>21</v>
      </c>
      <c r="G271" s="1">
        <f t="shared" si="45"/>
        <v>2635.7999999999997</v>
      </c>
      <c r="H271" s="1">
        <f t="shared" si="41"/>
        <v>246.5</v>
      </c>
      <c r="J271" s="1">
        <v>1.9</v>
      </c>
      <c r="K271" s="1">
        <f t="shared" si="46"/>
        <v>528.50000000000034</v>
      </c>
      <c r="L271" s="1">
        <v>3.5</v>
      </c>
      <c r="M271" s="1">
        <f t="shared" si="47"/>
        <v>358.49999999999994</v>
      </c>
      <c r="N271" s="1">
        <v>-1.6</v>
      </c>
      <c r="O271" s="1">
        <f t="shared" si="39"/>
        <v>154.6</v>
      </c>
      <c r="P271" s="1">
        <v>263</v>
      </c>
      <c r="Q271" s="12">
        <f t="shared" si="40"/>
        <v>0.91774193548387084</v>
      </c>
      <c r="R271" s="5">
        <f t="shared" si="42"/>
        <v>3.2120967741935478</v>
      </c>
      <c r="S271" s="5">
        <f t="shared" si="43"/>
        <v>-1.3120967741935479</v>
      </c>
      <c r="T271" s="5">
        <f t="shared" si="48"/>
        <v>140.96225806451611</v>
      </c>
      <c r="V271" s="1">
        <v>1894.9</v>
      </c>
      <c r="X271" s="1">
        <f t="shared" si="49"/>
        <v>192654.09999999995</v>
      </c>
      <c r="Y271" s="1">
        <f t="shared" si="44"/>
        <v>22677.8</v>
      </c>
      <c r="AA271" s="1">
        <v>15.677353351658899</v>
      </c>
    </row>
    <row r="272" spans="1:27" s="1" customFormat="1" x14ac:dyDescent="0.25">
      <c r="A272" s="56"/>
      <c r="B272" s="2"/>
      <c r="C272" s="23">
        <v>42519</v>
      </c>
      <c r="D272" s="1">
        <v>15.3</v>
      </c>
      <c r="E272" s="1">
        <v>13.4</v>
      </c>
      <c r="F272" s="1">
        <v>17.600000000000001</v>
      </c>
      <c r="G272" s="1">
        <f t="shared" si="45"/>
        <v>2651.1</v>
      </c>
      <c r="H272" s="1">
        <f t="shared" si="41"/>
        <v>261.8</v>
      </c>
      <c r="J272" s="1">
        <v>0</v>
      </c>
      <c r="K272" s="1">
        <f t="shared" si="46"/>
        <v>528.50000000000034</v>
      </c>
      <c r="L272" s="1">
        <v>1.9</v>
      </c>
      <c r="M272" s="1">
        <f t="shared" si="47"/>
        <v>360.39999999999992</v>
      </c>
      <c r="N272" s="1">
        <v>-1.9</v>
      </c>
      <c r="O272" s="1">
        <f t="shared" si="39"/>
        <v>152.69999999999999</v>
      </c>
      <c r="P272" s="1">
        <v>264</v>
      </c>
      <c r="Q272" s="12">
        <f t="shared" si="40"/>
        <v>0.90483870967741931</v>
      </c>
      <c r="R272" s="5">
        <f t="shared" si="42"/>
        <v>1.7191935483870966</v>
      </c>
      <c r="S272" s="5">
        <f t="shared" si="43"/>
        <v>-1.7191935483870966</v>
      </c>
      <c r="T272" s="5">
        <f t="shared" si="48"/>
        <v>139.24306451612901</v>
      </c>
      <c r="V272" s="1">
        <v>1262.4000000000001</v>
      </c>
      <c r="X272" s="1">
        <f t="shared" si="49"/>
        <v>193916.49999999994</v>
      </c>
      <c r="Y272" s="1">
        <f t="shared" si="44"/>
        <v>23940.2</v>
      </c>
      <c r="AA272" s="1">
        <v>15.7080515372264</v>
      </c>
    </row>
    <row r="273" spans="1:27" s="1" customFormat="1" x14ac:dyDescent="0.25">
      <c r="A273" s="56"/>
      <c r="B273" s="2"/>
      <c r="C273" s="23">
        <v>42520</v>
      </c>
      <c r="D273" s="1">
        <v>15.3</v>
      </c>
      <c r="E273" s="1">
        <v>13.1</v>
      </c>
      <c r="F273" s="1">
        <v>18.5</v>
      </c>
      <c r="G273" s="1">
        <f t="shared" si="45"/>
        <v>2666.4</v>
      </c>
      <c r="H273" s="1">
        <f t="shared" si="41"/>
        <v>277.10000000000002</v>
      </c>
      <c r="J273" s="1">
        <v>0</v>
      </c>
      <c r="K273" s="1">
        <f t="shared" si="46"/>
        <v>528.50000000000034</v>
      </c>
      <c r="L273" s="1">
        <v>2.7</v>
      </c>
      <c r="M273" s="1">
        <f t="shared" si="47"/>
        <v>363.09999999999991</v>
      </c>
      <c r="N273" s="1">
        <v>-2.7</v>
      </c>
      <c r="O273" s="1">
        <f t="shared" si="39"/>
        <v>150</v>
      </c>
      <c r="P273" s="1">
        <v>265</v>
      </c>
      <c r="Q273" s="12">
        <f t="shared" si="40"/>
        <v>0.89193548387096766</v>
      </c>
      <c r="R273" s="5">
        <f t="shared" si="42"/>
        <v>2.4082258064516129</v>
      </c>
      <c r="S273" s="5">
        <f t="shared" si="43"/>
        <v>-2.4082258064516129</v>
      </c>
      <c r="T273" s="5">
        <f t="shared" si="48"/>
        <v>136.8348387096774</v>
      </c>
      <c r="V273" s="1">
        <v>1416.6</v>
      </c>
      <c r="W273" s="7"/>
      <c r="X273" s="1">
        <f t="shared" si="49"/>
        <v>195333.09999999995</v>
      </c>
      <c r="Y273" s="1">
        <f t="shared" si="44"/>
        <v>25356.799999999999</v>
      </c>
      <c r="AA273" s="1">
        <v>15.7376508259911</v>
      </c>
    </row>
    <row r="274" spans="1:27" s="1" customFormat="1" ht="15" customHeight="1" x14ac:dyDescent="0.25">
      <c r="A274" s="56"/>
      <c r="B274" s="2"/>
      <c r="C274" s="23">
        <v>42521</v>
      </c>
      <c r="D274" s="1">
        <v>14.9</v>
      </c>
      <c r="E274" s="1">
        <v>12.6</v>
      </c>
      <c r="F274" s="1">
        <v>17.100000000000001</v>
      </c>
      <c r="G274" s="1">
        <f t="shared" si="45"/>
        <v>2681.3</v>
      </c>
      <c r="H274" s="1">
        <f t="shared" si="41"/>
        <v>292</v>
      </c>
      <c r="J274" s="1">
        <v>0</v>
      </c>
      <c r="K274" s="1">
        <f t="shared" si="46"/>
        <v>528.50000000000034</v>
      </c>
      <c r="L274" s="1">
        <v>2.5</v>
      </c>
      <c r="M274" s="1">
        <f t="shared" si="47"/>
        <v>365.59999999999991</v>
      </c>
      <c r="N274" s="1">
        <v>-2.5</v>
      </c>
      <c r="O274" s="1">
        <f t="shared" si="39"/>
        <v>147.5</v>
      </c>
      <c r="P274" s="1">
        <v>266</v>
      </c>
      <c r="Q274" s="12">
        <f t="shared" si="40"/>
        <v>0.87903225806451601</v>
      </c>
      <c r="R274" s="5">
        <f t="shared" si="42"/>
        <v>2.19758064516129</v>
      </c>
      <c r="S274" s="5">
        <f t="shared" si="43"/>
        <v>-2.19758064516129</v>
      </c>
      <c r="T274" s="5">
        <f t="shared" si="48"/>
        <v>134.63725806451612</v>
      </c>
      <c r="U274" s="13"/>
      <c r="V274" s="1">
        <v>1121.5</v>
      </c>
      <c r="X274" s="1">
        <f t="shared" si="49"/>
        <v>196454.59999999995</v>
      </c>
      <c r="Y274" s="1">
        <f t="shared" si="44"/>
        <v>26478.3</v>
      </c>
      <c r="AA274" s="1">
        <v>15.7661269783405</v>
      </c>
    </row>
    <row r="275" spans="1:27" s="32" customFormat="1" ht="15.75" thickBot="1" x14ac:dyDescent="0.3">
      <c r="A275" s="56"/>
      <c r="B275" s="37">
        <v>600</v>
      </c>
      <c r="C275" s="38">
        <v>42522</v>
      </c>
      <c r="D275" s="32">
        <v>14.3</v>
      </c>
      <c r="E275" s="32">
        <v>12.9</v>
      </c>
      <c r="F275" s="32">
        <v>15.8</v>
      </c>
      <c r="G275" s="32">
        <f t="shared" si="45"/>
        <v>2695.6000000000004</v>
      </c>
      <c r="H275" s="32">
        <f t="shared" si="41"/>
        <v>306.3</v>
      </c>
      <c r="J275" s="32">
        <v>1.4</v>
      </c>
      <c r="K275" s="32">
        <f t="shared" si="46"/>
        <v>529.90000000000032</v>
      </c>
      <c r="L275" s="32">
        <v>2.2999999999999998</v>
      </c>
      <c r="M275" s="32">
        <f t="shared" si="47"/>
        <v>367.89999999999992</v>
      </c>
      <c r="N275" s="32">
        <v>-0.89999999999999991</v>
      </c>
      <c r="O275" s="32">
        <f t="shared" si="39"/>
        <v>146.6</v>
      </c>
      <c r="P275" s="32">
        <v>267</v>
      </c>
      <c r="Q275" s="33">
        <f t="shared" si="40"/>
        <v>0.86612903225806437</v>
      </c>
      <c r="R275" s="34">
        <f t="shared" si="42"/>
        <v>1.9920967741935478</v>
      </c>
      <c r="S275" s="34">
        <f t="shared" si="43"/>
        <v>-0.59209677419354789</v>
      </c>
      <c r="T275" s="35">
        <f t="shared" si="48"/>
        <v>134.04516129032257</v>
      </c>
      <c r="V275" s="32">
        <v>1420.3</v>
      </c>
      <c r="X275" s="32">
        <f t="shared" si="49"/>
        <v>197874.89999999994</v>
      </c>
      <c r="Y275" s="36">
        <f t="shared" si="44"/>
        <v>27898.6</v>
      </c>
      <c r="AA275" s="36">
        <v>15.793456233751099</v>
      </c>
    </row>
    <row r="276" spans="1:27" s="1" customFormat="1" x14ac:dyDescent="0.25">
      <c r="A276" s="49">
        <v>1000</v>
      </c>
      <c r="B276" s="2"/>
      <c r="C276" s="25">
        <v>42523</v>
      </c>
      <c r="D276" s="1">
        <v>13.8</v>
      </c>
      <c r="E276" s="1">
        <v>13.4</v>
      </c>
      <c r="F276" s="1">
        <v>15.2</v>
      </c>
      <c r="G276" s="1">
        <f t="shared" si="45"/>
        <v>2709.4000000000005</v>
      </c>
      <c r="H276" s="1">
        <v>13.8</v>
      </c>
      <c r="I276" s="26" t="s">
        <v>2</v>
      </c>
      <c r="J276" s="1">
        <v>0.1</v>
      </c>
      <c r="K276" s="1">
        <f t="shared" si="46"/>
        <v>530.00000000000034</v>
      </c>
      <c r="L276" s="1">
        <v>1.3</v>
      </c>
      <c r="M276" s="1">
        <f t="shared" si="47"/>
        <v>369.19999999999993</v>
      </c>
      <c r="N276" s="1">
        <v>-1.2</v>
      </c>
      <c r="O276" s="1">
        <f t="shared" si="39"/>
        <v>145.4</v>
      </c>
      <c r="P276" s="1">
        <v>268</v>
      </c>
      <c r="Q276" s="12">
        <f t="shared" si="40"/>
        <v>0.85322580645161283</v>
      </c>
      <c r="R276" s="5">
        <f t="shared" si="42"/>
        <v>1.1091935483870967</v>
      </c>
      <c r="S276" s="5">
        <f t="shared" si="43"/>
        <v>-1.0091935483870966</v>
      </c>
      <c r="T276" s="5">
        <f t="shared" si="48"/>
        <v>133.03596774193548</v>
      </c>
      <c r="U276" s="26" t="s">
        <v>3</v>
      </c>
      <c r="V276" s="1">
        <v>463.7</v>
      </c>
      <c r="X276" s="1">
        <f t="shared" si="49"/>
        <v>198338.59999999995</v>
      </c>
      <c r="Y276" s="1">
        <v>463.7</v>
      </c>
      <c r="Z276" s="26" t="s">
        <v>4</v>
      </c>
      <c r="AA276" s="1">
        <v>15.819615377891401</v>
      </c>
    </row>
    <row r="277" spans="1:27" s="1" customFormat="1" x14ac:dyDescent="0.25">
      <c r="A277" s="49"/>
      <c r="B277" s="2"/>
      <c r="C277" s="25">
        <v>42524</v>
      </c>
      <c r="D277" s="1">
        <v>14.4</v>
      </c>
      <c r="E277" s="1">
        <v>12.1</v>
      </c>
      <c r="F277" s="1">
        <v>16.5</v>
      </c>
      <c r="G277" s="1">
        <f t="shared" si="45"/>
        <v>2723.8000000000006</v>
      </c>
      <c r="H277" s="1">
        <f t="shared" si="41"/>
        <v>28.200000000000003</v>
      </c>
      <c r="I277" s="1">
        <f>MIN(E276:E300)</f>
        <v>9.6</v>
      </c>
      <c r="J277" s="1">
        <v>0</v>
      </c>
      <c r="K277" s="1">
        <f t="shared" si="46"/>
        <v>530.00000000000034</v>
      </c>
      <c r="L277" s="1">
        <v>1.5</v>
      </c>
      <c r="M277" s="1">
        <f t="shared" si="47"/>
        <v>370.69999999999993</v>
      </c>
      <c r="N277" s="1">
        <v>-1.5</v>
      </c>
      <c r="O277" s="1">
        <f t="shared" ref="O277:O315" si="50">O276+N277</f>
        <v>143.9</v>
      </c>
      <c r="P277" s="1">
        <v>269</v>
      </c>
      <c r="Q277" s="12">
        <f t="shared" si="40"/>
        <v>0.8403225806451613</v>
      </c>
      <c r="R277" s="5">
        <f t="shared" si="42"/>
        <v>1.2604838709677419</v>
      </c>
      <c r="S277" s="5">
        <f t="shared" si="43"/>
        <v>-1.2604838709677419</v>
      </c>
      <c r="T277" s="5">
        <f t="shared" si="48"/>
        <v>131.77548387096775</v>
      </c>
      <c r="U277" s="1">
        <v>14</v>
      </c>
      <c r="V277" s="1">
        <v>652.5</v>
      </c>
      <c r="X277" s="1">
        <f t="shared" si="49"/>
        <v>198991.09999999995</v>
      </c>
      <c r="Y277" s="1">
        <f t="shared" si="44"/>
        <v>1116.2</v>
      </c>
      <c r="Z277" s="1">
        <v>26241.000000000004</v>
      </c>
      <c r="AA277" s="1">
        <v>15.8445818102358</v>
      </c>
    </row>
    <row r="278" spans="1:27" s="1" customFormat="1" x14ac:dyDescent="0.25">
      <c r="A278" s="49"/>
      <c r="B278" s="2"/>
      <c r="C278" s="25">
        <v>42525</v>
      </c>
      <c r="D278" s="1">
        <v>14.1</v>
      </c>
      <c r="E278" s="1">
        <v>11.5</v>
      </c>
      <c r="F278" s="1">
        <v>17.3</v>
      </c>
      <c r="G278" s="1">
        <f t="shared" si="45"/>
        <v>2737.9000000000005</v>
      </c>
      <c r="H278" s="1">
        <f t="shared" si="41"/>
        <v>42.300000000000004</v>
      </c>
      <c r="I278" s="26" t="s">
        <v>5</v>
      </c>
      <c r="J278" s="1">
        <v>0</v>
      </c>
      <c r="K278" s="1">
        <f t="shared" si="46"/>
        <v>530.00000000000034</v>
      </c>
      <c r="L278" s="1">
        <v>1.6</v>
      </c>
      <c r="M278" s="1">
        <f t="shared" si="47"/>
        <v>372.29999999999995</v>
      </c>
      <c r="N278" s="1">
        <v>-1.6</v>
      </c>
      <c r="O278" s="1">
        <f t="shared" si="50"/>
        <v>142.30000000000001</v>
      </c>
      <c r="P278" s="1">
        <v>270</v>
      </c>
      <c r="Q278" s="12">
        <f t="shared" si="40"/>
        <v>0.82741935483870965</v>
      </c>
      <c r="R278" s="5">
        <f t="shared" si="42"/>
        <v>1.3238709677419356</v>
      </c>
      <c r="S278" s="5">
        <f t="shared" si="43"/>
        <v>-1.3238709677419356</v>
      </c>
      <c r="T278" s="5">
        <f t="shared" si="48"/>
        <v>130.45161290322582</v>
      </c>
      <c r="U278" s="26" t="s">
        <v>6</v>
      </c>
      <c r="V278" s="1">
        <v>730.1</v>
      </c>
      <c r="X278" s="1">
        <f t="shared" si="49"/>
        <v>199721.19999999995</v>
      </c>
      <c r="Y278" s="1">
        <f t="shared" si="44"/>
        <v>1846.3000000000002</v>
      </c>
      <c r="Z278" s="26" t="s">
        <v>7</v>
      </c>
      <c r="AA278" s="1">
        <v>15.868333611840001</v>
      </c>
    </row>
    <row r="279" spans="1:27" s="1" customFormat="1" x14ac:dyDescent="0.25">
      <c r="A279" s="49"/>
      <c r="B279" s="2"/>
      <c r="C279" s="25">
        <v>42526</v>
      </c>
      <c r="D279" s="1">
        <v>15.9</v>
      </c>
      <c r="E279" s="1">
        <v>10.6</v>
      </c>
      <c r="F279" s="1">
        <v>20.100000000000001</v>
      </c>
      <c r="G279" s="1">
        <f t="shared" si="45"/>
        <v>2753.8000000000006</v>
      </c>
      <c r="H279" s="1">
        <f t="shared" si="41"/>
        <v>58.2</v>
      </c>
      <c r="I279" s="1">
        <f>MAX(F276:F300)</f>
        <v>25.9</v>
      </c>
      <c r="J279" s="1">
        <v>0</v>
      </c>
      <c r="K279" s="1">
        <f t="shared" si="46"/>
        <v>530.00000000000034</v>
      </c>
      <c r="L279" s="1">
        <v>1.8</v>
      </c>
      <c r="M279" s="1">
        <f t="shared" si="47"/>
        <v>374.09999999999997</v>
      </c>
      <c r="N279" s="1">
        <v>-1.8</v>
      </c>
      <c r="O279" s="1">
        <f t="shared" si="50"/>
        <v>140.5</v>
      </c>
      <c r="P279" s="1">
        <v>271</v>
      </c>
      <c r="Q279" s="12">
        <f t="shared" si="40"/>
        <v>0.81451612903225801</v>
      </c>
      <c r="R279" s="5">
        <f t="shared" si="42"/>
        <v>1.4661290322580645</v>
      </c>
      <c r="S279" s="5">
        <f t="shared" si="43"/>
        <v>-1.4661290322580645</v>
      </c>
      <c r="T279" s="5">
        <f t="shared" si="48"/>
        <v>128.98548387096776</v>
      </c>
      <c r="U279" s="1">
        <v>0</v>
      </c>
      <c r="V279" s="1">
        <v>959.1</v>
      </c>
      <c r="X279" s="1">
        <f t="shared" si="49"/>
        <v>200680.29999999996</v>
      </c>
      <c r="Y279" s="1">
        <f t="shared" si="44"/>
        <v>2805.4</v>
      </c>
      <c r="Z279" s="1">
        <f>(Z277/100)/I289</f>
        <v>0.63877799415774106</v>
      </c>
      <c r="AA279" s="1">
        <v>15.8908496129102</v>
      </c>
    </row>
    <row r="280" spans="1:27" s="1" customFormat="1" x14ac:dyDescent="0.25">
      <c r="A280" s="49"/>
      <c r="B280" s="2"/>
      <c r="C280" s="25">
        <v>42527</v>
      </c>
      <c r="D280" s="1">
        <v>18.899999999999999</v>
      </c>
      <c r="E280" s="1">
        <v>13.4</v>
      </c>
      <c r="F280" s="1">
        <v>22.7</v>
      </c>
      <c r="G280" s="1">
        <f t="shared" si="45"/>
        <v>2772.7000000000007</v>
      </c>
      <c r="H280" s="1">
        <f t="shared" si="41"/>
        <v>77.099999999999994</v>
      </c>
      <c r="I280" s="26" t="s">
        <v>8</v>
      </c>
      <c r="J280" s="1">
        <v>0</v>
      </c>
      <c r="K280" s="1">
        <f t="shared" si="46"/>
        <v>530.00000000000034</v>
      </c>
      <c r="L280" s="1">
        <v>1.5</v>
      </c>
      <c r="M280" s="1">
        <f t="shared" si="47"/>
        <v>375.59999999999997</v>
      </c>
      <c r="N280" s="1">
        <v>-1.5</v>
      </c>
      <c r="O280" s="1">
        <f t="shared" si="50"/>
        <v>139</v>
      </c>
      <c r="P280" s="1">
        <v>272</v>
      </c>
      <c r="Q280" s="12">
        <f t="shared" si="40"/>
        <v>0.80161290322580636</v>
      </c>
      <c r="R280" s="5">
        <f t="shared" si="42"/>
        <v>1.2024193548387094</v>
      </c>
      <c r="S280" s="5">
        <f t="shared" si="43"/>
        <v>-1.2024193548387094</v>
      </c>
      <c r="T280" s="5">
        <f t="shared" si="48"/>
        <v>127.78306451612904</v>
      </c>
      <c r="U280" s="26" t="s">
        <v>9</v>
      </c>
      <c r="V280" s="1">
        <v>984.3</v>
      </c>
      <c r="X280" s="1">
        <f t="shared" si="49"/>
        <v>201664.59999999995</v>
      </c>
      <c r="Y280" s="1">
        <f t="shared" si="44"/>
        <v>3789.7</v>
      </c>
      <c r="Z280" s="26" t="s">
        <v>10</v>
      </c>
      <c r="AA280" s="1">
        <v>15.9121094597803</v>
      </c>
    </row>
    <row r="281" spans="1:27" s="1" customFormat="1" x14ac:dyDescent="0.25">
      <c r="A281" s="49"/>
      <c r="B281" s="2"/>
      <c r="C281" s="25">
        <v>42528</v>
      </c>
      <c r="D281" s="1">
        <v>19</v>
      </c>
      <c r="E281" s="1">
        <v>16.600000000000001</v>
      </c>
      <c r="F281" s="1">
        <v>22.5</v>
      </c>
      <c r="G281" s="1">
        <f t="shared" si="45"/>
        <v>2791.7000000000007</v>
      </c>
      <c r="H281" s="1">
        <f t="shared" si="41"/>
        <v>96.1</v>
      </c>
      <c r="I281" s="5">
        <f>AVERAGE(D276:D300)</f>
        <v>16.432000000000006</v>
      </c>
      <c r="J281" s="1">
        <v>0</v>
      </c>
      <c r="K281" s="1">
        <f t="shared" si="46"/>
        <v>530.00000000000034</v>
      </c>
      <c r="L281" s="1">
        <v>3.5</v>
      </c>
      <c r="M281" s="1">
        <f t="shared" si="47"/>
        <v>379.09999999999997</v>
      </c>
      <c r="N281" s="1">
        <v>-3.5</v>
      </c>
      <c r="O281" s="1">
        <f t="shared" si="50"/>
        <v>135.5</v>
      </c>
      <c r="P281" s="1">
        <v>273</v>
      </c>
      <c r="Q281" s="12">
        <f t="shared" si="40"/>
        <v>0.78870967741935472</v>
      </c>
      <c r="R281" s="5">
        <f t="shared" si="42"/>
        <v>2.7604838709677413</v>
      </c>
      <c r="S281" s="5">
        <f t="shared" si="43"/>
        <v>-2.7604838709677413</v>
      </c>
      <c r="T281" s="5">
        <f t="shared" si="48"/>
        <v>125.0225806451613</v>
      </c>
      <c r="U281" s="1">
        <v>0</v>
      </c>
      <c r="V281" s="1">
        <v>1751.5</v>
      </c>
      <c r="X281" s="1">
        <f t="shared" si="49"/>
        <v>203416.09999999995</v>
      </c>
      <c r="Y281" s="1">
        <f t="shared" si="44"/>
        <v>5541.2</v>
      </c>
      <c r="Z281" s="1">
        <v>16</v>
      </c>
      <c r="AA281" s="1">
        <v>15.932093680898401</v>
      </c>
    </row>
    <row r="282" spans="1:27" s="1" customFormat="1" x14ac:dyDescent="0.25">
      <c r="A282" s="49"/>
      <c r="B282" s="2"/>
      <c r="C282" s="25">
        <v>42529</v>
      </c>
      <c r="D282" s="1">
        <v>17.3</v>
      </c>
      <c r="E282" s="1">
        <v>12.2</v>
      </c>
      <c r="F282" s="1">
        <v>21.9</v>
      </c>
      <c r="G282" s="1">
        <f t="shared" si="45"/>
        <v>2809.0000000000009</v>
      </c>
      <c r="H282" s="1">
        <f t="shared" si="41"/>
        <v>113.39999999999999</v>
      </c>
      <c r="I282" s="26" t="s">
        <v>11</v>
      </c>
      <c r="J282" s="1">
        <v>0</v>
      </c>
      <c r="K282" s="1">
        <f t="shared" si="46"/>
        <v>530.00000000000034</v>
      </c>
      <c r="L282" s="1">
        <v>4.3</v>
      </c>
      <c r="M282" s="1">
        <f t="shared" si="47"/>
        <v>383.4</v>
      </c>
      <c r="N282" s="1">
        <v>-4.3</v>
      </c>
      <c r="O282" s="1">
        <f t="shared" si="50"/>
        <v>131.19999999999999</v>
      </c>
      <c r="P282" s="1">
        <v>274</v>
      </c>
      <c r="Q282" s="12">
        <f t="shared" si="40"/>
        <v>0.77580645161290318</v>
      </c>
      <c r="R282" s="5">
        <f t="shared" si="42"/>
        <v>3.3359677419354834</v>
      </c>
      <c r="S282" s="5">
        <f t="shared" si="43"/>
        <v>-3.3359677419354834</v>
      </c>
      <c r="T282" s="5">
        <f t="shared" si="48"/>
        <v>121.68661290322582</v>
      </c>
      <c r="U282" s="26" t="s">
        <v>12</v>
      </c>
      <c r="V282" s="1">
        <v>2532.3000000000002</v>
      </c>
      <c r="X282" s="1">
        <f t="shared" si="49"/>
        <v>205948.39999999994</v>
      </c>
      <c r="Y282" s="1">
        <f t="shared" si="44"/>
        <v>8073.5</v>
      </c>
      <c r="AA282" s="1">
        <v>15.950783751414001</v>
      </c>
    </row>
    <row r="283" spans="1:27" s="1" customFormat="1" x14ac:dyDescent="0.25">
      <c r="A283" s="49"/>
      <c r="B283" s="2"/>
      <c r="C283" s="25">
        <v>42530</v>
      </c>
      <c r="D283" s="1">
        <v>20.399999999999999</v>
      </c>
      <c r="E283" s="1">
        <v>13.6</v>
      </c>
      <c r="F283" s="1">
        <v>25.4</v>
      </c>
      <c r="G283" s="1">
        <f t="shared" si="45"/>
        <v>2829.400000000001</v>
      </c>
      <c r="H283" s="1">
        <f t="shared" si="41"/>
        <v>133.79999999999998</v>
      </c>
      <c r="I283" s="1">
        <v>0</v>
      </c>
      <c r="J283" s="1">
        <v>0</v>
      </c>
      <c r="K283" s="1">
        <f t="shared" si="46"/>
        <v>530.00000000000034</v>
      </c>
      <c r="L283" s="1">
        <v>4</v>
      </c>
      <c r="M283" s="1">
        <f t="shared" si="47"/>
        <v>387.4</v>
      </c>
      <c r="N283" s="1">
        <v>-4</v>
      </c>
      <c r="O283" s="1">
        <f t="shared" si="50"/>
        <v>127.19999999999999</v>
      </c>
      <c r="P283" s="1">
        <v>275</v>
      </c>
      <c r="Q283" s="12">
        <f t="shared" si="40"/>
        <v>0.76290322580645153</v>
      </c>
      <c r="R283" s="5">
        <f t="shared" si="42"/>
        <v>3.0516129032258061</v>
      </c>
      <c r="S283" s="5">
        <f t="shared" si="43"/>
        <v>-3.0516129032258061</v>
      </c>
      <c r="T283" s="5">
        <f t="shared" si="48"/>
        <v>118.63500000000002</v>
      </c>
      <c r="U283" s="5">
        <f>MIN(T276:T300)</f>
        <v>118.63500000000002</v>
      </c>
      <c r="V283" s="1">
        <v>2085.6</v>
      </c>
      <c r="X283" s="1">
        <f t="shared" si="49"/>
        <v>208033.99999999994</v>
      </c>
      <c r="Y283" s="1">
        <f t="shared" si="44"/>
        <v>10159.1</v>
      </c>
      <c r="AA283" s="1">
        <v>15.968162155951299</v>
      </c>
    </row>
    <row r="284" spans="1:27" s="1" customFormat="1" x14ac:dyDescent="0.25">
      <c r="A284" s="49"/>
      <c r="B284" s="2"/>
      <c r="C284" s="25">
        <v>42531</v>
      </c>
      <c r="D284" s="1">
        <v>18.600000000000001</v>
      </c>
      <c r="E284" s="1">
        <v>17.2</v>
      </c>
      <c r="F284" s="1">
        <v>22.5</v>
      </c>
      <c r="G284" s="1">
        <f t="shared" si="45"/>
        <v>2848.0000000000009</v>
      </c>
      <c r="H284" s="1">
        <f t="shared" si="41"/>
        <v>152.39999999999998</v>
      </c>
      <c r="I284" s="26" t="s">
        <v>13</v>
      </c>
      <c r="J284" s="1">
        <v>8.4</v>
      </c>
      <c r="K284" s="1">
        <f t="shared" si="46"/>
        <v>538.40000000000032</v>
      </c>
      <c r="L284" s="1">
        <v>1.7</v>
      </c>
      <c r="M284" s="1">
        <f t="shared" si="47"/>
        <v>389.09999999999997</v>
      </c>
      <c r="N284" s="1">
        <v>6.7</v>
      </c>
      <c r="O284" s="1">
        <f t="shared" si="50"/>
        <v>133.89999999999998</v>
      </c>
      <c r="P284" s="1">
        <v>276</v>
      </c>
      <c r="Q284" s="12">
        <f t="shared" si="40"/>
        <v>0.75</v>
      </c>
      <c r="R284" s="5">
        <f t="shared" si="42"/>
        <v>1.2749999999999999</v>
      </c>
      <c r="S284" s="5">
        <f t="shared" si="43"/>
        <v>7.125</v>
      </c>
      <c r="T284" s="5">
        <f t="shared" si="48"/>
        <v>125.76000000000002</v>
      </c>
      <c r="U284" s="26" t="s">
        <v>14</v>
      </c>
      <c r="V284" s="1">
        <v>557.70000000000005</v>
      </c>
      <c r="X284" s="1">
        <f t="shared" si="49"/>
        <v>208591.69999999995</v>
      </c>
      <c r="Y284" s="1">
        <f t="shared" si="44"/>
        <v>10716.800000000001</v>
      </c>
      <c r="AA284" s="1">
        <v>15.984212449150601</v>
      </c>
    </row>
    <row r="285" spans="1:27" s="1" customFormat="1" x14ac:dyDescent="0.25">
      <c r="A285" s="49"/>
      <c r="B285" s="2"/>
      <c r="C285" s="25">
        <v>42532</v>
      </c>
      <c r="D285" s="1">
        <v>15.9</v>
      </c>
      <c r="E285" s="1">
        <v>14.9</v>
      </c>
      <c r="F285" s="1">
        <v>17.5</v>
      </c>
      <c r="G285" s="1">
        <f t="shared" si="45"/>
        <v>2863.900000000001</v>
      </c>
      <c r="H285" s="1">
        <f t="shared" si="41"/>
        <v>168.29999999999998</v>
      </c>
      <c r="I285" s="1">
        <v>2</v>
      </c>
      <c r="J285" s="1">
        <v>4.2</v>
      </c>
      <c r="K285" s="1">
        <f t="shared" si="46"/>
        <v>542.60000000000036</v>
      </c>
      <c r="L285" s="1">
        <v>1.3</v>
      </c>
      <c r="M285" s="1">
        <f t="shared" si="47"/>
        <v>390.4</v>
      </c>
      <c r="N285" s="1">
        <v>2.9000000000000004</v>
      </c>
      <c r="O285" s="1">
        <f t="shared" si="50"/>
        <v>136.79999999999998</v>
      </c>
      <c r="P285" s="1">
        <v>277</v>
      </c>
      <c r="Q285" s="12">
        <f t="shared" si="40"/>
        <v>0.73709677419354835</v>
      </c>
      <c r="R285" s="5">
        <f t="shared" si="42"/>
        <v>0.95822580645161293</v>
      </c>
      <c r="S285" s="5">
        <f t="shared" si="43"/>
        <v>3.2417741935483875</v>
      </c>
      <c r="T285" s="5">
        <f t="shared" si="48"/>
        <v>129.00177419354841</v>
      </c>
      <c r="U285" s="5">
        <f>MAX(T276:T300)</f>
        <v>190.16016129032263</v>
      </c>
      <c r="V285" s="1">
        <v>612.1</v>
      </c>
      <c r="X285" s="1">
        <f t="shared" si="49"/>
        <v>209203.79999999996</v>
      </c>
      <c r="Y285" s="1">
        <f t="shared" si="44"/>
        <v>11328.900000000001</v>
      </c>
      <c r="AA285" s="1">
        <v>15.9989193135647</v>
      </c>
    </row>
    <row r="286" spans="1:27" s="1" customFormat="1" x14ac:dyDescent="0.25">
      <c r="A286" s="49"/>
      <c r="B286" s="2"/>
      <c r="C286" s="25">
        <v>42533</v>
      </c>
      <c r="D286" s="1">
        <v>16.899999999999999</v>
      </c>
      <c r="E286" s="1">
        <v>14.1</v>
      </c>
      <c r="F286" s="1">
        <v>19.2</v>
      </c>
      <c r="G286" s="1">
        <f t="shared" si="45"/>
        <v>2880.8000000000011</v>
      </c>
      <c r="H286" s="1">
        <f t="shared" si="41"/>
        <v>185.2</v>
      </c>
      <c r="I286" s="26" t="s">
        <v>15</v>
      </c>
      <c r="J286" s="1">
        <v>1.8</v>
      </c>
      <c r="K286" s="1">
        <f t="shared" si="46"/>
        <v>544.40000000000032</v>
      </c>
      <c r="L286" s="1">
        <v>1.2</v>
      </c>
      <c r="M286" s="1">
        <f t="shared" si="47"/>
        <v>391.59999999999997</v>
      </c>
      <c r="N286" s="1">
        <v>0.60000000000000009</v>
      </c>
      <c r="O286" s="1">
        <f t="shared" si="50"/>
        <v>137.39999999999998</v>
      </c>
      <c r="P286" s="1">
        <v>278</v>
      </c>
      <c r="Q286" s="12">
        <f t="shared" si="40"/>
        <v>0.72419354838709671</v>
      </c>
      <c r="R286" s="5">
        <f t="shared" si="42"/>
        <v>0.86903225806451601</v>
      </c>
      <c r="S286" s="5">
        <f t="shared" si="43"/>
        <v>0.93096774193548404</v>
      </c>
      <c r="T286" s="5">
        <f t="shared" si="48"/>
        <v>129.9327419354839</v>
      </c>
      <c r="U286" s="26" t="s">
        <v>16</v>
      </c>
      <c r="V286" s="1">
        <v>624.70000000000005</v>
      </c>
      <c r="X286" s="1">
        <f t="shared" si="49"/>
        <v>209828.49999999997</v>
      </c>
      <c r="Y286" s="1">
        <f t="shared" si="44"/>
        <v>11953.600000000002</v>
      </c>
      <c r="AA286" s="1">
        <v>16.012268614500002</v>
      </c>
    </row>
    <row r="287" spans="1:27" s="1" customFormat="1" x14ac:dyDescent="0.25">
      <c r="A287" s="49"/>
      <c r="B287" s="2"/>
      <c r="C287" s="25">
        <v>42534</v>
      </c>
      <c r="D287" s="1">
        <v>15.3</v>
      </c>
      <c r="E287" s="1">
        <v>13.5</v>
      </c>
      <c r="F287" s="1">
        <v>18</v>
      </c>
      <c r="G287" s="1">
        <f t="shared" si="45"/>
        <v>2896.1000000000013</v>
      </c>
      <c r="H287" s="1">
        <f t="shared" si="41"/>
        <v>200.5</v>
      </c>
      <c r="I287" s="1">
        <v>0</v>
      </c>
      <c r="J287" s="1">
        <v>6.4</v>
      </c>
      <c r="K287" s="1">
        <f t="shared" si="46"/>
        <v>550.8000000000003</v>
      </c>
      <c r="L287" s="1">
        <v>1.4</v>
      </c>
      <c r="M287" s="1">
        <f t="shared" si="47"/>
        <v>392.99999999999994</v>
      </c>
      <c r="N287" s="1">
        <v>5</v>
      </c>
      <c r="O287" s="1">
        <f t="shared" si="50"/>
        <v>142.39999999999998</v>
      </c>
      <c r="P287" s="1">
        <v>279</v>
      </c>
      <c r="Q287" s="12">
        <f t="shared" si="40"/>
        <v>0.71129032258064506</v>
      </c>
      <c r="R287" s="5">
        <f t="shared" si="42"/>
        <v>0.99580645161290304</v>
      </c>
      <c r="S287" s="5">
        <f t="shared" si="43"/>
        <v>5.4041935483870969</v>
      </c>
      <c r="T287" s="5">
        <f t="shared" si="48"/>
        <v>135.336935483871</v>
      </c>
      <c r="U287" s="12">
        <f>AVERAGE(T276:T300)</f>
        <v>150.127135483871</v>
      </c>
      <c r="V287" s="1">
        <v>539.70000000000005</v>
      </c>
      <c r="X287" s="1">
        <f t="shared" si="49"/>
        <v>210368.19999999998</v>
      </c>
      <c r="Y287" s="1">
        <f t="shared" si="44"/>
        <v>12493.300000000003</v>
      </c>
      <c r="AA287" s="1">
        <v>16.024247451408399</v>
      </c>
    </row>
    <row r="288" spans="1:27" s="1" customFormat="1" x14ac:dyDescent="0.25">
      <c r="A288" s="49"/>
      <c r="B288" s="2"/>
      <c r="C288" s="25">
        <v>42535</v>
      </c>
      <c r="D288" s="1">
        <v>13.8</v>
      </c>
      <c r="E288" s="1">
        <v>13.1</v>
      </c>
      <c r="F288" s="1">
        <v>15.2</v>
      </c>
      <c r="G288" s="1">
        <f>G287+D288</f>
        <v>2909.9000000000015</v>
      </c>
      <c r="H288" s="1">
        <f t="shared" si="41"/>
        <v>214.3</v>
      </c>
      <c r="I288" s="26" t="s">
        <v>17</v>
      </c>
      <c r="J288" s="1">
        <v>16</v>
      </c>
      <c r="K288" s="1">
        <f t="shared" si="46"/>
        <v>566.8000000000003</v>
      </c>
      <c r="L288" s="1">
        <v>1.8</v>
      </c>
      <c r="M288" s="1">
        <f t="shared" si="47"/>
        <v>394.79999999999995</v>
      </c>
      <c r="N288" s="1">
        <v>14.2</v>
      </c>
      <c r="O288" s="1">
        <f t="shared" si="50"/>
        <v>156.59999999999997</v>
      </c>
      <c r="P288" s="1">
        <v>280</v>
      </c>
      <c r="Q288" s="12">
        <f t="shared" si="40"/>
        <v>0.69838709677419342</v>
      </c>
      <c r="R288" s="5">
        <f t="shared" si="42"/>
        <v>1.2570967741935481</v>
      </c>
      <c r="S288" s="5">
        <f t="shared" si="43"/>
        <v>14.742903225806451</v>
      </c>
      <c r="T288" s="5">
        <f t="shared" si="48"/>
        <v>150.07983870967746</v>
      </c>
      <c r="V288" s="1">
        <v>874.5</v>
      </c>
      <c r="X288" s="1">
        <f t="shared" si="49"/>
        <v>211242.69999999998</v>
      </c>
      <c r="Y288" s="1">
        <f t="shared" si="44"/>
        <v>13367.800000000003</v>
      </c>
      <c r="AA288" s="1">
        <v>16.034844205448401</v>
      </c>
    </row>
    <row r="289" spans="1:27" s="1" customFormat="1" x14ac:dyDescent="0.25">
      <c r="A289" s="49"/>
      <c r="B289" s="2"/>
      <c r="C289" s="25">
        <v>42536</v>
      </c>
      <c r="D289" s="1">
        <v>13.4</v>
      </c>
      <c r="E289" s="1">
        <v>11</v>
      </c>
      <c r="F289" s="1">
        <v>15.6</v>
      </c>
      <c r="G289" s="1">
        <f t="shared" si="45"/>
        <v>2923.3000000000015</v>
      </c>
      <c r="H289" s="1">
        <f t="shared" si="41"/>
        <v>227.70000000000002</v>
      </c>
      <c r="I289" s="1">
        <v>410.8</v>
      </c>
      <c r="J289" s="1">
        <v>6.6</v>
      </c>
      <c r="K289" s="1">
        <f t="shared" si="46"/>
        <v>573.40000000000032</v>
      </c>
      <c r="L289" s="1">
        <v>1.3</v>
      </c>
      <c r="M289" s="1">
        <f t="shared" si="47"/>
        <v>396.09999999999997</v>
      </c>
      <c r="N289" s="1">
        <v>5.3</v>
      </c>
      <c r="O289" s="1">
        <f t="shared" si="50"/>
        <v>161.89999999999998</v>
      </c>
      <c r="P289" s="1">
        <v>281</v>
      </c>
      <c r="Q289" s="12">
        <f t="shared" si="40"/>
        <v>0.68548387096774177</v>
      </c>
      <c r="R289" s="5">
        <f t="shared" si="42"/>
        <v>0.89112903225806428</v>
      </c>
      <c r="S289" s="5">
        <f t="shared" si="43"/>
        <v>5.7088709677419356</v>
      </c>
      <c r="T289" s="5">
        <f t="shared" si="48"/>
        <v>155.7887096774194</v>
      </c>
      <c r="U289" s="5">
        <f>(U287*100)/197.4</f>
        <v>76.052246952315599</v>
      </c>
      <c r="V289" s="1">
        <v>679.6</v>
      </c>
      <c r="X289" s="1">
        <f t="shared" si="49"/>
        <v>211922.3</v>
      </c>
      <c r="Y289" s="1">
        <f t="shared" si="44"/>
        <v>14047.400000000003</v>
      </c>
      <c r="AA289" s="1">
        <v>16.0440485828574</v>
      </c>
    </row>
    <row r="290" spans="1:27" s="1" customFormat="1" x14ac:dyDescent="0.25">
      <c r="A290" s="49"/>
      <c r="B290" s="2"/>
      <c r="C290" s="25">
        <v>42537</v>
      </c>
      <c r="D290" s="1">
        <v>14.7</v>
      </c>
      <c r="E290" s="1">
        <v>11.6</v>
      </c>
      <c r="F290" s="1">
        <v>19.2</v>
      </c>
      <c r="G290" s="1">
        <f t="shared" si="45"/>
        <v>2938.0000000000014</v>
      </c>
      <c r="H290" s="1">
        <f t="shared" si="41"/>
        <v>242.4</v>
      </c>
      <c r="J290" s="1">
        <v>1</v>
      </c>
      <c r="K290" s="1">
        <f t="shared" si="46"/>
        <v>574.40000000000032</v>
      </c>
      <c r="L290" s="1">
        <v>3.2</v>
      </c>
      <c r="M290" s="1">
        <f t="shared" si="47"/>
        <v>399.29999999999995</v>
      </c>
      <c r="N290" s="1">
        <v>-2.2000000000000002</v>
      </c>
      <c r="O290" s="1">
        <f t="shared" si="50"/>
        <v>159.69999999999999</v>
      </c>
      <c r="P290" s="1">
        <v>282</v>
      </c>
      <c r="Q290" s="12">
        <f t="shared" si="40"/>
        <v>0.67258064516129024</v>
      </c>
      <c r="R290" s="5">
        <f t="shared" si="42"/>
        <v>2.1522580645161287</v>
      </c>
      <c r="S290" s="5">
        <f t="shared" si="43"/>
        <v>-1.1522580645161287</v>
      </c>
      <c r="T290" s="5">
        <f t="shared" si="48"/>
        <v>154.63645161290327</v>
      </c>
      <c r="V290" s="1">
        <v>1931.1</v>
      </c>
      <c r="X290" s="1">
        <f t="shared" si="49"/>
        <v>213853.4</v>
      </c>
      <c r="Y290" s="1">
        <f t="shared" si="44"/>
        <v>15978.500000000004</v>
      </c>
      <c r="AA290" s="1">
        <v>16.051851653800099</v>
      </c>
    </row>
    <row r="291" spans="1:27" s="1" customFormat="1" x14ac:dyDescent="0.25">
      <c r="A291" s="49"/>
      <c r="B291" s="2"/>
      <c r="C291" s="25">
        <v>42538</v>
      </c>
      <c r="D291" s="1">
        <v>13.7</v>
      </c>
      <c r="E291" s="1">
        <v>12.5</v>
      </c>
      <c r="F291" s="1">
        <v>16.2</v>
      </c>
      <c r="G291" s="1">
        <f t="shared" si="45"/>
        <v>2951.7000000000012</v>
      </c>
      <c r="H291" s="1">
        <f t="shared" si="41"/>
        <v>256.10000000000002</v>
      </c>
      <c r="J291" s="1">
        <v>3.7</v>
      </c>
      <c r="K291" s="1">
        <f t="shared" si="46"/>
        <v>578.10000000000036</v>
      </c>
      <c r="L291" s="1">
        <v>1.2</v>
      </c>
      <c r="M291" s="1">
        <f t="shared" si="47"/>
        <v>400.49999999999994</v>
      </c>
      <c r="N291" s="1">
        <v>2.5</v>
      </c>
      <c r="O291" s="1">
        <f t="shared" si="50"/>
        <v>162.19999999999999</v>
      </c>
      <c r="P291" s="1">
        <v>283</v>
      </c>
      <c r="Q291" s="12">
        <f t="shared" si="40"/>
        <v>0.6596774193548387</v>
      </c>
      <c r="R291" s="5">
        <f t="shared" si="42"/>
        <v>0.79161290322580646</v>
      </c>
      <c r="S291" s="5">
        <f t="shared" si="43"/>
        <v>2.9083870967741938</v>
      </c>
      <c r="T291" s="5">
        <f t="shared" si="48"/>
        <v>157.54483870967746</v>
      </c>
      <c r="V291" s="1">
        <v>722.3</v>
      </c>
      <c r="X291" s="1">
        <f t="shared" si="49"/>
        <v>214575.69999999998</v>
      </c>
      <c r="Y291" s="1">
        <f t="shared" si="44"/>
        <v>16700.800000000003</v>
      </c>
      <c r="AA291" s="1">
        <v>16.0582458863922</v>
      </c>
    </row>
    <row r="292" spans="1:27" s="1" customFormat="1" x14ac:dyDescent="0.25">
      <c r="A292" s="49"/>
      <c r="B292" s="2"/>
      <c r="C292" s="25">
        <v>42539</v>
      </c>
      <c r="D292" s="1">
        <v>14.6</v>
      </c>
      <c r="E292" s="1">
        <v>9.6</v>
      </c>
      <c r="F292" s="1">
        <v>17.600000000000001</v>
      </c>
      <c r="G292" s="1">
        <f t="shared" si="45"/>
        <v>2966.3000000000011</v>
      </c>
      <c r="H292" s="1">
        <f t="shared" si="41"/>
        <v>270.70000000000005</v>
      </c>
      <c r="J292" s="1">
        <v>0</v>
      </c>
      <c r="K292" s="1">
        <f t="shared" si="46"/>
        <v>578.10000000000036</v>
      </c>
      <c r="L292" s="1">
        <v>1.6</v>
      </c>
      <c r="M292" s="1">
        <f t="shared" si="47"/>
        <v>402.09999999999997</v>
      </c>
      <c r="N292" s="1">
        <v>-1.6</v>
      </c>
      <c r="O292" s="1">
        <f t="shared" si="50"/>
        <v>160.6</v>
      </c>
      <c r="P292" s="1">
        <v>284</v>
      </c>
      <c r="Q292" s="12">
        <f t="shared" si="40"/>
        <v>0.64677419354838706</v>
      </c>
      <c r="R292" s="5">
        <f t="shared" si="42"/>
        <v>1.0348387096774194</v>
      </c>
      <c r="S292" s="5">
        <f t="shared" si="43"/>
        <v>-1.0348387096774194</v>
      </c>
      <c r="T292" s="5">
        <f t="shared" si="48"/>
        <v>156.51000000000005</v>
      </c>
      <c r="V292" s="1">
        <v>866.8</v>
      </c>
      <c r="X292" s="1">
        <f t="shared" si="49"/>
        <v>215442.49999999997</v>
      </c>
      <c r="Y292" s="1">
        <f t="shared" si="44"/>
        <v>17567.600000000002</v>
      </c>
      <c r="AA292" s="1">
        <v>16.063225175626499</v>
      </c>
    </row>
    <row r="293" spans="1:27" s="1" customFormat="1" x14ac:dyDescent="0.25">
      <c r="A293" s="49"/>
      <c r="B293" s="2"/>
      <c r="C293" s="25">
        <v>42540</v>
      </c>
      <c r="D293" s="1">
        <v>15.6</v>
      </c>
      <c r="E293" s="1">
        <v>11.4</v>
      </c>
      <c r="F293" s="1">
        <v>18.8</v>
      </c>
      <c r="G293" s="1">
        <f t="shared" si="45"/>
        <v>2981.900000000001</v>
      </c>
      <c r="H293" s="1">
        <f t="shared" si="41"/>
        <v>286.30000000000007</v>
      </c>
      <c r="J293" s="1">
        <v>5.7</v>
      </c>
      <c r="K293" s="1">
        <f t="shared" si="46"/>
        <v>583.80000000000041</v>
      </c>
      <c r="L293" s="1">
        <v>1.3</v>
      </c>
      <c r="M293" s="1">
        <f t="shared" si="47"/>
        <v>403.4</v>
      </c>
      <c r="N293" s="1">
        <v>4.4000000000000004</v>
      </c>
      <c r="O293" s="1">
        <f t="shared" si="50"/>
        <v>165</v>
      </c>
      <c r="P293" s="1">
        <v>285</v>
      </c>
      <c r="Q293" s="12">
        <f t="shared" si="40"/>
        <v>0.63387096774193541</v>
      </c>
      <c r="R293" s="5">
        <f t="shared" si="42"/>
        <v>0.82403225806451608</v>
      </c>
      <c r="S293" s="5">
        <f t="shared" si="43"/>
        <v>4.8759677419354839</v>
      </c>
      <c r="T293" s="5">
        <f t="shared" si="48"/>
        <v>161.38596774193553</v>
      </c>
      <c r="V293" s="1">
        <v>680.7</v>
      </c>
      <c r="X293" s="1">
        <f t="shared" si="49"/>
        <v>216123.19999999998</v>
      </c>
      <c r="Y293" s="1">
        <f t="shared" si="44"/>
        <v>18248.300000000003</v>
      </c>
      <c r="AA293" s="1">
        <v>16.066784866973201</v>
      </c>
    </row>
    <row r="294" spans="1:27" s="1" customFormat="1" x14ac:dyDescent="0.25">
      <c r="A294" s="49"/>
      <c r="B294" s="2"/>
      <c r="C294" s="25">
        <v>42541</v>
      </c>
      <c r="D294" s="1">
        <v>16.3</v>
      </c>
      <c r="E294" s="1">
        <v>15</v>
      </c>
      <c r="F294" s="1">
        <v>17.899999999999999</v>
      </c>
      <c r="G294" s="1">
        <f t="shared" si="45"/>
        <v>2998.2000000000012</v>
      </c>
      <c r="H294" s="1">
        <f t="shared" si="41"/>
        <v>302.60000000000008</v>
      </c>
      <c r="J294" s="1">
        <v>9.6</v>
      </c>
      <c r="K294" s="1">
        <f t="shared" si="46"/>
        <v>593.40000000000043</v>
      </c>
      <c r="L294" s="1">
        <v>1.1000000000000001</v>
      </c>
      <c r="M294" s="1">
        <f t="shared" si="47"/>
        <v>404.5</v>
      </c>
      <c r="N294" s="1">
        <v>8.5</v>
      </c>
      <c r="O294" s="1">
        <f t="shared" si="50"/>
        <v>173.5</v>
      </c>
      <c r="P294" s="1">
        <v>286</v>
      </c>
      <c r="Q294" s="12">
        <f t="shared" si="40"/>
        <v>0.62096774193548387</v>
      </c>
      <c r="R294" s="5">
        <f t="shared" si="42"/>
        <v>0.6830645161290323</v>
      </c>
      <c r="S294" s="5">
        <f t="shared" si="43"/>
        <v>8.9169354838709669</v>
      </c>
      <c r="T294" s="5">
        <f t="shared" si="48"/>
        <v>170.30290322580649</v>
      </c>
      <c r="V294" s="1">
        <v>392.6</v>
      </c>
      <c r="X294" s="1">
        <f t="shared" si="49"/>
        <v>216515.8</v>
      </c>
      <c r="Y294" s="1">
        <f t="shared" si="44"/>
        <v>18640.900000000001</v>
      </c>
      <c r="AA294" s="1">
        <v>16.068921774459099</v>
      </c>
    </row>
    <row r="295" spans="1:27" s="1" customFormat="1" x14ac:dyDescent="0.25">
      <c r="A295" s="49"/>
      <c r="B295" s="2"/>
      <c r="C295" s="25">
        <v>42542</v>
      </c>
      <c r="D295" s="1">
        <v>18.600000000000001</v>
      </c>
      <c r="E295" s="1">
        <v>16.600000000000001</v>
      </c>
      <c r="F295" s="1">
        <v>20.3</v>
      </c>
      <c r="G295" s="1">
        <f t="shared" si="45"/>
        <v>3016.8000000000011</v>
      </c>
      <c r="H295" s="1">
        <f t="shared" si="41"/>
        <v>321.2000000000001</v>
      </c>
      <c r="J295" s="1">
        <v>0</v>
      </c>
      <c r="K295" s="1">
        <f t="shared" si="46"/>
        <v>593.40000000000043</v>
      </c>
      <c r="L295" s="1">
        <v>1.3</v>
      </c>
      <c r="M295" s="1">
        <f t="shared" si="47"/>
        <v>405.8</v>
      </c>
      <c r="N295" s="1">
        <v>-1.3</v>
      </c>
      <c r="O295" s="1">
        <f t="shared" si="50"/>
        <v>172.2</v>
      </c>
      <c r="P295" s="1">
        <v>287</v>
      </c>
      <c r="Q295" s="12">
        <f t="shared" si="40"/>
        <v>0.60806451612903223</v>
      </c>
      <c r="R295" s="5">
        <f t="shared" si="42"/>
        <v>0.79048387096774198</v>
      </c>
      <c r="S295" s="5">
        <f t="shared" si="43"/>
        <v>-0.79048387096774198</v>
      </c>
      <c r="T295" s="5">
        <f t="shared" si="48"/>
        <v>169.51241935483876</v>
      </c>
      <c r="V295" s="1">
        <v>516.5</v>
      </c>
      <c r="X295" s="1">
        <f t="shared" si="49"/>
        <v>217032.3</v>
      </c>
      <c r="Y295" s="1">
        <f t="shared" si="44"/>
        <v>19157.400000000001</v>
      </c>
      <c r="AA295" s="1">
        <v>16.069634193082901</v>
      </c>
    </row>
    <row r="296" spans="1:27" s="1" customFormat="1" x14ac:dyDescent="0.25">
      <c r="A296" s="49"/>
      <c r="B296" s="2"/>
      <c r="C296" s="25">
        <v>42543</v>
      </c>
      <c r="D296" s="1">
        <v>21.2</v>
      </c>
      <c r="E296" s="1">
        <v>17.2</v>
      </c>
      <c r="F296" s="1">
        <v>25.9</v>
      </c>
      <c r="G296" s="1">
        <f t="shared" si="45"/>
        <v>3038.0000000000009</v>
      </c>
      <c r="H296" s="1">
        <f t="shared" si="41"/>
        <v>342.40000000000009</v>
      </c>
      <c r="J296" s="1">
        <v>21.6</v>
      </c>
      <c r="K296" s="1">
        <f t="shared" si="46"/>
        <v>615.00000000000045</v>
      </c>
      <c r="L296" s="1">
        <v>1.8</v>
      </c>
      <c r="M296" s="1">
        <f t="shared" si="47"/>
        <v>407.6</v>
      </c>
      <c r="N296" s="1">
        <v>19.8</v>
      </c>
      <c r="O296" s="1">
        <f t="shared" si="50"/>
        <v>192</v>
      </c>
      <c r="P296" s="1">
        <v>288</v>
      </c>
      <c r="Q296" s="12">
        <f t="shared" si="40"/>
        <v>0.59516129032258058</v>
      </c>
      <c r="R296" s="5">
        <f t="shared" si="42"/>
        <v>1.0712903225806452</v>
      </c>
      <c r="S296" s="5">
        <f t="shared" si="43"/>
        <v>20.528709677419357</v>
      </c>
      <c r="T296" s="5">
        <f t="shared" si="48"/>
        <v>190.04112903225811</v>
      </c>
      <c r="V296" s="1">
        <v>813.4</v>
      </c>
      <c r="X296" s="1">
        <f t="shared" si="49"/>
        <v>217845.69999999998</v>
      </c>
      <c r="Y296" s="1">
        <f t="shared" si="44"/>
        <v>19970.800000000003</v>
      </c>
      <c r="AA296" s="1">
        <v>16.068921905460201</v>
      </c>
    </row>
    <row r="297" spans="1:27" s="1" customFormat="1" x14ac:dyDescent="0.25">
      <c r="A297" s="49"/>
      <c r="B297" s="2"/>
      <c r="C297" s="25">
        <v>42544</v>
      </c>
      <c r="D297" s="1">
        <v>19.600000000000001</v>
      </c>
      <c r="E297" s="1">
        <v>19.2</v>
      </c>
      <c r="F297" s="1">
        <v>22.4</v>
      </c>
      <c r="G297" s="1">
        <f t="shared" si="45"/>
        <v>3057.6000000000008</v>
      </c>
      <c r="H297" s="1">
        <f t="shared" si="41"/>
        <v>362.00000000000011</v>
      </c>
      <c r="J297" s="1">
        <v>1.4</v>
      </c>
      <c r="K297" s="1">
        <f t="shared" si="46"/>
        <v>616.40000000000043</v>
      </c>
      <c r="L297" s="1">
        <v>2.2000000000000002</v>
      </c>
      <c r="M297" s="1">
        <f t="shared" si="47"/>
        <v>409.8</v>
      </c>
      <c r="N297" s="1">
        <v>-0.80000000000000027</v>
      </c>
      <c r="O297" s="1">
        <f t="shared" si="50"/>
        <v>191.2</v>
      </c>
      <c r="P297" s="1">
        <v>289</v>
      </c>
      <c r="Q297" s="12">
        <f t="shared" si="40"/>
        <v>0.58225806451612894</v>
      </c>
      <c r="R297" s="5">
        <f t="shared" si="42"/>
        <v>1.2809677419354837</v>
      </c>
      <c r="S297" s="5">
        <f t="shared" si="43"/>
        <v>0.11903225806451623</v>
      </c>
      <c r="T297" s="5">
        <f t="shared" si="48"/>
        <v>190.16016129032263</v>
      </c>
      <c r="V297" s="1">
        <v>884.1</v>
      </c>
      <c r="X297" s="1">
        <f t="shared" si="49"/>
        <v>218729.8</v>
      </c>
      <c r="Y297" s="1">
        <f t="shared" si="44"/>
        <v>20854.900000000001</v>
      </c>
      <c r="AA297" s="1">
        <v>16.0667861826471</v>
      </c>
    </row>
    <row r="298" spans="1:27" s="1" customFormat="1" x14ac:dyDescent="0.25">
      <c r="A298" s="49"/>
      <c r="B298" s="2"/>
      <c r="C298" s="25">
        <v>42545</v>
      </c>
      <c r="D298" s="1">
        <v>16.8</v>
      </c>
      <c r="E298" s="1">
        <v>13.3</v>
      </c>
      <c r="F298" s="1">
        <v>20.5</v>
      </c>
      <c r="G298" s="1">
        <f t="shared" si="45"/>
        <v>3074.400000000001</v>
      </c>
      <c r="H298" s="1">
        <f t="shared" si="41"/>
        <v>378.80000000000013</v>
      </c>
      <c r="J298" s="1">
        <v>0</v>
      </c>
      <c r="K298" s="1">
        <f t="shared" si="46"/>
        <v>616.40000000000043</v>
      </c>
      <c r="L298" s="1">
        <v>3.8</v>
      </c>
      <c r="M298" s="1">
        <f t="shared" si="47"/>
        <v>413.6</v>
      </c>
      <c r="N298" s="1">
        <v>-3.8</v>
      </c>
      <c r="O298" s="1">
        <f t="shared" si="50"/>
        <v>187.39999999999998</v>
      </c>
      <c r="P298" s="1">
        <v>290</v>
      </c>
      <c r="Q298" s="12">
        <f t="shared" si="40"/>
        <v>0.5693548387096774</v>
      </c>
      <c r="R298" s="5">
        <f t="shared" si="42"/>
        <v>2.1635483870967742</v>
      </c>
      <c r="S298" s="5">
        <f t="shared" si="43"/>
        <v>-2.1635483870967742</v>
      </c>
      <c r="T298" s="5">
        <f t="shared" si="48"/>
        <v>187.99661290322587</v>
      </c>
      <c r="V298" s="1">
        <v>2097.3000000000002</v>
      </c>
      <c r="W298" s="7"/>
      <c r="X298" s="1">
        <f t="shared" si="49"/>
        <v>220827.09999999998</v>
      </c>
      <c r="Y298" s="1">
        <f t="shared" si="44"/>
        <v>22952.2</v>
      </c>
      <c r="AA298" s="1">
        <v>16.063229779132801</v>
      </c>
    </row>
    <row r="299" spans="1:27" s="1" customFormat="1" ht="15" customHeight="1" x14ac:dyDescent="0.25">
      <c r="A299" s="49"/>
      <c r="B299" s="27"/>
      <c r="C299" s="25">
        <v>42546</v>
      </c>
      <c r="D299" s="1">
        <v>15.8</v>
      </c>
      <c r="E299" s="1">
        <v>13.1</v>
      </c>
      <c r="F299" s="1">
        <v>18.7</v>
      </c>
      <c r="G299" s="1">
        <f t="shared" si="45"/>
        <v>3090.2000000000012</v>
      </c>
      <c r="H299" s="1">
        <f t="shared" si="41"/>
        <v>394.60000000000014</v>
      </c>
      <c r="J299" s="1">
        <v>0.1</v>
      </c>
      <c r="K299" s="1">
        <f t="shared" si="46"/>
        <v>616.50000000000045</v>
      </c>
      <c r="L299" s="1">
        <v>2.7</v>
      </c>
      <c r="M299" s="1">
        <f t="shared" si="47"/>
        <v>416.3</v>
      </c>
      <c r="N299" s="1">
        <v>-2.6</v>
      </c>
      <c r="O299" s="1">
        <f t="shared" si="50"/>
        <v>184.79999999999998</v>
      </c>
      <c r="P299" s="1">
        <v>291</v>
      </c>
      <c r="Q299" s="12">
        <f t="shared" si="40"/>
        <v>0.55645161290322576</v>
      </c>
      <c r="R299" s="5">
        <f t="shared" si="42"/>
        <v>1.5024193548387097</v>
      </c>
      <c r="S299" s="5">
        <f t="shared" si="43"/>
        <v>-1.4024193548387096</v>
      </c>
      <c r="T299" s="5">
        <f t="shared" si="48"/>
        <v>186.59419354838715</v>
      </c>
      <c r="V299" s="1">
        <v>1640.4</v>
      </c>
      <c r="X299" s="1">
        <f t="shared" si="49"/>
        <v>222467.49999999997</v>
      </c>
      <c r="Y299" s="1">
        <f t="shared" si="44"/>
        <v>24592.600000000002</v>
      </c>
      <c r="AA299" s="1">
        <v>16.058256922043999</v>
      </c>
    </row>
    <row r="300" spans="1:27" s="32" customFormat="1" ht="15.75" thickBot="1" x14ac:dyDescent="0.3">
      <c r="A300" s="49"/>
      <c r="B300" s="30">
        <v>1000</v>
      </c>
      <c r="C300" s="31">
        <v>42547</v>
      </c>
      <c r="D300" s="32">
        <v>16.2</v>
      </c>
      <c r="E300" s="32">
        <v>11.6</v>
      </c>
      <c r="F300" s="32">
        <v>19</v>
      </c>
      <c r="G300" s="32">
        <f t="shared" si="45"/>
        <v>3106.400000000001</v>
      </c>
      <c r="H300" s="32">
        <f t="shared" si="41"/>
        <v>410.80000000000013</v>
      </c>
      <c r="J300" s="32">
        <v>0.2</v>
      </c>
      <c r="K300" s="32">
        <f t="shared" si="46"/>
        <v>616.7000000000005</v>
      </c>
      <c r="L300" s="32">
        <v>2.9</v>
      </c>
      <c r="M300" s="32">
        <f t="shared" si="47"/>
        <v>419.2</v>
      </c>
      <c r="N300" s="32">
        <v>-2.6999999999999997</v>
      </c>
      <c r="O300" s="32">
        <f t="shared" si="50"/>
        <v>182.1</v>
      </c>
      <c r="P300" s="32">
        <v>292</v>
      </c>
      <c r="Q300" s="33">
        <f t="shared" si="40"/>
        <v>0.54354838709677411</v>
      </c>
      <c r="R300" s="34">
        <f t="shared" si="42"/>
        <v>1.5762903225806448</v>
      </c>
      <c r="S300" s="34">
        <f t="shared" si="43"/>
        <v>-1.3762903225806449</v>
      </c>
      <c r="T300" s="35">
        <f t="shared" si="48"/>
        <v>185.21790322580651</v>
      </c>
      <c r="V300" s="32">
        <v>1648.4</v>
      </c>
      <c r="X300" s="32">
        <f t="shared" si="49"/>
        <v>224115.89999999997</v>
      </c>
      <c r="Y300" s="36">
        <f t="shared" si="44"/>
        <v>26241.000000000004</v>
      </c>
      <c r="AA300" s="36">
        <v>16.051873294648299</v>
      </c>
    </row>
    <row r="301" spans="1:27" s="1" customFormat="1" x14ac:dyDescent="0.25">
      <c r="A301" s="28"/>
      <c r="B301" s="27"/>
      <c r="C301" s="29">
        <v>42548</v>
      </c>
      <c r="D301" s="1">
        <v>17.399999999999999</v>
      </c>
      <c r="E301" s="1">
        <v>15.9</v>
      </c>
      <c r="F301" s="1">
        <v>19.2</v>
      </c>
      <c r="G301" s="1">
        <f t="shared" si="45"/>
        <v>3123.8000000000011</v>
      </c>
      <c r="H301" s="1">
        <v>17.399999999999999</v>
      </c>
      <c r="J301" s="1">
        <v>2</v>
      </c>
      <c r="K301" s="1">
        <f t="shared" si="46"/>
        <v>618.7000000000005</v>
      </c>
      <c r="L301" s="1">
        <v>1.1000000000000001</v>
      </c>
      <c r="M301" s="1">
        <f t="shared" si="47"/>
        <v>420.3</v>
      </c>
      <c r="N301" s="1">
        <v>0.89999999999999991</v>
      </c>
      <c r="O301" s="1">
        <f t="shared" si="50"/>
        <v>183</v>
      </c>
      <c r="P301" s="1">
        <v>293</v>
      </c>
      <c r="Q301" s="12">
        <f t="shared" si="40"/>
        <v>0.53064516129032258</v>
      </c>
      <c r="R301" s="5">
        <f t="shared" si="42"/>
        <v>0.58370967741935487</v>
      </c>
      <c r="S301" s="5">
        <f t="shared" si="43"/>
        <v>1.4162903225806451</v>
      </c>
      <c r="T301" s="5">
        <f t="shared" si="48"/>
        <v>186.63419354838715</v>
      </c>
      <c r="V301" s="1">
        <v>495</v>
      </c>
      <c r="X301" s="1">
        <f t="shared" si="49"/>
        <v>224610.89999999997</v>
      </c>
      <c r="Y301" s="1">
        <v>495</v>
      </c>
      <c r="AA301" s="1">
        <v>16.044086014292098</v>
      </c>
    </row>
    <row r="302" spans="1:27" s="1" customFormat="1" x14ac:dyDescent="0.25">
      <c r="A302" s="28"/>
      <c r="B302" s="27"/>
      <c r="C302" s="29">
        <v>42549</v>
      </c>
      <c r="D302" s="1">
        <v>17</v>
      </c>
      <c r="E302" s="1">
        <v>14.6</v>
      </c>
      <c r="F302" s="1">
        <v>20.3</v>
      </c>
      <c r="G302" s="1">
        <f t="shared" si="45"/>
        <v>3140.8000000000011</v>
      </c>
      <c r="H302" s="1">
        <f t="shared" si="41"/>
        <v>34.4</v>
      </c>
      <c r="J302" s="1">
        <v>0.3</v>
      </c>
      <c r="K302" s="1">
        <f t="shared" si="46"/>
        <v>619.00000000000045</v>
      </c>
      <c r="L302" s="1">
        <v>2.5</v>
      </c>
      <c r="M302" s="1">
        <f t="shared" si="47"/>
        <v>422.8</v>
      </c>
      <c r="N302" s="1">
        <v>-2.2000000000000002</v>
      </c>
      <c r="O302" s="1">
        <f t="shared" si="50"/>
        <v>180.8</v>
      </c>
      <c r="P302" s="1">
        <v>294</v>
      </c>
      <c r="Q302" s="12">
        <f t="shared" si="40"/>
        <v>0.51774193548387093</v>
      </c>
      <c r="R302" s="5">
        <f t="shared" si="42"/>
        <v>1.2943548387096773</v>
      </c>
      <c r="S302" s="5">
        <f t="shared" si="43"/>
        <v>-0.99435483870967722</v>
      </c>
      <c r="T302" s="5">
        <f t="shared" si="48"/>
        <v>185.63983870967746</v>
      </c>
      <c r="V302" s="1">
        <v>1261</v>
      </c>
      <c r="X302" s="1">
        <f t="shared" si="49"/>
        <v>225871.89999999997</v>
      </c>
      <c r="Y302" s="1">
        <f t="shared" si="44"/>
        <v>1756</v>
      </c>
      <c r="AA302" s="1">
        <v>16.034903604951001</v>
      </c>
    </row>
    <row r="303" spans="1:27" s="1" customFormat="1" x14ac:dyDescent="0.25">
      <c r="A303" s="28"/>
      <c r="B303" s="27"/>
      <c r="C303" s="29">
        <v>42550</v>
      </c>
      <c r="D303" s="1">
        <v>15.9</v>
      </c>
      <c r="E303" s="1">
        <v>12.3</v>
      </c>
      <c r="F303" s="1">
        <v>19.399999999999999</v>
      </c>
      <c r="G303" s="1">
        <f t="shared" si="45"/>
        <v>3156.7000000000012</v>
      </c>
      <c r="H303" s="1">
        <f t="shared" si="41"/>
        <v>50.3</v>
      </c>
      <c r="J303" s="1">
        <v>0.3</v>
      </c>
      <c r="K303" s="1">
        <f t="shared" si="46"/>
        <v>619.30000000000041</v>
      </c>
      <c r="L303" s="1">
        <v>2.6</v>
      </c>
      <c r="M303" s="1">
        <f t="shared" si="47"/>
        <v>425.40000000000003</v>
      </c>
      <c r="N303" s="1">
        <v>-2.3000000000000003</v>
      </c>
      <c r="O303" s="1">
        <f t="shared" si="50"/>
        <v>178.5</v>
      </c>
      <c r="P303" s="1">
        <v>295</v>
      </c>
      <c r="Q303" s="12">
        <f t="shared" si="40"/>
        <v>0.50483870967741939</v>
      </c>
      <c r="R303" s="5">
        <f t="shared" si="42"/>
        <v>1.3125806451612905</v>
      </c>
      <c r="S303" s="5">
        <f t="shared" si="43"/>
        <v>-1.0125806451612904</v>
      </c>
      <c r="T303" s="5">
        <f t="shared" si="48"/>
        <v>184.62725806451618</v>
      </c>
      <c r="V303" s="1">
        <v>1435.5</v>
      </c>
      <c r="X303" s="1">
        <f t="shared" si="49"/>
        <v>227307.39999999997</v>
      </c>
      <c r="Y303" s="1">
        <f t="shared" si="44"/>
        <v>3191.5</v>
      </c>
      <c r="AA303" s="1">
        <v>16.024335964614099</v>
      </c>
    </row>
    <row r="304" spans="1:27" s="1" customFormat="1" x14ac:dyDescent="0.25">
      <c r="A304" s="28"/>
      <c r="B304" s="27"/>
      <c r="C304" s="29">
        <v>42551</v>
      </c>
      <c r="D304" s="1">
        <v>17.8</v>
      </c>
      <c r="E304" s="1">
        <v>15.5</v>
      </c>
      <c r="F304" s="1">
        <v>19.8</v>
      </c>
      <c r="G304" s="1">
        <f t="shared" si="45"/>
        <v>3174.5000000000014</v>
      </c>
      <c r="H304" s="1">
        <f t="shared" si="41"/>
        <v>68.099999999999994</v>
      </c>
      <c r="J304" s="1">
        <v>0.2</v>
      </c>
      <c r="K304" s="1">
        <f t="shared" si="46"/>
        <v>619.50000000000045</v>
      </c>
      <c r="L304" s="1">
        <v>1.8</v>
      </c>
      <c r="M304" s="1">
        <f t="shared" si="47"/>
        <v>427.20000000000005</v>
      </c>
      <c r="N304" s="1">
        <v>-1.6</v>
      </c>
      <c r="O304" s="1">
        <f t="shared" si="50"/>
        <v>176.9</v>
      </c>
      <c r="P304" s="1">
        <v>296</v>
      </c>
      <c r="Q304" s="12">
        <f t="shared" si="40"/>
        <v>0.49193548387096764</v>
      </c>
      <c r="R304" s="5">
        <f t="shared" si="42"/>
        <v>0.88548387096774173</v>
      </c>
      <c r="S304" s="5">
        <f t="shared" si="43"/>
        <v>-0.68548387096774177</v>
      </c>
      <c r="T304" s="5">
        <f t="shared" si="48"/>
        <v>183.94177419354844</v>
      </c>
      <c r="V304" s="1">
        <v>769.2</v>
      </c>
      <c r="X304" s="1">
        <f t="shared" si="49"/>
        <v>228076.59999999998</v>
      </c>
      <c r="Y304" s="1">
        <f t="shared" si="44"/>
        <v>3960.7</v>
      </c>
      <c r="AA304" s="1">
        <v>16.012394327759999</v>
      </c>
    </row>
    <row r="305" spans="1:27" s="1" customFormat="1" x14ac:dyDescent="0.25">
      <c r="A305" s="28"/>
      <c r="B305" s="27"/>
      <c r="C305" s="29">
        <v>42552</v>
      </c>
      <c r="D305" s="1">
        <v>16.7</v>
      </c>
      <c r="E305" s="1">
        <v>16.100000000000001</v>
      </c>
      <c r="F305" s="1">
        <v>19.5</v>
      </c>
      <c r="G305" s="1">
        <f t="shared" si="45"/>
        <v>3191.2000000000012</v>
      </c>
      <c r="H305" s="1">
        <f t="shared" si="41"/>
        <v>84.8</v>
      </c>
      <c r="J305" s="1">
        <v>0.5</v>
      </c>
      <c r="K305" s="1">
        <f t="shared" si="46"/>
        <v>620.00000000000045</v>
      </c>
      <c r="L305" s="1">
        <v>2</v>
      </c>
      <c r="M305" s="1">
        <f t="shared" si="47"/>
        <v>429.20000000000005</v>
      </c>
      <c r="N305" s="1">
        <v>-1.5</v>
      </c>
      <c r="O305" s="1">
        <f t="shared" si="50"/>
        <v>175.4</v>
      </c>
      <c r="P305" s="1">
        <v>297</v>
      </c>
      <c r="Q305" s="12">
        <f t="shared" si="40"/>
        <v>0.4790322580645161</v>
      </c>
      <c r="R305" s="5">
        <f t="shared" si="42"/>
        <v>0.95806451612903221</v>
      </c>
      <c r="S305" s="5">
        <f t="shared" si="43"/>
        <v>-0.45806451612903221</v>
      </c>
      <c r="T305" s="5">
        <f t="shared" si="48"/>
        <v>183.4837096774194</v>
      </c>
      <c r="V305" s="1">
        <v>714.9</v>
      </c>
      <c r="X305" s="1">
        <f t="shared" si="49"/>
        <v>228791.49999999997</v>
      </c>
      <c r="Y305" s="1">
        <f t="shared" si="44"/>
        <v>4675.5999999999995</v>
      </c>
      <c r="AA305" s="1">
        <v>15.9990912232204</v>
      </c>
    </row>
    <row r="306" spans="1:27" s="1" customFormat="1" x14ac:dyDescent="0.25">
      <c r="A306" s="28"/>
      <c r="B306" s="27"/>
      <c r="C306" s="29">
        <v>42553</v>
      </c>
      <c r="D306" s="1">
        <v>15.5</v>
      </c>
      <c r="E306" s="1">
        <v>12.8</v>
      </c>
      <c r="F306" s="1">
        <v>18.2</v>
      </c>
      <c r="G306" s="1">
        <f t="shared" si="45"/>
        <v>3206.7000000000012</v>
      </c>
      <c r="H306" s="1">
        <f t="shared" si="41"/>
        <v>100.3</v>
      </c>
      <c r="J306" s="1">
        <v>1.1000000000000001</v>
      </c>
      <c r="K306" s="1">
        <f t="shared" si="46"/>
        <v>621.10000000000048</v>
      </c>
      <c r="L306" s="1">
        <v>2.7</v>
      </c>
      <c r="M306" s="1">
        <f t="shared" si="47"/>
        <v>431.90000000000003</v>
      </c>
      <c r="N306" s="1">
        <v>-1.6</v>
      </c>
      <c r="O306" s="1">
        <f t="shared" si="50"/>
        <v>173.8</v>
      </c>
      <c r="P306" s="1">
        <v>298</v>
      </c>
      <c r="Q306" s="12">
        <f t="shared" si="40"/>
        <v>0.46612903225806446</v>
      </c>
      <c r="R306" s="5">
        <f t="shared" si="42"/>
        <v>1.2585483870967742</v>
      </c>
      <c r="S306" s="5">
        <f t="shared" si="43"/>
        <v>-0.1585483870967741</v>
      </c>
      <c r="T306" s="5">
        <f t="shared" si="48"/>
        <v>183.32516129032263</v>
      </c>
      <c r="V306" s="1">
        <v>1495.7</v>
      </c>
      <c r="X306" s="1">
        <f t="shared" si="49"/>
        <v>230287.19999999998</v>
      </c>
      <c r="Y306" s="1">
        <f t="shared" si="44"/>
        <v>6171.2999999999993</v>
      </c>
      <c r="AA306" s="1">
        <v>15.984440427755599</v>
      </c>
    </row>
    <row r="307" spans="1:27" s="1" customFormat="1" x14ac:dyDescent="0.25">
      <c r="A307" s="28"/>
      <c r="B307" s="27"/>
      <c r="C307" s="29">
        <v>42554</v>
      </c>
      <c r="D307" s="1">
        <v>16.3</v>
      </c>
      <c r="E307" s="1">
        <v>11.8</v>
      </c>
      <c r="F307" s="1">
        <v>19.600000000000001</v>
      </c>
      <c r="G307" s="1">
        <f t="shared" si="45"/>
        <v>3223.0000000000014</v>
      </c>
      <c r="H307" s="1">
        <f t="shared" si="41"/>
        <v>116.6</v>
      </c>
      <c r="J307" s="1">
        <v>1.7</v>
      </c>
      <c r="K307" s="1">
        <f t="shared" si="46"/>
        <v>622.80000000000052</v>
      </c>
      <c r="L307" s="1">
        <v>1.2</v>
      </c>
      <c r="M307" s="1">
        <f t="shared" si="47"/>
        <v>433.1</v>
      </c>
      <c r="N307" s="1">
        <v>0.5</v>
      </c>
      <c r="O307" s="1">
        <f t="shared" si="50"/>
        <v>174.3</v>
      </c>
      <c r="P307" s="1">
        <v>299</v>
      </c>
      <c r="Q307" s="12">
        <f t="shared" si="40"/>
        <v>0.45322580645161292</v>
      </c>
      <c r="R307" s="5">
        <f t="shared" si="42"/>
        <v>0.54387096774193544</v>
      </c>
      <c r="S307" s="5">
        <f t="shared" si="43"/>
        <v>1.1561290322580646</v>
      </c>
      <c r="T307" s="5">
        <f t="shared" si="48"/>
        <v>184.48129032258069</v>
      </c>
      <c r="V307" s="1">
        <v>537.6</v>
      </c>
      <c r="X307" s="1">
        <f t="shared" si="49"/>
        <v>230824.8</v>
      </c>
      <c r="Y307" s="1">
        <f t="shared" si="44"/>
        <v>6708.9</v>
      </c>
      <c r="AA307" s="1">
        <v>15.968456915694301</v>
      </c>
    </row>
    <row r="308" spans="1:27" s="1" customFormat="1" x14ac:dyDescent="0.25">
      <c r="A308" s="28"/>
      <c r="B308" s="27"/>
      <c r="C308" s="29">
        <v>42555</v>
      </c>
      <c r="D308" s="1">
        <v>17.5</v>
      </c>
      <c r="E308" s="1">
        <v>14.1</v>
      </c>
      <c r="F308" s="1">
        <v>21</v>
      </c>
      <c r="G308" s="1">
        <f t="shared" si="45"/>
        <v>3240.5000000000014</v>
      </c>
      <c r="H308" s="1">
        <f t="shared" si="41"/>
        <v>134.1</v>
      </c>
      <c r="J308" s="1">
        <v>0</v>
      </c>
      <c r="K308" s="1">
        <f t="shared" si="46"/>
        <v>622.80000000000052</v>
      </c>
      <c r="L308" s="1">
        <v>1.6</v>
      </c>
      <c r="M308" s="1">
        <f t="shared" si="47"/>
        <v>434.70000000000005</v>
      </c>
      <c r="N308" s="1">
        <v>-1.6</v>
      </c>
      <c r="O308" s="1">
        <f t="shared" si="50"/>
        <v>172.70000000000002</v>
      </c>
      <c r="P308" s="1">
        <v>300</v>
      </c>
      <c r="Q308" s="12">
        <f t="shared" si="40"/>
        <v>0.44032258064516128</v>
      </c>
      <c r="R308" s="5">
        <f t="shared" si="42"/>
        <v>0.70451612903225813</v>
      </c>
      <c r="S308" s="5">
        <f t="shared" si="43"/>
        <v>-0.70451612903225813</v>
      </c>
      <c r="T308" s="5">
        <f t="shared" si="48"/>
        <v>183.77677419354842</v>
      </c>
      <c r="V308" s="1">
        <v>726.3</v>
      </c>
      <c r="X308" s="1">
        <f t="shared" si="49"/>
        <v>231551.09999999998</v>
      </c>
      <c r="Y308" s="1">
        <f t="shared" si="44"/>
        <v>7435.2</v>
      </c>
      <c r="AA308" s="1">
        <v>15.9511568050136</v>
      </c>
    </row>
    <row r="309" spans="1:27" s="1" customFormat="1" x14ac:dyDescent="0.25">
      <c r="A309" s="28"/>
      <c r="B309" s="27"/>
      <c r="C309" s="29">
        <v>42556</v>
      </c>
      <c r="D309" s="1">
        <v>16.600000000000001</v>
      </c>
      <c r="E309" s="1">
        <v>15.5</v>
      </c>
      <c r="F309" s="1">
        <v>20.399999999999999</v>
      </c>
      <c r="G309" s="1">
        <f t="shared" si="45"/>
        <v>3257.1000000000013</v>
      </c>
      <c r="H309" s="1">
        <f t="shared" si="41"/>
        <v>150.69999999999999</v>
      </c>
      <c r="J309" s="1">
        <v>0</v>
      </c>
      <c r="K309" s="1">
        <f t="shared" si="46"/>
        <v>622.80000000000052</v>
      </c>
      <c r="L309" s="1">
        <v>1.7</v>
      </c>
      <c r="M309" s="1">
        <f t="shared" si="47"/>
        <v>436.40000000000003</v>
      </c>
      <c r="N309" s="1">
        <v>-1.7</v>
      </c>
      <c r="O309" s="1">
        <f t="shared" si="50"/>
        <v>171.00000000000003</v>
      </c>
      <c r="P309" s="1">
        <v>301</v>
      </c>
      <c r="Q309" s="12">
        <f t="shared" si="40"/>
        <v>0.42741935483870963</v>
      </c>
      <c r="R309" s="5">
        <f t="shared" si="42"/>
        <v>0.72661290322580641</v>
      </c>
      <c r="S309" s="5">
        <f t="shared" si="43"/>
        <v>-0.72661290322580641</v>
      </c>
      <c r="T309" s="5">
        <f t="shared" si="48"/>
        <v>183.05016129032262</v>
      </c>
      <c r="V309" s="1">
        <v>840.4</v>
      </c>
      <c r="X309" s="1">
        <f t="shared" si="49"/>
        <v>232391.49999999997</v>
      </c>
      <c r="Y309" s="1">
        <f t="shared" si="44"/>
        <v>8275.6</v>
      </c>
      <c r="AA309" s="1">
        <v>15.932557300249201</v>
      </c>
    </row>
    <row r="310" spans="1:27" s="1" customFormat="1" x14ac:dyDescent="0.25">
      <c r="A310" s="28"/>
      <c r="B310" s="27"/>
      <c r="C310" s="29">
        <v>42557</v>
      </c>
      <c r="D310" s="1">
        <v>16.2</v>
      </c>
      <c r="E310" s="1">
        <v>10.7</v>
      </c>
      <c r="F310" s="1">
        <v>22.1</v>
      </c>
      <c r="G310" s="1">
        <f t="shared" si="45"/>
        <v>3273.3000000000011</v>
      </c>
      <c r="H310" s="1">
        <f t="shared" si="41"/>
        <v>166.89999999999998</v>
      </c>
      <c r="J310" s="1">
        <v>0</v>
      </c>
      <c r="K310" s="1">
        <f t="shared" si="46"/>
        <v>622.80000000000052</v>
      </c>
      <c r="L310" s="1">
        <v>5.0999999999999996</v>
      </c>
      <c r="M310" s="1">
        <f t="shared" si="47"/>
        <v>441.50000000000006</v>
      </c>
      <c r="N310" s="1">
        <v>-5.0999999999999996</v>
      </c>
      <c r="O310" s="1">
        <f t="shared" si="50"/>
        <v>165.90000000000003</v>
      </c>
      <c r="P310" s="1">
        <v>302</v>
      </c>
      <c r="Q310" s="12">
        <f t="shared" si="40"/>
        <v>0.4145161290322581</v>
      </c>
      <c r="R310" s="5">
        <f t="shared" si="42"/>
        <v>2.1140322580645163</v>
      </c>
      <c r="S310" s="5">
        <f t="shared" si="43"/>
        <v>-2.1140322580645163</v>
      </c>
      <c r="T310" s="5">
        <f t="shared" si="48"/>
        <v>180.93612903225809</v>
      </c>
      <c r="V310" s="1">
        <v>2909.6</v>
      </c>
      <c r="X310" s="1">
        <f t="shared" si="49"/>
        <v>235301.09999999998</v>
      </c>
      <c r="Y310" s="1">
        <f t="shared" si="44"/>
        <v>11185.2</v>
      </c>
      <c r="AA310" s="1">
        <v>15.9126766326445</v>
      </c>
    </row>
    <row r="311" spans="1:27" s="1" customFormat="1" x14ac:dyDescent="0.25">
      <c r="A311" s="28"/>
      <c r="B311" s="27"/>
      <c r="C311" s="29">
        <v>42558</v>
      </c>
      <c r="D311" s="1">
        <v>18.899999999999999</v>
      </c>
      <c r="E311" s="1">
        <v>11.2</v>
      </c>
      <c r="F311" s="1">
        <v>26.4</v>
      </c>
      <c r="G311" s="1">
        <f t="shared" si="45"/>
        <v>3292.2000000000012</v>
      </c>
      <c r="H311" s="1">
        <f t="shared" si="41"/>
        <v>185.79999999999998</v>
      </c>
      <c r="J311" s="1">
        <v>0</v>
      </c>
      <c r="K311" s="1">
        <f t="shared" si="46"/>
        <v>622.80000000000052</v>
      </c>
      <c r="L311" s="1">
        <v>5.8</v>
      </c>
      <c r="M311" s="1">
        <f t="shared" si="47"/>
        <v>447.30000000000007</v>
      </c>
      <c r="N311" s="1">
        <v>-5.8</v>
      </c>
      <c r="O311" s="1">
        <f t="shared" si="50"/>
        <v>160.10000000000002</v>
      </c>
      <c r="P311" s="1">
        <v>303</v>
      </c>
      <c r="Q311" s="12">
        <f t="shared" si="40"/>
        <v>0.40161290322580645</v>
      </c>
      <c r="R311" s="5">
        <f t="shared" si="42"/>
        <v>2.3293548387096772</v>
      </c>
      <c r="S311" s="5">
        <f t="shared" si="43"/>
        <v>-2.3293548387096772</v>
      </c>
      <c r="T311" s="5">
        <f t="shared" si="48"/>
        <v>178.6067741935484</v>
      </c>
      <c r="V311" s="1">
        <v>2991.2</v>
      </c>
      <c r="X311" s="1">
        <f t="shared" si="49"/>
        <v>238292.3</v>
      </c>
      <c r="Y311" s="1">
        <f t="shared" si="44"/>
        <v>14176.400000000001</v>
      </c>
      <c r="AA311" s="1">
        <v>15.8915339979484</v>
      </c>
    </row>
    <row r="312" spans="1:27" s="1" customFormat="1" x14ac:dyDescent="0.25">
      <c r="A312" s="28"/>
      <c r="B312" s="27"/>
      <c r="C312" s="29">
        <v>42559</v>
      </c>
      <c r="D312" s="1">
        <v>19.100000000000001</v>
      </c>
      <c r="E312" s="1">
        <v>13.9</v>
      </c>
      <c r="F312" s="1">
        <v>24.1</v>
      </c>
      <c r="G312" s="1">
        <f t="shared" si="45"/>
        <v>3311.3000000000011</v>
      </c>
      <c r="H312" s="1">
        <f t="shared" si="41"/>
        <v>204.89999999999998</v>
      </c>
      <c r="J312" s="1">
        <v>0</v>
      </c>
      <c r="K312" s="1">
        <f t="shared" si="46"/>
        <v>622.80000000000052</v>
      </c>
      <c r="L312" s="1">
        <v>4</v>
      </c>
      <c r="M312" s="1">
        <f t="shared" si="47"/>
        <v>451.30000000000007</v>
      </c>
      <c r="N312" s="1">
        <v>-4</v>
      </c>
      <c r="O312" s="1">
        <f t="shared" si="50"/>
        <v>156.10000000000002</v>
      </c>
      <c r="P312" s="1">
        <v>304</v>
      </c>
      <c r="Q312" s="12">
        <f t="shared" si="40"/>
        <v>0.3887096774193548</v>
      </c>
      <c r="R312" s="5">
        <f t="shared" si="42"/>
        <v>1.5548387096774192</v>
      </c>
      <c r="S312" s="5">
        <f t="shared" si="43"/>
        <v>-1.5548387096774192</v>
      </c>
      <c r="T312" s="5">
        <f t="shared" si="48"/>
        <v>177.05193548387098</v>
      </c>
      <c r="V312" s="1">
        <v>2104.1</v>
      </c>
      <c r="X312" s="1">
        <f t="shared" si="49"/>
        <v>240396.4</v>
      </c>
      <c r="Y312" s="1">
        <f t="shared" si="44"/>
        <v>16280.500000000002</v>
      </c>
      <c r="AA312" s="1">
        <v>15.869149492282199</v>
      </c>
    </row>
    <row r="313" spans="1:27" s="1" customFormat="1" x14ac:dyDescent="0.25">
      <c r="A313" s="28"/>
      <c r="B313" s="27"/>
      <c r="C313" s="29">
        <v>42560</v>
      </c>
      <c r="D313" s="1">
        <v>19</v>
      </c>
      <c r="E313" s="1">
        <v>15.9</v>
      </c>
      <c r="F313" s="1">
        <v>23.3</v>
      </c>
      <c r="G313" s="1">
        <f t="shared" si="45"/>
        <v>3330.3000000000011</v>
      </c>
      <c r="H313" s="1">
        <f t="shared" si="41"/>
        <v>223.89999999999998</v>
      </c>
      <c r="J313" s="1">
        <v>0</v>
      </c>
      <c r="K313" s="1">
        <f t="shared" si="46"/>
        <v>622.80000000000052</v>
      </c>
      <c r="L313" s="1">
        <v>2</v>
      </c>
      <c r="M313" s="1">
        <f t="shared" si="47"/>
        <v>453.30000000000007</v>
      </c>
      <c r="N313" s="1">
        <v>-2</v>
      </c>
      <c r="O313" s="1">
        <f t="shared" si="50"/>
        <v>154.10000000000002</v>
      </c>
      <c r="P313" s="1">
        <v>305</v>
      </c>
      <c r="Q313" s="12">
        <f t="shared" si="40"/>
        <v>0.37580645161290316</v>
      </c>
      <c r="R313" s="5">
        <f t="shared" si="42"/>
        <v>0.75161290322580632</v>
      </c>
      <c r="S313" s="5">
        <f t="shared" si="43"/>
        <v>-0.75161290322580632</v>
      </c>
      <c r="T313" s="5">
        <f t="shared" si="48"/>
        <v>176.30032258064517</v>
      </c>
      <c r="V313" s="1">
        <v>910.5</v>
      </c>
      <c r="X313" s="1">
        <f t="shared" si="49"/>
        <v>241306.9</v>
      </c>
      <c r="Y313" s="1">
        <f t="shared" si="44"/>
        <v>17191</v>
      </c>
      <c r="AA313" s="1">
        <v>15.845544046489801</v>
      </c>
    </row>
    <row r="314" spans="1:27" s="1" customFormat="1" x14ac:dyDescent="0.25">
      <c r="A314" s="28"/>
      <c r="B314" s="27"/>
      <c r="C314" s="29">
        <v>42561</v>
      </c>
      <c r="D314" s="1">
        <v>18.2</v>
      </c>
      <c r="E314" s="1">
        <v>14.1</v>
      </c>
      <c r="F314" s="1">
        <v>21.1</v>
      </c>
      <c r="G314" s="1">
        <f t="shared" si="45"/>
        <v>3348.5000000000009</v>
      </c>
      <c r="H314" s="1">
        <f t="shared" si="41"/>
        <v>242.09999999999997</v>
      </c>
      <c r="J314" s="1">
        <v>0</v>
      </c>
      <c r="K314" s="1">
        <f t="shared" si="46"/>
        <v>622.80000000000052</v>
      </c>
      <c r="L314" s="1">
        <v>1.5</v>
      </c>
      <c r="M314" s="1">
        <f t="shared" si="47"/>
        <v>454.80000000000007</v>
      </c>
      <c r="N314" s="1">
        <v>-1.5</v>
      </c>
      <c r="O314" s="1">
        <f t="shared" si="50"/>
        <v>152.60000000000002</v>
      </c>
      <c r="P314" s="1">
        <v>306</v>
      </c>
      <c r="Q314" s="12">
        <f t="shared" si="40"/>
        <v>0.36290322580645162</v>
      </c>
      <c r="R314" s="5">
        <f t="shared" si="42"/>
        <v>0.54435483870967749</v>
      </c>
      <c r="S314" s="5">
        <f t="shared" si="43"/>
        <v>-0.54435483870967749</v>
      </c>
      <c r="T314" s="5">
        <f t="shared" si="48"/>
        <v>175.75596774193551</v>
      </c>
      <c r="V314" s="1">
        <v>655.4</v>
      </c>
      <c r="X314" s="1">
        <f t="shared" si="49"/>
        <v>241962.3</v>
      </c>
      <c r="Y314" s="1">
        <f t="shared" si="44"/>
        <v>17846.400000000001</v>
      </c>
      <c r="AA314" s="1">
        <v>15.8207393593835</v>
      </c>
    </row>
    <row r="315" spans="1:27" s="1" customFormat="1" x14ac:dyDescent="0.25">
      <c r="A315" s="28"/>
      <c r="B315" s="27"/>
      <c r="C315" s="29">
        <v>42562</v>
      </c>
      <c r="D315" s="1">
        <v>17.7</v>
      </c>
      <c r="E315" s="1">
        <v>15.6</v>
      </c>
      <c r="F315" s="1">
        <v>20.8</v>
      </c>
      <c r="G315" s="1">
        <f t="shared" si="45"/>
        <v>3366.2000000000007</v>
      </c>
      <c r="H315" s="1">
        <f t="shared" si="41"/>
        <v>259.79999999999995</v>
      </c>
      <c r="J315" s="1">
        <v>0</v>
      </c>
      <c r="K315" s="1">
        <f>K314+J315</f>
        <v>622.80000000000052</v>
      </c>
      <c r="L315" s="1">
        <v>3.7</v>
      </c>
      <c r="M315" s="1">
        <f t="shared" si="47"/>
        <v>458.50000000000006</v>
      </c>
      <c r="N315" s="1">
        <v>-3.7</v>
      </c>
      <c r="O315" s="1">
        <f t="shared" si="50"/>
        <v>148.90000000000003</v>
      </c>
      <c r="P315" s="1">
        <v>307</v>
      </c>
      <c r="Q315" s="12">
        <f t="shared" si="40"/>
        <v>0.35</v>
      </c>
      <c r="R315" s="5">
        <f t="shared" si="42"/>
        <v>1.2949999999999999</v>
      </c>
      <c r="S315" s="5">
        <f t="shared" si="43"/>
        <v>-1.2949999999999999</v>
      </c>
      <c r="T315" s="5">
        <f t="shared" si="48"/>
        <v>174.46096774193552</v>
      </c>
      <c r="V315" s="1">
        <v>1836.3</v>
      </c>
      <c r="X315" s="1">
        <f t="shared" si="49"/>
        <v>243798.59999999998</v>
      </c>
      <c r="Y315" s="1">
        <f t="shared" si="44"/>
        <v>19682.7</v>
      </c>
    </row>
    <row r="316" spans="1:27" s="1" customFormat="1" x14ac:dyDescent="0.25">
      <c r="A316" s="50" t="s">
        <v>23</v>
      </c>
      <c r="B316" s="50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</row>
  </sheetData>
  <mergeCells count="8">
    <mergeCell ref="A276:A300"/>
    <mergeCell ref="A316:Z316"/>
    <mergeCell ref="A8:Z8"/>
    <mergeCell ref="A9:A134"/>
    <mergeCell ref="A135:A146"/>
    <mergeCell ref="A147:A203"/>
    <mergeCell ref="A225:A253"/>
    <mergeCell ref="A254:A275"/>
  </mergeCells>
  <conditionalFormatting sqref="D9:F315 H135 I22 I16 I18 I20 I148 I146 I144 I142 I165 I159 I161 I163 I211 I213 I215 I217 I232 I234 I236 I238 I267 I265 I263 I261 I289 I287 I285 I283">
    <cfRule type="cellIs" dxfId="7" priority="6" operator="between">
      <formula>25</formula>
      <formula>40</formula>
    </cfRule>
    <cfRule type="cellIs" dxfId="6" priority="7" operator="between">
      <formula>0</formula>
      <formula>5</formula>
    </cfRule>
    <cfRule type="cellIs" dxfId="5" priority="8" operator="between">
      <formula>0</formula>
      <formula>-50</formula>
    </cfRule>
  </conditionalFormatting>
  <conditionalFormatting sqref="N9:N315">
    <cfRule type="cellIs" dxfId="4" priority="5" operator="between">
      <formula>0</formula>
      <formula>-40</formula>
    </cfRule>
  </conditionalFormatting>
  <conditionalFormatting sqref="V8:V316">
    <cfRule type="cellIs" dxfId="3" priority="4" operator="between">
      <formula>899.999</formula>
      <formula>0</formula>
    </cfRule>
  </conditionalFormatting>
  <conditionalFormatting sqref="S9:S315">
    <cfRule type="cellIs" dxfId="2" priority="3" operator="lessThanOrEqual">
      <formula>0</formula>
    </cfRule>
  </conditionalFormatting>
  <conditionalFormatting sqref="T8:T316">
    <cfRule type="cellIs" dxfId="1" priority="1" operator="equal">
      <formula>0</formula>
    </cfRule>
    <cfRule type="cellIs" dxfId="0" priority="2" operator="lessThanOrEqual">
      <formula>65.8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INRA - RENNES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adminigepp</dc:creator>
  <cp:lastModifiedBy>adminigepp</cp:lastModifiedBy>
  <dcterms:created xsi:type="dcterms:W3CDTF">2019-10-25T08:32:15Z</dcterms:created>
  <dcterms:modified xsi:type="dcterms:W3CDTF">2019-11-27T10:17:06Z</dcterms:modified>
</cp:coreProperties>
</file>