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ecorlouer\Documents\AA_FICHIERS_ELABORATION_IPC\Actualisation_2019_N\R2011\"/>
    </mc:Choice>
  </mc:AlternateContent>
  <bookViews>
    <workbookView xWindow="0" yWindow="0" windowWidth="28800" windowHeight="11700" activeTab="1"/>
  </bookViews>
  <sheets>
    <sheet name="N-" sheetId="1" r:id="rId1"/>
    <sheet name="N+" sheetId="2"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D416" i="2" l="1"/>
  <c r="AD414" i="2"/>
  <c r="AD412" i="2"/>
  <c r="AD408" i="2"/>
  <c r="AD406" i="2"/>
  <c r="AB438" i="2"/>
  <c r="AB428" i="2"/>
  <c r="AB405" i="2"/>
  <c r="AB427" i="1"/>
  <c r="AB415" i="2" l="1"/>
  <c r="AB435" i="1"/>
  <c r="U522" i="2" l="1"/>
  <c r="U505" i="2"/>
  <c r="U484" i="2"/>
  <c r="U463" i="2"/>
  <c r="U389" i="2"/>
  <c r="U520" i="2"/>
  <c r="U518" i="2"/>
  <c r="I514" i="2"/>
  <c r="I512" i="2"/>
  <c r="I510" i="2"/>
  <c r="U503" i="2"/>
  <c r="U501" i="2"/>
  <c r="I497" i="2"/>
  <c r="I495" i="2"/>
  <c r="I493" i="2"/>
  <c r="I476" i="2"/>
  <c r="I474" i="2"/>
  <c r="I472" i="2"/>
  <c r="U461" i="2"/>
  <c r="U459" i="2"/>
  <c r="U457" i="2"/>
  <c r="I455" i="2"/>
  <c r="I453" i="2"/>
  <c r="I451" i="2"/>
  <c r="U387" i="2"/>
  <c r="U385" i="2"/>
  <c r="U383" i="2"/>
  <c r="I381" i="2"/>
  <c r="I379" i="2"/>
  <c r="I377" i="2"/>
  <c r="T451" i="2"/>
  <c r="T452" i="2" s="1"/>
  <c r="T453" i="2" s="1"/>
  <c r="T454" i="2" s="1"/>
  <c r="T455" i="2" s="1"/>
  <c r="T456" i="2" s="1"/>
  <c r="T457" i="2" s="1"/>
  <c r="T458" i="2" s="1"/>
  <c r="T459" i="2" s="1"/>
  <c r="T460" i="2" s="1"/>
  <c r="T461" i="2" s="1"/>
  <c r="T462" i="2" s="1"/>
  <c r="T463" i="2" s="1"/>
  <c r="T464" i="2" s="1"/>
  <c r="T465" i="2" s="1"/>
  <c r="T466" i="2" s="1"/>
  <c r="T467" i="2" s="1"/>
  <c r="T468" i="2" s="1"/>
  <c r="T469" i="2" s="1"/>
  <c r="T470" i="2" s="1"/>
  <c r="T471" i="2" s="1"/>
  <c r="T472" i="2" s="1"/>
  <c r="T473" i="2" s="1"/>
  <c r="T474" i="2" s="1"/>
  <c r="T483" i="2" s="1"/>
  <c r="T484" i="2" s="1"/>
  <c r="T485" i="2" s="1"/>
  <c r="T486" i="2" s="1"/>
  <c r="T493" i="2" s="1"/>
  <c r="T504" i="2" s="1"/>
  <c r="T505" i="2" s="1"/>
  <c r="T506" i="2" s="1"/>
  <c r="T520" i="2" s="1"/>
  <c r="T521" i="2" s="1"/>
  <c r="T522" i="2" s="1"/>
  <c r="T523" i="2" s="1"/>
  <c r="T524" i="2" s="1"/>
  <c r="T525" i="2" s="1"/>
  <c r="T526" i="2" s="1"/>
  <c r="T527" i="2" s="1"/>
  <c r="T528" i="2" s="1"/>
  <c r="T529" i="2" s="1"/>
  <c r="T530" i="2" s="1"/>
  <c r="Q493" i="2"/>
  <c r="Q494" i="2"/>
  <c r="R494" i="2" s="1"/>
  <c r="S494" i="2" s="1"/>
  <c r="Q495" i="2"/>
  <c r="Q496" i="2"/>
  <c r="Q497" i="2"/>
  <c r="Q498" i="2"/>
  <c r="Q499" i="2"/>
  <c r="Q500" i="2"/>
  <c r="R500" i="2" s="1"/>
  <c r="S500" i="2" s="1"/>
  <c r="Q501" i="2"/>
  <c r="Q502" i="2"/>
  <c r="R502" i="2" s="1"/>
  <c r="S502" i="2" s="1"/>
  <c r="Q503" i="2"/>
  <c r="Q504" i="2"/>
  <c r="Q505" i="2"/>
  <c r="Q506" i="2"/>
  <c r="R506" i="2" s="1"/>
  <c r="S506" i="2" s="1"/>
  <c r="Q507" i="2"/>
  <c r="Q508" i="2"/>
  <c r="R508" i="2" s="1"/>
  <c r="S508" i="2" s="1"/>
  <c r="Q509" i="2"/>
  <c r="Q510" i="2"/>
  <c r="R510" i="2" s="1"/>
  <c r="S510" i="2" s="1"/>
  <c r="Q511" i="2"/>
  <c r="Q512" i="2"/>
  <c r="Q513" i="2"/>
  <c r="Q514" i="2"/>
  <c r="Q515" i="2"/>
  <c r="Q516" i="2"/>
  <c r="R516" i="2" s="1"/>
  <c r="S516" i="2" s="1"/>
  <c r="Q517" i="2"/>
  <c r="Q518" i="2"/>
  <c r="R518" i="2" s="1"/>
  <c r="S518" i="2" s="1"/>
  <c r="Q519" i="2"/>
  <c r="Q520" i="2"/>
  <c r="Q521" i="2"/>
  <c r="Q522" i="2"/>
  <c r="R522" i="2" s="1"/>
  <c r="S522" i="2" s="1"/>
  <c r="Q523" i="2"/>
  <c r="Q524" i="2"/>
  <c r="R524" i="2" s="1"/>
  <c r="S524" i="2" s="1"/>
  <c r="Q525" i="2"/>
  <c r="Q526" i="2"/>
  <c r="Q527" i="2"/>
  <c r="Q528" i="2"/>
  <c r="Q529" i="2"/>
  <c r="Q530" i="2"/>
  <c r="R530" i="2" s="1"/>
  <c r="S530" i="2" s="1"/>
  <c r="Q492" i="2"/>
  <c r="Y509" i="2"/>
  <c r="H509" i="2"/>
  <c r="Y492" i="2"/>
  <c r="H492" i="2"/>
  <c r="Y471" i="2"/>
  <c r="H471" i="2"/>
  <c r="Y450" i="2"/>
  <c r="H450" i="2"/>
  <c r="Q377" i="2"/>
  <c r="Q378" i="2"/>
  <c r="R378" i="2" s="1"/>
  <c r="S378" i="2" s="1"/>
  <c r="Q379" i="2"/>
  <c r="R379" i="2" s="1"/>
  <c r="S379" i="2" s="1"/>
  <c r="Q380" i="2"/>
  <c r="Q381" i="2"/>
  <c r="Q382" i="2"/>
  <c r="Q383" i="2"/>
  <c r="Q384" i="2"/>
  <c r="Q385" i="2"/>
  <c r="Q386" i="2"/>
  <c r="Q387" i="2"/>
  <c r="R387" i="2" s="1"/>
  <c r="S387" i="2" s="1"/>
  <c r="Q388" i="2"/>
  <c r="Q389" i="2"/>
  <c r="Q390" i="2"/>
  <c r="Q391" i="2"/>
  <c r="Q392" i="2"/>
  <c r="Q393" i="2"/>
  <c r="Q394" i="2"/>
  <c r="R394" i="2" s="1"/>
  <c r="S394" i="2" s="1"/>
  <c r="Q395" i="2"/>
  <c r="Q396" i="2"/>
  <c r="Q397" i="2"/>
  <c r="Q398" i="2"/>
  <c r="Q399" i="2"/>
  <c r="Q400" i="2"/>
  <c r="Q401" i="2"/>
  <c r="Q402" i="2"/>
  <c r="R402" i="2" s="1"/>
  <c r="S402" i="2" s="1"/>
  <c r="Q403" i="2"/>
  <c r="R403" i="2" s="1"/>
  <c r="S403" i="2" s="1"/>
  <c r="Q404" i="2"/>
  <c r="Q405" i="2"/>
  <c r="Q406" i="2"/>
  <c r="Q407" i="2"/>
  <c r="Q408" i="2"/>
  <c r="R408" i="2" s="1"/>
  <c r="S408" i="2" s="1"/>
  <c r="Q409" i="2"/>
  <c r="R409" i="2" s="1"/>
  <c r="S409" i="2" s="1"/>
  <c r="Q410" i="2"/>
  <c r="R410" i="2" s="1"/>
  <c r="S410" i="2" s="1"/>
  <c r="Q411" i="2"/>
  <c r="Q412" i="2"/>
  <c r="Q413" i="2"/>
  <c r="Q414" i="2"/>
  <c r="Q415" i="2"/>
  <c r="Q416" i="2"/>
  <c r="R416" i="2" s="1"/>
  <c r="S416" i="2" s="1"/>
  <c r="Q417" i="2"/>
  <c r="Q418" i="2"/>
  <c r="Q419" i="2"/>
  <c r="R419" i="2" s="1"/>
  <c r="S419" i="2" s="1"/>
  <c r="Q420" i="2"/>
  <c r="Q421" i="2"/>
  <c r="Q422" i="2"/>
  <c r="Q423" i="2"/>
  <c r="Q424" i="2"/>
  <c r="R424" i="2" s="1"/>
  <c r="S424" i="2" s="1"/>
  <c r="Q425" i="2"/>
  <c r="Q426" i="2"/>
  <c r="R426" i="2" s="1"/>
  <c r="S426" i="2" s="1"/>
  <c r="Q427" i="2"/>
  <c r="R427" i="2" s="1"/>
  <c r="S427" i="2" s="1"/>
  <c r="Q428" i="2"/>
  <c r="R428" i="2" s="1"/>
  <c r="S428" i="2" s="1"/>
  <c r="Q429" i="2"/>
  <c r="Q430" i="2"/>
  <c r="Q431" i="2"/>
  <c r="Q432" i="2"/>
  <c r="R432" i="2" s="1"/>
  <c r="S432" i="2" s="1"/>
  <c r="Q433" i="2"/>
  <c r="Q434" i="2"/>
  <c r="R434" i="2" s="1"/>
  <c r="S434" i="2" s="1"/>
  <c r="Q435" i="2"/>
  <c r="R435" i="2" s="1"/>
  <c r="S435" i="2" s="1"/>
  <c r="Q436" i="2"/>
  <c r="Q437" i="2"/>
  <c r="Q438" i="2"/>
  <c r="Q439" i="2"/>
  <c r="Q440" i="2"/>
  <c r="Q441" i="2"/>
  <c r="R441" i="2" s="1"/>
  <c r="S441" i="2" s="1"/>
  <c r="Q442" i="2"/>
  <c r="R442" i="2" s="1"/>
  <c r="S442" i="2" s="1"/>
  <c r="Q443" i="2"/>
  <c r="R443" i="2" s="1"/>
  <c r="S443" i="2" s="1"/>
  <c r="Q444" i="2"/>
  <c r="Q445" i="2"/>
  <c r="Q446" i="2"/>
  <c r="Q447" i="2"/>
  <c r="Q448" i="2"/>
  <c r="R448" i="2" s="1"/>
  <c r="S448" i="2" s="1"/>
  <c r="Q449" i="2"/>
  <c r="R449" i="2" s="1"/>
  <c r="S449" i="2" s="1"/>
  <c r="Q376" i="2"/>
  <c r="R376" i="2" s="1"/>
  <c r="S376" i="2" s="1"/>
  <c r="Y449" i="2"/>
  <c r="Y451" i="2" s="1"/>
  <c r="Y452" i="2" s="1"/>
  <c r="Y453" i="2" s="1"/>
  <c r="Y454" i="2" s="1"/>
  <c r="Y455" i="2" s="1"/>
  <c r="Y456" i="2" s="1"/>
  <c r="Y457" i="2" s="1"/>
  <c r="Y458" i="2" s="1"/>
  <c r="Y459" i="2" s="1"/>
  <c r="Y460" i="2" s="1"/>
  <c r="Y461" i="2" s="1"/>
  <c r="Y462" i="2" s="1"/>
  <c r="Y463" i="2" s="1"/>
  <c r="Y464" i="2" s="1"/>
  <c r="Y465" i="2" s="1"/>
  <c r="Y466" i="2" s="1"/>
  <c r="Y467" i="2" s="1"/>
  <c r="Y468" i="2" s="1"/>
  <c r="Y469" i="2" s="1"/>
  <c r="Y470" i="2" s="1"/>
  <c r="Y472" i="2" s="1"/>
  <c r="Y473" i="2" s="1"/>
  <c r="Y474" i="2" s="1"/>
  <c r="Y475" i="2" s="1"/>
  <c r="Y476" i="2" s="1"/>
  <c r="Y477" i="2" s="1"/>
  <c r="Y478" i="2" s="1"/>
  <c r="Y479" i="2" s="1"/>
  <c r="Y480" i="2" s="1"/>
  <c r="Y481" i="2" s="1"/>
  <c r="Y482" i="2" s="1"/>
  <c r="Y483" i="2" s="1"/>
  <c r="Y484" i="2" s="1"/>
  <c r="Y485" i="2" s="1"/>
  <c r="Y486" i="2" s="1"/>
  <c r="Y487" i="2" s="1"/>
  <c r="Y488" i="2" s="1"/>
  <c r="Y489" i="2" s="1"/>
  <c r="Y490" i="2" s="1"/>
  <c r="Y491" i="2" s="1"/>
  <c r="Y493" i="2" s="1"/>
  <c r="Y494" i="2" s="1"/>
  <c r="Y495" i="2" s="1"/>
  <c r="Y496" i="2" s="1"/>
  <c r="Y497" i="2" s="1"/>
  <c r="Y498" i="2" s="1"/>
  <c r="Y499" i="2" s="1"/>
  <c r="Y500" i="2" s="1"/>
  <c r="Y501" i="2" s="1"/>
  <c r="Y502" i="2" s="1"/>
  <c r="Y503" i="2" s="1"/>
  <c r="Y504" i="2" s="1"/>
  <c r="Y505" i="2" s="1"/>
  <c r="Y506" i="2" s="1"/>
  <c r="Y507" i="2" s="1"/>
  <c r="Y508" i="2" s="1"/>
  <c r="Y510" i="2" s="1"/>
  <c r="Y511" i="2" s="1"/>
  <c r="Y512" i="2" s="1"/>
  <c r="Y513" i="2" s="1"/>
  <c r="Y514" i="2" s="1"/>
  <c r="Y515" i="2" s="1"/>
  <c r="Y516" i="2" s="1"/>
  <c r="Y517" i="2" s="1"/>
  <c r="Y518" i="2" s="1"/>
  <c r="Y519" i="2" s="1"/>
  <c r="Y520" i="2" s="1"/>
  <c r="Y521" i="2" s="1"/>
  <c r="Y522" i="2" s="1"/>
  <c r="Y523" i="2" s="1"/>
  <c r="Y524" i="2" s="1"/>
  <c r="Y525" i="2" s="1"/>
  <c r="Y526" i="2" s="1"/>
  <c r="Y527" i="2" s="1"/>
  <c r="Y528" i="2" s="1"/>
  <c r="Y529" i="2" s="1"/>
  <c r="Y530" i="2" s="1"/>
  <c r="H449" i="2"/>
  <c r="H451" i="2"/>
  <c r="H452" i="2" s="1"/>
  <c r="H453" i="2" s="1"/>
  <c r="H454" i="2" s="1"/>
  <c r="H455" i="2" s="1"/>
  <c r="H456" i="2" s="1"/>
  <c r="H457" i="2" s="1"/>
  <c r="H458" i="2" s="1"/>
  <c r="H459" i="2" s="1"/>
  <c r="H460" i="2" s="1"/>
  <c r="H461" i="2" s="1"/>
  <c r="H462" i="2" s="1"/>
  <c r="H463" i="2" s="1"/>
  <c r="H464" i="2" s="1"/>
  <c r="H465" i="2" s="1"/>
  <c r="H466" i="2" s="1"/>
  <c r="H467" i="2" s="1"/>
  <c r="H468" i="2" s="1"/>
  <c r="H469" i="2" s="1"/>
  <c r="H470" i="2" s="1"/>
  <c r="R529" i="2"/>
  <c r="S529" i="2" s="1"/>
  <c r="R528" i="2"/>
  <c r="S528" i="2" s="1"/>
  <c r="R527" i="2"/>
  <c r="S527" i="2" s="1"/>
  <c r="R526" i="2"/>
  <c r="S526" i="2" s="1"/>
  <c r="R525" i="2"/>
  <c r="S525" i="2" s="1"/>
  <c r="S523" i="2"/>
  <c r="R523" i="2"/>
  <c r="R521" i="2"/>
  <c r="S521" i="2" s="1"/>
  <c r="R520" i="2"/>
  <c r="S520" i="2" s="1"/>
  <c r="O520" i="2"/>
  <c r="O521" i="2" s="1"/>
  <c r="O522" i="2" s="1"/>
  <c r="O523" i="2" s="1"/>
  <c r="O524" i="2" s="1"/>
  <c r="O525" i="2" s="1"/>
  <c r="O526" i="2" s="1"/>
  <c r="O527" i="2" s="1"/>
  <c r="O528" i="2" s="1"/>
  <c r="O529" i="2" s="1"/>
  <c r="O530" i="2" s="1"/>
  <c r="R519" i="2"/>
  <c r="S519" i="2" s="1"/>
  <c r="R517" i="2"/>
  <c r="S517" i="2" s="1"/>
  <c r="S515" i="2"/>
  <c r="R515" i="2"/>
  <c r="R514" i="2"/>
  <c r="S514" i="2" s="1"/>
  <c r="R513" i="2"/>
  <c r="S513" i="2" s="1"/>
  <c r="R512" i="2"/>
  <c r="S512" i="2" s="1"/>
  <c r="Z512" i="2"/>
  <c r="R511" i="2"/>
  <c r="S511" i="2" s="1"/>
  <c r="R509" i="2"/>
  <c r="S509" i="2" s="1"/>
  <c r="R507" i="2"/>
  <c r="S507" i="2" s="1"/>
  <c r="R505" i="2"/>
  <c r="S505" i="2" s="1"/>
  <c r="R504" i="2"/>
  <c r="S504" i="2" s="1"/>
  <c r="O504" i="2"/>
  <c r="O505" i="2" s="1"/>
  <c r="R503" i="2"/>
  <c r="S503" i="2" s="1"/>
  <c r="R501" i="2"/>
  <c r="S501" i="2" s="1"/>
  <c r="R499" i="2"/>
  <c r="S499" i="2" s="1"/>
  <c r="R498" i="2"/>
  <c r="S498" i="2" s="1"/>
  <c r="R497" i="2"/>
  <c r="S497" i="2" s="1"/>
  <c r="R496" i="2"/>
  <c r="S496" i="2" s="1"/>
  <c r="R495" i="2"/>
  <c r="S495" i="2" s="1"/>
  <c r="Z495" i="2"/>
  <c r="R493" i="2"/>
  <c r="S493" i="2" s="1"/>
  <c r="O493" i="2"/>
  <c r="R492" i="2"/>
  <c r="S492" i="2" s="1"/>
  <c r="R491" i="2"/>
  <c r="S491" i="2" s="1"/>
  <c r="R490" i="2"/>
  <c r="S490" i="2" s="1"/>
  <c r="R489" i="2"/>
  <c r="S489" i="2" s="1"/>
  <c r="R488" i="2"/>
  <c r="S488" i="2" s="1"/>
  <c r="R487" i="2"/>
  <c r="S487" i="2" s="1"/>
  <c r="S486" i="2"/>
  <c r="R486" i="2"/>
  <c r="R485" i="2"/>
  <c r="S485" i="2" s="1"/>
  <c r="S484" i="2"/>
  <c r="R484" i="2"/>
  <c r="S483" i="2"/>
  <c r="R483" i="2"/>
  <c r="O483" i="2"/>
  <c r="O484" i="2" s="1"/>
  <c r="O485" i="2" s="1"/>
  <c r="O486" i="2" s="1"/>
  <c r="R482" i="2"/>
  <c r="S482" i="2" s="1"/>
  <c r="S481" i="2"/>
  <c r="R481" i="2"/>
  <c r="S480" i="2"/>
  <c r="R480" i="2"/>
  <c r="R479" i="2"/>
  <c r="S479" i="2" s="1"/>
  <c r="R478" i="2"/>
  <c r="S478" i="2" s="1"/>
  <c r="R477" i="2"/>
  <c r="S477" i="2" s="1"/>
  <c r="R476" i="2"/>
  <c r="S476" i="2" s="1"/>
  <c r="R475" i="2"/>
  <c r="S475" i="2" s="1"/>
  <c r="S474" i="2"/>
  <c r="R474" i="2"/>
  <c r="Z474" i="2"/>
  <c r="R473" i="2"/>
  <c r="S473" i="2" s="1"/>
  <c r="R472" i="2"/>
  <c r="S472" i="2" s="1"/>
  <c r="S471" i="2"/>
  <c r="R471" i="2"/>
  <c r="S470" i="2"/>
  <c r="R470" i="2"/>
  <c r="S469" i="2"/>
  <c r="R469" i="2"/>
  <c r="S468" i="2"/>
  <c r="R468" i="2"/>
  <c r="R467" i="2"/>
  <c r="S467" i="2" s="1"/>
  <c r="R466" i="2"/>
  <c r="S466" i="2" s="1"/>
  <c r="R465" i="2"/>
  <c r="S465" i="2" s="1"/>
  <c r="S464" i="2"/>
  <c r="R464" i="2"/>
  <c r="R463" i="2"/>
  <c r="S463" i="2" s="1"/>
  <c r="R462" i="2"/>
  <c r="S462" i="2" s="1"/>
  <c r="R461" i="2"/>
  <c r="S461" i="2" s="1"/>
  <c r="R460" i="2"/>
  <c r="S460" i="2" s="1"/>
  <c r="S459" i="2"/>
  <c r="R459" i="2"/>
  <c r="R458" i="2"/>
  <c r="S458" i="2" s="1"/>
  <c r="S457" i="2"/>
  <c r="R457" i="2"/>
  <c r="S456" i="2"/>
  <c r="R456" i="2"/>
  <c r="S455" i="2"/>
  <c r="R455" i="2"/>
  <c r="R454" i="2"/>
  <c r="S454" i="2" s="1"/>
  <c r="R453" i="2"/>
  <c r="S453" i="2" s="1"/>
  <c r="Z453" i="2"/>
  <c r="S452" i="2"/>
  <c r="R452" i="2"/>
  <c r="S451" i="2"/>
  <c r="R451" i="2"/>
  <c r="R450" i="2"/>
  <c r="S450" i="2" s="1"/>
  <c r="R447" i="2"/>
  <c r="S447" i="2" s="1"/>
  <c r="R446" i="2"/>
  <c r="S446" i="2" s="1"/>
  <c r="R445" i="2"/>
  <c r="S445" i="2" s="1"/>
  <c r="R444" i="2"/>
  <c r="S444" i="2" s="1"/>
  <c r="R440" i="2"/>
  <c r="S440" i="2" s="1"/>
  <c r="R439" i="2"/>
  <c r="S439" i="2" s="1"/>
  <c r="R438" i="2"/>
  <c r="S438" i="2" s="1"/>
  <c r="R437" i="2"/>
  <c r="S437" i="2" s="1"/>
  <c r="R436" i="2"/>
  <c r="S436" i="2" s="1"/>
  <c r="R433" i="2"/>
  <c r="S433" i="2" s="1"/>
  <c r="R431" i="2"/>
  <c r="S431" i="2" s="1"/>
  <c r="R430" i="2"/>
  <c r="S430" i="2" s="1"/>
  <c r="R429" i="2"/>
  <c r="S429" i="2" s="1"/>
  <c r="R425" i="2"/>
  <c r="S425" i="2" s="1"/>
  <c r="R423" i="2"/>
  <c r="S423" i="2" s="1"/>
  <c r="R422" i="2"/>
  <c r="S422" i="2" s="1"/>
  <c r="R421" i="2"/>
  <c r="S421" i="2" s="1"/>
  <c r="R420" i="2"/>
  <c r="S420" i="2" s="1"/>
  <c r="R418" i="2"/>
  <c r="S418" i="2" s="1"/>
  <c r="S417" i="2"/>
  <c r="R417" i="2"/>
  <c r="R415" i="2"/>
  <c r="S415" i="2" s="1"/>
  <c r="R414" i="2"/>
  <c r="S414" i="2" s="1"/>
  <c r="R413" i="2"/>
  <c r="S413" i="2" s="1"/>
  <c r="R412" i="2"/>
  <c r="S412" i="2" s="1"/>
  <c r="R411" i="2"/>
  <c r="S411" i="2" s="1"/>
  <c r="R407" i="2"/>
  <c r="S407" i="2" s="1"/>
  <c r="R406" i="2"/>
  <c r="S406" i="2" s="1"/>
  <c r="R405" i="2"/>
  <c r="S405" i="2" s="1"/>
  <c r="R404" i="2"/>
  <c r="S404" i="2" s="1"/>
  <c r="H403" i="2"/>
  <c r="H404" i="2" s="1"/>
  <c r="H405" i="2" s="1"/>
  <c r="H406" i="2" s="1"/>
  <c r="H407" i="2" s="1"/>
  <c r="H408" i="2" s="1"/>
  <c r="H409" i="2" s="1"/>
  <c r="H410" i="2" s="1"/>
  <c r="H411" i="2" s="1"/>
  <c r="H412" i="2" s="1"/>
  <c r="H413" i="2" s="1"/>
  <c r="H414" i="2" s="1"/>
  <c r="H415" i="2" s="1"/>
  <c r="H416" i="2" s="1"/>
  <c r="H417" i="2" s="1"/>
  <c r="H418" i="2" s="1"/>
  <c r="H419" i="2" s="1"/>
  <c r="H420" i="2" s="1"/>
  <c r="H421" i="2" s="1"/>
  <c r="H422" i="2" s="1"/>
  <c r="H423" i="2" s="1"/>
  <c r="H424" i="2" s="1"/>
  <c r="H425" i="2" s="1"/>
  <c r="H426" i="2" s="1"/>
  <c r="H427" i="2" s="1"/>
  <c r="H428" i="2" s="1"/>
  <c r="H429" i="2" s="1"/>
  <c r="H430" i="2" s="1"/>
  <c r="H431" i="2" s="1"/>
  <c r="H432" i="2" s="1"/>
  <c r="H433" i="2" s="1"/>
  <c r="H434" i="2" s="1"/>
  <c r="H435" i="2" s="1"/>
  <c r="H436" i="2" s="1"/>
  <c r="H437" i="2" s="1"/>
  <c r="H438" i="2" s="1"/>
  <c r="H439" i="2" s="1"/>
  <c r="H440" i="2" s="1"/>
  <c r="H441" i="2" s="1"/>
  <c r="H442" i="2" s="1"/>
  <c r="H443" i="2" s="1"/>
  <c r="H444" i="2" s="1"/>
  <c r="H445" i="2" s="1"/>
  <c r="H446" i="2" s="1"/>
  <c r="H447" i="2" s="1"/>
  <c r="H448" i="2" s="1"/>
  <c r="G403" i="2"/>
  <c r="G404" i="2" s="1"/>
  <c r="G405" i="2" s="1"/>
  <c r="G406" i="2" s="1"/>
  <c r="G407" i="2" s="1"/>
  <c r="G408" i="2" s="1"/>
  <c r="G409" i="2" s="1"/>
  <c r="G410" i="2" s="1"/>
  <c r="G411" i="2" s="1"/>
  <c r="G412" i="2" s="1"/>
  <c r="G413" i="2" s="1"/>
  <c r="G414" i="2" s="1"/>
  <c r="G415" i="2" s="1"/>
  <c r="G416" i="2" s="1"/>
  <c r="G417" i="2" s="1"/>
  <c r="G418" i="2" s="1"/>
  <c r="G419" i="2" s="1"/>
  <c r="G420" i="2" s="1"/>
  <c r="G421" i="2" s="1"/>
  <c r="G422" i="2" s="1"/>
  <c r="G423" i="2" s="1"/>
  <c r="G424" i="2" s="1"/>
  <c r="G425" i="2" s="1"/>
  <c r="G426" i="2" s="1"/>
  <c r="G427" i="2" s="1"/>
  <c r="G428" i="2" s="1"/>
  <c r="G429" i="2" s="1"/>
  <c r="G430" i="2" s="1"/>
  <c r="G431" i="2" s="1"/>
  <c r="G432" i="2" s="1"/>
  <c r="G433" i="2" s="1"/>
  <c r="G434" i="2" s="1"/>
  <c r="G435" i="2" s="1"/>
  <c r="G436" i="2" s="1"/>
  <c r="G437" i="2" s="1"/>
  <c r="G438" i="2" s="1"/>
  <c r="G439" i="2" s="1"/>
  <c r="G440" i="2" s="1"/>
  <c r="G441" i="2" s="1"/>
  <c r="G442" i="2" s="1"/>
  <c r="G443" i="2" s="1"/>
  <c r="G444" i="2" s="1"/>
  <c r="G445" i="2" s="1"/>
  <c r="G446" i="2" s="1"/>
  <c r="G447" i="2" s="1"/>
  <c r="G448" i="2" s="1"/>
  <c r="G449" i="2" s="1"/>
  <c r="G450" i="2" s="1"/>
  <c r="G451" i="2" s="1"/>
  <c r="G452" i="2" s="1"/>
  <c r="G453" i="2" s="1"/>
  <c r="G454" i="2" s="1"/>
  <c r="G455" i="2" s="1"/>
  <c r="G456" i="2" s="1"/>
  <c r="G457" i="2" s="1"/>
  <c r="G458" i="2" s="1"/>
  <c r="G459" i="2" s="1"/>
  <c r="G460" i="2" s="1"/>
  <c r="G461" i="2" s="1"/>
  <c r="G462" i="2" s="1"/>
  <c r="G463" i="2" s="1"/>
  <c r="G464" i="2" s="1"/>
  <c r="G465" i="2" s="1"/>
  <c r="G466" i="2" s="1"/>
  <c r="G467" i="2" s="1"/>
  <c r="G468" i="2" s="1"/>
  <c r="G469" i="2" s="1"/>
  <c r="G470" i="2" s="1"/>
  <c r="G471" i="2" s="1"/>
  <c r="G472" i="2" s="1"/>
  <c r="G473" i="2" s="1"/>
  <c r="G474" i="2" s="1"/>
  <c r="G475" i="2" s="1"/>
  <c r="G476" i="2" s="1"/>
  <c r="G477" i="2" s="1"/>
  <c r="G478" i="2" s="1"/>
  <c r="G479" i="2" s="1"/>
  <c r="G480" i="2" s="1"/>
  <c r="G481" i="2" s="1"/>
  <c r="G482" i="2" s="1"/>
  <c r="G483" i="2" s="1"/>
  <c r="G484" i="2" s="1"/>
  <c r="G485" i="2" s="1"/>
  <c r="G486" i="2" s="1"/>
  <c r="G487" i="2" s="1"/>
  <c r="G488" i="2" s="1"/>
  <c r="G489" i="2" s="1"/>
  <c r="G490" i="2" s="1"/>
  <c r="G491" i="2" s="1"/>
  <c r="G492" i="2" s="1"/>
  <c r="G493" i="2" s="1"/>
  <c r="G494" i="2" s="1"/>
  <c r="G495" i="2" s="1"/>
  <c r="G496" i="2" s="1"/>
  <c r="G497" i="2" s="1"/>
  <c r="G498" i="2" s="1"/>
  <c r="G499" i="2" s="1"/>
  <c r="G500" i="2" s="1"/>
  <c r="G501" i="2" s="1"/>
  <c r="G502" i="2" s="1"/>
  <c r="G503" i="2" s="1"/>
  <c r="G504" i="2" s="1"/>
  <c r="G505" i="2" s="1"/>
  <c r="G506" i="2" s="1"/>
  <c r="G507" i="2" s="1"/>
  <c r="G508" i="2" s="1"/>
  <c r="G509" i="2" s="1"/>
  <c r="G510" i="2" s="1"/>
  <c r="G511" i="2" s="1"/>
  <c r="G512" i="2" s="1"/>
  <c r="G513" i="2" s="1"/>
  <c r="G514" i="2" s="1"/>
  <c r="G515" i="2" s="1"/>
  <c r="G516" i="2" s="1"/>
  <c r="G517" i="2" s="1"/>
  <c r="G518" i="2" s="1"/>
  <c r="G519" i="2" s="1"/>
  <c r="G520" i="2" s="1"/>
  <c r="G521" i="2" s="1"/>
  <c r="G522" i="2" s="1"/>
  <c r="G523" i="2" s="1"/>
  <c r="G524" i="2" s="1"/>
  <c r="G525" i="2" s="1"/>
  <c r="G526" i="2" s="1"/>
  <c r="G527" i="2" s="1"/>
  <c r="G528" i="2" s="1"/>
  <c r="G529" i="2" s="1"/>
  <c r="G530" i="2" s="1"/>
  <c r="S401" i="2"/>
  <c r="R401" i="2"/>
  <c r="R400" i="2"/>
  <c r="S400" i="2" s="1"/>
  <c r="R399" i="2"/>
  <c r="S399" i="2" s="1"/>
  <c r="R398" i="2"/>
  <c r="S398" i="2" s="1"/>
  <c r="R397" i="2"/>
  <c r="S397" i="2" s="1"/>
  <c r="G397" i="2"/>
  <c r="G398" i="2" s="1"/>
  <c r="G399" i="2" s="1"/>
  <c r="G400" i="2" s="1"/>
  <c r="G401" i="2" s="1"/>
  <c r="R396" i="2"/>
  <c r="S396" i="2" s="1"/>
  <c r="H396" i="2"/>
  <c r="H397" i="2" s="1"/>
  <c r="H398" i="2" s="1"/>
  <c r="H399" i="2" s="1"/>
  <c r="H400" i="2" s="1"/>
  <c r="H401" i="2" s="1"/>
  <c r="R395" i="2"/>
  <c r="S395" i="2" s="1"/>
  <c r="H395" i="2"/>
  <c r="G395" i="2"/>
  <c r="G396" i="2" s="1"/>
  <c r="Y393" i="2"/>
  <c r="Y394" i="2" s="1"/>
  <c r="Y395" i="2" s="1"/>
  <c r="Y396" i="2" s="1"/>
  <c r="Y397" i="2" s="1"/>
  <c r="Y398" i="2" s="1"/>
  <c r="Y399" i="2" s="1"/>
  <c r="Y400" i="2" s="1"/>
  <c r="Y401" i="2" s="1"/>
  <c r="Y402" i="2" s="1"/>
  <c r="Y403" i="2" s="1"/>
  <c r="Y404" i="2" s="1"/>
  <c r="Y405" i="2" s="1"/>
  <c r="Y406" i="2" s="1"/>
  <c r="Y407" i="2" s="1"/>
  <c r="Y408" i="2" s="1"/>
  <c r="Y409" i="2" s="1"/>
  <c r="Y410" i="2" s="1"/>
  <c r="Y411" i="2" s="1"/>
  <c r="Y412" i="2" s="1"/>
  <c r="Y413" i="2" s="1"/>
  <c r="Y414" i="2" s="1"/>
  <c r="Y415" i="2" s="1"/>
  <c r="Y416" i="2" s="1"/>
  <c r="Y417" i="2" s="1"/>
  <c r="Y418" i="2" s="1"/>
  <c r="Y419" i="2" s="1"/>
  <c r="Y420" i="2" s="1"/>
  <c r="Y421" i="2" s="1"/>
  <c r="Y422" i="2" s="1"/>
  <c r="Y423" i="2" s="1"/>
  <c r="Y424" i="2" s="1"/>
  <c r="Y425" i="2" s="1"/>
  <c r="Y426" i="2" s="1"/>
  <c r="Y427" i="2" s="1"/>
  <c r="Y428" i="2" s="1"/>
  <c r="Y429" i="2" s="1"/>
  <c r="Y430" i="2" s="1"/>
  <c r="Y431" i="2" s="1"/>
  <c r="Y432" i="2" s="1"/>
  <c r="Y433" i="2" s="1"/>
  <c r="Y434" i="2" s="1"/>
  <c r="Y435" i="2" s="1"/>
  <c r="Y436" i="2" s="1"/>
  <c r="Y437" i="2" s="1"/>
  <c r="Y438" i="2" s="1"/>
  <c r="Y439" i="2" s="1"/>
  <c r="Y440" i="2" s="1"/>
  <c r="Y441" i="2" s="1"/>
  <c r="Y442" i="2" s="1"/>
  <c r="Y443" i="2" s="1"/>
  <c r="Y444" i="2" s="1"/>
  <c r="Y445" i="2" s="1"/>
  <c r="Y446" i="2" s="1"/>
  <c r="Y447" i="2" s="1"/>
  <c r="Y448" i="2" s="1"/>
  <c r="R393" i="2"/>
  <c r="S393" i="2" s="1"/>
  <c r="R392" i="2"/>
  <c r="S392" i="2" s="1"/>
  <c r="R391" i="2"/>
  <c r="S391" i="2" s="1"/>
  <c r="R390" i="2"/>
  <c r="S390" i="2" s="1"/>
  <c r="R389" i="2"/>
  <c r="S389" i="2" s="1"/>
  <c r="R388" i="2"/>
  <c r="S388" i="2" s="1"/>
  <c r="R386" i="2"/>
  <c r="S386" i="2" s="1"/>
  <c r="R385" i="2"/>
  <c r="S385" i="2" s="1"/>
  <c r="R384" i="2"/>
  <c r="S384" i="2" s="1"/>
  <c r="R383" i="2"/>
  <c r="S383" i="2" s="1"/>
  <c r="R382" i="2"/>
  <c r="S382" i="2" s="1"/>
  <c r="R381" i="2"/>
  <c r="S381" i="2" s="1"/>
  <c r="R380" i="2"/>
  <c r="S380" i="2" s="1"/>
  <c r="Z379" i="2"/>
  <c r="Y377" i="2"/>
  <c r="Y378" i="2" s="1"/>
  <c r="Y379" i="2" s="1"/>
  <c r="Y380" i="2" s="1"/>
  <c r="Y381" i="2" s="1"/>
  <c r="Y382" i="2" s="1"/>
  <c r="Y383" i="2" s="1"/>
  <c r="Y384" i="2" s="1"/>
  <c r="Y385" i="2" s="1"/>
  <c r="Y386" i="2" s="1"/>
  <c r="Y387" i="2" s="1"/>
  <c r="Y388" i="2" s="1"/>
  <c r="Y389" i="2" s="1"/>
  <c r="Y390" i="2" s="1"/>
  <c r="Y391" i="2" s="1"/>
  <c r="Y392" i="2" s="1"/>
  <c r="R377" i="2"/>
  <c r="S377" i="2" s="1"/>
  <c r="H377" i="2"/>
  <c r="H378" i="2" s="1"/>
  <c r="H379" i="2" s="1"/>
  <c r="H380" i="2" s="1"/>
  <c r="H381" i="2" s="1"/>
  <c r="H382" i="2" s="1"/>
  <c r="H383" i="2" s="1"/>
  <c r="H384" i="2" s="1"/>
  <c r="H385" i="2" s="1"/>
  <c r="H386" i="2" s="1"/>
  <c r="H387" i="2" s="1"/>
  <c r="H388" i="2" s="1"/>
  <c r="H389" i="2" s="1"/>
  <c r="H390" i="2" s="1"/>
  <c r="H391" i="2" s="1"/>
  <c r="S375" i="2"/>
  <c r="R375" i="2"/>
  <c r="G375" i="2"/>
  <c r="G376" i="2" s="1"/>
  <c r="G377" i="2" s="1"/>
  <c r="G378" i="2" s="1"/>
  <c r="G379" i="2" s="1"/>
  <c r="G380" i="2" s="1"/>
  <c r="G381" i="2" s="1"/>
  <c r="G382" i="2" s="1"/>
  <c r="G383" i="2" s="1"/>
  <c r="G384" i="2" s="1"/>
  <c r="G385" i="2" s="1"/>
  <c r="G386" i="2" s="1"/>
  <c r="G387" i="2" s="1"/>
  <c r="G388" i="2" s="1"/>
  <c r="G389" i="2" s="1"/>
  <c r="G390" i="2" s="1"/>
  <c r="G391" i="2" s="1"/>
  <c r="R374" i="2"/>
  <c r="S374" i="2" s="1"/>
  <c r="S373" i="2"/>
  <c r="R373" i="2"/>
  <c r="R372" i="2"/>
  <c r="S372" i="2" s="1"/>
  <c r="S371" i="2"/>
  <c r="R371" i="2"/>
  <c r="S370" i="2"/>
  <c r="R370" i="2"/>
  <c r="G370" i="2"/>
  <c r="G371" i="2" s="1"/>
  <c r="G372" i="2" s="1"/>
  <c r="G373" i="2" s="1"/>
  <c r="G374" i="2" s="1"/>
  <c r="S369" i="2"/>
  <c r="R369" i="2"/>
  <c r="G369" i="2"/>
  <c r="R368" i="2"/>
  <c r="S368" i="2" s="1"/>
  <c r="S367" i="2"/>
  <c r="R367" i="2"/>
  <c r="G367" i="2"/>
  <c r="G368" i="2" s="1"/>
  <c r="S366" i="2"/>
  <c r="R366" i="2"/>
  <c r="H366" i="2"/>
  <c r="H367" i="2" s="1"/>
  <c r="H368" i="2" s="1"/>
  <c r="H369" i="2" s="1"/>
  <c r="H370" i="2" s="1"/>
  <c r="H371" i="2" s="1"/>
  <c r="H372" i="2" s="1"/>
  <c r="H373" i="2" s="1"/>
  <c r="H374" i="2" s="1"/>
  <c r="H375" i="2" s="1"/>
  <c r="G366" i="2"/>
  <c r="R365" i="2"/>
  <c r="S365" i="2" s="1"/>
  <c r="R364" i="2"/>
  <c r="S364" i="2" s="1"/>
  <c r="S363" i="2"/>
  <c r="R363" i="2"/>
  <c r="S362" i="2"/>
  <c r="R362" i="2"/>
  <c r="S361" i="2"/>
  <c r="R361" i="2"/>
  <c r="H361" i="2"/>
  <c r="H362" i="2" s="1"/>
  <c r="H363" i="2" s="1"/>
  <c r="H364" i="2" s="1"/>
  <c r="R360" i="2"/>
  <c r="S360" i="2" s="1"/>
  <c r="R359" i="2"/>
  <c r="S359" i="2" s="1"/>
  <c r="H359" i="2"/>
  <c r="H360" i="2" s="1"/>
  <c r="S358" i="2"/>
  <c r="R358" i="2"/>
  <c r="G358" i="2"/>
  <c r="G359" i="2" s="1"/>
  <c r="G360" i="2" s="1"/>
  <c r="G361" i="2" s="1"/>
  <c r="G362" i="2" s="1"/>
  <c r="G363" i="2" s="1"/>
  <c r="G364" i="2" s="1"/>
  <c r="R357" i="2"/>
  <c r="S357" i="2" s="1"/>
  <c r="H357" i="2"/>
  <c r="H358" i="2" s="1"/>
  <c r="G357" i="2"/>
  <c r="R356" i="2"/>
  <c r="S356" i="2" s="1"/>
  <c r="G356" i="2"/>
  <c r="S355" i="2"/>
  <c r="R355" i="2"/>
  <c r="H355" i="2"/>
  <c r="H356" i="2" s="1"/>
  <c r="G355" i="2"/>
  <c r="R354" i="2"/>
  <c r="S354" i="2" s="1"/>
  <c r="S353" i="2"/>
  <c r="R353" i="2"/>
  <c r="R352" i="2"/>
  <c r="S352" i="2" s="1"/>
  <c r="R351" i="2"/>
  <c r="S351" i="2" s="1"/>
  <c r="R350" i="2"/>
  <c r="S350" i="2" s="1"/>
  <c r="R349" i="2"/>
  <c r="S349" i="2" s="1"/>
  <c r="R348" i="2"/>
  <c r="S348" i="2" s="1"/>
  <c r="S347" i="2"/>
  <c r="R347" i="2"/>
  <c r="S346" i="2"/>
  <c r="R346" i="2"/>
  <c r="S345" i="2"/>
  <c r="R345" i="2"/>
  <c r="R344" i="2"/>
  <c r="S344" i="2" s="1"/>
  <c r="R343" i="2"/>
  <c r="S343" i="2" s="1"/>
  <c r="S342" i="2"/>
  <c r="R342" i="2"/>
  <c r="R341" i="2"/>
  <c r="S341" i="2" s="1"/>
  <c r="R340" i="2"/>
  <c r="S340" i="2" s="1"/>
  <c r="R339" i="2"/>
  <c r="S339" i="2" s="1"/>
  <c r="S338" i="2"/>
  <c r="R338" i="2"/>
  <c r="I338" i="2"/>
  <c r="R337" i="2"/>
  <c r="S337" i="2" s="1"/>
  <c r="Z336" i="2"/>
  <c r="R336" i="2"/>
  <c r="S336" i="2" s="1"/>
  <c r="I336" i="2"/>
  <c r="R335" i="2"/>
  <c r="S335" i="2" s="1"/>
  <c r="R334" i="2"/>
  <c r="S334" i="2" s="1"/>
  <c r="I334" i="2"/>
  <c r="Y333" i="2"/>
  <c r="Y334" i="2" s="1"/>
  <c r="Y335" i="2" s="1"/>
  <c r="Y336" i="2" s="1"/>
  <c r="Y337" i="2" s="1"/>
  <c r="Y338" i="2" s="1"/>
  <c r="Y339" i="2" s="1"/>
  <c r="Y340" i="2" s="1"/>
  <c r="Y341" i="2" s="1"/>
  <c r="Y342" i="2" s="1"/>
  <c r="Y343" i="2" s="1"/>
  <c r="Y344" i="2" s="1"/>
  <c r="Y345" i="2" s="1"/>
  <c r="Y346" i="2" s="1"/>
  <c r="Y347" i="2" s="1"/>
  <c r="Y348" i="2" s="1"/>
  <c r="Y349" i="2" s="1"/>
  <c r="Y350" i="2" s="1"/>
  <c r="Y351" i="2" s="1"/>
  <c r="Y352" i="2" s="1"/>
  <c r="Y353" i="2" s="1"/>
  <c r="Y354" i="2" s="1"/>
  <c r="Y355" i="2" s="1"/>
  <c r="Y356" i="2" s="1"/>
  <c r="Y357" i="2" s="1"/>
  <c r="Y358" i="2" s="1"/>
  <c r="Y359" i="2" s="1"/>
  <c r="Y360" i="2" s="1"/>
  <c r="Y361" i="2" s="1"/>
  <c r="Y362" i="2" s="1"/>
  <c r="Y363" i="2" s="1"/>
  <c r="Y364" i="2" s="1"/>
  <c r="Y365" i="2" s="1"/>
  <c r="Y366" i="2" s="1"/>
  <c r="Y367" i="2" s="1"/>
  <c r="Y368" i="2" s="1"/>
  <c r="Y369" i="2" s="1"/>
  <c r="Y370" i="2" s="1"/>
  <c r="Y371" i="2" s="1"/>
  <c r="Y372" i="2" s="1"/>
  <c r="Y373" i="2" s="1"/>
  <c r="Y374" i="2" s="1"/>
  <c r="Y375" i="2" s="1"/>
  <c r="S333" i="2"/>
  <c r="R333" i="2"/>
  <c r="H333" i="2"/>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S332" i="2"/>
  <c r="R332" i="2"/>
  <c r="Q332" i="2"/>
  <c r="S331" i="2"/>
  <c r="Q331" i="2"/>
  <c r="R331" i="2" s="1"/>
  <c r="R330" i="2"/>
  <c r="S330" i="2" s="1"/>
  <c r="Q330" i="2"/>
  <c r="S329" i="2"/>
  <c r="R329" i="2"/>
  <c r="Q329" i="2"/>
  <c r="S328" i="2"/>
  <c r="R328" i="2"/>
  <c r="Q328" i="2"/>
  <c r="S327" i="2"/>
  <c r="R327" i="2"/>
  <c r="Q327" i="2"/>
  <c r="S326" i="2"/>
  <c r="R326" i="2"/>
  <c r="Q326" i="2"/>
  <c r="S325" i="2"/>
  <c r="R325" i="2"/>
  <c r="Q325" i="2"/>
  <c r="S324" i="2"/>
  <c r="R324" i="2"/>
  <c r="Q324" i="2"/>
  <c r="Q323" i="2"/>
  <c r="R323" i="2" s="1"/>
  <c r="S323" i="2" s="1"/>
  <c r="R322" i="2"/>
  <c r="S322" i="2" s="1"/>
  <c r="Q322" i="2"/>
  <c r="Q321" i="2"/>
  <c r="R321" i="2" s="1"/>
  <c r="S321" i="2" s="1"/>
  <c r="R320" i="2"/>
  <c r="S320" i="2" s="1"/>
  <c r="Q320" i="2"/>
  <c r="S319" i="2"/>
  <c r="R319" i="2"/>
  <c r="Q319" i="2"/>
  <c r="Q318" i="2"/>
  <c r="R318" i="2" s="1"/>
  <c r="S318" i="2" s="1"/>
  <c r="R317" i="2"/>
  <c r="S317" i="2" s="1"/>
  <c r="Q317" i="2"/>
  <c r="S316" i="2"/>
  <c r="R316" i="2"/>
  <c r="Q316" i="2"/>
  <c r="Q315" i="2"/>
  <c r="R315" i="2" s="1"/>
  <c r="S315" i="2" s="1"/>
  <c r="R314" i="2"/>
  <c r="S314" i="2" s="1"/>
  <c r="Q314" i="2"/>
  <c r="S313" i="2"/>
  <c r="Q313" i="2"/>
  <c r="R313" i="2" s="1"/>
  <c r="R312" i="2"/>
  <c r="S312" i="2" s="1"/>
  <c r="Q312" i="2"/>
  <c r="S311" i="2"/>
  <c r="R311" i="2"/>
  <c r="Q311" i="2"/>
  <c r="Q310" i="2"/>
  <c r="R310" i="2" s="1"/>
  <c r="S310" i="2" s="1"/>
  <c r="R309" i="2"/>
  <c r="S309" i="2" s="1"/>
  <c r="Q309" i="2"/>
  <c r="S308" i="2"/>
  <c r="R308" i="2"/>
  <c r="Q308" i="2"/>
  <c r="Q307" i="2"/>
  <c r="R307" i="2" s="1"/>
  <c r="S307" i="2" s="1"/>
  <c r="R306" i="2"/>
  <c r="S306" i="2" s="1"/>
  <c r="Q306" i="2"/>
  <c r="Q305" i="2"/>
  <c r="R305" i="2" s="1"/>
  <c r="S305" i="2" s="1"/>
  <c r="R304" i="2"/>
  <c r="S304" i="2" s="1"/>
  <c r="Q304" i="2"/>
  <c r="S303" i="2"/>
  <c r="R303" i="2"/>
  <c r="Q303" i="2"/>
  <c r="Q302" i="2"/>
  <c r="R302" i="2" s="1"/>
  <c r="S302" i="2" s="1"/>
  <c r="R301" i="2"/>
  <c r="S301" i="2" s="1"/>
  <c r="Q301" i="2"/>
  <c r="S300" i="2"/>
  <c r="R300" i="2"/>
  <c r="Q300" i="2"/>
  <c r="Q299" i="2"/>
  <c r="R299" i="2" s="1"/>
  <c r="S299" i="2" s="1"/>
  <c r="R298" i="2"/>
  <c r="S298" i="2" s="1"/>
  <c r="Q298" i="2"/>
  <c r="S297" i="2"/>
  <c r="Q297" i="2"/>
  <c r="R297" i="2" s="1"/>
  <c r="R296" i="2"/>
  <c r="S296" i="2" s="1"/>
  <c r="Q296" i="2"/>
  <c r="Q295" i="2"/>
  <c r="R295" i="2" s="1"/>
  <c r="S295" i="2" s="1"/>
  <c r="Q294" i="2"/>
  <c r="R294" i="2" s="1"/>
  <c r="S294" i="2" s="1"/>
  <c r="Q293" i="2"/>
  <c r="R293" i="2" s="1"/>
  <c r="S293" i="2" s="1"/>
  <c r="R292" i="2"/>
  <c r="S292" i="2" s="1"/>
  <c r="Q292" i="2"/>
  <c r="Q291" i="2"/>
  <c r="R291" i="2" s="1"/>
  <c r="S291" i="2" s="1"/>
  <c r="R290" i="2"/>
  <c r="S290" i="2" s="1"/>
  <c r="Q290" i="2"/>
  <c r="Q289" i="2"/>
  <c r="R289" i="2" s="1"/>
  <c r="S289" i="2" s="1"/>
  <c r="R288" i="2"/>
  <c r="S288" i="2" s="1"/>
  <c r="Q288" i="2"/>
  <c r="S287" i="2"/>
  <c r="R287" i="2"/>
  <c r="Q287" i="2"/>
  <c r="O287" i="2"/>
  <c r="O288" i="2" s="1"/>
  <c r="O289" i="2" s="1"/>
  <c r="O290" i="2" s="1"/>
  <c r="O291" i="2" s="1"/>
  <c r="O292" i="2" s="1"/>
  <c r="O293" i="2" s="1"/>
  <c r="O294" i="2" s="1"/>
  <c r="O295" i="2" s="1"/>
  <c r="O296" i="2" s="1"/>
  <c r="O297" i="2" s="1"/>
  <c r="O298" i="2" s="1"/>
  <c r="O299" i="2" s="1"/>
  <c r="O300" i="2" s="1"/>
  <c r="O301" i="2" s="1"/>
  <c r="O302" i="2" s="1"/>
  <c r="O303" i="2" s="1"/>
  <c r="O304" i="2" s="1"/>
  <c r="O305" i="2" s="1"/>
  <c r="O306" i="2" s="1"/>
  <c r="O307" i="2" s="1"/>
  <c r="O308" i="2" s="1"/>
  <c r="O309" i="2" s="1"/>
  <c r="O310" i="2" s="1"/>
  <c r="O311" i="2" s="1"/>
  <c r="O312" i="2" s="1"/>
  <c r="O313" i="2" s="1"/>
  <c r="O314" i="2" s="1"/>
  <c r="O315" i="2" s="1"/>
  <c r="O316" i="2" s="1"/>
  <c r="O317" i="2" s="1"/>
  <c r="O318" i="2" s="1"/>
  <c r="O319" i="2" s="1"/>
  <c r="O320" i="2" s="1"/>
  <c r="O321" i="2" s="1"/>
  <c r="O322" i="2" s="1"/>
  <c r="O323" i="2" s="1"/>
  <c r="O324" i="2" s="1"/>
  <c r="O325" i="2" s="1"/>
  <c r="O326" i="2" s="1"/>
  <c r="O327" i="2" s="1"/>
  <c r="O328" i="2" s="1"/>
  <c r="O329" i="2" s="1"/>
  <c r="O330" i="2" s="1"/>
  <c r="O331" i="2" s="1"/>
  <c r="O332" i="2" s="1"/>
  <c r="O333" i="2" s="1"/>
  <c r="O334" i="2" s="1"/>
  <c r="O335" i="2" s="1"/>
  <c r="O336" i="2" s="1"/>
  <c r="O337" i="2" s="1"/>
  <c r="O338" i="2" s="1"/>
  <c r="O339" i="2" s="1"/>
  <c r="O340" i="2" s="1"/>
  <c r="O341" i="2" s="1"/>
  <c r="O342" i="2" s="1"/>
  <c r="O343" i="2" s="1"/>
  <c r="O344" i="2" s="1"/>
  <c r="O345" i="2" s="1"/>
  <c r="O346" i="2" s="1"/>
  <c r="O347" i="2" s="1"/>
  <c r="O348" i="2" s="1"/>
  <c r="O349" i="2" s="1"/>
  <c r="O350" i="2" s="1"/>
  <c r="O351" i="2" s="1"/>
  <c r="O352" i="2" s="1"/>
  <c r="O353" i="2" s="1"/>
  <c r="O354" i="2" s="1"/>
  <c r="O355" i="2" s="1"/>
  <c r="O356" i="2" s="1"/>
  <c r="O357" i="2" s="1"/>
  <c r="O358" i="2" s="1"/>
  <c r="O359" i="2" s="1"/>
  <c r="O360" i="2" s="1"/>
  <c r="O361" i="2" s="1"/>
  <c r="O362" i="2" s="1"/>
  <c r="O363" i="2" s="1"/>
  <c r="O364" i="2" s="1"/>
  <c r="O365" i="2" s="1"/>
  <c r="O366" i="2" s="1"/>
  <c r="O367" i="2" s="1"/>
  <c r="O368" i="2" s="1"/>
  <c r="O369" i="2" s="1"/>
  <c r="O370" i="2" s="1"/>
  <c r="O371" i="2" s="1"/>
  <c r="O372" i="2" s="1"/>
  <c r="O373" i="2" s="1"/>
  <c r="O374" i="2" s="1"/>
  <c r="O375" i="2" s="1"/>
  <c r="O376" i="2" s="1"/>
  <c r="O377" i="2" s="1"/>
  <c r="O378" i="2" s="1"/>
  <c r="O379" i="2" s="1"/>
  <c r="O380" i="2" s="1"/>
  <c r="O381" i="2" s="1"/>
  <c r="O382" i="2" s="1"/>
  <c r="O383" i="2" s="1"/>
  <c r="O384" i="2" s="1"/>
  <c r="O385" i="2" s="1"/>
  <c r="O386" i="2" s="1"/>
  <c r="O387" i="2" s="1"/>
  <c r="O388" i="2" s="1"/>
  <c r="O389" i="2" s="1"/>
  <c r="O390" i="2" s="1"/>
  <c r="O391" i="2" s="1"/>
  <c r="O392" i="2" s="1"/>
  <c r="O393" i="2" s="1"/>
  <c r="O394" i="2" s="1"/>
  <c r="O395" i="2" s="1"/>
  <c r="O396" i="2" s="1"/>
  <c r="O397" i="2" s="1"/>
  <c r="O398" i="2" s="1"/>
  <c r="O399" i="2" s="1"/>
  <c r="O400" i="2" s="1"/>
  <c r="O401" i="2" s="1"/>
  <c r="O402" i="2" s="1"/>
  <c r="O403" i="2" s="1"/>
  <c r="O404" i="2" s="1"/>
  <c r="O405" i="2" s="1"/>
  <c r="O406" i="2" s="1"/>
  <c r="O407" i="2" s="1"/>
  <c r="O408" i="2" s="1"/>
  <c r="O409" i="2" s="1"/>
  <c r="O410" i="2" s="1"/>
  <c r="O411" i="2" s="1"/>
  <c r="O412" i="2" s="1"/>
  <c r="O413" i="2" s="1"/>
  <c r="O414" i="2" s="1"/>
  <c r="O415" i="2" s="1"/>
  <c r="O416" i="2" s="1"/>
  <c r="O417" i="2" s="1"/>
  <c r="O418" i="2" s="1"/>
  <c r="O419" i="2" s="1"/>
  <c r="O420" i="2" s="1"/>
  <c r="O421" i="2" s="1"/>
  <c r="O422" i="2" s="1"/>
  <c r="O423" i="2" s="1"/>
  <c r="O424" i="2" s="1"/>
  <c r="O425" i="2" s="1"/>
  <c r="O426" i="2" s="1"/>
  <c r="O427" i="2" s="1"/>
  <c r="O428" i="2" s="1"/>
  <c r="O429" i="2" s="1"/>
  <c r="O430" i="2" s="1"/>
  <c r="O431" i="2" s="1"/>
  <c r="O432" i="2" s="1"/>
  <c r="O433" i="2" s="1"/>
  <c r="O434" i="2" s="1"/>
  <c r="O435" i="2" s="1"/>
  <c r="O436" i="2" s="1"/>
  <c r="O437" i="2" s="1"/>
  <c r="O438" i="2" s="1"/>
  <c r="O439" i="2" s="1"/>
  <c r="O440" i="2" s="1"/>
  <c r="O441" i="2" s="1"/>
  <c r="O442" i="2" s="1"/>
  <c r="O443" i="2" s="1"/>
  <c r="O444" i="2" s="1"/>
  <c r="O445" i="2" s="1"/>
  <c r="O446" i="2" s="1"/>
  <c r="O447" i="2" s="1"/>
  <c r="O448" i="2" s="1"/>
  <c r="O449" i="2" s="1"/>
  <c r="O450" i="2" s="1"/>
  <c r="O451" i="2" s="1"/>
  <c r="O452" i="2" s="1"/>
  <c r="O453" i="2" s="1"/>
  <c r="O454" i="2" s="1"/>
  <c r="O455" i="2" s="1"/>
  <c r="O456" i="2" s="1"/>
  <c r="O457" i="2" s="1"/>
  <c r="O458" i="2" s="1"/>
  <c r="O459" i="2" s="1"/>
  <c r="O460" i="2" s="1"/>
  <c r="O461" i="2" s="1"/>
  <c r="O462" i="2" s="1"/>
  <c r="O463" i="2" s="1"/>
  <c r="O464" i="2" s="1"/>
  <c r="O465" i="2" s="1"/>
  <c r="O466" i="2" s="1"/>
  <c r="O467" i="2" s="1"/>
  <c r="O468" i="2" s="1"/>
  <c r="O469" i="2" s="1"/>
  <c r="O470" i="2" s="1"/>
  <c r="O471" i="2" s="1"/>
  <c r="O472" i="2" s="1"/>
  <c r="O473" i="2" s="1"/>
  <c r="O474" i="2" s="1"/>
  <c r="Q286" i="2"/>
  <c r="R286" i="2" s="1"/>
  <c r="S286" i="2" s="1"/>
  <c r="Q285" i="2"/>
  <c r="R285" i="2" s="1"/>
  <c r="S285" i="2" s="1"/>
  <c r="Q284" i="2"/>
  <c r="R284" i="2" s="1"/>
  <c r="S284" i="2" s="1"/>
  <c r="Q283" i="2"/>
  <c r="R283" i="2" s="1"/>
  <c r="S283" i="2" s="1"/>
  <c r="Q282" i="2"/>
  <c r="R282" i="2" s="1"/>
  <c r="S282" i="2" s="1"/>
  <c r="O282" i="2"/>
  <c r="Q281" i="2"/>
  <c r="R281" i="2" s="1"/>
  <c r="S281" i="2" s="1"/>
  <c r="R280" i="2"/>
  <c r="S280" i="2" s="1"/>
  <c r="Q280" i="2"/>
  <c r="R279" i="2"/>
  <c r="S279" i="2" s="1"/>
  <c r="Q279" i="2"/>
  <c r="R278" i="2"/>
  <c r="S278" i="2" s="1"/>
  <c r="Q278" i="2"/>
  <c r="S277" i="2"/>
  <c r="Q277" i="2"/>
  <c r="R277" i="2" s="1"/>
  <c r="Q276" i="2"/>
  <c r="R276" i="2" s="1"/>
  <c r="S276" i="2" s="1"/>
  <c r="R275" i="2"/>
  <c r="S275" i="2" s="1"/>
  <c r="Q275" i="2"/>
  <c r="R274" i="2"/>
  <c r="S274" i="2" s="1"/>
  <c r="Q274" i="2"/>
  <c r="S273" i="2"/>
  <c r="Q273" i="2"/>
  <c r="R273" i="2" s="1"/>
  <c r="O273" i="2"/>
  <c r="O274" i="2" s="1"/>
  <c r="O275" i="2" s="1"/>
  <c r="O276" i="2" s="1"/>
  <c r="O277" i="2" s="1"/>
  <c r="O278" i="2" s="1"/>
  <c r="O279" i="2" s="1"/>
  <c r="Q272" i="2"/>
  <c r="R272" i="2" s="1"/>
  <c r="S272" i="2" s="1"/>
  <c r="O272" i="2"/>
  <c r="R271" i="2"/>
  <c r="S271" i="2" s="1"/>
  <c r="T271" i="2" s="1"/>
  <c r="T272" i="2" s="1"/>
  <c r="T273" i="2" s="1"/>
  <c r="Q271" i="2"/>
  <c r="O271" i="2"/>
  <c r="Q270" i="2"/>
  <c r="R270" i="2" s="1"/>
  <c r="S270" i="2" s="1"/>
  <c r="R269" i="2"/>
  <c r="S269" i="2" s="1"/>
  <c r="Q269" i="2"/>
  <c r="R268" i="2"/>
  <c r="S268" i="2" s="1"/>
  <c r="Q268" i="2"/>
  <c r="R267" i="2"/>
  <c r="S267" i="2" s="1"/>
  <c r="Q267" i="2"/>
  <c r="S266" i="2"/>
  <c r="R266" i="2"/>
  <c r="Q266" i="2"/>
  <c r="Q265" i="2"/>
  <c r="R265" i="2" s="1"/>
  <c r="S265" i="2" s="1"/>
  <c r="Q264" i="2"/>
  <c r="R264" i="2" s="1"/>
  <c r="S264" i="2" s="1"/>
  <c r="T264" i="2" s="1"/>
  <c r="T265" i="2" s="1"/>
  <c r="T266" i="2" s="1"/>
  <c r="T267" i="2" s="1"/>
  <c r="T268" i="2" s="1"/>
  <c r="T269" i="2" s="1"/>
  <c r="O264" i="2"/>
  <c r="O265" i="2" s="1"/>
  <c r="O266" i="2" s="1"/>
  <c r="Q263" i="2"/>
  <c r="R263" i="2" s="1"/>
  <c r="S263" i="2" s="1"/>
  <c r="S262" i="2"/>
  <c r="R262" i="2"/>
  <c r="R261" i="2"/>
  <c r="S261" i="2" s="1"/>
  <c r="I261" i="2"/>
  <c r="R260" i="2"/>
  <c r="S260" i="2" s="1"/>
  <c r="R259" i="2"/>
  <c r="S259" i="2" s="1"/>
  <c r="I259" i="2"/>
  <c r="R258" i="2"/>
  <c r="S258" i="2" s="1"/>
  <c r="S257" i="2"/>
  <c r="R257" i="2"/>
  <c r="M257" i="2"/>
  <c r="M258" i="2" s="1"/>
  <c r="M259" i="2" s="1"/>
  <c r="M260" i="2" s="1"/>
  <c r="M261" i="2" s="1"/>
  <c r="M262" i="2" s="1"/>
  <c r="M263" i="2" s="1"/>
  <c r="M264" i="2" s="1"/>
  <c r="M265" i="2" s="1"/>
  <c r="M266" i="2" s="1"/>
  <c r="M267" i="2" s="1"/>
  <c r="M268" i="2" s="1"/>
  <c r="M269" i="2" s="1"/>
  <c r="M270" i="2" s="1"/>
  <c r="M271" i="2" s="1"/>
  <c r="M272" i="2" s="1"/>
  <c r="M273" i="2" s="1"/>
  <c r="M274" i="2" s="1"/>
  <c r="M275" i="2" s="1"/>
  <c r="M276" i="2" s="1"/>
  <c r="M277" i="2" s="1"/>
  <c r="M278" i="2" s="1"/>
  <c r="M279" i="2" s="1"/>
  <c r="M280" i="2" s="1"/>
  <c r="M281" i="2" s="1"/>
  <c r="M282" i="2" s="1"/>
  <c r="M283" i="2" s="1"/>
  <c r="M284" i="2" s="1"/>
  <c r="M285" i="2" s="1"/>
  <c r="M286" i="2" s="1"/>
  <c r="M287" i="2" s="1"/>
  <c r="M288" i="2" s="1"/>
  <c r="M289" i="2" s="1"/>
  <c r="M290" i="2" s="1"/>
  <c r="M291" i="2" s="1"/>
  <c r="M292" i="2" s="1"/>
  <c r="M293" i="2" s="1"/>
  <c r="M294" i="2" s="1"/>
  <c r="M295" i="2" s="1"/>
  <c r="M296" i="2" s="1"/>
  <c r="M297" i="2" s="1"/>
  <c r="M298" i="2" s="1"/>
  <c r="M299" i="2" s="1"/>
  <c r="M300" i="2" s="1"/>
  <c r="M301" i="2" s="1"/>
  <c r="M302" i="2" s="1"/>
  <c r="M303" i="2" s="1"/>
  <c r="M304" i="2" s="1"/>
  <c r="M305" i="2" s="1"/>
  <c r="M306" i="2" s="1"/>
  <c r="M307" i="2" s="1"/>
  <c r="M308" i="2" s="1"/>
  <c r="M309" i="2" s="1"/>
  <c r="M310" i="2" s="1"/>
  <c r="M311" i="2" s="1"/>
  <c r="M312" i="2" s="1"/>
  <c r="M313" i="2" s="1"/>
  <c r="M314" i="2" s="1"/>
  <c r="M315" i="2" s="1"/>
  <c r="M316" i="2" s="1"/>
  <c r="M317" i="2" s="1"/>
  <c r="M318" i="2" s="1"/>
  <c r="M319" i="2" s="1"/>
  <c r="M320" i="2" s="1"/>
  <c r="M321" i="2" s="1"/>
  <c r="M322" i="2" s="1"/>
  <c r="M323" i="2" s="1"/>
  <c r="M324" i="2" s="1"/>
  <c r="M325" i="2" s="1"/>
  <c r="M326" i="2" s="1"/>
  <c r="M327" i="2" s="1"/>
  <c r="M328" i="2" s="1"/>
  <c r="M329" i="2" s="1"/>
  <c r="M330" i="2" s="1"/>
  <c r="M331" i="2" s="1"/>
  <c r="M332" i="2" s="1"/>
  <c r="M333" i="2" s="1"/>
  <c r="M334" i="2" s="1"/>
  <c r="M335" i="2" s="1"/>
  <c r="M336" i="2" s="1"/>
  <c r="M337" i="2" s="1"/>
  <c r="M338" i="2" s="1"/>
  <c r="M339" i="2" s="1"/>
  <c r="M340" i="2" s="1"/>
  <c r="M341" i="2" s="1"/>
  <c r="M342" i="2" s="1"/>
  <c r="M343" i="2" s="1"/>
  <c r="M344" i="2" s="1"/>
  <c r="M345" i="2" s="1"/>
  <c r="M346" i="2" s="1"/>
  <c r="M347" i="2" s="1"/>
  <c r="M348" i="2" s="1"/>
  <c r="M349" i="2" s="1"/>
  <c r="M350" i="2" s="1"/>
  <c r="M351" i="2" s="1"/>
  <c r="M352" i="2" s="1"/>
  <c r="M353" i="2" s="1"/>
  <c r="M354" i="2" s="1"/>
  <c r="M355" i="2" s="1"/>
  <c r="M356" i="2" s="1"/>
  <c r="M357" i="2" s="1"/>
  <c r="M358" i="2" s="1"/>
  <c r="M359" i="2" s="1"/>
  <c r="M360" i="2" s="1"/>
  <c r="M361" i="2" s="1"/>
  <c r="M362" i="2" s="1"/>
  <c r="M363" i="2" s="1"/>
  <c r="M364" i="2" s="1"/>
  <c r="M365" i="2" s="1"/>
  <c r="M366" i="2" s="1"/>
  <c r="M367" i="2" s="1"/>
  <c r="M368" i="2" s="1"/>
  <c r="M369" i="2" s="1"/>
  <c r="M370" i="2" s="1"/>
  <c r="M371" i="2" s="1"/>
  <c r="M372" i="2" s="1"/>
  <c r="M373" i="2" s="1"/>
  <c r="M374" i="2" s="1"/>
  <c r="M375" i="2" s="1"/>
  <c r="M376" i="2" s="1"/>
  <c r="M377" i="2" s="1"/>
  <c r="M378" i="2" s="1"/>
  <c r="M379" i="2" s="1"/>
  <c r="M380" i="2" s="1"/>
  <c r="M381" i="2" s="1"/>
  <c r="M382" i="2" s="1"/>
  <c r="M383" i="2" s="1"/>
  <c r="M384" i="2" s="1"/>
  <c r="M385" i="2" s="1"/>
  <c r="M386" i="2" s="1"/>
  <c r="M387" i="2" s="1"/>
  <c r="M388" i="2" s="1"/>
  <c r="M389" i="2" s="1"/>
  <c r="M390" i="2" s="1"/>
  <c r="M391" i="2" s="1"/>
  <c r="M392" i="2" s="1"/>
  <c r="M393" i="2" s="1"/>
  <c r="M394" i="2" s="1"/>
  <c r="M395" i="2" s="1"/>
  <c r="M396" i="2" s="1"/>
  <c r="M397" i="2" s="1"/>
  <c r="M398" i="2" s="1"/>
  <c r="M399" i="2" s="1"/>
  <c r="M400" i="2" s="1"/>
  <c r="M401" i="2" s="1"/>
  <c r="M402" i="2" s="1"/>
  <c r="M403" i="2" s="1"/>
  <c r="M404" i="2" s="1"/>
  <c r="M405" i="2" s="1"/>
  <c r="M406" i="2" s="1"/>
  <c r="M407" i="2" s="1"/>
  <c r="M408" i="2" s="1"/>
  <c r="M409" i="2" s="1"/>
  <c r="M410" i="2" s="1"/>
  <c r="M411" i="2" s="1"/>
  <c r="M412" i="2" s="1"/>
  <c r="M413" i="2" s="1"/>
  <c r="M414" i="2" s="1"/>
  <c r="M415" i="2" s="1"/>
  <c r="M416" i="2" s="1"/>
  <c r="M417" i="2" s="1"/>
  <c r="M418" i="2" s="1"/>
  <c r="M419" i="2" s="1"/>
  <c r="M420" i="2" s="1"/>
  <c r="M421" i="2" s="1"/>
  <c r="M422" i="2" s="1"/>
  <c r="M423" i="2" s="1"/>
  <c r="M424" i="2" s="1"/>
  <c r="M425" i="2" s="1"/>
  <c r="M426" i="2" s="1"/>
  <c r="M427" i="2" s="1"/>
  <c r="M428" i="2" s="1"/>
  <c r="M429" i="2" s="1"/>
  <c r="M430" i="2" s="1"/>
  <c r="M431" i="2" s="1"/>
  <c r="M432" i="2" s="1"/>
  <c r="M433" i="2" s="1"/>
  <c r="M434" i="2" s="1"/>
  <c r="M435" i="2" s="1"/>
  <c r="M436" i="2" s="1"/>
  <c r="M437" i="2" s="1"/>
  <c r="M438" i="2" s="1"/>
  <c r="M439" i="2" s="1"/>
  <c r="M440" i="2" s="1"/>
  <c r="M441" i="2" s="1"/>
  <c r="M442" i="2" s="1"/>
  <c r="M443" i="2" s="1"/>
  <c r="M444" i="2" s="1"/>
  <c r="M445" i="2" s="1"/>
  <c r="M446" i="2" s="1"/>
  <c r="M447" i="2" s="1"/>
  <c r="M448" i="2" s="1"/>
  <c r="M449" i="2" s="1"/>
  <c r="M450" i="2" s="1"/>
  <c r="M451" i="2" s="1"/>
  <c r="M452" i="2" s="1"/>
  <c r="M453" i="2" s="1"/>
  <c r="M454" i="2" s="1"/>
  <c r="M455" i="2" s="1"/>
  <c r="M456" i="2" s="1"/>
  <c r="M457" i="2" s="1"/>
  <c r="M458" i="2" s="1"/>
  <c r="M459" i="2" s="1"/>
  <c r="M460" i="2" s="1"/>
  <c r="M461" i="2" s="1"/>
  <c r="M462" i="2" s="1"/>
  <c r="M463" i="2" s="1"/>
  <c r="M464" i="2" s="1"/>
  <c r="M465" i="2" s="1"/>
  <c r="M466" i="2" s="1"/>
  <c r="M467" i="2" s="1"/>
  <c r="M468" i="2" s="1"/>
  <c r="M469" i="2" s="1"/>
  <c r="M470" i="2" s="1"/>
  <c r="M471" i="2" s="1"/>
  <c r="M472" i="2" s="1"/>
  <c r="M473" i="2" s="1"/>
  <c r="M474" i="2" s="1"/>
  <c r="M475" i="2" s="1"/>
  <c r="M476" i="2" s="1"/>
  <c r="M477" i="2" s="1"/>
  <c r="M478" i="2" s="1"/>
  <c r="M479" i="2" s="1"/>
  <c r="M480" i="2" s="1"/>
  <c r="M481" i="2" s="1"/>
  <c r="M482" i="2" s="1"/>
  <c r="M483" i="2" s="1"/>
  <c r="M484" i="2" s="1"/>
  <c r="M485" i="2" s="1"/>
  <c r="M486" i="2" s="1"/>
  <c r="M487" i="2" s="1"/>
  <c r="M488" i="2" s="1"/>
  <c r="M489" i="2" s="1"/>
  <c r="M490" i="2" s="1"/>
  <c r="M491" i="2" s="1"/>
  <c r="M492" i="2" s="1"/>
  <c r="M493" i="2" s="1"/>
  <c r="M494" i="2" s="1"/>
  <c r="M495" i="2" s="1"/>
  <c r="M496" i="2" s="1"/>
  <c r="M497" i="2" s="1"/>
  <c r="M498" i="2" s="1"/>
  <c r="M499" i="2" s="1"/>
  <c r="M500" i="2" s="1"/>
  <c r="M501" i="2" s="1"/>
  <c r="M502" i="2" s="1"/>
  <c r="M503" i="2" s="1"/>
  <c r="M504" i="2" s="1"/>
  <c r="M505" i="2" s="1"/>
  <c r="M506" i="2" s="1"/>
  <c r="M507" i="2" s="1"/>
  <c r="M508" i="2" s="1"/>
  <c r="M509" i="2" s="1"/>
  <c r="M510" i="2" s="1"/>
  <c r="M511" i="2" s="1"/>
  <c r="M512" i="2" s="1"/>
  <c r="M513" i="2" s="1"/>
  <c r="M514" i="2" s="1"/>
  <c r="M515" i="2" s="1"/>
  <c r="M516" i="2" s="1"/>
  <c r="M517" i="2" s="1"/>
  <c r="M518" i="2" s="1"/>
  <c r="M519" i="2" s="1"/>
  <c r="M520" i="2" s="1"/>
  <c r="M521" i="2" s="1"/>
  <c r="M522" i="2" s="1"/>
  <c r="M523" i="2" s="1"/>
  <c r="M524" i="2" s="1"/>
  <c r="M525" i="2" s="1"/>
  <c r="M526" i="2" s="1"/>
  <c r="M527" i="2" s="1"/>
  <c r="M528" i="2" s="1"/>
  <c r="M529" i="2" s="1"/>
  <c r="M530" i="2" s="1"/>
  <c r="I257" i="2"/>
  <c r="X256" i="2"/>
  <c r="X257" i="2" s="1"/>
  <c r="X258" i="2" s="1"/>
  <c r="X259" i="2" s="1"/>
  <c r="X260" i="2" s="1"/>
  <c r="X261" i="2" s="1"/>
  <c r="X262" i="2" s="1"/>
  <c r="X263" i="2" s="1"/>
  <c r="X264" i="2" s="1"/>
  <c r="X265" i="2" s="1"/>
  <c r="X266" i="2" s="1"/>
  <c r="X267" i="2" s="1"/>
  <c r="X268" i="2" s="1"/>
  <c r="X269" i="2" s="1"/>
  <c r="X270" i="2" s="1"/>
  <c r="X271" i="2" s="1"/>
  <c r="X272" i="2" s="1"/>
  <c r="X273" i="2" s="1"/>
  <c r="X274" i="2" s="1"/>
  <c r="X275" i="2" s="1"/>
  <c r="X276" i="2" s="1"/>
  <c r="X277" i="2" s="1"/>
  <c r="X278" i="2" s="1"/>
  <c r="X279" i="2" s="1"/>
  <c r="X280" i="2" s="1"/>
  <c r="X281" i="2" s="1"/>
  <c r="X282" i="2" s="1"/>
  <c r="X283" i="2" s="1"/>
  <c r="X284" i="2" s="1"/>
  <c r="X285" i="2" s="1"/>
  <c r="X286" i="2" s="1"/>
  <c r="X287" i="2" s="1"/>
  <c r="X288" i="2" s="1"/>
  <c r="X289" i="2" s="1"/>
  <c r="X290" i="2" s="1"/>
  <c r="X291" i="2" s="1"/>
  <c r="X292" i="2" s="1"/>
  <c r="X293" i="2" s="1"/>
  <c r="X294" i="2" s="1"/>
  <c r="X295" i="2" s="1"/>
  <c r="X296" i="2" s="1"/>
  <c r="X297" i="2" s="1"/>
  <c r="X298" i="2" s="1"/>
  <c r="X299" i="2" s="1"/>
  <c r="X300" i="2" s="1"/>
  <c r="X301" i="2" s="1"/>
  <c r="X302" i="2" s="1"/>
  <c r="X303" i="2" s="1"/>
  <c r="X304" i="2" s="1"/>
  <c r="X305" i="2" s="1"/>
  <c r="X306" i="2" s="1"/>
  <c r="X307" i="2" s="1"/>
  <c r="X308" i="2" s="1"/>
  <c r="X309" i="2" s="1"/>
  <c r="X310" i="2" s="1"/>
  <c r="X311" i="2" s="1"/>
  <c r="X312" i="2" s="1"/>
  <c r="X313" i="2" s="1"/>
  <c r="X314" i="2" s="1"/>
  <c r="X315" i="2" s="1"/>
  <c r="X316" i="2" s="1"/>
  <c r="X317" i="2" s="1"/>
  <c r="X318" i="2" s="1"/>
  <c r="X319" i="2" s="1"/>
  <c r="X320" i="2" s="1"/>
  <c r="X321" i="2" s="1"/>
  <c r="X322" i="2" s="1"/>
  <c r="X323" i="2" s="1"/>
  <c r="X324" i="2" s="1"/>
  <c r="X325" i="2" s="1"/>
  <c r="X326" i="2" s="1"/>
  <c r="X327" i="2" s="1"/>
  <c r="X328" i="2" s="1"/>
  <c r="X329" i="2" s="1"/>
  <c r="X330" i="2" s="1"/>
  <c r="X331" i="2" s="1"/>
  <c r="X332" i="2" s="1"/>
  <c r="R256" i="2"/>
  <c r="S256" i="2" s="1"/>
  <c r="T256" i="2" s="1"/>
  <c r="M256" i="2"/>
  <c r="K256" i="2"/>
  <c r="K257" i="2" s="1"/>
  <c r="K258" i="2" s="1"/>
  <c r="K259" i="2" s="1"/>
  <c r="K260" i="2" s="1"/>
  <c r="K261" i="2" s="1"/>
  <c r="K262" i="2" s="1"/>
  <c r="K263" i="2" s="1"/>
  <c r="K264" i="2" s="1"/>
  <c r="K265" i="2" s="1"/>
  <c r="K266" i="2" s="1"/>
  <c r="K267" i="2" s="1"/>
  <c r="K268" i="2" s="1"/>
  <c r="K269" i="2" s="1"/>
  <c r="K270" i="2" s="1"/>
  <c r="K271" i="2" s="1"/>
  <c r="K272" i="2" s="1"/>
  <c r="K273" i="2" s="1"/>
  <c r="K274" i="2" s="1"/>
  <c r="K275" i="2" s="1"/>
  <c r="K276" i="2" s="1"/>
  <c r="K277" i="2" s="1"/>
  <c r="K278" i="2" s="1"/>
  <c r="K279" i="2" s="1"/>
  <c r="K280" i="2" s="1"/>
  <c r="K281" i="2" s="1"/>
  <c r="K282" i="2" s="1"/>
  <c r="K283" i="2" s="1"/>
  <c r="K284" i="2" s="1"/>
  <c r="K285" i="2" s="1"/>
  <c r="K286" i="2" s="1"/>
  <c r="K287" i="2" s="1"/>
  <c r="K288" i="2" s="1"/>
  <c r="K289" i="2" s="1"/>
  <c r="K290" i="2" s="1"/>
  <c r="K291" i="2" s="1"/>
  <c r="K292" i="2" s="1"/>
  <c r="K293" i="2" s="1"/>
  <c r="K294" i="2" s="1"/>
  <c r="K295" i="2" s="1"/>
  <c r="K296" i="2" s="1"/>
  <c r="K297" i="2" s="1"/>
  <c r="K298" i="2" s="1"/>
  <c r="K299" i="2" s="1"/>
  <c r="K300" i="2" s="1"/>
  <c r="K301" i="2" s="1"/>
  <c r="K302" i="2" s="1"/>
  <c r="K303" i="2" s="1"/>
  <c r="K304" i="2" s="1"/>
  <c r="K305" i="2" s="1"/>
  <c r="K306" i="2" s="1"/>
  <c r="K307" i="2" s="1"/>
  <c r="K308" i="2" s="1"/>
  <c r="K309" i="2" s="1"/>
  <c r="K310" i="2" s="1"/>
  <c r="K311" i="2" s="1"/>
  <c r="K312" i="2" s="1"/>
  <c r="K313" i="2" s="1"/>
  <c r="K314" i="2" s="1"/>
  <c r="K315" i="2" s="1"/>
  <c r="K316" i="2" s="1"/>
  <c r="K317" i="2" s="1"/>
  <c r="K318" i="2" s="1"/>
  <c r="K319" i="2" s="1"/>
  <c r="K320" i="2" s="1"/>
  <c r="K321" i="2" s="1"/>
  <c r="K322" i="2" s="1"/>
  <c r="K323" i="2" s="1"/>
  <c r="K324" i="2" s="1"/>
  <c r="K325" i="2" s="1"/>
  <c r="K326" i="2" s="1"/>
  <c r="K327" i="2" s="1"/>
  <c r="K328" i="2" s="1"/>
  <c r="K329" i="2" s="1"/>
  <c r="K330" i="2" s="1"/>
  <c r="K331" i="2" s="1"/>
  <c r="K332" i="2" s="1"/>
  <c r="K333" i="2" s="1"/>
  <c r="K334" i="2" s="1"/>
  <c r="K335" i="2" s="1"/>
  <c r="K336" i="2" s="1"/>
  <c r="K337" i="2" s="1"/>
  <c r="K338" i="2" s="1"/>
  <c r="K339" i="2" s="1"/>
  <c r="K340" i="2" s="1"/>
  <c r="K341" i="2" s="1"/>
  <c r="K342" i="2" s="1"/>
  <c r="K343" i="2" s="1"/>
  <c r="K344" i="2" s="1"/>
  <c r="K345" i="2" s="1"/>
  <c r="K346" i="2" s="1"/>
  <c r="K347" i="2" s="1"/>
  <c r="K348" i="2" s="1"/>
  <c r="K349" i="2" s="1"/>
  <c r="K350" i="2" s="1"/>
  <c r="K351" i="2" s="1"/>
  <c r="K352" i="2" s="1"/>
  <c r="K353" i="2" s="1"/>
  <c r="K354" i="2" s="1"/>
  <c r="K355" i="2" s="1"/>
  <c r="K356" i="2" s="1"/>
  <c r="K357" i="2" s="1"/>
  <c r="K358" i="2" s="1"/>
  <c r="K359" i="2" s="1"/>
  <c r="K360" i="2" s="1"/>
  <c r="K361" i="2" s="1"/>
  <c r="K362" i="2" s="1"/>
  <c r="K363" i="2" s="1"/>
  <c r="K364" i="2" s="1"/>
  <c r="K365" i="2" s="1"/>
  <c r="K366" i="2" s="1"/>
  <c r="K367" i="2" s="1"/>
  <c r="K368" i="2" s="1"/>
  <c r="K369" i="2" s="1"/>
  <c r="K370" i="2" s="1"/>
  <c r="K371" i="2" s="1"/>
  <c r="K372" i="2" s="1"/>
  <c r="K373" i="2" s="1"/>
  <c r="K374" i="2" s="1"/>
  <c r="K375" i="2" s="1"/>
  <c r="K376" i="2" s="1"/>
  <c r="K377" i="2" s="1"/>
  <c r="K378" i="2" s="1"/>
  <c r="K379" i="2" s="1"/>
  <c r="K380" i="2" s="1"/>
  <c r="K381" i="2" s="1"/>
  <c r="K382" i="2" s="1"/>
  <c r="K383" i="2" s="1"/>
  <c r="K384" i="2" s="1"/>
  <c r="K385" i="2" s="1"/>
  <c r="K386" i="2" s="1"/>
  <c r="K387" i="2" s="1"/>
  <c r="K388" i="2" s="1"/>
  <c r="K389" i="2" s="1"/>
  <c r="K390" i="2" s="1"/>
  <c r="K391" i="2" s="1"/>
  <c r="K392" i="2" s="1"/>
  <c r="K393" i="2" s="1"/>
  <c r="K394" i="2" s="1"/>
  <c r="K395" i="2" s="1"/>
  <c r="K396" i="2" s="1"/>
  <c r="K397" i="2" s="1"/>
  <c r="K398" i="2" s="1"/>
  <c r="K399" i="2" s="1"/>
  <c r="K400" i="2" s="1"/>
  <c r="K401" i="2" s="1"/>
  <c r="K402" i="2" s="1"/>
  <c r="K403" i="2" s="1"/>
  <c r="K404" i="2" s="1"/>
  <c r="K405" i="2" s="1"/>
  <c r="K406" i="2" s="1"/>
  <c r="K407" i="2" s="1"/>
  <c r="K408" i="2" s="1"/>
  <c r="K409" i="2" s="1"/>
  <c r="K410" i="2" s="1"/>
  <c r="K411" i="2" s="1"/>
  <c r="K412" i="2" s="1"/>
  <c r="K413" i="2" s="1"/>
  <c r="K414" i="2" s="1"/>
  <c r="K415" i="2" s="1"/>
  <c r="K416" i="2" s="1"/>
  <c r="K417" i="2" s="1"/>
  <c r="K418" i="2" s="1"/>
  <c r="K419" i="2" s="1"/>
  <c r="K420" i="2" s="1"/>
  <c r="K421" i="2" s="1"/>
  <c r="K422" i="2" s="1"/>
  <c r="K423" i="2" s="1"/>
  <c r="K424" i="2" s="1"/>
  <c r="K425" i="2" s="1"/>
  <c r="K426" i="2" s="1"/>
  <c r="K427" i="2" s="1"/>
  <c r="K428" i="2" s="1"/>
  <c r="K429" i="2" s="1"/>
  <c r="K430" i="2" s="1"/>
  <c r="K431" i="2" s="1"/>
  <c r="K432" i="2" s="1"/>
  <c r="K433" i="2" s="1"/>
  <c r="K434" i="2" s="1"/>
  <c r="K435" i="2" s="1"/>
  <c r="K436" i="2" s="1"/>
  <c r="K437" i="2" s="1"/>
  <c r="K438" i="2" s="1"/>
  <c r="K439" i="2" s="1"/>
  <c r="K440" i="2" s="1"/>
  <c r="K441" i="2" s="1"/>
  <c r="K442" i="2" s="1"/>
  <c r="K443" i="2" s="1"/>
  <c r="K444" i="2" s="1"/>
  <c r="K445" i="2" s="1"/>
  <c r="K446" i="2" s="1"/>
  <c r="K447" i="2" s="1"/>
  <c r="K448" i="2" s="1"/>
  <c r="K449" i="2" s="1"/>
  <c r="K450" i="2" s="1"/>
  <c r="K451" i="2" s="1"/>
  <c r="K452" i="2" s="1"/>
  <c r="K453" i="2" s="1"/>
  <c r="K454" i="2" s="1"/>
  <c r="K455" i="2" s="1"/>
  <c r="K456" i="2" s="1"/>
  <c r="K457" i="2" s="1"/>
  <c r="K458" i="2" s="1"/>
  <c r="K459" i="2" s="1"/>
  <c r="K460" i="2" s="1"/>
  <c r="K461" i="2" s="1"/>
  <c r="K462" i="2" s="1"/>
  <c r="K463" i="2" s="1"/>
  <c r="K464" i="2" s="1"/>
  <c r="K465" i="2" s="1"/>
  <c r="K466" i="2" s="1"/>
  <c r="K467" i="2" s="1"/>
  <c r="K468" i="2" s="1"/>
  <c r="K469" i="2" s="1"/>
  <c r="K470" i="2" s="1"/>
  <c r="K471" i="2" s="1"/>
  <c r="K472" i="2" s="1"/>
  <c r="K473" i="2" s="1"/>
  <c r="K474" i="2" s="1"/>
  <c r="K475" i="2" s="1"/>
  <c r="K476" i="2" s="1"/>
  <c r="K477" i="2" s="1"/>
  <c r="K478" i="2" s="1"/>
  <c r="K479" i="2" s="1"/>
  <c r="K480" i="2" s="1"/>
  <c r="K481" i="2" s="1"/>
  <c r="K482" i="2" s="1"/>
  <c r="K483" i="2" s="1"/>
  <c r="K484" i="2" s="1"/>
  <c r="K485" i="2" s="1"/>
  <c r="K486" i="2" s="1"/>
  <c r="K487" i="2" s="1"/>
  <c r="K488" i="2" s="1"/>
  <c r="K489" i="2" s="1"/>
  <c r="K490" i="2" s="1"/>
  <c r="K491" i="2" s="1"/>
  <c r="K492" i="2" s="1"/>
  <c r="K493" i="2" s="1"/>
  <c r="K494" i="2" s="1"/>
  <c r="K495" i="2" s="1"/>
  <c r="K496" i="2" s="1"/>
  <c r="K497" i="2" s="1"/>
  <c r="K498" i="2" s="1"/>
  <c r="K499" i="2" s="1"/>
  <c r="K500" i="2" s="1"/>
  <c r="K501" i="2" s="1"/>
  <c r="K502" i="2" s="1"/>
  <c r="K503" i="2" s="1"/>
  <c r="K504" i="2" s="1"/>
  <c r="K505" i="2" s="1"/>
  <c r="K506" i="2" s="1"/>
  <c r="K507" i="2" s="1"/>
  <c r="K508" i="2" s="1"/>
  <c r="K509" i="2" s="1"/>
  <c r="K510" i="2" s="1"/>
  <c r="K511" i="2" s="1"/>
  <c r="K512" i="2" s="1"/>
  <c r="K513" i="2" s="1"/>
  <c r="K514" i="2" s="1"/>
  <c r="K515" i="2" s="1"/>
  <c r="K516" i="2" s="1"/>
  <c r="K517" i="2" s="1"/>
  <c r="K518" i="2" s="1"/>
  <c r="K519" i="2" s="1"/>
  <c r="K520" i="2" s="1"/>
  <c r="K521" i="2" s="1"/>
  <c r="K522" i="2" s="1"/>
  <c r="K523" i="2" s="1"/>
  <c r="K524" i="2" s="1"/>
  <c r="K525" i="2" s="1"/>
  <c r="K526" i="2" s="1"/>
  <c r="K527" i="2" s="1"/>
  <c r="K528" i="2" s="1"/>
  <c r="K529" i="2" s="1"/>
  <c r="K530" i="2" s="1"/>
  <c r="G256" i="2"/>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O253" i="2"/>
  <c r="O254" i="2" s="1"/>
  <c r="O256" i="2" s="1"/>
  <c r="O257" i="2" s="1"/>
  <c r="O218" i="2"/>
  <c r="O219" i="2" s="1"/>
  <c r="O220" i="2" s="1"/>
  <c r="O217" i="2"/>
  <c r="H472" i="2" l="1"/>
  <c r="H473" i="2" s="1"/>
  <c r="H474" i="2" s="1"/>
  <c r="H475" i="2" s="1"/>
  <c r="H476" i="2" s="1"/>
  <c r="H477" i="2" s="1"/>
  <c r="H478" i="2" s="1"/>
  <c r="H479" i="2" s="1"/>
  <c r="H480" i="2" s="1"/>
  <c r="H481" i="2" s="1"/>
  <c r="H482" i="2" s="1"/>
  <c r="H483" i="2" s="1"/>
  <c r="H484" i="2" s="1"/>
  <c r="H485" i="2" s="1"/>
  <c r="H486" i="2" s="1"/>
  <c r="H487" i="2" s="1"/>
  <c r="H488" i="2" s="1"/>
  <c r="H489" i="2" s="1"/>
  <c r="H490" i="2" s="1"/>
  <c r="H491" i="2" s="1"/>
  <c r="H493" i="2" s="1"/>
  <c r="H494" i="2" s="1"/>
  <c r="H495" i="2" s="1"/>
  <c r="H496" i="2" s="1"/>
  <c r="H497" i="2" s="1"/>
  <c r="H498" i="2" s="1"/>
  <c r="H499" i="2" s="1"/>
  <c r="H500" i="2" s="1"/>
  <c r="H501" i="2" s="1"/>
  <c r="H502" i="2" s="1"/>
  <c r="H503" i="2" s="1"/>
  <c r="H504" i="2" s="1"/>
  <c r="H505" i="2" s="1"/>
  <c r="H506" i="2" s="1"/>
  <c r="H507" i="2" s="1"/>
  <c r="H508" i="2" s="1"/>
  <c r="H510" i="2" s="1"/>
  <c r="H511" i="2" s="1"/>
  <c r="H512" i="2" s="1"/>
  <c r="H513" i="2" s="1"/>
  <c r="H514" i="2" s="1"/>
  <c r="H515" i="2" s="1"/>
  <c r="H516" i="2" s="1"/>
  <c r="H517" i="2" s="1"/>
  <c r="H518" i="2" s="1"/>
  <c r="H519" i="2" s="1"/>
  <c r="H520" i="2" s="1"/>
  <c r="H521" i="2" s="1"/>
  <c r="H522" i="2" s="1"/>
  <c r="H523" i="2" s="1"/>
  <c r="H524" i="2" s="1"/>
  <c r="H525" i="2" s="1"/>
  <c r="H526" i="2" s="1"/>
  <c r="H527" i="2" s="1"/>
  <c r="H528" i="2" s="1"/>
  <c r="H529" i="2" s="1"/>
  <c r="H530" i="2" s="1"/>
  <c r="X333" i="2"/>
  <c r="X334" i="2" s="1"/>
  <c r="X335" i="2" s="1"/>
  <c r="X336" i="2" s="1"/>
  <c r="X337" i="2" s="1"/>
  <c r="X338" i="2" s="1"/>
  <c r="X339" i="2" s="1"/>
  <c r="X340" i="2" s="1"/>
  <c r="X341" i="2" s="1"/>
  <c r="X342" i="2" s="1"/>
  <c r="X343" i="2" s="1"/>
  <c r="X344" i="2" s="1"/>
  <c r="X345" i="2" s="1"/>
  <c r="X346" i="2" s="1"/>
  <c r="X347" i="2" s="1"/>
  <c r="X348" i="2" s="1"/>
  <c r="X349" i="2" s="1"/>
  <c r="X350" i="2" s="1"/>
  <c r="X351" i="2" s="1"/>
  <c r="X352" i="2" s="1"/>
  <c r="X353" i="2" s="1"/>
  <c r="X354" i="2" s="1"/>
  <c r="X355" i="2" s="1"/>
  <c r="X356" i="2" s="1"/>
  <c r="X357" i="2" s="1"/>
  <c r="X358" i="2" s="1"/>
  <c r="X359" i="2" s="1"/>
  <c r="X360" i="2" s="1"/>
  <c r="X361" i="2" s="1"/>
  <c r="X362" i="2" s="1"/>
  <c r="X363" i="2" s="1"/>
  <c r="X364" i="2" s="1"/>
  <c r="X365" i="2" s="1"/>
  <c r="X366" i="2" s="1"/>
  <c r="X367" i="2" s="1"/>
  <c r="X368" i="2" s="1"/>
  <c r="X369" i="2" s="1"/>
  <c r="X370" i="2" s="1"/>
  <c r="X371" i="2" s="1"/>
  <c r="X372" i="2" s="1"/>
  <c r="X373" i="2" s="1"/>
  <c r="X374" i="2" s="1"/>
  <c r="X375" i="2" s="1"/>
  <c r="X376" i="2" s="1"/>
  <c r="X377" i="2" s="1"/>
  <c r="X378" i="2" s="1"/>
  <c r="X379" i="2" s="1"/>
  <c r="X380" i="2" s="1"/>
  <c r="X381" i="2" s="1"/>
  <c r="X382" i="2" s="1"/>
  <c r="X383" i="2" s="1"/>
  <c r="X384" i="2" s="1"/>
  <c r="X385" i="2" s="1"/>
  <c r="X386" i="2" s="1"/>
  <c r="X387" i="2" s="1"/>
  <c r="X388" i="2" s="1"/>
  <c r="X389" i="2" s="1"/>
  <c r="X390" i="2" s="1"/>
  <c r="X391" i="2" s="1"/>
  <c r="X392" i="2" s="1"/>
  <c r="X393" i="2" s="1"/>
  <c r="X394" i="2" s="1"/>
  <c r="X395" i="2" s="1"/>
  <c r="X396" i="2" s="1"/>
  <c r="X397" i="2" s="1"/>
  <c r="X398" i="2" s="1"/>
  <c r="X399" i="2" s="1"/>
  <c r="X400" i="2" s="1"/>
  <c r="X401" i="2" s="1"/>
  <c r="X402" i="2" s="1"/>
  <c r="X403" i="2" s="1"/>
  <c r="X404" i="2" s="1"/>
  <c r="X405" i="2" s="1"/>
  <c r="X406" i="2" s="1"/>
  <c r="X407" i="2" s="1"/>
  <c r="X408" i="2" s="1"/>
  <c r="X409" i="2" s="1"/>
  <c r="X410" i="2" s="1"/>
  <c r="X411" i="2" s="1"/>
  <c r="X412" i="2" s="1"/>
  <c r="X413" i="2" s="1"/>
  <c r="X414" i="2" s="1"/>
  <c r="X415" i="2" s="1"/>
  <c r="X416" i="2" s="1"/>
  <c r="X417" i="2" s="1"/>
  <c r="X418" i="2" s="1"/>
  <c r="X419" i="2" s="1"/>
  <c r="X420" i="2" s="1"/>
  <c r="X421" i="2" s="1"/>
  <c r="X422" i="2" s="1"/>
  <c r="X423" i="2" s="1"/>
  <c r="X424" i="2" s="1"/>
  <c r="X425" i="2" s="1"/>
  <c r="X426" i="2" s="1"/>
  <c r="X427" i="2" s="1"/>
  <c r="X428" i="2" s="1"/>
  <c r="X429" i="2" s="1"/>
  <c r="X430" i="2" s="1"/>
  <c r="X431" i="2" s="1"/>
  <c r="X432" i="2" s="1"/>
  <c r="X433" i="2" s="1"/>
  <c r="X434" i="2" s="1"/>
  <c r="X435" i="2" s="1"/>
  <c r="X436" i="2" s="1"/>
  <c r="X437" i="2" s="1"/>
  <c r="X438" i="2" s="1"/>
  <c r="X439" i="2" s="1"/>
  <c r="X440" i="2" s="1"/>
  <c r="X441" i="2" s="1"/>
  <c r="X442" i="2" s="1"/>
  <c r="X443" i="2" s="1"/>
  <c r="X444" i="2" s="1"/>
  <c r="X445" i="2" s="1"/>
  <c r="X446" i="2" s="1"/>
  <c r="X447" i="2" s="1"/>
  <c r="X448" i="2" s="1"/>
  <c r="X449" i="2" s="1"/>
  <c r="X450" i="2" s="1"/>
  <c r="X451" i="2" s="1"/>
  <c r="X452" i="2" s="1"/>
  <c r="X453" i="2" s="1"/>
  <c r="X454" i="2" s="1"/>
  <c r="X455" i="2" s="1"/>
  <c r="X456" i="2" s="1"/>
  <c r="X457" i="2" s="1"/>
  <c r="X458" i="2" s="1"/>
  <c r="X459" i="2" s="1"/>
  <c r="X460" i="2" s="1"/>
  <c r="X461" i="2" s="1"/>
  <c r="X462" i="2" s="1"/>
  <c r="X463" i="2" s="1"/>
  <c r="X464" i="2" s="1"/>
  <c r="X465" i="2" s="1"/>
  <c r="X466" i="2" s="1"/>
  <c r="X467" i="2" s="1"/>
  <c r="X468" i="2" s="1"/>
  <c r="X469" i="2" s="1"/>
  <c r="X470" i="2" s="1"/>
  <c r="X471" i="2" s="1"/>
  <c r="X472" i="2" s="1"/>
  <c r="X473" i="2" s="1"/>
  <c r="X474" i="2" s="1"/>
  <c r="X475" i="2" s="1"/>
  <c r="X476" i="2" s="1"/>
  <c r="X477" i="2" s="1"/>
  <c r="X478" i="2" s="1"/>
  <c r="X479" i="2" s="1"/>
  <c r="X480" i="2" s="1"/>
  <c r="X481" i="2" s="1"/>
  <c r="X482" i="2" s="1"/>
  <c r="X483" i="2" s="1"/>
  <c r="X484" i="2" s="1"/>
  <c r="X485" i="2" s="1"/>
  <c r="X486" i="2" s="1"/>
  <c r="X487" i="2" s="1"/>
  <c r="X488" i="2" s="1"/>
  <c r="X489" i="2" s="1"/>
  <c r="X490" i="2" s="1"/>
  <c r="X491" i="2" s="1"/>
  <c r="X492" i="2" s="1"/>
  <c r="X493" i="2" s="1"/>
  <c r="X494" i="2" s="1"/>
  <c r="X495" i="2" s="1"/>
  <c r="X496" i="2" s="1"/>
  <c r="X497" i="2" s="1"/>
  <c r="X498" i="2" s="1"/>
  <c r="X499" i="2" s="1"/>
  <c r="X500" i="2" s="1"/>
  <c r="X501" i="2" s="1"/>
  <c r="X502" i="2" s="1"/>
  <c r="X503" i="2" s="1"/>
  <c r="X504" i="2" s="1"/>
  <c r="X505" i="2" s="1"/>
  <c r="X506" i="2" s="1"/>
  <c r="X507" i="2" s="1"/>
  <c r="X508" i="2" s="1"/>
  <c r="X509" i="2" s="1"/>
  <c r="X510" i="2" s="1"/>
  <c r="X511" i="2" s="1"/>
  <c r="X512" i="2" s="1"/>
  <c r="X513" i="2" s="1"/>
  <c r="X514" i="2" s="1"/>
  <c r="X515" i="2" s="1"/>
  <c r="X516" i="2" s="1"/>
  <c r="X517" i="2" s="1"/>
  <c r="X518" i="2" s="1"/>
  <c r="X519" i="2" s="1"/>
  <c r="X520" i="2" s="1"/>
  <c r="X521" i="2" s="1"/>
  <c r="X522" i="2" s="1"/>
  <c r="X523" i="2" s="1"/>
  <c r="X524" i="2" s="1"/>
  <c r="X525" i="2" s="1"/>
  <c r="X526" i="2" s="1"/>
  <c r="X527" i="2" s="1"/>
  <c r="X528" i="2" s="1"/>
  <c r="X529" i="2" s="1"/>
  <c r="X530" i="2" s="1"/>
  <c r="Z259" i="2"/>
  <c r="T257" i="2"/>
  <c r="T258" i="2" s="1"/>
  <c r="T259" i="2" s="1"/>
  <c r="T260" i="2" s="1"/>
  <c r="T274" i="2"/>
  <c r="T275" i="2" s="1"/>
  <c r="T276" i="2" s="1"/>
  <c r="T277" i="2" s="1"/>
  <c r="T278" i="2" s="1"/>
  <c r="T279" i="2" s="1"/>
  <c r="T280" i="2" s="1"/>
  <c r="T281" i="2" s="1"/>
  <c r="T282" i="2" s="1"/>
  <c r="T283" i="2" s="1"/>
  <c r="T284" i="2" s="1"/>
  <c r="T285" i="2" s="1"/>
  <c r="T286" i="2" s="1"/>
  <c r="T287" i="2" s="1"/>
  <c r="T288" i="2" s="1"/>
  <c r="T289" i="2" s="1"/>
  <c r="T290" i="2" s="1"/>
  <c r="T291" i="2" s="1"/>
  <c r="T292" i="2" s="1"/>
  <c r="T293" i="2" s="1"/>
  <c r="T294" i="2" s="1"/>
  <c r="T295" i="2" s="1"/>
  <c r="T296" i="2" s="1"/>
  <c r="T297" i="2" s="1"/>
  <c r="T298" i="2" s="1"/>
  <c r="T299" i="2" s="1"/>
  <c r="T300" i="2" s="1"/>
  <c r="T301" i="2" s="1"/>
  <c r="T302" i="2" s="1"/>
  <c r="T303" i="2" s="1"/>
  <c r="T304" i="2" s="1"/>
  <c r="T305" i="2" s="1"/>
  <c r="T306" i="2" s="1"/>
  <c r="T307" i="2" s="1"/>
  <c r="T308" i="2" s="1"/>
  <c r="T309" i="2" s="1"/>
  <c r="T310" i="2" s="1"/>
  <c r="T311" i="2" s="1"/>
  <c r="T312" i="2" s="1"/>
  <c r="T313" i="2" s="1"/>
  <c r="T314" i="2" s="1"/>
  <c r="T315" i="2" s="1"/>
  <c r="T316" i="2" s="1"/>
  <c r="T317" i="2" s="1"/>
  <c r="T318" i="2" s="1"/>
  <c r="T319" i="2" s="1"/>
  <c r="T320" i="2" s="1"/>
  <c r="T321" i="2" s="1"/>
  <c r="T322" i="2" s="1"/>
  <c r="T323" i="2" s="1"/>
  <c r="T324" i="2" s="1"/>
  <c r="T325" i="2" s="1"/>
  <c r="T326" i="2" s="1"/>
  <c r="T327" i="2" s="1"/>
  <c r="T328" i="2" s="1"/>
  <c r="T329" i="2" s="1"/>
  <c r="T330" i="2" s="1"/>
  <c r="T331" i="2" s="1"/>
  <c r="T332" i="2" s="1"/>
  <c r="T333" i="2" s="1"/>
  <c r="W498" i="2"/>
  <c r="R530" i="1"/>
  <c r="S530" i="1" s="1"/>
  <c r="Q530" i="1"/>
  <c r="Q529" i="1"/>
  <c r="R529" i="1" s="1"/>
  <c r="S529" i="1" s="1"/>
  <c r="R528" i="1"/>
  <c r="S528" i="1" s="1"/>
  <c r="Q528" i="1"/>
  <c r="Q527" i="1"/>
  <c r="R527" i="1" s="1"/>
  <c r="S527" i="1" s="1"/>
  <c r="Q526" i="1"/>
  <c r="R526" i="1" s="1"/>
  <c r="S526" i="1" s="1"/>
  <c r="Q525" i="1"/>
  <c r="R525" i="1" s="1"/>
  <c r="S525" i="1" s="1"/>
  <c r="R524" i="1"/>
  <c r="S524" i="1" s="1"/>
  <c r="Q524" i="1"/>
  <c r="Q523" i="1"/>
  <c r="R523" i="1" s="1"/>
  <c r="S523" i="1" s="1"/>
  <c r="Q522" i="1"/>
  <c r="R522" i="1" s="1"/>
  <c r="S522" i="1" s="1"/>
  <c r="Q521" i="1"/>
  <c r="R521" i="1" s="1"/>
  <c r="S521" i="1" s="1"/>
  <c r="Q520" i="1"/>
  <c r="R520" i="1" s="1"/>
  <c r="S520" i="1" s="1"/>
  <c r="T520" i="1" s="1"/>
  <c r="O520" i="1"/>
  <c r="O521" i="1" s="1"/>
  <c r="O522" i="1" s="1"/>
  <c r="O523" i="1" s="1"/>
  <c r="O524" i="1" s="1"/>
  <c r="O525" i="1" s="1"/>
  <c r="O526" i="1" s="1"/>
  <c r="O527" i="1" s="1"/>
  <c r="O528" i="1" s="1"/>
  <c r="O529" i="1" s="1"/>
  <c r="O530" i="1" s="1"/>
  <c r="Q519" i="1"/>
  <c r="R519" i="1" s="1"/>
  <c r="S519" i="1" s="1"/>
  <c r="Q518" i="1"/>
  <c r="R518" i="1" s="1"/>
  <c r="S518" i="1" s="1"/>
  <c r="Q517" i="1"/>
  <c r="R517" i="1" s="1"/>
  <c r="S517" i="1" s="1"/>
  <c r="Q516" i="1"/>
  <c r="R516" i="1" s="1"/>
  <c r="S516" i="1" s="1"/>
  <c r="S515" i="1"/>
  <c r="Q515" i="1"/>
  <c r="R515" i="1" s="1"/>
  <c r="Q514" i="1"/>
  <c r="R514" i="1" s="1"/>
  <c r="S514" i="1" s="1"/>
  <c r="Q513" i="1"/>
  <c r="R513" i="1" s="1"/>
  <c r="S513" i="1" s="1"/>
  <c r="I513" i="1"/>
  <c r="Q512" i="1"/>
  <c r="R512" i="1" s="1"/>
  <c r="S512" i="1" s="1"/>
  <c r="Z511" i="1"/>
  <c r="Q511" i="1"/>
  <c r="R511" i="1" s="1"/>
  <c r="S511" i="1" s="1"/>
  <c r="I511" i="1"/>
  <c r="Q510" i="1"/>
  <c r="R510" i="1" s="1"/>
  <c r="S510" i="1" s="1"/>
  <c r="H510" i="1"/>
  <c r="H511" i="1" s="1"/>
  <c r="H512" i="1" s="1"/>
  <c r="H513" i="1" s="1"/>
  <c r="H514" i="1" s="1"/>
  <c r="H515" i="1" s="1"/>
  <c r="H516" i="1" s="1"/>
  <c r="H517" i="1" s="1"/>
  <c r="H518" i="1" s="1"/>
  <c r="H519" i="1" s="1"/>
  <c r="H520" i="1" s="1"/>
  <c r="H521" i="1" s="1"/>
  <c r="H522" i="1" s="1"/>
  <c r="H523" i="1" s="1"/>
  <c r="H524" i="1" s="1"/>
  <c r="H525" i="1" s="1"/>
  <c r="H526" i="1" s="1"/>
  <c r="H527" i="1" s="1"/>
  <c r="H528" i="1" s="1"/>
  <c r="H529" i="1" s="1"/>
  <c r="H530" i="1" s="1"/>
  <c r="Y509" i="1"/>
  <c r="Y510" i="1" s="1"/>
  <c r="Y511" i="1" s="1"/>
  <c r="Y512" i="1" s="1"/>
  <c r="Y513" i="1" s="1"/>
  <c r="Y514" i="1" s="1"/>
  <c r="Y515" i="1" s="1"/>
  <c r="Y516" i="1" s="1"/>
  <c r="Y517" i="1" s="1"/>
  <c r="Y518" i="1" s="1"/>
  <c r="Y519" i="1" s="1"/>
  <c r="Y520" i="1" s="1"/>
  <c r="Y521" i="1" s="1"/>
  <c r="Y522" i="1" s="1"/>
  <c r="Y523" i="1" s="1"/>
  <c r="Y524" i="1" s="1"/>
  <c r="Y525" i="1" s="1"/>
  <c r="Y526" i="1" s="1"/>
  <c r="Y527" i="1" s="1"/>
  <c r="Y528" i="1" s="1"/>
  <c r="Y529" i="1" s="1"/>
  <c r="Q509" i="1"/>
  <c r="R509" i="1" s="1"/>
  <c r="S509" i="1" s="1"/>
  <c r="I509" i="1"/>
  <c r="H509" i="1"/>
  <c r="Q508" i="1"/>
  <c r="R508" i="1" s="1"/>
  <c r="S508" i="1" s="1"/>
  <c r="Q507" i="1"/>
  <c r="R507" i="1" s="1"/>
  <c r="S507" i="1" s="1"/>
  <c r="Q506" i="1"/>
  <c r="R506" i="1" s="1"/>
  <c r="S506" i="1" s="1"/>
  <c r="Q505" i="1"/>
  <c r="R505" i="1" s="1"/>
  <c r="S505" i="1" s="1"/>
  <c r="Q504" i="1"/>
  <c r="R504" i="1" s="1"/>
  <c r="S504" i="1" s="1"/>
  <c r="T504" i="1" s="1"/>
  <c r="O504" i="1"/>
  <c r="O505" i="1" s="1"/>
  <c r="Q503" i="1"/>
  <c r="R503" i="1" s="1"/>
  <c r="S503" i="1" s="1"/>
  <c r="R502" i="1"/>
  <c r="S502" i="1" s="1"/>
  <c r="Q502" i="1"/>
  <c r="Q501" i="1"/>
  <c r="R501" i="1" s="1"/>
  <c r="S501" i="1" s="1"/>
  <c r="Q500" i="1"/>
  <c r="R500" i="1" s="1"/>
  <c r="S500" i="1" s="1"/>
  <c r="Q499" i="1"/>
  <c r="R499" i="1" s="1"/>
  <c r="S499" i="1" s="1"/>
  <c r="Q498" i="1"/>
  <c r="R498" i="1" s="1"/>
  <c r="S498" i="1" s="1"/>
  <c r="Q497" i="1"/>
  <c r="R497" i="1" s="1"/>
  <c r="S497" i="1" s="1"/>
  <c r="Q496" i="1"/>
  <c r="R496" i="1" s="1"/>
  <c r="S496" i="1" s="1"/>
  <c r="I496" i="1"/>
  <c r="Q495" i="1"/>
  <c r="R495" i="1" s="1"/>
  <c r="S495" i="1" s="1"/>
  <c r="Z494" i="1"/>
  <c r="Q494" i="1"/>
  <c r="R494" i="1" s="1"/>
  <c r="S494" i="1" s="1"/>
  <c r="I494" i="1"/>
  <c r="Q493" i="1"/>
  <c r="R493" i="1" s="1"/>
  <c r="S493" i="1" s="1"/>
  <c r="T493" i="1" s="1"/>
  <c r="O493" i="1"/>
  <c r="Y492" i="1"/>
  <c r="Y493" i="1" s="1"/>
  <c r="Y494" i="1" s="1"/>
  <c r="Y495" i="1" s="1"/>
  <c r="Y496" i="1" s="1"/>
  <c r="Y497" i="1" s="1"/>
  <c r="Y498" i="1" s="1"/>
  <c r="Q492" i="1"/>
  <c r="R492" i="1" s="1"/>
  <c r="S492" i="1" s="1"/>
  <c r="I492" i="1"/>
  <c r="H492" i="1"/>
  <c r="H493" i="1" s="1"/>
  <c r="H494" i="1" s="1"/>
  <c r="H495" i="1" s="1"/>
  <c r="H496" i="1" s="1"/>
  <c r="H497" i="1" s="1"/>
  <c r="H498" i="1" s="1"/>
  <c r="H499" i="1" s="1"/>
  <c r="H500" i="1" s="1"/>
  <c r="H501" i="1" s="1"/>
  <c r="H502" i="1" s="1"/>
  <c r="H503" i="1" s="1"/>
  <c r="H504" i="1" s="1"/>
  <c r="H505" i="1" s="1"/>
  <c r="H506" i="1" s="1"/>
  <c r="H507" i="1" s="1"/>
  <c r="Q491" i="1"/>
  <c r="R491" i="1" s="1"/>
  <c r="S491" i="1" s="1"/>
  <c r="R490" i="1"/>
  <c r="S490" i="1" s="1"/>
  <c r="R489" i="1"/>
  <c r="S489" i="1" s="1"/>
  <c r="R488" i="1"/>
  <c r="S488" i="1" s="1"/>
  <c r="R487" i="1"/>
  <c r="S487" i="1" s="1"/>
  <c r="R486" i="1"/>
  <c r="S486" i="1" s="1"/>
  <c r="R485" i="1"/>
  <c r="S485" i="1" s="1"/>
  <c r="R484" i="1"/>
  <c r="S484" i="1" s="1"/>
  <c r="O484" i="1"/>
  <c r="O485" i="1" s="1"/>
  <c r="O486" i="1" s="1"/>
  <c r="R483" i="1"/>
  <c r="S483" i="1" s="1"/>
  <c r="T483" i="1" s="1"/>
  <c r="T484" i="1" s="1"/>
  <c r="O483" i="1"/>
  <c r="R482" i="1"/>
  <c r="S482" i="1" s="1"/>
  <c r="R481" i="1"/>
  <c r="S481" i="1" s="1"/>
  <c r="S480" i="1"/>
  <c r="R480" i="1"/>
  <c r="R479" i="1"/>
  <c r="S479" i="1" s="1"/>
  <c r="R478" i="1"/>
  <c r="S478" i="1" s="1"/>
  <c r="R477" i="1"/>
  <c r="S477" i="1" s="1"/>
  <c r="R476" i="1"/>
  <c r="S476" i="1" s="1"/>
  <c r="R475" i="1"/>
  <c r="S475" i="1" s="1"/>
  <c r="I475" i="1"/>
  <c r="S474" i="1"/>
  <c r="R474" i="1"/>
  <c r="Z473" i="1"/>
  <c r="R473" i="1"/>
  <c r="S473" i="1" s="1"/>
  <c r="I473" i="1"/>
  <c r="R472" i="1"/>
  <c r="S472" i="1" s="1"/>
  <c r="Y471" i="1"/>
  <c r="Y472" i="1" s="1"/>
  <c r="Y473" i="1" s="1"/>
  <c r="Y474" i="1" s="1"/>
  <c r="Y475" i="1" s="1"/>
  <c r="Y476" i="1" s="1"/>
  <c r="Y477" i="1" s="1"/>
  <c r="Y478" i="1" s="1"/>
  <c r="Y479" i="1" s="1"/>
  <c r="Y480" i="1" s="1"/>
  <c r="Y481" i="1" s="1"/>
  <c r="Y482" i="1" s="1"/>
  <c r="Y483" i="1" s="1"/>
  <c r="Y484" i="1" s="1"/>
  <c r="Y485" i="1" s="1"/>
  <c r="Y486" i="1" s="1"/>
  <c r="Y487" i="1" s="1"/>
  <c r="Y488" i="1" s="1"/>
  <c r="Y489" i="1" s="1"/>
  <c r="Y490" i="1" s="1"/>
  <c r="R471" i="1"/>
  <c r="S471" i="1" s="1"/>
  <c r="I471" i="1"/>
  <c r="H471" i="1"/>
  <c r="H472" i="1" s="1"/>
  <c r="H473" i="1" s="1"/>
  <c r="H474" i="1" s="1"/>
  <c r="H475" i="1" s="1"/>
  <c r="H476" i="1" s="1"/>
  <c r="H477" i="1" s="1"/>
  <c r="H478" i="1" s="1"/>
  <c r="H479" i="1" s="1"/>
  <c r="H480" i="1" s="1"/>
  <c r="H481" i="1" s="1"/>
  <c r="H482" i="1" s="1"/>
  <c r="H483" i="1" s="1"/>
  <c r="H484" i="1" s="1"/>
  <c r="H485" i="1" s="1"/>
  <c r="H486" i="1" s="1"/>
  <c r="H487" i="1" s="1"/>
  <c r="H488" i="1" s="1"/>
  <c r="H489" i="1" s="1"/>
  <c r="H490" i="1" s="1"/>
  <c r="R470" i="1"/>
  <c r="S470" i="1" s="1"/>
  <c r="R469" i="1"/>
  <c r="S469" i="1" s="1"/>
  <c r="S468" i="1"/>
  <c r="R468" i="1"/>
  <c r="R467" i="1"/>
  <c r="S467" i="1" s="1"/>
  <c r="R466" i="1"/>
  <c r="S466" i="1" s="1"/>
  <c r="R465" i="1"/>
  <c r="S465" i="1" s="1"/>
  <c r="R464" i="1"/>
  <c r="S464" i="1" s="1"/>
  <c r="R463" i="1"/>
  <c r="S463" i="1" s="1"/>
  <c r="R462" i="1"/>
  <c r="S462" i="1" s="1"/>
  <c r="R461" i="1"/>
  <c r="S461" i="1" s="1"/>
  <c r="R460" i="1"/>
  <c r="S460" i="1" s="1"/>
  <c r="R459" i="1"/>
  <c r="S459" i="1" s="1"/>
  <c r="R458" i="1"/>
  <c r="S458" i="1" s="1"/>
  <c r="R457" i="1"/>
  <c r="S457" i="1" s="1"/>
  <c r="R456" i="1"/>
  <c r="S456" i="1" s="1"/>
  <c r="R455" i="1"/>
  <c r="S455" i="1" s="1"/>
  <c r="R454" i="1"/>
  <c r="S454" i="1" s="1"/>
  <c r="I454" i="1"/>
  <c r="R453" i="1"/>
  <c r="S453" i="1" s="1"/>
  <c r="Z452" i="1"/>
  <c r="R452" i="1"/>
  <c r="S452" i="1" s="1"/>
  <c r="I452" i="1"/>
  <c r="R451" i="1"/>
  <c r="S451" i="1" s="1"/>
  <c r="Y450" i="1"/>
  <c r="Y451" i="1" s="1"/>
  <c r="Y452" i="1" s="1"/>
  <c r="Y453" i="1" s="1"/>
  <c r="Y454" i="1" s="1"/>
  <c r="Y455" i="1" s="1"/>
  <c r="Y456" i="1" s="1"/>
  <c r="Y457" i="1" s="1"/>
  <c r="Y458" i="1" s="1"/>
  <c r="Y459" i="1" s="1"/>
  <c r="Y460" i="1" s="1"/>
  <c r="Y461" i="1" s="1"/>
  <c r="Y462" i="1" s="1"/>
  <c r="Y463" i="1" s="1"/>
  <c r="Y464" i="1" s="1"/>
  <c r="Y465" i="1" s="1"/>
  <c r="Y466" i="1" s="1"/>
  <c r="Y467" i="1" s="1"/>
  <c r="Y468" i="1" s="1"/>
  <c r="Y469" i="1" s="1"/>
  <c r="R450" i="1"/>
  <c r="S450" i="1" s="1"/>
  <c r="I450" i="1"/>
  <c r="H450" i="1"/>
  <c r="H451" i="1" s="1"/>
  <c r="H452" i="1" s="1"/>
  <c r="H453" i="1" s="1"/>
  <c r="H454" i="1" s="1"/>
  <c r="H455" i="1" s="1"/>
  <c r="H456" i="1" s="1"/>
  <c r="H457" i="1" s="1"/>
  <c r="H458" i="1" s="1"/>
  <c r="H459" i="1" s="1"/>
  <c r="H460" i="1" s="1"/>
  <c r="H461" i="1" s="1"/>
  <c r="H462" i="1" s="1"/>
  <c r="H463" i="1" s="1"/>
  <c r="H464" i="1" s="1"/>
  <c r="H465" i="1" s="1"/>
  <c r="H466" i="1" s="1"/>
  <c r="H467" i="1" s="1"/>
  <c r="H468" i="1" s="1"/>
  <c r="H469" i="1" s="1"/>
  <c r="R449" i="1"/>
  <c r="S449" i="1" s="1"/>
  <c r="Q448" i="1"/>
  <c r="R448" i="1" s="1"/>
  <c r="S448" i="1" s="1"/>
  <c r="Q447" i="1"/>
  <c r="R447" i="1" s="1"/>
  <c r="S447" i="1" s="1"/>
  <c r="Q446" i="1"/>
  <c r="R446" i="1" s="1"/>
  <c r="S446" i="1" s="1"/>
  <c r="Q445" i="1"/>
  <c r="R445" i="1" s="1"/>
  <c r="S445" i="1" s="1"/>
  <c r="Q444" i="1"/>
  <c r="R444" i="1" s="1"/>
  <c r="S444" i="1" s="1"/>
  <c r="Q443" i="1"/>
  <c r="R443" i="1" s="1"/>
  <c r="S443" i="1" s="1"/>
  <c r="Q442" i="1"/>
  <c r="R442" i="1" s="1"/>
  <c r="S442" i="1" s="1"/>
  <c r="Q441" i="1"/>
  <c r="R441" i="1" s="1"/>
  <c r="S441" i="1" s="1"/>
  <c r="Q440" i="1"/>
  <c r="R440" i="1" s="1"/>
  <c r="S440" i="1" s="1"/>
  <c r="Q439" i="1"/>
  <c r="R439" i="1" s="1"/>
  <c r="S439" i="1" s="1"/>
  <c r="Q438" i="1"/>
  <c r="R438" i="1" s="1"/>
  <c r="S438" i="1" s="1"/>
  <c r="Q437" i="1"/>
  <c r="R437" i="1" s="1"/>
  <c r="S437" i="1" s="1"/>
  <c r="Q436" i="1"/>
  <c r="R436" i="1" s="1"/>
  <c r="S436" i="1" s="1"/>
  <c r="Q435" i="1"/>
  <c r="R435" i="1" s="1"/>
  <c r="S435" i="1" s="1"/>
  <c r="Q434" i="1"/>
  <c r="R434" i="1" s="1"/>
  <c r="S434" i="1" s="1"/>
  <c r="Q433" i="1"/>
  <c r="R433" i="1" s="1"/>
  <c r="S433" i="1" s="1"/>
  <c r="Q432" i="1"/>
  <c r="R432" i="1" s="1"/>
  <c r="S432" i="1" s="1"/>
  <c r="Q431" i="1"/>
  <c r="R431" i="1" s="1"/>
  <c r="S431" i="1" s="1"/>
  <c r="Q430" i="1"/>
  <c r="R430" i="1" s="1"/>
  <c r="S430" i="1" s="1"/>
  <c r="Q429" i="1"/>
  <c r="R429" i="1" s="1"/>
  <c r="S429" i="1" s="1"/>
  <c r="Q428" i="1"/>
  <c r="R428" i="1" s="1"/>
  <c r="S428" i="1" s="1"/>
  <c r="Q427" i="1"/>
  <c r="R427" i="1" s="1"/>
  <c r="S427" i="1" s="1"/>
  <c r="Q426" i="1"/>
  <c r="R426" i="1" s="1"/>
  <c r="S426" i="1" s="1"/>
  <c r="Q425" i="1"/>
  <c r="R425" i="1" s="1"/>
  <c r="S425" i="1" s="1"/>
  <c r="Q424" i="1"/>
  <c r="R424" i="1" s="1"/>
  <c r="S424" i="1" s="1"/>
  <c r="Q423" i="1"/>
  <c r="R423" i="1" s="1"/>
  <c r="S423" i="1" s="1"/>
  <c r="Q422" i="1"/>
  <c r="R422" i="1" s="1"/>
  <c r="S422" i="1" s="1"/>
  <c r="Q421" i="1"/>
  <c r="R421" i="1" s="1"/>
  <c r="S421" i="1" s="1"/>
  <c r="Q420" i="1"/>
  <c r="R420" i="1" s="1"/>
  <c r="S420" i="1" s="1"/>
  <c r="Q419" i="1"/>
  <c r="R419" i="1" s="1"/>
  <c r="S419" i="1" s="1"/>
  <c r="Q418" i="1"/>
  <c r="R418" i="1" s="1"/>
  <c r="S418" i="1" s="1"/>
  <c r="Q417" i="1"/>
  <c r="R417" i="1" s="1"/>
  <c r="S417" i="1" s="1"/>
  <c r="R416" i="1"/>
  <c r="S416" i="1" s="1"/>
  <c r="Q416" i="1"/>
  <c r="Q415" i="1"/>
  <c r="R415" i="1" s="1"/>
  <c r="S415" i="1" s="1"/>
  <c r="Q414" i="1"/>
  <c r="R414" i="1" s="1"/>
  <c r="S414" i="1" s="1"/>
  <c r="Q413" i="1"/>
  <c r="R413" i="1" s="1"/>
  <c r="S413" i="1" s="1"/>
  <c r="Q412" i="1"/>
  <c r="R412" i="1" s="1"/>
  <c r="S412" i="1" s="1"/>
  <c r="Q411" i="1"/>
  <c r="R411" i="1" s="1"/>
  <c r="S411" i="1" s="1"/>
  <c r="Q410" i="1"/>
  <c r="R410" i="1" s="1"/>
  <c r="S410" i="1" s="1"/>
  <c r="Q409" i="1"/>
  <c r="R409" i="1" s="1"/>
  <c r="S409" i="1" s="1"/>
  <c r="Q408" i="1"/>
  <c r="R408" i="1" s="1"/>
  <c r="S408" i="1" s="1"/>
  <c r="Q407" i="1"/>
  <c r="R407" i="1" s="1"/>
  <c r="S407" i="1" s="1"/>
  <c r="Q406" i="1"/>
  <c r="R406" i="1" s="1"/>
  <c r="S406" i="1" s="1"/>
  <c r="Q405" i="1"/>
  <c r="R405" i="1" s="1"/>
  <c r="S405" i="1" s="1"/>
  <c r="Q404" i="1"/>
  <c r="R404" i="1" s="1"/>
  <c r="S404" i="1" s="1"/>
  <c r="Q403" i="1"/>
  <c r="R403" i="1" s="1"/>
  <c r="S403" i="1" s="1"/>
  <c r="H403" i="1"/>
  <c r="H404" i="1" s="1"/>
  <c r="H405" i="1" s="1"/>
  <c r="H406" i="1" s="1"/>
  <c r="H407" i="1" s="1"/>
  <c r="H408" i="1" s="1"/>
  <c r="H409" i="1" s="1"/>
  <c r="H410" i="1" s="1"/>
  <c r="H411" i="1" s="1"/>
  <c r="H412" i="1" s="1"/>
  <c r="H413" i="1" s="1"/>
  <c r="H414" i="1" s="1"/>
  <c r="H415" i="1" s="1"/>
  <c r="H416" i="1" s="1"/>
  <c r="H417" i="1" s="1"/>
  <c r="H418" i="1" s="1"/>
  <c r="H419" i="1" s="1"/>
  <c r="H420" i="1" s="1"/>
  <c r="H421" i="1" s="1"/>
  <c r="H422" i="1" s="1"/>
  <c r="H423" i="1" s="1"/>
  <c r="H424" i="1" s="1"/>
  <c r="H425" i="1" s="1"/>
  <c r="H426" i="1" s="1"/>
  <c r="H427" i="1" s="1"/>
  <c r="H428" i="1" s="1"/>
  <c r="H429" i="1" s="1"/>
  <c r="H430" i="1" s="1"/>
  <c r="H431" i="1" s="1"/>
  <c r="H432" i="1" s="1"/>
  <c r="H433" i="1" s="1"/>
  <c r="H434" i="1" s="1"/>
  <c r="H435" i="1" s="1"/>
  <c r="H436" i="1" s="1"/>
  <c r="H437" i="1" s="1"/>
  <c r="H438" i="1" s="1"/>
  <c r="H439" i="1" s="1"/>
  <c r="H440" i="1" s="1"/>
  <c r="H441" i="1" s="1"/>
  <c r="H442" i="1" s="1"/>
  <c r="H443" i="1" s="1"/>
  <c r="H444" i="1" s="1"/>
  <c r="H445" i="1" s="1"/>
  <c r="H446" i="1" s="1"/>
  <c r="H447" i="1" s="1"/>
  <c r="H448" i="1" s="1"/>
  <c r="G403" i="1"/>
  <c r="G404" i="1" s="1"/>
  <c r="G405" i="1" s="1"/>
  <c r="G406" i="1" s="1"/>
  <c r="G407" i="1" s="1"/>
  <c r="G408" i="1" s="1"/>
  <c r="G409" i="1" s="1"/>
  <c r="G410" i="1" s="1"/>
  <c r="G411" i="1" s="1"/>
  <c r="G412" i="1" s="1"/>
  <c r="G413" i="1" s="1"/>
  <c r="G414" i="1" s="1"/>
  <c r="G415" i="1" s="1"/>
  <c r="G416" i="1" s="1"/>
  <c r="G417" i="1" s="1"/>
  <c r="G418" i="1" s="1"/>
  <c r="G419" i="1" s="1"/>
  <c r="G420" i="1" s="1"/>
  <c r="G421" i="1" s="1"/>
  <c r="G422" i="1" s="1"/>
  <c r="G423" i="1" s="1"/>
  <c r="G424" i="1" s="1"/>
  <c r="G425" i="1" s="1"/>
  <c r="G426" i="1" s="1"/>
  <c r="G427" i="1" s="1"/>
  <c r="G428" i="1" s="1"/>
  <c r="G429" i="1" s="1"/>
  <c r="G430" i="1" s="1"/>
  <c r="G431" i="1" s="1"/>
  <c r="G432" i="1" s="1"/>
  <c r="G433" i="1" s="1"/>
  <c r="G434" i="1" s="1"/>
  <c r="G435" i="1" s="1"/>
  <c r="G436" i="1" s="1"/>
  <c r="G437" i="1" s="1"/>
  <c r="G438" i="1" s="1"/>
  <c r="G439" i="1" s="1"/>
  <c r="G440" i="1" s="1"/>
  <c r="G441" i="1" s="1"/>
  <c r="G442" i="1" s="1"/>
  <c r="G443" i="1" s="1"/>
  <c r="G444" i="1" s="1"/>
  <c r="G445" i="1" s="1"/>
  <c r="G446" i="1" s="1"/>
  <c r="G447" i="1" s="1"/>
  <c r="G448" i="1" s="1"/>
  <c r="G449" i="1" s="1"/>
  <c r="G450" i="1" s="1"/>
  <c r="G451" i="1" s="1"/>
  <c r="G452" i="1" s="1"/>
  <c r="G453" i="1" s="1"/>
  <c r="G454" i="1" s="1"/>
  <c r="G455" i="1" s="1"/>
  <c r="G456" i="1" s="1"/>
  <c r="G457" i="1" s="1"/>
  <c r="G458" i="1" s="1"/>
  <c r="G459" i="1" s="1"/>
  <c r="G460" i="1" s="1"/>
  <c r="G461" i="1" s="1"/>
  <c r="G462" i="1" s="1"/>
  <c r="G463" i="1" s="1"/>
  <c r="G464" i="1" s="1"/>
  <c r="G465" i="1" s="1"/>
  <c r="G466" i="1" s="1"/>
  <c r="G467" i="1" s="1"/>
  <c r="G468" i="1" s="1"/>
  <c r="G469" i="1" s="1"/>
  <c r="G470" i="1" s="1"/>
  <c r="G471" i="1" s="1"/>
  <c r="G472" i="1" s="1"/>
  <c r="G473" i="1" s="1"/>
  <c r="G474" i="1" s="1"/>
  <c r="G475" i="1" s="1"/>
  <c r="G476" i="1" s="1"/>
  <c r="G477" i="1" s="1"/>
  <c r="G478" i="1" s="1"/>
  <c r="G479" i="1" s="1"/>
  <c r="G480" i="1" s="1"/>
  <c r="G481" i="1" s="1"/>
  <c r="G482" i="1" s="1"/>
  <c r="G483" i="1" s="1"/>
  <c r="G484" i="1" s="1"/>
  <c r="G485" i="1" s="1"/>
  <c r="G486" i="1" s="1"/>
  <c r="G487" i="1" s="1"/>
  <c r="G488" i="1" s="1"/>
  <c r="G489" i="1" s="1"/>
  <c r="G490" i="1" s="1"/>
  <c r="G491" i="1" s="1"/>
  <c r="G492" i="1" s="1"/>
  <c r="G493" i="1" s="1"/>
  <c r="G494" i="1" s="1"/>
  <c r="G495" i="1" s="1"/>
  <c r="G496" i="1" s="1"/>
  <c r="G497" i="1" s="1"/>
  <c r="G498" i="1" s="1"/>
  <c r="G499" i="1" s="1"/>
  <c r="G500" i="1" s="1"/>
  <c r="G501" i="1" s="1"/>
  <c r="G502" i="1" s="1"/>
  <c r="G503" i="1" s="1"/>
  <c r="G504" i="1" s="1"/>
  <c r="G505" i="1" s="1"/>
  <c r="G506" i="1" s="1"/>
  <c r="G507" i="1" s="1"/>
  <c r="G508" i="1" s="1"/>
  <c r="G509" i="1" s="1"/>
  <c r="G510" i="1" s="1"/>
  <c r="G511" i="1" s="1"/>
  <c r="G512" i="1" s="1"/>
  <c r="G513" i="1" s="1"/>
  <c r="G514" i="1" s="1"/>
  <c r="G515" i="1" s="1"/>
  <c r="G516" i="1" s="1"/>
  <c r="G517" i="1" s="1"/>
  <c r="G518" i="1" s="1"/>
  <c r="G519" i="1" s="1"/>
  <c r="G520" i="1" s="1"/>
  <c r="G521" i="1" s="1"/>
  <c r="G522" i="1" s="1"/>
  <c r="G523" i="1" s="1"/>
  <c r="G524" i="1" s="1"/>
  <c r="G525" i="1" s="1"/>
  <c r="G526" i="1" s="1"/>
  <c r="G527" i="1" s="1"/>
  <c r="G528" i="1" s="1"/>
  <c r="G529" i="1" s="1"/>
  <c r="G530" i="1" s="1"/>
  <c r="Q402" i="1"/>
  <c r="R402" i="1" s="1"/>
  <c r="S402" i="1" s="1"/>
  <c r="Q401" i="1"/>
  <c r="R401" i="1" s="1"/>
  <c r="S401" i="1" s="1"/>
  <c r="Q400" i="1"/>
  <c r="R400" i="1" s="1"/>
  <c r="S400" i="1" s="1"/>
  <c r="Q399" i="1"/>
  <c r="R399" i="1" s="1"/>
  <c r="S399" i="1" s="1"/>
  <c r="R398" i="1"/>
  <c r="S398" i="1" s="1"/>
  <c r="Q398" i="1"/>
  <c r="Q397" i="1"/>
  <c r="R397" i="1" s="1"/>
  <c r="S397" i="1" s="1"/>
  <c r="Q396" i="1"/>
  <c r="R396" i="1" s="1"/>
  <c r="S396" i="1" s="1"/>
  <c r="Q395" i="1"/>
  <c r="R395" i="1" s="1"/>
  <c r="S395" i="1" s="1"/>
  <c r="H395" i="1"/>
  <c r="H396" i="1" s="1"/>
  <c r="H397" i="1" s="1"/>
  <c r="H398" i="1" s="1"/>
  <c r="H399" i="1" s="1"/>
  <c r="H400" i="1" s="1"/>
  <c r="H401" i="1" s="1"/>
  <c r="G395" i="1"/>
  <c r="G396" i="1" s="1"/>
  <c r="G397" i="1" s="1"/>
  <c r="G398" i="1" s="1"/>
  <c r="G399" i="1" s="1"/>
  <c r="G400" i="1" s="1"/>
  <c r="G401" i="1" s="1"/>
  <c r="Q394" i="1"/>
  <c r="R394" i="1" s="1"/>
  <c r="S394" i="1" s="1"/>
  <c r="Q393" i="1"/>
  <c r="R393" i="1" s="1"/>
  <c r="S393" i="1" s="1"/>
  <c r="Q392" i="1"/>
  <c r="R392" i="1" s="1"/>
  <c r="S392" i="1" s="1"/>
  <c r="Q391" i="1"/>
  <c r="R391" i="1" s="1"/>
  <c r="S391" i="1" s="1"/>
  <c r="Q390" i="1"/>
  <c r="R390" i="1" s="1"/>
  <c r="S390" i="1" s="1"/>
  <c r="Q389" i="1"/>
  <c r="R389" i="1" s="1"/>
  <c r="S389" i="1" s="1"/>
  <c r="Q388" i="1"/>
  <c r="R388" i="1" s="1"/>
  <c r="S388" i="1" s="1"/>
  <c r="Q387" i="1"/>
  <c r="R387" i="1" s="1"/>
  <c r="S387" i="1" s="1"/>
  <c r="Q386" i="1"/>
  <c r="R386" i="1" s="1"/>
  <c r="S386" i="1" s="1"/>
  <c r="Q385" i="1"/>
  <c r="R385" i="1" s="1"/>
  <c r="S385" i="1" s="1"/>
  <c r="Q384" i="1"/>
  <c r="R384" i="1" s="1"/>
  <c r="S384" i="1" s="1"/>
  <c r="Q383" i="1"/>
  <c r="R383" i="1" s="1"/>
  <c r="S383" i="1" s="1"/>
  <c r="Q382" i="1"/>
  <c r="R382" i="1" s="1"/>
  <c r="S382" i="1" s="1"/>
  <c r="Q381" i="1"/>
  <c r="R381" i="1" s="1"/>
  <c r="S381" i="1" s="1"/>
  <c r="I381" i="1"/>
  <c r="Q380" i="1"/>
  <c r="R380" i="1" s="1"/>
  <c r="S380" i="1" s="1"/>
  <c r="Z379" i="1"/>
  <c r="Q379" i="1"/>
  <c r="R379" i="1" s="1"/>
  <c r="S379" i="1" s="1"/>
  <c r="I379" i="1"/>
  <c r="Q378" i="1"/>
  <c r="R378" i="1" s="1"/>
  <c r="S378" i="1" s="1"/>
  <c r="Y377" i="1"/>
  <c r="Y378" i="1" s="1"/>
  <c r="Y379" i="1" s="1"/>
  <c r="Y380" i="1" s="1"/>
  <c r="Y381" i="1" s="1"/>
  <c r="Y382" i="1" s="1"/>
  <c r="Y383" i="1" s="1"/>
  <c r="Y384" i="1" s="1"/>
  <c r="Y385" i="1" s="1"/>
  <c r="Y386" i="1" s="1"/>
  <c r="Y387" i="1" s="1"/>
  <c r="Y388" i="1" s="1"/>
  <c r="Y389" i="1" s="1"/>
  <c r="Y390" i="1" s="1"/>
  <c r="Y391" i="1" s="1"/>
  <c r="Y392" i="1" s="1"/>
  <c r="Y393" i="1" s="1"/>
  <c r="Y394" i="1" s="1"/>
  <c r="Y395" i="1" s="1"/>
  <c r="Y396" i="1" s="1"/>
  <c r="Y397" i="1" s="1"/>
  <c r="Y398" i="1" s="1"/>
  <c r="Y399" i="1" s="1"/>
  <c r="Y400" i="1" s="1"/>
  <c r="Y401" i="1" s="1"/>
  <c r="Y402" i="1" s="1"/>
  <c r="Y403" i="1" s="1"/>
  <c r="Y404" i="1" s="1"/>
  <c r="Y405" i="1" s="1"/>
  <c r="Y406" i="1" s="1"/>
  <c r="Y407" i="1" s="1"/>
  <c r="Y408" i="1" s="1"/>
  <c r="Y409" i="1" s="1"/>
  <c r="Y410" i="1" s="1"/>
  <c r="Y411" i="1" s="1"/>
  <c r="Y412" i="1" s="1"/>
  <c r="Y413" i="1" s="1"/>
  <c r="Y414" i="1" s="1"/>
  <c r="Y415" i="1" s="1"/>
  <c r="Y416" i="1" s="1"/>
  <c r="Y417" i="1" s="1"/>
  <c r="Y418" i="1" s="1"/>
  <c r="Y419" i="1" s="1"/>
  <c r="Y420" i="1" s="1"/>
  <c r="Y421" i="1" s="1"/>
  <c r="Y422" i="1" s="1"/>
  <c r="Y423" i="1" s="1"/>
  <c r="Y424" i="1" s="1"/>
  <c r="Y425" i="1" s="1"/>
  <c r="Y426" i="1" s="1"/>
  <c r="Y427" i="1" s="1"/>
  <c r="Y428" i="1" s="1"/>
  <c r="Y429" i="1" s="1"/>
  <c r="Y430" i="1" s="1"/>
  <c r="Y431" i="1" s="1"/>
  <c r="Y432" i="1" s="1"/>
  <c r="Y433" i="1" s="1"/>
  <c r="Y434" i="1" s="1"/>
  <c r="Y435" i="1" s="1"/>
  <c r="Y436" i="1" s="1"/>
  <c r="Y437" i="1" s="1"/>
  <c r="Y438" i="1" s="1"/>
  <c r="Y439" i="1" s="1"/>
  <c r="Y440" i="1" s="1"/>
  <c r="Y441" i="1" s="1"/>
  <c r="Y442" i="1" s="1"/>
  <c r="Y443" i="1" s="1"/>
  <c r="Y444" i="1" s="1"/>
  <c r="Y445" i="1" s="1"/>
  <c r="Y446" i="1" s="1"/>
  <c r="Y447" i="1" s="1"/>
  <c r="Y448" i="1" s="1"/>
  <c r="Q377" i="1"/>
  <c r="R377" i="1" s="1"/>
  <c r="S377" i="1" s="1"/>
  <c r="I377" i="1"/>
  <c r="H377" i="1"/>
  <c r="H378" i="1" s="1"/>
  <c r="H379" i="1" s="1"/>
  <c r="H380" i="1" s="1"/>
  <c r="H381" i="1" s="1"/>
  <c r="H382" i="1" s="1"/>
  <c r="H383" i="1" s="1"/>
  <c r="H384" i="1" s="1"/>
  <c r="H385" i="1" s="1"/>
  <c r="H386" i="1" s="1"/>
  <c r="H387" i="1" s="1"/>
  <c r="H388" i="1" s="1"/>
  <c r="H389" i="1" s="1"/>
  <c r="H390" i="1" s="1"/>
  <c r="H391" i="1" s="1"/>
  <c r="Q376" i="1"/>
  <c r="R376" i="1" s="1"/>
  <c r="S376" i="1" s="1"/>
  <c r="R375" i="1"/>
  <c r="S375" i="1" s="1"/>
  <c r="R374" i="1"/>
  <c r="S374" i="1" s="1"/>
  <c r="R373" i="1"/>
  <c r="S373" i="1" s="1"/>
  <c r="R372" i="1"/>
  <c r="S372" i="1" s="1"/>
  <c r="R371" i="1"/>
  <c r="S371" i="1" s="1"/>
  <c r="R370" i="1"/>
  <c r="S370" i="1" s="1"/>
  <c r="R369" i="1"/>
  <c r="S369" i="1" s="1"/>
  <c r="R368" i="1"/>
  <c r="S368" i="1" s="1"/>
  <c r="S367" i="1"/>
  <c r="R367" i="1"/>
  <c r="R366" i="1"/>
  <c r="S366" i="1" s="1"/>
  <c r="H366" i="1"/>
  <c r="H367" i="1" s="1"/>
  <c r="H368" i="1" s="1"/>
  <c r="H369" i="1" s="1"/>
  <c r="H370" i="1" s="1"/>
  <c r="H371" i="1" s="1"/>
  <c r="H372" i="1" s="1"/>
  <c r="H373" i="1" s="1"/>
  <c r="H374" i="1" s="1"/>
  <c r="H375" i="1" s="1"/>
  <c r="G366" i="1"/>
  <c r="G367" i="1" s="1"/>
  <c r="G368" i="1" s="1"/>
  <c r="G369" i="1" s="1"/>
  <c r="G370" i="1" s="1"/>
  <c r="G371" i="1" s="1"/>
  <c r="G372" i="1" s="1"/>
  <c r="G373" i="1" s="1"/>
  <c r="G374" i="1" s="1"/>
  <c r="G375" i="1" s="1"/>
  <c r="G376" i="1" s="1"/>
  <c r="G377" i="1" s="1"/>
  <c r="G378" i="1" s="1"/>
  <c r="G379" i="1" s="1"/>
  <c r="G380" i="1" s="1"/>
  <c r="G381" i="1" s="1"/>
  <c r="G382" i="1" s="1"/>
  <c r="G383" i="1" s="1"/>
  <c r="G384" i="1" s="1"/>
  <c r="G385" i="1" s="1"/>
  <c r="G386" i="1" s="1"/>
  <c r="G387" i="1" s="1"/>
  <c r="G388" i="1" s="1"/>
  <c r="G389" i="1" s="1"/>
  <c r="G390" i="1" s="1"/>
  <c r="G391" i="1" s="1"/>
  <c r="R365" i="1"/>
  <c r="S365" i="1" s="1"/>
  <c r="R364" i="1"/>
  <c r="S364" i="1" s="1"/>
  <c r="R363" i="1"/>
  <c r="S363" i="1" s="1"/>
  <c r="R362" i="1"/>
  <c r="S362" i="1" s="1"/>
  <c r="R361" i="1"/>
  <c r="S361" i="1" s="1"/>
  <c r="R360" i="1"/>
  <c r="S360" i="1" s="1"/>
  <c r="R359" i="1"/>
  <c r="S359" i="1" s="1"/>
  <c r="R358" i="1"/>
  <c r="S358" i="1" s="1"/>
  <c r="R357" i="1"/>
  <c r="S357" i="1" s="1"/>
  <c r="R356" i="1"/>
  <c r="S356" i="1" s="1"/>
  <c r="H356" i="1"/>
  <c r="H357" i="1" s="1"/>
  <c r="H358" i="1" s="1"/>
  <c r="H359" i="1" s="1"/>
  <c r="H360" i="1" s="1"/>
  <c r="H361" i="1" s="1"/>
  <c r="H362" i="1" s="1"/>
  <c r="H363" i="1" s="1"/>
  <c r="H364" i="1" s="1"/>
  <c r="R355" i="1"/>
  <c r="S355" i="1" s="1"/>
  <c r="H355" i="1"/>
  <c r="G355" i="1"/>
  <c r="G356" i="1" s="1"/>
  <c r="G357" i="1" s="1"/>
  <c r="G358" i="1" s="1"/>
  <c r="G359" i="1" s="1"/>
  <c r="G360" i="1" s="1"/>
  <c r="G361" i="1" s="1"/>
  <c r="G362" i="1" s="1"/>
  <c r="G363" i="1" s="1"/>
  <c r="G364" i="1" s="1"/>
  <c r="R354" i="1"/>
  <c r="S354" i="1" s="1"/>
  <c r="R353" i="1"/>
  <c r="S353" i="1" s="1"/>
  <c r="R352" i="1"/>
  <c r="S352" i="1" s="1"/>
  <c r="R351" i="1"/>
  <c r="S351" i="1" s="1"/>
  <c r="R350" i="1"/>
  <c r="S350" i="1" s="1"/>
  <c r="R349" i="1"/>
  <c r="S349" i="1" s="1"/>
  <c r="R348" i="1"/>
  <c r="S348" i="1" s="1"/>
  <c r="R347" i="1"/>
  <c r="S347" i="1" s="1"/>
  <c r="R346" i="1"/>
  <c r="S346" i="1" s="1"/>
  <c r="R345" i="1"/>
  <c r="S345" i="1" s="1"/>
  <c r="R344" i="1"/>
  <c r="S344" i="1" s="1"/>
  <c r="R343" i="1"/>
  <c r="S343" i="1" s="1"/>
  <c r="R342" i="1"/>
  <c r="S342" i="1" s="1"/>
  <c r="R341" i="1"/>
  <c r="S341" i="1" s="1"/>
  <c r="R340" i="1"/>
  <c r="S340" i="1" s="1"/>
  <c r="R339" i="1"/>
  <c r="S339" i="1" s="1"/>
  <c r="R338" i="1"/>
  <c r="S338" i="1" s="1"/>
  <c r="I338" i="1"/>
  <c r="R337" i="1"/>
  <c r="S337" i="1" s="1"/>
  <c r="Z336" i="1"/>
  <c r="R336" i="1"/>
  <c r="S336" i="1" s="1"/>
  <c r="I336" i="1"/>
  <c r="Y335" i="1"/>
  <c r="Y336" i="1" s="1"/>
  <c r="Y337" i="1" s="1"/>
  <c r="Y338" i="1" s="1"/>
  <c r="Y339" i="1" s="1"/>
  <c r="Y340" i="1" s="1"/>
  <c r="Y341" i="1" s="1"/>
  <c r="Y342" i="1" s="1"/>
  <c r="Y343" i="1" s="1"/>
  <c r="Y344" i="1" s="1"/>
  <c r="Y345" i="1" s="1"/>
  <c r="Y346" i="1" s="1"/>
  <c r="Y347" i="1" s="1"/>
  <c r="Y348" i="1" s="1"/>
  <c r="Y349" i="1" s="1"/>
  <c r="Y350" i="1" s="1"/>
  <c r="Y351" i="1" s="1"/>
  <c r="Y352" i="1" s="1"/>
  <c r="Y353" i="1" s="1"/>
  <c r="Y354" i="1" s="1"/>
  <c r="Y355" i="1" s="1"/>
  <c r="Y356" i="1" s="1"/>
  <c r="Y357" i="1" s="1"/>
  <c r="Y358" i="1" s="1"/>
  <c r="Y359" i="1" s="1"/>
  <c r="Y360" i="1" s="1"/>
  <c r="Y361" i="1" s="1"/>
  <c r="Y362" i="1" s="1"/>
  <c r="Y363" i="1" s="1"/>
  <c r="Y364" i="1" s="1"/>
  <c r="Y365" i="1" s="1"/>
  <c r="Y366" i="1" s="1"/>
  <c r="Y367" i="1" s="1"/>
  <c r="Y368" i="1" s="1"/>
  <c r="Y369" i="1" s="1"/>
  <c r="Y370" i="1" s="1"/>
  <c r="Y371" i="1" s="1"/>
  <c r="Y372" i="1" s="1"/>
  <c r="Y373" i="1" s="1"/>
  <c r="Y374" i="1" s="1"/>
  <c r="Y375" i="1" s="1"/>
  <c r="R335" i="1"/>
  <c r="S335" i="1" s="1"/>
  <c r="S334" i="1"/>
  <c r="R334" i="1"/>
  <c r="I334" i="1"/>
  <c r="Y333" i="1"/>
  <c r="Y334" i="1" s="1"/>
  <c r="R333" i="1"/>
  <c r="S333" i="1" s="1"/>
  <c r="H333" i="1"/>
  <c r="H334" i="1" s="1"/>
  <c r="H335" i="1" s="1"/>
  <c r="H336" i="1" s="1"/>
  <c r="H337" i="1" s="1"/>
  <c r="H338" i="1" s="1"/>
  <c r="H339" i="1" s="1"/>
  <c r="H340" i="1" s="1"/>
  <c r="H341" i="1" s="1"/>
  <c r="H342" i="1" s="1"/>
  <c r="H343" i="1" s="1"/>
  <c r="H344" i="1" s="1"/>
  <c r="H345" i="1" s="1"/>
  <c r="H346" i="1" s="1"/>
  <c r="H347" i="1" s="1"/>
  <c r="H348" i="1" s="1"/>
  <c r="H349" i="1" s="1"/>
  <c r="H350" i="1" s="1"/>
  <c r="H351" i="1" s="1"/>
  <c r="H352" i="1" s="1"/>
  <c r="H353" i="1" s="1"/>
  <c r="Q332" i="1"/>
  <c r="R332" i="1" s="1"/>
  <c r="S332" i="1" s="1"/>
  <c r="Q331" i="1"/>
  <c r="R331" i="1" s="1"/>
  <c r="S331" i="1" s="1"/>
  <c r="Q330" i="1"/>
  <c r="R330" i="1" s="1"/>
  <c r="S330" i="1" s="1"/>
  <c r="Q329" i="1"/>
  <c r="R329" i="1" s="1"/>
  <c r="S329" i="1" s="1"/>
  <c r="Q328" i="1"/>
  <c r="R328" i="1" s="1"/>
  <c r="S328" i="1" s="1"/>
  <c r="Q327" i="1"/>
  <c r="R327" i="1" s="1"/>
  <c r="S327" i="1" s="1"/>
  <c r="Q326" i="1"/>
  <c r="R326" i="1" s="1"/>
  <c r="S326" i="1" s="1"/>
  <c r="Q325" i="1"/>
  <c r="R325" i="1" s="1"/>
  <c r="S325" i="1" s="1"/>
  <c r="Q324" i="1"/>
  <c r="R324" i="1" s="1"/>
  <c r="S324" i="1" s="1"/>
  <c r="Q323" i="1"/>
  <c r="R323" i="1" s="1"/>
  <c r="S323" i="1" s="1"/>
  <c r="Q322" i="1"/>
  <c r="R322" i="1" s="1"/>
  <c r="S322" i="1" s="1"/>
  <c r="R321" i="1"/>
  <c r="S321" i="1" s="1"/>
  <c r="Q321" i="1"/>
  <c r="R320" i="1"/>
  <c r="S320" i="1" s="1"/>
  <c r="Q320" i="1"/>
  <c r="Q319" i="1"/>
  <c r="R319" i="1" s="1"/>
  <c r="S319" i="1" s="1"/>
  <c r="Q318" i="1"/>
  <c r="R318" i="1" s="1"/>
  <c r="S318" i="1" s="1"/>
  <c r="Q317" i="1"/>
  <c r="R317" i="1" s="1"/>
  <c r="S317" i="1" s="1"/>
  <c r="Q316" i="1"/>
  <c r="R316" i="1" s="1"/>
  <c r="S316" i="1" s="1"/>
  <c r="Q315" i="1"/>
  <c r="R315" i="1" s="1"/>
  <c r="S315" i="1" s="1"/>
  <c r="Q314" i="1"/>
  <c r="R314" i="1" s="1"/>
  <c r="S314" i="1" s="1"/>
  <c r="Q313" i="1"/>
  <c r="R313" i="1" s="1"/>
  <c r="S313" i="1" s="1"/>
  <c r="Q312" i="1"/>
  <c r="R312" i="1" s="1"/>
  <c r="S312" i="1" s="1"/>
  <c r="Q311" i="1"/>
  <c r="R311" i="1" s="1"/>
  <c r="S311" i="1" s="1"/>
  <c r="Q310" i="1"/>
  <c r="R310" i="1" s="1"/>
  <c r="S310" i="1" s="1"/>
  <c r="Q309" i="1"/>
  <c r="R309" i="1" s="1"/>
  <c r="S309" i="1" s="1"/>
  <c r="R308" i="1"/>
  <c r="S308" i="1" s="1"/>
  <c r="Q308" i="1"/>
  <c r="Q307" i="1"/>
  <c r="R307" i="1" s="1"/>
  <c r="S307" i="1" s="1"/>
  <c r="Q306" i="1"/>
  <c r="R306" i="1" s="1"/>
  <c r="S306" i="1" s="1"/>
  <c r="Q305" i="1"/>
  <c r="R305" i="1" s="1"/>
  <c r="S305" i="1" s="1"/>
  <c r="Q304" i="1"/>
  <c r="R304" i="1" s="1"/>
  <c r="S304" i="1" s="1"/>
  <c r="Q303" i="1"/>
  <c r="R303" i="1" s="1"/>
  <c r="S303" i="1" s="1"/>
  <c r="Q302" i="1"/>
  <c r="R302" i="1" s="1"/>
  <c r="S302" i="1" s="1"/>
  <c r="Q301" i="1"/>
  <c r="R301" i="1" s="1"/>
  <c r="S301" i="1" s="1"/>
  <c r="Q300" i="1"/>
  <c r="R300" i="1" s="1"/>
  <c r="S300" i="1" s="1"/>
  <c r="Q299" i="1"/>
  <c r="R299" i="1" s="1"/>
  <c r="S299" i="1" s="1"/>
  <c r="Q298" i="1"/>
  <c r="R298" i="1" s="1"/>
  <c r="S298" i="1" s="1"/>
  <c r="Q297" i="1"/>
  <c r="R297" i="1" s="1"/>
  <c r="S297" i="1" s="1"/>
  <c r="Q296" i="1"/>
  <c r="R296" i="1" s="1"/>
  <c r="S296" i="1" s="1"/>
  <c r="Q295" i="1"/>
  <c r="R295" i="1" s="1"/>
  <c r="S295" i="1" s="1"/>
  <c r="Q294" i="1"/>
  <c r="R294" i="1" s="1"/>
  <c r="S294" i="1" s="1"/>
  <c r="Q293" i="1"/>
  <c r="R293" i="1" s="1"/>
  <c r="S293" i="1" s="1"/>
  <c r="Q292" i="1"/>
  <c r="R292" i="1" s="1"/>
  <c r="S292" i="1" s="1"/>
  <c r="Q291" i="1"/>
  <c r="R291" i="1" s="1"/>
  <c r="S291" i="1" s="1"/>
  <c r="Q290" i="1"/>
  <c r="R290" i="1" s="1"/>
  <c r="S290" i="1" s="1"/>
  <c r="Q289" i="1"/>
  <c r="R289" i="1" s="1"/>
  <c r="S289" i="1" s="1"/>
  <c r="Q288" i="1"/>
  <c r="R288" i="1" s="1"/>
  <c r="S288" i="1" s="1"/>
  <c r="Q287" i="1"/>
  <c r="R287" i="1" s="1"/>
  <c r="S287" i="1" s="1"/>
  <c r="O287" i="1"/>
  <c r="O288" i="1" s="1"/>
  <c r="O289" i="1" s="1"/>
  <c r="O290" i="1" s="1"/>
  <c r="O291" i="1" s="1"/>
  <c r="O292" i="1" s="1"/>
  <c r="O293" i="1" s="1"/>
  <c r="O294" i="1" s="1"/>
  <c r="O295" i="1" s="1"/>
  <c r="O296" i="1" s="1"/>
  <c r="O297" i="1" s="1"/>
  <c r="O298" i="1" s="1"/>
  <c r="O299" i="1" s="1"/>
  <c r="O300" i="1" s="1"/>
  <c r="O301" i="1" s="1"/>
  <c r="O302" i="1" s="1"/>
  <c r="O303" i="1" s="1"/>
  <c r="O304" i="1" s="1"/>
  <c r="O305" i="1" s="1"/>
  <c r="O306" i="1" s="1"/>
  <c r="O307" i="1" s="1"/>
  <c r="O308" i="1" s="1"/>
  <c r="O309" i="1" s="1"/>
  <c r="O310" i="1" s="1"/>
  <c r="O311" i="1" s="1"/>
  <c r="O312" i="1" s="1"/>
  <c r="O313" i="1" s="1"/>
  <c r="O314" i="1" s="1"/>
  <c r="O315" i="1" s="1"/>
  <c r="O316" i="1" s="1"/>
  <c r="O317" i="1" s="1"/>
  <c r="O318" i="1" s="1"/>
  <c r="O319" i="1" s="1"/>
  <c r="O320" i="1" s="1"/>
  <c r="O321" i="1" s="1"/>
  <c r="O322" i="1" s="1"/>
  <c r="O323" i="1" s="1"/>
  <c r="O324" i="1" s="1"/>
  <c r="O325" i="1" s="1"/>
  <c r="O326" i="1" s="1"/>
  <c r="O327" i="1" s="1"/>
  <c r="O328" i="1" s="1"/>
  <c r="O329" i="1" s="1"/>
  <c r="O330" i="1" s="1"/>
  <c r="O331" i="1" s="1"/>
  <c r="O332" i="1" s="1"/>
  <c r="O333" i="1" s="1"/>
  <c r="O334" i="1" s="1"/>
  <c r="O335" i="1" s="1"/>
  <c r="O336" i="1" s="1"/>
  <c r="O337" i="1" s="1"/>
  <c r="O338" i="1" s="1"/>
  <c r="O339" i="1" s="1"/>
  <c r="O340" i="1" s="1"/>
  <c r="O341" i="1" s="1"/>
  <c r="O342" i="1" s="1"/>
  <c r="O343" i="1" s="1"/>
  <c r="O344" i="1" s="1"/>
  <c r="O345" i="1" s="1"/>
  <c r="O346" i="1" s="1"/>
  <c r="O347" i="1" s="1"/>
  <c r="O348" i="1" s="1"/>
  <c r="O349" i="1" s="1"/>
  <c r="O350" i="1" s="1"/>
  <c r="O351" i="1" s="1"/>
  <c r="O352" i="1" s="1"/>
  <c r="O353" i="1" s="1"/>
  <c r="O354" i="1" s="1"/>
  <c r="O355" i="1" s="1"/>
  <c r="O356" i="1" s="1"/>
  <c r="O357" i="1" s="1"/>
  <c r="O358" i="1" s="1"/>
  <c r="O359" i="1" s="1"/>
  <c r="O360" i="1" s="1"/>
  <c r="O361" i="1" s="1"/>
  <c r="O362" i="1" s="1"/>
  <c r="O363" i="1" s="1"/>
  <c r="O364" i="1" s="1"/>
  <c r="O365" i="1" s="1"/>
  <c r="O366" i="1" s="1"/>
  <c r="O367" i="1" s="1"/>
  <c r="O368" i="1" s="1"/>
  <c r="O369" i="1" s="1"/>
  <c r="O370" i="1" s="1"/>
  <c r="O371" i="1" s="1"/>
  <c r="O372" i="1" s="1"/>
  <c r="O373" i="1" s="1"/>
  <c r="O374" i="1" s="1"/>
  <c r="O375" i="1" s="1"/>
  <c r="O376" i="1" s="1"/>
  <c r="O377" i="1" s="1"/>
  <c r="O378" i="1" s="1"/>
  <c r="O379" i="1" s="1"/>
  <c r="O380" i="1" s="1"/>
  <c r="O381" i="1" s="1"/>
  <c r="O382" i="1" s="1"/>
  <c r="O383" i="1" s="1"/>
  <c r="O384" i="1" s="1"/>
  <c r="O385" i="1" s="1"/>
  <c r="O386" i="1" s="1"/>
  <c r="O387" i="1" s="1"/>
  <c r="O388" i="1" s="1"/>
  <c r="O389" i="1" s="1"/>
  <c r="O390" i="1" s="1"/>
  <c r="O391" i="1" s="1"/>
  <c r="O392" i="1" s="1"/>
  <c r="O393" i="1" s="1"/>
  <c r="O394" i="1" s="1"/>
  <c r="O395" i="1" s="1"/>
  <c r="O396" i="1" s="1"/>
  <c r="O397" i="1" s="1"/>
  <c r="O398" i="1" s="1"/>
  <c r="O399" i="1" s="1"/>
  <c r="O400" i="1" s="1"/>
  <c r="O401" i="1" s="1"/>
  <c r="O402" i="1" s="1"/>
  <c r="O403" i="1" s="1"/>
  <c r="O404" i="1" s="1"/>
  <c r="O405" i="1" s="1"/>
  <c r="O406" i="1" s="1"/>
  <c r="O407" i="1" s="1"/>
  <c r="O408" i="1" s="1"/>
  <c r="O409" i="1" s="1"/>
  <c r="O410" i="1" s="1"/>
  <c r="O411" i="1" s="1"/>
  <c r="O412" i="1" s="1"/>
  <c r="O413" i="1" s="1"/>
  <c r="O414" i="1" s="1"/>
  <c r="O415" i="1" s="1"/>
  <c r="O416" i="1" s="1"/>
  <c r="O417" i="1" s="1"/>
  <c r="O418" i="1" s="1"/>
  <c r="O419" i="1" s="1"/>
  <c r="O420" i="1" s="1"/>
  <c r="O421" i="1" s="1"/>
  <c r="O422" i="1" s="1"/>
  <c r="O423" i="1" s="1"/>
  <c r="O424" i="1" s="1"/>
  <c r="O425" i="1" s="1"/>
  <c r="O426" i="1" s="1"/>
  <c r="O427" i="1" s="1"/>
  <c r="O428" i="1" s="1"/>
  <c r="O429" i="1" s="1"/>
  <c r="O430" i="1" s="1"/>
  <c r="O431" i="1" s="1"/>
  <c r="O432" i="1" s="1"/>
  <c r="O433" i="1" s="1"/>
  <c r="O434" i="1" s="1"/>
  <c r="O435" i="1" s="1"/>
  <c r="O436" i="1" s="1"/>
  <c r="O437" i="1" s="1"/>
  <c r="O438" i="1" s="1"/>
  <c r="O439" i="1" s="1"/>
  <c r="O440" i="1" s="1"/>
  <c r="O441" i="1" s="1"/>
  <c r="O442" i="1" s="1"/>
  <c r="O443" i="1" s="1"/>
  <c r="O444" i="1" s="1"/>
  <c r="O445" i="1" s="1"/>
  <c r="O446" i="1" s="1"/>
  <c r="O447" i="1" s="1"/>
  <c r="O448" i="1" s="1"/>
  <c r="O449" i="1" s="1"/>
  <c r="O450" i="1" s="1"/>
  <c r="O451" i="1" s="1"/>
  <c r="O452" i="1" s="1"/>
  <c r="O453" i="1" s="1"/>
  <c r="O454" i="1" s="1"/>
  <c r="O455" i="1" s="1"/>
  <c r="O456" i="1" s="1"/>
  <c r="O457" i="1" s="1"/>
  <c r="O458" i="1" s="1"/>
  <c r="O459" i="1" s="1"/>
  <c r="O460" i="1" s="1"/>
  <c r="O461" i="1" s="1"/>
  <c r="O462" i="1" s="1"/>
  <c r="O463" i="1" s="1"/>
  <c r="O464" i="1" s="1"/>
  <c r="O465" i="1" s="1"/>
  <c r="O466" i="1" s="1"/>
  <c r="O467" i="1" s="1"/>
  <c r="O468" i="1" s="1"/>
  <c r="O469" i="1" s="1"/>
  <c r="O470" i="1" s="1"/>
  <c r="O471" i="1" s="1"/>
  <c r="O472" i="1" s="1"/>
  <c r="O473" i="1" s="1"/>
  <c r="O474" i="1" s="1"/>
  <c r="Q286" i="1"/>
  <c r="R286" i="1" s="1"/>
  <c r="S286" i="1" s="1"/>
  <c r="Q285" i="1"/>
  <c r="R285" i="1" s="1"/>
  <c r="S285" i="1" s="1"/>
  <c r="Q284" i="1"/>
  <c r="R284" i="1" s="1"/>
  <c r="S284" i="1" s="1"/>
  <c r="Q283" i="1"/>
  <c r="R283" i="1" s="1"/>
  <c r="S283" i="1" s="1"/>
  <c r="Q282" i="1"/>
  <c r="R282" i="1" s="1"/>
  <c r="S282" i="1" s="1"/>
  <c r="O282" i="1"/>
  <c r="Q281" i="1"/>
  <c r="R281" i="1" s="1"/>
  <c r="S281" i="1" s="1"/>
  <c r="Q280" i="1"/>
  <c r="R280" i="1" s="1"/>
  <c r="S280" i="1" s="1"/>
  <c r="Q279" i="1"/>
  <c r="R279" i="1" s="1"/>
  <c r="S279" i="1" s="1"/>
  <c r="Q278" i="1"/>
  <c r="R278" i="1" s="1"/>
  <c r="S278" i="1" s="1"/>
  <c r="Q277" i="1"/>
  <c r="R277" i="1" s="1"/>
  <c r="S277" i="1" s="1"/>
  <c r="Q276" i="1"/>
  <c r="R276" i="1" s="1"/>
  <c r="S276" i="1" s="1"/>
  <c r="Q275" i="1"/>
  <c r="R275" i="1" s="1"/>
  <c r="S275" i="1" s="1"/>
  <c r="Q274" i="1"/>
  <c r="R274" i="1" s="1"/>
  <c r="S274" i="1" s="1"/>
  <c r="Q273" i="1"/>
  <c r="R273" i="1" s="1"/>
  <c r="S273" i="1" s="1"/>
  <c r="Q272" i="1"/>
  <c r="R272" i="1" s="1"/>
  <c r="S272" i="1" s="1"/>
  <c r="O272" i="1"/>
  <c r="O273" i="1" s="1"/>
  <c r="O274" i="1" s="1"/>
  <c r="O275" i="1" s="1"/>
  <c r="O276" i="1" s="1"/>
  <c r="O277" i="1" s="1"/>
  <c r="O278" i="1" s="1"/>
  <c r="O279" i="1" s="1"/>
  <c r="Q271" i="1"/>
  <c r="R271" i="1" s="1"/>
  <c r="S271" i="1" s="1"/>
  <c r="T271" i="1" s="1"/>
  <c r="T272" i="1" s="1"/>
  <c r="O271" i="1"/>
  <c r="Q270" i="1"/>
  <c r="R270" i="1" s="1"/>
  <c r="S270" i="1" s="1"/>
  <c r="Q269" i="1"/>
  <c r="R269" i="1" s="1"/>
  <c r="S269" i="1" s="1"/>
  <c r="Q268" i="1"/>
  <c r="R268" i="1" s="1"/>
  <c r="S268" i="1" s="1"/>
  <c r="Q267" i="1"/>
  <c r="R267" i="1" s="1"/>
  <c r="S267" i="1" s="1"/>
  <c r="Q266" i="1"/>
  <c r="R266" i="1" s="1"/>
  <c r="S266" i="1" s="1"/>
  <c r="Q265" i="1"/>
  <c r="R265" i="1" s="1"/>
  <c r="S265" i="1" s="1"/>
  <c r="Q264" i="1"/>
  <c r="R264" i="1" s="1"/>
  <c r="S264" i="1" s="1"/>
  <c r="T264" i="1" s="1"/>
  <c r="O264" i="1"/>
  <c r="O265" i="1" s="1"/>
  <c r="O266" i="1" s="1"/>
  <c r="R263" i="1"/>
  <c r="S263" i="1" s="1"/>
  <c r="Q263" i="1"/>
  <c r="R262" i="1"/>
  <c r="S262" i="1" s="1"/>
  <c r="R261" i="1"/>
  <c r="S261" i="1" s="1"/>
  <c r="I261" i="1"/>
  <c r="R260" i="1"/>
  <c r="S260" i="1" s="1"/>
  <c r="R259" i="1"/>
  <c r="S259" i="1" s="1"/>
  <c r="I259" i="1"/>
  <c r="R258" i="1"/>
  <c r="S258" i="1" s="1"/>
  <c r="R257" i="1"/>
  <c r="S257" i="1" s="1"/>
  <c r="K257" i="1"/>
  <c r="K258" i="1" s="1"/>
  <c r="K259" i="1" s="1"/>
  <c r="K260" i="1" s="1"/>
  <c r="K261" i="1" s="1"/>
  <c r="K262" i="1" s="1"/>
  <c r="K263" i="1" s="1"/>
  <c r="K264" i="1" s="1"/>
  <c r="K265" i="1" s="1"/>
  <c r="K266" i="1" s="1"/>
  <c r="K267" i="1" s="1"/>
  <c r="K268" i="1" s="1"/>
  <c r="K269" i="1" s="1"/>
  <c r="K270" i="1" s="1"/>
  <c r="K271" i="1" s="1"/>
  <c r="K272" i="1" s="1"/>
  <c r="K273" i="1" s="1"/>
  <c r="K274" i="1" s="1"/>
  <c r="K275" i="1" s="1"/>
  <c r="K276" i="1" s="1"/>
  <c r="K277" i="1" s="1"/>
  <c r="K278" i="1" s="1"/>
  <c r="K279" i="1" s="1"/>
  <c r="K280" i="1" s="1"/>
  <c r="K281" i="1" s="1"/>
  <c r="K282" i="1" s="1"/>
  <c r="K283" i="1" s="1"/>
  <c r="K284" i="1" s="1"/>
  <c r="K285" i="1" s="1"/>
  <c r="K286" i="1" s="1"/>
  <c r="K287" i="1" s="1"/>
  <c r="K288" i="1" s="1"/>
  <c r="K289" i="1" s="1"/>
  <c r="K290" i="1" s="1"/>
  <c r="K291" i="1" s="1"/>
  <c r="K292" i="1" s="1"/>
  <c r="K293" i="1" s="1"/>
  <c r="K294" i="1" s="1"/>
  <c r="K295" i="1" s="1"/>
  <c r="K296" i="1" s="1"/>
  <c r="K297" i="1" s="1"/>
  <c r="K298" i="1" s="1"/>
  <c r="K299" i="1" s="1"/>
  <c r="K300" i="1" s="1"/>
  <c r="K301" i="1" s="1"/>
  <c r="K302" i="1" s="1"/>
  <c r="K303" i="1" s="1"/>
  <c r="K304" i="1" s="1"/>
  <c r="K305" i="1" s="1"/>
  <c r="K306" i="1" s="1"/>
  <c r="K307" i="1" s="1"/>
  <c r="K308" i="1" s="1"/>
  <c r="K309" i="1" s="1"/>
  <c r="K310" i="1" s="1"/>
  <c r="K311" i="1" s="1"/>
  <c r="K312" i="1" s="1"/>
  <c r="K313" i="1" s="1"/>
  <c r="K314" i="1" s="1"/>
  <c r="K315" i="1" s="1"/>
  <c r="K316" i="1" s="1"/>
  <c r="K317" i="1" s="1"/>
  <c r="K318" i="1" s="1"/>
  <c r="K319" i="1" s="1"/>
  <c r="K320" i="1" s="1"/>
  <c r="K321" i="1" s="1"/>
  <c r="K322" i="1" s="1"/>
  <c r="K323" i="1" s="1"/>
  <c r="K324" i="1" s="1"/>
  <c r="K325" i="1" s="1"/>
  <c r="K326" i="1" s="1"/>
  <c r="K327" i="1" s="1"/>
  <c r="K328" i="1" s="1"/>
  <c r="K329" i="1" s="1"/>
  <c r="K330" i="1" s="1"/>
  <c r="K331" i="1" s="1"/>
  <c r="K332" i="1" s="1"/>
  <c r="K333" i="1" s="1"/>
  <c r="K334" i="1" s="1"/>
  <c r="K335" i="1" s="1"/>
  <c r="K336" i="1" s="1"/>
  <c r="K337" i="1" s="1"/>
  <c r="K338" i="1" s="1"/>
  <c r="K339" i="1" s="1"/>
  <c r="K340" i="1" s="1"/>
  <c r="K341" i="1" s="1"/>
  <c r="K342" i="1" s="1"/>
  <c r="K343" i="1" s="1"/>
  <c r="K344" i="1" s="1"/>
  <c r="K345" i="1" s="1"/>
  <c r="K346" i="1" s="1"/>
  <c r="K347" i="1" s="1"/>
  <c r="K348" i="1" s="1"/>
  <c r="K349" i="1" s="1"/>
  <c r="K350" i="1" s="1"/>
  <c r="K351" i="1" s="1"/>
  <c r="K352" i="1" s="1"/>
  <c r="K353" i="1" s="1"/>
  <c r="K354" i="1" s="1"/>
  <c r="K355" i="1" s="1"/>
  <c r="K356" i="1" s="1"/>
  <c r="K357" i="1" s="1"/>
  <c r="K358" i="1" s="1"/>
  <c r="K359" i="1" s="1"/>
  <c r="K360" i="1" s="1"/>
  <c r="K361" i="1" s="1"/>
  <c r="K362" i="1" s="1"/>
  <c r="K363" i="1" s="1"/>
  <c r="K364" i="1" s="1"/>
  <c r="K365" i="1" s="1"/>
  <c r="K366" i="1" s="1"/>
  <c r="K367" i="1" s="1"/>
  <c r="K368" i="1" s="1"/>
  <c r="K369" i="1" s="1"/>
  <c r="K370" i="1" s="1"/>
  <c r="K371" i="1" s="1"/>
  <c r="K372" i="1" s="1"/>
  <c r="K373" i="1" s="1"/>
  <c r="K374" i="1" s="1"/>
  <c r="K375" i="1" s="1"/>
  <c r="K376" i="1" s="1"/>
  <c r="K377" i="1" s="1"/>
  <c r="K378" i="1" s="1"/>
  <c r="K379" i="1" s="1"/>
  <c r="K380" i="1" s="1"/>
  <c r="K381" i="1" s="1"/>
  <c r="K382" i="1" s="1"/>
  <c r="K383" i="1" s="1"/>
  <c r="K384" i="1" s="1"/>
  <c r="K385" i="1" s="1"/>
  <c r="K386" i="1" s="1"/>
  <c r="K387" i="1" s="1"/>
  <c r="K388" i="1" s="1"/>
  <c r="K389" i="1" s="1"/>
  <c r="K390" i="1" s="1"/>
  <c r="K391" i="1" s="1"/>
  <c r="K392" i="1" s="1"/>
  <c r="K393" i="1" s="1"/>
  <c r="K394" i="1" s="1"/>
  <c r="K395" i="1" s="1"/>
  <c r="K396" i="1" s="1"/>
  <c r="K397" i="1" s="1"/>
  <c r="K398" i="1" s="1"/>
  <c r="K399" i="1" s="1"/>
  <c r="K400" i="1" s="1"/>
  <c r="K401" i="1" s="1"/>
  <c r="K402" i="1" s="1"/>
  <c r="K403" i="1" s="1"/>
  <c r="K404" i="1" s="1"/>
  <c r="K405" i="1" s="1"/>
  <c r="K406" i="1" s="1"/>
  <c r="K407" i="1" s="1"/>
  <c r="K408" i="1" s="1"/>
  <c r="K409" i="1" s="1"/>
  <c r="K410" i="1" s="1"/>
  <c r="K411" i="1" s="1"/>
  <c r="K412" i="1" s="1"/>
  <c r="K413" i="1" s="1"/>
  <c r="K414" i="1" s="1"/>
  <c r="K415" i="1" s="1"/>
  <c r="K416" i="1" s="1"/>
  <c r="K417" i="1" s="1"/>
  <c r="K418" i="1" s="1"/>
  <c r="K419" i="1" s="1"/>
  <c r="K420" i="1" s="1"/>
  <c r="K421" i="1" s="1"/>
  <c r="K422" i="1" s="1"/>
  <c r="K423" i="1" s="1"/>
  <c r="K424" i="1" s="1"/>
  <c r="K425" i="1" s="1"/>
  <c r="K426" i="1" s="1"/>
  <c r="K427" i="1" s="1"/>
  <c r="K428" i="1" s="1"/>
  <c r="K429" i="1" s="1"/>
  <c r="K430" i="1" s="1"/>
  <c r="K431" i="1" s="1"/>
  <c r="K432" i="1" s="1"/>
  <c r="K433" i="1" s="1"/>
  <c r="K434" i="1" s="1"/>
  <c r="K435" i="1" s="1"/>
  <c r="K436" i="1" s="1"/>
  <c r="K437" i="1" s="1"/>
  <c r="K438" i="1" s="1"/>
  <c r="K439" i="1" s="1"/>
  <c r="K440" i="1" s="1"/>
  <c r="K441" i="1" s="1"/>
  <c r="K442" i="1" s="1"/>
  <c r="K443" i="1" s="1"/>
  <c r="K444" i="1" s="1"/>
  <c r="K445" i="1" s="1"/>
  <c r="K446" i="1" s="1"/>
  <c r="K447" i="1" s="1"/>
  <c r="K448" i="1" s="1"/>
  <c r="K449" i="1" s="1"/>
  <c r="K450" i="1" s="1"/>
  <c r="K451" i="1" s="1"/>
  <c r="K452" i="1" s="1"/>
  <c r="K453" i="1" s="1"/>
  <c r="K454" i="1" s="1"/>
  <c r="K455" i="1" s="1"/>
  <c r="K456" i="1" s="1"/>
  <c r="K457" i="1" s="1"/>
  <c r="K458" i="1" s="1"/>
  <c r="K459" i="1" s="1"/>
  <c r="K460" i="1" s="1"/>
  <c r="K461" i="1" s="1"/>
  <c r="K462" i="1" s="1"/>
  <c r="K463" i="1" s="1"/>
  <c r="K464" i="1" s="1"/>
  <c r="K465" i="1" s="1"/>
  <c r="K466" i="1" s="1"/>
  <c r="K467" i="1" s="1"/>
  <c r="K468" i="1" s="1"/>
  <c r="K469" i="1" s="1"/>
  <c r="K470" i="1" s="1"/>
  <c r="K471" i="1" s="1"/>
  <c r="K472" i="1" s="1"/>
  <c r="K473" i="1" s="1"/>
  <c r="K474" i="1" s="1"/>
  <c r="K475" i="1" s="1"/>
  <c r="K476" i="1" s="1"/>
  <c r="K477" i="1" s="1"/>
  <c r="K478" i="1" s="1"/>
  <c r="K479" i="1" s="1"/>
  <c r="K480" i="1" s="1"/>
  <c r="K481" i="1" s="1"/>
  <c r="K482" i="1" s="1"/>
  <c r="K483" i="1" s="1"/>
  <c r="K484" i="1" s="1"/>
  <c r="K485" i="1" s="1"/>
  <c r="K486" i="1" s="1"/>
  <c r="K487" i="1" s="1"/>
  <c r="K488" i="1" s="1"/>
  <c r="K489" i="1" s="1"/>
  <c r="K490" i="1" s="1"/>
  <c r="K491" i="1" s="1"/>
  <c r="K492" i="1" s="1"/>
  <c r="K493" i="1" s="1"/>
  <c r="K494" i="1" s="1"/>
  <c r="K495" i="1" s="1"/>
  <c r="K496" i="1" s="1"/>
  <c r="K497" i="1" s="1"/>
  <c r="K498" i="1" s="1"/>
  <c r="K499" i="1" s="1"/>
  <c r="K500" i="1" s="1"/>
  <c r="K501" i="1" s="1"/>
  <c r="K502" i="1" s="1"/>
  <c r="K503" i="1" s="1"/>
  <c r="K504" i="1" s="1"/>
  <c r="K505" i="1" s="1"/>
  <c r="K506" i="1" s="1"/>
  <c r="K507" i="1" s="1"/>
  <c r="K508" i="1" s="1"/>
  <c r="K509" i="1" s="1"/>
  <c r="K510" i="1" s="1"/>
  <c r="K511" i="1" s="1"/>
  <c r="K512" i="1" s="1"/>
  <c r="K513" i="1" s="1"/>
  <c r="K514" i="1" s="1"/>
  <c r="K515" i="1" s="1"/>
  <c r="K516" i="1" s="1"/>
  <c r="K517" i="1" s="1"/>
  <c r="K518" i="1" s="1"/>
  <c r="K519" i="1" s="1"/>
  <c r="K520" i="1" s="1"/>
  <c r="K521" i="1" s="1"/>
  <c r="K522" i="1" s="1"/>
  <c r="K523" i="1" s="1"/>
  <c r="K524" i="1" s="1"/>
  <c r="K525" i="1" s="1"/>
  <c r="K526" i="1" s="1"/>
  <c r="K527" i="1" s="1"/>
  <c r="K528" i="1" s="1"/>
  <c r="K529" i="1" s="1"/>
  <c r="K530" i="1" s="1"/>
  <c r="I257" i="1"/>
  <c r="X256" i="1"/>
  <c r="X257" i="1" s="1"/>
  <c r="X258" i="1" s="1"/>
  <c r="X259" i="1" s="1"/>
  <c r="X260" i="1" s="1"/>
  <c r="X261" i="1" s="1"/>
  <c r="X262" i="1" s="1"/>
  <c r="X263" i="1" s="1"/>
  <c r="X264" i="1" s="1"/>
  <c r="X265" i="1" s="1"/>
  <c r="X266" i="1" s="1"/>
  <c r="X267" i="1" s="1"/>
  <c r="X268" i="1" s="1"/>
  <c r="X269" i="1" s="1"/>
  <c r="X270" i="1" s="1"/>
  <c r="X271" i="1" s="1"/>
  <c r="X272" i="1" s="1"/>
  <c r="X273" i="1" s="1"/>
  <c r="X274" i="1" s="1"/>
  <c r="X275" i="1" s="1"/>
  <c r="X276" i="1" s="1"/>
  <c r="X277" i="1" s="1"/>
  <c r="X278" i="1" s="1"/>
  <c r="X279" i="1" s="1"/>
  <c r="X280" i="1" s="1"/>
  <c r="X281" i="1" s="1"/>
  <c r="X282" i="1" s="1"/>
  <c r="X283" i="1" s="1"/>
  <c r="X284" i="1" s="1"/>
  <c r="X285" i="1" s="1"/>
  <c r="X286" i="1" s="1"/>
  <c r="X287" i="1" s="1"/>
  <c r="X288" i="1" s="1"/>
  <c r="X289" i="1" s="1"/>
  <c r="X290" i="1" s="1"/>
  <c r="X291" i="1" s="1"/>
  <c r="X292" i="1" s="1"/>
  <c r="X293" i="1" s="1"/>
  <c r="X294" i="1" s="1"/>
  <c r="X295" i="1" s="1"/>
  <c r="X296" i="1" s="1"/>
  <c r="X297" i="1" s="1"/>
  <c r="X298" i="1" s="1"/>
  <c r="X299" i="1" s="1"/>
  <c r="X300" i="1" s="1"/>
  <c r="X301" i="1" s="1"/>
  <c r="X302" i="1" s="1"/>
  <c r="X303" i="1" s="1"/>
  <c r="X304" i="1" s="1"/>
  <c r="X305" i="1" s="1"/>
  <c r="X306" i="1" s="1"/>
  <c r="X307" i="1" s="1"/>
  <c r="X308" i="1" s="1"/>
  <c r="X309" i="1" s="1"/>
  <c r="X310" i="1" s="1"/>
  <c r="X311" i="1" s="1"/>
  <c r="X312" i="1" s="1"/>
  <c r="X313" i="1" s="1"/>
  <c r="X314" i="1" s="1"/>
  <c r="X315" i="1" s="1"/>
  <c r="X316" i="1" s="1"/>
  <c r="X317" i="1" s="1"/>
  <c r="X318" i="1" s="1"/>
  <c r="X319" i="1" s="1"/>
  <c r="X320" i="1" s="1"/>
  <c r="X321" i="1" s="1"/>
  <c r="X322" i="1" s="1"/>
  <c r="X323" i="1" s="1"/>
  <c r="X324" i="1" s="1"/>
  <c r="X325" i="1" s="1"/>
  <c r="X326" i="1" s="1"/>
  <c r="X327" i="1" s="1"/>
  <c r="X328" i="1" s="1"/>
  <c r="X329" i="1" s="1"/>
  <c r="X330" i="1" s="1"/>
  <c r="X331" i="1" s="1"/>
  <c r="X332" i="1" s="1"/>
  <c r="R256" i="1"/>
  <c r="S256" i="1" s="1"/>
  <c r="T256" i="1" s="1"/>
  <c r="M256" i="1"/>
  <c r="M257" i="1" s="1"/>
  <c r="M258" i="1" s="1"/>
  <c r="M259" i="1" s="1"/>
  <c r="M260" i="1" s="1"/>
  <c r="M261" i="1" s="1"/>
  <c r="M262" i="1" s="1"/>
  <c r="M263" i="1" s="1"/>
  <c r="M264" i="1" s="1"/>
  <c r="M265" i="1" s="1"/>
  <c r="M266" i="1" s="1"/>
  <c r="M267" i="1" s="1"/>
  <c r="M268" i="1" s="1"/>
  <c r="M269" i="1" s="1"/>
  <c r="M270" i="1" s="1"/>
  <c r="M271" i="1" s="1"/>
  <c r="M272" i="1" s="1"/>
  <c r="M273" i="1" s="1"/>
  <c r="M274" i="1" s="1"/>
  <c r="M275" i="1" s="1"/>
  <c r="M276" i="1" s="1"/>
  <c r="M277" i="1" s="1"/>
  <c r="M278" i="1" s="1"/>
  <c r="M279" i="1" s="1"/>
  <c r="M280" i="1" s="1"/>
  <c r="M281" i="1" s="1"/>
  <c r="M282" i="1" s="1"/>
  <c r="M283" i="1" s="1"/>
  <c r="M284" i="1" s="1"/>
  <c r="M285" i="1" s="1"/>
  <c r="M286" i="1" s="1"/>
  <c r="M287" i="1" s="1"/>
  <c r="M288" i="1" s="1"/>
  <c r="M289" i="1" s="1"/>
  <c r="M290" i="1" s="1"/>
  <c r="M291" i="1" s="1"/>
  <c r="M292" i="1" s="1"/>
  <c r="M293" i="1" s="1"/>
  <c r="M294" i="1" s="1"/>
  <c r="M295" i="1" s="1"/>
  <c r="M296" i="1" s="1"/>
  <c r="M297" i="1" s="1"/>
  <c r="M298" i="1" s="1"/>
  <c r="M299" i="1" s="1"/>
  <c r="M300" i="1" s="1"/>
  <c r="M301" i="1" s="1"/>
  <c r="M302" i="1" s="1"/>
  <c r="M303" i="1" s="1"/>
  <c r="M304" i="1" s="1"/>
  <c r="M305" i="1" s="1"/>
  <c r="M306" i="1" s="1"/>
  <c r="M307" i="1" s="1"/>
  <c r="M308" i="1" s="1"/>
  <c r="M309" i="1" s="1"/>
  <c r="M310" i="1" s="1"/>
  <c r="M311" i="1" s="1"/>
  <c r="M312" i="1" s="1"/>
  <c r="M313" i="1" s="1"/>
  <c r="M314" i="1" s="1"/>
  <c r="M315" i="1" s="1"/>
  <c r="M316" i="1" s="1"/>
  <c r="M317" i="1" s="1"/>
  <c r="M318" i="1" s="1"/>
  <c r="M319" i="1" s="1"/>
  <c r="M320" i="1" s="1"/>
  <c r="M321" i="1" s="1"/>
  <c r="M322" i="1" s="1"/>
  <c r="M323" i="1" s="1"/>
  <c r="M324" i="1" s="1"/>
  <c r="M325" i="1" s="1"/>
  <c r="M326" i="1" s="1"/>
  <c r="M327" i="1" s="1"/>
  <c r="M328" i="1" s="1"/>
  <c r="M329" i="1" s="1"/>
  <c r="M330" i="1" s="1"/>
  <c r="M331" i="1" s="1"/>
  <c r="M332" i="1" s="1"/>
  <c r="M333" i="1" s="1"/>
  <c r="M334" i="1" s="1"/>
  <c r="M335" i="1" s="1"/>
  <c r="M336" i="1" s="1"/>
  <c r="M337" i="1" s="1"/>
  <c r="M338" i="1" s="1"/>
  <c r="M339" i="1" s="1"/>
  <c r="M340" i="1" s="1"/>
  <c r="M341" i="1" s="1"/>
  <c r="M342" i="1" s="1"/>
  <c r="M343" i="1" s="1"/>
  <c r="M344" i="1" s="1"/>
  <c r="M345" i="1" s="1"/>
  <c r="M346" i="1" s="1"/>
  <c r="M347" i="1" s="1"/>
  <c r="M348" i="1" s="1"/>
  <c r="M349" i="1" s="1"/>
  <c r="M350" i="1" s="1"/>
  <c r="M351" i="1" s="1"/>
  <c r="M352" i="1" s="1"/>
  <c r="M353" i="1" s="1"/>
  <c r="M354" i="1" s="1"/>
  <c r="M355" i="1" s="1"/>
  <c r="M356" i="1" s="1"/>
  <c r="M357" i="1" s="1"/>
  <c r="M358" i="1" s="1"/>
  <c r="M359" i="1" s="1"/>
  <c r="M360" i="1" s="1"/>
  <c r="M361" i="1" s="1"/>
  <c r="M362" i="1" s="1"/>
  <c r="M363" i="1" s="1"/>
  <c r="M364" i="1" s="1"/>
  <c r="M365" i="1" s="1"/>
  <c r="M366" i="1" s="1"/>
  <c r="M367" i="1" s="1"/>
  <c r="M368" i="1" s="1"/>
  <c r="M369" i="1" s="1"/>
  <c r="M370" i="1" s="1"/>
  <c r="M371" i="1" s="1"/>
  <c r="M372" i="1" s="1"/>
  <c r="M373" i="1" s="1"/>
  <c r="M374" i="1" s="1"/>
  <c r="M375" i="1" s="1"/>
  <c r="M376" i="1" s="1"/>
  <c r="M377" i="1" s="1"/>
  <c r="M378" i="1" s="1"/>
  <c r="M379" i="1" s="1"/>
  <c r="M380" i="1" s="1"/>
  <c r="M381" i="1" s="1"/>
  <c r="M382" i="1" s="1"/>
  <c r="M383" i="1" s="1"/>
  <c r="M384" i="1" s="1"/>
  <c r="M385" i="1" s="1"/>
  <c r="M386" i="1" s="1"/>
  <c r="M387" i="1" s="1"/>
  <c r="M388" i="1" s="1"/>
  <c r="M389" i="1" s="1"/>
  <c r="M390" i="1" s="1"/>
  <c r="M391" i="1" s="1"/>
  <c r="M392" i="1" s="1"/>
  <c r="M393" i="1" s="1"/>
  <c r="M394" i="1" s="1"/>
  <c r="M395" i="1" s="1"/>
  <c r="M396" i="1" s="1"/>
  <c r="M397" i="1" s="1"/>
  <c r="M398" i="1" s="1"/>
  <c r="M399" i="1" s="1"/>
  <c r="M400" i="1" s="1"/>
  <c r="M401" i="1" s="1"/>
  <c r="M402" i="1" s="1"/>
  <c r="M403" i="1" s="1"/>
  <c r="M404" i="1" s="1"/>
  <c r="M405" i="1" s="1"/>
  <c r="M406" i="1" s="1"/>
  <c r="M407" i="1" s="1"/>
  <c r="M408" i="1" s="1"/>
  <c r="M409" i="1" s="1"/>
  <c r="M410" i="1" s="1"/>
  <c r="M411" i="1" s="1"/>
  <c r="M412" i="1" s="1"/>
  <c r="M413" i="1" s="1"/>
  <c r="M414" i="1" s="1"/>
  <c r="M415" i="1" s="1"/>
  <c r="M416" i="1" s="1"/>
  <c r="M417" i="1" s="1"/>
  <c r="M418" i="1" s="1"/>
  <c r="M419" i="1" s="1"/>
  <c r="M420" i="1" s="1"/>
  <c r="M421" i="1" s="1"/>
  <c r="M422" i="1" s="1"/>
  <c r="M423" i="1" s="1"/>
  <c r="M424" i="1" s="1"/>
  <c r="M425" i="1" s="1"/>
  <c r="M426" i="1" s="1"/>
  <c r="M427" i="1" s="1"/>
  <c r="M428" i="1" s="1"/>
  <c r="M429" i="1" s="1"/>
  <c r="M430" i="1" s="1"/>
  <c r="M431" i="1" s="1"/>
  <c r="M432" i="1" s="1"/>
  <c r="M433" i="1" s="1"/>
  <c r="M434" i="1" s="1"/>
  <c r="M435" i="1" s="1"/>
  <c r="M436" i="1" s="1"/>
  <c r="M437" i="1" s="1"/>
  <c r="M438" i="1" s="1"/>
  <c r="M439" i="1" s="1"/>
  <c r="M440" i="1" s="1"/>
  <c r="M441" i="1" s="1"/>
  <c r="M442" i="1" s="1"/>
  <c r="M443" i="1" s="1"/>
  <c r="M444" i="1" s="1"/>
  <c r="M445" i="1" s="1"/>
  <c r="M446" i="1" s="1"/>
  <c r="M447" i="1" s="1"/>
  <c r="M448" i="1" s="1"/>
  <c r="M449" i="1" s="1"/>
  <c r="M450" i="1" s="1"/>
  <c r="M451" i="1" s="1"/>
  <c r="M452" i="1" s="1"/>
  <c r="M453" i="1" s="1"/>
  <c r="M454" i="1" s="1"/>
  <c r="M455" i="1" s="1"/>
  <c r="M456" i="1" s="1"/>
  <c r="M457" i="1" s="1"/>
  <c r="M458" i="1" s="1"/>
  <c r="M459" i="1" s="1"/>
  <c r="M460" i="1" s="1"/>
  <c r="M461" i="1" s="1"/>
  <c r="M462" i="1" s="1"/>
  <c r="M463" i="1" s="1"/>
  <c r="M464" i="1" s="1"/>
  <c r="M465" i="1" s="1"/>
  <c r="M466" i="1" s="1"/>
  <c r="M467" i="1" s="1"/>
  <c r="M468" i="1" s="1"/>
  <c r="M469" i="1" s="1"/>
  <c r="M470" i="1" s="1"/>
  <c r="M471" i="1" s="1"/>
  <c r="M472" i="1" s="1"/>
  <c r="M473" i="1" s="1"/>
  <c r="M474" i="1" s="1"/>
  <c r="M475" i="1" s="1"/>
  <c r="M476" i="1" s="1"/>
  <c r="M477" i="1" s="1"/>
  <c r="M478" i="1" s="1"/>
  <c r="M479" i="1" s="1"/>
  <c r="M480" i="1" s="1"/>
  <c r="M481" i="1" s="1"/>
  <c r="M482" i="1" s="1"/>
  <c r="M483" i="1" s="1"/>
  <c r="M484" i="1" s="1"/>
  <c r="M485" i="1" s="1"/>
  <c r="M486" i="1" s="1"/>
  <c r="M487" i="1" s="1"/>
  <c r="M488" i="1" s="1"/>
  <c r="M489" i="1" s="1"/>
  <c r="M490" i="1" s="1"/>
  <c r="M491" i="1" s="1"/>
  <c r="M492" i="1" s="1"/>
  <c r="M493" i="1" s="1"/>
  <c r="M494" i="1" s="1"/>
  <c r="M495" i="1" s="1"/>
  <c r="M496" i="1" s="1"/>
  <c r="M497" i="1" s="1"/>
  <c r="M498" i="1" s="1"/>
  <c r="M499" i="1" s="1"/>
  <c r="M500" i="1" s="1"/>
  <c r="M501" i="1" s="1"/>
  <c r="M502" i="1" s="1"/>
  <c r="M503" i="1" s="1"/>
  <c r="M504" i="1" s="1"/>
  <c r="M505" i="1" s="1"/>
  <c r="M506" i="1" s="1"/>
  <c r="M507" i="1" s="1"/>
  <c r="M508" i="1" s="1"/>
  <c r="M509" i="1" s="1"/>
  <c r="M510" i="1" s="1"/>
  <c r="M511" i="1" s="1"/>
  <c r="M512" i="1" s="1"/>
  <c r="M513" i="1" s="1"/>
  <c r="M514" i="1" s="1"/>
  <c r="M515" i="1" s="1"/>
  <c r="M516" i="1" s="1"/>
  <c r="M517" i="1" s="1"/>
  <c r="M518" i="1" s="1"/>
  <c r="M519" i="1" s="1"/>
  <c r="M520" i="1" s="1"/>
  <c r="M521" i="1" s="1"/>
  <c r="M522" i="1" s="1"/>
  <c r="M523" i="1" s="1"/>
  <c r="M524" i="1" s="1"/>
  <c r="M525" i="1" s="1"/>
  <c r="M526" i="1" s="1"/>
  <c r="M527" i="1" s="1"/>
  <c r="M528" i="1" s="1"/>
  <c r="M529" i="1" s="1"/>
  <c r="M530" i="1" s="1"/>
  <c r="K256" i="1"/>
  <c r="G256" i="1"/>
  <c r="G257" i="1" s="1"/>
  <c r="G258" i="1" s="1"/>
  <c r="G259" i="1" s="1"/>
  <c r="G260" i="1" s="1"/>
  <c r="G261" i="1" s="1"/>
  <c r="G262" i="1" s="1"/>
  <c r="G263" i="1" s="1"/>
  <c r="G264" i="1" s="1"/>
  <c r="G265" i="1" s="1"/>
  <c r="G266" i="1" s="1"/>
  <c r="G267" i="1" s="1"/>
  <c r="G268" i="1" s="1"/>
  <c r="G269" i="1" s="1"/>
  <c r="G270" i="1" s="1"/>
  <c r="G271" i="1" s="1"/>
  <c r="G272" i="1" s="1"/>
  <c r="G273" i="1" s="1"/>
  <c r="G274" i="1" s="1"/>
  <c r="G275" i="1" s="1"/>
  <c r="G276" i="1" s="1"/>
  <c r="G277" i="1" s="1"/>
  <c r="G278" i="1" s="1"/>
  <c r="G279" i="1" s="1"/>
  <c r="G280" i="1" s="1"/>
  <c r="G281" i="1" s="1"/>
  <c r="G282" i="1" s="1"/>
  <c r="G283" i="1" s="1"/>
  <c r="G284" i="1" s="1"/>
  <c r="G285" i="1" s="1"/>
  <c r="G286" i="1" s="1"/>
  <c r="G287" i="1" s="1"/>
  <c r="G288" i="1" s="1"/>
  <c r="G289" i="1" s="1"/>
  <c r="G290" i="1" s="1"/>
  <c r="G291" i="1" s="1"/>
  <c r="G292" i="1" s="1"/>
  <c r="G293" i="1" s="1"/>
  <c r="G294" i="1" s="1"/>
  <c r="G295" i="1" s="1"/>
  <c r="G296" i="1" s="1"/>
  <c r="G297" i="1" s="1"/>
  <c r="G298" i="1" s="1"/>
  <c r="G299" i="1" s="1"/>
  <c r="G300" i="1" s="1"/>
  <c r="G301" i="1" s="1"/>
  <c r="G302" i="1" s="1"/>
  <c r="G303" i="1" s="1"/>
  <c r="G304" i="1" s="1"/>
  <c r="G305" i="1" s="1"/>
  <c r="G306" i="1" s="1"/>
  <c r="G307" i="1" s="1"/>
  <c r="G308" i="1" s="1"/>
  <c r="G309" i="1" s="1"/>
  <c r="G310" i="1" s="1"/>
  <c r="G311" i="1" s="1"/>
  <c r="G312" i="1" s="1"/>
  <c r="G313" i="1" s="1"/>
  <c r="G314" i="1" s="1"/>
  <c r="G315" i="1" s="1"/>
  <c r="G316" i="1" s="1"/>
  <c r="G317" i="1" s="1"/>
  <c r="G318" i="1" s="1"/>
  <c r="G319" i="1" s="1"/>
  <c r="G320" i="1" s="1"/>
  <c r="G321" i="1" s="1"/>
  <c r="G322" i="1" s="1"/>
  <c r="G323" i="1" s="1"/>
  <c r="G324" i="1" s="1"/>
  <c r="G325" i="1" s="1"/>
  <c r="G326" i="1" s="1"/>
  <c r="G327" i="1" s="1"/>
  <c r="G328" i="1" s="1"/>
  <c r="G329" i="1" s="1"/>
  <c r="G330" i="1" s="1"/>
  <c r="G331" i="1" s="1"/>
  <c r="G332" i="1" s="1"/>
  <c r="G333" i="1" s="1"/>
  <c r="G334" i="1" s="1"/>
  <c r="G335" i="1" s="1"/>
  <c r="G336" i="1" s="1"/>
  <c r="G337" i="1" s="1"/>
  <c r="G338" i="1" s="1"/>
  <c r="G339" i="1" s="1"/>
  <c r="G340" i="1" s="1"/>
  <c r="G341" i="1" s="1"/>
  <c r="G342" i="1" s="1"/>
  <c r="G343" i="1" s="1"/>
  <c r="G344" i="1" s="1"/>
  <c r="G345" i="1" s="1"/>
  <c r="G346" i="1" s="1"/>
  <c r="G347" i="1" s="1"/>
  <c r="G348" i="1" s="1"/>
  <c r="G349" i="1" s="1"/>
  <c r="G350" i="1" s="1"/>
  <c r="G351" i="1" s="1"/>
  <c r="G352" i="1" s="1"/>
  <c r="G353" i="1" s="1"/>
  <c r="O253" i="1"/>
  <c r="O254" i="1" s="1"/>
  <c r="O256" i="1" s="1"/>
  <c r="O257" i="1" s="1"/>
  <c r="O217" i="1"/>
  <c r="O218" i="1" s="1"/>
  <c r="O219" i="1" s="1"/>
  <c r="O220" i="1" s="1"/>
  <c r="T485" i="1" l="1"/>
  <c r="T486" i="1" s="1"/>
  <c r="T505" i="1"/>
  <c r="T506" i="1" s="1"/>
  <c r="T265" i="1"/>
  <c r="T266" i="1" s="1"/>
  <c r="T267" i="1" s="1"/>
  <c r="T268" i="1" s="1"/>
  <c r="T269" i="1" s="1"/>
  <c r="U344" i="2"/>
  <c r="U340" i="2"/>
  <c r="T334" i="2"/>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T355" i="2" s="1"/>
  <c r="T356" i="2" s="1"/>
  <c r="T357" i="2" s="1"/>
  <c r="T358" i="2" s="1"/>
  <c r="T359" i="2" s="1"/>
  <c r="T360" i="2" s="1"/>
  <c r="T361" i="2" s="1"/>
  <c r="T362" i="2" s="1"/>
  <c r="T363" i="2" s="1"/>
  <c r="T364" i="2" s="1"/>
  <c r="T365" i="2" s="1"/>
  <c r="T366" i="2" s="1"/>
  <c r="T367" i="2" s="1"/>
  <c r="T368" i="2" s="1"/>
  <c r="T369" i="2" s="1"/>
  <c r="T370" i="2" s="1"/>
  <c r="T371" i="2" s="1"/>
  <c r="T372" i="2" s="1"/>
  <c r="T373" i="2" s="1"/>
  <c r="T374" i="2" s="1"/>
  <c r="T375" i="2" s="1"/>
  <c r="T376" i="2" s="1"/>
  <c r="U263" i="2"/>
  <c r="U265" i="2"/>
  <c r="U267" i="2"/>
  <c r="T257" i="1"/>
  <c r="T258" i="1" s="1"/>
  <c r="T259" i="1" s="1"/>
  <c r="T260" i="1" s="1"/>
  <c r="X333" i="1"/>
  <c r="X334" i="1" s="1"/>
  <c r="X335" i="1" s="1"/>
  <c r="X336" i="1" s="1"/>
  <c r="X337" i="1" s="1"/>
  <c r="X338" i="1" s="1"/>
  <c r="X339" i="1" s="1"/>
  <c r="X340" i="1" s="1"/>
  <c r="X341" i="1" s="1"/>
  <c r="X342" i="1" s="1"/>
  <c r="X343" i="1" s="1"/>
  <c r="X344" i="1" s="1"/>
  <c r="X345" i="1" s="1"/>
  <c r="X346" i="1" s="1"/>
  <c r="X347" i="1" s="1"/>
  <c r="X348" i="1" s="1"/>
  <c r="X349" i="1" s="1"/>
  <c r="X350" i="1" s="1"/>
  <c r="X351" i="1" s="1"/>
  <c r="X352" i="1" s="1"/>
  <c r="X353" i="1" s="1"/>
  <c r="X354" i="1" s="1"/>
  <c r="X355" i="1" s="1"/>
  <c r="X356" i="1" s="1"/>
  <c r="X357" i="1" s="1"/>
  <c r="X358" i="1" s="1"/>
  <c r="X359" i="1" s="1"/>
  <c r="X360" i="1" s="1"/>
  <c r="X361" i="1" s="1"/>
  <c r="X362" i="1" s="1"/>
  <c r="X363" i="1" s="1"/>
  <c r="X364" i="1" s="1"/>
  <c r="X365" i="1" s="1"/>
  <c r="X366" i="1" s="1"/>
  <c r="X367" i="1" s="1"/>
  <c r="X368" i="1" s="1"/>
  <c r="X369" i="1" s="1"/>
  <c r="X370" i="1" s="1"/>
  <c r="X371" i="1" s="1"/>
  <c r="X372" i="1" s="1"/>
  <c r="X373" i="1" s="1"/>
  <c r="X374" i="1" s="1"/>
  <c r="X375" i="1" s="1"/>
  <c r="X376" i="1" s="1"/>
  <c r="X377" i="1" s="1"/>
  <c r="X378" i="1" s="1"/>
  <c r="X379" i="1" s="1"/>
  <c r="X380" i="1" s="1"/>
  <c r="X381" i="1" s="1"/>
  <c r="X382" i="1" s="1"/>
  <c r="X383" i="1" s="1"/>
  <c r="X384" i="1" s="1"/>
  <c r="X385" i="1" s="1"/>
  <c r="X386" i="1" s="1"/>
  <c r="X387" i="1" s="1"/>
  <c r="X388" i="1" s="1"/>
  <c r="X389" i="1" s="1"/>
  <c r="X390" i="1" s="1"/>
  <c r="X391" i="1" s="1"/>
  <c r="X392" i="1" s="1"/>
  <c r="X393" i="1" s="1"/>
  <c r="X394" i="1" s="1"/>
  <c r="X395" i="1" s="1"/>
  <c r="X396" i="1" s="1"/>
  <c r="X397" i="1" s="1"/>
  <c r="X398" i="1" s="1"/>
  <c r="X399" i="1" s="1"/>
  <c r="X400" i="1" s="1"/>
  <c r="X401" i="1" s="1"/>
  <c r="X402" i="1" s="1"/>
  <c r="X403" i="1" s="1"/>
  <c r="X404" i="1" s="1"/>
  <c r="X405" i="1" s="1"/>
  <c r="X406" i="1" s="1"/>
  <c r="X407" i="1" s="1"/>
  <c r="X408" i="1" s="1"/>
  <c r="X409" i="1" s="1"/>
  <c r="X410" i="1" s="1"/>
  <c r="X411" i="1" s="1"/>
  <c r="X412" i="1" s="1"/>
  <c r="X413" i="1" s="1"/>
  <c r="X414" i="1" s="1"/>
  <c r="X415" i="1" s="1"/>
  <c r="X416" i="1" s="1"/>
  <c r="X417" i="1" s="1"/>
  <c r="X418" i="1" s="1"/>
  <c r="X419" i="1" s="1"/>
  <c r="X420" i="1" s="1"/>
  <c r="X421" i="1" s="1"/>
  <c r="X422" i="1" s="1"/>
  <c r="X423" i="1" s="1"/>
  <c r="X424" i="1" s="1"/>
  <c r="X425" i="1" s="1"/>
  <c r="X426" i="1" s="1"/>
  <c r="X427" i="1" s="1"/>
  <c r="X428" i="1" s="1"/>
  <c r="X429" i="1" s="1"/>
  <c r="X430" i="1" s="1"/>
  <c r="X431" i="1" s="1"/>
  <c r="X432" i="1" s="1"/>
  <c r="X433" i="1" s="1"/>
  <c r="X434" i="1" s="1"/>
  <c r="X435" i="1" s="1"/>
  <c r="X436" i="1" s="1"/>
  <c r="X437" i="1" s="1"/>
  <c r="X438" i="1" s="1"/>
  <c r="X439" i="1" s="1"/>
  <c r="X440" i="1" s="1"/>
  <c r="X441" i="1" s="1"/>
  <c r="X442" i="1" s="1"/>
  <c r="X443" i="1" s="1"/>
  <c r="X444" i="1" s="1"/>
  <c r="X445" i="1" s="1"/>
  <c r="X446" i="1" s="1"/>
  <c r="X447" i="1" s="1"/>
  <c r="X448" i="1" s="1"/>
  <c r="X449" i="1" s="1"/>
  <c r="X450" i="1" s="1"/>
  <c r="X451" i="1" s="1"/>
  <c r="X452" i="1" s="1"/>
  <c r="X453" i="1" s="1"/>
  <c r="X454" i="1" s="1"/>
  <c r="X455" i="1" s="1"/>
  <c r="X456" i="1" s="1"/>
  <c r="X457" i="1" s="1"/>
  <c r="X458" i="1" s="1"/>
  <c r="X459" i="1" s="1"/>
  <c r="X460" i="1" s="1"/>
  <c r="X461" i="1" s="1"/>
  <c r="X462" i="1" s="1"/>
  <c r="X463" i="1" s="1"/>
  <c r="X464" i="1" s="1"/>
  <c r="X465" i="1" s="1"/>
  <c r="X466" i="1" s="1"/>
  <c r="X467" i="1" s="1"/>
  <c r="X468" i="1" s="1"/>
  <c r="X469" i="1" s="1"/>
  <c r="X470" i="1" s="1"/>
  <c r="X471" i="1" s="1"/>
  <c r="X472" i="1" s="1"/>
  <c r="X473" i="1" s="1"/>
  <c r="X474" i="1" s="1"/>
  <c r="X475" i="1" s="1"/>
  <c r="X476" i="1" s="1"/>
  <c r="X477" i="1" s="1"/>
  <c r="X478" i="1" s="1"/>
  <c r="X479" i="1" s="1"/>
  <c r="X480" i="1" s="1"/>
  <c r="X481" i="1" s="1"/>
  <c r="X482" i="1" s="1"/>
  <c r="X483" i="1" s="1"/>
  <c r="X484" i="1" s="1"/>
  <c r="X485" i="1" s="1"/>
  <c r="X486" i="1" s="1"/>
  <c r="X487" i="1" s="1"/>
  <c r="X488" i="1" s="1"/>
  <c r="X489" i="1" s="1"/>
  <c r="X490" i="1" s="1"/>
  <c r="X491" i="1" s="1"/>
  <c r="X492" i="1" s="1"/>
  <c r="X493" i="1" s="1"/>
  <c r="X494" i="1" s="1"/>
  <c r="X495" i="1" s="1"/>
  <c r="X496" i="1" s="1"/>
  <c r="X497" i="1" s="1"/>
  <c r="X498" i="1" s="1"/>
  <c r="X499" i="1" s="1"/>
  <c r="X500" i="1" s="1"/>
  <c r="X501" i="1" s="1"/>
  <c r="X502" i="1" s="1"/>
  <c r="X503" i="1" s="1"/>
  <c r="X504" i="1" s="1"/>
  <c r="X505" i="1" s="1"/>
  <c r="X506" i="1" s="1"/>
  <c r="X507" i="1" s="1"/>
  <c r="X508" i="1" s="1"/>
  <c r="X509" i="1" s="1"/>
  <c r="X510" i="1" s="1"/>
  <c r="X511" i="1" s="1"/>
  <c r="X512" i="1" s="1"/>
  <c r="X513" i="1" s="1"/>
  <c r="X514" i="1" s="1"/>
  <c r="X515" i="1" s="1"/>
  <c r="X516" i="1" s="1"/>
  <c r="X517" i="1" s="1"/>
  <c r="X518" i="1" s="1"/>
  <c r="X519" i="1" s="1"/>
  <c r="X520" i="1" s="1"/>
  <c r="X521" i="1" s="1"/>
  <c r="X522" i="1" s="1"/>
  <c r="X523" i="1" s="1"/>
  <c r="X524" i="1" s="1"/>
  <c r="X525" i="1" s="1"/>
  <c r="X526" i="1" s="1"/>
  <c r="X527" i="1" s="1"/>
  <c r="X528" i="1" s="1"/>
  <c r="X529" i="1" s="1"/>
  <c r="X530" i="1" s="1"/>
  <c r="Z259" i="1"/>
  <c r="T273" i="1"/>
  <c r="T274" i="1" s="1"/>
  <c r="T275" i="1" s="1"/>
  <c r="T276" i="1" s="1"/>
  <c r="T277" i="1" s="1"/>
  <c r="T278" i="1" s="1"/>
  <c r="T279" i="1" s="1"/>
  <c r="T280" i="1" s="1"/>
  <c r="T281" i="1" s="1"/>
  <c r="T282" i="1" s="1"/>
  <c r="T283" i="1" s="1"/>
  <c r="T284" i="1" s="1"/>
  <c r="T285" i="1" s="1"/>
  <c r="T286" i="1" s="1"/>
  <c r="T287" i="1" s="1"/>
  <c r="T288" i="1" s="1"/>
  <c r="T289" i="1" s="1"/>
  <c r="T290" i="1" s="1"/>
  <c r="T291" i="1" s="1"/>
  <c r="T292" i="1" s="1"/>
  <c r="T293" i="1" s="1"/>
  <c r="T294" i="1" s="1"/>
  <c r="T295" i="1" s="1"/>
  <c r="T296" i="1" s="1"/>
  <c r="T297" i="1" s="1"/>
  <c r="T298" i="1" s="1"/>
  <c r="T299" i="1" s="1"/>
  <c r="T300" i="1" s="1"/>
  <c r="T301" i="1" s="1"/>
  <c r="T302" i="1" s="1"/>
  <c r="T303" i="1" s="1"/>
  <c r="T304" i="1" s="1"/>
  <c r="T305" i="1" s="1"/>
  <c r="T306" i="1" s="1"/>
  <c r="T307" i="1" s="1"/>
  <c r="T308" i="1" s="1"/>
  <c r="T309" i="1" s="1"/>
  <c r="T310" i="1" s="1"/>
  <c r="T311" i="1" s="1"/>
  <c r="T312" i="1" s="1"/>
  <c r="T313" i="1" s="1"/>
  <c r="T314" i="1" s="1"/>
  <c r="T315" i="1" s="1"/>
  <c r="T316" i="1" s="1"/>
  <c r="T317" i="1" s="1"/>
  <c r="T318" i="1" s="1"/>
  <c r="T319" i="1" s="1"/>
  <c r="T320" i="1" s="1"/>
  <c r="T321" i="1" s="1"/>
  <c r="T322" i="1" s="1"/>
  <c r="T323" i="1" s="1"/>
  <c r="T324" i="1" s="1"/>
  <c r="T325" i="1" s="1"/>
  <c r="T326" i="1" s="1"/>
  <c r="T327" i="1" s="1"/>
  <c r="T328" i="1" s="1"/>
  <c r="T329" i="1" s="1"/>
  <c r="T330" i="1" s="1"/>
  <c r="T331" i="1" s="1"/>
  <c r="T332" i="1" s="1"/>
  <c r="T333" i="1" s="1"/>
  <c r="Y499" i="1"/>
  <c r="Y500" i="1" s="1"/>
  <c r="Y501" i="1" s="1"/>
  <c r="Y502" i="1" s="1"/>
  <c r="Y503" i="1" s="1"/>
  <c r="Y504" i="1" s="1"/>
  <c r="Y505" i="1" s="1"/>
  <c r="Y506" i="1" s="1"/>
  <c r="Y507" i="1" s="1"/>
  <c r="W498" i="1"/>
  <c r="T521" i="1"/>
  <c r="T522" i="1" s="1"/>
  <c r="T523" i="1" s="1"/>
  <c r="T524" i="1" s="1"/>
  <c r="T525" i="1" s="1"/>
  <c r="T526" i="1" s="1"/>
  <c r="T527" i="1" s="1"/>
  <c r="T528" i="1" s="1"/>
  <c r="T529" i="1" s="1"/>
  <c r="T530" i="1" s="1"/>
  <c r="U500" i="1"/>
  <c r="U502" i="1"/>
  <c r="U504" i="1" s="1"/>
  <c r="U342" i="2" l="1"/>
  <c r="T377" i="2"/>
  <c r="T378" i="2" s="1"/>
  <c r="T379" i="2" s="1"/>
  <c r="T380" i="2" s="1"/>
  <c r="T381" i="2" s="1"/>
  <c r="T382" i="2" s="1"/>
  <c r="T383" i="2" s="1"/>
  <c r="T384" i="2" s="1"/>
  <c r="T385" i="2" s="1"/>
  <c r="T386" i="2" s="1"/>
  <c r="T387" i="2" s="1"/>
  <c r="T388" i="2" s="1"/>
  <c r="T389" i="2" s="1"/>
  <c r="T390" i="2" s="1"/>
  <c r="T391" i="2" s="1"/>
  <c r="T392" i="2" s="1"/>
  <c r="T393" i="2" s="1"/>
  <c r="T394" i="2" s="1"/>
  <c r="T395" i="2" s="1"/>
  <c r="T396" i="2" s="1"/>
  <c r="T397" i="2" s="1"/>
  <c r="T398" i="2" s="1"/>
  <c r="T399" i="2" s="1"/>
  <c r="T400" i="2" s="1"/>
  <c r="T401" i="2" s="1"/>
  <c r="T402" i="2" s="1"/>
  <c r="T403" i="2" s="1"/>
  <c r="T404" i="2" s="1"/>
  <c r="T405" i="2" s="1"/>
  <c r="T406" i="2" s="1"/>
  <c r="T407" i="2" s="1"/>
  <c r="T408" i="2" s="1"/>
  <c r="T409" i="2" s="1"/>
  <c r="T410" i="2" s="1"/>
  <c r="T411" i="2" s="1"/>
  <c r="T412" i="2" s="1"/>
  <c r="T413" i="2" s="1"/>
  <c r="T414" i="2" s="1"/>
  <c r="T415" i="2" s="1"/>
  <c r="T416" i="2" s="1"/>
  <c r="T417" i="2" s="1"/>
  <c r="T418" i="2" s="1"/>
  <c r="T419" i="2" s="1"/>
  <c r="T420" i="2" s="1"/>
  <c r="T421" i="2" s="1"/>
  <c r="T422" i="2" s="1"/>
  <c r="T423" i="2" s="1"/>
  <c r="T424" i="2" s="1"/>
  <c r="T425" i="2" s="1"/>
  <c r="T426" i="2" s="1"/>
  <c r="T427" i="2" s="1"/>
  <c r="T428" i="2" s="1"/>
  <c r="T429" i="2" s="1"/>
  <c r="T430" i="2" s="1"/>
  <c r="T431" i="2" s="1"/>
  <c r="T432" i="2" s="1"/>
  <c r="T433" i="2" s="1"/>
  <c r="T434" i="2" s="1"/>
  <c r="T435" i="2" s="1"/>
  <c r="T436" i="2" s="1"/>
  <c r="T437" i="2" s="1"/>
  <c r="T438" i="2" s="1"/>
  <c r="T439" i="2" s="1"/>
  <c r="T440" i="2" s="1"/>
  <c r="T441" i="2" s="1"/>
  <c r="T442" i="2" s="1"/>
  <c r="T443" i="2" s="1"/>
  <c r="T444" i="2" s="1"/>
  <c r="T445" i="2" s="1"/>
  <c r="T446" i="2" s="1"/>
  <c r="T447" i="2" s="1"/>
  <c r="T448" i="2" s="1"/>
  <c r="T449" i="2" s="1"/>
  <c r="T334" i="1"/>
  <c r="T335" i="1" s="1"/>
  <c r="T336" i="1" s="1"/>
  <c r="T337" i="1" s="1"/>
  <c r="T338" i="1" s="1"/>
  <c r="T339" i="1" s="1"/>
  <c r="T340" i="1" s="1"/>
  <c r="T341" i="1" s="1"/>
  <c r="T342" i="1" s="1"/>
  <c r="T343" i="1" s="1"/>
  <c r="T344" i="1" s="1"/>
  <c r="T345" i="1" s="1"/>
  <c r="T346" i="1" s="1"/>
  <c r="T347" i="1" s="1"/>
  <c r="T348" i="1" s="1"/>
  <c r="T349" i="1" s="1"/>
  <c r="T350" i="1" s="1"/>
  <c r="T351" i="1" s="1"/>
  <c r="T352" i="1" s="1"/>
  <c r="T353" i="1" s="1"/>
  <c r="T354" i="1" s="1"/>
  <c r="T355" i="1" s="1"/>
  <c r="T356" i="1" s="1"/>
  <c r="T357" i="1" s="1"/>
  <c r="T358" i="1" s="1"/>
  <c r="T359" i="1" s="1"/>
  <c r="T360" i="1" s="1"/>
  <c r="T361" i="1" s="1"/>
  <c r="T362" i="1" s="1"/>
  <c r="T363" i="1" s="1"/>
  <c r="T364" i="1" s="1"/>
  <c r="T365" i="1" s="1"/>
  <c r="T366" i="1" s="1"/>
  <c r="T367" i="1" s="1"/>
  <c r="T368" i="1" s="1"/>
  <c r="T369" i="1" s="1"/>
  <c r="T370" i="1" s="1"/>
  <c r="T371" i="1" s="1"/>
  <c r="T372" i="1" s="1"/>
  <c r="T373" i="1" s="1"/>
  <c r="T374" i="1" s="1"/>
  <c r="T375" i="1" s="1"/>
  <c r="T376" i="1" s="1"/>
  <c r="U265" i="1"/>
  <c r="U519" i="1"/>
  <c r="U521" i="1" s="1"/>
  <c r="U267" i="1"/>
  <c r="U269" i="1" s="1"/>
  <c r="U263" i="1"/>
  <c r="U342" i="1" l="1"/>
  <c r="U340" i="1"/>
  <c r="U344" i="1"/>
  <c r="U348" i="1" s="1"/>
  <c r="T450" i="2"/>
  <c r="T377" i="1"/>
  <c r="T378" i="1" s="1"/>
  <c r="T379" i="1" s="1"/>
  <c r="T380" i="1" s="1"/>
  <c r="T381" i="1" s="1"/>
  <c r="T382" i="1" s="1"/>
  <c r="T383" i="1" s="1"/>
  <c r="T384" i="1" s="1"/>
  <c r="T385" i="1" s="1"/>
  <c r="T386" i="1" s="1"/>
  <c r="T387" i="1" s="1"/>
  <c r="T388" i="1" s="1"/>
  <c r="T389" i="1" s="1"/>
  <c r="T390" i="1" s="1"/>
  <c r="T391" i="1" s="1"/>
  <c r="T392" i="1" s="1"/>
  <c r="T393" i="1" s="1"/>
  <c r="T394" i="1" s="1"/>
  <c r="T395" i="1" s="1"/>
  <c r="T396" i="1" s="1"/>
  <c r="T397" i="1" s="1"/>
  <c r="T398" i="1" s="1"/>
  <c r="T399" i="1" s="1"/>
  <c r="T400" i="1" s="1"/>
  <c r="T401" i="1" s="1"/>
  <c r="T402" i="1" s="1"/>
  <c r="T403" i="1" s="1"/>
  <c r="T404" i="1" s="1"/>
  <c r="T405" i="1" s="1"/>
  <c r="T406" i="1" s="1"/>
  <c r="T407" i="1" s="1"/>
  <c r="T408" i="1" s="1"/>
  <c r="T409" i="1" s="1"/>
  <c r="T410" i="1" s="1"/>
  <c r="T411" i="1" s="1"/>
  <c r="T412" i="1" s="1"/>
  <c r="T413" i="1" s="1"/>
  <c r="T414" i="1" s="1"/>
  <c r="T415" i="1" s="1"/>
  <c r="T416" i="1" s="1"/>
  <c r="T417" i="1" s="1"/>
  <c r="T418" i="1" s="1"/>
  <c r="T419" i="1" s="1"/>
  <c r="T420" i="1" s="1"/>
  <c r="T421" i="1" s="1"/>
  <c r="T422" i="1" s="1"/>
  <c r="T423" i="1" s="1"/>
  <c r="T424" i="1" s="1"/>
  <c r="T425" i="1" s="1"/>
  <c r="T426" i="1" s="1"/>
  <c r="T427" i="1" s="1"/>
  <c r="T428" i="1" s="1"/>
  <c r="T429" i="1" s="1"/>
  <c r="T430" i="1" s="1"/>
  <c r="T431" i="1" s="1"/>
  <c r="T432" i="1" s="1"/>
  <c r="T433" i="1" s="1"/>
  <c r="T434" i="1" s="1"/>
  <c r="T435" i="1" s="1"/>
  <c r="T436" i="1" s="1"/>
  <c r="T437" i="1" l="1"/>
  <c r="T438" i="1" s="1"/>
  <c r="T439" i="1" s="1"/>
  <c r="T440" i="1" s="1"/>
  <c r="T441" i="1" l="1"/>
  <c r="T442" i="1" s="1"/>
  <c r="T443" i="1" s="1"/>
  <c r="T444" i="1" s="1"/>
  <c r="T445" i="1" s="1"/>
  <c r="T446" i="1" s="1"/>
  <c r="T447" i="1" s="1"/>
  <c r="T448" i="1" s="1"/>
  <c r="T449" i="1" s="1"/>
  <c r="T450" i="1" s="1"/>
  <c r="T451" i="1" s="1"/>
  <c r="T452" i="1" s="1"/>
  <c r="T453" i="1" s="1"/>
  <c r="T454" i="1" s="1"/>
  <c r="T455" i="1" s="1"/>
  <c r="T456" i="1" s="1"/>
  <c r="T457" i="1" s="1"/>
  <c r="T458" i="1" s="1"/>
  <c r="T459" i="1" s="1"/>
  <c r="T460" i="1" s="1"/>
  <c r="T461" i="1" s="1"/>
  <c r="T462" i="1" s="1"/>
  <c r="T463" i="1" s="1"/>
  <c r="T464" i="1" s="1"/>
  <c r="T465" i="1" s="1"/>
  <c r="T466" i="1" s="1"/>
  <c r="T467" i="1" s="1"/>
  <c r="T468" i="1" s="1"/>
  <c r="T469" i="1" s="1"/>
  <c r="T470" i="1" s="1"/>
  <c r="T471" i="1" s="1"/>
  <c r="T472" i="1" s="1"/>
  <c r="T473" i="1" s="1"/>
  <c r="T474" i="1" s="1"/>
  <c r="U480" i="2"/>
  <c r="U482" i="2"/>
  <c r="U456" i="1" l="1"/>
  <c r="U383" i="1"/>
  <c r="U385" i="1"/>
  <c r="U458" i="1"/>
  <c r="U460" i="1"/>
  <c r="U462" i="1" s="1"/>
  <c r="U387" i="1"/>
  <c r="U389" i="1" s="1"/>
  <c r="U479" i="1"/>
  <c r="U481" i="1"/>
  <c r="U483" i="1" s="1"/>
</calcChain>
</file>

<file path=xl/sharedStrings.xml><?xml version="1.0" encoding="utf-8"?>
<sst xmlns="http://schemas.openxmlformats.org/spreadsheetml/2006/main" count="323" uniqueCount="70">
  <si>
    <t>TEMPERATURE</t>
  </si>
  <si>
    <t>ETAT HYDRIQUE</t>
  </si>
  <si>
    <t>RAYONNEMENT</t>
  </si>
  <si>
    <t>BILAN HYDRIQUE</t>
  </si>
  <si>
    <t>Période</t>
  </si>
  <si>
    <t>DATE</t>
  </si>
  <si>
    <t>T_Q</t>
  </si>
  <si>
    <t>TINF_H_Q</t>
  </si>
  <si>
    <t>TSUP_H_Q</t>
  </si>
  <si>
    <t>GDD base 0°</t>
  </si>
  <si>
    <t>VAR</t>
  </si>
  <si>
    <t>PRELIQ_Q</t>
  </si>
  <si>
    <t>Cumul_P</t>
  </si>
  <si>
    <t>ETP_Q</t>
  </si>
  <si>
    <t>Cumul ETP</t>
  </si>
  <si>
    <t>P-ETP</t>
  </si>
  <si>
    <t>ETAT RU_1</t>
  </si>
  <si>
    <t>i</t>
  </si>
  <si>
    <t>kc</t>
  </si>
  <si>
    <t>ETM</t>
  </si>
  <si>
    <t>P-ETM</t>
  </si>
  <si>
    <t>WSC</t>
  </si>
  <si>
    <t>SSI_Q</t>
  </si>
  <si>
    <t>QPT_Q</t>
  </si>
  <si>
    <t>Cumul RG</t>
  </si>
  <si>
    <t>Photopériode</t>
  </si>
  <si>
    <t>RU</t>
  </si>
  <si>
    <t>Pts de conv</t>
  </si>
  <si>
    <t>SEMIS BGA11</t>
  </si>
  <si>
    <t>AUTOMNE</t>
  </si>
  <si>
    <t>Tmin</t>
  </si>
  <si>
    <t>nbj_sec</t>
  </si>
  <si>
    <t>crg</t>
  </si>
  <si>
    <t>Tmax</t>
  </si>
  <si>
    <t>nbj_water_deficit</t>
  </si>
  <si>
    <t>qpt_p</t>
  </si>
  <si>
    <t>Tmoy</t>
  </si>
  <si>
    <t>nbj_stress_hydro</t>
  </si>
  <si>
    <t>nbj_radinf_900</t>
  </si>
  <si>
    <t>nbj_tgel</t>
  </si>
  <si>
    <t>water_soil_content_min</t>
  </si>
  <si>
    <t>nbj_tsup25</t>
  </si>
  <si>
    <t>water_soil_content_max</t>
  </si>
  <si>
    <t>nbj_tinf5</t>
  </si>
  <si>
    <t>water_soil_content_moy</t>
  </si>
  <si>
    <t>gdd_p</t>
  </si>
  <si>
    <t>HIVER</t>
  </si>
  <si>
    <t>nbj_vern_opti</t>
  </si>
  <si>
    <t>MONTAISON</t>
  </si>
  <si>
    <t>Montego</t>
  </si>
  <si>
    <t>Aviso</t>
  </si>
  <si>
    <t>Fin FLO</t>
  </si>
  <si>
    <t>RECOLTE BGA11</t>
  </si>
  <si>
    <t>FERTI</t>
  </si>
  <si>
    <t>WSC_BI</t>
  </si>
  <si>
    <t>BI_DRY</t>
  </si>
  <si>
    <t>DRF</t>
  </si>
  <si>
    <t>TS</t>
  </si>
  <si>
    <t>IRF</t>
  </si>
  <si>
    <t>WSC_BI_1</t>
  </si>
  <si>
    <t>BI_DRY_1</t>
  </si>
  <si>
    <t>DRF_1</t>
  </si>
  <si>
    <t>TS_1</t>
  </si>
  <si>
    <t>IRF_1</t>
  </si>
  <si>
    <t>WSC_BI_2</t>
  </si>
  <si>
    <t>BI_DRY_2</t>
  </si>
  <si>
    <t>DRF_2</t>
  </si>
  <si>
    <t>TS_2</t>
  </si>
  <si>
    <t>IRF_2</t>
  </si>
  <si>
    <t>WSC_I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</si>
</sst>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9" x14ac:knownFonts="1">
    <font>
      <sz val="11"/>
      <color theme="1"/>
      <name val="Calibri"/>
      <family val="2"/>
      <scheme val="minor"/>
    </font>
    <font>
      <sz val="11"/>
      <color theme="1"/>
      <name val="Calibri"/>
      <family val="2"/>
    </font>
    <font>
      <b/>
      <sz val="11"/>
      <color rgb="FF000000"/>
      <name val="Calibri"/>
      <family val="2"/>
    </font>
    <font>
      <b/>
      <i/>
      <u/>
      <sz val="11"/>
      <color rgb="FF000000"/>
      <name val="Calibri"/>
      <family val="2"/>
    </font>
    <font>
      <b/>
      <sz val="11"/>
      <color rgb="FFFF0000"/>
      <name val="Calibri"/>
      <family val="2"/>
    </font>
    <font>
      <sz val="11"/>
      <name val="Calibri"/>
      <family val="2"/>
    </font>
    <font>
      <b/>
      <sz val="11"/>
      <name val="Calibri"/>
      <family val="2"/>
    </font>
    <font>
      <b/>
      <i/>
      <u/>
      <sz val="11"/>
      <color rgb="FFFFC000"/>
      <name val="Calibri"/>
      <family val="2"/>
    </font>
    <font>
      <b/>
      <sz val="11"/>
      <color theme="1"/>
      <name val="Calibri"/>
      <family val="2"/>
    </font>
  </fonts>
  <fills count="15">
    <fill>
      <patternFill patternType="none"/>
    </fill>
    <fill>
      <patternFill patternType="gray125"/>
    </fill>
    <fill>
      <patternFill patternType="solid">
        <fgColor rgb="FFFFC000"/>
        <bgColor rgb="FF000000"/>
      </patternFill>
    </fill>
    <fill>
      <patternFill patternType="solid">
        <fgColor rgb="FF00B050"/>
        <bgColor rgb="FF000000"/>
      </patternFill>
    </fill>
    <fill>
      <patternFill patternType="solid">
        <fgColor rgb="FFFDE9D9"/>
        <bgColor rgb="FF000000"/>
      </patternFill>
    </fill>
    <fill>
      <patternFill patternType="solid">
        <fgColor rgb="FF0070C0"/>
        <bgColor rgb="FF000000"/>
      </patternFill>
    </fill>
    <fill>
      <patternFill patternType="lightGray">
        <fgColor rgb="FF000000"/>
        <bgColor rgb="FFFFFFFF"/>
      </patternFill>
    </fill>
    <fill>
      <patternFill patternType="solid">
        <fgColor rgb="FFDDD9C4"/>
        <bgColor rgb="FF000000"/>
      </patternFill>
    </fill>
    <fill>
      <patternFill patternType="solid">
        <fgColor rgb="FF92D050"/>
        <bgColor rgb="FF000000"/>
      </patternFill>
    </fill>
    <fill>
      <patternFill patternType="solid">
        <fgColor rgb="FFFFFF00"/>
        <bgColor rgb="FF000000"/>
      </patternFill>
    </fill>
    <fill>
      <patternFill patternType="solid">
        <fgColor rgb="FFE26B0A"/>
        <bgColor rgb="FF000000"/>
      </patternFill>
    </fill>
    <fill>
      <patternFill patternType="solid">
        <fgColor rgb="FFFF0000"/>
        <bgColor rgb="FF000000"/>
      </patternFill>
    </fill>
    <fill>
      <patternFill patternType="solid">
        <fgColor rgb="FFC00000"/>
        <bgColor rgb="FF000000"/>
      </patternFill>
    </fill>
    <fill>
      <patternFill patternType="solid">
        <fgColor theme="3"/>
        <bgColor indexed="64"/>
      </patternFill>
    </fill>
    <fill>
      <patternFill patternType="solid">
        <fgColor theme="0" tint="-0.14999847407452621"/>
        <bgColor indexed="64"/>
      </patternFill>
    </fill>
  </fills>
  <borders count="7">
    <border>
      <left/>
      <right/>
      <top/>
      <bottom/>
      <diagonal/>
    </border>
    <border>
      <left style="medium">
        <color indexed="64"/>
      </left>
      <right/>
      <top/>
      <bottom/>
      <diagonal/>
    </border>
    <border>
      <left/>
      <right style="medium">
        <color indexed="64"/>
      </right>
      <top/>
      <bottom/>
      <diagonal/>
    </border>
    <border>
      <left/>
      <right/>
      <top/>
      <bottom style="medium">
        <color indexed="64"/>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s>
  <cellStyleXfs count="1">
    <xf numFmtId="0" fontId="0" fillId="0" borderId="0"/>
  </cellStyleXfs>
  <cellXfs count="97">
    <xf numFmtId="0" fontId="0" fillId="0" borderId="0" xfId="0"/>
    <xf numFmtId="0" fontId="1" fillId="0" borderId="0" xfId="0" applyFont="1" applyFill="1" applyBorder="1"/>
    <xf numFmtId="0" fontId="1" fillId="0" borderId="0" xfId="0" applyFont="1" applyFill="1" applyBorder="1" applyAlignment="1"/>
    <xf numFmtId="0" fontId="2" fillId="0" borderId="0" xfId="0" applyFont="1" applyFill="1" applyBorder="1" applyAlignment="1">
      <alignment horizontal="center" vertical="center"/>
    </xf>
    <xf numFmtId="0" fontId="1" fillId="0" borderId="0" xfId="0" applyFont="1" applyFill="1" applyBorder="1" applyAlignment="1">
      <alignment horizontal="center" vertical="center"/>
    </xf>
    <xf numFmtId="0" fontId="1" fillId="0" borderId="0" xfId="0" applyFont="1" applyFill="1" applyBorder="1" applyAlignment="1">
      <alignment horizontal="center"/>
    </xf>
    <xf numFmtId="0" fontId="1" fillId="0" borderId="1" xfId="0" applyFont="1" applyFill="1" applyBorder="1"/>
    <xf numFmtId="0" fontId="1" fillId="0" borderId="2" xfId="0" applyFont="1" applyFill="1" applyBorder="1"/>
    <xf numFmtId="14" fontId="1" fillId="0" borderId="0" xfId="0" applyNumberFormat="1" applyFont="1" applyFill="1" applyBorder="1"/>
    <xf numFmtId="0" fontId="2" fillId="0" borderId="0" xfId="0" applyFont="1" applyFill="1" applyBorder="1"/>
    <xf numFmtId="14" fontId="1" fillId="2" borderId="0" xfId="0" applyNumberFormat="1" applyFont="1" applyFill="1" applyBorder="1"/>
    <xf numFmtId="0" fontId="1" fillId="2" borderId="0" xfId="0" applyFont="1" applyFill="1" applyBorder="1"/>
    <xf numFmtId="0" fontId="1" fillId="2" borderId="1" xfId="0" applyFont="1" applyFill="1" applyBorder="1"/>
    <xf numFmtId="0" fontId="2" fillId="4" borderId="0" xfId="0" applyFont="1" applyFill="1" applyBorder="1"/>
    <xf numFmtId="164" fontId="1" fillId="0" borderId="0" xfId="0" applyNumberFormat="1" applyFont="1" applyFill="1" applyBorder="1"/>
    <xf numFmtId="164" fontId="1" fillId="0" borderId="2" xfId="0" applyNumberFormat="1" applyFont="1" applyFill="1" applyBorder="1"/>
    <xf numFmtId="2" fontId="1" fillId="0" borderId="0" xfId="0" applyNumberFormat="1" applyFont="1" applyFill="1" applyBorder="1"/>
    <xf numFmtId="0" fontId="4" fillId="0" borderId="0" xfId="0" applyFont="1" applyFill="1" applyBorder="1" applyAlignment="1">
      <alignment horizontal="center" vertical="center"/>
    </xf>
    <xf numFmtId="14" fontId="4" fillId="0" borderId="0" xfId="0" applyNumberFormat="1" applyFont="1" applyFill="1" applyBorder="1"/>
    <xf numFmtId="0" fontId="4" fillId="0" borderId="0" xfId="0" applyFont="1" applyFill="1" applyBorder="1"/>
    <xf numFmtId="0" fontId="4" fillId="0" borderId="1" xfId="0" applyFont="1" applyFill="1" applyBorder="1"/>
    <xf numFmtId="164" fontId="4" fillId="0" borderId="0" xfId="0" applyNumberFormat="1" applyFont="1" applyFill="1" applyBorder="1"/>
    <xf numFmtId="0" fontId="2" fillId="5" borderId="0" xfId="0" applyFont="1" applyFill="1" applyBorder="1" applyAlignment="1">
      <alignment horizontal="center" vertical="center"/>
    </xf>
    <xf numFmtId="0" fontId="2" fillId="5" borderId="0" xfId="0" applyFont="1" applyFill="1" applyBorder="1"/>
    <xf numFmtId="0" fontId="2" fillId="6" borderId="0" xfId="0" applyFont="1" applyFill="1" applyBorder="1" applyAlignment="1">
      <alignment horizontal="center" vertical="center"/>
    </xf>
    <xf numFmtId="0" fontId="1" fillId="7" borderId="0" xfId="0" applyFont="1" applyFill="1" applyBorder="1"/>
    <xf numFmtId="0" fontId="2" fillId="8" borderId="0" xfId="0" applyFont="1" applyFill="1" applyBorder="1"/>
    <xf numFmtId="0" fontId="5" fillId="0" borderId="0" xfId="0" applyFont="1" applyFill="1" applyBorder="1" applyAlignment="1">
      <alignment horizontal="center" vertical="center"/>
    </xf>
    <xf numFmtId="14" fontId="5" fillId="0" borderId="0" xfId="0" applyNumberFormat="1" applyFont="1" applyFill="1" applyBorder="1"/>
    <xf numFmtId="0" fontId="5" fillId="0" borderId="0" xfId="0" applyFont="1" applyFill="1" applyBorder="1"/>
    <xf numFmtId="0" fontId="5" fillId="0" borderId="1" xfId="0" applyFont="1" applyFill="1" applyBorder="1"/>
    <xf numFmtId="164" fontId="5" fillId="0" borderId="0" xfId="0" applyNumberFormat="1" applyFont="1" applyFill="1" applyBorder="1"/>
    <xf numFmtId="0" fontId="6" fillId="0" borderId="0" xfId="0" applyFont="1" applyFill="1" applyBorder="1" applyAlignment="1">
      <alignment horizontal="center" vertical="center"/>
    </xf>
    <xf numFmtId="0" fontId="5" fillId="9" borderId="0" xfId="0" applyFont="1" applyFill="1" applyBorder="1"/>
    <xf numFmtId="0" fontId="6" fillId="9" borderId="0" xfId="0" applyFont="1" applyFill="1" applyBorder="1" applyAlignment="1">
      <alignment horizontal="center" vertical="center"/>
    </xf>
    <xf numFmtId="0" fontId="2" fillId="9" borderId="0" xfId="0" applyFont="1" applyFill="1" applyBorder="1"/>
    <xf numFmtId="0" fontId="5" fillId="9" borderId="0" xfId="0" applyFont="1" applyFill="1" applyBorder="1" applyAlignment="1">
      <alignment horizontal="center" vertical="center"/>
    </xf>
    <xf numFmtId="0" fontId="2" fillId="9" borderId="0" xfId="0" applyFont="1" applyFill="1" applyBorder="1" applyAlignment="1">
      <alignment horizontal="center" vertical="center"/>
    </xf>
    <xf numFmtId="0" fontId="2" fillId="2" borderId="0" xfId="0" applyFont="1" applyFill="1" applyBorder="1"/>
    <xf numFmtId="0" fontId="2" fillId="10" borderId="0" xfId="0" applyFont="1" applyFill="1" applyBorder="1"/>
    <xf numFmtId="0" fontId="2" fillId="11" borderId="0" xfId="0" applyFont="1" applyFill="1" applyBorder="1"/>
    <xf numFmtId="0" fontId="1" fillId="0" borderId="0" xfId="0" applyFont="1" applyFill="1" applyBorder="1" applyAlignment="1">
      <alignment horizontal="center" vertical="center" wrapText="1"/>
    </xf>
    <xf numFmtId="0" fontId="1" fillId="0" borderId="0" xfId="0" applyFont="1" applyFill="1" applyBorder="1" applyAlignment="1">
      <alignment vertical="center" wrapText="1"/>
    </xf>
    <xf numFmtId="0" fontId="6" fillId="0" borderId="3" xfId="0" applyFont="1" applyFill="1" applyBorder="1" applyAlignment="1">
      <alignment horizontal="center" vertical="center"/>
    </xf>
    <xf numFmtId="14" fontId="6" fillId="0" borderId="3" xfId="0" applyNumberFormat="1" applyFont="1" applyFill="1" applyBorder="1"/>
    <xf numFmtId="0" fontId="6" fillId="0" borderId="3" xfId="0" applyFont="1" applyFill="1" applyBorder="1"/>
    <xf numFmtId="0" fontId="6" fillId="0" borderId="4" xfId="0" applyFont="1" applyFill="1" applyBorder="1"/>
    <xf numFmtId="2" fontId="6" fillId="0" borderId="3" xfId="0" applyNumberFormat="1" applyFont="1" applyFill="1" applyBorder="1"/>
    <xf numFmtId="164" fontId="6" fillId="0" borderId="3" xfId="0" applyNumberFormat="1" applyFont="1" applyFill="1" applyBorder="1"/>
    <xf numFmtId="164" fontId="6" fillId="0" borderId="5" xfId="0" applyNumberFormat="1" applyFont="1" applyFill="1" applyBorder="1"/>
    <xf numFmtId="164" fontId="8" fillId="0" borderId="5" xfId="0" applyNumberFormat="1" applyFont="1" applyFill="1" applyBorder="1"/>
    <xf numFmtId="0" fontId="8" fillId="0" borderId="3" xfId="0" applyFont="1" applyFill="1" applyBorder="1"/>
    <xf numFmtId="0" fontId="6" fillId="9" borderId="3" xfId="0" applyFont="1" applyFill="1" applyBorder="1" applyAlignment="1">
      <alignment horizontal="center" vertical="center"/>
    </xf>
    <xf numFmtId="0" fontId="6" fillId="0" borderId="3" xfId="0" applyFont="1" applyFill="1" applyBorder="1" applyAlignment="1"/>
    <xf numFmtId="0" fontId="6" fillId="0" borderId="3" xfId="0" applyFont="1" applyFill="1" applyBorder="1" applyAlignment="1">
      <alignment horizontal="center" vertical="center" wrapText="1"/>
    </xf>
    <xf numFmtId="2" fontId="5" fillId="0" borderId="0" xfId="0" applyNumberFormat="1" applyFont="1" applyFill="1" applyBorder="1"/>
    <xf numFmtId="0" fontId="8" fillId="0" borderId="3" xfId="0" applyFont="1" applyFill="1" applyBorder="1" applyAlignment="1"/>
    <xf numFmtId="14" fontId="8" fillId="0" borderId="3" xfId="0" applyNumberFormat="1" applyFont="1" applyFill="1" applyBorder="1"/>
    <xf numFmtId="0" fontId="8" fillId="0" borderId="4" xfId="0" applyFont="1" applyFill="1" applyBorder="1"/>
    <xf numFmtId="164" fontId="8" fillId="0" borderId="3" xfId="0" applyNumberFormat="1" applyFont="1" applyFill="1" applyBorder="1"/>
    <xf numFmtId="2" fontId="8" fillId="0" borderId="3" xfId="0" applyNumberFormat="1" applyFont="1" applyFill="1" applyBorder="1"/>
    <xf numFmtId="0" fontId="6" fillId="2" borderId="3" xfId="0" applyFont="1" applyFill="1" applyBorder="1"/>
    <xf numFmtId="0" fontId="5" fillId="0" borderId="0" xfId="0" applyFont="1" applyFill="1" applyBorder="1" applyAlignment="1"/>
    <xf numFmtId="0" fontId="8" fillId="0" borderId="3" xfId="0" applyFont="1" applyFill="1" applyBorder="1" applyAlignment="1">
      <alignment horizontal="center" vertical="center" wrapText="1"/>
    </xf>
    <xf numFmtId="0" fontId="5" fillId="0" borderId="0" xfId="0" applyFont="1" applyFill="1" applyBorder="1" applyAlignment="1">
      <alignment horizontal="center" vertical="center" wrapText="1"/>
    </xf>
    <xf numFmtId="0" fontId="2" fillId="11" borderId="0" xfId="0" applyFont="1" applyFill="1" applyBorder="1" applyAlignment="1">
      <alignment horizontal="center" vertical="center" textRotation="255"/>
    </xf>
    <xf numFmtId="0" fontId="7" fillId="12" borderId="0" xfId="0" applyFont="1" applyFill="1" applyBorder="1" applyAlignment="1">
      <alignment horizontal="center"/>
    </xf>
    <xf numFmtId="0" fontId="3" fillId="3" borderId="0" xfId="0" applyFont="1" applyFill="1" applyBorder="1" applyAlignment="1">
      <alignment horizontal="center"/>
    </xf>
    <xf numFmtId="0" fontId="2" fillId="4" borderId="0" xfId="0" applyFont="1" applyFill="1" applyBorder="1" applyAlignment="1">
      <alignment horizontal="center" vertical="center" textRotation="255"/>
    </xf>
    <xf numFmtId="0" fontId="2" fillId="5" borderId="0" xfId="0" applyFont="1" applyFill="1" applyBorder="1" applyAlignment="1">
      <alignment horizontal="center" vertical="center" textRotation="255"/>
    </xf>
    <xf numFmtId="0" fontId="2" fillId="8" borderId="0" xfId="0" applyFont="1" applyFill="1" applyBorder="1" applyAlignment="1">
      <alignment horizontal="center" vertical="center" textRotation="255"/>
    </xf>
    <xf numFmtId="0" fontId="2" fillId="2" borderId="0" xfId="0" applyFont="1" applyFill="1" applyBorder="1" applyAlignment="1">
      <alignment horizontal="center" vertical="center" textRotation="255"/>
    </xf>
    <xf numFmtId="0" fontId="2" fillId="10" borderId="0" xfId="0" applyFont="1" applyFill="1" applyBorder="1" applyAlignment="1">
      <alignment horizontal="center" vertical="center" textRotation="255"/>
    </xf>
    <xf numFmtId="0" fontId="2" fillId="0" borderId="0" xfId="0" applyFont="1" applyFill="1" applyBorder="1" applyAlignment="1">
      <alignment horizontal="center" vertical="center"/>
    </xf>
    <xf numFmtId="0" fontId="1" fillId="0" borderId="0" xfId="0" applyFont="1" applyFill="1" applyBorder="1" applyAlignment="1">
      <alignment horizontal="center" vertical="center"/>
    </xf>
    <xf numFmtId="0" fontId="2" fillId="0" borderId="1" xfId="0" applyFont="1" applyFill="1" applyBorder="1" applyAlignment="1">
      <alignment horizontal="center" vertical="center"/>
    </xf>
    <xf numFmtId="0" fontId="2" fillId="0" borderId="2" xfId="0" applyFont="1" applyFill="1" applyBorder="1" applyAlignment="1">
      <alignment horizontal="center" vertical="center"/>
    </xf>
    <xf numFmtId="0" fontId="1" fillId="0" borderId="0" xfId="0" applyFont="1" applyFill="1" applyBorder="1" applyAlignment="1">
      <alignment horizontal="center"/>
    </xf>
    <xf numFmtId="0" fontId="2" fillId="2" borderId="6" xfId="0" applyFont="1" applyFill="1" applyBorder="1" applyAlignment="1">
      <alignment horizontal="center" vertical="center" textRotation="255"/>
    </xf>
    <xf numFmtId="0" fontId="2" fillId="2" borderId="3" xfId="0" applyFont="1" applyFill="1" applyBorder="1" applyAlignment="1">
      <alignment horizontal="center" vertical="center" textRotation="255"/>
    </xf>
    <xf numFmtId="0" fontId="2" fillId="10" borderId="6" xfId="0" applyFont="1" applyFill="1" applyBorder="1" applyAlignment="1">
      <alignment horizontal="center" vertical="center" textRotation="255"/>
    </xf>
    <xf numFmtId="0" fontId="2" fillId="13" borderId="0" xfId="0" applyFont="1" applyFill="1" applyBorder="1" applyAlignment="1">
      <alignment horizontal="center" vertical="center"/>
    </xf>
    <xf numFmtId="14" fontId="1" fillId="13" borderId="0" xfId="0" applyNumberFormat="1" applyFont="1" applyFill="1" applyBorder="1"/>
    <xf numFmtId="0" fontId="1" fillId="13" borderId="0" xfId="0" applyFont="1" applyFill="1" applyBorder="1"/>
    <xf numFmtId="0" fontId="1" fillId="13" borderId="1" xfId="0" applyFont="1" applyFill="1" applyBorder="1"/>
    <xf numFmtId="2" fontId="1" fillId="13" borderId="0" xfId="0" applyNumberFormat="1" applyFont="1" applyFill="1" applyBorder="1"/>
    <xf numFmtId="164" fontId="1" fillId="13" borderId="0" xfId="0" applyNumberFormat="1" applyFont="1" applyFill="1" applyBorder="1"/>
    <xf numFmtId="164" fontId="1" fillId="13" borderId="2" xfId="0" applyNumberFormat="1" applyFont="1" applyFill="1" applyBorder="1"/>
    <xf numFmtId="0" fontId="1" fillId="14" borderId="0" xfId="0" applyFont="1" applyFill="1" applyBorder="1"/>
    <xf numFmtId="0" fontId="5" fillId="14" borderId="0" xfId="0" applyFont="1" applyFill="1" applyBorder="1"/>
    <xf numFmtId="0" fontId="6" fillId="14" borderId="3" xfId="0" applyFont="1" applyFill="1" applyBorder="1"/>
    <xf numFmtId="164" fontId="1" fillId="14" borderId="2" xfId="0" applyNumberFormat="1" applyFont="1" applyFill="1" applyBorder="1"/>
    <xf numFmtId="164" fontId="6" fillId="14" borderId="5" xfId="0" applyNumberFormat="1" applyFont="1" applyFill="1" applyBorder="1"/>
    <xf numFmtId="0" fontId="8" fillId="0" borderId="0" xfId="0" applyFont="1" applyFill="1" applyBorder="1"/>
    <xf numFmtId="0" fontId="8" fillId="14" borderId="3" xfId="0" applyFont="1" applyFill="1" applyBorder="1"/>
    <xf numFmtId="164" fontId="5" fillId="14" borderId="2" xfId="0" applyNumberFormat="1" applyFont="1" applyFill="1" applyBorder="1"/>
    <xf numFmtId="164" fontId="8" fillId="14" borderId="5" xfId="0" applyNumberFormat="1" applyFont="1" applyFill="1" applyBorder="1"/>
  </cellXfs>
  <cellStyles count="1">
    <cellStyle name="Normal" xfId="0" builtinId="0"/>
  </cellStyles>
  <dxfs count="16">
    <dxf>
      <fill>
        <patternFill>
          <bgColor rgb="FFFABF8F"/>
        </patternFill>
      </fill>
    </dxf>
    <dxf>
      <fill>
        <patternFill>
          <bgColor rgb="FFC0504D"/>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
      <fill>
        <patternFill>
          <bgColor rgb="FFFABF8F"/>
        </patternFill>
      </fill>
    </dxf>
    <dxf>
      <fill>
        <patternFill>
          <bgColor rgb="FFC0504D"/>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B531"/>
  <sheetViews>
    <sheetView zoomScale="70" zoomScaleNormal="70" workbookViewId="0">
      <pane xSplit="3" ySplit="4" topLeftCell="D407" activePane="bottomRight" state="frozen"/>
      <selection pane="topRight" activeCell="D1" sqref="D1"/>
      <selection pane="bottomLeft" activeCell="A5" sqref="A5"/>
      <selection pane="bottomRight" activeCell="AB430" sqref="AB430"/>
    </sheetView>
  </sheetViews>
  <sheetFormatPr baseColWidth="10" defaultRowHeight="15" x14ac:dyDescent="0.25"/>
  <sheetData>
    <row r="1" spans="1:27" s="1" customFormat="1" x14ac:dyDescent="0.25">
      <c r="B1" s="2"/>
      <c r="D1" s="73" t="s">
        <v>0</v>
      </c>
      <c r="E1" s="73"/>
      <c r="F1" s="73"/>
      <c r="G1" s="73"/>
      <c r="H1" s="73"/>
      <c r="I1" s="73"/>
      <c r="J1" s="73" t="s">
        <v>1</v>
      </c>
      <c r="K1" s="73"/>
      <c r="L1" s="73"/>
      <c r="M1" s="73"/>
      <c r="N1" s="73"/>
      <c r="O1" s="73"/>
      <c r="P1" s="73"/>
      <c r="Q1" s="73"/>
      <c r="R1" s="73"/>
      <c r="S1" s="73"/>
      <c r="T1" s="73"/>
      <c r="U1" s="73"/>
      <c r="V1" s="73" t="s">
        <v>2</v>
      </c>
      <c r="W1" s="74"/>
      <c r="X1" s="74"/>
      <c r="Y1" s="74"/>
      <c r="Z1" s="74"/>
    </row>
    <row r="2" spans="1:27" s="1" customFormat="1" x14ac:dyDescent="0.25">
      <c r="B2" s="2"/>
      <c r="D2" s="73"/>
      <c r="E2" s="73"/>
      <c r="F2" s="73"/>
      <c r="G2" s="73"/>
      <c r="H2" s="73"/>
      <c r="I2" s="73"/>
      <c r="J2" s="73"/>
      <c r="K2" s="73"/>
      <c r="L2" s="73"/>
      <c r="M2" s="73"/>
      <c r="N2" s="73"/>
      <c r="O2" s="73"/>
      <c r="P2" s="73"/>
      <c r="Q2" s="73"/>
      <c r="R2" s="73"/>
      <c r="S2" s="73"/>
      <c r="T2" s="73"/>
      <c r="U2" s="73"/>
      <c r="V2" s="74"/>
      <c r="W2" s="74"/>
      <c r="X2" s="74"/>
      <c r="Y2" s="74"/>
      <c r="Z2" s="74"/>
    </row>
    <row r="3" spans="1:27" s="1" customFormat="1" x14ac:dyDescent="0.25">
      <c r="B3" s="2"/>
      <c r="D3" s="3"/>
      <c r="E3" s="3"/>
      <c r="F3" s="3"/>
      <c r="G3" s="3"/>
      <c r="H3" s="3"/>
      <c r="I3" s="3"/>
      <c r="J3" s="73"/>
      <c r="K3" s="73"/>
      <c r="L3" s="73"/>
      <c r="M3" s="73"/>
      <c r="N3" s="73"/>
      <c r="O3" s="73"/>
      <c r="P3" s="75" t="s">
        <v>3</v>
      </c>
      <c r="Q3" s="73"/>
      <c r="R3" s="73"/>
      <c r="S3" s="73"/>
      <c r="T3" s="76"/>
      <c r="U3" s="3"/>
      <c r="V3" s="4"/>
      <c r="W3" s="4"/>
      <c r="X3" s="4"/>
      <c r="Y3" s="4"/>
      <c r="Z3" s="4"/>
    </row>
    <row r="4" spans="1:27" s="1" customFormat="1" x14ac:dyDescent="0.25">
      <c r="A4" s="1" t="s">
        <v>4</v>
      </c>
      <c r="B4" s="2">
        <v>5</v>
      </c>
      <c r="C4" s="1" t="s">
        <v>5</v>
      </c>
      <c r="D4" s="1" t="s">
        <v>6</v>
      </c>
      <c r="E4" s="1" t="s">
        <v>7</v>
      </c>
      <c r="F4" s="1" t="s">
        <v>8</v>
      </c>
      <c r="G4" s="77" t="s">
        <v>9</v>
      </c>
      <c r="H4" s="77"/>
      <c r="I4" s="1" t="s">
        <v>10</v>
      </c>
      <c r="J4" s="1" t="s">
        <v>11</v>
      </c>
      <c r="K4" s="1" t="s">
        <v>12</v>
      </c>
      <c r="L4" s="1" t="s">
        <v>13</v>
      </c>
      <c r="M4" s="1" t="s">
        <v>14</v>
      </c>
      <c r="N4" s="1" t="s">
        <v>15</v>
      </c>
      <c r="O4" s="5" t="s">
        <v>16</v>
      </c>
      <c r="P4" s="6" t="s">
        <v>17</v>
      </c>
      <c r="Q4" s="1" t="s">
        <v>18</v>
      </c>
      <c r="R4" s="1" t="s">
        <v>19</v>
      </c>
      <c r="S4" s="1" t="s">
        <v>20</v>
      </c>
      <c r="T4" s="7" t="s">
        <v>21</v>
      </c>
      <c r="U4" s="1" t="s">
        <v>10</v>
      </c>
      <c r="V4" s="1" t="s">
        <v>22</v>
      </c>
      <c r="W4" s="1" t="s">
        <v>23</v>
      </c>
      <c r="X4" s="74" t="s">
        <v>24</v>
      </c>
      <c r="Y4" s="74"/>
      <c r="Z4" s="1" t="s">
        <v>10</v>
      </c>
      <c r="AA4" s="1" t="s">
        <v>25</v>
      </c>
    </row>
    <row r="5" spans="1:27" s="1" customFormat="1" x14ac:dyDescent="0.25">
      <c r="B5" s="2"/>
      <c r="C5" s="8">
        <v>40179</v>
      </c>
      <c r="D5" s="1">
        <v>6.3</v>
      </c>
      <c r="E5" s="1">
        <v>5.9</v>
      </c>
      <c r="F5" s="1">
        <v>7.4</v>
      </c>
      <c r="J5" s="1">
        <v>0.6</v>
      </c>
      <c r="L5" s="1">
        <v>1</v>
      </c>
      <c r="N5" s="1">
        <v>-0.4</v>
      </c>
      <c r="P5" s="6"/>
      <c r="T5" s="7"/>
      <c r="U5" s="9" t="s">
        <v>26</v>
      </c>
      <c r="V5" s="1">
        <v>263.39999999999998</v>
      </c>
    </row>
    <row r="6" spans="1:27" s="1" customFormat="1" x14ac:dyDescent="0.25">
      <c r="B6" s="2"/>
      <c r="C6" s="8">
        <v>40180</v>
      </c>
      <c r="D6" s="1">
        <v>1.9</v>
      </c>
      <c r="E6" s="1">
        <v>0.3</v>
      </c>
      <c r="F6" s="1">
        <v>2.7</v>
      </c>
      <c r="J6" s="1">
        <v>0.4</v>
      </c>
      <c r="L6" s="1">
        <v>0.3</v>
      </c>
      <c r="N6" s="1">
        <v>0.10000000000000003</v>
      </c>
      <c r="P6" s="6"/>
      <c r="T6" s="7"/>
      <c r="U6" s="9">
        <v>122.1</v>
      </c>
      <c r="V6" s="1">
        <v>216.2</v>
      </c>
    </row>
    <row r="7" spans="1:27" s="1" customFormat="1" x14ac:dyDescent="0.25">
      <c r="B7" s="2"/>
      <c r="C7" s="8">
        <v>40181</v>
      </c>
      <c r="D7" s="1">
        <v>3.6</v>
      </c>
      <c r="E7" s="1">
        <v>2.2999999999999998</v>
      </c>
      <c r="F7" s="1">
        <v>5.8</v>
      </c>
      <c r="J7" s="1">
        <v>2.9</v>
      </c>
      <c r="L7" s="1">
        <v>1.2</v>
      </c>
      <c r="N7" s="1">
        <v>1.7</v>
      </c>
      <c r="P7" s="6"/>
      <c r="T7" s="7"/>
      <c r="V7" s="1">
        <v>94.2</v>
      </c>
    </row>
    <row r="8" spans="1:27" s="1" customFormat="1" x14ac:dyDescent="0.25">
      <c r="B8" s="2"/>
      <c r="C8" s="8">
        <v>40182</v>
      </c>
      <c r="D8" s="1">
        <v>6</v>
      </c>
      <c r="E8" s="1">
        <v>2.6</v>
      </c>
      <c r="F8" s="1">
        <v>7.5</v>
      </c>
      <c r="J8" s="1">
        <v>0.2</v>
      </c>
      <c r="L8" s="1">
        <v>0.2</v>
      </c>
      <c r="N8" s="1">
        <v>0</v>
      </c>
      <c r="P8" s="6"/>
      <c r="T8" s="7"/>
      <c r="V8" s="1">
        <v>148.1</v>
      </c>
    </row>
    <row r="9" spans="1:27" s="1" customFormat="1" x14ac:dyDescent="0.25">
      <c r="B9" s="2"/>
      <c r="C9" s="8">
        <v>40183</v>
      </c>
      <c r="D9" s="1">
        <v>3.7</v>
      </c>
      <c r="E9" s="1">
        <v>1.5</v>
      </c>
      <c r="F9" s="1">
        <v>5.7</v>
      </c>
      <c r="J9" s="1">
        <v>0.5</v>
      </c>
      <c r="L9" s="1">
        <v>0.2</v>
      </c>
      <c r="N9" s="1">
        <v>0.3</v>
      </c>
      <c r="P9" s="6"/>
      <c r="T9" s="7"/>
      <c r="V9" s="1">
        <v>105.1</v>
      </c>
    </row>
    <row r="10" spans="1:27" s="1" customFormat="1" x14ac:dyDescent="0.25">
      <c r="B10" s="2"/>
      <c r="C10" s="8">
        <v>40184</v>
      </c>
      <c r="D10" s="1">
        <v>2.2000000000000002</v>
      </c>
      <c r="E10" s="1">
        <v>-1.1000000000000001</v>
      </c>
      <c r="F10" s="1">
        <v>8.5</v>
      </c>
      <c r="J10" s="1">
        <v>0</v>
      </c>
      <c r="L10" s="1">
        <v>0.9</v>
      </c>
      <c r="N10" s="1">
        <v>-0.9</v>
      </c>
      <c r="P10" s="6"/>
      <c r="T10" s="7"/>
      <c r="V10" s="1">
        <v>749.5</v>
      </c>
    </row>
    <row r="11" spans="1:27" s="1" customFormat="1" x14ac:dyDescent="0.25">
      <c r="B11" s="2"/>
      <c r="C11" s="8">
        <v>40185</v>
      </c>
      <c r="D11" s="1">
        <v>1</v>
      </c>
      <c r="E11" s="1">
        <v>-1.3</v>
      </c>
      <c r="F11" s="1">
        <v>2.6</v>
      </c>
      <c r="J11" s="1">
        <v>0.2</v>
      </c>
      <c r="L11" s="1">
        <v>0.2</v>
      </c>
      <c r="N11" s="1">
        <v>0</v>
      </c>
      <c r="P11" s="6"/>
      <c r="T11" s="7"/>
      <c r="V11" s="1">
        <v>130.80000000000001</v>
      </c>
    </row>
    <row r="12" spans="1:27" s="1" customFormat="1" x14ac:dyDescent="0.25">
      <c r="B12" s="2"/>
      <c r="C12" s="8">
        <v>40186</v>
      </c>
      <c r="D12" s="1">
        <v>-0.8</v>
      </c>
      <c r="E12" s="1">
        <v>-1.5</v>
      </c>
      <c r="F12" s="1">
        <v>0</v>
      </c>
      <c r="J12" s="1">
        <v>0</v>
      </c>
      <c r="L12" s="1">
        <v>0.6</v>
      </c>
      <c r="N12" s="1">
        <v>-0.6</v>
      </c>
      <c r="P12" s="6"/>
      <c r="T12" s="7"/>
      <c r="V12" s="1">
        <v>202.9</v>
      </c>
    </row>
    <row r="13" spans="1:27" s="1" customFormat="1" x14ac:dyDescent="0.25">
      <c r="B13" s="2"/>
      <c r="C13" s="8">
        <v>40187</v>
      </c>
      <c r="D13" s="1">
        <v>-3.2</v>
      </c>
      <c r="E13" s="1">
        <v>-3.7</v>
      </c>
      <c r="F13" s="1">
        <v>-2.2999999999999998</v>
      </c>
      <c r="J13" s="1">
        <v>0</v>
      </c>
      <c r="L13" s="1">
        <v>0.4</v>
      </c>
      <c r="N13" s="1">
        <v>-0.4</v>
      </c>
      <c r="P13" s="6"/>
      <c r="T13" s="7"/>
      <c r="V13" s="1">
        <v>111</v>
      </c>
    </row>
    <row r="14" spans="1:27" s="1" customFormat="1" x14ac:dyDescent="0.25">
      <c r="B14" s="2"/>
      <c r="C14" s="8">
        <v>40188</v>
      </c>
      <c r="D14" s="1">
        <v>-2.7</v>
      </c>
      <c r="E14" s="1">
        <v>-3.4</v>
      </c>
      <c r="F14" s="1">
        <v>-0.5</v>
      </c>
      <c r="J14" s="1">
        <v>0</v>
      </c>
      <c r="L14" s="1">
        <v>0.5</v>
      </c>
      <c r="N14" s="1">
        <v>-0.5</v>
      </c>
      <c r="P14" s="6"/>
      <c r="T14" s="7"/>
      <c r="V14" s="1">
        <v>208.7</v>
      </c>
    </row>
    <row r="15" spans="1:27" s="1" customFormat="1" x14ac:dyDescent="0.25">
      <c r="B15" s="2"/>
      <c r="C15" s="8">
        <v>40189</v>
      </c>
      <c r="D15" s="1">
        <v>-3.9</v>
      </c>
      <c r="E15" s="1">
        <v>-6.1</v>
      </c>
      <c r="F15" s="1">
        <v>0.1</v>
      </c>
      <c r="J15" s="1">
        <v>0</v>
      </c>
      <c r="L15" s="1">
        <v>0.6</v>
      </c>
      <c r="N15" s="1">
        <v>-0.6</v>
      </c>
      <c r="P15" s="6"/>
      <c r="T15" s="7"/>
      <c r="V15" s="1">
        <v>742.7</v>
      </c>
    </row>
    <row r="16" spans="1:27" s="1" customFormat="1" x14ac:dyDescent="0.25">
      <c r="B16" s="2"/>
      <c r="C16" s="8">
        <v>40190</v>
      </c>
      <c r="D16" s="1">
        <v>-1.7</v>
      </c>
      <c r="E16" s="1">
        <v>-8.4</v>
      </c>
      <c r="F16" s="1">
        <v>5.6</v>
      </c>
      <c r="J16" s="1">
        <v>13.6</v>
      </c>
      <c r="L16" s="1">
        <v>0.5</v>
      </c>
      <c r="N16" s="1">
        <v>13.1</v>
      </c>
      <c r="P16" s="6"/>
      <c r="T16" s="7"/>
      <c r="V16" s="1">
        <v>208.1</v>
      </c>
    </row>
    <row r="17" spans="2:22" s="1" customFormat="1" x14ac:dyDescent="0.25">
      <c r="B17" s="2"/>
      <c r="C17" s="8">
        <v>40191</v>
      </c>
      <c r="D17" s="1">
        <v>7.7</v>
      </c>
      <c r="E17" s="1">
        <v>2.2999999999999998</v>
      </c>
      <c r="F17" s="1">
        <v>11.6</v>
      </c>
      <c r="J17" s="1">
        <v>0.8</v>
      </c>
      <c r="L17" s="1">
        <v>1</v>
      </c>
      <c r="N17" s="1">
        <v>-0.19999999999999996</v>
      </c>
      <c r="P17" s="6"/>
      <c r="T17" s="7"/>
      <c r="V17" s="1">
        <v>671.2</v>
      </c>
    </row>
    <row r="18" spans="2:22" s="1" customFormat="1" x14ac:dyDescent="0.25">
      <c r="B18" s="2"/>
      <c r="C18" s="8">
        <v>40192</v>
      </c>
      <c r="D18" s="1">
        <v>9</v>
      </c>
      <c r="E18" s="1">
        <v>7.4</v>
      </c>
      <c r="F18" s="1">
        <v>12.6</v>
      </c>
      <c r="J18" s="1">
        <v>8.8000000000000007</v>
      </c>
      <c r="L18" s="1">
        <v>1.3</v>
      </c>
      <c r="N18" s="1">
        <v>7.5000000000000009</v>
      </c>
      <c r="P18" s="6"/>
      <c r="T18" s="7"/>
      <c r="V18" s="1">
        <v>135.69999999999999</v>
      </c>
    </row>
    <row r="19" spans="2:22" s="1" customFormat="1" x14ac:dyDescent="0.25">
      <c r="B19" s="2"/>
      <c r="C19" s="8">
        <v>40193</v>
      </c>
      <c r="D19" s="1">
        <v>5.6</v>
      </c>
      <c r="E19" s="1">
        <v>5.2</v>
      </c>
      <c r="F19" s="1">
        <v>7.2</v>
      </c>
      <c r="J19" s="1">
        <v>0.1</v>
      </c>
      <c r="L19" s="1">
        <v>0.9</v>
      </c>
      <c r="N19" s="1">
        <v>-0.8</v>
      </c>
      <c r="P19" s="6"/>
      <c r="T19" s="7"/>
      <c r="V19" s="1">
        <v>390.5</v>
      </c>
    </row>
    <row r="20" spans="2:22" s="1" customFormat="1" x14ac:dyDescent="0.25">
      <c r="B20" s="2"/>
      <c r="C20" s="8">
        <v>40194</v>
      </c>
      <c r="D20" s="1">
        <v>6.4</v>
      </c>
      <c r="E20" s="1">
        <v>0.9</v>
      </c>
      <c r="F20" s="1">
        <v>9.4</v>
      </c>
      <c r="J20" s="1">
        <v>5.5</v>
      </c>
      <c r="L20" s="1">
        <v>0.4</v>
      </c>
      <c r="N20" s="1">
        <v>5.0999999999999996</v>
      </c>
      <c r="P20" s="6"/>
      <c r="T20" s="7"/>
      <c r="V20" s="1">
        <v>220.1</v>
      </c>
    </row>
    <row r="21" spans="2:22" s="1" customFormat="1" x14ac:dyDescent="0.25">
      <c r="B21" s="2"/>
      <c r="C21" s="8">
        <v>40195</v>
      </c>
      <c r="D21" s="1">
        <v>8.5</v>
      </c>
      <c r="E21" s="1">
        <v>7</v>
      </c>
      <c r="F21" s="1">
        <v>11.8</v>
      </c>
      <c r="J21" s="1">
        <v>0</v>
      </c>
      <c r="L21" s="1">
        <v>0.9</v>
      </c>
      <c r="N21" s="1">
        <v>-0.9</v>
      </c>
      <c r="P21" s="6"/>
      <c r="T21" s="7"/>
      <c r="V21" s="1">
        <v>403.9</v>
      </c>
    </row>
    <row r="22" spans="2:22" s="1" customFormat="1" x14ac:dyDescent="0.25">
      <c r="B22" s="2"/>
      <c r="C22" s="8">
        <v>40196</v>
      </c>
      <c r="D22" s="1">
        <v>3.4</v>
      </c>
      <c r="E22" s="1">
        <v>-0.2</v>
      </c>
      <c r="F22" s="1">
        <v>5.9</v>
      </c>
      <c r="J22" s="1">
        <v>0.1</v>
      </c>
      <c r="L22" s="1">
        <v>0.5</v>
      </c>
      <c r="N22" s="1">
        <v>-0.4</v>
      </c>
      <c r="P22" s="6"/>
      <c r="T22" s="7"/>
      <c r="V22" s="1">
        <v>596</v>
      </c>
    </row>
    <row r="23" spans="2:22" s="1" customFormat="1" x14ac:dyDescent="0.25">
      <c r="B23" s="2"/>
      <c r="C23" s="8">
        <v>40197</v>
      </c>
      <c r="D23" s="1">
        <v>6.6</v>
      </c>
      <c r="E23" s="1">
        <v>3.3</v>
      </c>
      <c r="F23" s="1">
        <v>8.9</v>
      </c>
      <c r="J23" s="1">
        <v>2.8</v>
      </c>
      <c r="L23" s="1">
        <v>0.7</v>
      </c>
      <c r="N23" s="1">
        <v>2.0999999999999996</v>
      </c>
      <c r="P23" s="6"/>
      <c r="T23" s="7"/>
      <c r="V23" s="1">
        <v>269.39999999999998</v>
      </c>
    </row>
    <row r="24" spans="2:22" s="1" customFormat="1" x14ac:dyDescent="0.25">
      <c r="B24" s="2"/>
      <c r="C24" s="8">
        <v>40198</v>
      </c>
      <c r="D24" s="1">
        <v>8.6999999999999993</v>
      </c>
      <c r="E24" s="1">
        <v>7.3</v>
      </c>
      <c r="F24" s="1">
        <v>10.6</v>
      </c>
      <c r="J24" s="1">
        <v>8.4</v>
      </c>
      <c r="L24" s="1">
        <v>0.5</v>
      </c>
      <c r="N24" s="1">
        <v>7.9</v>
      </c>
      <c r="P24" s="6"/>
      <c r="T24" s="7"/>
      <c r="V24" s="1">
        <v>138.5</v>
      </c>
    </row>
    <row r="25" spans="2:22" s="1" customFormat="1" x14ac:dyDescent="0.25">
      <c r="B25" s="2"/>
      <c r="C25" s="8">
        <v>40199</v>
      </c>
      <c r="D25" s="1">
        <v>7.1</v>
      </c>
      <c r="E25" s="1">
        <v>6.7</v>
      </c>
      <c r="F25" s="1">
        <v>8.8000000000000007</v>
      </c>
      <c r="J25" s="1">
        <v>0</v>
      </c>
      <c r="L25" s="1">
        <v>1.1000000000000001</v>
      </c>
      <c r="N25" s="1">
        <v>-1.1000000000000001</v>
      </c>
      <c r="P25" s="6"/>
      <c r="T25" s="7"/>
      <c r="V25" s="1">
        <v>630.20000000000005</v>
      </c>
    </row>
    <row r="26" spans="2:22" s="1" customFormat="1" x14ac:dyDescent="0.25">
      <c r="B26" s="2"/>
      <c r="C26" s="8">
        <v>40200</v>
      </c>
      <c r="D26" s="1">
        <v>4.5999999999999996</v>
      </c>
      <c r="E26" s="1">
        <v>-0.1</v>
      </c>
      <c r="F26" s="1">
        <v>10</v>
      </c>
      <c r="J26" s="1">
        <v>0</v>
      </c>
      <c r="L26" s="1">
        <v>1.1000000000000001</v>
      </c>
      <c r="N26" s="1">
        <v>-1.1000000000000001</v>
      </c>
      <c r="P26" s="6"/>
      <c r="T26" s="7"/>
      <c r="V26" s="1">
        <v>757.2</v>
      </c>
    </row>
    <row r="27" spans="2:22" s="1" customFormat="1" x14ac:dyDescent="0.25">
      <c r="B27" s="2"/>
      <c r="C27" s="8">
        <v>40201</v>
      </c>
      <c r="D27" s="1">
        <v>6.8</v>
      </c>
      <c r="E27" s="1">
        <v>3</v>
      </c>
      <c r="F27" s="1">
        <v>10.8</v>
      </c>
      <c r="J27" s="1">
        <v>0.1</v>
      </c>
      <c r="L27" s="1">
        <v>0.9</v>
      </c>
      <c r="N27" s="1">
        <v>-0.8</v>
      </c>
      <c r="P27" s="6"/>
      <c r="T27" s="7"/>
      <c r="V27" s="1">
        <v>420.8</v>
      </c>
    </row>
    <row r="28" spans="2:22" s="1" customFormat="1" x14ac:dyDescent="0.25">
      <c r="B28" s="2"/>
      <c r="C28" s="8">
        <v>40202</v>
      </c>
      <c r="D28" s="1">
        <v>7.4</v>
      </c>
      <c r="E28" s="1">
        <v>5.8</v>
      </c>
      <c r="F28" s="1">
        <v>9.6999999999999993</v>
      </c>
      <c r="J28" s="1">
        <v>0.8</v>
      </c>
      <c r="L28" s="1">
        <v>0.5</v>
      </c>
      <c r="N28" s="1">
        <v>0.30000000000000004</v>
      </c>
      <c r="P28" s="6"/>
      <c r="T28" s="7"/>
      <c r="V28" s="1">
        <v>143.80000000000001</v>
      </c>
    </row>
    <row r="29" spans="2:22" s="1" customFormat="1" x14ac:dyDescent="0.25">
      <c r="B29" s="2"/>
      <c r="C29" s="8">
        <v>40203</v>
      </c>
      <c r="D29" s="1">
        <v>4.5999999999999996</v>
      </c>
      <c r="E29" s="1">
        <v>3.4</v>
      </c>
      <c r="F29" s="1">
        <v>7.6</v>
      </c>
      <c r="J29" s="1">
        <v>0</v>
      </c>
      <c r="L29" s="1">
        <v>0.8</v>
      </c>
      <c r="N29" s="1">
        <v>-0.8</v>
      </c>
      <c r="P29" s="6"/>
      <c r="T29" s="7"/>
      <c r="V29" s="1">
        <v>435.4</v>
      </c>
    </row>
    <row r="30" spans="2:22" s="1" customFormat="1" x14ac:dyDescent="0.25">
      <c r="B30" s="2"/>
      <c r="C30" s="8">
        <v>40204</v>
      </c>
      <c r="D30" s="1">
        <v>2.7</v>
      </c>
      <c r="E30" s="1">
        <v>-1.1000000000000001</v>
      </c>
      <c r="F30" s="1">
        <v>7.6</v>
      </c>
      <c r="J30" s="1">
        <v>0</v>
      </c>
      <c r="L30" s="1">
        <v>1.3</v>
      </c>
      <c r="N30" s="1">
        <v>-1.3</v>
      </c>
      <c r="P30" s="6"/>
      <c r="T30" s="7"/>
      <c r="V30" s="1">
        <v>957.1</v>
      </c>
    </row>
    <row r="31" spans="2:22" s="1" customFormat="1" x14ac:dyDescent="0.25">
      <c r="B31" s="2"/>
      <c r="C31" s="8">
        <v>40205</v>
      </c>
      <c r="D31" s="1">
        <v>1.5</v>
      </c>
      <c r="E31" s="1">
        <v>1.2</v>
      </c>
      <c r="F31" s="1">
        <v>3.2</v>
      </c>
      <c r="J31" s="1">
        <v>0</v>
      </c>
      <c r="L31" s="1">
        <v>1.3</v>
      </c>
      <c r="N31" s="1">
        <v>-1.3</v>
      </c>
      <c r="P31" s="6"/>
      <c r="T31" s="7"/>
      <c r="V31" s="1">
        <v>907.7</v>
      </c>
    </row>
    <row r="32" spans="2:22" s="1" customFormat="1" x14ac:dyDescent="0.25">
      <c r="B32" s="2"/>
      <c r="C32" s="8">
        <v>40206</v>
      </c>
      <c r="D32" s="1">
        <v>4.0999999999999996</v>
      </c>
      <c r="E32" s="1">
        <v>-1.2</v>
      </c>
      <c r="F32" s="1">
        <v>6.6</v>
      </c>
      <c r="J32" s="1">
        <v>0.4</v>
      </c>
      <c r="L32" s="1">
        <v>0.6</v>
      </c>
      <c r="N32" s="1">
        <v>-0.19999999999999996</v>
      </c>
      <c r="P32" s="6"/>
      <c r="T32" s="7"/>
      <c r="V32" s="1">
        <v>176.5</v>
      </c>
    </row>
    <row r="33" spans="2:22" s="1" customFormat="1" x14ac:dyDescent="0.25">
      <c r="B33" s="2"/>
      <c r="C33" s="8">
        <v>40207</v>
      </c>
      <c r="D33" s="1">
        <v>7</v>
      </c>
      <c r="E33" s="1">
        <v>5.2</v>
      </c>
      <c r="F33" s="1">
        <v>9.8000000000000007</v>
      </c>
      <c r="J33" s="1">
        <v>4</v>
      </c>
      <c r="L33" s="1">
        <v>1.2</v>
      </c>
      <c r="N33" s="1">
        <v>2.8</v>
      </c>
      <c r="P33" s="6"/>
      <c r="T33" s="7"/>
      <c r="V33" s="1">
        <v>282.60000000000002</v>
      </c>
    </row>
    <row r="34" spans="2:22" s="1" customFormat="1" x14ac:dyDescent="0.25">
      <c r="B34" s="2"/>
      <c r="C34" s="8">
        <v>40208</v>
      </c>
      <c r="D34" s="1">
        <v>5.5</v>
      </c>
      <c r="E34" s="1">
        <v>3.1</v>
      </c>
      <c r="F34" s="1">
        <v>9.1</v>
      </c>
      <c r="J34" s="1">
        <v>0.2</v>
      </c>
      <c r="L34" s="1">
        <v>1.7</v>
      </c>
      <c r="N34" s="1">
        <v>-1.5</v>
      </c>
      <c r="P34" s="6"/>
      <c r="T34" s="7"/>
      <c r="V34" s="1">
        <v>468.9</v>
      </c>
    </row>
    <row r="35" spans="2:22" s="1" customFormat="1" x14ac:dyDescent="0.25">
      <c r="B35" s="2"/>
      <c r="C35" s="8">
        <v>40209</v>
      </c>
      <c r="D35" s="1">
        <v>0.7</v>
      </c>
      <c r="E35" s="1">
        <v>-1.2</v>
      </c>
      <c r="F35" s="1">
        <v>4.5</v>
      </c>
      <c r="J35" s="1">
        <v>0</v>
      </c>
      <c r="L35" s="1">
        <v>1.1000000000000001</v>
      </c>
      <c r="N35" s="1">
        <v>-1.1000000000000001</v>
      </c>
      <c r="P35" s="6"/>
      <c r="T35" s="7"/>
      <c r="V35" s="1">
        <v>943.5</v>
      </c>
    </row>
    <row r="36" spans="2:22" s="1" customFormat="1" x14ac:dyDescent="0.25">
      <c r="B36" s="2"/>
      <c r="C36" s="8">
        <v>40210</v>
      </c>
      <c r="D36" s="1">
        <v>0.4</v>
      </c>
      <c r="E36" s="1">
        <v>-4.5</v>
      </c>
      <c r="F36" s="1">
        <v>6.7</v>
      </c>
      <c r="J36" s="1">
        <v>0</v>
      </c>
      <c r="L36" s="1">
        <v>0.7</v>
      </c>
      <c r="N36" s="1">
        <v>-0.7</v>
      </c>
      <c r="P36" s="6"/>
      <c r="T36" s="7"/>
      <c r="V36" s="1">
        <v>855.3</v>
      </c>
    </row>
    <row r="37" spans="2:22" s="1" customFormat="1" x14ac:dyDescent="0.25">
      <c r="B37" s="2"/>
      <c r="C37" s="8">
        <v>40211</v>
      </c>
      <c r="D37" s="1">
        <v>2.1</v>
      </c>
      <c r="E37" s="1">
        <v>-3</v>
      </c>
      <c r="F37" s="1">
        <v>9.1</v>
      </c>
      <c r="J37" s="1">
        <v>0</v>
      </c>
      <c r="L37" s="1">
        <v>1</v>
      </c>
      <c r="N37" s="1">
        <v>-1</v>
      </c>
      <c r="P37" s="6"/>
      <c r="T37" s="7"/>
      <c r="V37" s="1">
        <v>999.1</v>
      </c>
    </row>
    <row r="38" spans="2:22" s="1" customFormat="1" x14ac:dyDescent="0.25">
      <c r="B38" s="2"/>
      <c r="C38" s="8">
        <v>40212</v>
      </c>
      <c r="D38" s="1">
        <v>3.3</v>
      </c>
      <c r="E38" s="1">
        <v>-3</v>
      </c>
      <c r="F38" s="1">
        <v>9.1999999999999993</v>
      </c>
      <c r="J38" s="1">
        <v>0</v>
      </c>
      <c r="L38" s="1">
        <v>1.3</v>
      </c>
      <c r="N38" s="1">
        <v>-1.3</v>
      </c>
      <c r="P38" s="6"/>
      <c r="T38" s="7"/>
      <c r="V38" s="1">
        <v>1166.2</v>
      </c>
    </row>
    <row r="39" spans="2:22" s="1" customFormat="1" x14ac:dyDescent="0.25">
      <c r="B39" s="2"/>
      <c r="C39" s="8">
        <v>40213</v>
      </c>
      <c r="D39" s="1">
        <v>8.4</v>
      </c>
      <c r="E39" s="1">
        <v>1.4</v>
      </c>
      <c r="F39" s="1">
        <v>12.7</v>
      </c>
      <c r="J39" s="1">
        <v>13.4</v>
      </c>
      <c r="L39" s="1">
        <v>0.7</v>
      </c>
      <c r="N39" s="1">
        <v>12.700000000000001</v>
      </c>
      <c r="P39" s="6"/>
      <c r="T39" s="7"/>
      <c r="V39" s="1">
        <v>447.2</v>
      </c>
    </row>
    <row r="40" spans="2:22" s="1" customFormat="1" x14ac:dyDescent="0.25">
      <c r="B40" s="2"/>
      <c r="C40" s="8">
        <v>40214</v>
      </c>
      <c r="D40" s="1">
        <v>8.4</v>
      </c>
      <c r="E40" s="1">
        <v>6.4</v>
      </c>
      <c r="F40" s="1">
        <v>12.9</v>
      </c>
      <c r="J40" s="1">
        <v>7.2</v>
      </c>
      <c r="L40" s="1">
        <v>1.4</v>
      </c>
      <c r="N40" s="1">
        <v>5.8000000000000007</v>
      </c>
      <c r="P40" s="6"/>
      <c r="T40" s="7"/>
      <c r="V40" s="1">
        <v>594.20000000000005</v>
      </c>
    </row>
    <row r="41" spans="2:22" s="1" customFormat="1" x14ac:dyDescent="0.25">
      <c r="B41" s="2"/>
      <c r="C41" s="8">
        <v>40215</v>
      </c>
      <c r="D41" s="1">
        <v>9.6</v>
      </c>
      <c r="E41" s="1">
        <v>3.9</v>
      </c>
      <c r="F41" s="1">
        <v>13.6</v>
      </c>
      <c r="J41" s="1">
        <v>2.7</v>
      </c>
      <c r="L41" s="1">
        <v>1.3</v>
      </c>
      <c r="N41" s="1">
        <v>1.4000000000000001</v>
      </c>
      <c r="P41" s="6"/>
      <c r="T41" s="7"/>
      <c r="V41" s="1">
        <v>526.20000000000005</v>
      </c>
    </row>
    <row r="42" spans="2:22" s="1" customFormat="1" x14ac:dyDescent="0.25">
      <c r="B42" s="2"/>
      <c r="C42" s="8">
        <v>40216</v>
      </c>
      <c r="D42" s="1">
        <v>7.9</v>
      </c>
      <c r="E42" s="1">
        <v>7</v>
      </c>
      <c r="F42" s="1">
        <v>11.7</v>
      </c>
      <c r="J42" s="1">
        <v>0</v>
      </c>
      <c r="L42" s="1">
        <v>1.8</v>
      </c>
      <c r="N42" s="1">
        <v>-1.8</v>
      </c>
      <c r="P42" s="6"/>
      <c r="T42" s="7"/>
      <c r="V42" s="1">
        <v>1074.7</v>
      </c>
    </row>
    <row r="43" spans="2:22" s="1" customFormat="1" x14ac:dyDescent="0.25">
      <c r="B43" s="2"/>
      <c r="C43" s="8">
        <v>40217</v>
      </c>
      <c r="D43" s="1">
        <v>4.2</v>
      </c>
      <c r="E43" s="1">
        <v>-1.2</v>
      </c>
      <c r="F43" s="1">
        <v>9.4</v>
      </c>
      <c r="J43" s="1">
        <v>1.1000000000000001</v>
      </c>
      <c r="L43" s="1">
        <v>0.7</v>
      </c>
      <c r="N43" s="1">
        <v>0.40000000000000013</v>
      </c>
      <c r="P43" s="6"/>
      <c r="T43" s="7"/>
      <c r="V43" s="1">
        <v>471.5</v>
      </c>
    </row>
    <row r="44" spans="2:22" s="1" customFormat="1" x14ac:dyDescent="0.25">
      <c r="B44" s="2"/>
      <c r="C44" s="8">
        <v>40218</v>
      </c>
      <c r="D44" s="1">
        <v>4</v>
      </c>
      <c r="E44" s="1">
        <v>3.3</v>
      </c>
      <c r="F44" s="1">
        <v>4.9000000000000004</v>
      </c>
      <c r="J44" s="1">
        <v>0.4</v>
      </c>
      <c r="L44" s="1">
        <v>1.2</v>
      </c>
      <c r="N44" s="1">
        <v>-0.79999999999999993</v>
      </c>
      <c r="P44" s="6"/>
      <c r="T44" s="7"/>
      <c r="V44" s="1">
        <v>742.6</v>
      </c>
    </row>
    <row r="45" spans="2:22" s="1" customFormat="1" x14ac:dyDescent="0.25">
      <c r="B45" s="2"/>
      <c r="C45" s="8">
        <v>40219</v>
      </c>
      <c r="D45" s="1">
        <v>1.3</v>
      </c>
      <c r="E45" s="1">
        <v>1.1000000000000001</v>
      </c>
      <c r="F45" s="1">
        <v>1.7</v>
      </c>
      <c r="J45" s="1">
        <v>0.1</v>
      </c>
      <c r="L45" s="1">
        <v>1.1000000000000001</v>
      </c>
      <c r="N45" s="1">
        <v>-1</v>
      </c>
      <c r="P45" s="6"/>
      <c r="T45" s="7"/>
      <c r="V45" s="1">
        <v>529.4</v>
      </c>
    </row>
    <row r="46" spans="2:22" s="1" customFormat="1" x14ac:dyDescent="0.25">
      <c r="B46" s="2"/>
      <c r="C46" s="8">
        <v>40220</v>
      </c>
      <c r="D46" s="1">
        <v>-1.7</v>
      </c>
      <c r="E46" s="1">
        <v>-3.1</v>
      </c>
      <c r="F46" s="1">
        <v>-0.6</v>
      </c>
      <c r="J46" s="1">
        <v>0</v>
      </c>
      <c r="L46" s="1">
        <v>0.9</v>
      </c>
      <c r="N46" s="1">
        <v>-0.9</v>
      </c>
      <c r="P46" s="6"/>
      <c r="T46" s="7"/>
      <c r="V46" s="1">
        <v>472.2</v>
      </c>
    </row>
    <row r="47" spans="2:22" s="1" customFormat="1" x14ac:dyDescent="0.25">
      <c r="B47" s="2"/>
      <c r="C47" s="8">
        <v>40221</v>
      </c>
      <c r="D47" s="1">
        <v>-1.5</v>
      </c>
      <c r="E47" s="1">
        <v>-3</v>
      </c>
      <c r="F47" s="1">
        <v>0</v>
      </c>
      <c r="J47" s="1">
        <v>0</v>
      </c>
      <c r="L47" s="1">
        <v>0.6</v>
      </c>
      <c r="N47" s="1">
        <v>-0.6</v>
      </c>
      <c r="P47" s="6"/>
      <c r="T47" s="7"/>
      <c r="V47" s="1">
        <v>154.80000000000001</v>
      </c>
    </row>
    <row r="48" spans="2:22" s="1" customFormat="1" x14ac:dyDescent="0.25">
      <c r="B48" s="2"/>
      <c r="C48" s="8">
        <v>40222</v>
      </c>
      <c r="D48" s="1">
        <v>-0.6</v>
      </c>
      <c r="E48" s="1">
        <v>-2.1</v>
      </c>
      <c r="F48" s="1">
        <v>1.3</v>
      </c>
      <c r="J48" s="1">
        <v>0.1</v>
      </c>
      <c r="L48" s="1">
        <v>1.2</v>
      </c>
      <c r="N48" s="1">
        <v>-1.0999999999999999</v>
      </c>
      <c r="P48" s="6"/>
      <c r="T48" s="7"/>
      <c r="V48" s="1">
        <v>801.2</v>
      </c>
    </row>
    <row r="49" spans="2:22" s="1" customFormat="1" x14ac:dyDescent="0.25">
      <c r="B49" s="2"/>
      <c r="C49" s="8">
        <v>40223</v>
      </c>
      <c r="D49" s="1">
        <v>-0.1</v>
      </c>
      <c r="E49" s="1">
        <v>-0.8</v>
      </c>
      <c r="F49" s="1">
        <v>0.6</v>
      </c>
      <c r="J49" s="1">
        <v>0.1</v>
      </c>
      <c r="L49" s="1">
        <v>0.8</v>
      </c>
      <c r="N49" s="1">
        <v>-0.70000000000000007</v>
      </c>
      <c r="P49" s="6"/>
      <c r="T49" s="7"/>
      <c r="V49" s="1">
        <v>563.9</v>
      </c>
    </row>
    <row r="50" spans="2:22" s="1" customFormat="1" x14ac:dyDescent="0.25">
      <c r="B50" s="2"/>
      <c r="C50" s="8">
        <v>40224</v>
      </c>
      <c r="D50" s="1">
        <v>0.6</v>
      </c>
      <c r="E50" s="1">
        <v>-1.3</v>
      </c>
      <c r="F50" s="1">
        <v>2.2000000000000002</v>
      </c>
      <c r="J50" s="1">
        <v>0</v>
      </c>
      <c r="L50" s="1">
        <v>1</v>
      </c>
      <c r="N50" s="1">
        <v>-1</v>
      </c>
      <c r="P50" s="6"/>
      <c r="T50" s="7"/>
      <c r="V50" s="1">
        <v>904.4</v>
      </c>
    </row>
    <row r="51" spans="2:22" s="1" customFormat="1" x14ac:dyDescent="0.25">
      <c r="B51" s="2"/>
      <c r="C51" s="8">
        <v>40225</v>
      </c>
      <c r="D51" s="1">
        <v>5.5</v>
      </c>
      <c r="E51" s="1">
        <v>-0.4</v>
      </c>
      <c r="F51" s="1">
        <v>9</v>
      </c>
      <c r="J51" s="1">
        <v>0.1</v>
      </c>
      <c r="L51" s="1">
        <v>0.5</v>
      </c>
      <c r="N51" s="1">
        <v>-0.4</v>
      </c>
      <c r="P51" s="6"/>
      <c r="T51" s="7"/>
      <c r="V51" s="1">
        <v>253.1</v>
      </c>
    </row>
    <row r="52" spans="2:22" s="1" customFormat="1" x14ac:dyDescent="0.25">
      <c r="B52" s="2"/>
      <c r="C52" s="8">
        <v>40226</v>
      </c>
      <c r="D52" s="1">
        <v>8.6999999999999993</v>
      </c>
      <c r="E52" s="1">
        <v>6.3</v>
      </c>
      <c r="F52" s="1">
        <v>11.4</v>
      </c>
      <c r="J52" s="1">
        <v>2.1</v>
      </c>
      <c r="L52" s="1">
        <v>0.7</v>
      </c>
      <c r="N52" s="1">
        <v>1.4000000000000001</v>
      </c>
      <c r="P52" s="6"/>
      <c r="T52" s="7"/>
      <c r="V52" s="1">
        <v>247.9</v>
      </c>
    </row>
    <row r="53" spans="2:22" s="1" customFormat="1" x14ac:dyDescent="0.25">
      <c r="B53" s="2"/>
      <c r="C53" s="8">
        <v>40227</v>
      </c>
      <c r="D53" s="1">
        <v>9.1999999999999993</v>
      </c>
      <c r="E53" s="1">
        <v>4.9000000000000004</v>
      </c>
      <c r="F53" s="1">
        <v>13.5</v>
      </c>
      <c r="J53" s="1">
        <v>4.9000000000000004</v>
      </c>
      <c r="L53" s="1">
        <v>1.7</v>
      </c>
      <c r="N53" s="1">
        <v>3.2</v>
      </c>
      <c r="P53" s="6"/>
      <c r="T53" s="7"/>
      <c r="V53" s="1">
        <v>1041.3</v>
      </c>
    </row>
    <row r="54" spans="2:22" s="1" customFormat="1" x14ac:dyDescent="0.25">
      <c r="B54" s="2"/>
      <c r="C54" s="8">
        <v>40228</v>
      </c>
      <c r="D54" s="1">
        <v>6.7</v>
      </c>
      <c r="E54" s="1">
        <v>6.1</v>
      </c>
      <c r="F54" s="1">
        <v>8.1999999999999993</v>
      </c>
      <c r="J54" s="1">
        <v>0.6</v>
      </c>
      <c r="L54" s="1">
        <v>1</v>
      </c>
      <c r="N54" s="1">
        <v>-0.4</v>
      </c>
      <c r="P54" s="6"/>
      <c r="T54" s="7"/>
      <c r="V54" s="1">
        <v>428.2</v>
      </c>
    </row>
    <row r="55" spans="2:22" s="1" customFormat="1" x14ac:dyDescent="0.25">
      <c r="B55" s="2"/>
      <c r="C55" s="8">
        <v>40229</v>
      </c>
      <c r="D55" s="1">
        <v>5.7</v>
      </c>
      <c r="E55" s="1">
        <v>3.7</v>
      </c>
      <c r="F55" s="1">
        <v>9.6999999999999993</v>
      </c>
      <c r="J55" s="1">
        <v>0.6</v>
      </c>
      <c r="L55" s="1">
        <v>1.3</v>
      </c>
      <c r="N55" s="1">
        <v>-0.70000000000000007</v>
      </c>
      <c r="P55" s="6"/>
      <c r="T55" s="7"/>
      <c r="V55" s="1">
        <v>383.7</v>
      </c>
    </row>
    <row r="56" spans="2:22" s="1" customFormat="1" x14ac:dyDescent="0.25">
      <c r="B56" s="2"/>
      <c r="C56" s="8">
        <v>40230</v>
      </c>
      <c r="D56" s="1">
        <v>5.8</v>
      </c>
      <c r="E56" s="1">
        <v>-0.1</v>
      </c>
      <c r="F56" s="1">
        <v>10.199999999999999</v>
      </c>
      <c r="J56" s="1">
        <v>0</v>
      </c>
      <c r="L56" s="1">
        <v>0.7</v>
      </c>
      <c r="N56" s="1">
        <v>-0.7</v>
      </c>
      <c r="P56" s="6"/>
      <c r="T56" s="7"/>
      <c r="V56" s="1">
        <v>496</v>
      </c>
    </row>
    <row r="57" spans="2:22" s="1" customFormat="1" x14ac:dyDescent="0.25">
      <c r="B57" s="2"/>
      <c r="C57" s="8">
        <v>40231</v>
      </c>
      <c r="D57" s="1">
        <v>9.1</v>
      </c>
      <c r="E57" s="1">
        <v>4.5999999999999996</v>
      </c>
      <c r="F57" s="1">
        <v>13</v>
      </c>
      <c r="J57" s="1">
        <v>0.3</v>
      </c>
      <c r="L57" s="1">
        <v>1.1000000000000001</v>
      </c>
      <c r="N57" s="1">
        <v>-0.8</v>
      </c>
      <c r="P57" s="6"/>
      <c r="T57" s="7"/>
      <c r="V57" s="1">
        <v>420.9</v>
      </c>
    </row>
    <row r="58" spans="2:22" s="1" customFormat="1" x14ac:dyDescent="0.25">
      <c r="B58" s="2"/>
      <c r="C58" s="8">
        <v>40232</v>
      </c>
      <c r="D58" s="1">
        <v>10.8</v>
      </c>
      <c r="E58" s="1">
        <v>6.5</v>
      </c>
      <c r="F58" s="1">
        <v>15.4</v>
      </c>
      <c r="J58" s="1">
        <v>0.8</v>
      </c>
      <c r="L58" s="1">
        <v>1</v>
      </c>
      <c r="N58" s="1">
        <v>-0.19999999999999996</v>
      </c>
      <c r="P58" s="6"/>
      <c r="T58" s="7"/>
      <c r="V58" s="1">
        <v>478</v>
      </c>
    </row>
    <row r="59" spans="2:22" s="1" customFormat="1" x14ac:dyDescent="0.25">
      <c r="B59" s="2"/>
      <c r="C59" s="8">
        <v>40233</v>
      </c>
      <c r="D59" s="1">
        <v>11.5</v>
      </c>
      <c r="E59" s="1">
        <v>8.1999999999999993</v>
      </c>
      <c r="F59" s="1">
        <v>16.7</v>
      </c>
      <c r="J59" s="1">
        <v>2.7</v>
      </c>
      <c r="L59" s="1">
        <v>2.2999999999999998</v>
      </c>
      <c r="N59" s="1">
        <v>0.40000000000000036</v>
      </c>
      <c r="P59" s="6"/>
      <c r="T59" s="7"/>
      <c r="V59" s="1">
        <v>943.3</v>
      </c>
    </row>
    <row r="60" spans="2:22" s="1" customFormat="1" x14ac:dyDescent="0.25">
      <c r="B60" s="2"/>
      <c r="C60" s="8">
        <v>40234</v>
      </c>
      <c r="D60" s="1">
        <v>10.4</v>
      </c>
      <c r="E60" s="1">
        <v>7.2</v>
      </c>
      <c r="F60" s="1">
        <v>13.5</v>
      </c>
      <c r="J60" s="1">
        <v>0.3</v>
      </c>
      <c r="L60" s="1">
        <v>1.3</v>
      </c>
      <c r="N60" s="1">
        <v>-1</v>
      </c>
      <c r="P60" s="6"/>
      <c r="T60" s="7"/>
      <c r="V60" s="1">
        <v>500.2</v>
      </c>
    </row>
    <row r="61" spans="2:22" s="1" customFormat="1" x14ac:dyDescent="0.25">
      <c r="B61" s="2"/>
      <c r="C61" s="8">
        <v>40235</v>
      </c>
      <c r="D61" s="1">
        <v>9.8000000000000007</v>
      </c>
      <c r="E61" s="1">
        <v>10.1</v>
      </c>
      <c r="F61" s="1">
        <v>12.9</v>
      </c>
      <c r="J61" s="1">
        <v>0.4</v>
      </c>
      <c r="L61" s="1">
        <v>3</v>
      </c>
      <c r="N61" s="1">
        <v>-2.6</v>
      </c>
      <c r="P61" s="6"/>
      <c r="T61" s="7"/>
      <c r="V61" s="1">
        <v>1237.9000000000001</v>
      </c>
    </row>
    <row r="62" spans="2:22" s="1" customFormat="1" x14ac:dyDescent="0.25">
      <c r="B62" s="2"/>
      <c r="C62" s="8">
        <v>40236</v>
      </c>
      <c r="D62" s="1">
        <v>9.6</v>
      </c>
      <c r="E62" s="1">
        <v>2.7</v>
      </c>
      <c r="F62" s="1">
        <v>13.5</v>
      </c>
      <c r="J62" s="1">
        <v>0.6</v>
      </c>
      <c r="L62" s="1">
        <v>1</v>
      </c>
      <c r="N62" s="1">
        <v>-0.4</v>
      </c>
      <c r="P62" s="6"/>
      <c r="T62" s="7"/>
      <c r="V62" s="1">
        <v>561</v>
      </c>
    </row>
    <row r="63" spans="2:22" s="1" customFormat="1" x14ac:dyDescent="0.25">
      <c r="B63" s="2"/>
      <c r="C63" s="8">
        <v>40237</v>
      </c>
      <c r="D63" s="1">
        <v>11.4</v>
      </c>
      <c r="E63" s="1">
        <v>10.6</v>
      </c>
      <c r="F63" s="1">
        <v>15.2</v>
      </c>
      <c r="J63" s="1">
        <v>0</v>
      </c>
      <c r="L63" s="1">
        <v>2.9</v>
      </c>
      <c r="N63" s="1">
        <v>-2.9</v>
      </c>
      <c r="P63" s="6"/>
      <c r="T63" s="7"/>
      <c r="V63" s="1">
        <v>1244.0999999999999</v>
      </c>
    </row>
    <row r="64" spans="2:22" s="1" customFormat="1" x14ac:dyDescent="0.25">
      <c r="B64" s="2"/>
      <c r="C64" s="8">
        <v>40238</v>
      </c>
      <c r="D64" s="1">
        <v>8.1</v>
      </c>
      <c r="E64" s="1">
        <v>4.4000000000000004</v>
      </c>
      <c r="F64" s="1">
        <v>11.9</v>
      </c>
      <c r="J64" s="1">
        <v>0.2</v>
      </c>
      <c r="L64" s="1">
        <v>1.1000000000000001</v>
      </c>
      <c r="N64" s="1">
        <v>-0.90000000000000013</v>
      </c>
      <c r="P64" s="6"/>
      <c r="T64" s="7"/>
      <c r="V64" s="1">
        <v>684</v>
      </c>
    </row>
    <row r="65" spans="2:22" s="1" customFormat="1" x14ac:dyDescent="0.25">
      <c r="B65" s="2"/>
      <c r="C65" s="8">
        <v>40239</v>
      </c>
      <c r="D65" s="1">
        <v>9.1</v>
      </c>
      <c r="E65" s="1">
        <v>1.5</v>
      </c>
      <c r="F65" s="1">
        <v>16.100000000000001</v>
      </c>
      <c r="J65" s="1">
        <v>1.8</v>
      </c>
      <c r="L65" s="1">
        <v>1.6</v>
      </c>
      <c r="N65" s="1">
        <v>0.19999999999999996</v>
      </c>
      <c r="P65" s="6"/>
      <c r="T65" s="7"/>
      <c r="V65" s="1">
        <v>1026.7</v>
      </c>
    </row>
    <row r="66" spans="2:22" s="1" customFormat="1" x14ac:dyDescent="0.25">
      <c r="B66" s="2"/>
      <c r="C66" s="8">
        <v>40240</v>
      </c>
      <c r="D66" s="1">
        <v>9</v>
      </c>
      <c r="E66" s="1">
        <v>8.5</v>
      </c>
      <c r="F66" s="1">
        <v>10.4</v>
      </c>
      <c r="J66" s="1">
        <v>3.3</v>
      </c>
      <c r="L66" s="1">
        <v>1.2</v>
      </c>
      <c r="N66" s="1">
        <v>2.0999999999999996</v>
      </c>
      <c r="P66" s="6"/>
      <c r="T66" s="7"/>
      <c r="V66" s="1">
        <v>248.3</v>
      </c>
    </row>
    <row r="67" spans="2:22" s="1" customFormat="1" x14ac:dyDescent="0.25">
      <c r="B67" s="2"/>
      <c r="C67" s="8">
        <v>40241</v>
      </c>
      <c r="D67" s="1">
        <v>9.5</v>
      </c>
      <c r="E67" s="1">
        <v>8.1999999999999993</v>
      </c>
      <c r="F67" s="1">
        <v>13.1</v>
      </c>
      <c r="J67" s="1">
        <v>0.4</v>
      </c>
      <c r="L67" s="1">
        <v>1.8</v>
      </c>
      <c r="N67" s="1">
        <v>-1.4</v>
      </c>
      <c r="P67" s="6"/>
      <c r="T67" s="7"/>
      <c r="V67" s="1">
        <v>679</v>
      </c>
    </row>
    <row r="68" spans="2:22" s="1" customFormat="1" x14ac:dyDescent="0.25">
      <c r="B68" s="2"/>
      <c r="C68" s="8">
        <v>40242</v>
      </c>
      <c r="D68" s="1">
        <v>6</v>
      </c>
      <c r="E68" s="1">
        <v>3.7</v>
      </c>
      <c r="F68" s="1">
        <v>10.7</v>
      </c>
      <c r="J68" s="1">
        <v>0</v>
      </c>
      <c r="L68" s="1">
        <v>2.4</v>
      </c>
      <c r="N68" s="1">
        <v>-2.4</v>
      </c>
      <c r="P68" s="6"/>
      <c r="T68" s="7"/>
      <c r="V68" s="1">
        <v>1485</v>
      </c>
    </row>
    <row r="69" spans="2:22" s="1" customFormat="1" x14ac:dyDescent="0.25">
      <c r="B69" s="2"/>
      <c r="C69" s="8">
        <v>40243</v>
      </c>
      <c r="D69" s="1">
        <v>4.0999999999999996</v>
      </c>
      <c r="E69" s="1">
        <v>-2.5</v>
      </c>
      <c r="F69" s="1">
        <v>9</v>
      </c>
      <c r="J69" s="1">
        <v>0</v>
      </c>
      <c r="L69" s="1">
        <v>1.7</v>
      </c>
      <c r="N69" s="1">
        <v>-1.7</v>
      </c>
      <c r="P69" s="6"/>
      <c r="T69" s="7"/>
      <c r="V69" s="1">
        <v>1387.3</v>
      </c>
    </row>
    <row r="70" spans="2:22" s="1" customFormat="1" x14ac:dyDescent="0.25">
      <c r="B70" s="2"/>
      <c r="C70" s="8">
        <v>40244</v>
      </c>
      <c r="D70" s="1">
        <v>2.7</v>
      </c>
      <c r="E70" s="1">
        <v>-1.8</v>
      </c>
      <c r="F70" s="1">
        <v>8.3000000000000007</v>
      </c>
      <c r="J70" s="1">
        <v>0</v>
      </c>
      <c r="L70" s="1">
        <v>2.1</v>
      </c>
      <c r="N70" s="1">
        <v>-2.1</v>
      </c>
      <c r="P70" s="6"/>
      <c r="T70" s="7"/>
      <c r="V70" s="1">
        <v>1423.7</v>
      </c>
    </row>
    <row r="71" spans="2:22" s="1" customFormat="1" x14ac:dyDescent="0.25">
      <c r="B71" s="2"/>
      <c r="C71" s="8">
        <v>40245</v>
      </c>
      <c r="D71" s="1">
        <v>-1.3</v>
      </c>
      <c r="E71" s="1">
        <v>-1.6</v>
      </c>
      <c r="F71" s="1">
        <v>-1.1000000000000001</v>
      </c>
      <c r="J71" s="1">
        <v>0</v>
      </c>
      <c r="L71" s="1">
        <v>0.6</v>
      </c>
      <c r="N71" s="1">
        <v>-0.6</v>
      </c>
      <c r="P71" s="6"/>
      <c r="T71" s="7"/>
      <c r="V71" s="1">
        <v>296.60000000000002</v>
      </c>
    </row>
    <row r="72" spans="2:22" s="1" customFormat="1" x14ac:dyDescent="0.25">
      <c r="B72" s="2"/>
      <c r="C72" s="8">
        <v>40246</v>
      </c>
      <c r="D72" s="1">
        <v>-0.1</v>
      </c>
      <c r="E72" s="1">
        <v>-4.0999999999999996</v>
      </c>
      <c r="F72" s="1">
        <v>3.5</v>
      </c>
      <c r="J72" s="1">
        <v>0</v>
      </c>
      <c r="L72" s="1">
        <v>1.6</v>
      </c>
      <c r="N72" s="1">
        <v>-1.6</v>
      </c>
      <c r="P72" s="6"/>
      <c r="T72" s="7"/>
      <c r="V72" s="1">
        <v>1344.3</v>
      </c>
    </row>
    <row r="73" spans="2:22" s="1" customFormat="1" x14ac:dyDescent="0.25">
      <c r="B73" s="2"/>
      <c r="C73" s="8">
        <v>40247</v>
      </c>
      <c r="D73" s="1">
        <v>-0.4</v>
      </c>
      <c r="E73" s="1">
        <v>-2.5</v>
      </c>
      <c r="F73" s="1">
        <v>1.7</v>
      </c>
      <c r="J73" s="1">
        <v>0</v>
      </c>
      <c r="L73" s="1">
        <v>1.6</v>
      </c>
      <c r="N73" s="1">
        <v>-1.6</v>
      </c>
      <c r="P73" s="6"/>
      <c r="T73" s="7"/>
      <c r="V73" s="1">
        <v>1303.7</v>
      </c>
    </row>
    <row r="74" spans="2:22" s="1" customFormat="1" x14ac:dyDescent="0.25">
      <c r="B74" s="2"/>
      <c r="C74" s="8">
        <v>40248</v>
      </c>
      <c r="D74" s="1">
        <v>0.5</v>
      </c>
      <c r="E74" s="1">
        <v>-2.9</v>
      </c>
      <c r="F74" s="1">
        <v>2.1</v>
      </c>
      <c r="J74" s="1">
        <v>0</v>
      </c>
      <c r="L74" s="1">
        <v>0.8</v>
      </c>
      <c r="N74" s="1">
        <v>-0.8</v>
      </c>
      <c r="P74" s="6"/>
      <c r="T74" s="7"/>
      <c r="V74" s="1">
        <v>565.29999999999995</v>
      </c>
    </row>
    <row r="75" spans="2:22" s="1" customFormat="1" x14ac:dyDescent="0.25">
      <c r="B75" s="2"/>
      <c r="C75" s="8">
        <v>40249</v>
      </c>
      <c r="D75" s="1">
        <v>3.7</v>
      </c>
      <c r="E75" s="1">
        <v>0.1</v>
      </c>
      <c r="F75" s="1">
        <v>8.3000000000000007</v>
      </c>
      <c r="J75" s="1">
        <v>0</v>
      </c>
      <c r="L75" s="1">
        <v>1.9</v>
      </c>
      <c r="N75" s="1">
        <v>-1.9</v>
      </c>
      <c r="P75" s="6"/>
      <c r="T75" s="7"/>
      <c r="V75" s="1">
        <v>1185.0999999999999</v>
      </c>
    </row>
    <row r="76" spans="2:22" s="1" customFormat="1" x14ac:dyDescent="0.25">
      <c r="B76" s="2"/>
      <c r="C76" s="8">
        <v>40250</v>
      </c>
      <c r="D76" s="1">
        <v>4.3</v>
      </c>
      <c r="E76" s="1">
        <v>1.5</v>
      </c>
      <c r="F76" s="1">
        <v>8.3000000000000007</v>
      </c>
      <c r="J76" s="1">
        <v>0</v>
      </c>
      <c r="L76" s="1">
        <v>1.9</v>
      </c>
      <c r="N76" s="1">
        <v>-1.9</v>
      </c>
      <c r="P76" s="6"/>
      <c r="T76" s="7"/>
      <c r="V76" s="1">
        <v>1148</v>
      </c>
    </row>
    <row r="77" spans="2:22" s="1" customFormat="1" x14ac:dyDescent="0.25">
      <c r="B77" s="2"/>
      <c r="C77" s="8">
        <v>40251</v>
      </c>
      <c r="D77" s="1">
        <v>4.7</v>
      </c>
      <c r="E77" s="1">
        <v>0.9</v>
      </c>
      <c r="F77" s="1">
        <v>6.9</v>
      </c>
      <c r="J77" s="1">
        <v>0</v>
      </c>
      <c r="L77" s="1">
        <v>1.5</v>
      </c>
      <c r="N77" s="1">
        <v>-1.5</v>
      </c>
      <c r="P77" s="6"/>
      <c r="T77" s="7"/>
      <c r="V77" s="1">
        <v>1015.8</v>
      </c>
    </row>
    <row r="78" spans="2:22" s="1" customFormat="1" x14ac:dyDescent="0.25">
      <c r="B78" s="2"/>
      <c r="C78" s="8">
        <v>40252</v>
      </c>
      <c r="D78" s="1">
        <v>6.2</v>
      </c>
      <c r="E78" s="1">
        <v>1.6</v>
      </c>
      <c r="F78" s="1">
        <v>11</v>
      </c>
      <c r="J78" s="1">
        <v>0</v>
      </c>
      <c r="L78" s="1">
        <v>2.2000000000000002</v>
      </c>
      <c r="N78" s="1">
        <v>-2.2000000000000002</v>
      </c>
      <c r="P78" s="6"/>
      <c r="T78" s="7"/>
      <c r="V78" s="1">
        <v>1592.9</v>
      </c>
    </row>
    <row r="79" spans="2:22" s="1" customFormat="1" x14ac:dyDescent="0.25">
      <c r="B79" s="2"/>
      <c r="C79" s="8">
        <v>40253</v>
      </c>
      <c r="D79" s="1">
        <v>7.1</v>
      </c>
      <c r="E79" s="1">
        <v>-1.4</v>
      </c>
      <c r="F79" s="1">
        <v>15.4</v>
      </c>
      <c r="J79" s="1">
        <v>0</v>
      </c>
      <c r="L79" s="1">
        <v>2.6</v>
      </c>
      <c r="N79" s="1">
        <v>-2.6</v>
      </c>
      <c r="P79" s="6"/>
      <c r="T79" s="7"/>
      <c r="V79" s="1">
        <v>1848.8</v>
      </c>
    </row>
    <row r="80" spans="2:22" s="1" customFormat="1" x14ac:dyDescent="0.25">
      <c r="B80" s="2"/>
      <c r="C80" s="8">
        <v>40254</v>
      </c>
      <c r="D80" s="1">
        <v>9.4</v>
      </c>
      <c r="E80" s="1">
        <v>0.7</v>
      </c>
      <c r="F80" s="1">
        <v>18.8</v>
      </c>
      <c r="J80" s="1">
        <v>0</v>
      </c>
      <c r="L80" s="1">
        <v>3.3</v>
      </c>
      <c r="N80" s="1">
        <v>-3.3</v>
      </c>
      <c r="P80" s="6"/>
      <c r="T80" s="7"/>
      <c r="V80" s="1">
        <v>1779.1</v>
      </c>
    </row>
    <row r="81" spans="2:22" s="1" customFormat="1" x14ac:dyDescent="0.25">
      <c r="B81" s="2"/>
      <c r="C81" s="8">
        <v>40255</v>
      </c>
      <c r="D81" s="1">
        <v>11.4</v>
      </c>
      <c r="E81" s="1">
        <v>9</v>
      </c>
      <c r="F81" s="1">
        <v>14</v>
      </c>
      <c r="J81" s="1">
        <v>0</v>
      </c>
      <c r="L81" s="1">
        <v>2.4</v>
      </c>
      <c r="N81" s="1">
        <v>-2.4</v>
      </c>
      <c r="P81" s="6"/>
      <c r="T81" s="7"/>
      <c r="V81" s="1">
        <v>1136.8</v>
      </c>
    </row>
    <row r="82" spans="2:22" s="1" customFormat="1" x14ac:dyDescent="0.25">
      <c r="B82" s="2"/>
      <c r="C82" s="8">
        <v>40256</v>
      </c>
      <c r="D82" s="1">
        <v>12.6</v>
      </c>
      <c r="E82" s="1">
        <v>10.8</v>
      </c>
      <c r="F82" s="1">
        <v>15.6</v>
      </c>
      <c r="J82" s="1">
        <v>0</v>
      </c>
      <c r="L82" s="1">
        <v>2.8</v>
      </c>
      <c r="N82" s="1">
        <v>-2.8</v>
      </c>
      <c r="P82" s="6"/>
      <c r="T82" s="7"/>
      <c r="V82" s="1">
        <v>1204.3</v>
      </c>
    </row>
    <row r="83" spans="2:22" s="1" customFormat="1" x14ac:dyDescent="0.25">
      <c r="B83" s="2"/>
      <c r="C83" s="8">
        <v>40257</v>
      </c>
      <c r="D83" s="1">
        <v>13.2</v>
      </c>
      <c r="E83" s="1">
        <v>11.7</v>
      </c>
      <c r="F83" s="1">
        <v>16.3</v>
      </c>
      <c r="J83" s="1">
        <v>0.2</v>
      </c>
      <c r="L83" s="1">
        <v>2.4</v>
      </c>
      <c r="N83" s="1">
        <v>-2.1999999999999997</v>
      </c>
      <c r="P83" s="6"/>
      <c r="T83" s="7"/>
      <c r="V83" s="1">
        <v>772.6</v>
      </c>
    </row>
    <row r="84" spans="2:22" s="1" customFormat="1" x14ac:dyDescent="0.25">
      <c r="B84" s="2"/>
      <c r="C84" s="8">
        <v>40258</v>
      </c>
      <c r="D84" s="1">
        <v>12.2</v>
      </c>
      <c r="E84" s="1">
        <v>11.1</v>
      </c>
      <c r="F84" s="1">
        <v>13.8</v>
      </c>
      <c r="J84" s="1">
        <v>3</v>
      </c>
      <c r="L84" s="1">
        <v>0.7</v>
      </c>
      <c r="N84" s="1">
        <v>2.2999999999999998</v>
      </c>
      <c r="P84" s="6"/>
      <c r="T84" s="7"/>
      <c r="V84" s="1">
        <v>244.2</v>
      </c>
    </row>
    <row r="85" spans="2:22" s="1" customFormat="1" x14ac:dyDescent="0.25">
      <c r="B85" s="2"/>
      <c r="C85" s="8">
        <v>40259</v>
      </c>
      <c r="D85" s="1">
        <v>11.8</v>
      </c>
      <c r="E85" s="1">
        <v>10.5</v>
      </c>
      <c r="F85" s="1">
        <v>13.8</v>
      </c>
      <c r="J85" s="1">
        <v>3.1</v>
      </c>
      <c r="L85" s="1">
        <v>0.9</v>
      </c>
      <c r="N85" s="1">
        <v>2.2000000000000002</v>
      </c>
      <c r="P85" s="6"/>
      <c r="T85" s="7"/>
      <c r="V85" s="1">
        <v>437.3</v>
      </c>
    </row>
    <row r="86" spans="2:22" s="1" customFormat="1" x14ac:dyDescent="0.25">
      <c r="B86" s="2"/>
      <c r="C86" s="8">
        <v>40260</v>
      </c>
      <c r="D86" s="1">
        <v>12.4</v>
      </c>
      <c r="E86" s="1">
        <v>4.0999999999999996</v>
      </c>
      <c r="F86" s="1">
        <v>18</v>
      </c>
      <c r="J86" s="1">
        <v>0</v>
      </c>
      <c r="L86" s="1">
        <v>2.5</v>
      </c>
      <c r="N86" s="1">
        <v>-2.5</v>
      </c>
      <c r="P86" s="6"/>
      <c r="T86" s="7"/>
      <c r="V86" s="1">
        <v>1835.3</v>
      </c>
    </row>
    <row r="87" spans="2:22" s="1" customFormat="1" x14ac:dyDescent="0.25">
      <c r="B87" s="2"/>
      <c r="C87" s="8">
        <v>40261</v>
      </c>
      <c r="D87" s="1">
        <v>14</v>
      </c>
      <c r="E87" s="1">
        <v>11.9</v>
      </c>
      <c r="F87" s="1">
        <v>17.899999999999999</v>
      </c>
      <c r="J87" s="1">
        <v>0.2</v>
      </c>
      <c r="L87" s="1">
        <v>2.7</v>
      </c>
      <c r="N87" s="1">
        <v>-2.5</v>
      </c>
      <c r="P87" s="6"/>
      <c r="T87" s="7"/>
      <c r="V87" s="1">
        <v>913.3</v>
      </c>
    </row>
    <row r="88" spans="2:22" s="1" customFormat="1" x14ac:dyDescent="0.25">
      <c r="B88" s="2"/>
      <c r="C88" s="8">
        <v>40262</v>
      </c>
      <c r="D88" s="1">
        <v>13.7</v>
      </c>
      <c r="E88" s="1">
        <v>11.2</v>
      </c>
      <c r="F88" s="1">
        <v>18.2</v>
      </c>
      <c r="J88" s="1">
        <v>7.8</v>
      </c>
      <c r="L88" s="1">
        <v>2.7</v>
      </c>
      <c r="N88" s="1">
        <v>5.0999999999999996</v>
      </c>
      <c r="P88" s="6"/>
      <c r="T88" s="7"/>
      <c r="V88" s="1">
        <v>1070.7</v>
      </c>
    </row>
    <row r="89" spans="2:22" s="1" customFormat="1" x14ac:dyDescent="0.25">
      <c r="B89" s="2"/>
      <c r="C89" s="8">
        <v>40263</v>
      </c>
      <c r="D89" s="1">
        <v>12.8</v>
      </c>
      <c r="E89" s="1">
        <v>9.3000000000000007</v>
      </c>
      <c r="F89" s="1">
        <v>17.8</v>
      </c>
      <c r="J89" s="1">
        <v>0.5</v>
      </c>
      <c r="L89" s="1">
        <v>3.6</v>
      </c>
      <c r="N89" s="1">
        <v>-3.1</v>
      </c>
      <c r="P89" s="6"/>
      <c r="T89" s="7"/>
      <c r="V89" s="1">
        <v>1827.9</v>
      </c>
    </row>
    <row r="90" spans="2:22" s="1" customFormat="1" x14ac:dyDescent="0.25">
      <c r="B90" s="2"/>
      <c r="C90" s="8">
        <v>40264</v>
      </c>
      <c r="D90" s="1">
        <v>11.1</v>
      </c>
      <c r="E90" s="1">
        <v>9.1999999999999993</v>
      </c>
      <c r="F90" s="1">
        <v>14.5</v>
      </c>
      <c r="J90" s="1">
        <v>4.5</v>
      </c>
      <c r="L90" s="1">
        <v>2.2999999999999998</v>
      </c>
      <c r="N90" s="1">
        <v>2.2000000000000002</v>
      </c>
      <c r="P90" s="6"/>
      <c r="T90" s="7"/>
      <c r="V90" s="1">
        <v>806.4</v>
      </c>
    </row>
    <row r="91" spans="2:22" s="1" customFormat="1" x14ac:dyDescent="0.25">
      <c r="B91" s="2"/>
      <c r="C91" s="8">
        <v>40265</v>
      </c>
      <c r="D91" s="1">
        <v>13.2</v>
      </c>
      <c r="E91" s="1">
        <v>8.9</v>
      </c>
      <c r="F91" s="1">
        <v>16.899999999999999</v>
      </c>
      <c r="J91" s="1">
        <v>0</v>
      </c>
      <c r="L91" s="1">
        <v>2.2999999999999998</v>
      </c>
      <c r="N91" s="1">
        <v>-2.2999999999999998</v>
      </c>
      <c r="P91" s="6"/>
      <c r="T91" s="7"/>
      <c r="V91" s="1">
        <v>1297.5</v>
      </c>
    </row>
    <row r="92" spans="2:22" s="1" customFormat="1" x14ac:dyDescent="0.25">
      <c r="B92" s="2"/>
      <c r="C92" s="8">
        <v>40266</v>
      </c>
      <c r="D92" s="1">
        <v>12.9</v>
      </c>
      <c r="E92" s="1">
        <v>9.5</v>
      </c>
      <c r="F92" s="1">
        <v>17.100000000000001</v>
      </c>
      <c r="J92" s="1">
        <v>2.5</v>
      </c>
      <c r="L92" s="1">
        <v>2.8</v>
      </c>
      <c r="N92" s="1">
        <v>-0.29999999999999982</v>
      </c>
      <c r="P92" s="6"/>
      <c r="T92" s="7"/>
      <c r="V92" s="1">
        <v>1439.2</v>
      </c>
    </row>
    <row r="93" spans="2:22" s="1" customFormat="1" x14ac:dyDescent="0.25">
      <c r="B93" s="2"/>
      <c r="C93" s="8">
        <v>40267</v>
      </c>
      <c r="D93" s="1">
        <v>9.4</v>
      </c>
      <c r="E93" s="1">
        <v>6.9</v>
      </c>
      <c r="F93" s="1">
        <v>10.8</v>
      </c>
      <c r="J93" s="1">
        <v>4.3</v>
      </c>
      <c r="L93" s="1">
        <v>1.6</v>
      </c>
      <c r="N93" s="1">
        <v>2.6999999999999997</v>
      </c>
      <c r="P93" s="6"/>
      <c r="T93" s="7"/>
      <c r="V93" s="1">
        <v>1038.3</v>
      </c>
    </row>
    <row r="94" spans="2:22" s="1" customFormat="1" x14ac:dyDescent="0.25">
      <c r="B94" s="2"/>
      <c r="C94" s="8">
        <v>40268</v>
      </c>
      <c r="D94" s="1">
        <v>10.7</v>
      </c>
      <c r="E94" s="1">
        <v>6.8</v>
      </c>
      <c r="F94" s="1">
        <v>15</v>
      </c>
      <c r="J94" s="1">
        <v>3.6</v>
      </c>
      <c r="L94" s="1">
        <v>2.8</v>
      </c>
      <c r="N94" s="1">
        <v>0.80000000000000027</v>
      </c>
      <c r="P94" s="6"/>
      <c r="T94" s="7"/>
      <c r="V94" s="1">
        <v>1458.5</v>
      </c>
    </row>
    <row r="95" spans="2:22" s="1" customFormat="1" x14ac:dyDescent="0.25">
      <c r="B95" s="2"/>
      <c r="C95" s="8">
        <v>40269</v>
      </c>
      <c r="D95" s="1">
        <v>8.6</v>
      </c>
      <c r="E95" s="1">
        <v>5.7</v>
      </c>
      <c r="F95" s="1">
        <v>13.1</v>
      </c>
      <c r="J95" s="1">
        <v>1.5</v>
      </c>
      <c r="L95" s="1">
        <v>2.1</v>
      </c>
      <c r="N95" s="1">
        <v>-0.60000000000000009</v>
      </c>
      <c r="P95" s="6"/>
      <c r="T95" s="7"/>
      <c r="V95" s="1">
        <v>1041.9000000000001</v>
      </c>
    </row>
    <row r="96" spans="2:22" s="1" customFormat="1" x14ac:dyDescent="0.25">
      <c r="B96" s="2"/>
      <c r="C96" s="8">
        <v>40270</v>
      </c>
      <c r="D96" s="1">
        <v>10.5</v>
      </c>
      <c r="E96" s="1">
        <v>2.4</v>
      </c>
      <c r="F96" s="1">
        <v>16.600000000000001</v>
      </c>
      <c r="J96" s="1">
        <v>0</v>
      </c>
      <c r="L96" s="1">
        <v>2.4</v>
      </c>
      <c r="N96" s="1">
        <v>-2.4</v>
      </c>
      <c r="P96" s="6"/>
      <c r="T96" s="7"/>
      <c r="V96" s="1">
        <v>1538.2</v>
      </c>
    </row>
    <row r="97" spans="2:22" s="1" customFormat="1" x14ac:dyDescent="0.25">
      <c r="B97" s="2"/>
      <c r="C97" s="8">
        <v>40271</v>
      </c>
      <c r="D97" s="1">
        <v>11</v>
      </c>
      <c r="E97" s="1">
        <v>8.6</v>
      </c>
      <c r="F97" s="1">
        <v>15.3</v>
      </c>
      <c r="J97" s="1">
        <v>6.3</v>
      </c>
      <c r="L97" s="1">
        <v>1.2</v>
      </c>
      <c r="N97" s="1">
        <v>5.0999999999999996</v>
      </c>
      <c r="P97" s="6"/>
      <c r="T97" s="7"/>
      <c r="V97" s="1">
        <v>781.8</v>
      </c>
    </row>
    <row r="98" spans="2:22" s="1" customFormat="1" x14ac:dyDescent="0.25">
      <c r="B98" s="2"/>
      <c r="C98" s="8">
        <v>40272</v>
      </c>
      <c r="D98" s="1">
        <v>8.9</v>
      </c>
      <c r="E98" s="1">
        <v>7.6</v>
      </c>
      <c r="F98" s="1">
        <v>12.9</v>
      </c>
      <c r="J98" s="1">
        <v>6.5</v>
      </c>
      <c r="L98" s="1">
        <v>2.2999999999999998</v>
      </c>
      <c r="N98" s="1">
        <v>4.2</v>
      </c>
      <c r="P98" s="6"/>
      <c r="T98" s="7"/>
      <c r="V98" s="1">
        <v>1217.4000000000001</v>
      </c>
    </row>
    <row r="99" spans="2:22" s="1" customFormat="1" x14ac:dyDescent="0.25">
      <c r="B99" s="2"/>
      <c r="C99" s="8">
        <v>40273</v>
      </c>
      <c r="D99" s="1">
        <v>9.5</v>
      </c>
      <c r="E99" s="1">
        <v>3</v>
      </c>
      <c r="F99" s="1">
        <v>14.5</v>
      </c>
      <c r="J99" s="1">
        <v>0</v>
      </c>
      <c r="L99" s="1">
        <v>2.6</v>
      </c>
      <c r="N99" s="1">
        <v>-2.6</v>
      </c>
      <c r="P99" s="6"/>
      <c r="T99" s="7"/>
      <c r="V99" s="1">
        <v>2141.3000000000002</v>
      </c>
    </row>
    <row r="100" spans="2:22" s="1" customFormat="1" x14ac:dyDescent="0.25">
      <c r="B100" s="2"/>
      <c r="C100" s="8">
        <v>40274</v>
      </c>
      <c r="D100" s="1">
        <v>11.3</v>
      </c>
      <c r="E100" s="1">
        <v>5.5</v>
      </c>
      <c r="F100" s="1">
        <v>16.399999999999999</v>
      </c>
      <c r="J100" s="1">
        <v>0.2</v>
      </c>
      <c r="L100" s="1">
        <v>2.5</v>
      </c>
      <c r="N100" s="1">
        <v>-2.2999999999999998</v>
      </c>
      <c r="P100" s="6"/>
      <c r="T100" s="7"/>
      <c r="V100" s="1">
        <v>1234.8</v>
      </c>
    </row>
    <row r="101" spans="2:22" s="1" customFormat="1" x14ac:dyDescent="0.25">
      <c r="B101" s="2"/>
      <c r="C101" s="8">
        <v>40275</v>
      </c>
      <c r="D101" s="1">
        <v>10.8</v>
      </c>
      <c r="E101" s="1">
        <v>10.5</v>
      </c>
      <c r="F101" s="1">
        <v>11.6</v>
      </c>
      <c r="J101" s="1">
        <v>2.5</v>
      </c>
      <c r="L101" s="1">
        <v>0.9</v>
      </c>
      <c r="N101" s="1">
        <v>1.6</v>
      </c>
      <c r="P101" s="6"/>
      <c r="T101" s="7"/>
      <c r="V101" s="1">
        <v>420.1</v>
      </c>
    </row>
    <row r="102" spans="2:22" s="1" customFormat="1" x14ac:dyDescent="0.25">
      <c r="B102" s="2"/>
      <c r="C102" s="8">
        <v>40276</v>
      </c>
      <c r="D102" s="1">
        <v>10.3</v>
      </c>
      <c r="E102" s="1">
        <v>8</v>
      </c>
      <c r="F102" s="1">
        <v>12.9</v>
      </c>
      <c r="J102" s="1">
        <v>0</v>
      </c>
      <c r="L102" s="1">
        <v>2.2999999999999998</v>
      </c>
      <c r="N102" s="1">
        <v>-2.2999999999999998</v>
      </c>
      <c r="P102" s="6"/>
      <c r="T102" s="7"/>
      <c r="V102" s="1">
        <v>1481.6</v>
      </c>
    </row>
    <row r="103" spans="2:22" s="1" customFormat="1" x14ac:dyDescent="0.25">
      <c r="B103" s="2"/>
      <c r="C103" s="8">
        <v>40277</v>
      </c>
      <c r="D103" s="1">
        <v>11.9</v>
      </c>
      <c r="E103" s="1">
        <v>6.2</v>
      </c>
      <c r="F103" s="1">
        <v>16.899999999999999</v>
      </c>
      <c r="J103" s="1">
        <v>0</v>
      </c>
      <c r="L103" s="1">
        <v>2.9</v>
      </c>
      <c r="N103" s="1">
        <v>-2.9</v>
      </c>
      <c r="P103" s="6"/>
      <c r="T103" s="7"/>
      <c r="V103" s="1">
        <v>1894.1</v>
      </c>
    </row>
    <row r="104" spans="2:22" s="1" customFormat="1" x14ac:dyDescent="0.25">
      <c r="B104" s="2"/>
      <c r="C104" s="8">
        <v>40278</v>
      </c>
      <c r="D104" s="1">
        <v>13.3</v>
      </c>
      <c r="E104" s="1">
        <v>5.2</v>
      </c>
      <c r="F104" s="1">
        <v>21.5</v>
      </c>
      <c r="J104" s="1">
        <v>0</v>
      </c>
      <c r="L104" s="1">
        <v>3.5</v>
      </c>
      <c r="N104" s="1">
        <v>-3.5</v>
      </c>
      <c r="P104" s="6"/>
      <c r="T104" s="7"/>
      <c r="V104" s="1">
        <v>2188.9</v>
      </c>
    </row>
    <row r="105" spans="2:22" s="1" customFormat="1" x14ac:dyDescent="0.25">
      <c r="B105" s="2"/>
      <c r="C105" s="8">
        <v>40279</v>
      </c>
      <c r="D105" s="1">
        <v>13.2</v>
      </c>
      <c r="E105" s="1">
        <v>6.6</v>
      </c>
      <c r="F105" s="1">
        <v>19.7</v>
      </c>
      <c r="J105" s="1">
        <v>0</v>
      </c>
      <c r="L105" s="1">
        <v>3.5</v>
      </c>
      <c r="N105" s="1">
        <v>-3.5</v>
      </c>
      <c r="P105" s="6"/>
      <c r="T105" s="7"/>
      <c r="V105" s="1">
        <v>2068.1</v>
      </c>
    </row>
    <row r="106" spans="2:22" s="1" customFormat="1" x14ac:dyDescent="0.25">
      <c r="B106" s="2"/>
      <c r="C106" s="8">
        <v>40280</v>
      </c>
      <c r="D106" s="1">
        <v>10.1</v>
      </c>
      <c r="E106" s="1">
        <v>4.7</v>
      </c>
      <c r="F106" s="1">
        <v>14.9</v>
      </c>
      <c r="J106" s="1">
        <v>0</v>
      </c>
      <c r="L106" s="1">
        <v>2.8</v>
      </c>
      <c r="N106" s="1">
        <v>-2.8</v>
      </c>
      <c r="P106" s="6"/>
      <c r="T106" s="7"/>
      <c r="V106" s="1">
        <v>1265.8</v>
      </c>
    </row>
    <row r="107" spans="2:22" s="1" customFormat="1" x14ac:dyDescent="0.25">
      <c r="B107" s="2"/>
      <c r="C107" s="8">
        <v>40281</v>
      </c>
      <c r="D107" s="1">
        <v>8.5</v>
      </c>
      <c r="E107" s="1">
        <v>2.2000000000000002</v>
      </c>
      <c r="F107" s="1">
        <v>15.4</v>
      </c>
      <c r="J107" s="1">
        <v>0</v>
      </c>
      <c r="L107" s="1">
        <v>3.3</v>
      </c>
      <c r="N107" s="1">
        <v>-3.3</v>
      </c>
      <c r="P107" s="6"/>
      <c r="T107" s="7"/>
      <c r="V107" s="1">
        <v>2131.6999999999998</v>
      </c>
    </row>
    <row r="108" spans="2:22" s="1" customFormat="1" x14ac:dyDescent="0.25">
      <c r="B108" s="2"/>
      <c r="C108" s="8">
        <v>40282</v>
      </c>
      <c r="D108" s="1">
        <v>9.5</v>
      </c>
      <c r="E108" s="1">
        <v>3</v>
      </c>
      <c r="F108" s="1">
        <v>15.5</v>
      </c>
      <c r="J108" s="1">
        <v>0</v>
      </c>
      <c r="L108" s="1">
        <v>2.8</v>
      </c>
      <c r="N108" s="1">
        <v>-2.8</v>
      </c>
      <c r="P108" s="6"/>
      <c r="T108" s="7"/>
      <c r="V108" s="1">
        <v>1889.9</v>
      </c>
    </row>
    <row r="109" spans="2:22" s="1" customFormat="1" x14ac:dyDescent="0.25">
      <c r="B109" s="2"/>
      <c r="C109" s="8">
        <v>40283</v>
      </c>
      <c r="D109" s="1">
        <v>10.9</v>
      </c>
      <c r="E109" s="1">
        <v>2.2000000000000002</v>
      </c>
      <c r="F109" s="1">
        <v>19.600000000000001</v>
      </c>
      <c r="J109" s="1">
        <v>0</v>
      </c>
      <c r="L109" s="1">
        <v>3.4</v>
      </c>
      <c r="N109" s="1">
        <v>-3.4</v>
      </c>
      <c r="P109" s="6"/>
      <c r="T109" s="7"/>
      <c r="V109" s="1">
        <v>2230.1</v>
      </c>
    </row>
    <row r="110" spans="2:22" s="1" customFormat="1" x14ac:dyDescent="0.25">
      <c r="B110" s="2"/>
      <c r="C110" s="8">
        <v>40284</v>
      </c>
      <c r="D110" s="1">
        <v>11.3</v>
      </c>
      <c r="E110" s="1">
        <v>4.5</v>
      </c>
      <c r="F110" s="1">
        <v>17.100000000000001</v>
      </c>
      <c r="J110" s="1">
        <v>0</v>
      </c>
      <c r="L110" s="1">
        <v>3.4</v>
      </c>
      <c r="N110" s="1">
        <v>-3.4</v>
      </c>
      <c r="P110" s="6"/>
      <c r="T110" s="7"/>
      <c r="V110" s="1">
        <v>2357.6999999999998</v>
      </c>
    </row>
    <row r="111" spans="2:22" s="1" customFormat="1" x14ac:dyDescent="0.25">
      <c r="B111" s="2"/>
      <c r="C111" s="8">
        <v>40285</v>
      </c>
      <c r="D111" s="1">
        <v>12.4</v>
      </c>
      <c r="E111" s="1">
        <v>3.6</v>
      </c>
      <c r="F111" s="1">
        <v>21.5</v>
      </c>
      <c r="J111" s="1">
        <v>0</v>
      </c>
      <c r="L111" s="1">
        <v>4.2</v>
      </c>
      <c r="N111" s="1">
        <v>-4.2</v>
      </c>
      <c r="P111" s="6"/>
      <c r="T111" s="7"/>
      <c r="V111" s="1">
        <v>2328.4</v>
      </c>
    </row>
    <row r="112" spans="2:22" s="1" customFormat="1" x14ac:dyDescent="0.25">
      <c r="B112" s="2"/>
      <c r="C112" s="8">
        <v>40286</v>
      </c>
      <c r="D112" s="1">
        <v>12.8</v>
      </c>
      <c r="E112" s="1">
        <v>5.9</v>
      </c>
      <c r="F112" s="1">
        <v>20.6</v>
      </c>
      <c r="J112" s="1">
        <v>0</v>
      </c>
      <c r="L112" s="1">
        <v>3.8</v>
      </c>
      <c r="N112" s="1">
        <v>-3.8</v>
      </c>
      <c r="P112" s="6"/>
      <c r="T112" s="7"/>
      <c r="V112" s="1">
        <v>2369.5</v>
      </c>
    </row>
    <row r="113" spans="2:22" s="1" customFormat="1" x14ac:dyDescent="0.25">
      <c r="B113" s="2"/>
      <c r="C113" s="8">
        <v>40287</v>
      </c>
      <c r="D113" s="1">
        <v>13.7</v>
      </c>
      <c r="E113" s="1">
        <v>7.2</v>
      </c>
      <c r="F113" s="1">
        <v>22.2</v>
      </c>
      <c r="J113" s="1">
        <v>2.1</v>
      </c>
      <c r="L113" s="1">
        <v>3.2</v>
      </c>
      <c r="N113" s="1">
        <v>-1.1000000000000001</v>
      </c>
      <c r="P113" s="6"/>
      <c r="T113" s="7"/>
      <c r="V113" s="1">
        <v>1817.6</v>
      </c>
    </row>
    <row r="114" spans="2:22" s="1" customFormat="1" x14ac:dyDescent="0.25">
      <c r="B114" s="2"/>
      <c r="C114" s="8">
        <v>40288</v>
      </c>
      <c r="D114" s="1">
        <v>14.3</v>
      </c>
      <c r="E114" s="1">
        <v>8.6999999999999993</v>
      </c>
      <c r="F114" s="1">
        <v>19.600000000000001</v>
      </c>
      <c r="J114" s="1">
        <v>0</v>
      </c>
      <c r="L114" s="1">
        <v>3.7</v>
      </c>
      <c r="N114" s="1">
        <v>-3.7</v>
      </c>
      <c r="P114" s="6"/>
      <c r="T114" s="7"/>
      <c r="V114" s="1">
        <v>2390.9</v>
      </c>
    </row>
    <row r="115" spans="2:22" s="1" customFormat="1" x14ac:dyDescent="0.25">
      <c r="B115" s="2"/>
      <c r="C115" s="8">
        <v>40289</v>
      </c>
      <c r="D115" s="1">
        <v>16.8</v>
      </c>
      <c r="E115" s="1">
        <v>8.3000000000000007</v>
      </c>
      <c r="F115" s="1">
        <v>24.4</v>
      </c>
      <c r="J115" s="1">
        <v>0</v>
      </c>
      <c r="L115" s="1">
        <v>3.7</v>
      </c>
      <c r="N115" s="1">
        <v>-3.7</v>
      </c>
      <c r="P115" s="6"/>
      <c r="T115" s="7"/>
      <c r="V115" s="1">
        <v>2140.8000000000002</v>
      </c>
    </row>
    <row r="116" spans="2:22" s="1" customFormat="1" x14ac:dyDescent="0.25">
      <c r="B116" s="2"/>
      <c r="C116" s="8">
        <v>40290</v>
      </c>
      <c r="D116" s="1">
        <v>16.399999999999999</v>
      </c>
      <c r="E116" s="1">
        <v>13.1</v>
      </c>
      <c r="F116" s="1">
        <v>21.1</v>
      </c>
      <c r="J116" s="1">
        <v>0</v>
      </c>
      <c r="L116" s="1">
        <v>2.2999999999999998</v>
      </c>
      <c r="N116" s="1">
        <v>-2.2999999999999998</v>
      </c>
      <c r="P116" s="6"/>
      <c r="T116" s="7"/>
      <c r="V116" s="1">
        <v>1157</v>
      </c>
    </row>
    <row r="117" spans="2:22" s="1" customFormat="1" x14ac:dyDescent="0.25">
      <c r="B117" s="2"/>
      <c r="C117" s="8">
        <v>40291</v>
      </c>
      <c r="D117" s="1">
        <v>14.1</v>
      </c>
      <c r="E117" s="1">
        <v>13.4</v>
      </c>
      <c r="F117" s="1">
        <v>15.7</v>
      </c>
      <c r="J117" s="1">
        <v>1.1000000000000001</v>
      </c>
      <c r="L117" s="1">
        <v>1</v>
      </c>
      <c r="N117" s="1">
        <v>0.10000000000000009</v>
      </c>
      <c r="P117" s="6"/>
      <c r="T117" s="7"/>
      <c r="V117" s="1">
        <v>272.7</v>
      </c>
    </row>
    <row r="118" spans="2:22" s="1" customFormat="1" x14ac:dyDescent="0.25">
      <c r="B118" s="2"/>
      <c r="C118" s="8">
        <v>40292</v>
      </c>
      <c r="D118" s="1">
        <v>15.5</v>
      </c>
      <c r="E118" s="1">
        <v>12.1</v>
      </c>
      <c r="F118" s="1">
        <v>19.8</v>
      </c>
      <c r="J118" s="1">
        <v>0</v>
      </c>
      <c r="L118" s="1">
        <v>1.9</v>
      </c>
      <c r="N118" s="1">
        <v>-1.9</v>
      </c>
      <c r="P118" s="6"/>
      <c r="T118" s="7"/>
      <c r="V118" s="1">
        <v>844.6</v>
      </c>
    </row>
    <row r="119" spans="2:22" s="1" customFormat="1" x14ac:dyDescent="0.25">
      <c r="B119" s="2"/>
      <c r="C119" s="8">
        <v>40293</v>
      </c>
      <c r="D119" s="1">
        <v>16.7</v>
      </c>
      <c r="E119" s="1">
        <v>9.5</v>
      </c>
      <c r="F119" s="1">
        <v>23</v>
      </c>
      <c r="J119" s="1">
        <v>0</v>
      </c>
      <c r="L119" s="1">
        <v>3.7</v>
      </c>
      <c r="N119" s="1">
        <v>-3.7</v>
      </c>
      <c r="P119" s="6"/>
      <c r="T119" s="7"/>
      <c r="V119" s="1">
        <v>2020.2</v>
      </c>
    </row>
    <row r="120" spans="2:22" s="1" customFormat="1" x14ac:dyDescent="0.25">
      <c r="B120" s="2"/>
      <c r="C120" s="8">
        <v>40294</v>
      </c>
      <c r="D120" s="1">
        <v>17.3</v>
      </c>
      <c r="E120" s="1">
        <v>13.1</v>
      </c>
      <c r="F120" s="1">
        <v>22.8</v>
      </c>
      <c r="J120" s="1">
        <v>0</v>
      </c>
      <c r="L120" s="1">
        <v>4</v>
      </c>
      <c r="N120" s="1">
        <v>-4</v>
      </c>
      <c r="P120" s="6"/>
      <c r="T120" s="7"/>
      <c r="V120" s="1">
        <v>1934</v>
      </c>
    </row>
    <row r="121" spans="2:22" s="1" customFormat="1" x14ac:dyDescent="0.25">
      <c r="B121" s="2"/>
      <c r="C121" s="8">
        <v>40295</v>
      </c>
      <c r="D121" s="1">
        <v>16.7</v>
      </c>
      <c r="E121" s="1">
        <v>8.4</v>
      </c>
      <c r="F121" s="1">
        <v>24.6</v>
      </c>
      <c r="J121" s="1">
        <v>0</v>
      </c>
      <c r="L121" s="1">
        <v>4.8</v>
      </c>
      <c r="N121" s="1">
        <v>-4.8</v>
      </c>
      <c r="P121" s="6"/>
      <c r="T121" s="7"/>
      <c r="V121" s="1">
        <v>2526.3000000000002</v>
      </c>
    </row>
    <row r="122" spans="2:22" s="1" customFormat="1" x14ac:dyDescent="0.25">
      <c r="B122" s="2"/>
      <c r="C122" s="8">
        <v>40296</v>
      </c>
      <c r="D122" s="1">
        <v>17.899999999999999</v>
      </c>
      <c r="E122" s="1">
        <v>7.7</v>
      </c>
      <c r="F122" s="1">
        <v>25.9</v>
      </c>
      <c r="J122" s="1">
        <v>0</v>
      </c>
      <c r="L122" s="1">
        <v>5.0999999999999996</v>
      </c>
      <c r="N122" s="1">
        <v>-5.0999999999999996</v>
      </c>
      <c r="P122" s="6"/>
      <c r="T122" s="7"/>
      <c r="V122" s="1">
        <v>2469.9</v>
      </c>
    </row>
    <row r="123" spans="2:22" s="1" customFormat="1" x14ac:dyDescent="0.25">
      <c r="B123" s="2"/>
      <c r="C123" s="8">
        <v>40297</v>
      </c>
      <c r="D123" s="1">
        <v>18.899999999999999</v>
      </c>
      <c r="E123" s="1">
        <v>14</v>
      </c>
      <c r="F123" s="1">
        <v>24.4</v>
      </c>
      <c r="J123" s="1">
        <v>2.9</v>
      </c>
      <c r="L123" s="1">
        <v>3.8</v>
      </c>
      <c r="N123" s="1">
        <v>-0.89999999999999991</v>
      </c>
      <c r="P123" s="6"/>
      <c r="T123" s="7"/>
      <c r="V123" s="1">
        <v>1566.6</v>
      </c>
    </row>
    <row r="124" spans="2:22" s="1" customFormat="1" x14ac:dyDescent="0.25">
      <c r="B124" s="2"/>
      <c r="C124" s="8">
        <v>40298</v>
      </c>
      <c r="D124" s="1">
        <v>16.100000000000001</v>
      </c>
      <c r="E124" s="1">
        <v>12.7</v>
      </c>
      <c r="F124" s="1">
        <v>20.100000000000001</v>
      </c>
      <c r="J124" s="1">
        <v>18</v>
      </c>
      <c r="L124" s="1">
        <v>1.5</v>
      </c>
      <c r="N124" s="1">
        <v>16.5</v>
      </c>
      <c r="P124" s="6"/>
      <c r="T124" s="7"/>
      <c r="V124" s="1">
        <v>530.5</v>
      </c>
    </row>
    <row r="125" spans="2:22" s="1" customFormat="1" x14ac:dyDescent="0.25">
      <c r="B125" s="2"/>
      <c r="C125" s="8">
        <v>40299</v>
      </c>
      <c r="D125" s="1">
        <v>14.3</v>
      </c>
      <c r="E125" s="1">
        <v>14.1</v>
      </c>
      <c r="F125" s="1">
        <v>14.9</v>
      </c>
      <c r="J125" s="1">
        <v>11.1</v>
      </c>
      <c r="L125" s="1">
        <v>1</v>
      </c>
      <c r="N125" s="1">
        <v>10.1</v>
      </c>
      <c r="P125" s="6"/>
      <c r="T125" s="7"/>
      <c r="V125" s="1">
        <v>442.2</v>
      </c>
    </row>
    <row r="126" spans="2:22" s="1" customFormat="1" x14ac:dyDescent="0.25">
      <c r="B126" s="2"/>
      <c r="C126" s="8">
        <v>40300</v>
      </c>
      <c r="D126" s="1">
        <v>12.4</v>
      </c>
      <c r="E126" s="1">
        <v>10.4</v>
      </c>
      <c r="F126" s="1">
        <v>14.4</v>
      </c>
      <c r="J126" s="1">
        <v>1.2</v>
      </c>
      <c r="L126" s="1">
        <v>2</v>
      </c>
      <c r="N126" s="1">
        <v>-0.8</v>
      </c>
      <c r="P126" s="6"/>
      <c r="T126" s="7"/>
      <c r="V126" s="1">
        <v>1380.4</v>
      </c>
    </row>
    <row r="127" spans="2:22" s="1" customFormat="1" x14ac:dyDescent="0.25">
      <c r="B127" s="2"/>
      <c r="C127" s="8">
        <v>40301</v>
      </c>
      <c r="D127" s="1">
        <v>11</v>
      </c>
      <c r="E127" s="1">
        <v>9.1999999999999993</v>
      </c>
      <c r="F127" s="1">
        <v>14.9</v>
      </c>
      <c r="J127" s="1">
        <v>4.9000000000000004</v>
      </c>
      <c r="L127" s="1">
        <v>1.4</v>
      </c>
      <c r="N127" s="1">
        <v>3.5000000000000004</v>
      </c>
      <c r="P127" s="6"/>
      <c r="T127" s="7"/>
      <c r="V127" s="1">
        <v>536.1</v>
      </c>
    </row>
    <row r="128" spans="2:22" s="1" customFormat="1" x14ac:dyDescent="0.25">
      <c r="B128" s="2"/>
      <c r="C128" s="8">
        <v>40302</v>
      </c>
      <c r="D128" s="1">
        <v>6.8</v>
      </c>
      <c r="E128" s="1">
        <v>6</v>
      </c>
      <c r="F128" s="1">
        <v>7.5</v>
      </c>
      <c r="J128" s="1">
        <v>30.7</v>
      </c>
      <c r="L128" s="1">
        <v>1</v>
      </c>
      <c r="N128" s="1">
        <v>29.7</v>
      </c>
      <c r="P128" s="6"/>
      <c r="T128" s="7"/>
      <c r="V128" s="1">
        <v>440.8</v>
      </c>
    </row>
    <row r="129" spans="2:22" s="1" customFormat="1" x14ac:dyDescent="0.25">
      <c r="B129" s="2"/>
      <c r="C129" s="8">
        <v>40303</v>
      </c>
      <c r="D129" s="1">
        <v>5.8</v>
      </c>
      <c r="E129" s="1">
        <v>3.7</v>
      </c>
      <c r="F129" s="1">
        <v>6.9</v>
      </c>
      <c r="J129" s="1">
        <v>10.3</v>
      </c>
      <c r="L129" s="1">
        <v>0.5</v>
      </c>
      <c r="N129" s="1">
        <v>9.8000000000000007</v>
      </c>
      <c r="P129" s="6"/>
      <c r="T129" s="7"/>
      <c r="V129" s="1">
        <v>371.1</v>
      </c>
    </row>
    <row r="130" spans="2:22" s="1" customFormat="1" x14ac:dyDescent="0.25">
      <c r="B130" s="2"/>
      <c r="C130" s="8">
        <v>40304</v>
      </c>
      <c r="D130" s="1">
        <v>8.6</v>
      </c>
      <c r="E130" s="1">
        <v>3.9</v>
      </c>
      <c r="F130" s="1">
        <v>11</v>
      </c>
      <c r="J130" s="1">
        <v>0</v>
      </c>
      <c r="L130" s="1">
        <v>1</v>
      </c>
      <c r="N130" s="1">
        <v>-1</v>
      </c>
      <c r="P130" s="6"/>
      <c r="T130" s="7"/>
      <c r="V130" s="1">
        <v>789.4</v>
      </c>
    </row>
    <row r="131" spans="2:22" s="1" customFormat="1" x14ac:dyDescent="0.25">
      <c r="B131" s="2"/>
      <c r="C131" s="8">
        <v>40305</v>
      </c>
      <c r="D131" s="1">
        <v>11.2</v>
      </c>
      <c r="E131" s="1">
        <v>4.8</v>
      </c>
      <c r="F131" s="1">
        <v>16</v>
      </c>
      <c r="J131" s="1">
        <v>0.3</v>
      </c>
      <c r="L131" s="1">
        <v>2.8</v>
      </c>
      <c r="N131" s="1">
        <v>-2.5</v>
      </c>
      <c r="P131" s="6"/>
      <c r="T131" s="7"/>
      <c r="V131" s="1">
        <v>2039.7</v>
      </c>
    </row>
    <row r="132" spans="2:22" s="1" customFormat="1" x14ac:dyDescent="0.25">
      <c r="B132" s="2"/>
      <c r="C132" s="8">
        <v>40306</v>
      </c>
      <c r="D132" s="1">
        <v>14.1</v>
      </c>
      <c r="E132" s="1">
        <v>9.6999999999999993</v>
      </c>
      <c r="F132" s="1">
        <v>20</v>
      </c>
      <c r="J132" s="1">
        <v>0.4</v>
      </c>
      <c r="L132" s="1">
        <v>3.2</v>
      </c>
      <c r="N132" s="1">
        <v>-2.8000000000000003</v>
      </c>
      <c r="P132" s="6"/>
      <c r="T132" s="7"/>
      <c r="V132" s="1">
        <v>1723.5</v>
      </c>
    </row>
    <row r="133" spans="2:22" s="1" customFormat="1" x14ac:dyDescent="0.25">
      <c r="B133" s="2"/>
      <c r="C133" s="8">
        <v>40307</v>
      </c>
      <c r="D133" s="1">
        <v>14.7</v>
      </c>
      <c r="E133" s="1">
        <v>12.3</v>
      </c>
      <c r="F133" s="1">
        <v>18.600000000000001</v>
      </c>
      <c r="J133" s="1">
        <v>2.9</v>
      </c>
      <c r="L133" s="1">
        <v>2.1</v>
      </c>
      <c r="N133" s="1">
        <v>0.79999999999999982</v>
      </c>
      <c r="P133" s="6"/>
      <c r="T133" s="7"/>
      <c r="V133" s="1">
        <v>1102.8</v>
      </c>
    </row>
    <row r="134" spans="2:22" s="1" customFormat="1" x14ac:dyDescent="0.25">
      <c r="B134" s="2"/>
      <c r="C134" s="8">
        <v>40308</v>
      </c>
      <c r="D134" s="1">
        <v>16</v>
      </c>
      <c r="E134" s="1">
        <v>11</v>
      </c>
      <c r="F134" s="1">
        <v>22.5</v>
      </c>
      <c r="J134" s="1">
        <v>9.3000000000000007</v>
      </c>
      <c r="L134" s="1">
        <v>3.7</v>
      </c>
      <c r="N134" s="1">
        <v>5.6000000000000005</v>
      </c>
      <c r="P134" s="6"/>
      <c r="T134" s="7"/>
      <c r="V134" s="1">
        <v>1874.8</v>
      </c>
    </row>
    <row r="135" spans="2:22" s="1" customFormat="1" x14ac:dyDescent="0.25">
      <c r="B135" s="2"/>
      <c r="C135" s="8">
        <v>40309</v>
      </c>
      <c r="D135" s="1">
        <v>15</v>
      </c>
      <c r="E135" s="1">
        <v>11.1</v>
      </c>
      <c r="F135" s="1">
        <v>19.600000000000001</v>
      </c>
      <c r="J135" s="1">
        <v>0.4</v>
      </c>
      <c r="L135" s="1">
        <v>3.9</v>
      </c>
      <c r="N135" s="1">
        <v>-3.5</v>
      </c>
      <c r="P135" s="6"/>
      <c r="T135" s="7"/>
      <c r="V135" s="1">
        <v>2173.4</v>
      </c>
    </row>
    <row r="136" spans="2:22" s="1" customFormat="1" x14ac:dyDescent="0.25">
      <c r="B136" s="2"/>
      <c r="C136" s="8">
        <v>40310</v>
      </c>
      <c r="D136" s="1">
        <v>13</v>
      </c>
      <c r="E136" s="1">
        <v>10.5</v>
      </c>
      <c r="F136" s="1">
        <v>17.600000000000001</v>
      </c>
      <c r="J136" s="1">
        <v>9.6</v>
      </c>
      <c r="L136" s="1">
        <v>2.2999999999999998</v>
      </c>
      <c r="N136" s="1">
        <v>7.3</v>
      </c>
      <c r="P136" s="6"/>
      <c r="T136" s="7"/>
      <c r="V136" s="1">
        <v>1091.7</v>
      </c>
    </row>
    <row r="137" spans="2:22" s="1" customFormat="1" x14ac:dyDescent="0.25">
      <c r="B137" s="2"/>
      <c r="C137" s="8">
        <v>40311</v>
      </c>
      <c r="D137" s="1">
        <v>10.4</v>
      </c>
      <c r="E137" s="1">
        <v>9.1</v>
      </c>
      <c r="F137" s="1">
        <v>12.8</v>
      </c>
      <c r="J137" s="1">
        <v>4.0999999999999996</v>
      </c>
      <c r="L137" s="1">
        <v>1.3</v>
      </c>
      <c r="N137" s="1">
        <v>2.8</v>
      </c>
      <c r="P137" s="6"/>
      <c r="T137" s="7"/>
      <c r="V137" s="1">
        <v>564.70000000000005</v>
      </c>
    </row>
    <row r="138" spans="2:22" s="1" customFormat="1" x14ac:dyDescent="0.25">
      <c r="B138" s="2"/>
      <c r="C138" s="8">
        <v>40312</v>
      </c>
      <c r="D138" s="1">
        <v>11.1</v>
      </c>
      <c r="E138" s="1">
        <v>7.2</v>
      </c>
      <c r="F138" s="1">
        <v>14.4</v>
      </c>
      <c r="J138" s="1">
        <v>0</v>
      </c>
      <c r="L138" s="1">
        <v>2.4</v>
      </c>
      <c r="N138" s="1">
        <v>-2.4</v>
      </c>
      <c r="P138" s="6"/>
      <c r="T138" s="7"/>
      <c r="V138" s="1">
        <v>1462.2</v>
      </c>
    </row>
    <row r="139" spans="2:22" s="1" customFormat="1" x14ac:dyDescent="0.25">
      <c r="B139" s="2"/>
      <c r="C139" s="8">
        <v>40313</v>
      </c>
      <c r="D139" s="1">
        <v>11.6</v>
      </c>
      <c r="E139" s="1">
        <v>8.8000000000000007</v>
      </c>
      <c r="F139" s="1">
        <v>14</v>
      </c>
      <c r="J139" s="1">
        <v>0</v>
      </c>
      <c r="L139" s="1">
        <v>3</v>
      </c>
      <c r="N139" s="1">
        <v>-3</v>
      </c>
      <c r="P139" s="6"/>
      <c r="T139" s="7"/>
      <c r="V139" s="1">
        <v>1732.8</v>
      </c>
    </row>
    <row r="140" spans="2:22" s="1" customFormat="1" x14ac:dyDescent="0.25">
      <c r="B140" s="2"/>
      <c r="C140" s="8">
        <v>40314</v>
      </c>
      <c r="D140" s="1">
        <v>12.5</v>
      </c>
      <c r="E140" s="1">
        <v>9.5</v>
      </c>
      <c r="F140" s="1">
        <v>16.3</v>
      </c>
      <c r="J140" s="1">
        <v>0.3</v>
      </c>
      <c r="L140" s="1">
        <v>3.6</v>
      </c>
      <c r="N140" s="1">
        <v>-3.3000000000000003</v>
      </c>
      <c r="P140" s="6"/>
      <c r="T140" s="7"/>
      <c r="V140" s="1">
        <v>2035.6</v>
      </c>
    </row>
    <row r="141" spans="2:22" s="1" customFormat="1" x14ac:dyDescent="0.25">
      <c r="B141" s="2"/>
      <c r="C141" s="8">
        <v>40315</v>
      </c>
      <c r="D141" s="1">
        <v>13.8</v>
      </c>
      <c r="E141" s="1">
        <v>10.1</v>
      </c>
      <c r="F141" s="1">
        <v>17.600000000000001</v>
      </c>
      <c r="J141" s="1">
        <v>0.1</v>
      </c>
      <c r="L141" s="1">
        <v>3.3</v>
      </c>
      <c r="N141" s="1">
        <v>-3.1999999999999997</v>
      </c>
      <c r="P141" s="6"/>
      <c r="T141" s="7"/>
      <c r="V141" s="1">
        <v>1884.9</v>
      </c>
    </row>
    <row r="142" spans="2:22" s="1" customFormat="1" x14ac:dyDescent="0.25">
      <c r="B142" s="2"/>
      <c r="C142" s="8">
        <v>40316</v>
      </c>
      <c r="D142" s="1">
        <v>15.2</v>
      </c>
      <c r="E142" s="1">
        <v>10.4</v>
      </c>
      <c r="F142" s="1">
        <v>19.5</v>
      </c>
      <c r="J142" s="1">
        <v>0</v>
      </c>
      <c r="L142" s="1">
        <v>4.0999999999999996</v>
      </c>
      <c r="N142" s="1">
        <v>-4.0999999999999996</v>
      </c>
      <c r="P142" s="6"/>
      <c r="T142" s="7"/>
      <c r="V142" s="1">
        <v>2323.1999999999998</v>
      </c>
    </row>
    <row r="143" spans="2:22" s="1" customFormat="1" x14ac:dyDescent="0.25">
      <c r="B143" s="2"/>
      <c r="C143" s="8">
        <v>40317</v>
      </c>
      <c r="D143" s="1">
        <v>15.6</v>
      </c>
      <c r="E143" s="1">
        <v>11.8</v>
      </c>
      <c r="F143" s="1">
        <v>19.7</v>
      </c>
      <c r="J143" s="1">
        <v>0</v>
      </c>
      <c r="L143" s="1">
        <v>4.5</v>
      </c>
      <c r="N143" s="1">
        <v>-4.5</v>
      </c>
      <c r="P143" s="6"/>
      <c r="T143" s="7"/>
      <c r="V143" s="1">
        <v>2120.1999999999998</v>
      </c>
    </row>
    <row r="144" spans="2:22" s="1" customFormat="1" x14ac:dyDescent="0.25">
      <c r="B144" s="2"/>
      <c r="C144" s="8">
        <v>40318</v>
      </c>
      <c r="D144" s="1">
        <v>16.8</v>
      </c>
      <c r="E144" s="1">
        <v>11.3</v>
      </c>
      <c r="F144" s="1">
        <v>21.9</v>
      </c>
      <c r="J144" s="1">
        <v>0</v>
      </c>
      <c r="L144" s="1">
        <v>5.8</v>
      </c>
      <c r="N144" s="1">
        <v>-5.8</v>
      </c>
      <c r="P144" s="6"/>
      <c r="T144" s="7"/>
      <c r="V144" s="1">
        <v>3095.9</v>
      </c>
    </row>
    <row r="145" spans="2:22" s="1" customFormat="1" x14ac:dyDescent="0.25">
      <c r="B145" s="2"/>
      <c r="C145" s="8">
        <v>40319</v>
      </c>
      <c r="D145" s="1">
        <v>18.899999999999999</v>
      </c>
      <c r="E145" s="1">
        <v>13</v>
      </c>
      <c r="F145" s="1">
        <v>24.9</v>
      </c>
      <c r="J145" s="1">
        <v>0</v>
      </c>
      <c r="L145" s="1">
        <v>5.3</v>
      </c>
      <c r="N145" s="1">
        <v>-5.3</v>
      </c>
      <c r="P145" s="6"/>
      <c r="T145" s="7"/>
      <c r="V145" s="1">
        <v>2736.3</v>
      </c>
    </row>
    <row r="146" spans="2:22" s="1" customFormat="1" x14ac:dyDescent="0.25">
      <c r="B146" s="2"/>
      <c r="C146" s="8">
        <v>40320</v>
      </c>
      <c r="D146" s="1">
        <v>20</v>
      </c>
      <c r="E146" s="1">
        <v>14.2</v>
      </c>
      <c r="F146" s="1">
        <v>25.1</v>
      </c>
      <c r="J146" s="1">
        <v>0</v>
      </c>
      <c r="L146" s="1">
        <v>5.4</v>
      </c>
      <c r="N146" s="1">
        <v>-5.4</v>
      </c>
      <c r="P146" s="6"/>
      <c r="T146" s="7"/>
      <c r="V146" s="1">
        <v>2790.3</v>
      </c>
    </row>
    <row r="147" spans="2:22" s="1" customFormat="1" x14ac:dyDescent="0.25">
      <c r="B147" s="2"/>
      <c r="C147" s="8">
        <v>40321</v>
      </c>
      <c r="D147" s="1">
        <v>20.8</v>
      </c>
      <c r="E147" s="1">
        <v>15.8</v>
      </c>
      <c r="F147" s="1">
        <v>25.9</v>
      </c>
      <c r="J147" s="1">
        <v>0</v>
      </c>
      <c r="L147" s="1">
        <v>6.8</v>
      </c>
      <c r="N147" s="1">
        <v>-6.8</v>
      </c>
      <c r="P147" s="6"/>
      <c r="T147" s="7"/>
      <c r="V147" s="1">
        <v>3162.1</v>
      </c>
    </row>
    <row r="148" spans="2:22" s="1" customFormat="1" x14ac:dyDescent="0.25">
      <c r="B148" s="2"/>
      <c r="C148" s="8">
        <v>40322</v>
      </c>
      <c r="D148" s="1">
        <v>20.7</v>
      </c>
      <c r="E148" s="1">
        <v>14.1</v>
      </c>
      <c r="F148" s="1">
        <v>27.5</v>
      </c>
      <c r="J148" s="1">
        <v>0</v>
      </c>
      <c r="L148" s="1">
        <v>7.1</v>
      </c>
      <c r="N148" s="1">
        <v>-7.1</v>
      </c>
      <c r="P148" s="6"/>
      <c r="T148" s="7"/>
      <c r="V148" s="1">
        <v>3111.4</v>
      </c>
    </row>
    <row r="149" spans="2:22" s="1" customFormat="1" x14ac:dyDescent="0.25">
      <c r="B149" s="2"/>
      <c r="C149" s="8">
        <v>40323</v>
      </c>
      <c r="D149" s="1">
        <v>21</v>
      </c>
      <c r="E149" s="1">
        <v>15.8</v>
      </c>
      <c r="F149" s="1">
        <v>28.2</v>
      </c>
      <c r="J149" s="1">
        <v>2.9</v>
      </c>
      <c r="L149" s="1">
        <v>5.5</v>
      </c>
      <c r="N149" s="1">
        <v>-2.6</v>
      </c>
      <c r="P149" s="6"/>
      <c r="T149" s="7"/>
      <c r="V149" s="1">
        <v>2172.1</v>
      </c>
    </row>
    <row r="150" spans="2:22" s="1" customFormat="1" x14ac:dyDescent="0.25">
      <c r="B150" s="2"/>
      <c r="C150" s="8">
        <v>40324</v>
      </c>
      <c r="D150" s="1">
        <v>19.5</v>
      </c>
      <c r="E150" s="1">
        <v>14.8</v>
      </c>
      <c r="F150" s="1">
        <v>25.9</v>
      </c>
      <c r="J150" s="1">
        <v>2.6</v>
      </c>
      <c r="L150" s="1">
        <v>4.3</v>
      </c>
      <c r="N150" s="1">
        <v>-1.6999999999999997</v>
      </c>
      <c r="P150" s="6"/>
      <c r="T150" s="7"/>
      <c r="V150" s="1">
        <v>1804</v>
      </c>
    </row>
    <row r="151" spans="2:22" s="1" customFormat="1" x14ac:dyDescent="0.25">
      <c r="B151" s="2"/>
      <c r="C151" s="8">
        <v>40325</v>
      </c>
      <c r="D151" s="1">
        <v>17.8</v>
      </c>
      <c r="E151" s="1">
        <v>14.3</v>
      </c>
      <c r="F151" s="1">
        <v>21.7</v>
      </c>
      <c r="J151" s="1">
        <v>0.7</v>
      </c>
      <c r="L151" s="1">
        <v>4.2</v>
      </c>
      <c r="N151" s="1">
        <v>-3.5</v>
      </c>
      <c r="P151" s="6"/>
      <c r="T151" s="7"/>
      <c r="V151" s="1">
        <v>2299.6</v>
      </c>
    </row>
    <row r="152" spans="2:22" s="1" customFormat="1" x14ac:dyDescent="0.25">
      <c r="B152" s="2"/>
      <c r="C152" s="8">
        <v>40326</v>
      </c>
      <c r="D152" s="1">
        <v>16.399999999999999</v>
      </c>
      <c r="E152" s="1">
        <v>13.7</v>
      </c>
      <c r="F152" s="1">
        <v>18.2</v>
      </c>
      <c r="J152" s="1">
        <v>0</v>
      </c>
      <c r="L152" s="1">
        <v>2.2000000000000002</v>
      </c>
      <c r="N152" s="1">
        <v>-2.2000000000000002</v>
      </c>
      <c r="P152" s="6"/>
      <c r="T152" s="7"/>
      <c r="V152" s="1">
        <v>1158.0999999999999</v>
      </c>
    </row>
    <row r="153" spans="2:22" s="1" customFormat="1" x14ac:dyDescent="0.25">
      <c r="B153" s="2"/>
      <c r="C153" s="8">
        <v>40327</v>
      </c>
      <c r="D153" s="1">
        <v>17.899999999999999</v>
      </c>
      <c r="E153" s="1">
        <v>14.4</v>
      </c>
      <c r="F153" s="1">
        <v>20.6</v>
      </c>
      <c r="J153" s="1">
        <v>0</v>
      </c>
      <c r="L153" s="1">
        <v>3.5</v>
      </c>
      <c r="N153" s="1">
        <v>-3.5</v>
      </c>
      <c r="P153" s="6"/>
      <c r="T153" s="7"/>
      <c r="V153" s="1">
        <v>1661.1</v>
      </c>
    </row>
    <row r="154" spans="2:22" s="1" customFormat="1" x14ac:dyDescent="0.25">
      <c r="B154" s="2"/>
      <c r="C154" s="8">
        <v>40328</v>
      </c>
      <c r="D154" s="1">
        <v>18.5</v>
      </c>
      <c r="E154" s="1">
        <v>17.3</v>
      </c>
      <c r="F154" s="1">
        <v>20.7</v>
      </c>
      <c r="J154" s="1">
        <v>1.9</v>
      </c>
      <c r="L154" s="1">
        <v>3</v>
      </c>
      <c r="N154" s="1">
        <v>-1.1000000000000001</v>
      </c>
      <c r="P154" s="6"/>
      <c r="T154" s="7"/>
      <c r="V154" s="1">
        <v>862.6</v>
      </c>
    </row>
    <row r="155" spans="2:22" s="1" customFormat="1" x14ac:dyDescent="0.25">
      <c r="B155" s="2"/>
      <c r="C155" s="8">
        <v>40329</v>
      </c>
      <c r="D155" s="1">
        <v>19.100000000000001</v>
      </c>
      <c r="E155" s="1">
        <v>16.5</v>
      </c>
      <c r="F155" s="1">
        <v>23.4</v>
      </c>
      <c r="J155" s="1">
        <v>0</v>
      </c>
      <c r="L155" s="1">
        <v>4.0999999999999996</v>
      </c>
      <c r="N155" s="1">
        <v>-4.0999999999999996</v>
      </c>
      <c r="P155" s="6"/>
      <c r="T155" s="7"/>
      <c r="V155" s="1">
        <v>1305.0999999999999</v>
      </c>
    </row>
    <row r="156" spans="2:22" s="1" customFormat="1" x14ac:dyDescent="0.25">
      <c r="B156" s="2"/>
      <c r="C156" s="8">
        <v>40330</v>
      </c>
      <c r="D156" s="1">
        <v>18.100000000000001</v>
      </c>
      <c r="E156" s="1">
        <v>15.7</v>
      </c>
      <c r="F156" s="1">
        <v>20.5</v>
      </c>
      <c r="J156" s="1">
        <v>0.2</v>
      </c>
      <c r="L156" s="1">
        <v>2.1</v>
      </c>
      <c r="N156" s="1">
        <v>-1.9000000000000001</v>
      </c>
      <c r="P156" s="6"/>
      <c r="T156" s="7"/>
      <c r="V156" s="1">
        <v>522.1</v>
      </c>
    </row>
    <row r="157" spans="2:22" s="1" customFormat="1" x14ac:dyDescent="0.25">
      <c r="B157" s="2"/>
      <c r="C157" s="8">
        <v>40331</v>
      </c>
      <c r="D157" s="1">
        <v>19.100000000000001</v>
      </c>
      <c r="E157" s="1">
        <v>16.3</v>
      </c>
      <c r="F157" s="1">
        <v>22.8</v>
      </c>
      <c r="J157" s="1">
        <v>0</v>
      </c>
      <c r="L157" s="1">
        <v>4.4000000000000004</v>
      </c>
      <c r="N157" s="1">
        <v>-4.4000000000000004</v>
      </c>
      <c r="P157" s="6"/>
      <c r="T157" s="7"/>
      <c r="V157" s="1">
        <v>1690.5</v>
      </c>
    </row>
    <row r="158" spans="2:22" s="1" customFormat="1" x14ac:dyDescent="0.25">
      <c r="B158" s="2"/>
      <c r="C158" s="8">
        <v>40332</v>
      </c>
      <c r="D158" s="1">
        <v>20</v>
      </c>
      <c r="E158" s="1">
        <v>13.3</v>
      </c>
      <c r="F158" s="1">
        <v>25.9</v>
      </c>
      <c r="J158" s="1">
        <v>0</v>
      </c>
      <c r="L158" s="1">
        <v>6.1</v>
      </c>
      <c r="N158" s="1">
        <v>-6.1</v>
      </c>
      <c r="P158" s="6"/>
      <c r="T158" s="7"/>
      <c r="V158" s="1">
        <v>3172.2</v>
      </c>
    </row>
    <row r="159" spans="2:22" s="1" customFormat="1" x14ac:dyDescent="0.25">
      <c r="B159" s="2"/>
      <c r="C159" s="8">
        <v>40333</v>
      </c>
      <c r="D159" s="1">
        <v>22.6</v>
      </c>
      <c r="E159" s="1">
        <v>16.8</v>
      </c>
      <c r="F159" s="1">
        <v>27.9</v>
      </c>
      <c r="J159" s="1">
        <v>0</v>
      </c>
      <c r="L159" s="1">
        <v>6.3</v>
      </c>
      <c r="N159" s="1">
        <v>-6.3</v>
      </c>
      <c r="P159" s="6"/>
      <c r="T159" s="7"/>
      <c r="V159" s="1">
        <v>2760.1</v>
      </c>
    </row>
    <row r="160" spans="2:22" s="1" customFormat="1" x14ac:dyDescent="0.25">
      <c r="B160" s="2"/>
      <c r="C160" s="8">
        <v>40334</v>
      </c>
      <c r="D160" s="1">
        <v>23.5</v>
      </c>
      <c r="E160" s="1">
        <v>17.5</v>
      </c>
      <c r="F160" s="1">
        <v>28.5</v>
      </c>
      <c r="J160" s="1">
        <v>0.8</v>
      </c>
      <c r="L160" s="1">
        <v>6</v>
      </c>
      <c r="N160" s="1">
        <v>-5.2</v>
      </c>
      <c r="P160" s="6"/>
      <c r="T160" s="7"/>
      <c r="V160" s="1">
        <v>2803.4</v>
      </c>
    </row>
    <row r="161" spans="2:22" s="1" customFormat="1" x14ac:dyDescent="0.25">
      <c r="B161" s="2"/>
      <c r="C161" s="10">
        <v>40335</v>
      </c>
      <c r="D161" s="1">
        <v>17.7</v>
      </c>
      <c r="E161" s="1">
        <v>17</v>
      </c>
      <c r="F161" s="1">
        <v>18.2</v>
      </c>
      <c r="J161" s="1">
        <v>0.3</v>
      </c>
      <c r="L161" s="1">
        <v>1.6</v>
      </c>
      <c r="N161" s="1">
        <v>-1.3</v>
      </c>
      <c r="O161" s="11"/>
      <c r="P161" s="12"/>
      <c r="T161" s="7">
        <v>0</v>
      </c>
      <c r="U161" s="1" t="s">
        <v>27</v>
      </c>
      <c r="V161" s="1">
        <v>560.9</v>
      </c>
    </row>
    <row r="162" spans="2:22" s="1" customFormat="1" x14ac:dyDescent="0.25">
      <c r="B162" s="2"/>
      <c r="C162" s="8">
        <v>40336</v>
      </c>
      <c r="D162" s="1">
        <v>20.7</v>
      </c>
      <c r="E162" s="1">
        <v>14.7</v>
      </c>
      <c r="F162" s="1">
        <v>25.8</v>
      </c>
      <c r="J162" s="1">
        <v>2.2999999999999998</v>
      </c>
      <c r="L162" s="1">
        <v>4.9000000000000004</v>
      </c>
      <c r="N162" s="1">
        <v>-2.6000000000000005</v>
      </c>
      <c r="P162" s="6"/>
      <c r="T162" s="7">
        <v>0</v>
      </c>
      <c r="V162" s="1">
        <v>2437.3000000000002</v>
      </c>
    </row>
    <row r="163" spans="2:22" s="1" customFormat="1" x14ac:dyDescent="0.25">
      <c r="B163" s="2"/>
      <c r="C163" s="8">
        <v>40337</v>
      </c>
      <c r="D163" s="1">
        <v>18.399999999999999</v>
      </c>
      <c r="E163" s="1">
        <v>15.2</v>
      </c>
      <c r="F163" s="1">
        <v>20.3</v>
      </c>
      <c r="J163" s="1">
        <v>32</v>
      </c>
      <c r="L163" s="1">
        <v>1.5</v>
      </c>
      <c r="N163" s="1">
        <v>30.5</v>
      </c>
      <c r="P163" s="6"/>
      <c r="T163" s="7">
        <v>30.5</v>
      </c>
      <c r="V163" s="1">
        <v>576.1</v>
      </c>
    </row>
    <row r="164" spans="2:22" s="1" customFormat="1" x14ac:dyDescent="0.25">
      <c r="B164" s="2"/>
      <c r="C164" s="8">
        <v>40338</v>
      </c>
      <c r="D164" s="1">
        <v>18.5</v>
      </c>
      <c r="E164" s="1">
        <v>15.8</v>
      </c>
      <c r="F164" s="1">
        <v>20.399999999999999</v>
      </c>
      <c r="J164" s="1">
        <v>7.6</v>
      </c>
      <c r="L164" s="1">
        <v>0.8</v>
      </c>
      <c r="N164" s="1">
        <v>6.8</v>
      </c>
      <c r="P164" s="6"/>
      <c r="T164" s="7">
        <v>37.299999999999997</v>
      </c>
      <c r="V164" s="1">
        <v>384.1</v>
      </c>
    </row>
    <row r="165" spans="2:22" s="1" customFormat="1" x14ac:dyDescent="0.25">
      <c r="B165" s="2"/>
      <c r="C165" s="8">
        <v>40339</v>
      </c>
      <c r="D165" s="1">
        <v>22</v>
      </c>
      <c r="E165" s="1">
        <v>18.8</v>
      </c>
      <c r="F165" s="1">
        <v>26.1</v>
      </c>
      <c r="J165" s="1">
        <v>1.7</v>
      </c>
      <c r="L165" s="1">
        <v>4.7</v>
      </c>
      <c r="N165" s="1">
        <v>-3</v>
      </c>
      <c r="P165" s="6"/>
      <c r="T165" s="7">
        <v>34.299999999999997</v>
      </c>
      <c r="V165" s="1">
        <v>1786.3</v>
      </c>
    </row>
    <row r="166" spans="2:22" s="1" customFormat="1" x14ac:dyDescent="0.25">
      <c r="B166" s="2"/>
      <c r="C166" s="8">
        <v>40340</v>
      </c>
      <c r="D166" s="1">
        <v>18.100000000000001</v>
      </c>
      <c r="E166" s="1">
        <v>16.899999999999999</v>
      </c>
      <c r="F166" s="1">
        <v>22</v>
      </c>
      <c r="J166" s="1">
        <v>14.6</v>
      </c>
      <c r="L166" s="1">
        <v>3.2</v>
      </c>
      <c r="N166" s="1">
        <v>11.399999999999999</v>
      </c>
      <c r="P166" s="6"/>
      <c r="T166" s="7">
        <v>45.699999999999996</v>
      </c>
      <c r="V166" s="1">
        <v>1384.9</v>
      </c>
    </row>
    <row r="167" spans="2:22" s="1" customFormat="1" x14ac:dyDescent="0.25">
      <c r="B167" s="2"/>
      <c r="C167" s="8">
        <v>40341</v>
      </c>
      <c r="D167" s="1">
        <v>19.100000000000001</v>
      </c>
      <c r="E167" s="1">
        <v>13.1</v>
      </c>
      <c r="F167" s="1">
        <v>23.4</v>
      </c>
      <c r="J167" s="1">
        <v>2.6</v>
      </c>
      <c r="L167" s="1">
        <v>4.0999999999999996</v>
      </c>
      <c r="N167" s="1">
        <v>-1.4999999999999996</v>
      </c>
      <c r="P167" s="6"/>
      <c r="T167" s="7">
        <v>44.199999999999996</v>
      </c>
      <c r="V167" s="1">
        <v>2091.8000000000002</v>
      </c>
    </row>
    <row r="168" spans="2:22" s="1" customFormat="1" x14ac:dyDescent="0.25">
      <c r="B168" s="2"/>
      <c r="C168" s="8">
        <v>40342</v>
      </c>
      <c r="D168" s="1">
        <v>19.399999999999999</v>
      </c>
      <c r="E168" s="1">
        <v>16.600000000000001</v>
      </c>
      <c r="F168" s="1">
        <v>24.3</v>
      </c>
      <c r="J168" s="1">
        <v>5.0999999999999996</v>
      </c>
      <c r="L168" s="1">
        <v>3.9</v>
      </c>
      <c r="N168" s="1">
        <v>1.1999999999999997</v>
      </c>
      <c r="P168" s="6"/>
      <c r="T168" s="7">
        <v>45.4</v>
      </c>
      <c r="V168" s="1">
        <v>1674.6</v>
      </c>
    </row>
    <row r="169" spans="2:22" s="1" customFormat="1" x14ac:dyDescent="0.25">
      <c r="B169" s="2"/>
      <c r="C169" s="8">
        <v>40343</v>
      </c>
      <c r="D169" s="1">
        <v>14.2</v>
      </c>
      <c r="E169" s="1">
        <v>13.5</v>
      </c>
      <c r="F169" s="1">
        <v>14.6</v>
      </c>
      <c r="J169" s="1">
        <v>6.2</v>
      </c>
      <c r="L169" s="1">
        <v>1</v>
      </c>
      <c r="N169" s="1">
        <v>5.2</v>
      </c>
      <c r="P169" s="6"/>
      <c r="T169" s="7">
        <v>50.6</v>
      </c>
      <c r="V169" s="1">
        <v>504.9</v>
      </c>
    </row>
    <row r="170" spans="2:22" s="1" customFormat="1" x14ac:dyDescent="0.25">
      <c r="B170" s="2"/>
      <c r="C170" s="8">
        <v>40344</v>
      </c>
      <c r="D170" s="1">
        <v>16</v>
      </c>
      <c r="E170" s="1">
        <v>12.5</v>
      </c>
      <c r="F170" s="1">
        <v>18.899999999999999</v>
      </c>
      <c r="J170" s="1">
        <v>1.7</v>
      </c>
      <c r="L170" s="1">
        <v>2.1</v>
      </c>
      <c r="N170" s="1">
        <v>-0.40000000000000013</v>
      </c>
      <c r="P170" s="6"/>
      <c r="T170" s="7">
        <v>50.2</v>
      </c>
      <c r="V170" s="1">
        <v>884.9</v>
      </c>
    </row>
    <row r="171" spans="2:22" s="1" customFormat="1" x14ac:dyDescent="0.25">
      <c r="B171" s="2"/>
      <c r="C171" s="8">
        <v>40345</v>
      </c>
      <c r="D171" s="1">
        <v>14.9</v>
      </c>
      <c r="E171" s="1">
        <v>13.1</v>
      </c>
      <c r="F171" s="1">
        <v>18.399999999999999</v>
      </c>
      <c r="J171" s="1">
        <v>4</v>
      </c>
      <c r="L171" s="1">
        <v>2.5</v>
      </c>
      <c r="N171" s="1">
        <v>1.5</v>
      </c>
      <c r="P171" s="6"/>
      <c r="T171" s="7">
        <v>51.7</v>
      </c>
      <c r="V171" s="1">
        <v>1071.4000000000001</v>
      </c>
    </row>
    <row r="172" spans="2:22" s="1" customFormat="1" x14ac:dyDescent="0.25">
      <c r="B172" s="2"/>
      <c r="C172" s="8">
        <v>40346</v>
      </c>
      <c r="D172" s="1">
        <v>15.6</v>
      </c>
      <c r="E172" s="1">
        <v>13.2</v>
      </c>
      <c r="F172" s="1">
        <v>18.899999999999999</v>
      </c>
      <c r="J172" s="1">
        <v>0</v>
      </c>
      <c r="L172" s="1">
        <v>3</v>
      </c>
      <c r="N172" s="1">
        <v>-3</v>
      </c>
      <c r="P172" s="6"/>
      <c r="T172" s="7">
        <v>48.7</v>
      </c>
      <c r="V172" s="1">
        <v>1455.7</v>
      </c>
    </row>
    <row r="173" spans="2:22" s="1" customFormat="1" x14ac:dyDescent="0.25">
      <c r="B173" s="2"/>
      <c r="C173" s="8">
        <v>40347</v>
      </c>
      <c r="D173" s="1">
        <v>17.100000000000001</v>
      </c>
      <c r="E173" s="1">
        <v>13.9</v>
      </c>
      <c r="F173" s="1">
        <v>20.5</v>
      </c>
      <c r="J173" s="1">
        <v>2.1</v>
      </c>
      <c r="L173" s="1">
        <v>2.7</v>
      </c>
      <c r="N173" s="1">
        <v>-0.60000000000000009</v>
      </c>
      <c r="P173" s="6"/>
      <c r="T173" s="7">
        <v>48.1</v>
      </c>
      <c r="V173" s="1">
        <v>1244.3</v>
      </c>
    </row>
    <row r="174" spans="2:22" s="1" customFormat="1" x14ac:dyDescent="0.25">
      <c r="B174" s="2"/>
      <c r="C174" s="8">
        <v>40348</v>
      </c>
      <c r="D174" s="1">
        <v>15.3</v>
      </c>
      <c r="E174" s="1">
        <v>15.5</v>
      </c>
      <c r="F174" s="1">
        <v>16.399999999999999</v>
      </c>
      <c r="J174" s="1">
        <v>17.2</v>
      </c>
      <c r="L174" s="1">
        <v>1.5</v>
      </c>
      <c r="N174" s="1">
        <v>15.7</v>
      </c>
      <c r="P174" s="6"/>
      <c r="T174" s="7">
        <v>63.8</v>
      </c>
      <c r="V174" s="1">
        <v>629</v>
      </c>
    </row>
    <row r="175" spans="2:22" s="1" customFormat="1" x14ac:dyDescent="0.25">
      <c r="B175" s="2"/>
      <c r="C175" s="8">
        <v>40349</v>
      </c>
      <c r="D175" s="1">
        <v>14.2</v>
      </c>
      <c r="E175" s="1">
        <v>11.7</v>
      </c>
      <c r="F175" s="1">
        <v>17.5</v>
      </c>
      <c r="J175" s="1">
        <v>0.5</v>
      </c>
      <c r="L175" s="1">
        <v>4.5</v>
      </c>
      <c r="N175" s="1">
        <v>-4</v>
      </c>
      <c r="P175" s="6"/>
      <c r="T175" s="7">
        <v>59.8</v>
      </c>
      <c r="V175" s="1">
        <v>2458.1999999999998</v>
      </c>
    </row>
    <row r="176" spans="2:22" s="1" customFormat="1" x14ac:dyDescent="0.25">
      <c r="B176" s="2"/>
      <c r="C176" s="8">
        <v>40350</v>
      </c>
      <c r="D176" s="1">
        <v>15.5</v>
      </c>
      <c r="E176" s="1">
        <v>12.4</v>
      </c>
      <c r="F176" s="1">
        <v>18.899999999999999</v>
      </c>
      <c r="J176" s="1">
        <v>0</v>
      </c>
      <c r="L176" s="1">
        <v>4.5</v>
      </c>
      <c r="N176" s="1">
        <v>-4.5</v>
      </c>
      <c r="P176" s="6"/>
      <c r="T176" s="7">
        <v>55.3</v>
      </c>
      <c r="V176" s="1">
        <v>2085.6</v>
      </c>
    </row>
    <row r="177" spans="2:22" s="1" customFormat="1" x14ac:dyDescent="0.25">
      <c r="B177" s="2"/>
      <c r="C177" s="8">
        <v>40351</v>
      </c>
      <c r="D177" s="1">
        <v>17.399999999999999</v>
      </c>
      <c r="E177" s="1">
        <v>12.7</v>
      </c>
      <c r="F177" s="1">
        <v>22.3</v>
      </c>
      <c r="J177" s="1">
        <v>0</v>
      </c>
      <c r="L177" s="1">
        <v>5.4</v>
      </c>
      <c r="N177" s="1">
        <v>-5.4</v>
      </c>
      <c r="P177" s="6"/>
      <c r="T177" s="7">
        <v>49.9</v>
      </c>
      <c r="V177" s="1">
        <v>2789.4</v>
      </c>
    </row>
    <row r="178" spans="2:22" s="1" customFormat="1" x14ac:dyDescent="0.25">
      <c r="B178" s="2"/>
      <c r="C178" s="8">
        <v>40352</v>
      </c>
      <c r="D178" s="1">
        <v>19.100000000000001</v>
      </c>
      <c r="E178" s="1">
        <v>13.8</v>
      </c>
      <c r="F178" s="1">
        <v>24.8</v>
      </c>
      <c r="J178" s="1">
        <v>0</v>
      </c>
      <c r="L178" s="1">
        <v>6</v>
      </c>
      <c r="N178" s="1">
        <v>-6</v>
      </c>
      <c r="P178" s="6"/>
      <c r="T178" s="7">
        <v>43.9</v>
      </c>
      <c r="V178" s="1">
        <v>3100.2</v>
      </c>
    </row>
    <row r="179" spans="2:22" s="1" customFormat="1" x14ac:dyDescent="0.25">
      <c r="B179" s="2"/>
      <c r="C179" s="8">
        <v>40353</v>
      </c>
      <c r="D179" s="1">
        <v>21.1</v>
      </c>
      <c r="E179" s="1">
        <v>14.3</v>
      </c>
      <c r="F179" s="1">
        <v>28.1</v>
      </c>
      <c r="J179" s="1">
        <v>0</v>
      </c>
      <c r="L179" s="1">
        <v>5.6</v>
      </c>
      <c r="N179" s="1">
        <v>-5.6</v>
      </c>
      <c r="P179" s="6"/>
      <c r="T179" s="7">
        <v>38.299999999999997</v>
      </c>
      <c r="V179" s="1">
        <v>2862.1</v>
      </c>
    </row>
    <row r="180" spans="2:22" s="1" customFormat="1" x14ac:dyDescent="0.25">
      <c r="B180" s="2"/>
      <c r="C180" s="8">
        <v>40354</v>
      </c>
      <c r="D180" s="1">
        <v>22.8</v>
      </c>
      <c r="E180" s="1">
        <v>15.8</v>
      </c>
      <c r="F180" s="1">
        <v>29.5</v>
      </c>
      <c r="J180" s="1">
        <v>0</v>
      </c>
      <c r="L180" s="1">
        <v>5.9</v>
      </c>
      <c r="N180" s="1">
        <v>-5.9</v>
      </c>
      <c r="P180" s="6"/>
      <c r="T180" s="7">
        <v>32.4</v>
      </c>
      <c r="V180" s="1">
        <v>2833.5</v>
      </c>
    </row>
    <row r="181" spans="2:22" s="1" customFormat="1" x14ac:dyDescent="0.25">
      <c r="B181" s="2"/>
      <c r="C181" s="8">
        <v>40355</v>
      </c>
      <c r="D181" s="1">
        <v>23.9</v>
      </c>
      <c r="E181" s="1">
        <v>17</v>
      </c>
      <c r="F181" s="1">
        <v>30.6</v>
      </c>
      <c r="J181" s="1">
        <v>0</v>
      </c>
      <c r="L181" s="1">
        <v>5.4</v>
      </c>
      <c r="N181" s="1">
        <v>-5.4</v>
      </c>
      <c r="P181" s="6"/>
      <c r="T181" s="7">
        <v>27</v>
      </c>
      <c r="V181" s="1">
        <v>2519</v>
      </c>
    </row>
    <row r="182" spans="2:22" s="1" customFormat="1" x14ac:dyDescent="0.25">
      <c r="B182" s="2"/>
      <c r="C182" s="8">
        <v>40356</v>
      </c>
      <c r="D182" s="1">
        <v>23.7</v>
      </c>
      <c r="E182" s="1">
        <v>18.3</v>
      </c>
      <c r="F182" s="1">
        <v>30</v>
      </c>
      <c r="J182" s="1">
        <v>0.8</v>
      </c>
      <c r="L182" s="1">
        <v>5.3</v>
      </c>
      <c r="N182" s="1">
        <v>-4.5</v>
      </c>
      <c r="P182" s="6"/>
      <c r="T182" s="7">
        <v>22.5</v>
      </c>
      <c r="V182" s="1">
        <v>2342.8000000000002</v>
      </c>
    </row>
    <row r="183" spans="2:22" s="1" customFormat="1" x14ac:dyDescent="0.25">
      <c r="B183" s="2"/>
      <c r="C183" s="8">
        <v>40357</v>
      </c>
      <c r="D183" s="1">
        <v>24.1</v>
      </c>
      <c r="E183" s="1">
        <v>18.5</v>
      </c>
      <c r="F183" s="1">
        <v>28.7</v>
      </c>
      <c r="J183" s="1">
        <v>0.9</v>
      </c>
      <c r="L183" s="1">
        <v>4.7</v>
      </c>
      <c r="N183" s="1">
        <v>-3.8000000000000003</v>
      </c>
      <c r="P183" s="6"/>
      <c r="T183" s="7">
        <v>18.7</v>
      </c>
      <c r="V183" s="1">
        <v>2047.7</v>
      </c>
    </row>
    <row r="184" spans="2:22" s="1" customFormat="1" x14ac:dyDescent="0.25">
      <c r="B184" s="2"/>
      <c r="C184" s="8">
        <v>40358</v>
      </c>
      <c r="D184" s="1">
        <v>24.1</v>
      </c>
      <c r="E184" s="1">
        <v>19.2</v>
      </c>
      <c r="F184" s="1">
        <v>27.9</v>
      </c>
      <c r="J184" s="1">
        <v>0</v>
      </c>
      <c r="L184" s="1">
        <v>4.5</v>
      </c>
      <c r="N184" s="1">
        <v>-4.5</v>
      </c>
      <c r="P184" s="6"/>
      <c r="T184" s="7">
        <v>14.2</v>
      </c>
      <c r="V184" s="1">
        <v>1906.8</v>
      </c>
    </row>
    <row r="185" spans="2:22" s="1" customFormat="1" x14ac:dyDescent="0.25">
      <c r="B185" s="2"/>
      <c r="C185" s="8">
        <v>40359</v>
      </c>
      <c r="D185" s="1">
        <v>24.5</v>
      </c>
      <c r="E185" s="1">
        <v>19.7</v>
      </c>
      <c r="F185" s="1">
        <v>29.9</v>
      </c>
      <c r="J185" s="1">
        <v>0</v>
      </c>
      <c r="L185" s="1">
        <v>5.8</v>
      </c>
      <c r="N185" s="1">
        <v>-5.8</v>
      </c>
      <c r="P185" s="6"/>
      <c r="T185" s="7">
        <v>8.3999999999999986</v>
      </c>
      <c r="V185" s="1">
        <v>2627.7</v>
      </c>
    </row>
    <row r="186" spans="2:22" s="1" customFormat="1" x14ac:dyDescent="0.25">
      <c r="B186" s="2"/>
      <c r="C186" s="8">
        <v>40360</v>
      </c>
      <c r="D186" s="1">
        <v>27</v>
      </c>
      <c r="E186" s="1">
        <v>20</v>
      </c>
      <c r="F186" s="1">
        <v>33.799999999999997</v>
      </c>
      <c r="J186" s="1">
        <v>0</v>
      </c>
      <c r="L186" s="1">
        <v>7.4</v>
      </c>
      <c r="N186" s="1">
        <v>-7.4</v>
      </c>
      <c r="P186" s="6"/>
      <c r="T186" s="7">
        <v>0.99999999999999822</v>
      </c>
      <c r="V186" s="1">
        <v>3152.3</v>
      </c>
    </row>
    <row r="187" spans="2:22" s="1" customFormat="1" x14ac:dyDescent="0.25">
      <c r="B187" s="2"/>
      <c r="C187" s="8">
        <v>40361</v>
      </c>
      <c r="D187" s="1">
        <v>26</v>
      </c>
      <c r="E187" s="1">
        <v>21.2</v>
      </c>
      <c r="F187" s="1">
        <v>32.200000000000003</v>
      </c>
      <c r="J187" s="1">
        <v>0</v>
      </c>
      <c r="L187" s="1">
        <v>6.3</v>
      </c>
      <c r="N187" s="1">
        <v>-6.3</v>
      </c>
      <c r="P187" s="6"/>
      <c r="T187" s="7">
        <v>0</v>
      </c>
      <c r="V187" s="1">
        <v>2271.6999999999998</v>
      </c>
    </row>
    <row r="188" spans="2:22" s="1" customFormat="1" x14ac:dyDescent="0.25">
      <c r="B188" s="2"/>
      <c r="C188" s="8">
        <v>40362</v>
      </c>
      <c r="D188" s="1">
        <v>23</v>
      </c>
      <c r="E188" s="1">
        <v>20.399999999999999</v>
      </c>
      <c r="F188" s="1">
        <v>25.5</v>
      </c>
      <c r="J188" s="1">
        <v>0</v>
      </c>
      <c r="L188" s="1">
        <v>2.5</v>
      </c>
      <c r="N188" s="1">
        <v>-2.5</v>
      </c>
      <c r="P188" s="6"/>
      <c r="T188" s="7">
        <v>0</v>
      </c>
      <c r="V188" s="1">
        <v>908.2</v>
      </c>
    </row>
    <row r="189" spans="2:22" s="1" customFormat="1" x14ac:dyDescent="0.25">
      <c r="B189" s="2"/>
      <c r="C189" s="8">
        <v>40363</v>
      </c>
      <c r="D189" s="1">
        <v>24.3</v>
      </c>
      <c r="E189" s="1">
        <v>21.3</v>
      </c>
      <c r="F189" s="1">
        <v>28.2</v>
      </c>
      <c r="J189" s="1">
        <v>0</v>
      </c>
      <c r="L189" s="1">
        <v>4.5999999999999996</v>
      </c>
      <c r="N189" s="1">
        <v>-4.5999999999999996</v>
      </c>
      <c r="P189" s="6"/>
      <c r="T189" s="7">
        <v>0</v>
      </c>
      <c r="V189" s="1">
        <v>1760.5</v>
      </c>
    </row>
    <row r="190" spans="2:22" s="1" customFormat="1" x14ac:dyDescent="0.25">
      <c r="B190" s="2"/>
      <c r="C190" s="8">
        <v>40364</v>
      </c>
      <c r="D190" s="1">
        <v>23.2</v>
      </c>
      <c r="E190" s="1">
        <v>18.899999999999999</v>
      </c>
      <c r="F190" s="1">
        <v>27</v>
      </c>
      <c r="J190" s="1">
        <v>0</v>
      </c>
      <c r="L190" s="1">
        <v>5.3</v>
      </c>
      <c r="N190" s="1">
        <v>-5.3</v>
      </c>
      <c r="P190" s="6"/>
      <c r="T190" s="7">
        <v>0</v>
      </c>
      <c r="V190" s="1">
        <v>1890.1</v>
      </c>
    </row>
    <row r="191" spans="2:22" s="1" customFormat="1" x14ac:dyDescent="0.25">
      <c r="B191" s="2"/>
      <c r="C191" s="8">
        <v>40365</v>
      </c>
      <c r="D191" s="1">
        <v>22.9</v>
      </c>
      <c r="E191" s="1">
        <v>18.7</v>
      </c>
      <c r="F191" s="1">
        <v>27.4</v>
      </c>
      <c r="J191" s="1">
        <v>0</v>
      </c>
      <c r="L191" s="1">
        <v>6</v>
      </c>
      <c r="N191" s="1">
        <v>-6</v>
      </c>
      <c r="P191" s="6"/>
      <c r="T191" s="7">
        <v>0</v>
      </c>
      <c r="V191" s="1">
        <v>2356.4</v>
      </c>
    </row>
    <row r="192" spans="2:22" s="1" customFormat="1" x14ac:dyDescent="0.25">
      <c r="B192" s="2"/>
      <c r="C192" s="8">
        <v>40366</v>
      </c>
      <c r="D192" s="1">
        <v>24</v>
      </c>
      <c r="E192" s="1">
        <v>17.600000000000001</v>
      </c>
      <c r="F192" s="1">
        <v>30.9</v>
      </c>
      <c r="J192" s="1">
        <v>0</v>
      </c>
      <c r="L192" s="1">
        <v>7.2</v>
      </c>
      <c r="N192" s="1">
        <v>-7.2</v>
      </c>
      <c r="P192" s="6"/>
      <c r="T192" s="7">
        <v>0</v>
      </c>
      <c r="V192" s="1">
        <v>3197.7</v>
      </c>
    </row>
    <row r="193" spans="2:22" s="1" customFormat="1" x14ac:dyDescent="0.25">
      <c r="B193" s="2"/>
      <c r="C193" s="8">
        <v>40367</v>
      </c>
      <c r="D193" s="1">
        <v>27</v>
      </c>
      <c r="E193" s="1">
        <v>18.100000000000001</v>
      </c>
      <c r="F193" s="1">
        <v>36.200000000000003</v>
      </c>
      <c r="J193" s="1">
        <v>0</v>
      </c>
      <c r="L193" s="1">
        <v>8</v>
      </c>
      <c r="N193" s="1">
        <v>-8</v>
      </c>
      <c r="P193" s="6"/>
      <c r="T193" s="7">
        <v>0</v>
      </c>
      <c r="V193" s="1">
        <v>2648.2</v>
      </c>
    </row>
    <row r="194" spans="2:22" s="1" customFormat="1" x14ac:dyDescent="0.25">
      <c r="B194" s="2"/>
      <c r="C194" s="8">
        <v>40368</v>
      </c>
      <c r="D194" s="1">
        <v>23.7</v>
      </c>
      <c r="E194" s="1">
        <v>22.6</v>
      </c>
      <c r="F194" s="1">
        <v>26.3</v>
      </c>
      <c r="J194" s="1">
        <v>5.9</v>
      </c>
      <c r="L194" s="1">
        <v>2.6</v>
      </c>
      <c r="N194" s="1">
        <v>3.3000000000000003</v>
      </c>
      <c r="P194" s="6"/>
      <c r="T194" s="7">
        <v>3.3000000000000003</v>
      </c>
      <c r="V194" s="1">
        <v>670.5</v>
      </c>
    </row>
    <row r="195" spans="2:22" s="1" customFormat="1" x14ac:dyDescent="0.25">
      <c r="B195" s="2"/>
      <c r="C195" s="8">
        <v>40369</v>
      </c>
      <c r="D195" s="1">
        <v>24.4</v>
      </c>
      <c r="E195" s="1">
        <v>18.100000000000001</v>
      </c>
      <c r="F195" s="1">
        <v>30.4</v>
      </c>
      <c r="J195" s="1">
        <v>0</v>
      </c>
      <c r="L195" s="1">
        <v>5.7</v>
      </c>
      <c r="N195" s="1">
        <v>-5.7</v>
      </c>
      <c r="P195" s="6"/>
      <c r="T195" s="7">
        <v>0</v>
      </c>
      <c r="V195" s="1">
        <v>2437.3000000000002</v>
      </c>
    </row>
    <row r="196" spans="2:22" s="1" customFormat="1" x14ac:dyDescent="0.25">
      <c r="B196" s="2"/>
      <c r="C196" s="8">
        <v>40370</v>
      </c>
      <c r="D196" s="1">
        <v>26.8</v>
      </c>
      <c r="E196" s="1">
        <v>20.7</v>
      </c>
      <c r="F196" s="1">
        <v>32.4</v>
      </c>
      <c r="J196" s="1">
        <v>0</v>
      </c>
      <c r="L196" s="1">
        <v>6.5</v>
      </c>
      <c r="N196" s="1">
        <v>-6.5</v>
      </c>
      <c r="P196" s="6"/>
      <c r="T196" s="7">
        <v>0</v>
      </c>
      <c r="V196" s="1">
        <v>2866.4</v>
      </c>
    </row>
    <row r="197" spans="2:22" s="1" customFormat="1" x14ac:dyDescent="0.25">
      <c r="B197" s="2"/>
      <c r="C197" s="8">
        <v>40371</v>
      </c>
      <c r="D197" s="1">
        <v>24.8</v>
      </c>
      <c r="E197" s="1">
        <v>20.5</v>
      </c>
      <c r="F197" s="1">
        <v>28</v>
      </c>
      <c r="J197" s="1">
        <v>0</v>
      </c>
      <c r="L197" s="1">
        <v>3.4</v>
      </c>
      <c r="N197" s="1">
        <v>-3.4</v>
      </c>
      <c r="P197" s="6"/>
      <c r="T197" s="7">
        <v>0</v>
      </c>
      <c r="V197" s="1">
        <v>1314.8</v>
      </c>
    </row>
    <row r="198" spans="2:22" s="1" customFormat="1" x14ac:dyDescent="0.25">
      <c r="B198" s="2"/>
      <c r="C198" s="8">
        <v>40372</v>
      </c>
      <c r="D198" s="1">
        <v>25.8</v>
      </c>
      <c r="E198" s="1">
        <v>20.100000000000001</v>
      </c>
      <c r="F198" s="1">
        <v>31.2</v>
      </c>
      <c r="J198" s="1">
        <v>0</v>
      </c>
      <c r="L198" s="1">
        <v>4.5</v>
      </c>
      <c r="N198" s="1">
        <v>-4.5</v>
      </c>
      <c r="P198" s="6"/>
      <c r="T198" s="7">
        <v>0</v>
      </c>
      <c r="V198" s="1">
        <v>1715.7</v>
      </c>
    </row>
    <row r="199" spans="2:22" s="1" customFormat="1" x14ac:dyDescent="0.25">
      <c r="B199" s="2"/>
      <c r="C199" s="8">
        <v>40373</v>
      </c>
      <c r="D199" s="1">
        <v>23.7</v>
      </c>
      <c r="E199" s="1">
        <v>22.2</v>
      </c>
      <c r="F199" s="1">
        <v>28.8</v>
      </c>
      <c r="J199" s="1">
        <v>0</v>
      </c>
      <c r="L199" s="1">
        <v>4.8</v>
      </c>
      <c r="N199" s="1">
        <v>-4.8</v>
      </c>
      <c r="P199" s="6"/>
      <c r="T199" s="7">
        <v>0</v>
      </c>
      <c r="V199" s="1">
        <v>1660</v>
      </c>
    </row>
    <row r="200" spans="2:22" s="1" customFormat="1" x14ac:dyDescent="0.25">
      <c r="B200" s="2"/>
      <c r="C200" s="8">
        <v>40374</v>
      </c>
      <c r="D200" s="1">
        <v>22.9</v>
      </c>
      <c r="E200" s="1">
        <v>18.600000000000001</v>
      </c>
      <c r="F200" s="1">
        <v>28</v>
      </c>
      <c r="J200" s="1">
        <v>0</v>
      </c>
      <c r="L200" s="1">
        <v>5.2</v>
      </c>
      <c r="N200" s="1">
        <v>-5.2</v>
      </c>
      <c r="P200" s="6"/>
      <c r="T200" s="7">
        <v>0</v>
      </c>
      <c r="V200" s="1">
        <v>2290.1</v>
      </c>
    </row>
    <row r="201" spans="2:22" s="1" customFormat="1" x14ac:dyDescent="0.25">
      <c r="B201" s="2"/>
      <c r="C201" s="8">
        <v>40375</v>
      </c>
      <c r="D201" s="1">
        <v>24.4</v>
      </c>
      <c r="E201" s="1">
        <v>17.600000000000001</v>
      </c>
      <c r="F201" s="1">
        <v>31.6</v>
      </c>
      <c r="J201" s="1">
        <v>0</v>
      </c>
      <c r="L201" s="1">
        <v>7</v>
      </c>
      <c r="N201" s="1">
        <v>-7</v>
      </c>
      <c r="P201" s="6"/>
      <c r="T201" s="7">
        <v>0</v>
      </c>
      <c r="V201" s="1">
        <v>2632.2</v>
      </c>
    </row>
    <row r="202" spans="2:22" s="1" customFormat="1" x14ac:dyDescent="0.25">
      <c r="B202" s="2"/>
      <c r="C202" s="8">
        <v>40376</v>
      </c>
      <c r="D202" s="1">
        <v>20.8</v>
      </c>
      <c r="E202" s="1">
        <v>18.3</v>
      </c>
      <c r="F202" s="1">
        <v>22.8</v>
      </c>
      <c r="J202" s="1">
        <v>0</v>
      </c>
      <c r="L202" s="1">
        <v>4.5</v>
      </c>
      <c r="N202" s="1">
        <v>-4.5</v>
      </c>
      <c r="P202" s="6"/>
      <c r="T202" s="7">
        <v>0</v>
      </c>
      <c r="V202" s="1">
        <v>1740.2</v>
      </c>
    </row>
    <row r="203" spans="2:22" s="1" customFormat="1" x14ac:dyDescent="0.25">
      <c r="B203" s="2"/>
      <c r="C203" s="8">
        <v>40377</v>
      </c>
      <c r="D203" s="1">
        <v>22.3</v>
      </c>
      <c r="E203" s="1">
        <v>17</v>
      </c>
      <c r="F203" s="1">
        <v>28.6</v>
      </c>
      <c r="J203" s="1">
        <v>0</v>
      </c>
      <c r="L203" s="1">
        <v>7.5</v>
      </c>
      <c r="N203" s="1">
        <v>-7.5</v>
      </c>
      <c r="P203" s="6"/>
      <c r="T203" s="7">
        <v>0</v>
      </c>
      <c r="V203" s="1">
        <v>3159.6</v>
      </c>
    </row>
    <row r="204" spans="2:22" s="1" customFormat="1" x14ac:dyDescent="0.25">
      <c r="B204" s="2"/>
      <c r="C204" s="8">
        <v>40378</v>
      </c>
      <c r="D204" s="1">
        <v>24.6</v>
      </c>
      <c r="E204" s="1">
        <v>16.600000000000001</v>
      </c>
      <c r="F204" s="1">
        <v>31</v>
      </c>
      <c r="J204" s="1">
        <v>0</v>
      </c>
      <c r="L204" s="1">
        <v>7.5</v>
      </c>
      <c r="N204" s="1">
        <v>-7.5</v>
      </c>
      <c r="P204" s="6"/>
      <c r="T204" s="7">
        <v>0</v>
      </c>
      <c r="V204" s="1">
        <v>2957.9</v>
      </c>
    </row>
    <row r="205" spans="2:22" s="1" customFormat="1" x14ac:dyDescent="0.25">
      <c r="B205" s="2"/>
      <c r="C205" s="8">
        <v>40379</v>
      </c>
      <c r="D205" s="1">
        <v>25.4</v>
      </c>
      <c r="E205" s="1">
        <v>18.600000000000001</v>
      </c>
      <c r="F205" s="1">
        <v>31.3</v>
      </c>
      <c r="J205" s="1">
        <v>4.5</v>
      </c>
      <c r="L205" s="1">
        <v>6.3</v>
      </c>
      <c r="N205" s="1">
        <v>-1.7999999999999998</v>
      </c>
      <c r="P205" s="6"/>
      <c r="T205" s="7">
        <v>0</v>
      </c>
      <c r="V205" s="1">
        <v>2496.3000000000002</v>
      </c>
    </row>
    <row r="206" spans="2:22" s="1" customFormat="1" x14ac:dyDescent="0.25">
      <c r="B206" s="2"/>
      <c r="C206" s="8">
        <v>40380</v>
      </c>
      <c r="D206" s="1">
        <v>20.6</v>
      </c>
      <c r="E206" s="1">
        <v>18.399999999999999</v>
      </c>
      <c r="F206" s="1">
        <v>22.6</v>
      </c>
      <c r="J206" s="1">
        <v>14.6</v>
      </c>
      <c r="L206" s="1">
        <v>2</v>
      </c>
      <c r="N206" s="1">
        <v>12.6</v>
      </c>
      <c r="P206" s="6"/>
      <c r="T206" s="7">
        <v>12.6</v>
      </c>
      <c r="V206" s="1">
        <v>621.20000000000005</v>
      </c>
    </row>
    <row r="207" spans="2:22" s="1" customFormat="1" x14ac:dyDescent="0.25">
      <c r="B207" s="2"/>
      <c r="C207" s="8">
        <v>40381</v>
      </c>
      <c r="D207" s="1">
        <v>18</v>
      </c>
      <c r="E207" s="1">
        <v>15.1</v>
      </c>
      <c r="F207" s="1">
        <v>20.3</v>
      </c>
      <c r="J207" s="1">
        <v>7.8</v>
      </c>
      <c r="L207" s="1">
        <v>1.3</v>
      </c>
      <c r="N207" s="1">
        <v>6.5</v>
      </c>
      <c r="P207" s="6"/>
      <c r="T207" s="7">
        <v>19.100000000000001</v>
      </c>
      <c r="V207" s="1">
        <v>493.4</v>
      </c>
    </row>
    <row r="208" spans="2:22" s="1" customFormat="1" x14ac:dyDescent="0.25">
      <c r="B208" s="2"/>
      <c r="C208" s="8">
        <v>40382</v>
      </c>
      <c r="D208" s="1">
        <v>19.7</v>
      </c>
      <c r="E208" s="1">
        <v>16.899999999999999</v>
      </c>
      <c r="F208" s="1">
        <v>23.5</v>
      </c>
      <c r="J208" s="1">
        <v>0</v>
      </c>
      <c r="L208" s="1">
        <v>4.9000000000000004</v>
      </c>
      <c r="N208" s="1">
        <v>-4.9000000000000004</v>
      </c>
      <c r="P208" s="6"/>
      <c r="T208" s="7">
        <v>14.200000000000001</v>
      </c>
      <c r="V208" s="1">
        <v>2053.1999999999998</v>
      </c>
    </row>
    <row r="209" spans="2:22" s="1" customFormat="1" x14ac:dyDescent="0.25">
      <c r="B209" s="2"/>
      <c r="C209" s="8">
        <v>40383</v>
      </c>
      <c r="D209" s="1">
        <v>19.899999999999999</v>
      </c>
      <c r="E209" s="1">
        <v>15.7</v>
      </c>
      <c r="F209" s="1">
        <v>23.8</v>
      </c>
      <c r="J209" s="1">
        <v>0</v>
      </c>
      <c r="L209" s="1">
        <v>4.3</v>
      </c>
      <c r="N209" s="1">
        <v>-4.3</v>
      </c>
      <c r="P209" s="6"/>
      <c r="T209" s="7">
        <v>9.9000000000000021</v>
      </c>
      <c r="V209" s="1">
        <v>2024</v>
      </c>
    </row>
    <row r="210" spans="2:22" s="1" customFormat="1" x14ac:dyDescent="0.25">
      <c r="B210" s="2"/>
      <c r="C210" s="8">
        <v>40384</v>
      </c>
      <c r="D210" s="1">
        <v>20.100000000000001</v>
      </c>
      <c r="E210" s="1">
        <v>16.3</v>
      </c>
      <c r="F210" s="1">
        <v>25</v>
      </c>
      <c r="J210" s="1">
        <v>1.7</v>
      </c>
      <c r="L210" s="1">
        <v>4.5999999999999996</v>
      </c>
      <c r="N210" s="1">
        <v>-2.8999999999999995</v>
      </c>
      <c r="P210" s="6"/>
      <c r="T210" s="7">
        <v>7.0000000000000027</v>
      </c>
      <c r="V210" s="1">
        <v>1738.4</v>
      </c>
    </row>
    <row r="211" spans="2:22" s="1" customFormat="1" x14ac:dyDescent="0.25">
      <c r="B211" s="2"/>
      <c r="C211" s="8">
        <v>40385</v>
      </c>
      <c r="D211" s="1">
        <v>21.2</v>
      </c>
      <c r="E211" s="1">
        <v>17.8</v>
      </c>
      <c r="F211" s="1">
        <v>25</v>
      </c>
      <c r="J211" s="1">
        <v>0</v>
      </c>
      <c r="L211" s="1">
        <v>4.5</v>
      </c>
      <c r="N211" s="1">
        <v>-4.5</v>
      </c>
      <c r="P211" s="6"/>
      <c r="T211" s="7">
        <v>2.5000000000000027</v>
      </c>
      <c r="V211" s="1">
        <v>1993.8</v>
      </c>
    </row>
    <row r="212" spans="2:22" s="1" customFormat="1" x14ac:dyDescent="0.25">
      <c r="B212" s="2"/>
      <c r="C212" s="8">
        <v>40386</v>
      </c>
      <c r="D212" s="1">
        <v>23</v>
      </c>
      <c r="E212" s="1">
        <v>17.5</v>
      </c>
      <c r="F212" s="1">
        <v>28.1</v>
      </c>
      <c r="J212" s="1">
        <v>0</v>
      </c>
      <c r="L212" s="1">
        <v>5.2</v>
      </c>
      <c r="N212" s="1">
        <v>-5.2</v>
      </c>
      <c r="P212" s="6"/>
      <c r="T212" s="7">
        <v>0</v>
      </c>
      <c r="V212" s="1">
        <v>2329.3000000000002</v>
      </c>
    </row>
    <row r="213" spans="2:22" s="1" customFormat="1" x14ac:dyDescent="0.25">
      <c r="B213" s="2"/>
      <c r="C213" s="8">
        <v>40387</v>
      </c>
      <c r="D213" s="1">
        <v>24.6</v>
      </c>
      <c r="E213" s="1">
        <v>18.100000000000001</v>
      </c>
      <c r="F213" s="1">
        <v>30.1</v>
      </c>
      <c r="J213" s="1">
        <v>0</v>
      </c>
      <c r="L213" s="1">
        <v>5.5</v>
      </c>
      <c r="N213" s="1">
        <v>-5.5</v>
      </c>
      <c r="P213" s="6"/>
      <c r="T213" s="7">
        <v>0</v>
      </c>
      <c r="V213" s="1">
        <v>2377.1999999999998</v>
      </c>
    </row>
    <row r="214" spans="2:22" s="1" customFormat="1" x14ac:dyDescent="0.25">
      <c r="B214" s="2"/>
      <c r="C214" s="8">
        <v>40388</v>
      </c>
      <c r="D214" s="1">
        <v>22</v>
      </c>
      <c r="E214" s="1">
        <v>18.7</v>
      </c>
      <c r="F214" s="1">
        <v>26.6</v>
      </c>
      <c r="J214" s="1">
        <v>0</v>
      </c>
      <c r="L214" s="1">
        <v>5.2</v>
      </c>
      <c r="N214" s="1">
        <v>-5.2</v>
      </c>
      <c r="P214" s="6"/>
      <c r="T214" s="7">
        <v>0</v>
      </c>
      <c r="V214" s="1">
        <v>1802.7</v>
      </c>
    </row>
    <row r="215" spans="2:22" s="1" customFormat="1" x14ac:dyDescent="0.25">
      <c r="B215" s="2"/>
      <c r="C215" s="8">
        <v>40389</v>
      </c>
      <c r="D215" s="1">
        <v>21.3</v>
      </c>
      <c r="E215" s="1">
        <v>16.2</v>
      </c>
      <c r="F215" s="1">
        <v>26.3</v>
      </c>
      <c r="J215" s="1">
        <v>0</v>
      </c>
      <c r="L215" s="1">
        <v>5.6</v>
      </c>
      <c r="N215" s="1">
        <v>-5.6</v>
      </c>
      <c r="P215" s="6"/>
      <c r="T215" s="7">
        <v>0</v>
      </c>
      <c r="V215" s="1">
        <v>2561.9</v>
      </c>
    </row>
    <row r="216" spans="2:22" s="1" customFormat="1" x14ac:dyDescent="0.25">
      <c r="B216" s="2"/>
      <c r="C216" s="8">
        <v>40390</v>
      </c>
      <c r="D216" s="1">
        <v>24.2</v>
      </c>
      <c r="E216" s="1">
        <v>16.899999999999999</v>
      </c>
      <c r="F216" s="1">
        <v>31</v>
      </c>
      <c r="J216" s="1">
        <v>0</v>
      </c>
      <c r="L216" s="1">
        <v>6.7</v>
      </c>
      <c r="N216" s="1">
        <v>-6.7</v>
      </c>
      <c r="P216" s="6"/>
      <c r="T216" s="7">
        <v>0</v>
      </c>
      <c r="V216" s="1">
        <v>2952.8</v>
      </c>
    </row>
    <row r="217" spans="2:22" s="1" customFormat="1" x14ac:dyDescent="0.25">
      <c r="B217" s="2"/>
      <c r="C217" s="8">
        <v>40391</v>
      </c>
      <c r="D217" s="1">
        <v>20.7</v>
      </c>
      <c r="E217" s="1">
        <v>14.2</v>
      </c>
      <c r="F217" s="1">
        <v>22.8</v>
      </c>
      <c r="J217" s="1">
        <v>6.7</v>
      </c>
      <c r="L217" s="1">
        <v>2</v>
      </c>
      <c r="N217" s="1">
        <v>4.7</v>
      </c>
      <c r="O217" s="1">
        <f>N217</f>
        <v>4.7</v>
      </c>
      <c r="P217" s="6"/>
      <c r="T217" s="7">
        <v>4.7</v>
      </c>
      <c r="V217" s="1">
        <v>1121.9000000000001</v>
      </c>
    </row>
    <row r="218" spans="2:22" s="1" customFormat="1" x14ac:dyDescent="0.25">
      <c r="B218" s="2"/>
      <c r="C218" s="8">
        <v>40392</v>
      </c>
      <c r="D218" s="1">
        <v>18.2</v>
      </c>
      <c r="E218" s="1">
        <v>16.899999999999999</v>
      </c>
      <c r="F218" s="1">
        <v>18.3</v>
      </c>
      <c r="J218" s="1">
        <v>6.9</v>
      </c>
      <c r="L218" s="1">
        <v>0.9</v>
      </c>
      <c r="N218" s="1">
        <v>6</v>
      </c>
      <c r="O218" s="1">
        <f>O217+N218</f>
        <v>10.7</v>
      </c>
      <c r="P218" s="6"/>
      <c r="T218" s="7">
        <v>10.7</v>
      </c>
      <c r="V218" s="1">
        <v>433</v>
      </c>
    </row>
    <row r="219" spans="2:22" s="1" customFormat="1" x14ac:dyDescent="0.25">
      <c r="B219" s="2"/>
      <c r="C219" s="8">
        <v>40393</v>
      </c>
      <c r="D219" s="1">
        <v>20.399999999999999</v>
      </c>
      <c r="E219" s="1">
        <v>17</v>
      </c>
      <c r="F219" s="1">
        <v>24</v>
      </c>
      <c r="J219" s="1">
        <v>0</v>
      </c>
      <c r="L219" s="1">
        <v>4.7</v>
      </c>
      <c r="N219" s="1">
        <v>-4.7</v>
      </c>
      <c r="O219" s="1">
        <f>O218+N219</f>
        <v>5.9999999999999991</v>
      </c>
      <c r="P219" s="6"/>
      <c r="T219" s="7">
        <v>5.9999999999999991</v>
      </c>
      <c r="V219" s="1">
        <v>2241.6999999999998</v>
      </c>
    </row>
    <row r="220" spans="2:22" s="1" customFormat="1" x14ac:dyDescent="0.25">
      <c r="B220" s="2"/>
      <c r="C220" s="8">
        <v>40394</v>
      </c>
      <c r="D220" s="1">
        <v>20.100000000000001</v>
      </c>
      <c r="E220" s="1">
        <v>17.100000000000001</v>
      </c>
      <c r="F220" s="1">
        <v>23.6</v>
      </c>
      <c r="J220" s="1">
        <v>1.2</v>
      </c>
      <c r="L220" s="1">
        <v>3.4</v>
      </c>
      <c r="N220" s="1">
        <v>-2.2000000000000002</v>
      </c>
      <c r="O220" s="1">
        <f>O219+N220</f>
        <v>3.7999999999999989</v>
      </c>
      <c r="P220" s="6"/>
      <c r="T220" s="7">
        <v>3.7999999999999989</v>
      </c>
      <c r="V220" s="1">
        <v>1226.3</v>
      </c>
    </row>
    <row r="221" spans="2:22" s="1" customFormat="1" x14ac:dyDescent="0.25">
      <c r="B221" s="2"/>
      <c r="C221" s="8">
        <v>40395</v>
      </c>
      <c r="D221" s="1">
        <v>19.899999999999999</v>
      </c>
      <c r="E221" s="1">
        <v>17.3</v>
      </c>
      <c r="F221" s="1">
        <v>22.9</v>
      </c>
      <c r="J221" s="1">
        <v>0</v>
      </c>
      <c r="L221" s="1">
        <v>4.8</v>
      </c>
      <c r="N221" s="1">
        <v>-4.8</v>
      </c>
      <c r="O221" s="1">
        <v>0</v>
      </c>
      <c r="P221" s="6"/>
      <c r="T221" s="7">
        <v>0</v>
      </c>
      <c r="V221" s="1">
        <v>1908.5</v>
      </c>
    </row>
    <row r="222" spans="2:22" s="1" customFormat="1" x14ac:dyDescent="0.25">
      <c r="B222" s="2"/>
      <c r="C222" s="8">
        <v>40396</v>
      </c>
      <c r="D222" s="1">
        <v>19.5</v>
      </c>
      <c r="E222" s="1">
        <v>14.3</v>
      </c>
      <c r="F222" s="1">
        <v>24.4</v>
      </c>
      <c r="J222" s="1">
        <v>0</v>
      </c>
      <c r="L222" s="1">
        <v>5.5</v>
      </c>
      <c r="N222" s="1">
        <v>-5.5</v>
      </c>
      <c r="O222" s="1">
        <v>0</v>
      </c>
      <c r="P222" s="6"/>
      <c r="T222" s="7">
        <v>0</v>
      </c>
      <c r="V222" s="1">
        <v>2753.4</v>
      </c>
    </row>
    <row r="223" spans="2:22" s="1" customFormat="1" x14ac:dyDescent="0.25">
      <c r="B223" s="2"/>
      <c r="C223" s="8">
        <v>40397</v>
      </c>
      <c r="D223" s="1">
        <v>21.9</v>
      </c>
      <c r="E223" s="1">
        <v>14.1</v>
      </c>
      <c r="F223" s="1">
        <v>28.9</v>
      </c>
      <c r="J223" s="1">
        <v>0</v>
      </c>
      <c r="L223" s="1">
        <v>6.2</v>
      </c>
      <c r="N223" s="1">
        <v>-6.2</v>
      </c>
      <c r="O223" s="1">
        <v>0</v>
      </c>
      <c r="P223" s="6"/>
      <c r="T223" s="7">
        <v>0</v>
      </c>
      <c r="V223" s="1">
        <v>2890.1</v>
      </c>
    </row>
    <row r="224" spans="2:22" s="1" customFormat="1" x14ac:dyDescent="0.25">
      <c r="B224" s="2"/>
      <c r="C224" s="8">
        <v>40398</v>
      </c>
      <c r="D224" s="1">
        <v>22.5</v>
      </c>
      <c r="E224" s="1">
        <v>17.3</v>
      </c>
      <c r="F224" s="1">
        <v>27.7</v>
      </c>
      <c r="J224" s="1">
        <v>0</v>
      </c>
      <c r="L224" s="1">
        <v>5.7</v>
      </c>
      <c r="N224" s="1">
        <v>-5.7</v>
      </c>
      <c r="O224" s="1">
        <v>0</v>
      </c>
      <c r="P224" s="6"/>
      <c r="T224" s="7">
        <v>0</v>
      </c>
      <c r="V224" s="1">
        <v>2577.9</v>
      </c>
    </row>
    <row r="225" spans="2:22" s="1" customFormat="1" x14ac:dyDescent="0.25">
      <c r="B225" s="2"/>
      <c r="C225" s="8">
        <v>40399</v>
      </c>
      <c r="D225" s="1">
        <v>21.7</v>
      </c>
      <c r="E225" s="1">
        <v>18.600000000000001</v>
      </c>
      <c r="F225" s="1">
        <v>26.9</v>
      </c>
      <c r="J225" s="1">
        <v>0</v>
      </c>
      <c r="L225" s="1">
        <v>3.5</v>
      </c>
      <c r="N225" s="1">
        <v>-3.5</v>
      </c>
      <c r="O225" s="1">
        <v>0</v>
      </c>
      <c r="P225" s="6"/>
      <c r="T225" s="7">
        <v>0</v>
      </c>
      <c r="V225" s="1">
        <v>1133.2</v>
      </c>
    </row>
    <row r="226" spans="2:22" s="1" customFormat="1" x14ac:dyDescent="0.25">
      <c r="B226" s="2"/>
      <c r="C226" s="8">
        <v>40400</v>
      </c>
      <c r="D226" s="1">
        <v>22.1</v>
      </c>
      <c r="E226" s="1">
        <v>15.4</v>
      </c>
      <c r="F226" s="1">
        <v>27.6</v>
      </c>
      <c r="J226" s="1">
        <v>0</v>
      </c>
      <c r="L226" s="1">
        <v>4.5</v>
      </c>
      <c r="N226" s="1">
        <v>-4.5</v>
      </c>
      <c r="O226" s="1">
        <v>0</v>
      </c>
      <c r="P226" s="6"/>
      <c r="T226" s="7">
        <v>0</v>
      </c>
      <c r="V226" s="1">
        <v>2302.6999999999998</v>
      </c>
    </row>
    <row r="227" spans="2:22" s="1" customFormat="1" x14ac:dyDescent="0.25">
      <c r="B227" s="2"/>
      <c r="C227" s="8">
        <v>40401</v>
      </c>
      <c r="D227" s="1">
        <v>22.2</v>
      </c>
      <c r="E227" s="1">
        <v>17</v>
      </c>
      <c r="F227" s="1">
        <v>26.2</v>
      </c>
      <c r="J227" s="1">
        <v>1.1000000000000001</v>
      </c>
      <c r="L227" s="1">
        <v>3.6</v>
      </c>
      <c r="N227" s="1">
        <v>-2.5</v>
      </c>
      <c r="O227" s="1">
        <v>0</v>
      </c>
      <c r="P227" s="6"/>
      <c r="T227" s="7">
        <v>0</v>
      </c>
      <c r="V227" s="1">
        <v>1313.5</v>
      </c>
    </row>
    <row r="228" spans="2:22" s="1" customFormat="1" x14ac:dyDescent="0.25">
      <c r="B228" s="2"/>
      <c r="C228" s="8">
        <v>40402</v>
      </c>
      <c r="D228" s="1">
        <v>21.1</v>
      </c>
      <c r="E228" s="1">
        <v>18.899999999999999</v>
      </c>
      <c r="F228" s="1">
        <v>25.1</v>
      </c>
      <c r="J228" s="1">
        <v>0.1</v>
      </c>
      <c r="L228" s="1">
        <v>4</v>
      </c>
      <c r="N228" s="1">
        <v>-3.9</v>
      </c>
      <c r="O228" s="1">
        <v>0</v>
      </c>
      <c r="P228" s="6"/>
      <c r="T228" s="7">
        <v>0</v>
      </c>
      <c r="V228" s="1">
        <v>1173.9000000000001</v>
      </c>
    </row>
    <row r="229" spans="2:22" s="1" customFormat="1" x14ac:dyDescent="0.25">
      <c r="B229" s="2"/>
      <c r="C229" s="8">
        <v>40403</v>
      </c>
      <c r="D229" s="1">
        <v>19.399999999999999</v>
      </c>
      <c r="E229" s="1">
        <v>15.1</v>
      </c>
      <c r="F229" s="1">
        <v>22.4</v>
      </c>
      <c r="J229" s="1">
        <v>0</v>
      </c>
      <c r="L229" s="1">
        <v>4</v>
      </c>
      <c r="N229" s="1">
        <v>-4</v>
      </c>
      <c r="O229" s="1">
        <v>0</v>
      </c>
      <c r="P229" s="6"/>
      <c r="T229" s="7">
        <v>0</v>
      </c>
      <c r="V229" s="1">
        <v>1465.3</v>
      </c>
    </row>
    <row r="230" spans="2:22" s="1" customFormat="1" x14ac:dyDescent="0.25">
      <c r="B230" s="2"/>
      <c r="C230" s="8">
        <v>40404</v>
      </c>
      <c r="D230" s="1">
        <v>19.2</v>
      </c>
      <c r="E230" s="1">
        <v>15.4</v>
      </c>
      <c r="F230" s="1">
        <v>24.1</v>
      </c>
      <c r="J230" s="1">
        <v>0</v>
      </c>
      <c r="L230" s="1">
        <v>5.2</v>
      </c>
      <c r="N230" s="1">
        <v>-5.2</v>
      </c>
      <c r="O230" s="1">
        <v>0</v>
      </c>
      <c r="P230" s="6"/>
      <c r="T230" s="7">
        <v>0</v>
      </c>
      <c r="V230" s="1">
        <v>1959.8</v>
      </c>
    </row>
    <row r="231" spans="2:22" s="1" customFormat="1" x14ac:dyDescent="0.25">
      <c r="B231" s="2"/>
      <c r="C231" s="8">
        <v>40405</v>
      </c>
      <c r="D231" s="1">
        <v>18</v>
      </c>
      <c r="E231" s="1">
        <v>15.3</v>
      </c>
      <c r="F231" s="1">
        <v>22.6</v>
      </c>
      <c r="J231" s="1">
        <v>1.5</v>
      </c>
      <c r="L231" s="1">
        <v>4.4000000000000004</v>
      </c>
      <c r="N231" s="1">
        <v>-2.9000000000000004</v>
      </c>
      <c r="O231" s="1">
        <v>0</v>
      </c>
      <c r="P231" s="6"/>
      <c r="T231" s="7">
        <v>0</v>
      </c>
      <c r="V231" s="1">
        <v>2046.2</v>
      </c>
    </row>
    <row r="232" spans="2:22" s="1" customFormat="1" x14ac:dyDescent="0.25">
      <c r="B232" s="2"/>
      <c r="C232" s="8">
        <v>40406</v>
      </c>
      <c r="D232" s="1">
        <v>18.5</v>
      </c>
      <c r="E232" s="1">
        <v>12.9</v>
      </c>
      <c r="F232" s="1">
        <v>23.9</v>
      </c>
      <c r="J232" s="1">
        <v>0</v>
      </c>
      <c r="L232" s="1">
        <v>4.5999999999999996</v>
      </c>
      <c r="N232" s="1">
        <v>-4.5999999999999996</v>
      </c>
      <c r="O232" s="1">
        <v>0</v>
      </c>
      <c r="P232" s="6"/>
      <c r="T232" s="7">
        <v>0</v>
      </c>
      <c r="V232" s="1">
        <v>2306.1</v>
      </c>
    </row>
    <row r="233" spans="2:22" s="1" customFormat="1" x14ac:dyDescent="0.25">
      <c r="B233" s="2"/>
      <c r="C233" s="8">
        <v>40407</v>
      </c>
      <c r="D233" s="1">
        <v>21.1</v>
      </c>
      <c r="E233" s="1">
        <v>12.7</v>
      </c>
      <c r="F233" s="1">
        <v>28</v>
      </c>
      <c r="J233" s="1">
        <v>0</v>
      </c>
      <c r="L233" s="1">
        <v>4.8</v>
      </c>
      <c r="N233" s="1">
        <v>-4.8</v>
      </c>
      <c r="O233" s="1">
        <v>0</v>
      </c>
      <c r="P233" s="6"/>
      <c r="T233" s="7">
        <v>0</v>
      </c>
      <c r="V233" s="1">
        <v>2352.3000000000002</v>
      </c>
    </row>
    <row r="234" spans="2:22" s="1" customFormat="1" x14ac:dyDescent="0.25">
      <c r="B234" s="2"/>
      <c r="C234" s="8">
        <v>40408</v>
      </c>
      <c r="D234" s="1">
        <v>21.1</v>
      </c>
      <c r="E234" s="1">
        <v>16.2</v>
      </c>
      <c r="F234" s="1">
        <v>27.2</v>
      </c>
      <c r="J234" s="1">
        <v>0</v>
      </c>
      <c r="L234" s="1">
        <v>4.3</v>
      </c>
      <c r="N234" s="1">
        <v>-4.3</v>
      </c>
      <c r="O234" s="1">
        <v>0</v>
      </c>
      <c r="P234" s="6"/>
      <c r="T234" s="7">
        <v>0</v>
      </c>
      <c r="V234" s="1">
        <v>1734.8</v>
      </c>
    </row>
    <row r="235" spans="2:22" s="1" customFormat="1" x14ac:dyDescent="0.25">
      <c r="B235" s="2"/>
      <c r="C235" s="8">
        <v>40409</v>
      </c>
      <c r="D235" s="1">
        <v>22.5</v>
      </c>
      <c r="E235" s="1">
        <v>15.3</v>
      </c>
      <c r="F235" s="1">
        <v>28.3</v>
      </c>
      <c r="J235" s="1">
        <v>0</v>
      </c>
      <c r="L235" s="1">
        <v>2.8</v>
      </c>
      <c r="N235" s="1">
        <v>-2.8</v>
      </c>
      <c r="O235" s="1">
        <v>0</v>
      </c>
      <c r="P235" s="6"/>
      <c r="T235" s="7">
        <v>0</v>
      </c>
      <c r="V235" s="1">
        <v>1301.5</v>
      </c>
    </row>
    <row r="236" spans="2:22" s="1" customFormat="1" x14ac:dyDescent="0.25">
      <c r="B236" s="2"/>
      <c r="C236" s="8">
        <v>40410</v>
      </c>
      <c r="D236" s="1">
        <v>26.2</v>
      </c>
      <c r="E236" s="1">
        <v>20</v>
      </c>
      <c r="F236" s="1">
        <v>32.299999999999997</v>
      </c>
      <c r="J236" s="1">
        <v>0</v>
      </c>
      <c r="L236" s="1">
        <v>4.5</v>
      </c>
      <c r="N236" s="1">
        <v>-4.5</v>
      </c>
      <c r="O236" s="1">
        <v>0</v>
      </c>
      <c r="P236" s="6"/>
      <c r="T236" s="7">
        <v>0</v>
      </c>
      <c r="V236" s="1">
        <v>1838</v>
      </c>
    </row>
    <row r="237" spans="2:22" s="1" customFormat="1" x14ac:dyDescent="0.25">
      <c r="B237" s="2"/>
      <c r="C237" s="8">
        <v>40411</v>
      </c>
      <c r="D237" s="1">
        <v>27.2</v>
      </c>
      <c r="E237" s="1">
        <v>19.3</v>
      </c>
      <c r="F237" s="1">
        <v>34.799999999999997</v>
      </c>
      <c r="J237" s="1">
        <v>0</v>
      </c>
      <c r="L237" s="1">
        <v>6.5</v>
      </c>
      <c r="N237" s="1">
        <v>-6.5</v>
      </c>
      <c r="O237" s="1">
        <v>0</v>
      </c>
      <c r="P237" s="6"/>
      <c r="T237" s="7">
        <v>0</v>
      </c>
      <c r="V237" s="1">
        <v>2651.6</v>
      </c>
    </row>
    <row r="238" spans="2:22" s="1" customFormat="1" x14ac:dyDescent="0.25">
      <c r="B238" s="2"/>
      <c r="C238" s="8">
        <v>40412</v>
      </c>
      <c r="D238" s="1">
        <v>27.1</v>
      </c>
      <c r="E238" s="1">
        <v>18.5</v>
      </c>
      <c r="F238" s="1">
        <v>34</v>
      </c>
      <c r="J238" s="1">
        <v>0</v>
      </c>
      <c r="L238" s="1">
        <v>5.3</v>
      </c>
      <c r="N238" s="1">
        <v>-5.3</v>
      </c>
      <c r="O238" s="1">
        <v>0</v>
      </c>
      <c r="P238" s="6"/>
      <c r="T238" s="7">
        <v>0</v>
      </c>
      <c r="V238" s="1">
        <v>2148.5</v>
      </c>
    </row>
    <row r="239" spans="2:22" s="1" customFormat="1" x14ac:dyDescent="0.25">
      <c r="B239" s="2"/>
      <c r="C239" s="8">
        <v>40413</v>
      </c>
      <c r="D239" s="1">
        <v>24.1</v>
      </c>
      <c r="E239" s="1">
        <v>20.100000000000001</v>
      </c>
      <c r="F239" s="1">
        <v>28</v>
      </c>
      <c r="J239" s="1">
        <v>0</v>
      </c>
      <c r="L239" s="1">
        <v>2.7</v>
      </c>
      <c r="N239" s="1">
        <v>-2.7</v>
      </c>
      <c r="O239" s="1">
        <v>0</v>
      </c>
      <c r="P239" s="6"/>
      <c r="T239" s="7">
        <v>0</v>
      </c>
      <c r="V239" s="1">
        <v>912.7</v>
      </c>
    </row>
    <row r="240" spans="2:22" s="1" customFormat="1" x14ac:dyDescent="0.25">
      <c r="B240" s="2"/>
      <c r="C240" s="8">
        <v>40414</v>
      </c>
      <c r="D240" s="1">
        <v>21.9</v>
      </c>
      <c r="E240" s="1">
        <v>21.7</v>
      </c>
      <c r="F240" s="1">
        <v>24.6</v>
      </c>
      <c r="J240" s="1">
        <v>0</v>
      </c>
      <c r="L240" s="1">
        <v>4.2</v>
      </c>
      <c r="N240" s="1">
        <v>-4.2</v>
      </c>
      <c r="O240" s="1">
        <v>0</v>
      </c>
      <c r="P240" s="6"/>
      <c r="T240" s="7">
        <v>0</v>
      </c>
      <c r="V240" s="1">
        <v>1579.9</v>
      </c>
    </row>
    <row r="241" spans="1:27" s="1" customFormat="1" x14ac:dyDescent="0.25">
      <c r="B241" s="2"/>
      <c r="C241" s="8">
        <v>40415</v>
      </c>
      <c r="D241" s="1">
        <v>23.6</v>
      </c>
      <c r="E241" s="1">
        <v>14.9</v>
      </c>
      <c r="F241" s="1">
        <v>31.4</v>
      </c>
      <c r="J241" s="1">
        <v>0</v>
      </c>
      <c r="L241" s="1">
        <v>5.6</v>
      </c>
      <c r="N241" s="1">
        <v>-5.6</v>
      </c>
      <c r="O241" s="1">
        <v>0</v>
      </c>
      <c r="P241" s="6"/>
      <c r="T241" s="7">
        <v>0</v>
      </c>
      <c r="V241" s="1">
        <v>2462.4</v>
      </c>
    </row>
    <row r="242" spans="1:27" s="1" customFormat="1" x14ac:dyDescent="0.25">
      <c r="B242" s="2"/>
      <c r="C242" s="8">
        <v>40416</v>
      </c>
      <c r="D242" s="1">
        <v>28.3</v>
      </c>
      <c r="E242" s="1">
        <v>19.100000000000001</v>
      </c>
      <c r="F242" s="1">
        <v>39.1</v>
      </c>
      <c r="J242" s="1">
        <v>0</v>
      </c>
      <c r="L242" s="1">
        <v>6.4</v>
      </c>
      <c r="N242" s="1">
        <v>-6.4</v>
      </c>
      <c r="O242" s="1">
        <v>0</v>
      </c>
      <c r="P242" s="6"/>
      <c r="T242" s="7">
        <v>0</v>
      </c>
      <c r="V242" s="1">
        <v>1982.5</v>
      </c>
    </row>
    <row r="243" spans="1:27" s="1" customFormat="1" x14ac:dyDescent="0.25">
      <c r="B243" s="2"/>
      <c r="C243" s="8">
        <v>40417</v>
      </c>
      <c r="D243" s="1">
        <v>25</v>
      </c>
      <c r="E243" s="1">
        <v>20.9</v>
      </c>
      <c r="F243" s="1">
        <v>33.299999999999997</v>
      </c>
      <c r="J243" s="1">
        <v>0</v>
      </c>
      <c r="L243" s="1">
        <v>7.2</v>
      </c>
      <c r="N243" s="1">
        <v>-7.2</v>
      </c>
      <c r="O243" s="1">
        <v>0</v>
      </c>
      <c r="P243" s="6"/>
      <c r="T243" s="7">
        <v>0</v>
      </c>
      <c r="V243" s="1">
        <v>1505.5</v>
      </c>
    </row>
    <row r="244" spans="1:27" s="1" customFormat="1" x14ac:dyDescent="0.25">
      <c r="B244" s="2"/>
      <c r="C244" s="8">
        <v>40418</v>
      </c>
      <c r="D244" s="1">
        <v>21.1</v>
      </c>
      <c r="E244" s="1">
        <v>18.899999999999999</v>
      </c>
      <c r="F244" s="1">
        <v>25.5</v>
      </c>
      <c r="J244" s="1">
        <v>0</v>
      </c>
      <c r="L244" s="1">
        <v>5.6</v>
      </c>
      <c r="N244" s="1">
        <v>-5.6</v>
      </c>
      <c r="O244" s="1">
        <v>0</v>
      </c>
      <c r="P244" s="6"/>
      <c r="T244" s="7">
        <v>0</v>
      </c>
      <c r="V244" s="1">
        <v>1794.8</v>
      </c>
    </row>
    <row r="245" spans="1:27" s="1" customFormat="1" x14ac:dyDescent="0.25">
      <c r="B245" s="2"/>
      <c r="C245" s="8">
        <v>40419</v>
      </c>
      <c r="D245" s="1">
        <v>19.600000000000001</v>
      </c>
      <c r="E245" s="1">
        <v>13</v>
      </c>
      <c r="F245" s="1">
        <v>26.3</v>
      </c>
      <c r="J245" s="1">
        <v>0</v>
      </c>
      <c r="L245" s="1">
        <v>6.1</v>
      </c>
      <c r="N245" s="1">
        <v>-6.1</v>
      </c>
      <c r="O245" s="1">
        <v>0</v>
      </c>
      <c r="P245" s="6"/>
      <c r="T245" s="7">
        <v>0</v>
      </c>
      <c r="V245" s="1">
        <v>2536.8000000000002</v>
      </c>
    </row>
    <row r="246" spans="1:27" s="1" customFormat="1" x14ac:dyDescent="0.25">
      <c r="B246" s="2"/>
      <c r="C246" s="8">
        <v>40420</v>
      </c>
      <c r="D246" s="1">
        <v>18</v>
      </c>
      <c r="E246" s="1">
        <v>13.1</v>
      </c>
      <c r="F246" s="1">
        <v>22.4</v>
      </c>
      <c r="J246" s="1">
        <v>0</v>
      </c>
      <c r="L246" s="1">
        <v>4.7</v>
      </c>
      <c r="N246" s="1">
        <v>-4.7</v>
      </c>
      <c r="O246" s="1">
        <v>0</v>
      </c>
      <c r="P246" s="6"/>
      <c r="T246" s="7">
        <v>0</v>
      </c>
      <c r="V246" s="1">
        <v>1868.3</v>
      </c>
    </row>
    <row r="247" spans="1:27" s="1" customFormat="1" x14ac:dyDescent="0.25">
      <c r="B247" s="2"/>
      <c r="C247" s="8">
        <v>40421</v>
      </c>
      <c r="D247" s="1">
        <v>17.7</v>
      </c>
      <c r="E247" s="1">
        <v>9.1</v>
      </c>
      <c r="F247" s="1">
        <v>25.5</v>
      </c>
      <c r="J247" s="1">
        <v>0</v>
      </c>
      <c r="L247" s="1">
        <v>4.9000000000000004</v>
      </c>
      <c r="N247" s="1">
        <v>-4.9000000000000004</v>
      </c>
      <c r="O247" s="1">
        <v>0</v>
      </c>
      <c r="P247" s="6"/>
      <c r="T247" s="7">
        <v>0</v>
      </c>
      <c r="V247" s="1">
        <v>2414.1999999999998</v>
      </c>
    </row>
    <row r="248" spans="1:27" s="1" customFormat="1" x14ac:dyDescent="0.25">
      <c r="B248" s="2"/>
      <c r="C248" s="8">
        <v>40422</v>
      </c>
      <c r="D248" s="1">
        <v>20.3</v>
      </c>
      <c r="E248" s="1">
        <v>13.3</v>
      </c>
      <c r="F248" s="1">
        <v>28.5</v>
      </c>
      <c r="J248" s="1">
        <v>0</v>
      </c>
      <c r="L248" s="1">
        <v>5.5</v>
      </c>
      <c r="N248" s="1">
        <v>-5.5</v>
      </c>
      <c r="O248" s="1">
        <v>0</v>
      </c>
      <c r="P248" s="6"/>
      <c r="T248" s="7">
        <v>0</v>
      </c>
      <c r="V248" s="1">
        <v>2112.5</v>
      </c>
    </row>
    <row r="249" spans="1:27" s="1" customFormat="1" x14ac:dyDescent="0.25">
      <c r="B249" s="2"/>
      <c r="C249" s="8">
        <v>40423</v>
      </c>
      <c r="D249" s="1">
        <v>21.3</v>
      </c>
      <c r="E249" s="1">
        <v>15.6</v>
      </c>
      <c r="F249" s="1">
        <v>27.6</v>
      </c>
      <c r="J249" s="1">
        <v>0</v>
      </c>
      <c r="L249" s="1">
        <v>3.5</v>
      </c>
      <c r="N249" s="1">
        <v>-3.5</v>
      </c>
      <c r="O249" s="1">
        <v>0</v>
      </c>
      <c r="P249" s="6"/>
      <c r="T249" s="7">
        <v>0</v>
      </c>
      <c r="V249" s="1">
        <v>1550.7</v>
      </c>
    </row>
    <row r="250" spans="1:27" s="1" customFormat="1" x14ac:dyDescent="0.25">
      <c r="B250" s="2"/>
      <c r="C250" s="8">
        <v>40424</v>
      </c>
      <c r="D250" s="1">
        <v>22.3</v>
      </c>
      <c r="E250" s="1">
        <v>15.8</v>
      </c>
      <c r="F250" s="1">
        <v>27.6</v>
      </c>
      <c r="J250" s="1">
        <v>0</v>
      </c>
      <c r="L250" s="1">
        <v>5.0999999999999996</v>
      </c>
      <c r="N250" s="1">
        <v>-5.0999999999999996</v>
      </c>
      <c r="O250" s="1">
        <v>0</v>
      </c>
      <c r="P250" s="6"/>
      <c r="T250" s="7">
        <v>0</v>
      </c>
      <c r="V250" s="1">
        <v>2312.6</v>
      </c>
    </row>
    <row r="251" spans="1:27" s="1" customFormat="1" x14ac:dyDescent="0.25">
      <c r="B251" s="2"/>
      <c r="C251" s="8">
        <v>40425</v>
      </c>
      <c r="D251" s="1">
        <v>20.7</v>
      </c>
      <c r="E251" s="1">
        <v>14.6</v>
      </c>
      <c r="F251" s="1">
        <v>28.3</v>
      </c>
      <c r="J251" s="1">
        <v>0</v>
      </c>
      <c r="L251" s="1">
        <v>3.5</v>
      </c>
      <c r="N251" s="1">
        <v>-3.5</v>
      </c>
      <c r="O251" s="1">
        <v>0</v>
      </c>
      <c r="P251" s="6"/>
      <c r="T251" s="7">
        <v>0</v>
      </c>
      <c r="V251" s="1">
        <v>1697.5</v>
      </c>
    </row>
    <row r="252" spans="1:27" s="1" customFormat="1" x14ac:dyDescent="0.25">
      <c r="B252" s="2"/>
      <c r="C252" s="8">
        <v>40426</v>
      </c>
      <c r="D252" s="1">
        <v>22.5</v>
      </c>
      <c r="E252" s="1">
        <v>11.5</v>
      </c>
      <c r="F252" s="1">
        <v>30.9</v>
      </c>
      <c r="J252" s="1">
        <v>0</v>
      </c>
      <c r="L252" s="1">
        <v>5.4</v>
      </c>
      <c r="N252" s="1">
        <v>-5.4</v>
      </c>
      <c r="O252" s="1">
        <v>0</v>
      </c>
      <c r="P252" s="6"/>
      <c r="T252" s="7">
        <v>0</v>
      </c>
      <c r="V252" s="1">
        <v>2262.8000000000002</v>
      </c>
    </row>
    <row r="253" spans="1:27" s="1" customFormat="1" x14ac:dyDescent="0.25">
      <c r="B253" s="2"/>
      <c r="C253" s="8">
        <v>40427</v>
      </c>
      <c r="D253" s="1">
        <v>21.3</v>
      </c>
      <c r="E253" s="1">
        <v>16.3</v>
      </c>
      <c r="F253" s="1">
        <v>26.8</v>
      </c>
      <c r="J253" s="1">
        <v>6.5</v>
      </c>
      <c r="L253" s="1">
        <v>2.2999999999999998</v>
      </c>
      <c r="N253" s="1">
        <v>4.2</v>
      </c>
      <c r="O253" s="1">
        <f>O252+N253</f>
        <v>4.2</v>
      </c>
      <c r="P253" s="6"/>
      <c r="T253" s="7">
        <v>4.2</v>
      </c>
      <c r="V253" s="1">
        <v>849.5</v>
      </c>
    </row>
    <row r="254" spans="1:27" s="1" customFormat="1" x14ac:dyDescent="0.25">
      <c r="B254" s="2"/>
      <c r="C254" s="8">
        <v>40428</v>
      </c>
      <c r="D254" s="1">
        <v>19.899999999999999</v>
      </c>
      <c r="E254" s="1">
        <v>17.2</v>
      </c>
      <c r="F254" s="1">
        <v>22.4</v>
      </c>
      <c r="J254" s="1">
        <v>3.9</v>
      </c>
      <c r="L254" s="1">
        <v>2</v>
      </c>
      <c r="N254" s="1">
        <v>1.9</v>
      </c>
      <c r="O254" s="1">
        <f>O253+N254</f>
        <v>6.1</v>
      </c>
      <c r="P254" s="6"/>
      <c r="T254" s="7">
        <v>6.1</v>
      </c>
      <c r="V254" s="1">
        <v>696.6</v>
      </c>
    </row>
    <row r="255" spans="1:27" s="1" customFormat="1" x14ac:dyDescent="0.25">
      <c r="A255" s="67" t="s">
        <v>28</v>
      </c>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spans="1:27" s="1" customFormat="1" x14ac:dyDescent="0.25">
      <c r="A256" s="68" t="s">
        <v>29</v>
      </c>
      <c r="B256" s="3"/>
      <c r="C256" s="8">
        <v>40429</v>
      </c>
      <c r="D256" s="1">
        <v>18.2</v>
      </c>
      <c r="E256" s="1">
        <v>14.7</v>
      </c>
      <c r="F256" s="1">
        <v>23.3</v>
      </c>
      <c r="G256" s="1">
        <f>D256</f>
        <v>18.2</v>
      </c>
      <c r="I256" s="13" t="s">
        <v>30</v>
      </c>
      <c r="J256" s="1">
        <v>1.6</v>
      </c>
      <c r="K256" s="1">
        <f>J256</f>
        <v>1.6</v>
      </c>
      <c r="L256" s="1">
        <v>4.3</v>
      </c>
      <c r="M256" s="1">
        <f>L256</f>
        <v>4.3</v>
      </c>
      <c r="N256" s="1">
        <v>-2.6999999999999997</v>
      </c>
      <c r="O256" s="1">
        <f>O254+N256</f>
        <v>3.4</v>
      </c>
      <c r="P256" s="6">
        <v>1</v>
      </c>
      <c r="Q256" s="1">
        <v>0.35</v>
      </c>
      <c r="R256" s="14">
        <f t="shared" ref="R256:R319" si="0">Q256*L256</f>
        <v>1.5049999999999999</v>
      </c>
      <c r="S256" s="14">
        <f>J256-R256</f>
        <v>9.5000000000000195E-2</v>
      </c>
      <c r="T256" s="15">
        <f>T254+S256</f>
        <v>6.1950000000000003</v>
      </c>
      <c r="U256" s="13" t="s">
        <v>31</v>
      </c>
      <c r="V256" s="1">
        <v>1662.7</v>
      </c>
      <c r="X256" s="1">
        <f>V256</f>
        <v>1662.7</v>
      </c>
      <c r="Z256" s="13" t="s">
        <v>32</v>
      </c>
      <c r="AA256" s="1">
        <v>12.9280310846554</v>
      </c>
    </row>
    <row r="257" spans="1:27" s="1" customFormat="1" x14ac:dyDescent="0.25">
      <c r="A257" s="68"/>
      <c r="B257" s="3"/>
      <c r="C257" s="8">
        <v>40430</v>
      </c>
      <c r="D257" s="1">
        <v>18.399999999999999</v>
      </c>
      <c r="E257" s="1">
        <v>15</v>
      </c>
      <c r="F257" s="1">
        <v>21.1</v>
      </c>
      <c r="G257" s="1">
        <f>G256+D257</f>
        <v>36.599999999999994</v>
      </c>
      <c r="I257" s="1">
        <f>MIN(E256:E332)</f>
        <v>0</v>
      </c>
      <c r="J257" s="1">
        <v>0.1</v>
      </c>
      <c r="K257" s="1">
        <f>K256+J257</f>
        <v>1.7000000000000002</v>
      </c>
      <c r="L257" s="1">
        <v>3.2</v>
      </c>
      <c r="M257" s="1">
        <f>M256+L257</f>
        <v>7.5</v>
      </c>
      <c r="N257" s="1">
        <v>-3.1</v>
      </c>
      <c r="O257" s="1">
        <f>O256+N257</f>
        <v>0.29999999999999982</v>
      </c>
      <c r="P257" s="6">
        <v>2</v>
      </c>
      <c r="Q257" s="1">
        <v>0.35</v>
      </c>
      <c r="R257" s="14">
        <f t="shared" si="0"/>
        <v>1.1199999999999999</v>
      </c>
      <c r="S257" s="14">
        <f t="shared" ref="S257:S320" si="1">J257-R257</f>
        <v>-1.0199999999999998</v>
      </c>
      <c r="T257" s="15">
        <f>T256+S257</f>
        <v>5.1750000000000007</v>
      </c>
      <c r="U257" s="1">
        <v>53</v>
      </c>
      <c r="V257" s="1">
        <v>1503.9</v>
      </c>
      <c r="X257" s="1">
        <f>X256+V257</f>
        <v>3166.6000000000004</v>
      </c>
      <c r="Z257" s="1">
        <v>72079.800000000032</v>
      </c>
      <c r="AA257" s="1">
        <v>12.8790942490585</v>
      </c>
    </row>
    <row r="258" spans="1:27" s="1" customFormat="1" x14ac:dyDescent="0.25">
      <c r="A258" s="68"/>
      <c r="B258" s="3"/>
      <c r="C258" s="8">
        <v>40431</v>
      </c>
      <c r="D258" s="1">
        <v>18.899999999999999</v>
      </c>
      <c r="E258" s="1">
        <v>15</v>
      </c>
      <c r="F258" s="1">
        <v>23.6</v>
      </c>
      <c r="G258" s="1">
        <f t="shared" ref="G258:G321" si="2">G257+D258</f>
        <v>55.499999999999993</v>
      </c>
      <c r="I258" s="13" t="s">
        <v>33</v>
      </c>
      <c r="J258" s="1">
        <v>0</v>
      </c>
      <c r="K258" s="1">
        <f t="shared" ref="K258:K321" si="3">K257+J258</f>
        <v>1.7000000000000002</v>
      </c>
      <c r="L258" s="1">
        <v>3.7</v>
      </c>
      <c r="M258" s="1">
        <f t="shared" ref="M258:M321" si="4">M257+L258</f>
        <v>11.2</v>
      </c>
      <c r="N258" s="1">
        <v>-3.7</v>
      </c>
      <c r="O258" s="1">
        <v>0</v>
      </c>
      <c r="P258" s="6">
        <v>3</v>
      </c>
      <c r="Q258" s="1">
        <v>0.35</v>
      </c>
      <c r="R258" s="14">
        <f t="shared" si="0"/>
        <v>1.2949999999999999</v>
      </c>
      <c r="S258" s="14">
        <f t="shared" si="1"/>
        <v>-1.2949999999999999</v>
      </c>
      <c r="T258" s="15">
        <f t="shared" ref="T258:T321" si="5">T257+S258</f>
        <v>3.8800000000000008</v>
      </c>
      <c r="U258" s="13" t="s">
        <v>34</v>
      </c>
      <c r="V258" s="1">
        <v>1703.1</v>
      </c>
      <c r="X258" s="1">
        <f t="shared" ref="X258:X321" si="6">X257+V258</f>
        <v>4869.7000000000007</v>
      </c>
      <c r="Z258" s="13" t="s">
        <v>35</v>
      </c>
      <c r="AA258" s="1">
        <v>12.8300590613851</v>
      </c>
    </row>
    <row r="259" spans="1:27" s="1" customFormat="1" x14ac:dyDescent="0.25">
      <c r="A259" s="68"/>
      <c r="B259" s="3"/>
      <c r="C259" s="8">
        <v>40432</v>
      </c>
      <c r="D259" s="1">
        <v>19.8</v>
      </c>
      <c r="E259" s="1">
        <v>10.199999999999999</v>
      </c>
      <c r="F259" s="1">
        <v>27.8</v>
      </c>
      <c r="G259" s="1">
        <f t="shared" si="2"/>
        <v>75.3</v>
      </c>
      <c r="I259" s="1">
        <f>MAX(F256:F332)</f>
        <v>28.3</v>
      </c>
      <c r="J259" s="1">
        <v>0</v>
      </c>
      <c r="K259" s="1">
        <f t="shared" si="3"/>
        <v>1.7000000000000002</v>
      </c>
      <c r="L259" s="1">
        <v>4.3</v>
      </c>
      <c r="M259" s="1">
        <f t="shared" si="4"/>
        <v>15.5</v>
      </c>
      <c r="N259" s="1">
        <v>-4.3</v>
      </c>
      <c r="O259" s="1">
        <v>0</v>
      </c>
      <c r="P259" s="6">
        <v>4</v>
      </c>
      <c r="Q259" s="1">
        <v>0.35</v>
      </c>
      <c r="R259" s="14">
        <f t="shared" si="0"/>
        <v>1.5049999999999999</v>
      </c>
      <c r="S259" s="14">
        <f t="shared" si="1"/>
        <v>-1.5049999999999999</v>
      </c>
      <c r="T259" s="15">
        <f t="shared" si="5"/>
        <v>2.3750000000000009</v>
      </c>
      <c r="U259" s="1">
        <v>4</v>
      </c>
      <c r="V259" s="1">
        <v>2033.7</v>
      </c>
      <c r="X259" s="1">
        <f t="shared" si="6"/>
        <v>6903.4000000000005</v>
      </c>
      <c r="Z259" s="16">
        <f>(X332/100)/I269</f>
        <v>0.68503896597605052</v>
      </c>
      <c r="AA259" s="1">
        <v>12.780931968586099</v>
      </c>
    </row>
    <row r="260" spans="1:27" s="1" customFormat="1" x14ac:dyDescent="0.25">
      <c r="A260" s="68"/>
      <c r="B260" s="3"/>
      <c r="C260" s="8">
        <v>40433</v>
      </c>
      <c r="D260" s="1">
        <v>21.1</v>
      </c>
      <c r="E260" s="1">
        <v>16.8</v>
      </c>
      <c r="F260" s="1">
        <v>26</v>
      </c>
      <c r="G260" s="1">
        <f t="shared" si="2"/>
        <v>96.4</v>
      </c>
      <c r="I260" s="13" t="s">
        <v>36</v>
      </c>
      <c r="J260" s="1">
        <v>0</v>
      </c>
      <c r="K260" s="1">
        <f t="shared" si="3"/>
        <v>1.7000000000000002</v>
      </c>
      <c r="L260" s="1">
        <v>4.2</v>
      </c>
      <c r="M260" s="1">
        <f t="shared" si="4"/>
        <v>19.7</v>
      </c>
      <c r="N260" s="1">
        <v>-4.2</v>
      </c>
      <c r="O260" s="1">
        <v>0</v>
      </c>
      <c r="P260" s="6">
        <v>5</v>
      </c>
      <c r="Q260" s="1">
        <v>0.35</v>
      </c>
      <c r="R260" s="14">
        <f t="shared" si="0"/>
        <v>1.47</v>
      </c>
      <c r="S260" s="14">
        <f t="shared" si="1"/>
        <v>-1.47</v>
      </c>
      <c r="T260" s="15">
        <f t="shared" si="5"/>
        <v>0.90500000000000091</v>
      </c>
      <c r="U260" s="13" t="s">
        <v>37</v>
      </c>
      <c r="V260" s="1">
        <v>1432.8</v>
      </c>
      <c r="X260" s="1">
        <f t="shared" si="6"/>
        <v>8336.2000000000007</v>
      </c>
      <c r="Z260" s="13" t="s">
        <v>38</v>
      </c>
      <c r="AA260" s="1">
        <v>12.731719259121499</v>
      </c>
    </row>
    <row r="261" spans="1:27" s="1" customFormat="1" x14ac:dyDescent="0.25">
      <c r="A261" s="68"/>
      <c r="B261" s="3"/>
      <c r="C261" s="8">
        <v>40434</v>
      </c>
      <c r="D261" s="1">
        <v>19.399999999999999</v>
      </c>
      <c r="E261" s="1">
        <v>15</v>
      </c>
      <c r="F261" s="1">
        <v>24.6</v>
      </c>
      <c r="G261" s="1">
        <f t="shared" si="2"/>
        <v>115.80000000000001</v>
      </c>
      <c r="I261" s="14">
        <f>AVERAGE(D256:D332)</f>
        <v>13.664935064935065</v>
      </c>
      <c r="J261" s="1">
        <v>0</v>
      </c>
      <c r="K261" s="1">
        <f t="shared" si="3"/>
        <v>1.7000000000000002</v>
      </c>
      <c r="L261" s="1">
        <v>4.4000000000000004</v>
      </c>
      <c r="M261" s="1">
        <f t="shared" si="4"/>
        <v>24.1</v>
      </c>
      <c r="N261" s="1">
        <v>-4.4000000000000004</v>
      </c>
      <c r="O261" s="1">
        <v>0</v>
      </c>
      <c r="P261" s="6">
        <v>6</v>
      </c>
      <c r="Q261" s="1">
        <v>0.35</v>
      </c>
      <c r="R261" s="14">
        <f t="shared" si="0"/>
        <v>1.54</v>
      </c>
      <c r="S261" s="14">
        <f t="shared" si="1"/>
        <v>-1.54</v>
      </c>
      <c r="T261" s="15">
        <v>0</v>
      </c>
      <c r="U261" s="1">
        <v>28</v>
      </c>
      <c r="V261" s="1">
        <v>1559.4</v>
      </c>
      <c r="X261" s="1">
        <f t="shared" si="6"/>
        <v>9895.6</v>
      </c>
      <c r="Z261" s="1">
        <v>35</v>
      </c>
      <c r="AA261" s="1">
        <v>12.6824270755802</v>
      </c>
    </row>
    <row r="262" spans="1:27" s="1" customFormat="1" x14ac:dyDescent="0.25">
      <c r="A262" s="68"/>
      <c r="B262" s="3"/>
      <c r="C262" s="8">
        <v>40435</v>
      </c>
      <c r="D262" s="1">
        <v>18.600000000000001</v>
      </c>
      <c r="E262" s="1">
        <v>11</v>
      </c>
      <c r="F262" s="1">
        <v>25.1</v>
      </c>
      <c r="G262" s="1">
        <f t="shared" si="2"/>
        <v>134.4</v>
      </c>
      <c r="I262" s="13" t="s">
        <v>39</v>
      </c>
      <c r="J262" s="1">
        <v>0</v>
      </c>
      <c r="K262" s="1">
        <f t="shared" si="3"/>
        <v>1.7000000000000002</v>
      </c>
      <c r="L262" s="1">
        <v>3.5</v>
      </c>
      <c r="M262" s="1">
        <f t="shared" si="4"/>
        <v>27.6</v>
      </c>
      <c r="N262" s="1">
        <v>-3.5</v>
      </c>
      <c r="O262" s="1">
        <v>0</v>
      </c>
      <c r="P262" s="6">
        <v>7</v>
      </c>
      <c r="Q262" s="1">
        <v>0.35</v>
      </c>
      <c r="R262" s="14">
        <f t="shared" si="0"/>
        <v>1.2249999999999999</v>
      </c>
      <c r="S262" s="14">
        <f t="shared" si="1"/>
        <v>-1.2249999999999999</v>
      </c>
      <c r="T262" s="15">
        <v>0</v>
      </c>
      <c r="U262" s="13" t="s">
        <v>40</v>
      </c>
      <c r="V262" s="1">
        <v>1648.6</v>
      </c>
      <c r="X262" s="1">
        <f t="shared" si="6"/>
        <v>11544.2</v>
      </c>
      <c r="AA262" s="1">
        <v>12.6330614274066</v>
      </c>
    </row>
    <row r="263" spans="1:27" s="1" customFormat="1" x14ac:dyDescent="0.25">
      <c r="A263" s="68"/>
      <c r="B263" s="3"/>
      <c r="C263" s="8">
        <v>40436</v>
      </c>
      <c r="D263" s="1">
        <v>20.2</v>
      </c>
      <c r="E263" s="1">
        <v>11.6</v>
      </c>
      <c r="F263" s="1">
        <v>28.1</v>
      </c>
      <c r="G263" s="1">
        <f t="shared" si="2"/>
        <v>154.6</v>
      </c>
      <c r="I263" s="1">
        <v>0</v>
      </c>
      <c r="J263" s="1">
        <v>0</v>
      </c>
      <c r="K263" s="1">
        <f t="shared" si="3"/>
        <v>1.7000000000000002</v>
      </c>
      <c r="L263" s="1">
        <v>4.0999999999999996</v>
      </c>
      <c r="M263" s="1">
        <f t="shared" si="4"/>
        <v>31.700000000000003</v>
      </c>
      <c r="N263" s="1">
        <v>-4.0999999999999996</v>
      </c>
      <c r="O263" s="1">
        <v>0</v>
      </c>
      <c r="P263" s="6">
        <v>8</v>
      </c>
      <c r="Q263" s="1">
        <f>0.35+((P263-7)/70)*(1-0.35)</f>
        <v>0.35928571428571426</v>
      </c>
      <c r="R263" s="14">
        <f t="shared" si="0"/>
        <v>1.4730714285714284</v>
      </c>
      <c r="S263" s="14">
        <f t="shared" si="1"/>
        <v>-1.4730714285714284</v>
      </c>
      <c r="T263" s="15">
        <v>0</v>
      </c>
      <c r="U263" s="14">
        <f>MIN(T256:T332)</f>
        <v>0</v>
      </c>
      <c r="V263" s="1">
        <v>1829.4</v>
      </c>
      <c r="X263" s="1">
        <f t="shared" si="6"/>
        <v>13373.6</v>
      </c>
      <c r="AA263" s="1">
        <v>12.5836282037275</v>
      </c>
    </row>
    <row r="264" spans="1:27" s="1" customFormat="1" x14ac:dyDescent="0.25">
      <c r="A264" s="68"/>
      <c r="B264" s="3"/>
      <c r="C264" s="8">
        <v>40437</v>
      </c>
      <c r="D264" s="1">
        <v>16.399999999999999</v>
      </c>
      <c r="E264" s="1">
        <v>15.2</v>
      </c>
      <c r="F264" s="1">
        <v>17.100000000000001</v>
      </c>
      <c r="G264" s="1">
        <f t="shared" si="2"/>
        <v>171</v>
      </c>
      <c r="I264" s="13" t="s">
        <v>41</v>
      </c>
      <c r="J264" s="1">
        <v>4.4000000000000004</v>
      </c>
      <c r="K264" s="1">
        <f t="shared" si="3"/>
        <v>6.1000000000000005</v>
      </c>
      <c r="L264" s="1">
        <v>1.1000000000000001</v>
      </c>
      <c r="M264" s="1">
        <f t="shared" si="4"/>
        <v>32.800000000000004</v>
      </c>
      <c r="N264" s="1">
        <v>3.3000000000000003</v>
      </c>
      <c r="O264" s="1">
        <f>O263+N264</f>
        <v>3.3000000000000003</v>
      </c>
      <c r="P264" s="6">
        <v>9</v>
      </c>
      <c r="Q264" s="1">
        <f t="shared" ref="Q264:Q327" si="7">0.35+((P264-7)/70)*(1-0.35)</f>
        <v>0.36857142857142855</v>
      </c>
      <c r="R264" s="14">
        <f t="shared" si="0"/>
        <v>0.40542857142857142</v>
      </c>
      <c r="S264" s="14">
        <f t="shared" si="1"/>
        <v>3.9945714285714291</v>
      </c>
      <c r="T264" s="15">
        <f t="shared" si="5"/>
        <v>3.9945714285714291</v>
      </c>
      <c r="U264" s="13" t="s">
        <v>42</v>
      </c>
      <c r="V264" s="1">
        <v>378.2</v>
      </c>
      <c r="X264" s="1">
        <f t="shared" si="6"/>
        <v>13751.800000000001</v>
      </c>
      <c r="AA264" s="1">
        <v>12.534133186272699</v>
      </c>
    </row>
    <row r="265" spans="1:27" s="1" customFormat="1" x14ac:dyDescent="0.25">
      <c r="A265" s="68"/>
      <c r="B265" s="3"/>
      <c r="C265" s="8">
        <v>40438</v>
      </c>
      <c r="D265" s="1">
        <v>17.7</v>
      </c>
      <c r="E265" s="1">
        <v>15.1</v>
      </c>
      <c r="F265" s="1">
        <v>21.2</v>
      </c>
      <c r="G265" s="1">
        <f t="shared" si="2"/>
        <v>188.7</v>
      </c>
      <c r="I265" s="1">
        <v>9</v>
      </c>
      <c r="J265" s="1">
        <v>2.2999999999999998</v>
      </c>
      <c r="K265" s="1">
        <f t="shared" si="3"/>
        <v>8.4</v>
      </c>
      <c r="L265" s="1">
        <v>1.5</v>
      </c>
      <c r="M265" s="1">
        <f t="shared" si="4"/>
        <v>34.300000000000004</v>
      </c>
      <c r="N265" s="1">
        <v>0.79999999999999982</v>
      </c>
      <c r="O265" s="1">
        <f>O264+N265</f>
        <v>4.0999999999999996</v>
      </c>
      <c r="P265" s="6">
        <v>10</v>
      </c>
      <c r="Q265" s="1">
        <f t="shared" si="7"/>
        <v>0.37785714285714284</v>
      </c>
      <c r="R265" s="14">
        <f t="shared" si="0"/>
        <v>0.56678571428571423</v>
      </c>
      <c r="S265" s="14">
        <f t="shared" si="1"/>
        <v>1.7332142857142856</v>
      </c>
      <c r="T265" s="15">
        <f t="shared" si="5"/>
        <v>5.7277857142857149</v>
      </c>
      <c r="U265" s="14">
        <f>MAX(T256:T332)</f>
        <v>102.90971428571427</v>
      </c>
      <c r="V265" s="1">
        <v>403.4</v>
      </c>
      <c r="X265" s="1">
        <f t="shared" si="6"/>
        <v>14155.2</v>
      </c>
      <c r="AA265" s="1">
        <v>12.4845820623847</v>
      </c>
    </row>
    <row r="266" spans="1:27" s="1" customFormat="1" x14ac:dyDescent="0.25">
      <c r="A266" s="68"/>
      <c r="B266" s="3"/>
      <c r="C266" s="8">
        <v>40439</v>
      </c>
      <c r="D266" s="1">
        <v>16.600000000000001</v>
      </c>
      <c r="E266" s="1">
        <v>14.1</v>
      </c>
      <c r="F266" s="1">
        <v>19.600000000000001</v>
      </c>
      <c r="G266" s="1">
        <f t="shared" si="2"/>
        <v>205.29999999999998</v>
      </c>
      <c r="I266" s="13" t="s">
        <v>43</v>
      </c>
      <c r="J266" s="1">
        <v>0.2</v>
      </c>
      <c r="K266" s="1">
        <f t="shared" si="3"/>
        <v>8.6</v>
      </c>
      <c r="L266" s="1">
        <v>2.9</v>
      </c>
      <c r="M266" s="1">
        <f t="shared" si="4"/>
        <v>37.200000000000003</v>
      </c>
      <c r="N266" s="1">
        <v>-2.6999999999999997</v>
      </c>
      <c r="O266" s="1">
        <f>O265+N266</f>
        <v>1.4</v>
      </c>
      <c r="P266" s="6">
        <v>11</v>
      </c>
      <c r="Q266" s="1">
        <f t="shared" si="7"/>
        <v>0.38714285714285712</v>
      </c>
      <c r="R266" s="14">
        <f t="shared" si="0"/>
        <v>1.1227142857142856</v>
      </c>
      <c r="S266" s="14">
        <f t="shared" si="1"/>
        <v>-0.9227142857142856</v>
      </c>
      <c r="T266" s="15">
        <f t="shared" si="5"/>
        <v>4.8050714285714289</v>
      </c>
      <c r="U266" s="13" t="s">
        <v>44</v>
      </c>
      <c r="V266" s="1">
        <v>1268.4000000000001</v>
      </c>
      <c r="X266" s="1">
        <f t="shared" si="6"/>
        <v>15423.6</v>
      </c>
      <c r="AA266" s="1">
        <v>12.434980438115399</v>
      </c>
    </row>
    <row r="267" spans="1:27" s="1" customFormat="1" x14ac:dyDescent="0.25">
      <c r="A267" s="68"/>
      <c r="B267" s="3"/>
      <c r="C267" s="8">
        <v>40440</v>
      </c>
      <c r="D267" s="1">
        <v>14.2</v>
      </c>
      <c r="E267" s="1">
        <v>7.7</v>
      </c>
      <c r="F267" s="1">
        <v>22.1</v>
      </c>
      <c r="G267" s="1">
        <f t="shared" si="2"/>
        <v>219.49999999999997</v>
      </c>
      <c r="I267" s="1">
        <v>8</v>
      </c>
      <c r="J267" s="1">
        <v>0</v>
      </c>
      <c r="K267" s="1">
        <f t="shared" si="3"/>
        <v>8.6</v>
      </c>
      <c r="L267" s="1">
        <v>3.8</v>
      </c>
      <c r="M267" s="1">
        <f t="shared" si="4"/>
        <v>41</v>
      </c>
      <c r="N267" s="1">
        <v>-3.8</v>
      </c>
      <c r="O267" s="1">
        <v>0</v>
      </c>
      <c r="P267" s="6">
        <v>12</v>
      </c>
      <c r="Q267" s="1">
        <f t="shared" si="7"/>
        <v>0.39642857142857141</v>
      </c>
      <c r="R267" s="14">
        <f t="shared" si="0"/>
        <v>1.5064285714285712</v>
      </c>
      <c r="S267" s="14">
        <f t="shared" si="1"/>
        <v>-1.5064285714285712</v>
      </c>
      <c r="T267" s="15">
        <f t="shared" si="5"/>
        <v>3.2986428571428577</v>
      </c>
      <c r="U267" s="16">
        <f>AVERAGE(T256:T332)</f>
        <v>42.66014471243043</v>
      </c>
      <c r="V267" s="1">
        <v>2002.4</v>
      </c>
      <c r="X267" s="1">
        <f t="shared" si="6"/>
        <v>17426</v>
      </c>
      <c r="AA267" s="1">
        <v>12.3853338514052</v>
      </c>
    </row>
    <row r="268" spans="1:27" s="1" customFormat="1" x14ac:dyDescent="0.25">
      <c r="A268" s="68"/>
      <c r="B268" s="3"/>
      <c r="C268" s="8">
        <v>40441</v>
      </c>
      <c r="D268" s="1">
        <v>17</v>
      </c>
      <c r="E268" s="1">
        <v>6.9</v>
      </c>
      <c r="F268" s="1">
        <v>25.8</v>
      </c>
      <c r="G268" s="1">
        <f t="shared" si="2"/>
        <v>236.49999999999997</v>
      </c>
      <c r="I268" s="13" t="s">
        <v>45</v>
      </c>
      <c r="J268" s="1">
        <v>0</v>
      </c>
      <c r="K268" s="1">
        <f t="shared" si="3"/>
        <v>8.6</v>
      </c>
      <c r="L268" s="1">
        <v>4</v>
      </c>
      <c r="M268" s="1">
        <f t="shared" si="4"/>
        <v>45</v>
      </c>
      <c r="N268" s="1">
        <v>-4</v>
      </c>
      <c r="O268" s="1">
        <v>0</v>
      </c>
      <c r="P268" s="6">
        <v>13</v>
      </c>
      <c r="Q268" s="1">
        <f t="shared" si="7"/>
        <v>0.40571428571428569</v>
      </c>
      <c r="R268" s="14">
        <f t="shared" si="0"/>
        <v>1.6228571428571428</v>
      </c>
      <c r="S268" s="14">
        <f t="shared" si="1"/>
        <v>-1.6228571428571428</v>
      </c>
      <c r="T268" s="15">
        <f t="shared" si="5"/>
        <v>1.6757857142857149</v>
      </c>
      <c r="V268" s="1">
        <v>1819.3</v>
      </c>
      <c r="X268" s="1">
        <f t="shared" si="6"/>
        <v>19245.3</v>
      </c>
      <c r="AA268" s="1">
        <v>12.335647785343101</v>
      </c>
    </row>
    <row r="269" spans="1:27" s="1" customFormat="1" x14ac:dyDescent="0.25">
      <c r="A269" s="68"/>
      <c r="B269" s="3"/>
      <c r="C269" s="8">
        <v>40442</v>
      </c>
      <c r="D269" s="1">
        <v>18.8</v>
      </c>
      <c r="E269" s="1">
        <v>16.3</v>
      </c>
      <c r="F269" s="1">
        <v>22.2</v>
      </c>
      <c r="G269" s="1">
        <f t="shared" si="2"/>
        <v>255.29999999999998</v>
      </c>
      <c r="I269" s="1">
        <v>1052.2</v>
      </c>
      <c r="J269" s="1">
        <v>0</v>
      </c>
      <c r="K269" s="1">
        <f t="shared" si="3"/>
        <v>8.6</v>
      </c>
      <c r="L269" s="1">
        <v>1.7</v>
      </c>
      <c r="M269" s="1">
        <f t="shared" si="4"/>
        <v>46.7</v>
      </c>
      <c r="N269" s="1">
        <v>-1.7</v>
      </c>
      <c r="O269" s="1">
        <v>0</v>
      </c>
      <c r="P269" s="6">
        <v>14</v>
      </c>
      <c r="Q269" s="1">
        <f t="shared" si="7"/>
        <v>0.41499999999999998</v>
      </c>
      <c r="R269" s="14">
        <f t="shared" si="0"/>
        <v>0.7054999999999999</v>
      </c>
      <c r="S269" s="14">
        <f t="shared" si="1"/>
        <v>-0.7054999999999999</v>
      </c>
      <c r="T269" s="15">
        <f t="shared" si="5"/>
        <v>0.97028571428571497</v>
      </c>
      <c r="U269" s="14">
        <f>(U267*100)/122.1</f>
        <v>34.938693458173979</v>
      </c>
      <c r="V269" s="1">
        <v>578.29999999999995</v>
      </c>
      <c r="X269" s="1">
        <f t="shared" si="6"/>
        <v>19823.599999999999</v>
      </c>
      <c r="AA269" s="1">
        <v>12.2859276815076</v>
      </c>
    </row>
    <row r="270" spans="1:27" s="1" customFormat="1" x14ac:dyDescent="0.25">
      <c r="A270" s="68"/>
      <c r="B270" s="3"/>
      <c r="C270" s="8">
        <v>40443</v>
      </c>
      <c r="D270" s="1">
        <v>20.100000000000001</v>
      </c>
      <c r="E270" s="1">
        <v>12.6</v>
      </c>
      <c r="F270" s="1">
        <v>28.3</v>
      </c>
      <c r="G270" s="1">
        <f t="shared" si="2"/>
        <v>275.39999999999998</v>
      </c>
      <c r="J270" s="1">
        <v>0</v>
      </c>
      <c r="K270" s="1">
        <f t="shared" si="3"/>
        <v>8.6</v>
      </c>
      <c r="L270" s="1">
        <v>4.5</v>
      </c>
      <c r="M270" s="1">
        <f t="shared" si="4"/>
        <v>51.2</v>
      </c>
      <c r="N270" s="1">
        <v>-4.5</v>
      </c>
      <c r="O270" s="1">
        <v>0</v>
      </c>
      <c r="P270" s="6">
        <v>15</v>
      </c>
      <c r="Q270" s="1">
        <f t="shared" si="7"/>
        <v>0.42428571428571427</v>
      </c>
      <c r="R270" s="14">
        <f t="shared" si="0"/>
        <v>1.9092857142857143</v>
      </c>
      <c r="S270" s="14">
        <f t="shared" si="1"/>
        <v>-1.9092857142857143</v>
      </c>
      <c r="T270" s="15">
        <v>0</v>
      </c>
      <c r="V270" s="1">
        <v>1772.6</v>
      </c>
      <c r="X270" s="1">
        <f t="shared" si="6"/>
        <v>21596.199999999997</v>
      </c>
      <c r="AA270" s="1">
        <v>12.2361789533854</v>
      </c>
    </row>
    <row r="271" spans="1:27" s="1" customFormat="1" x14ac:dyDescent="0.25">
      <c r="A271" s="68"/>
      <c r="B271" s="3"/>
      <c r="C271" s="8">
        <v>40444</v>
      </c>
      <c r="D271" s="1">
        <v>19.3</v>
      </c>
      <c r="E271" s="1">
        <v>14.4</v>
      </c>
      <c r="F271" s="1">
        <v>25.3</v>
      </c>
      <c r="G271" s="1">
        <f t="shared" si="2"/>
        <v>294.7</v>
      </c>
      <c r="J271" s="1">
        <v>17</v>
      </c>
      <c r="K271" s="1">
        <f t="shared" si="3"/>
        <v>25.6</v>
      </c>
      <c r="L271" s="1">
        <v>3.1</v>
      </c>
      <c r="M271" s="1">
        <f t="shared" si="4"/>
        <v>54.300000000000004</v>
      </c>
      <c r="N271" s="1">
        <v>13.9</v>
      </c>
      <c r="O271" s="1">
        <f t="shared" ref="O271:O279" si="8">O270+N271</f>
        <v>13.9</v>
      </c>
      <c r="P271" s="6">
        <v>16</v>
      </c>
      <c r="Q271" s="1">
        <f t="shared" si="7"/>
        <v>0.43357142857142855</v>
      </c>
      <c r="R271" s="14">
        <f t="shared" si="0"/>
        <v>1.3440714285714286</v>
      </c>
      <c r="S271" s="14">
        <f t="shared" si="1"/>
        <v>15.655928571428571</v>
      </c>
      <c r="T271" s="15">
        <f t="shared" si="5"/>
        <v>15.655928571428571</v>
      </c>
      <c r="V271" s="1">
        <v>1460.4</v>
      </c>
      <c r="X271" s="1">
        <f t="shared" si="6"/>
        <v>23056.6</v>
      </c>
      <c r="AA271" s="1">
        <v>12.1864069998693</v>
      </c>
    </row>
    <row r="272" spans="1:27" s="1" customFormat="1" x14ac:dyDescent="0.25">
      <c r="A272" s="68"/>
      <c r="B272" s="3"/>
      <c r="C272" s="8">
        <v>40445</v>
      </c>
      <c r="D272" s="1">
        <v>16.7</v>
      </c>
      <c r="E272" s="1">
        <v>14.9</v>
      </c>
      <c r="F272" s="1">
        <v>19.8</v>
      </c>
      <c r="G272" s="1">
        <f t="shared" si="2"/>
        <v>311.39999999999998</v>
      </c>
      <c r="J272" s="1">
        <v>4.5999999999999996</v>
      </c>
      <c r="K272" s="1">
        <f t="shared" si="3"/>
        <v>30.200000000000003</v>
      </c>
      <c r="L272" s="1">
        <v>2.6</v>
      </c>
      <c r="M272" s="1">
        <f t="shared" si="4"/>
        <v>56.900000000000006</v>
      </c>
      <c r="N272" s="1">
        <v>1.9999999999999996</v>
      </c>
      <c r="O272" s="1">
        <f t="shared" si="8"/>
        <v>15.9</v>
      </c>
      <c r="P272" s="6">
        <v>17</v>
      </c>
      <c r="Q272" s="1">
        <f t="shared" si="7"/>
        <v>0.44285714285714284</v>
      </c>
      <c r="R272" s="14">
        <f t="shared" si="0"/>
        <v>1.1514285714285715</v>
      </c>
      <c r="S272" s="14">
        <f t="shared" si="1"/>
        <v>3.4485714285714284</v>
      </c>
      <c r="T272" s="15">
        <f t="shared" si="5"/>
        <v>19.104500000000002</v>
      </c>
      <c r="V272" s="1">
        <v>1070.5999999999999</v>
      </c>
      <c r="X272" s="1">
        <f t="shared" si="6"/>
        <v>24127.199999999997</v>
      </c>
      <c r="AA272" s="1">
        <v>12.1366172188345</v>
      </c>
    </row>
    <row r="273" spans="1:27" s="1" customFormat="1" x14ac:dyDescent="0.25">
      <c r="A273" s="68"/>
      <c r="B273" s="3"/>
      <c r="C273" s="8">
        <v>40446</v>
      </c>
      <c r="D273" s="1">
        <v>15.2</v>
      </c>
      <c r="E273" s="1">
        <v>13.6</v>
      </c>
      <c r="F273" s="1">
        <v>19.2</v>
      </c>
      <c r="G273" s="1">
        <f t="shared" si="2"/>
        <v>326.59999999999997</v>
      </c>
      <c r="J273" s="1">
        <v>0</v>
      </c>
      <c r="K273" s="1">
        <f t="shared" si="3"/>
        <v>30.200000000000003</v>
      </c>
      <c r="L273" s="1">
        <v>3.5</v>
      </c>
      <c r="M273" s="1">
        <f t="shared" si="4"/>
        <v>60.400000000000006</v>
      </c>
      <c r="N273" s="1">
        <v>-3.5</v>
      </c>
      <c r="O273" s="1">
        <f t="shared" si="8"/>
        <v>12.4</v>
      </c>
      <c r="P273" s="6">
        <v>18</v>
      </c>
      <c r="Q273" s="1">
        <f t="shared" si="7"/>
        <v>0.45214285714285712</v>
      </c>
      <c r="R273" s="14">
        <f t="shared" si="0"/>
        <v>1.5825</v>
      </c>
      <c r="S273" s="14">
        <f t="shared" si="1"/>
        <v>-1.5825</v>
      </c>
      <c r="T273" s="15">
        <f t="shared" si="5"/>
        <v>17.522000000000002</v>
      </c>
      <c r="V273" s="1">
        <v>1537.3</v>
      </c>
      <c r="X273" s="1">
        <f t="shared" si="6"/>
        <v>25664.499999999996</v>
      </c>
      <c r="AA273" s="1">
        <v>12.0868150207924</v>
      </c>
    </row>
    <row r="274" spans="1:27" s="1" customFormat="1" x14ac:dyDescent="0.25">
      <c r="A274" s="68"/>
      <c r="B274" s="3"/>
      <c r="C274" s="8">
        <v>40447</v>
      </c>
      <c r="D274" s="1">
        <v>12.6</v>
      </c>
      <c r="E274" s="1">
        <v>9.8000000000000007</v>
      </c>
      <c r="F274" s="1">
        <v>17.100000000000001</v>
      </c>
      <c r="G274" s="1">
        <f t="shared" si="2"/>
        <v>339.2</v>
      </c>
      <c r="J274" s="1">
        <v>0</v>
      </c>
      <c r="K274" s="1">
        <f t="shared" si="3"/>
        <v>30.200000000000003</v>
      </c>
      <c r="L274" s="1">
        <v>3.3</v>
      </c>
      <c r="M274" s="1">
        <f t="shared" si="4"/>
        <v>63.7</v>
      </c>
      <c r="N274" s="1">
        <v>-3.3</v>
      </c>
      <c r="O274" s="1">
        <f t="shared" si="8"/>
        <v>9.1000000000000014</v>
      </c>
      <c r="P274" s="6">
        <v>19</v>
      </c>
      <c r="Q274" s="1">
        <f t="shared" si="7"/>
        <v>0.46142857142857141</v>
      </c>
      <c r="R274" s="14">
        <f t="shared" si="0"/>
        <v>1.5227142857142855</v>
      </c>
      <c r="S274" s="14">
        <f t="shared" si="1"/>
        <v>-1.5227142857142855</v>
      </c>
      <c r="T274" s="15">
        <f t="shared" si="5"/>
        <v>15.999285714285717</v>
      </c>
      <c r="V274" s="1">
        <v>1740</v>
      </c>
      <c r="X274" s="1">
        <f t="shared" si="6"/>
        <v>27404.499999999996</v>
      </c>
      <c r="AA274" s="1">
        <v>12.037005842623801</v>
      </c>
    </row>
    <row r="275" spans="1:27" s="1" customFormat="1" x14ac:dyDescent="0.25">
      <c r="A275" s="68"/>
      <c r="B275" s="3"/>
      <c r="C275" s="8">
        <v>40448</v>
      </c>
      <c r="D275" s="1">
        <v>12.9</v>
      </c>
      <c r="E275" s="1">
        <v>7.2</v>
      </c>
      <c r="F275" s="1">
        <v>19.100000000000001</v>
      </c>
      <c r="G275" s="1">
        <f t="shared" si="2"/>
        <v>352.09999999999997</v>
      </c>
      <c r="J275" s="1">
        <v>0</v>
      </c>
      <c r="K275" s="1">
        <f t="shared" si="3"/>
        <v>30.200000000000003</v>
      </c>
      <c r="L275" s="1">
        <v>2.6</v>
      </c>
      <c r="M275" s="1">
        <f t="shared" si="4"/>
        <v>66.3</v>
      </c>
      <c r="N275" s="1">
        <v>-2.6</v>
      </c>
      <c r="O275" s="1">
        <f t="shared" si="8"/>
        <v>6.5000000000000018</v>
      </c>
      <c r="P275" s="6">
        <v>20</v>
      </c>
      <c r="Q275" s="1">
        <f t="shared" si="7"/>
        <v>0.4707142857142857</v>
      </c>
      <c r="R275" s="14">
        <f t="shared" si="0"/>
        <v>1.2238571428571428</v>
      </c>
      <c r="S275" s="14">
        <f t="shared" si="1"/>
        <v>-1.2238571428571428</v>
      </c>
      <c r="T275" s="15">
        <f t="shared" si="5"/>
        <v>14.775428571428574</v>
      </c>
      <c r="V275" s="1">
        <v>1373.5</v>
      </c>
      <c r="X275" s="1">
        <f t="shared" si="6"/>
        <v>28777.999999999996</v>
      </c>
      <c r="AA275" s="1">
        <v>11.9871951613899</v>
      </c>
    </row>
    <row r="276" spans="1:27" s="1" customFormat="1" x14ac:dyDescent="0.25">
      <c r="A276" s="68"/>
      <c r="B276" s="3"/>
      <c r="C276" s="8">
        <v>40449</v>
      </c>
      <c r="D276" s="1">
        <v>13.2</v>
      </c>
      <c r="E276" s="1">
        <v>9.3000000000000007</v>
      </c>
      <c r="F276" s="1">
        <v>18.899999999999999</v>
      </c>
      <c r="G276" s="1">
        <f t="shared" si="2"/>
        <v>365.29999999999995</v>
      </c>
      <c r="J276" s="1">
        <v>0</v>
      </c>
      <c r="K276" s="1">
        <f t="shared" si="3"/>
        <v>30.200000000000003</v>
      </c>
      <c r="L276" s="1">
        <v>2.6</v>
      </c>
      <c r="M276" s="1">
        <f t="shared" si="4"/>
        <v>68.899999999999991</v>
      </c>
      <c r="N276" s="1">
        <v>-2.6</v>
      </c>
      <c r="O276" s="1">
        <f t="shared" si="8"/>
        <v>3.9000000000000017</v>
      </c>
      <c r="P276" s="6">
        <v>21</v>
      </c>
      <c r="Q276" s="1">
        <f t="shared" si="7"/>
        <v>0.48</v>
      </c>
      <c r="R276" s="14">
        <f t="shared" si="0"/>
        <v>1.248</v>
      </c>
      <c r="S276" s="14">
        <f t="shared" si="1"/>
        <v>-1.248</v>
      </c>
      <c r="T276" s="15">
        <f t="shared" si="5"/>
        <v>13.527428571428574</v>
      </c>
      <c r="V276" s="1">
        <v>1366.5</v>
      </c>
      <c r="X276" s="1">
        <f t="shared" si="6"/>
        <v>30144.499999999996</v>
      </c>
      <c r="AA276" s="1">
        <v>11.937388508221201</v>
      </c>
    </row>
    <row r="277" spans="1:27" s="1" customFormat="1" x14ac:dyDescent="0.25">
      <c r="A277" s="68"/>
      <c r="B277" s="3"/>
      <c r="C277" s="8">
        <v>40450</v>
      </c>
      <c r="D277" s="1">
        <v>14.1</v>
      </c>
      <c r="E277" s="1">
        <v>6.7</v>
      </c>
      <c r="F277" s="1">
        <v>19.899999999999999</v>
      </c>
      <c r="G277" s="1">
        <f t="shared" si="2"/>
        <v>379.4</v>
      </c>
      <c r="J277" s="1">
        <v>0</v>
      </c>
      <c r="K277" s="1">
        <f t="shared" si="3"/>
        <v>30.200000000000003</v>
      </c>
      <c r="L277" s="1">
        <v>2.6</v>
      </c>
      <c r="M277" s="1">
        <f t="shared" si="4"/>
        <v>71.499999999999986</v>
      </c>
      <c r="N277" s="1">
        <v>-2.6</v>
      </c>
      <c r="O277" s="1">
        <f t="shared" si="8"/>
        <v>1.3000000000000016</v>
      </c>
      <c r="P277" s="6">
        <v>22</v>
      </c>
      <c r="Q277" s="1">
        <f t="shared" si="7"/>
        <v>0.48928571428571427</v>
      </c>
      <c r="R277" s="14">
        <f t="shared" si="0"/>
        <v>1.2721428571428572</v>
      </c>
      <c r="S277" s="14">
        <f t="shared" si="1"/>
        <v>-1.2721428571428572</v>
      </c>
      <c r="T277" s="15">
        <f t="shared" si="5"/>
        <v>12.255285714285717</v>
      </c>
      <c r="V277" s="1">
        <v>1552.3</v>
      </c>
      <c r="X277" s="1">
        <f t="shared" si="6"/>
        <v>31696.799999999996</v>
      </c>
      <c r="AA277" s="1">
        <v>11.887591482284099</v>
      </c>
    </row>
    <row r="278" spans="1:27" s="1" customFormat="1" x14ac:dyDescent="0.25">
      <c r="A278" s="68"/>
      <c r="B278" s="3"/>
      <c r="C278" s="8">
        <v>40451</v>
      </c>
      <c r="D278" s="1">
        <v>14</v>
      </c>
      <c r="E278" s="1">
        <v>10.4</v>
      </c>
      <c r="F278" s="1">
        <v>15.8</v>
      </c>
      <c r="G278" s="1">
        <f t="shared" si="2"/>
        <v>393.4</v>
      </c>
      <c r="J278" s="1">
        <v>1.4</v>
      </c>
      <c r="K278" s="1">
        <f t="shared" si="3"/>
        <v>31.6</v>
      </c>
      <c r="L278" s="1">
        <v>0.9</v>
      </c>
      <c r="M278" s="1">
        <f t="shared" si="4"/>
        <v>72.399999999999991</v>
      </c>
      <c r="N278" s="1">
        <v>0.49999999999999989</v>
      </c>
      <c r="O278" s="1">
        <f t="shared" si="8"/>
        <v>1.8000000000000016</v>
      </c>
      <c r="P278" s="6">
        <v>23</v>
      </c>
      <c r="Q278" s="1">
        <f t="shared" si="7"/>
        <v>0.49857142857142855</v>
      </c>
      <c r="R278" s="14">
        <f t="shared" si="0"/>
        <v>0.44871428571428573</v>
      </c>
      <c r="S278" s="14">
        <f t="shared" si="1"/>
        <v>0.95128571428571418</v>
      </c>
      <c r="T278" s="15">
        <f t="shared" si="5"/>
        <v>13.206571428571431</v>
      </c>
      <c r="V278" s="1">
        <v>442.4</v>
      </c>
      <c r="X278" s="1">
        <f t="shared" si="6"/>
        <v>32139.199999999997</v>
      </c>
      <c r="AA278" s="1">
        <v>11.8378097648246</v>
      </c>
    </row>
    <row r="279" spans="1:27" s="1" customFormat="1" x14ac:dyDescent="0.25">
      <c r="A279" s="68"/>
      <c r="B279" s="3"/>
      <c r="C279" s="8">
        <v>40452</v>
      </c>
      <c r="D279" s="1">
        <v>15.8</v>
      </c>
      <c r="E279" s="1">
        <v>8.6999999999999993</v>
      </c>
      <c r="F279" s="1">
        <v>21.1</v>
      </c>
      <c r="G279" s="1">
        <f t="shared" si="2"/>
        <v>409.2</v>
      </c>
      <c r="J279" s="1">
        <v>0</v>
      </c>
      <c r="K279" s="1">
        <f t="shared" si="3"/>
        <v>31.6</v>
      </c>
      <c r="L279" s="1">
        <v>1.5</v>
      </c>
      <c r="M279" s="1">
        <f t="shared" si="4"/>
        <v>73.899999999999991</v>
      </c>
      <c r="N279" s="1">
        <v>-1.5</v>
      </c>
      <c r="O279" s="1">
        <f t="shared" si="8"/>
        <v>0.3000000000000016</v>
      </c>
      <c r="P279" s="6">
        <v>24</v>
      </c>
      <c r="Q279" s="1">
        <f t="shared" si="7"/>
        <v>0.50785714285714278</v>
      </c>
      <c r="R279" s="14">
        <f t="shared" si="0"/>
        <v>0.76178571428571418</v>
      </c>
      <c r="S279" s="14">
        <f t="shared" si="1"/>
        <v>-0.76178571428571418</v>
      </c>
      <c r="T279" s="15">
        <f t="shared" si="5"/>
        <v>12.444785714285716</v>
      </c>
      <c r="V279" s="1">
        <v>858.8</v>
      </c>
      <c r="X279" s="1">
        <f t="shared" si="6"/>
        <v>32998</v>
      </c>
      <c r="AA279" s="1">
        <v>11.788049133285501</v>
      </c>
    </row>
    <row r="280" spans="1:27" s="1" customFormat="1" x14ac:dyDescent="0.25">
      <c r="A280" s="68"/>
      <c r="B280" s="3"/>
      <c r="C280" s="8">
        <v>40453</v>
      </c>
      <c r="D280" s="1">
        <v>17.899999999999999</v>
      </c>
      <c r="E280" s="1">
        <v>14.6</v>
      </c>
      <c r="F280" s="1">
        <v>21.4</v>
      </c>
      <c r="G280" s="1">
        <f t="shared" si="2"/>
        <v>427.09999999999997</v>
      </c>
      <c r="J280" s="1">
        <v>0</v>
      </c>
      <c r="K280" s="1">
        <f t="shared" si="3"/>
        <v>31.6</v>
      </c>
      <c r="L280" s="1">
        <v>3.2</v>
      </c>
      <c r="M280" s="1">
        <f t="shared" si="4"/>
        <v>77.099999999999994</v>
      </c>
      <c r="N280" s="1">
        <v>-3.2</v>
      </c>
      <c r="O280" s="1">
        <v>0</v>
      </c>
      <c r="P280" s="6">
        <v>25</v>
      </c>
      <c r="Q280" s="1">
        <f t="shared" si="7"/>
        <v>0.51714285714285713</v>
      </c>
      <c r="R280" s="14">
        <f t="shared" si="0"/>
        <v>1.6548571428571428</v>
      </c>
      <c r="S280" s="14">
        <f t="shared" si="1"/>
        <v>-1.6548571428571428</v>
      </c>
      <c r="T280" s="15">
        <f t="shared" si="5"/>
        <v>10.789928571428574</v>
      </c>
      <c r="V280" s="1">
        <v>1016</v>
      </c>
      <c r="X280" s="1">
        <f t="shared" si="6"/>
        <v>34014</v>
      </c>
      <c r="AA280" s="1">
        <v>11.738315475497499</v>
      </c>
    </row>
    <row r="281" spans="1:27" s="1" customFormat="1" x14ac:dyDescent="0.25">
      <c r="A281" s="68"/>
      <c r="B281" s="3"/>
      <c r="C281" s="8">
        <v>40454</v>
      </c>
      <c r="D281" s="1">
        <v>21.3</v>
      </c>
      <c r="E281" s="1">
        <v>17.8</v>
      </c>
      <c r="F281" s="1">
        <v>26.9</v>
      </c>
      <c r="G281" s="1">
        <f t="shared" si="2"/>
        <v>448.4</v>
      </c>
      <c r="J281" s="1">
        <v>0.6</v>
      </c>
      <c r="K281" s="1">
        <f t="shared" si="3"/>
        <v>32.200000000000003</v>
      </c>
      <c r="L281" s="1">
        <v>4.8</v>
      </c>
      <c r="M281" s="1">
        <f t="shared" si="4"/>
        <v>81.899999999999991</v>
      </c>
      <c r="N281" s="1">
        <v>-4.2</v>
      </c>
      <c r="O281" s="1">
        <v>0</v>
      </c>
      <c r="P281" s="6">
        <v>26</v>
      </c>
      <c r="Q281" s="1">
        <f t="shared" si="7"/>
        <v>0.52642857142857147</v>
      </c>
      <c r="R281" s="14">
        <f t="shared" si="0"/>
        <v>2.5268571428571431</v>
      </c>
      <c r="S281" s="14">
        <f t="shared" si="1"/>
        <v>-1.926857142857143</v>
      </c>
      <c r="T281" s="15">
        <f t="shared" si="5"/>
        <v>8.8630714285714305</v>
      </c>
      <c r="V281" s="1">
        <v>1514.8</v>
      </c>
      <c r="X281" s="1">
        <f t="shared" si="6"/>
        <v>35528.800000000003</v>
      </c>
      <c r="AA281" s="1">
        <v>11.688614803938799</v>
      </c>
    </row>
    <row r="282" spans="1:27" s="1" customFormat="1" x14ac:dyDescent="0.25">
      <c r="A282" s="68"/>
      <c r="B282" s="3"/>
      <c r="C282" s="8">
        <v>40455</v>
      </c>
      <c r="D282" s="1">
        <v>16.5</v>
      </c>
      <c r="E282" s="1">
        <v>15</v>
      </c>
      <c r="F282" s="1">
        <v>17.399999999999999</v>
      </c>
      <c r="G282" s="1">
        <f t="shared" si="2"/>
        <v>464.9</v>
      </c>
      <c r="J282" s="1">
        <v>2.7</v>
      </c>
      <c r="K282" s="1">
        <f t="shared" si="3"/>
        <v>34.900000000000006</v>
      </c>
      <c r="L282" s="1">
        <v>1.3</v>
      </c>
      <c r="M282" s="1">
        <f t="shared" si="4"/>
        <v>83.199999999999989</v>
      </c>
      <c r="N282" s="1">
        <v>1.4000000000000001</v>
      </c>
      <c r="O282" s="1">
        <f>O281+N282</f>
        <v>1.4000000000000001</v>
      </c>
      <c r="P282" s="6">
        <v>27</v>
      </c>
      <c r="Q282" s="1">
        <f t="shared" si="7"/>
        <v>0.5357142857142857</v>
      </c>
      <c r="R282" s="14">
        <f t="shared" si="0"/>
        <v>0.6964285714285714</v>
      </c>
      <c r="S282" s="14">
        <f t="shared" si="1"/>
        <v>2.003571428571429</v>
      </c>
      <c r="T282" s="15">
        <f t="shared" si="5"/>
        <v>10.86664285714286</v>
      </c>
      <c r="V282" s="1">
        <v>454.7</v>
      </c>
      <c r="X282" s="1">
        <f t="shared" si="6"/>
        <v>35983.5</v>
      </c>
      <c r="AA282" s="1">
        <v>11.63895327006</v>
      </c>
    </row>
    <row r="283" spans="1:27" s="1" customFormat="1" x14ac:dyDescent="0.25">
      <c r="A283" s="68"/>
      <c r="B283" s="3"/>
      <c r="C283" s="8">
        <v>40456</v>
      </c>
      <c r="D283" s="1">
        <v>17.100000000000001</v>
      </c>
      <c r="E283" s="1">
        <v>11.1</v>
      </c>
      <c r="F283" s="1">
        <v>22.9</v>
      </c>
      <c r="G283" s="1">
        <f t="shared" si="2"/>
        <v>482</v>
      </c>
      <c r="J283" s="1">
        <v>0</v>
      </c>
      <c r="K283" s="1">
        <f t="shared" si="3"/>
        <v>34.900000000000006</v>
      </c>
      <c r="L283" s="1">
        <v>3.2</v>
      </c>
      <c r="M283" s="1">
        <f t="shared" si="4"/>
        <v>86.399999999999991</v>
      </c>
      <c r="N283" s="1">
        <v>-3.2</v>
      </c>
      <c r="O283" s="1">
        <v>0</v>
      </c>
      <c r="P283" s="6">
        <v>28</v>
      </c>
      <c r="Q283" s="1">
        <f t="shared" si="7"/>
        <v>0.54499999999999993</v>
      </c>
      <c r="R283" s="14">
        <f t="shared" si="0"/>
        <v>1.7439999999999998</v>
      </c>
      <c r="S283" s="14">
        <f t="shared" si="1"/>
        <v>-1.7439999999999998</v>
      </c>
      <c r="T283" s="15">
        <f t="shared" si="5"/>
        <v>9.1226428571428606</v>
      </c>
      <c r="V283" s="1">
        <v>1447.9</v>
      </c>
      <c r="X283" s="1">
        <f t="shared" si="6"/>
        <v>37431.4</v>
      </c>
      <c r="AA283" s="1">
        <v>11.589337178668901</v>
      </c>
    </row>
    <row r="284" spans="1:27" s="1" customFormat="1" x14ac:dyDescent="0.25">
      <c r="A284" s="68"/>
      <c r="B284" s="3"/>
      <c r="C284" s="8">
        <v>40457</v>
      </c>
      <c r="D284" s="1">
        <v>19.3</v>
      </c>
      <c r="E284" s="1">
        <v>16.3</v>
      </c>
      <c r="F284" s="1">
        <v>24.3</v>
      </c>
      <c r="G284" s="1">
        <f t="shared" si="2"/>
        <v>501.3</v>
      </c>
      <c r="J284" s="1">
        <v>0</v>
      </c>
      <c r="K284" s="1">
        <f t="shared" si="3"/>
        <v>34.900000000000006</v>
      </c>
      <c r="L284" s="1">
        <v>3.8</v>
      </c>
      <c r="M284" s="1">
        <f t="shared" si="4"/>
        <v>90.199999999999989</v>
      </c>
      <c r="N284" s="1">
        <v>-3.8</v>
      </c>
      <c r="O284" s="1">
        <v>0</v>
      </c>
      <c r="P284" s="6">
        <v>29</v>
      </c>
      <c r="Q284" s="1">
        <f t="shared" si="7"/>
        <v>0.55428571428571427</v>
      </c>
      <c r="R284" s="14">
        <f t="shared" si="0"/>
        <v>2.1062857142857143</v>
      </c>
      <c r="S284" s="14">
        <f t="shared" si="1"/>
        <v>-2.1062857142857143</v>
      </c>
      <c r="T284" s="15">
        <f t="shared" si="5"/>
        <v>7.0163571428571458</v>
      </c>
      <c r="V284" s="1">
        <v>1487.1</v>
      </c>
      <c r="X284" s="1">
        <f t="shared" si="6"/>
        <v>38918.5</v>
      </c>
      <c r="AA284" s="1">
        <v>11.539773002367999</v>
      </c>
    </row>
    <row r="285" spans="1:27" s="1" customFormat="1" x14ac:dyDescent="0.25">
      <c r="A285" s="68"/>
      <c r="B285" s="3"/>
      <c r="C285" s="8">
        <v>40458</v>
      </c>
      <c r="D285" s="1">
        <v>19.3</v>
      </c>
      <c r="E285" s="1">
        <v>16</v>
      </c>
      <c r="F285" s="1">
        <v>24.4</v>
      </c>
      <c r="G285" s="1">
        <f t="shared" si="2"/>
        <v>520.6</v>
      </c>
      <c r="J285" s="1">
        <v>0</v>
      </c>
      <c r="K285" s="1">
        <f t="shared" si="3"/>
        <v>34.900000000000006</v>
      </c>
      <c r="L285" s="1">
        <v>4.0999999999999996</v>
      </c>
      <c r="M285" s="1">
        <f t="shared" si="4"/>
        <v>94.299999999999983</v>
      </c>
      <c r="N285" s="1">
        <v>-4.0999999999999996</v>
      </c>
      <c r="O285" s="1">
        <v>0</v>
      </c>
      <c r="P285" s="6">
        <v>30</v>
      </c>
      <c r="Q285" s="1">
        <f t="shared" si="7"/>
        <v>0.56357142857142861</v>
      </c>
      <c r="R285" s="14">
        <f t="shared" si="0"/>
        <v>2.3106428571428572</v>
      </c>
      <c r="S285" s="14">
        <f t="shared" si="1"/>
        <v>-2.3106428571428572</v>
      </c>
      <c r="T285" s="15">
        <f t="shared" si="5"/>
        <v>4.7057142857142882</v>
      </c>
      <c r="V285" s="1">
        <v>1288.8</v>
      </c>
      <c r="X285" s="1">
        <f t="shared" si="6"/>
        <v>40207.300000000003</v>
      </c>
      <c r="AA285" s="1">
        <v>11.490267396036799</v>
      </c>
    </row>
    <row r="286" spans="1:27" s="1" customFormat="1" x14ac:dyDescent="0.25">
      <c r="A286" s="68"/>
      <c r="B286" s="3"/>
      <c r="C286" s="8">
        <v>40459</v>
      </c>
      <c r="D286" s="1">
        <v>19.899999999999999</v>
      </c>
      <c r="E286" s="1">
        <v>16.2</v>
      </c>
      <c r="F286" s="1">
        <v>25.2</v>
      </c>
      <c r="G286" s="1">
        <f t="shared" si="2"/>
        <v>540.5</v>
      </c>
      <c r="J286" s="1">
        <v>0</v>
      </c>
      <c r="K286" s="1">
        <f t="shared" si="3"/>
        <v>34.900000000000006</v>
      </c>
      <c r="L286" s="1">
        <v>3.9</v>
      </c>
      <c r="M286" s="1">
        <f t="shared" si="4"/>
        <v>98.199999999999989</v>
      </c>
      <c r="N286" s="1">
        <v>-3.9</v>
      </c>
      <c r="O286" s="1">
        <v>0</v>
      </c>
      <c r="P286" s="6">
        <v>31</v>
      </c>
      <c r="Q286" s="1">
        <f t="shared" si="7"/>
        <v>0.57285714285714284</v>
      </c>
      <c r="R286" s="14">
        <f t="shared" si="0"/>
        <v>2.234142857142857</v>
      </c>
      <c r="S286" s="14">
        <f t="shared" si="1"/>
        <v>-2.234142857142857</v>
      </c>
      <c r="T286" s="15">
        <f t="shared" si="5"/>
        <v>2.4715714285714312</v>
      </c>
      <c r="V286" s="1">
        <v>1144.5</v>
      </c>
      <c r="X286" s="1">
        <f t="shared" si="6"/>
        <v>41351.800000000003</v>
      </c>
      <c r="AA286" s="1">
        <v>11.4408272113498</v>
      </c>
    </row>
    <row r="287" spans="1:27" s="1" customFormat="1" x14ac:dyDescent="0.25">
      <c r="A287" s="68"/>
      <c r="B287" s="3"/>
      <c r="C287" s="8">
        <v>40460</v>
      </c>
      <c r="D287" s="1">
        <v>19</v>
      </c>
      <c r="E287" s="1">
        <v>17.600000000000001</v>
      </c>
      <c r="F287" s="1">
        <v>22.5</v>
      </c>
      <c r="G287" s="1">
        <f t="shared" si="2"/>
        <v>559.5</v>
      </c>
      <c r="J287" s="1">
        <v>8.4</v>
      </c>
      <c r="K287" s="1">
        <f t="shared" si="3"/>
        <v>43.300000000000004</v>
      </c>
      <c r="L287" s="1">
        <v>3.4</v>
      </c>
      <c r="M287" s="1">
        <f t="shared" si="4"/>
        <v>101.6</v>
      </c>
      <c r="N287" s="1">
        <v>5</v>
      </c>
      <c r="O287" s="1">
        <f t="shared" ref="O287:O350" si="9">O286+N287</f>
        <v>5</v>
      </c>
      <c r="P287" s="6">
        <v>32</v>
      </c>
      <c r="Q287" s="1">
        <f t="shared" si="7"/>
        <v>0.58214285714285707</v>
      </c>
      <c r="R287" s="14">
        <f t="shared" si="0"/>
        <v>1.9792857142857141</v>
      </c>
      <c r="S287" s="14">
        <f t="shared" si="1"/>
        <v>6.4207142857142863</v>
      </c>
      <c r="T287" s="15">
        <f t="shared" si="5"/>
        <v>8.8922857142857179</v>
      </c>
      <c r="V287" s="1">
        <v>981.9</v>
      </c>
      <c r="X287" s="1">
        <f t="shared" si="6"/>
        <v>42333.700000000004</v>
      </c>
      <c r="AA287" s="1">
        <v>11.391459511317199</v>
      </c>
    </row>
    <row r="288" spans="1:27" s="1" customFormat="1" x14ac:dyDescent="0.25">
      <c r="A288" s="68"/>
      <c r="B288" s="3"/>
      <c r="C288" s="8">
        <v>40461</v>
      </c>
      <c r="D288" s="1">
        <v>15.5</v>
      </c>
      <c r="E288" s="1">
        <v>14.9</v>
      </c>
      <c r="F288" s="1">
        <v>15.8</v>
      </c>
      <c r="G288" s="1">
        <f t="shared" si="2"/>
        <v>575</v>
      </c>
      <c r="J288" s="1">
        <v>50.5</v>
      </c>
      <c r="K288" s="1">
        <f t="shared" si="3"/>
        <v>93.800000000000011</v>
      </c>
      <c r="L288" s="1">
        <v>0.5</v>
      </c>
      <c r="M288" s="1">
        <f t="shared" si="4"/>
        <v>102.1</v>
      </c>
      <c r="N288" s="1">
        <v>50</v>
      </c>
      <c r="O288" s="1">
        <f t="shared" si="9"/>
        <v>55</v>
      </c>
      <c r="P288" s="6">
        <v>33</v>
      </c>
      <c r="Q288" s="1">
        <f t="shared" si="7"/>
        <v>0.59142857142857141</v>
      </c>
      <c r="R288" s="14">
        <f t="shared" si="0"/>
        <v>0.29571428571428571</v>
      </c>
      <c r="S288" s="14">
        <f t="shared" si="1"/>
        <v>50.204285714285717</v>
      </c>
      <c r="T288" s="15">
        <f t="shared" si="5"/>
        <v>59.096571428571437</v>
      </c>
      <c r="V288" s="1">
        <v>206.6</v>
      </c>
      <c r="X288" s="1">
        <f t="shared" si="6"/>
        <v>42540.3</v>
      </c>
      <c r="AA288" s="1">
        <v>11.342171584836001</v>
      </c>
    </row>
    <row r="289" spans="1:27" s="1" customFormat="1" x14ac:dyDescent="0.25">
      <c r="A289" s="68"/>
      <c r="B289" s="3"/>
      <c r="C289" s="8">
        <v>40462</v>
      </c>
      <c r="D289" s="1">
        <v>15.7</v>
      </c>
      <c r="E289" s="1">
        <v>14.2</v>
      </c>
      <c r="F289" s="1">
        <v>18.899999999999999</v>
      </c>
      <c r="G289" s="1">
        <f t="shared" si="2"/>
        <v>590.70000000000005</v>
      </c>
      <c r="J289" s="1">
        <v>0.2</v>
      </c>
      <c r="K289" s="1">
        <f t="shared" si="3"/>
        <v>94.000000000000014</v>
      </c>
      <c r="L289" s="1">
        <v>1.4</v>
      </c>
      <c r="M289" s="1">
        <f t="shared" si="4"/>
        <v>103.5</v>
      </c>
      <c r="N289" s="1">
        <v>-1.2</v>
      </c>
      <c r="O289" s="1">
        <f t="shared" si="9"/>
        <v>53.8</v>
      </c>
      <c r="P289" s="6">
        <v>34</v>
      </c>
      <c r="Q289" s="1">
        <f t="shared" si="7"/>
        <v>0.60071428571428576</v>
      </c>
      <c r="R289" s="14">
        <f t="shared" si="0"/>
        <v>0.84099999999999997</v>
      </c>
      <c r="S289" s="14">
        <f t="shared" si="1"/>
        <v>-0.64100000000000001</v>
      </c>
      <c r="T289" s="15">
        <f t="shared" si="5"/>
        <v>58.455571428571439</v>
      </c>
      <c r="V289" s="1">
        <v>490</v>
      </c>
      <c r="X289" s="1">
        <f t="shared" si="6"/>
        <v>43030.3</v>
      </c>
      <c r="AA289" s="1">
        <v>11.292970961235399</v>
      </c>
    </row>
    <row r="290" spans="1:27" s="1" customFormat="1" x14ac:dyDescent="0.25">
      <c r="A290" s="68"/>
      <c r="B290" s="3"/>
      <c r="C290" s="8">
        <v>40463</v>
      </c>
      <c r="D290" s="1">
        <v>15.9</v>
      </c>
      <c r="E290" s="1">
        <v>12.4</v>
      </c>
      <c r="F290" s="1">
        <v>19.899999999999999</v>
      </c>
      <c r="G290" s="1">
        <f t="shared" si="2"/>
        <v>606.6</v>
      </c>
      <c r="J290" s="1">
        <v>0</v>
      </c>
      <c r="K290" s="1">
        <f t="shared" si="3"/>
        <v>94.000000000000014</v>
      </c>
      <c r="L290" s="1">
        <v>2.4</v>
      </c>
      <c r="M290" s="1">
        <f t="shared" si="4"/>
        <v>105.9</v>
      </c>
      <c r="N290" s="1">
        <v>-2.4</v>
      </c>
      <c r="O290" s="1">
        <f t="shared" si="9"/>
        <v>51.4</v>
      </c>
      <c r="P290" s="6">
        <v>35</v>
      </c>
      <c r="Q290" s="1">
        <f t="shared" si="7"/>
        <v>0.61</v>
      </c>
      <c r="R290" s="14">
        <f t="shared" si="0"/>
        <v>1.464</v>
      </c>
      <c r="S290" s="14">
        <f t="shared" si="1"/>
        <v>-1.464</v>
      </c>
      <c r="T290" s="15">
        <f t="shared" si="5"/>
        <v>56.99157142857144</v>
      </c>
      <c r="V290" s="1">
        <v>1096.5</v>
      </c>
      <c r="X290" s="1">
        <f t="shared" si="6"/>
        <v>44126.8</v>
      </c>
      <c r="AA290" s="1">
        <v>11.2438654247982</v>
      </c>
    </row>
    <row r="291" spans="1:27" s="1" customFormat="1" x14ac:dyDescent="0.25">
      <c r="A291" s="68"/>
      <c r="B291" s="3"/>
      <c r="C291" s="8">
        <v>40464</v>
      </c>
      <c r="D291" s="1">
        <v>15.9</v>
      </c>
      <c r="E291" s="1">
        <v>13.1</v>
      </c>
      <c r="F291" s="1">
        <v>20.5</v>
      </c>
      <c r="G291" s="1">
        <f t="shared" si="2"/>
        <v>622.5</v>
      </c>
      <c r="J291" s="1">
        <v>0</v>
      </c>
      <c r="K291" s="1">
        <f t="shared" si="3"/>
        <v>94.000000000000014</v>
      </c>
      <c r="L291" s="1">
        <v>3.2</v>
      </c>
      <c r="M291" s="1">
        <f t="shared" si="4"/>
        <v>109.10000000000001</v>
      </c>
      <c r="N291" s="1">
        <v>-3.2</v>
      </c>
      <c r="O291" s="1">
        <f t="shared" si="9"/>
        <v>48.199999999999996</v>
      </c>
      <c r="P291" s="6">
        <v>36</v>
      </c>
      <c r="Q291" s="1">
        <f t="shared" si="7"/>
        <v>0.61928571428571422</v>
      </c>
      <c r="R291" s="14">
        <f t="shared" si="0"/>
        <v>1.9817142857142855</v>
      </c>
      <c r="S291" s="14">
        <f t="shared" si="1"/>
        <v>-1.9817142857142855</v>
      </c>
      <c r="T291" s="15">
        <f t="shared" si="5"/>
        <v>55.009857142857157</v>
      </c>
      <c r="V291" s="1">
        <v>1337.3</v>
      </c>
      <c r="X291" s="1">
        <f t="shared" si="6"/>
        <v>45464.100000000006</v>
      </c>
      <c r="AA291" s="1">
        <v>11.1948630292391</v>
      </c>
    </row>
    <row r="292" spans="1:27" s="1" customFormat="1" x14ac:dyDescent="0.25">
      <c r="A292" s="68"/>
      <c r="B292" s="3"/>
      <c r="C292" s="8">
        <v>40465</v>
      </c>
      <c r="D292" s="1">
        <v>13.4</v>
      </c>
      <c r="E292" s="1">
        <v>11.7</v>
      </c>
      <c r="F292" s="1">
        <v>17.3</v>
      </c>
      <c r="G292" s="1">
        <f t="shared" si="2"/>
        <v>635.9</v>
      </c>
      <c r="J292" s="1">
        <v>0</v>
      </c>
      <c r="K292" s="1">
        <f t="shared" si="3"/>
        <v>94.000000000000014</v>
      </c>
      <c r="L292" s="1">
        <v>2.9</v>
      </c>
      <c r="M292" s="1">
        <f t="shared" si="4"/>
        <v>112.00000000000001</v>
      </c>
      <c r="N292" s="1">
        <v>-2.9</v>
      </c>
      <c r="O292" s="1">
        <f t="shared" si="9"/>
        <v>45.3</v>
      </c>
      <c r="P292" s="6">
        <v>37</v>
      </c>
      <c r="Q292" s="1">
        <f t="shared" si="7"/>
        <v>0.62857142857142856</v>
      </c>
      <c r="R292" s="14">
        <f t="shared" si="0"/>
        <v>1.8228571428571427</v>
      </c>
      <c r="S292" s="14">
        <f t="shared" si="1"/>
        <v>-1.8228571428571427</v>
      </c>
      <c r="T292" s="15">
        <f t="shared" si="5"/>
        <v>53.187000000000012</v>
      </c>
      <c r="V292" s="1">
        <v>1401.6</v>
      </c>
      <c r="X292" s="1">
        <f t="shared" si="6"/>
        <v>46865.700000000004</v>
      </c>
      <c r="AA292" s="1">
        <v>11.145972112114601</v>
      </c>
    </row>
    <row r="293" spans="1:27" s="1" customFormat="1" x14ac:dyDescent="0.25">
      <c r="A293" s="68"/>
      <c r="B293" s="3"/>
      <c r="C293" s="8">
        <v>40466</v>
      </c>
      <c r="D293" s="1">
        <v>9.6</v>
      </c>
      <c r="E293" s="1">
        <v>6.9</v>
      </c>
      <c r="F293" s="1">
        <v>13.3</v>
      </c>
      <c r="G293" s="1">
        <f t="shared" si="2"/>
        <v>645.5</v>
      </c>
      <c r="J293" s="1">
        <v>0.1</v>
      </c>
      <c r="K293" s="1">
        <f t="shared" si="3"/>
        <v>94.100000000000009</v>
      </c>
      <c r="L293" s="1">
        <v>2</v>
      </c>
      <c r="M293" s="1">
        <f t="shared" si="4"/>
        <v>114.00000000000001</v>
      </c>
      <c r="N293" s="1">
        <v>-1.9</v>
      </c>
      <c r="O293" s="1">
        <f t="shared" si="9"/>
        <v>43.4</v>
      </c>
      <c r="P293" s="6">
        <v>38</v>
      </c>
      <c r="Q293" s="1">
        <f t="shared" si="7"/>
        <v>0.6378571428571429</v>
      </c>
      <c r="R293" s="14">
        <f t="shared" si="0"/>
        <v>1.2757142857142858</v>
      </c>
      <c r="S293" s="14">
        <f t="shared" si="1"/>
        <v>-1.1757142857142857</v>
      </c>
      <c r="T293" s="15">
        <f t="shared" si="5"/>
        <v>52.011285714285727</v>
      </c>
      <c r="V293" s="1">
        <v>1320.1</v>
      </c>
      <c r="X293" s="1">
        <f t="shared" si="6"/>
        <v>48185.8</v>
      </c>
      <c r="AA293" s="1">
        <v>11.0972013091412</v>
      </c>
    </row>
    <row r="294" spans="1:27" s="1" customFormat="1" x14ac:dyDescent="0.25">
      <c r="A294" s="68"/>
      <c r="B294" s="3"/>
      <c r="C294" s="8">
        <v>40467</v>
      </c>
      <c r="D294" s="1">
        <v>10.1</v>
      </c>
      <c r="E294" s="1">
        <v>8.6999999999999993</v>
      </c>
      <c r="F294" s="1">
        <v>11.7</v>
      </c>
      <c r="G294" s="1">
        <f t="shared" si="2"/>
        <v>655.6</v>
      </c>
      <c r="J294" s="1">
        <v>0.3</v>
      </c>
      <c r="K294" s="1">
        <f t="shared" si="3"/>
        <v>94.4</v>
      </c>
      <c r="L294" s="1">
        <v>1</v>
      </c>
      <c r="M294" s="1">
        <f t="shared" si="4"/>
        <v>115.00000000000001</v>
      </c>
      <c r="N294" s="1">
        <v>-0.7</v>
      </c>
      <c r="O294" s="1">
        <f t="shared" si="9"/>
        <v>42.699999999999996</v>
      </c>
      <c r="P294" s="6">
        <v>39</v>
      </c>
      <c r="Q294" s="1">
        <f t="shared" si="7"/>
        <v>0.64714285714285713</v>
      </c>
      <c r="R294" s="14">
        <f t="shared" si="0"/>
        <v>0.64714285714285713</v>
      </c>
      <c r="S294" s="14">
        <f t="shared" si="1"/>
        <v>-0.34714285714285714</v>
      </c>
      <c r="T294" s="15">
        <f t="shared" si="5"/>
        <v>51.66414285714287</v>
      </c>
      <c r="V294" s="1">
        <v>596.20000000000005</v>
      </c>
      <c r="X294" s="1">
        <f t="shared" si="6"/>
        <v>48782</v>
      </c>
      <c r="AA294" s="1">
        <v>11.048559568390701</v>
      </c>
    </row>
    <row r="295" spans="1:27" s="1" customFormat="1" x14ac:dyDescent="0.25">
      <c r="A295" s="68"/>
      <c r="B295" s="3"/>
      <c r="C295" s="8">
        <v>40468</v>
      </c>
      <c r="D295" s="1">
        <v>9.5</v>
      </c>
      <c r="E295" s="1">
        <v>8.3000000000000007</v>
      </c>
      <c r="F295" s="1">
        <v>12</v>
      </c>
      <c r="G295" s="1">
        <f t="shared" si="2"/>
        <v>665.1</v>
      </c>
      <c r="J295" s="1">
        <v>0</v>
      </c>
      <c r="K295" s="1">
        <f t="shared" si="3"/>
        <v>94.4</v>
      </c>
      <c r="L295" s="1">
        <v>2.4</v>
      </c>
      <c r="M295" s="1">
        <f t="shared" si="4"/>
        <v>117.40000000000002</v>
      </c>
      <c r="N295" s="1">
        <v>-2.4</v>
      </c>
      <c r="O295" s="1">
        <f t="shared" si="9"/>
        <v>40.299999999999997</v>
      </c>
      <c r="P295" s="6">
        <v>40</v>
      </c>
      <c r="Q295" s="1">
        <f t="shared" si="7"/>
        <v>0.65642857142857136</v>
      </c>
      <c r="R295" s="14">
        <f t="shared" si="0"/>
        <v>1.5754285714285712</v>
      </c>
      <c r="S295" s="14">
        <f t="shared" si="1"/>
        <v>-1.5754285714285712</v>
      </c>
      <c r="T295" s="15">
        <f t="shared" si="5"/>
        <v>50.088714285714296</v>
      </c>
      <c r="V295" s="1">
        <v>1137.7</v>
      </c>
      <c r="X295" s="1">
        <f t="shared" si="6"/>
        <v>49919.7</v>
      </c>
      <c r="AA295" s="1">
        <v>11.0000561643326</v>
      </c>
    </row>
    <row r="296" spans="1:27" s="1" customFormat="1" x14ac:dyDescent="0.25">
      <c r="A296" s="68"/>
      <c r="B296" s="3"/>
      <c r="C296" s="8">
        <v>40469</v>
      </c>
      <c r="D296" s="1">
        <v>7.1</v>
      </c>
      <c r="E296" s="1">
        <v>6.1</v>
      </c>
      <c r="F296" s="1">
        <v>8.9</v>
      </c>
      <c r="G296" s="1">
        <f t="shared" si="2"/>
        <v>672.2</v>
      </c>
      <c r="J296" s="1">
        <v>0</v>
      </c>
      <c r="K296" s="1">
        <f t="shared" si="3"/>
        <v>94.4</v>
      </c>
      <c r="L296" s="1">
        <v>1.8</v>
      </c>
      <c r="M296" s="1">
        <f t="shared" si="4"/>
        <v>119.20000000000002</v>
      </c>
      <c r="N296" s="1">
        <v>-1.8</v>
      </c>
      <c r="O296" s="1">
        <f t="shared" si="9"/>
        <v>38.5</v>
      </c>
      <c r="P296" s="6">
        <v>41</v>
      </c>
      <c r="Q296" s="1">
        <f t="shared" si="7"/>
        <v>0.6657142857142857</v>
      </c>
      <c r="R296" s="14">
        <f t="shared" si="0"/>
        <v>1.1982857142857144</v>
      </c>
      <c r="S296" s="14">
        <f t="shared" si="1"/>
        <v>-1.1982857142857144</v>
      </c>
      <c r="T296" s="15">
        <f t="shared" si="5"/>
        <v>48.890428571428579</v>
      </c>
      <c r="V296" s="1">
        <v>1017.3</v>
      </c>
      <c r="X296" s="1">
        <f t="shared" si="6"/>
        <v>50937</v>
      </c>
      <c r="AA296" s="1">
        <v>10.9517007116862</v>
      </c>
    </row>
    <row r="297" spans="1:27" s="1" customFormat="1" x14ac:dyDescent="0.25">
      <c r="A297" s="68"/>
      <c r="B297" s="3"/>
      <c r="C297" s="8">
        <v>40470</v>
      </c>
      <c r="D297" s="1">
        <v>10.9</v>
      </c>
      <c r="E297" s="1">
        <v>5.9</v>
      </c>
      <c r="F297" s="1">
        <v>16.3</v>
      </c>
      <c r="G297" s="1">
        <f t="shared" si="2"/>
        <v>683.1</v>
      </c>
      <c r="J297" s="1">
        <v>0.2</v>
      </c>
      <c r="K297" s="1">
        <f t="shared" si="3"/>
        <v>94.600000000000009</v>
      </c>
      <c r="L297" s="1">
        <v>2.2000000000000002</v>
      </c>
      <c r="M297" s="1">
        <f t="shared" si="4"/>
        <v>121.40000000000002</v>
      </c>
      <c r="N297" s="1">
        <v>-2</v>
      </c>
      <c r="O297" s="1">
        <f t="shared" si="9"/>
        <v>36.5</v>
      </c>
      <c r="P297" s="6">
        <v>42</v>
      </c>
      <c r="Q297" s="1">
        <f t="shared" si="7"/>
        <v>0.67500000000000004</v>
      </c>
      <c r="R297" s="14">
        <f t="shared" si="0"/>
        <v>1.4850000000000003</v>
      </c>
      <c r="S297" s="14">
        <f t="shared" si="1"/>
        <v>-1.2850000000000004</v>
      </c>
      <c r="T297" s="15">
        <f t="shared" si="5"/>
        <v>47.605428571428575</v>
      </c>
      <c r="V297" s="1">
        <v>1130.7</v>
      </c>
      <c r="X297" s="1">
        <f t="shared" si="6"/>
        <v>52067.7</v>
      </c>
      <c r="AA297" s="1">
        <v>10.9035031790459</v>
      </c>
    </row>
    <row r="298" spans="1:27" s="1" customFormat="1" x14ac:dyDescent="0.25">
      <c r="A298" s="68"/>
      <c r="B298" s="3"/>
      <c r="C298" s="8">
        <v>40471</v>
      </c>
      <c r="D298" s="1">
        <v>11.4</v>
      </c>
      <c r="E298" s="1">
        <v>10.7</v>
      </c>
      <c r="F298" s="1">
        <v>14.6</v>
      </c>
      <c r="G298" s="1">
        <f t="shared" si="2"/>
        <v>694.5</v>
      </c>
      <c r="J298" s="1">
        <v>0.4</v>
      </c>
      <c r="K298" s="1">
        <f t="shared" si="3"/>
        <v>95.000000000000014</v>
      </c>
      <c r="L298" s="1">
        <v>1.8</v>
      </c>
      <c r="M298" s="1">
        <f t="shared" si="4"/>
        <v>123.20000000000002</v>
      </c>
      <c r="N298" s="1">
        <v>-1.4</v>
      </c>
      <c r="O298" s="1">
        <f t="shared" si="9"/>
        <v>35.1</v>
      </c>
      <c r="P298" s="6">
        <v>43</v>
      </c>
      <c r="Q298" s="1">
        <f t="shared" si="7"/>
        <v>0.68428571428571416</v>
      </c>
      <c r="R298" s="14">
        <f t="shared" si="0"/>
        <v>1.2317142857142855</v>
      </c>
      <c r="S298" s="14">
        <f t="shared" si="1"/>
        <v>-0.83171428571428552</v>
      </c>
      <c r="T298" s="15">
        <f t="shared" si="5"/>
        <v>46.773714285714291</v>
      </c>
      <c r="V298" s="1">
        <v>628.5</v>
      </c>
      <c r="X298" s="1">
        <f t="shared" si="6"/>
        <v>52696.2</v>
      </c>
      <c r="AA298" s="1">
        <v>10.8554739022345</v>
      </c>
    </row>
    <row r="299" spans="1:27" s="1" customFormat="1" x14ac:dyDescent="0.25">
      <c r="A299" s="68"/>
      <c r="B299" s="3"/>
      <c r="C299" s="8">
        <v>40472</v>
      </c>
      <c r="D299" s="1">
        <v>7.8</v>
      </c>
      <c r="E299" s="1">
        <v>3.2</v>
      </c>
      <c r="F299" s="1">
        <v>14.3</v>
      </c>
      <c r="G299" s="1">
        <f t="shared" si="2"/>
        <v>702.3</v>
      </c>
      <c r="J299" s="1">
        <v>0</v>
      </c>
      <c r="K299" s="1">
        <f t="shared" si="3"/>
        <v>95.000000000000014</v>
      </c>
      <c r="L299" s="1">
        <v>1.4</v>
      </c>
      <c r="M299" s="1">
        <f t="shared" si="4"/>
        <v>124.60000000000002</v>
      </c>
      <c r="N299" s="1">
        <v>-1.4</v>
      </c>
      <c r="O299" s="1">
        <f t="shared" si="9"/>
        <v>33.700000000000003</v>
      </c>
      <c r="P299" s="6">
        <v>44</v>
      </c>
      <c r="Q299" s="1">
        <f t="shared" si="7"/>
        <v>0.69357142857142851</v>
      </c>
      <c r="R299" s="14">
        <f t="shared" si="0"/>
        <v>0.97099999999999986</v>
      </c>
      <c r="S299" s="14">
        <f t="shared" si="1"/>
        <v>-0.97099999999999986</v>
      </c>
      <c r="T299" s="15">
        <f t="shared" si="5"/>
        <v>45.802714285714295</v>
      </c>
      <c r="V299" s="1">
        <v>927.8</v>
      </c>
      <c r="X299" s="1">
        <f t="shared" si="6"/>
        <v>53624</v>
      </c>
      <c r="AA299" s="1">
        <v>10.8076235973406</v>
      </c>
    </row>
    <row r="300" spans="1:27" s="1" customFormat="1" x14ac:dyDescent="0.25">
      <c r="A300" s="68"/>
      <c r="B300" s="3"/>
      <c r="C300" s="8">
        <v>40473</v>
      </c>
      <c r="D300" s="1">
        <v>10.9</v>
      </c>
      <c r="E300" s="1">
        <v>4.0999999999999996</v>
      </c>
      <c r="F300" s="1">
        <v>19.8</v>
      </c>
      <c r="G300" s="1">
        <f t="shared" si="2"/>
        <v>713.19999999999993</v>
      </c>
      <c r="J300" s="1">
        <v>0</v>
      </c>
      <c r="K300" s="1">
        <f t="shared" si="3"/>
        <v>95.000000000000014</v>
      </c>
      <c r="L300" s="1">
        <v>2.2000000000000002</v>
      </c>
      <c r="M300" s="1">
        <f t="shared" si="4"/>
        <v>126.80000000000003</v>
      </c>
      <c r="N300" s="1">
        <v>-2.2000000000000002</v>
      </c>
      <c r="O300" s="1">
        <f t="shared" si="9"/>
        <v>31.500000000000004</v>
      </c>
      <c r="P300" s="6">
        <v>45</v>
      </c>
      <c r="Q300" s="1">
        <f t="shared" si="7"/>
        <v>0.70285714285714285</v>
      </c>
      <c r="R300" s="14">
        <f t="shared" si="0"/>
        <v>1.5462857142857145</v>
      </c>
      <c r="S300" s="14">
        <f t="shared" si="1"/>
        <v>-1.5462857142857145</v>
      </c>
      <c r="T300" s="15">
        <f t="shared" si="5"/>
        <v>44.256428571428579</v>
      </c>
      <c r="V300" s="1">
        <v>1082.9000000000001</v>
      </c>
      <c r="X300" s="1">
        <f t="shared" si="6"/>
        <v>54706.9</v>
      </c>
      <c r="AA300" s="1">
        <v>10.759963373388301</v>
      </c>
    </row>
    <row r="301" spans="1:27" s="1" customFormat="1" x14ac:dyDescent="0.25">
      <c r="A301" s="68"/>
      <c r="B301" s="3"/>
      <c r="C301" s="8">
        <v>40474</v>
      </c>
      <c r="D301" s="1">
        <v>12.9</v>
      </c>
      <c r="E301" s="1">
        <v>8.8000000000000007</v>
      </c>
      <c r="F301" s="1">
        <v>18.2</v>
      </c>
      <c r="G301" s="1">
        <f t="shared" si="2"/>
        <v>726.09999999999991</v>
      </c>
      <c r="J301" s="1">
        <v>3.3</v>
      </c>
      <c r="K301" s="1">
        <f t="shared" si="3"/>
        <v>98.300000000000011</v>
      </c>
      <c r="L301" s="1">
        <v>1.8</v>
      </c>
      <c r="M301" s="1">
        <f t="shared" si="4"/>
        <v>128.60000000000002</v>
      </c>
      <c r="N301" s="1">
        <v>1.4999999999999998</v>
      </c>
      <c r="O301" s="1">
        <f t="shared" si="9"/>
        <v>33</v>
      </c>
      <c r="P301" s="6">
        <v>46</v>
      </c>
      <c r="Q301" s="1">
        <f t="shared" si="7"/>
        <v>0.71214285714285719</v>
      </c>
      <c r="R301" s="14">
        <f t="shared" si="0"/>
        <v>1.281857142857143</v>
      </c>
      <c r="S301" s="14">
        <f t="shared" si="1"/>
        <v>2.0181428571428568</v>
      </c>
      <c r="T301" s="15">
        <f t="shared" si="5"/>
        <v>46.274571428571434</v>
      </c>
      <c r="V301" s="1">
        <v>991.4</v>
      </c>
      <c r="X301" s="1">
        <f t="shared" si="6"/>
        <v>55698.3</v>
      </c>
      <c r="AA301" s="1">
        <v>10.7125047445855</v>
      </c>
    </row>
    <row r="302" spans="1:27" s="1" customFormat="1" x14ac:dyDescent="0.25">
      <c r="A302" s="68"/>
      <c r="B302" s="3"/>
      <c r="C302" s="8">
        <v>40475</v>
      </c>
      <c r="D302" s="1">
        <v>11.4</v>
      </c>
      <c r="E302" s="1">
        <v>10.5</v>
      </c>
      <c r="F302" s="1">
        <v>12.9</v>
      </c>
      <c r="G302" s="1">
        <f t="shared" si="2"/>
        <v>737.49999999999989</v>
      </c>
      <c r="J302" s="1">
        <v>16.899999999999999</v>
      </c>
      <c r="K302" s="1">
        <f t="shared" si="3"/>
        <v>115.20000000000002</v>
      </c>
      <c r="L302" s="1">
        <v>0.6</v>
      </c>
      <c r="M302" s="1">
        <f t="shared" si="4"/>
        <v>129.20000000000002</v>
      </c>
      <c r="N302" s="1">
        <v>16.299999999999997</v>
      </c>
      <c r="O302" s="1">
        <f t="shared" si="9"/>
        <v>49.3</v>
      </c>
      <c r="P302" s="6">
        <v>47</v>
      </c>
      <c r="Q302" s="1">
        <f t="shared" si="7"/>
        <v>0.72142857142857142</v>
      </c>
      <c r="R302" s="14">
        <f t="shared" si="0"/>
        <v>0.43285714285714283</v>
      </c>
      <c r="S302" s="14">
        <f t="shared" si="1"/>
        <v>16.467142857142857</v>
      </c>
      <c r="T302" s="15">
        <f t="shared" si="5"/>
        <v>62.741714285714295</v>
      </c>
      <c r="V302" s="1">
        <v>186.3</v>
      </c>
      <c r="X302" s="1">
        <f t="shared" si="6"/>
        <v>55884.600000000006</v>
      </c>
      <c r="AA302" s="1">
        <v>10.6652596420924</v>
      </c>
    </row>
    <row r="303" spans="1:27" s="1" customFormat="1" x14ac:dyDescent="0.25">
      <c r="A303" s="68"/>
      <c r="B303" s="3"/>
      <c r="C303" s="8">
        <v>40476</v>
      </c>
      <c r="D303" s="1">
        <v>8.6999999999999993</v>
      </c>
      <c r="E303" s="1">
        <v>8.1</v>
      </c>
      <c r="F303" s="1">
        <v>11.2</v>
      </c>
      <c r="G303" s="1">
        <f t="shared" si="2"/>
        <v>746.19999999999993</v>
      </c>
      <c r="J303" s="1">
        <v>0</v>
      </c>
      <c r="K303" s="1">
        <f t="shared" si="3"/>
        <v>115.20000000000002</v>
      </c>
      <c r="L303" s="1">
        <v>2.1</v>
      </c>
      <c r="M303" s="1">
        <f t="shared" si="4"/>
        <v>131.30000000000001</v>
      </c>
      <c r="N303" s="1">
        <v>-2.1</v>
      </c>
      <c r="O303" s="1">
        <f t="shared" si="9"/>
        <v>47.199999999999996</v>
      </c>
      <c r="P303" s="6">
        <v>48</v>
      </c>
      <c r="Q303" s="1">
        <f t="shared" si="7"/>
        <v>0.73071428571428565</v>
      </c>
      <c r="R303" s="14">
        <f t="shared" si="0"/>
        <v>1.5345</v>
      </c>
      <c r="S303" s="14">
        <f t="shared" si="1"/>
        <v>-1.5345</v>
      </c>
      <c r="T303" s="15">
        <f t="shared" si="5"/>
        <v>61.207214285714294</v>
      </c>
      <c r="V303" s="1">
        <v>928.3</v>
      </c>
      <c r="X303" s="1">
        <f t="shared" si="6"/>
        <v>56812.900000000009</v>
      </c>
      <c r="AA303" s="1">
        <v>10.618240425247</v>
      </c>
    </row>
    <row r="304" spans="1:27" s="1" customFormat="1" x14ac:dyDescent="0.25">
      <c r="A304" s="68"/>
      <c r="B304" s="3"/>
      <c r="C304" s="8">
        <v>40477</v>
      </c>
      <c r="D304" s="1">
        <v>7</v>
      </c>
      <c r="E304" s="1">
        <v>4</v>
      </c>
      <c r="F304" s="1">
        <v>12.6</v>
      </c>
      <c r="G304" s="1">
        <f t="shared" si="2"/>
        <v>753.19999999999993</v>
      </c>
      <c r="J304" s="1">
        <v>0</v>
      </c>
      <c r="K304" s="1">
        <f t="shared" si="3"/>
        <v>115.20000000000002</v>
      </c>
      <c r="L304" s="1">
        <v>2.2999999999999998</v>
      </c>
      <c r="M304" s="1">
        <f t="shared" si="4"/>
        <v>133.60000000000002</v>
      </c>
      <c r="N304" s="1">
        <v>-2.2999999999999998</v>
      </c>
      <c r="O304" s="1">
        <f t="shared" si="9"/>
        <v>44.9</v>
      </c>
      <c r="P304" s="6">
        <v>49</v>
      </c>
      <c r="Q304" s="1">
        <f t="shared" si="7"/>
        <v>0.74</v>
      </c>
      <c r="R304" s="14">
        <f t="shared" si="0"/>
        <v>1.702</v>
      </c>
      <c r="S304" s="14">
        <f t="shared" si="1"/>
        <v>-1.702</v>
      </c>
      <c r="T304" s="15">
        <f t="shared" si="5"/>
        <v>59.505214285714295</v>
      </c>
      <c r="V304" s="1">
        <v>1282.9000000000001</v>
      </c>
      <c r="X304" s="1">
        <f t="shared" si="6"/>
        <v>58095.80000000001</v>
      </c>
      <c r="AA304" s="1">
        <v>10.571459892181601</v>
      </c>
    </row>
    <row r="305" spans="1:27" s="1" customFormat="1" x14ac:dyDescent="0.25">
      <c r="A305" s="68"/>
      <c r="B305" s="3"/>
      <c r="C305" s="8">
        <v>40478</v>
      </c>
      <c r="D305" s="1">
        <v>7.5</v>
      </c>
      <c r="E305" s="1">
        <v>0.4</v>
      </c>
      <c r="F305" s="1">
        <v>14.8</v>
      </c>
      <c r="G305" s="1">
        <f t="shared" si="2"/>
        <v>760.69999999999993</v>
      </c>
      <c r="J305" s="1">
        <v>0</v>
      </c>
      <c r="K305" s="1">
        <f t="shared" si="3"/>
        <v>115.20000000000002</v>
      </c>
      <c r="L305" s="1">
        <v>1.9</v>
      </c>
      <c r="M305" s="1">
        <f t="shared" si="4"/>
        <v>135.50000000000003</v>
      </c>
      <c r="N305" s="1">
        <v>-1.9</v>
      </c>
      <c r="O305" s="1">
        <f t="shared" si="9"/>
        <v>43</v>
      </c>
      <c r="P305" s="6">
        <v>50</v>
      </c>
      <c r="Q305" s="1">
        <f t="shared" si="7"/>
        <v>0.74928571428571433</v>
      </c>
      <c r="R305" s="14">
        <f t="shared" si="0"/>
        <v>1.4236428571428572</v>
      </c>
      <c r="S305" s="14">
        <f t="shared" si="1"/>
        <v>-1.4236428571428572</v>
      </c>
      <c r="T305" s="15">
        <f t="shared" si="5"/>
        <v>58.081571428571436</v>
      </c>
      <c r="V305" s="1">
        <v>1232</v>
      </c>
      <c r="X305" s="1">
        <f t="shared" si="6"/>
        <v>59327.80000000001</v>
      </c>
      <c r="AA305" s="1">
        <v>10.5249312897583</v>
      </c>
    </row>
    <row r="306" spans="1:27" s="1" customFormat="1" x14ac:dyDescent="0.25">
      <c r="A306" s="68"/>
      <c r="B306" s="3"/>
      <c r="C306" s="8">
        <v>40479</v>
      </c>
      <c r="D306" s="1">
        <v>9.1999999999999993</v>
      </c>
      <c r="E306" s="1">
        <v>4.9000000000000004</v>
      </c>
      <c r="F306" s="1">
        <v>13.6</v>
      </c>
      <c r="G306" s="1">
        <f t="shared" si="2"/>
        <v>769.9</v>
      </c>
      <c r="J306" s="1">
        <v>0</v>
      </c>
      <c r="K306" s="1">
        <f t="shared" si="3"/>
        <v>115.20000000000002</v>
      </c>
      <c r="L306" s="1">
        <v>1.8</v>
      </c>
      <c r="M306" s="1">
        <f t="shared" si="4"/>
        <v>137.30000000000004</v>
      </c>
      <c r="N306" s="1">
        <v>-1.8</v>
      </c>
      <c r="O306" s="1">
        <f t="shared" si="9"/>
        <v>41.2</v>
      </c>
      <c r="P306" s="6">
        <v>51</v>
      </c>
      <c r="Q306" s="1">
        <f t="shared" si="7"/>
        <v>0.75857142857142856</v>
      </c>
      <c r="R306" s="14">
        <f t="shared" si="0"/>
        <v>1.3654285714285714</v>
      </c>
      <c r="S306" s="14">
        <f t="shared" si="1"/>
        <v>-1.3654285714285714</v>
      </c>
      <c r="T306" s="15">
        <f t="shared" si="5"/>
        <v>56.716142857142863</v>
      </c>
      <c r="V306" s="1">
        <v>1212.8</v>
      </c>
      <c r="X306" s="1">
        <f t="shared" si="6"/>
        <v>60540.600000000013</v>
      </c>
      <c r="AA306" s="1">
        <v>10.478668322747399</v>
      </c>
    </row>
    <row r="307" spans="1:27" s="1" customFormat="1" x14ac:dyDescent="0.25">
      <c r="A307" s="68"/>
      <c r="B307" s="3"/>
      <c r="C307" s="8">
        <v>40480</v>
      </c>
      <c r="D307" s="1">
        <v>13.9</v>
      </c>
      <c r="E307" s="1">
        <v>7</v>
      </c>
      <c r="F307" s="1">
        <v>18.8</v>
      </c>
      <c r="G307" s="1">
        <f t="shared" si="2"/>
        <v>783.8</v>
      </c>
      <c r="J307" s="1">
        <v>0.1</v>
      </c>
      <c r="K307" s="1">
        <f t="shared" si="3"/>
        <v>115.30000000000001</v>
      </c>
      <c r="L307" s="1">
        <v>1.4</v>
      </c>
      <c r="M307" s="1">
        <f t="shared" si="4"/>
        <v>138.70000000000005</v>
      </c>
      <c r="N307" s="1">
        <v>-1.2999999999999998</v>
      </c>
      <c r="O307" s="1">
        <f t="shared" si="9"/>
        <v>39.900000000000006</v>
      </c>
      <c r="P307" s="6">
        <v>52</v>
      </c>
      <c r="Q307" s="1">
        <f t="shared" si="7"/>
        <v>0.7678571428571429</v>
      </c>
      <c r="R307" s="14">
        <f t="shared" si="0"/>
        <v>1.075</v>
      </c>
      <c r="S307" s="14">
        <f t="shared" si="1"/>
        <v>-0.97499999999999998</v>
      </c>
      <c r="T307" s="15">
        <f t="shared" si="5"/>
        <v>55.741142857142862</v>
      </c>
      <c r="V307" s="1">
        <v>622.70000000000005</v>
      </c>
      <c r="X307" s="1">
        <f t="shared" si="6"/>
        <v>61163.30000000001</v>
      </c>
      <c r="AA307" s="1">
        <v>10.432685162171101</v>
      </c>
    </row>
    <row r="308" spans="1:27" s="1" customFormat="1" x14ac:dyDescent="0.25">
      <c r="A308" s="68"/>
      <c r="B308" s="3"/>
      <c r="C308" s="8">
        <v>40481</v>
      </c>
      <c r="D308" s="1">
        <v>12.9</v>
      </c>
      <c r="E308" s="1">
        <v>10.3</v>
      </c>
      <c r="F308" s="1">
        <v>17</v>
      </c>
      <c r="G308" s="1">
        <f t="shared" si="2"/>
        <v>796.69999999999993</v>
      </c>
      <c r="J308" s="1">
        <v>0</v>
      </c>
      <c r="K308" s="1">
        <f t="shared" si="3"/>
        <v>115.30000000000001</v>
      </c>
      <c r="L308" s="1">
        <v>1.8</v>
      </c>
      <c r="M308" s="1">
        <f t="shared" si="4"/>
        <v>140.50000000000006</v>
      </c>
      <c r="N308" s="1">
        <v>-1.8</v>
      </c>
      <c r="O308" s="1">
        <f t="shared" si="9"/>
        <v>38.100000000000009</v>
      </c>
      <c r="P308" s="6">
        <v>53</v>
      </c>
      <c r="Q308" s="1">
        <f t="shared" si="7"/>
        <v>0.77714285714285714</v>
      </c>
      <c r="R308" s="14">
        <f t="shared" si="0"/>
        <v>1.3988571428571428</v>
      </c>
      <c r="S308" s="14">
        <f t="shared" si="1"/>
        <v>-1.3988571428571428</v>
      </c>
      <c r="T308" s="15">
        <f t="shared" si="5"/>
        <v>54.342285714285715</v>
      </c>
      <c r="V308" s="1">
        <v>958.3</v>
      </c>
      <c r="X308" s="1">
        <f t="shared" si="6"/>
        <v>62121.600000000013</v>
      </c>
      <c r="AA308" s="1">
        <v>10.386996452725599</v>
      </c>
    </row>
    <row r="309" spans="1:27" s="1" customFormat="1" x14ac:dyDescent="0.25">
      <c r="A309" s="68"/>
      <c r="B309" s="3"/>
      <c r="C309" s="8">
        <v>40482</v>
      </c>
      <c r="D309" s="1">
        <v>11.1</v>
      </c>
      <c r="E309" s="1">
        <v>9.4</v>
      </c>
      <c r="F309" s="1">
        <v>12.7</v>
      </c>
      <c r="G309" s="1">
        <f t="shared" si="2"/>
        <v>807.8</v>
      </c>
      <c r="J309" s="1">
        <v>8.5</v>
      </c>
      <c r="K309" s="1">
        <f t="shared" si="3"/>
        <v>123.80000000000001</v>
      </c>
      <c r="L309" s="1">
        <v>0.5</v>
      </c>
      <c r="M309" s="1">
        <f t="shared" si="4"/>
        <v>141.00000000000006</v>
      </c>
      <c r="N309" s="1">
        <v>8</v>
      </c>
      <c r="O309" s="1">
        <f t="shared" si="9"/>
        <v>46.100000000000009</v>
      </c>
      <c r="P309" s="6">
        <v>54</v>
      </c>
      <c r="Q309" s="1">
        <f t="shared" si="7"/>
        <v>0.78642857142857137</v>
      </c>
      <c r="R309" s="14">
        <f t="shared" si="0"/>
        <v>0.39321428571428568</v>
      </c>
      <c r="S309" s="14">
        <f t="shared" si="1"/>
        <v>8.1067857142857136</v>
      </c>
      <c r="T309" s="15">
        <f t="shared" si="5"/>
        <v>62.449071428571429</v>
      </c>
      <c r="V309" s="1">
        <v>219.1</v>
      </c>
      <c r="X309" s="1">
        <f t="shared" si="6"/>
        <v>62340.700000000012</v>
      </c>
      <c r="AA309" s="1">
        <v>10.3416173191965</v>
      </c>
    </row>
    <row r="310" spans="1:27" s="1" customFormat="1" x14ac:dyDescent="0.25">
      <c r="A310" s="68"/>
      <c r="B310" s="3"/>
      <c r="C310" s="8">
        <v>40483</v>
      </c>
      <c r="D310" s="1">
        <v>12.1</v>
      </c>
      <c r="E310" s="1">
        <v>10.7</v>
      </c>
      <c r="F310" s="1">
        <v>12.9</v>
      </c>
      <c r="G310" s="1">
        <f t="shared" si="2"/>
        <v>819.9</v>
      </c>
      <c r="J310" s="1">
        <v>1.9</v>
      </c>
      <c r="K310" s="1">
        <f t="shared" si="3"/>
        <v>125.70000000000002</v>
      </c>
      <c r="L310" s="1">
        <v>0.6</v>
      </c>
      <c r="M310" s="1">
        <f t="shared" si="4"/>
        <v>141.60000000000005</v>
      </c>
      <c r="N310" s="1">
        <v>1.2999999999999998</v>
      </c>
      <c r="O310" s="1">
        <f t="shared" si="9"/>
        <v>47.400000000000006</v>
      </c>
      <c r="P310" s="6">
        <v>55</v>
      </c>
      <c r="Q310" s="1">
        <f t="shared" si="7"/>
        <v>0.79571428571428571</v>
      </c>
      <c r="R310" s="14">
        <f t="shared" si="0"/>
        <v>0.47742857142857142</v>
      </c>
      <c r="S310" s="14">
        <f t="shared" si="1"/>
        <v>1.4225714285714286</v>
      </c>
      <c r="T310" s="15">
        <f t="shared" si="5"/>
        <v>63.871642857142859</v>
      </c>
      <c r="V310" s="1">
        <v>218.2</v>
      </c>
      <c r="X310" s="1">
        <f t="shared" si="6"/>
        <v>62558.900000000009</v>
      </c>
      <c r="AA310" s="1">
        <v>10.296563371773701</v>
      </c>
    </row>
    <row r="311" spans="1:27" s="1" customFormat="1" x14ac:dyDescent="0.25">
      <c r="A311" s="68"/>
      <c r="B311" s="3"/>
      <c r="C311" s="8">
        <v>40484</v>
      </c>
      <c r="D311" s="1">
        <v>13.5</v>
      </c>
      <c r="E311" s="1">
        <v>11.1</v>
      </c>
      <c r="F311" s="1">
        <v>16.3</v>
      </c>
      <c r="G311" s="1">
        <f t="shared" si="2"/>
        <v>833.4</v>
      </c>
      <c r="J311" s="1">
        <v>0.8</v>
      </c>
      <c r="K311" s="1">
        <f t="shared" si="3"/>
        <v>126.50000000000001</v>
      </c>
      <c r="L311" s="1">
        <v>1.9</v>
      </c>
      <c r="M311" s="1">
        <f t="shared" si="4"/>
        <v>143.50000000000006</v>
      </c>
      <c r="N311" s="1">
        <v>-1.0999999999999999</v>
      </c>
      <c r="O311" s="1">
        <f t="shared" si="9"/>
        <v>46.300000000000004</v>
      </c>
      <c r="P311" s="6">
        <v>56</v>
      </c>
      <c r="Q311" s="1">
        <f t="shared" si="7"/>
        <v>0.80499999999999994</v>
      </c>
      <c r="R311" s="14">
        <f t="shared" si="0"/>
        <v>1.5294999999999999</v>
      </c>
      <c r="S311" s="14">
        <f t="shared" si="1"/>
        <v>-0.72949999999999982</v>
      </c>
      <c r="T311" s="15">
        <f t="shared" si="5"/>
        <v>63.142142857142858</v>
      </c>
      <c r="V311" s="1">
        <v>817.7</v>
      </c>
      <c r="X311" s="1">
        <f t="shared" si="6"/>
        <v>63376.600000000006</v>
      </c>
      <c r="AA311" s="1">
        <v>10.2518507101715</v>
      </c>
    </row>
    <row r="312" spans="1:27" s="1" customFormat="1" x14ac:dyDescent="0.25">
      <c r="A312" s="68"/>
      <c r="B312" s="3"/>
      <c r="C312" s="8">
        <v>40485</v>
      </c>
      <c r="D312" s="1">
        <v>14.8</v>
      </c>
      <c r="E312" s="1">
        <v>13.2</v>
      </c>
      <c r="F312" s="1">
        <v>16.8</v>
      </c>
      <c r="G312" s="1">
        <f t="shared" si="2"/>
        <v>848.19999999999993</v>
      </c>
      <c r="J312" s="1">
        <v>0.6</v>
      </c>
      <c r="K312" s="1">
        <f t="shared" si="3"/>
        <v>127.10000000000001</v>
      </c>
      <c r="L312" s="1">
        <v>1</v>
      </c>
      <c r="M312" s="1">
        <f t="shared" si="4"/>
        <v>144.50000000000006</v>
      </c>
      <c r="N312" s="1">
        <v>-0.4</v>
      </c>
      <c r="O312" s="1">
        <f t="shared" si="9"/>
        <v>45.900000000000006</v>
      </c>
      <c r="P312" s="6">
        <v>57</v>
      </c>
      <c r="Q312" s="1">
        <f t="shared" si="7"/>
        <v>0.81428571428571428</v>
      </c>
      <c r="R312" s="14">
        <f t="shared" si="0"/>
        <v>0.81428571428571428</v>
      </c>
      <c r="S312" s="14">
        <f t="shared" si="1"/>
        <v>-0.2142857142857143</v>
      </c>
      <c r="T312" s="15">
        <f t="shared" si="5"/>
        <v>62.927857142857142</v>
      </c>
      <c r="V312" s="1">
        <v>301.39999999999998</v>
      </c>
      <c r="X312" s="1">
        <f t="shared" si="6"/>
        <v>63678.000000000007</v>
      </c>
      <c r="AA312" s="1">
        <v>10.207495926455399</v>
      </c>
    </row>
    <row r="313" spans="1:27" s="1" customFormat="1" x14ac:dyDescent="0.25">
      <c r="A313" s="68"/>
      <c r="B313" s="3"/>
      <c r="C313" s="8">
        <v>40486</v>
      </c>
      <c r="D313" s="1">
        <v>14.2</v>
      </c>
      <c r="E313" s="1">
        <v>11.4</v>
      </c>
      <c r="F313" s="1">
        <v>17.3</v>
      </c>
      <c r="G313" s="1">
        <f t="shared" si="2"/>
        <v>862.4</v>
      </c>
      <c r="J313" s="1">
        <v>0</v>
      </c>
      <c r="K313" s="1">
        <f t="shared" si="3"/>
        <v>127.10000000000001</v>
      </c>
      <c r="L313" s="1">
        <v>1.6</v>
      </c>
      <c r="M313" s="1">
        <f t="shared" si="4"/>
        <v>146.10000000000005</v>
      </c>
      <c r="N313" s="1">
        <v>-1.6</v>
      </c>
      <c r="O313" s="1">
        <f t="shared" si="9"/>
        <v>44.300000000000004</v>
      </c>
      <c r="P313" s="6">
        <v>58</v>
      </c>
      <c r="Q313" s="1">
        <f t="shared" si="7"/>
        <v>0.82357142857142862</v>
      </c>
      <c r="R313" s="14">
        <f t="shared" si="0"/>
        <v>1.3177142857142858</v>
      </c>
      <c r="S313" s="14">
        <f t="shared" si="1"/>
        <v>-1.3177142857142858</v>
      </c>
      <c r="T313" s="15">
        <f t="shared" si="5"/>
        <v>61.610142857142854</v>
      </c>
      <c r="V313" s="1">
        <v>764.8</v>
      </c>
      <c r="X313" s="1">
        <f t="shared" si="6"/>
        <v>64442.80000000001</v>
      </c>
      <c r="AA313" s="1">
        <v>10.163516106473599</v>
      </c>
    </row>
    <row r="314" spans="1:27" s="1" customFormat="1" x14ac:dyDescent="0.25">
      <c r="A314" s="68"/>
      <c r="B314" s="3"/>
      <c r="C314" s="8">
        <v>40487</v>
      </c>
      <c r="D314" s="1">
        <v>14.6</v>
      </c>
      <c r="E314" s="1">
        <v>14.1</v>
      </c>
      <c r="F314" s="1">
        <v>15.2</v>
      </c>
      <c r="G314" s="1">
        <f t="shared" si="2"/>
        <v>877</v>
      </c>
      <c r="J314" s="1">
        <v>0</v>
      </c>
      <c r="K314" s="1">
        <f t="shared" si="3"/>
        <v>127.10000000000001</v>
      </c>
      <c r="L314" s="1">
        <v>0.9</v>
      </c>
      <c r="M314" s="1">
        <f t="shared" si="4"/>
        <v>147.00000000000006</v>
      </c>
      <c r="N314" s="1">
        <v>-0.9</v>
      </c>
      <c r="O314" s="1">
        <f t="shared" si="9"/>
        <v>43.400000000000006</v>
      </c>
      <c r="P314" s="6">
        <v>59</v>
      </c>
      <c r="Q314" s="1">
        <f t="shared" si="7"/>
        <v>0.83285714285714285</v>
      </c>
      <c r="R314" s="14">
        <f t="shared" si="0"/>
        <v>0.74957142857142856</v>
      </c>
      <c r="S314" s="14">
        <f t="shared" si="1"/>
        <v>-0.74957142857142856</v>
      </c>
      <c r="T314" s="15">
        <f t="shared" si="5"/>
        <v>60.860571428571426</v>
      </c>
      <c r="V314" s="1">
        <v>224.5</v>
      </c>
      <c r="X314" s="1">
        <f t="shared" si="6"/>
        <v>64667.30000000001</v>
      </c>
      <c r="AA314" s="1">
        <v>10.1199288297901</v>
      </c>
    </row>
    <row r="315" spans="1:27" s="1" customFormat="1" x14ac:dyDescent="0.25">
      <c r="A315" s="68"/>
      <c r="B315" s="3"/>
      <c r="C315" s="8">
        <v>40488</v>
      </c>
      <c r="D315" s="1">
        <v>14.3</v>
      </c>
      <c r="E315" s="1">
        <v>12.9</v>
      </c>
      <c r="F315" s="1">
        <v>16.399999999999999</v>
      </c>
      <c r="G315" s="1">
        <f t="shared" si="2"/>
        <v>891.3</v>
      </c>
      <c r="J315" s="1">
        <v>2.2000000000000002</v>
      </c>
      <c r="K315" s="1">
        <f t="shared" si="3"/>
        <v>129.30000000000001</v>
      </c>
      <c r="L315" s="1">
        <v>0.7</v>
      </c>
      <c r="M315" s="1">
        <f t="shared" si="4"/>
        <v>147.70000000000005</v>
      </c>
      <c r="N315" s="1">
        <v>1.5000000000000002</v>
      </c>
      <c r="O315" s="1">
        <f t="shared" si="9"/>
        <v>44.900000000000006</v>
      </c>
      <c r="P315" s="6">
        <v>60</v>
      </c>
      <c r="Q315" s="1">
        <f t="shared" si="7"/>
        <v>0.84214285714285708</v>
      </c>
      <c r="R315" s="14">
        <f t="shared" si="0"/>
        <v>0.58949999999999991</v>
      </c>
      <c r="S315" s="14">
        <f t="shared" si="1"/>
        <v>1.6105000000000003</v>
      </c>
      <c r="T315" s="15">
        <f t="shared" si="5"/>
        <v>62.471071428571427</v>
      </c>
      <c r="V315" s="1">
        <v>346.4</v>
      </c>
      <c r="X315" s="1">
        <f t="shared" si="6"/>
        <v>65013.700000000012</v>
      </c>
      <c r="AA315" s="1">
        <v>10.0767521680136</v>
      </c>
    </row>
    <row r="316" spans="1:27" s="1" customFormat="1" x14ac:dyDescent="0.25">
      <c r="A316" s="68"/>
      <c r="B316" s="3"/>
      <c r="C316" s="8">
        <v>40489</v>
      </c>
      <c r="D316" s="1">
        <v>10.4</v>
      </c>
      <c r="E316" s="1">
        <v>8.6999999999999993</v>
      </c>
      <c r="F316" s="1">
        <v>12.6</v>
      </c>
      <c r="G316" s="1">
        <f t="shared" si="2"/>
        <v>901.69999999999993</v>
      </c>
      <c r="J316" s="1">
        <v>5</v>
      </c>
      <c r="K316" s="1">
        <f t="shared" si="3"/>
        <v>134.30000000000001</v>
      </c>
      <c r="L316" s="1">
        <v>0.9</v>
      </c>
      <c r="M316" s="1">
        <f t="shared" si="4"/>
        <v>148.60000000000005</v>
      </c>
      <c r="N316" s="1">
        <v>4.0999999999999996</v>
      </c>
      <c r="O316" s="1">
        <f t="shared" si="9"/>
        <v>49.000000000000007</v>
      </c>
      <c r="P316" s="6">
        <v>61</v>
      </c>
      <c r="Q316" s="1">
        <f t="shared" si="7"/>
        <v>0.85142857142857142</v>
      </c>
      <c r="R316" s="14">
        <f t="shared" si="0"/>
        <v>0.76628571428571435</v>
      </c>
      <c r="S316" s="14">
        <f t="shared" si="1"/>
        <v>4.233714285714286</v>
      </c>
      <c r="T316" s="15">
        <f t="shared" si="5"/>
        <v>66.70478571428572</v>
      </c>
      <c r="V316" s="1">
        <v>301.39999999999998</v>
      </c>
      <c r="X316" s="1">
        <f t="shared" si="6"/>
        <v>65315.100000000013</v>
      </c>
      <c r="AA316" s="1">
        <v>10.034004681415199</v>
      </c>
    </row>
    <row r="317" spans="1:27" s="1" customFormat="1" x14ac:dyDescent="0.25">
      <c r="A317" s="68"/>
      <c r="B317" s="3"/>
      <c r="C317" s="8">
        <v>40490</v>
      </c>
      <c r="D317" s="1">
        <v>8.5</v>
      </c>
      <c r="E317" s="1">
        <v>6.1</v>
      </c>
      <c r="F317" s="1">
        <v>9.6999999999999993</v>
      </c>
      <c r="G317" s="1">
        <f t="shared" si="2"/>
        <v>910.19999999999993</v>
      </c>
      <c r="J317" s="1">
        <v>10.199999999999999</v>
      </c>
      <c r="K317" s="1">
        <f t="shared" si="3"/>
        <v>144.5</v>
      </c>
      <c r="L317" s="1">
        <v>0.7</v>
      </c>
      <c r="M317" s="1">
        <f t="shared" si="4"/>
        <v>149.30000000000004</v>
      </c>
      <c r="N317" s="1">
        <v>9.5</v>
      </c>
      <c r="O317" s="1">
        <f t="shared" si="9"/>
        <v>58.500000000000007</v>
      </c>
      <c r="P317" s="6">
        <v>62</v>
      </c>
      <c r="Q317" s="1">
        <f t="shared" si="7"/>
        <v>0.86071428571428565</v>
      </c>
      <c r="R317" s="14">
        <f t="shared" si="0"/>
        <v>0.60249999999999992</v>
      </c>
      <c r="S317" s="14">
        <f t="shared" si="1"/>
        <v>9.5975000000000001</v>
      </c>
      <c r="T317" s="15">
        <f t="shared" si="5"/>
        <v>76.302285714285716</v>
      </c>
      <c r="V317" s="1">
        <v>146.4</v>
      </c>
      <c r="X317" s="1">
        <f t="shared" si="6"/>
        <v>65461.500000000015</v>
      </c>
      <c r="AA317" s="1">
        <v>9.9917054137274892</v>
      </c>
    </row>
    <row r="318" spans="1:27" s="1" customFormat="1" x14ac:dyDescent="0.25">
      <c r="A318" s="68"/>
      <c r="B318" s="3"/>
      <c r="C318" s="8">
        <v>40491</v>
      </c>
      <c r="D318" s="1">
        <v>10.8</v>
      </c>
      <c r="E318" s="1">
        <v>8.8000000000000007</v>
      </c>
      <c r="F318" s="1">
        <v>14.4</v>
      </c>
      <c r="G318" s="1">
        <f t="shared" si="2"/>
        <v>920.99999999999989</v>
      </c>
      <c r="J318" s="1">
        <v>4.0999999999999996</v>
      </c>
      <c r="K318" s="1">
        <f t="shared" si="3"/>
        <v>148.6</v>
      </c>
      <c r="L318" s="1">
        <v>1.9</v>
      </c>
      <c r="M318" s="1">
        <f t="shared" si="4"/>
        <v>151.20000000000005</v>
      </c>
      <c r="N318" s="1">
        <v>2.1999999999999997</v>
      </c>
      <c r="O318" s="1">
        <f t="shared" si="9"/>
        <v>60.70000000000001</v>
      </c>
      <c r="P318" s="6">
        <v>63</v>
      </c>
      <c r="Q318" s="1">
        <f t="shared" si="7"/>
        <v>0.87</v>
      </c>
      <c r="R318" s="14">
        <f t="shared" si="0"/>
        <v>1.653</v>
      </c>
      <c r="S318" s="14">
        <f t="shared" si="1"/>
        <v>2.4469999999999996</v>
      </c>
      <c r="T318" s="15">
        <f t="shared" si="5"/>
        <v>78.749285714285719</v>
      </c>
      <c r="V318" s="1">
        <v>238.1</v>
      </c>
      <c r="X318" s="1">
        <f t="shared" si="6"/>
        <v>65699.60000000002</v>
      </c>
      <c r="AA318" s="1">
        <v>9.9498738850186097</v>
      </c>
    </row>
    <row r="319" spans="1:27" s="1" customFormat="1" x14ac:dyDescent="0.25">
      <c r="A319" s="68"/>
      <c r="B319" s="3"/>
      <c r="C319" s="8">
        <v>40492</v>
      </c>
      <c r="D319" s="1">
        <v>9.4</v>
      </c>
      <c r="E319" s="1">
        <v>8.4</v>
      </c>
      <c r="F319" s="1">
        <v>11.8</v>
      </c>
      <c r="G319" s="1">
        <f t="shared" si="2"/>
        <v>930.39999999999986</v>
      </c>
      <c r="J319" s="1">
        <v>3.2</v>
      </c>
      <c r="K319" s="1">
        <f t="shared" si="3"/>
        <v>151.79999999999998</v>
      </c>
      <c r="L319" s="1">
        <v>1.3</v>
      </c>
      <c r="M319" s="1">
        <f t="shared" si="4"/>
        <v>152.50000000000006</v>
      </c>
      <c r="N319" s="1">
        <v>1.9000000000000001</v>
      </c>
      <c r="O319" s="1">
        <f t="shared" si="9"/>
        <v>62.600000000000009</v>
      </c>
      <c r="P319" s="6">
        <v>64</v>
      </c>
      <c r="Q319" s="1">
        <f t="shared" si="7"/>
        <v>0.87928571428571423</v>
      </c>
      <c r="R319" s="14">
        <f t="shared" si="0"/>
        <v>1.1430714285714285</v>
      </c>
      <c r="S319" s="14">
        <f t="shared" si="1"/>
        <v>2.0569285714285717</v>
      </c>
      <c r="T319" s="15">
        <f t="shared" si="5"/>
        <v>80.80621428571429</v>
      </c>
      <c r="V319" s="1">
        <v>241.3</v>
      </c>
      <c r="X319" s="1">
        <f t="shared" si="6"/>
        <v>65940.900000000023</v>
      </c>
      <c r="AA319" s="1">
        <v>9.9085300825343392</v>
      </c>
    </row>
    <row r="320" spans="1:27" s="1" customFormat="1" x14ac:dyDescent="0.25">
      <c r="A320" s="68"/>
      <c r="B320" s="3"/>
      <c r="C320" s="8">
        <v>40493</v>
      </c>
      <c r="D320" s="1">
        <v>10.1</v>
      </c>
      <c r="E320" s="1">
        <v>4.0999999999999996</v>
      </c>
      <c r="F320" s="1">
        <v>14.3</v>
      </c>
      <c r="G320" s="1">
        <f t="shared" si="2"/>
        <v>940.49999999999989</v>
      </c>
      <c r="J320" s="1">
        <v>1.7</v>
      </c>
      <c r="K320" s="1">
        <f t="shared" si="3"/>
        <v>153.49999999999997</v>
      </c>
      <c r="L320" s="1">
        <v>0.9</v>
      </c>
      <c r="M320" s="1">
        <f t="shared" si="4"/>
        <v>153.40000000000006</v>
      </c>
      <c r="N320" s="1">
        <v>0.79999999999999993</v>
      </c>
      <c r="O320" s="1">
        <f t="shared" si="9"/>
        <v>63.400000000000006</v>
      </c>
      <c r="P320" s="6">
        <v>65</v>
      </c>
      <c r="Q320" s="1">
        <f t="shared" si="7"/>
        <v>0.88857142857142857</v>
      </c>
      <c r="R320" s="14">
        <f t="shared" ref="R320:R383" si="10">Q320*L320</f>
        <v>0.79971428571428571</v>
      </c>
      <c r="S320" s="14">
        <f t="shared" si="1"/>
        <v>0.90028571428571424</v>
      </c>
      <c r="T320" s="15">
        <f t="shared" si="5"/>
        <v>81.706500000000005</v>
      </c>
      <c r="V320" s="1">
        <v>562.9</v>
      </c>
      <c r="X320" s="1">
        <f t="shared" si="6"/>
        <v>66503.800000000017</v>
      </c>
      <c r="AA320" s="1">
        <v>9.8676944494053895</v>
      </c>
    </row>
    <row r="321" spans="1:27" s="1" customFormat="1" x14ac:dyDescent="0.25">
      <c r="A321" s="68"/>
      <c r="B321" s="3"/>
      <c r="C321" s="8">
        <v>40494</v>
      </c>
      <c r="D321" s="1">
        <v>14.1</v>
      </c>
      <c r="E321" s="1">
        <v>12.3</v>
      </c>
      <c r="F321" s="1">
        <v>18.100000000000001</v>
      </c>
      <c r="G321" s="1">
        <f t="shared" si="2"/>
        <v>954.59999999999991</v>
      </c>
      <c r="J321" s="1">
        <v>0.7</v>
      </c>
      <c r="K321" s="1">
        <f t="shared" si="3"/>
        <v>154.19999999999996</v>
      </c>
      <c r="L321" s="1">
        <v>1.8</v>
      </c>
      <c r="M321" s="1">
        <f t="shared" si="4"/>
        <v>155.20000000000007</v>
      </c>
      <c r="N321" s="1">
        <v>-1.1000000000000001</v>
      </c>
      <c r="O321" s="1">
        <f t="shared" si="9"/>
        <v>62.300000000000004</v>
      </c>
      <c r="P321" s="6">
        <v>66</v>
      </c>
      <c r="Q321" s="1">
        <f t="shared" si="7"/>
        <v>0.89785714285714291</v>
      </c>
      <c r="R321" s="14">
        <f t="shared" si="10"/>
        <v>1.6161428571428573</v>
      </c>
      <c r="S321" s="14">
        <f t="shared" ref="S321:S384" si="11">J321-R321</f>
        <v>-0.91614285714285737</v>
      </c>
      <c r="T321" s="15">
        <f t="shared" si="5"/>
        <v>80.790357142857147</v>
      </c>
      <c r="V321" s="1">
        <v>322.60000000000002</v>
      </c>
      <c r="X321" s="1">
        <f t="shared" si="6"/>
        <v>66826.400000000023</v>
      </c>
      <c r="AA321" s="1">
        <v>9.8273878711190008</v>
      </c>
    </row>
    <row r="322" spans="1:27" s="1" customFormat="1" x14ac:dyDescent="0.25">
      <c r="A322" s="68"/>
      <c r="B322" s="3"/>
      <c r="C322" s="8">
        <v>40495</v>
      </c>
      <c r="D322" s="1">
        <v>12</v>
      </c>
      <c r="E322" s="1">
        <v>5.7</v>
      </c>
      <c r="F322" s="1">
        <v>18.7</v>
      </c>
      <c r="G322" s="1">
        <f t="shared" ref="G322:G385" si="12">G321+D322</f>
        <v>966.59999999999991</v>
      </c>
      <c r="J322" s="1">
        <v>0.1</v>
      </c>
      <c r="K322" s="1">
        <f t="shared" ref="K322:K385" si="13">K321+J322</f>
        <v>154.29999999999995</v>
      </c>
      <c r="L322" s="1">
        <v>1.8</v>
      </c>
      <c r="M322" s="1">
        <f t="shared" ref="M322:M385" si="14">M321+L322</f>
        <v>157.00000000000009</v>
      </c>
      <c r="N322" s="1">
        <v>-1.7</v>
      </c>
      <c r="O322" s="1">
        <f t="shared" si="9"/>
        <v>60.6</v>
      </c>
      <c r="P322" s="6">
        <v>67</v>
      </c>
      <c r="Q322" s="1">
        <f t="shared" si="7"/>
        <v>0.90714285714285714</v>
      </c>
      <c r="R322" s="14">
        <f t="shared" si="10"/>
        <v>1.6328571428571428</v>
      </c>
      <c r="S322" s="14">
        <f t="shared" si="11"/>
        <v>-1.5328571428571427</v>
      </c>
      <c r="T322" s="15">
        <f t="shared" ref="T322:T385" si="15">T321+S322</f>
        <v>79.257500000000007</v>
      </c>
      <c r="V322" s="1">
        <v>900.8</v>
      </c>
      <c r="X322" s="1">
        <f t="shared" ref="X322:X385" si="16">X321+V322</f>
        <v>67727.200000000026</v>
      </c>
      <c r="AA322" s="1">
        <v>9.7876316596586008</v>
      </c>
    </row>
    <row r="323" spans="1:27" s="1" customFormat="1" x14ac:dyDescent="0.25">
      <c r="A323" s="68"/>
      <c r="B323" s="3"/>
      <c r="C323" s="8">
        <v>40496</v>
      </c>
      <c r="D323" s="1">
        <v>13.4</v>
      </c>
      <c r="E323" s="1">
        <v>11.9</v>
      </c>
      <c r="F323" s="1">
        <v>18.3</v>
      </c>
      <c r="G323" s="1">
        <f t="shared" si="12"/>
        <v>979.99999999999989</v>
      </c>
      <c r="J323" s="1">
        <v>8.6</v>
      </c>
      <c r="K323" s="1">
        <f t="shared" si="13"/>
        <v>162.89999999999995</v>
      </c>
      <c r="L323" s="1">
        <v>1.5</v>
      </c>
      <c r="M323" s="1">
        <f t="shared" si="14"/>
        <v>158.50000000000009</v>
      </c>
      <c r="N323" s="1">
        <v>7.1</v>
      </c>
      <c r="O323" s="1">
        <f t="shared" si="9"/>
        <v>67.7</v>
      </c>
      <c r="P323" s="6">
        <v>68</v>
      </c>
      <c r="Q323" s="1">
        <f t="shared" si="7"/>
        <v>0.91642857142857148</v>
      </c>
      <c r="R323" s="14">
        <f t="shared" si="10"/>
        <v>1.3746428571428573</v>
      </c>
      <c r="S323" s="14">
        <f t="shared" si="11"/>
        <v>7.2253571428571419</v>
      </c>
      <c r="T323" s="15">
        <f t="shared" si="15"/>
        <v>86.482857142857142</v>
      </c>
      <c r="V323" s="1">
        <v>556.79999999999995</v>
      </c>
      <c r="X323" s="1">
        <f t="shared" si="16"/>
        <v>68284.000000000029</v>
      </c>
      <c r="AA323" s="1">
        <v>9.7484475352214695</v>
      </c>
    </row>
    <row r="324" spans="1:27" s="1" customFormat="1" x14ac:dyDescent="0.25">
      <c r="A324" s="68"/>
      <c r="B324" s="3"/>
      <c r="C324" s="8">
        <v>40497</v>
      </c>
      <c r="D324" s="1">
        <v>9.9</v>
      </c>
      <c r="E324" s="1">
        <v>9.1</v>
      </c>
      <c r="F324" s="1">
        <v>11.4</v>
      </c>
      <c r="G324" s="1">
        <f t="shared" si="12"/>
        <v>989.89999999999986</v>
      </c>
      <c r="J324" s="1">
        <v>2.2999999999999998</v>
      </c>
      <c r="K324" s="1">
        <f t="shared" si="13"/>
        <v>165.19999999999996</v>
      </c>
      <c r="L324" s="1">
        <v>1.1000000000000001</v>
      </c>
      <c r="M324" s="1">
        <f t="shared" si="14"/>
        <v>159.60000000000008</v>
      </c>
      <c r="N324" s="1">
        <v>1.1999999999999997</v>
      </c>
      <c r="O324" s="1">
        <f t="shared" si="9"/>
        <v>68.900000000000006</v>
      </c>
      <c r="P324" s="6">
        <v>69</v>
      </c>
      <c r="Q324" s="1">
        <f t="shared" si="7"/>
        <v>0.92571428571428571</v>
      </c>
      <c r="R324" s="14">
        <f t="shared" si="10"/>
        <v>1.0182857142857145</v>
      </c>
      <c r="S324" s="14">
        <f t="shared" si="11"/>
        <v>1.2817142857142854</v>
      </c>
      <c r="T324" s="15">
        <f t="shared" si="15"/>
        <v>87.764571428571429</v>
      </c>
      <c r="V324" s="1">
        <v>493.9</v>
      </c>
      <c r="X324" s="1">
        <f t="shared" si="16"/>
        <v>68777.900000000023</v>
      </c>
      <c r="AA324" s="1">
        <v>9.7098576054304893</v>
      </c>
    </row>
    <row r="325" spans="1:27" s="1" customFormat="1" x14ac:dyDescent="0.25">
      <c r="A325" s="68"/>
      <c r="B325" s="3"/>
      <c r="C325" s="8">
        <v>40498</v>
      </c>
      <c r="D325" s="1">
        <v>7.9</v>
      </c>
      <c r="E325" s="1">
        <v>6.5</v>
      </c>
      <c r="F325" s="1">
        <v>11.7</v>
      </c>
      <c r="G325" s="1">
        <f t="shared" si="12"/>
        <v>997.79999999999984</v>
      </c>
      <c r="J325" s="1">
        <v>0.1</v>
      </c>
      <c r="K325" s="1">
        <f t="shared" si="13"/>
        <v>165.29999999999995</v>
      </c>
      <c r="L325" s="1">
        <v>1.7</v>
      </c>
      <c r="M325" s="1">
        <f t="shared" si="14"/>
        <v>161.30000000000007</v>
      </c>
      <c r="N325" s="1">
        <v>-1.5999999999999999</v>
      </c>
      <c r="O325" s="1">
        <f t="shared" si="9"/>
        <v>67.300000000000011</v>
      </c>
      <c r="P325" s="6">
        <v>70</v>
      </c>
      <c r="Q325" s="1">
        <f t="shared" si="7"/>
        <v>0.93500000000000005</v>
      </c>
      <c r="R325" s="14">
        <f t="shared" si="10"/>
        <v>1.5895000000000001</v>
      </c>
      <c r="S325" s="14">
        <f t="shared" si="11"/>
        <v>-1.4895</v>
      </c>
      <c r="T325" s="15">
        <f t="shared" si="15"/>
        <v>86.275071428571422</v>
      </c>
      <c r="V325" s="1">
        <v>822.2</v>
      </c>
      <c r="X325" s="1">
        <f t="shared" si="16"/>
        <v>69600.10000000002</v>
      </c>
      <c r="AA325" s="1">
        <v>9.6718843419651996</v>
      </c>
    </row>
    <row r="326" spans="1:27" s="1" customFormat="1" x14ac:dyDescent="0.25">
      <c r="A326" s="68"/>
      <c r="B326" s="3"/>
      <c r="C326" s="8">
        <v>40499</v>
      </c>
      <c r="D326" s="1">
        <v>5.4</v>
      </c>
      <c r="E326" s="1">
        <v>0</v>
      </c>
      <c r="F326" s="1">
        <v>10</v>
      </c>
      <c r="G326" s="1">
        <f t="shared" si="12"/>
        <v>1003.1999999999998</v>
      </c>
      <c r="J326" s="1">
        <v>8.5</v>
      </c>
      <c r="K326" s="1">
        <f t="shared" si="13"/>
        <v>173.79999999999995</v>
      </c>
      <c r="L326" s="1">
        <v>0.3</v>
      </c>
      <c r="M326" s="1">
        <f t="shared" si="14"/>
        <v>161.60000000000008</v>
      </c>
      <c r="N326" s="1">
        <v>8.1999999999999993</v>
      </c>
      <c r="O326" s="1">
        <f t="shared" si="9"/>
        <v>75.500000000000014</v>
      </c>
      <c r="P326" s="6">
        <v>71</v>
      </c>
      <c r="Q326" s="1">
        <f t="shared" si="7"/>
        <v>0.94428571428571428</v>
      </c>
      <c r="R326" s="14">
        <f t="shared" si="10"/>
        <v>0.28328571428571425</v>
      </c>
      <c r="S326" s="14">
        <f t="shared" si="11"/>
        <v>8.2167142857142856</v>
      </c>
      <c r="T326" s="15">
        <f t="shared" si="15"/>
        <v>94.491785714285712</v>
      </c>
      <c r="V326" s="1">
        <v>120.3</v>
      </c>
      <c r="X326" s="1">
        <f t="shared" si="16"/>
        <v>69720.400000000023</v>
      </c>
      <c r="AA326" s="1">
        <v>9.6345505545468395</v>
      </c>
    </row>
    <row r="327" spans="1:27" s="1" customFormat="1" x14ac:dyDescent="0.25">
      <c r="A327" s="68"/>
      <c r="B327" s="3"/>
      <c r="C327" s="8">
        <v>40500</v>
      </c>
      <c r="D327" s="1">
        <v>9.4</v>
      </c>
      <c r="E327" s="1">
        <v>7.4</v>
      </c>
      <c r="F327" s="1">
        <v>13.1</v>
      </c>
      <c r="G327" s="1">
        <f t="shared" si="12"/>
        <v>1012.5999999999998</v>
      </c>
      <c r="J327" s="1">
        <v>0.2</v>
      </c>
      <c r="K327" s="1">
        <f t="shared" si="13"/>
        <v>173.99999999999994</v>
      </c>
      <c r="L327" s="1">
        <v>1.7</v>
      </c>
      <c r="M327" s="1">
        <f t="shared" si="14"/>
        <v>163.30000000000007</v>
      </c>
      <c r="N327" s="1">
        <v>-1.5</v>
      </c>
      <c r="O327" s="1">
        <f t="shared" si="9"/>
        <v>74.000000000000014</v>
      </c>
      <c r="P327" s="6">
        <v>72</v>
      </c>
      <c r="Q327" s="1">
        <f t="shared" si="7"/>
        <v>0.95357142857142863</v>
      </c>
      <c r="R327" s="14">
        <f t="shared" si="10"/>
        <v>1.6210714285714287</v>
      </c>
      <c r="S327" s="14">
        <f t="shared" si="11"/>
        <v>-1.4210714285714288</v>
      </c>
      <c r="T327" s="15">
        <f t="shared" si="15"/>
        <v>93.070714285714288</v>
      </c>
      <c r="V327" s="1">
        <v>706.8</v>
      </c>
      <c r="X327" s="1">
        <f t="shared" si="16"/>
        <v>70427.200000000026</v>
      </c>
      <c r="AA327" s="1">
        <v>9.5978793622234999</v>
      </c>
    </row>
    <row r="328" spans="1:27" s="1" customFormat="1" x14ac:dyDescent="0.25">
      <c r="A328" s="68"/>
      <c r="B328" s="3"/>
      <c r="C328" s="8">
        <v>40501</v>
      </c>
      <c r="D328" s="1">
        <v>8.1999999999999993</v>
      </c>
      <c r="E328" s="1">
        <v>3.7</v>
      </c>
      <c r="F328" s="1">
        <v>11.1</v>
      </c>
      <c r="G328" s="1">
        <f t="shared" si="12"/>
        <v>1020.7999999999998</v>
      </c>
      <c r="J328" s="1">
        <v>0.2</v>
      </c>
      <c r="K328" s="1">
        <f t="shared" si="13"/>
        <v>174.19999999999993</v>
      </c>
      <c r="L328" s="1">
        <v>0.4</v>
      </c>
      <c r="M328" s="1">
        <f t="shared" si="14"/>
        <v>163.70000000000007</v>
      </c>
      <c r="N328" s="1">
        <v>-0.2</v>
      </c>
      <c r="O328" s="1">
        <f t="shared" si="9"/>
        <v>73.800000000000011</v>
      </c>
      <c r="P328" s="6">
        <v>73</v>
      </c>
      <c r="Q328" s="1">
        <f t="shared" ref="Q328:Q332" si="17">0.35+((P328-7)/70)*(1-0.35)</f>
        <v>0.96285714285714286</v>
      </c>
      <c r="R328" s="14">
        <f t="shared" si="10"/>
        <v>0.38514285714285718</v>
      </c>
      <c r="S328" s="14">
        <f t="shared" si="11"/>
        <v>-0.18514285714285716</v>
      </c>
      <c r="T328" s="15">
        <f t="shared" si="15"/>
        <v>92.885571428571424</v>
      </c>
      <c r="V328" s="1">
        <v>436.1</v>
      </c>
      <c r="X328" s="1">
        <f t="shared" si="16"/>
        <v>70863.300000000032</v>
      </c>
      <c r="AA328" s="1">
        <v>9.5618941619146405</v>
      </c>
    </row>
    <row r="329" spans="1:27" s="1" customFormat="1" x14ac:dyDescent="0.25">
      <c r="A329" s="68"/>
      <c r="B329" s="3"/>
      <c r="C329" s="8">
        <v>40502</v>
      </c>
      <c r="D329" s="1">
        <v>8.8000000000000007</v>
      </c>
      <c r="E329" s="1">
        <v>7.6</v>
      </c>
      <c r="F329" s="1">
        <v>11.8</v>
      </c>
      <c r="G329" s="1">
        <f t="shared" si="12"/>
        <v>1029.5999999999999</v>
      </c>
      <c r="J329" s="1">
        <v>1.7</v>
      </c>
      <c r="K329" s="1">
        <f t="shared" si="13"/>
        <v>175.89999999999992</v>
      </c>
      <c r="L329" s="1">
        <v>0.6</v>
      </c>
      <c r="M329" s="1">
        <f t="shared" si="14"/>
        <v>164.30000000000007</v>
      </c>
      <c r="N329" s="1">
        <v>1.1000000000000001</v>
      </c>
      <c r="O329" s="1">
        <f t="shared" si="9"/>
        <v>74.900000000000006</v>
      </c>
      <c r="P329" s="6">
        <v>74</v>
      </c>
      <c r="Q329" s="1">
        <f t="shared" si="17"/>
        <v>0.9721428571428572</v>
      </c>
      <c r="R329" s="14">
        <f t="shared" si="10"/>
        <v>0.5832857142857143</v>
      </c>
      <c r="S329" s="14">
        <f t="shared" si="11"/>
        <v>1.1167142857142855</v>
      </c>
      <c r="T329" s="15">
        <f t="shared" si="15"/>
        <v>94.002285714285705</v>
      </c>
      <c r="V329" s="1">
        <v>389.4</v>
      </c>
      <c r="X329" s="1">
        <f t="shared" si="16"/>
        <v>71252.700000000026</v>
      </c>
      <c r="AA329" s="1">
        <v>9.5266185941885198</v>
      </c>
    </row>
    <row r="330" spans="1:27" s="1" customFormat="1" x14ac:dyDescent="0.25">
      <c r="A330" s="68"/>
      <c r="B330" s="3"/>
      <c r="C330" s="8">
        <v>40503</v>
      </c>
      <c r="D330" s="1">
        <v>8.4</v>
      </c>
      <c r="E330" s="1">
        <v>5.5</v>
      </c>
      <c r="F330" s="1">
        <v>11.8</v>
      </c>
      <c r="G330" s="1">
        <f t="shared" si="12"/>
        <v>1038</v>
      </c>
      <c r="J330" s="1">
        <v>9.3000000000000007</v>
      </c>
      <c r="K330" s="1">
        <f t="shared" si="13"/>
        <v>185.19999999999993</v>
      </c>
      <c r="L330" s="1">
        <v>0.4</v>
      </c>
      <c r="M330" s="1">
        <f t="shared" si="14"/>
        <v>164.70000000000007</v>
      </c>
      <c r="N330" s="1">
        <v>8.9</v>
      </c>
      <c r="O330" s="1">
        <f t="shared" si="9"/>
        <v>83.800000000000011</v>
      </c>
      <c r="P330" s="6">
        <v>75</v>
      </c>
      <c r="Q330" s="1">
        <f t="shared" si="17"/>
        <v>0.98142857142857143</v>
      </c>
      <c r="R330" s="14">
        <f t="shared" si="10"/>
        <v>0.39257142857142857</v>
      </c>
      <c r="S330" s="14">
        <f t="shared" si="11"/>
        <v>8.9074285714285715</v>
      </c>
      <c r="T330" s="15">
        <f t="shared" si="15"/>
        <v>102.90971428571427</v>
      </c>
      <c r="V330" s="1">
        <v>131.1</v>
      </c>
      <c r="X330" s="1">
        <f t="shared" si="16"/>
        <v>71383.800000000032</v>
      </c>
      <c r="AA330" s="1">
        <v>9.4920765062624106</v>
      </c>
    </row>
    <row r="331" spans="1:27" s="1" customFormat="1" x14ac:dyDescent="0.25">
      <c r="A331" s="68"/>
      <c r="B331" s="3"/>
      <c r="C331" s="8">
        <v>40504</v>
      </c>
      <c r="D331" s="1">
        <v>8</v>
      </c>
      <c r="E331" s="1">
        <v>7.5</v>
      </c>
      <c r="F331" s="1">
        <v>9</v>
      </c>
      <c r="G331" s="1">
        <f t="shared" si="12"/>
        <v>1046</v>
      </c>
      <c r="J331" s="1">
        <v>0.6</v>
      </c>
      <c r="K331" s="1">
        <f t="shared" si="13"/>
        <v>185.79999999999993</v>
      </c>
      <c r="L331" s="1">
        <v>0.8</v>
      </c>
      <c r="M331" s="1">
        <f t="shared" si="14"/>
        <v>165.50000000000009</v>
      </c>
      <c r="N331" s="1">
        <v>-0.20000000000000007</v>
      </c>
      <c r="O331" s="1">
        <f t="shared" si="9"/>
        <v>83.600000000000009</v>
      </c>
      <c r="P331" s="6">
        <v>76</v>
      </c>
      <c r="Q331" s="1">
        <f t="shared" si="17"/>
        <v>0.99071428571428577</v>
      </c>
      <c r="R331" s="14">
        <f t="shared" si="10"/>
        <v>0.7925714285714287</v>
      </c>
      <c r="S331" s="14">
        <f t="shared" si="11"/>
        <v>-0.19257142857142873</v>
      </c>
      <c r="T331" s="15">
        <f t="shared" si="15"/>
        <v>102.71714285714285</v>
      </c>
      <c r="V331" s="1">
        <v>302.10000000000002</v>
      </c>
      <c r="X331" s="1">
        <f t="shared" si="16"/>
        <v>71685.900000000038</v>
      </c>
      <c r="AA331" s="1">
        <v>9.4582919122330207</v>
      </c>
    </row>
    <row r="332" spans="1:27" s="45" customFormat="1" ht="15.75" thickBot="1" x14ac:dyDescent="0.3">
      <c r="A332" s="68"/>
      <c r="B332" s="43"/>
      <c r="C332" s="44">
        <v>40505</v>
      </c>
      <c r="D332" s="45">
        <v>6.2</v>
      </c>
      <c r="E332" s="45">
        <v>5.2</v>
      </c>
      <c r="F332" s="45">
        <v>9.4</v>
      </c>
      <c r="G332" s="45">
        <f t="shared" si="12"/>
        <v>1052.2</v>
      </c>
      <c r="J332" s="45">
        <v>0.1</v>
      </c>
      <c r="K332" s="45">
        <f t="shared" si="13"/>
        <v>185.89999999999992</v>
      </c>
      <c r="L332" s="45">
        <v>0.9</v>
      </c>
      <c r="M332" s="45">
        <f t="shared" si="14"/>
        <v>166.40000000000009</v>
      </c>
      <c r="N332" s="45">
        <v>-0.8</v>
      </c>
      <c r="O332" s="45">
        <f t="shared" si="9"/>
        <v>82.800000000000011</v>
      </c>
      <c r="P332" s="46">
        <v>77</v>
      </c>
      <c r="Q332" s="45">
        <f t="shared" si="17"/>
        <v>1</v>
      </c>
      <c r="R332" s="48">
        <f t="shared" si="10"/>
        <v>0.9</v>
      </c>
      <c r="S332" s="48">
        <f t="shared" si="11"/>
        <v>-0.8</v>
      </c>
      <c r="T332" s="49">
        <f t="shared" si="15"/>
        <v>101.91714285714285</v>
      </c>
      <c r="V332" s="45">
        <v>393.9</v>
      </c>
      <c r="X332" s="45">
        <f t="shared" si="16"/>
        <v>72079.800000000032</v>
      </c>
      <c r="AA332" s="45">
        <v>9.4252889505638695</v>
      </c>
    </row>
    <row r="333" spans="1:27" s="1" customFormat="1" x14ac:dyDescent="0.25">
      <c r="A333" s="69" t="s">
        <v>46</v>
      </c>
      <c r="B333" s="22"/>
      <c r="C333" s="8">
        <v>40506</v>
      </c>
      <c r="D333" s="1">
        <v>2.7</v>
      </c>
      <c r="E333" s="1">
        <v>-0.5</v>
      </c>
      <c r="F333" s="1">
        <v>5.3</v>
      </c>
      <c r="G333" s="1">
        <f t="shared" si="12"/>
        <v>1054.9000000000001</v>
      </c>
      <c r="H333" s="1">
        <f>D333</f>
        <v>2.7</v>
      </c>
      <c r="I333" s="23" t="s">
        <v>30</v>
      </c>
      <c r="J333" s="1">
        <v>0.2</v>
      </c>
      <c r="K333" s="1">
        <f t="shared" si="13"/>
        <v>186.09999999999991</v>
      </c>
      <c r="L333" s="1">
        <v>0.5</v>
      </c>
      <c r="M333" s="1">
        <f t="shared" si="14"/>
        <v>166.90000000000009</v>
      </c>
      <c r="N333" s="1">
        <v>-0.3</v>
      </c>
      <c r="O333" s="1">
        <f t="shared" si="9"/>
        <v>82.500000000000014</v>
      </c>
      <c r="P333" s="6">
        <v>78</v>
      </c>
      <c r="Q333" s="1">
        <v>1</v>
      </c>
      <c r="R333" s="14">
        <f t="shared" si="10"/>
        <v>0.5</v>
      </c>
      <c r="S333" s="14">
        <f t="shared" si="11"/>
        <v>-0.3</v>
      </c>
      <c r="T333" s="15">
        <f t="shared" si="15"/>
        <v>101.61714285714285</v>
      </c>
      <c r="U333" s="23" t="s">
        <v>31</v>
      </c>
      <c r="V333" s="1">
        <v>443.6</v>
      </c>
      <c r="X333" s="1">
        <f t="shared" si="16"/>
        <v>72523.400000000038</v>
      </c>
      <c r="Y333" s="1">
        <f>V333</f>
        <v>443.6</v>
      </c>
      <c r="Z333" s="23" t="s">
        <v>32</v>
      </c>
      <c r="AA333" s="1">
        <v>9.3930918388768099</v>
      </c>
    </row>
    <row r="334" spans="1:27" s="1" customFormat="1" x14ac:dyDescent="0.25">
      <c r="A334" s="69"/>
      <c r="B334" s="3"/>
      <c r="C334" s="8">
        <v>40507</v>
      </c>
      <c r="D334" s="1">
        <v>5</v>
      </c>
      <c r="E334" s="1">
        <v>2.2000000000000002</v>
      </c>
      <c r="F334" s="1">
        <v>9.1</v>
      </c>
      <c r="G334" s="1">
        <f t="shared" si="12"/>
        <v>1059.9000000000001</v>
      </c>
      <c r="H334" s="1">
        <f>H333+D334</f>
        <v>7.7</v>
      </c>
      <c r="I334" s="1">
        <f>MIN(E333:E375)</f>
        <v>-5.5</v>
      </c>
      <c r="J334" s="1">
        <v>2.2999999999999998</v>
      </c>
      <c r="K334" s="1">
        <f t="shared" si="13"/>
        <v>188.39999999999992</v>
      </c>
      <c r="L334" s="1">
        <v>0.7</v>
      </c>
      <c r="M334" s="1">
        <f t="shared" si="14"/>
        <v>167.60000000000008</v>
      </c>
      <c r="N334" s="1">
        <v>1.5999999999999999</v>
      </c>
      <c r="O334" s="1">
        <f t="shared" si="9"/>
        <v>84.100000000000009</v>
      </c>
      <c r="P334" s="6">
        <v>79</v>
      </c>
      <c r="Q334" s="1">
        <v>1</v>
      </c>
      <c r="R334" s="14">
        <f t="shared" si="10"/>
        <v>0.7</v>
      </c>
      <c r="S334" s="14">
        <f t="shared" si="11"/>
        <v>1.5999999999999999</v>
      </c>
      <c r="T334" s="15">
        <f t="shared" si="15"/>
        <v>103.21714285714285</v>
      </c>
      <c r="U334" s="1">
        <v>36</v>
      </c>
      <c r="V334" s="1">
        <v>159.6</v>
      </c>
      <c r="X334" s="1">
        <f t="shared" si="16"/>
        <v>72683.000000000044</v>
      </c>
      <c r="Y334" s="1">
        <f>Y333+V334</f>
        <v>603.20000000000005</v>
      </c>
      <c r="Z334" s="1">
        <v>18424.7</v>
      </c>
      <c r="AA334" s="1">
        <v>9.3617248261170491</v>
      </c>
    </row>
    <row r="335" spans="1:27" s="1" customFormat="1" x14ac:dyDescent="0.25">
      <c r="A335" s="69"/>
      <c r="B335" s="3"/>
      <c r="C335" s="8">
        <v>40508</v>
      </c>
      <c r="D335" s="1">
        <v>2.9</v>
      </c>
      <c r="E335" s="1">
        <v>2.4</v>
      </c>
      <c r="F335" s="1">
        <v>6.3</v>
      </c>
      <c r="G335" s="1">
        <f t="shared" si="12"/>
        <v>1062.8000000000002</v>
      </c>
      <c r="H335" s="1">
        <f t="shared" ref="H335:H398" si="18">H334+D335</f>
        <v>10.6</v>
      </c>
      <c r="I335" s="23" t="s">
        <v>33</v>
      </c>
      <c r="J335" s="1">
        <v>0</v>
      </c>
      <c r="K335" s="1">
        <f t="shared" si="13"/>
        <v>188.39999999999992</v>
      </c>
      <c r="L335" s="1">
        <v>1.2</v>
      </c>
      <c r="M335" s="1">
        <f t="shared" si="14"/>
        <v>168.80000000000007</v>
      </c>
      <c r="N335" s="1">
        <v>-1.2</v>
      </c>
      <c r="O335" s="1">
        <f t="shared" si="9"/>
        <v>82.9</v>
      </c>
      <c r="P335" s="6">
        <v>80</v>
      </c>
      <c r="Q335" s="1">
        <v>1</v>
      </c>
      <c r="R335" s="14">
        <f t="shared" si="10"/>
        <v>1.2</v>
      </c>
      <c r="S335" s="14">
        <f t="shared" si="11"/>
        <v>-1.2</v>
      </c>
      <c r="T335" s="15">
        <f t="shared" si="15"/>
        <v>102.01714285714284</v>
      </c>
      <c r="U335" s="23" t="s">
        <v>34</v>
      </c>
      <c r="V335" s="1">
        <v>761.9</v>
      </c>
      <c r="X335" s="1">
        <f t="shared" si="16"/>
        <v>73444.900000000038</v>
      </c>
      <c r="Y335" s="1">
        <f t="shared" ref="Y335:Y398" si="19">Y334+V335</f>
        <v>1365.1</v>
      </c>
      <c r="Z335" s="23" t="s">
        <v>35</v>
      </c>
      <c r="AA335" s="1">
        <v>9.3312121421840395</v>
      </c>
    </row>
    <row r="336" spans="1:27" s="1" customFormat="1" x14ac:dyDescent="0.25">
      <c r="A336" s="69"/>
      <c r="B336" s="3"/>
      <c r="C336" s="8">
        <v>40509</v>
      </c>
      <c r="D336" s="1">
        <v>3.1</v>
      </c>
      <c r="E336" s="1">
        <v>-1.3</v>
      </c>
      <c r="F336" s="1">
        <v>6.7</v>
      </c>
      <c r="G336" s="1">
        <f t="shared" si="12"/>
        <v>1065.9000000000001</v>
      </c>
      <c r="H336" s="1">
        <f t="shared" si="18"/>
        <v>13.7</v>
      </c>
      <c r="I336" s="1">
        <f>MAX(F333:F375)</f>
        <v>19.3</v>
      </c>
      <c r="J336" s="1">
        <v>1.8</v>
      </c>
      <c r="K336" s="1">
        <f t="shared" si="13"/>
        <v>190.19999999999993</v>
      </c>
      <c r="L336" s="1">
        <v>0.7</v>
      </c>
      <c r="M336" s="1">
        <f t="shared" si="14"/>
        <v>169.50000000000006</v>
      </c>
      <c r="N336" s="1">
        <v>1.1000000000000001</v>
      </c>
      <c r="O336" s="1">
        <f t="shared" si="9"/>
        <v>84</v>
      </c>
      <c r="P336" s="6">
        <v>81</v>
      </c>
      <c r="Q336" s="1">
        <v>1</v>
      </c>
      <c r="R336" s="14">
        <f t="shared" si="10"/>
        <v>0.7</v>
      </c>
      <c r="S336" s="14">
        <f t="shared" si="11"/>
        <v>1.1000000000000001</v>
      </c>
      <c r="T336" s="15">
        <f t="shared" si="15"/>
        <v>103.11714285714284</v>
      </c>
      <c r="U336" s="1">
        <v>0</v>
      </c>
      <c r="V336" s="1">
        <v>432.3</v>
      </c>
      <c r="X336" s="1">
        <f t="shared" si="16"/>
        <v>73877.200000000041</v>
      </c>
      <c r="Y336" s="1">
        <f t="shared" si="19"/>
        <v>1797.3999999999999</v>
      </c>
      <c r="Z336" s="16">
        <f>(Z334/100)/I346</f>
        <v>1.0029776810016333</v>
      </c>
      <c r="AA336" s="1">
        <v>9.3015779451449401</v>
      </c>
    </row>
    <row r="337" spans="1:27" s="1" customFormat="1" x14ac:dyDescent="0.25">
      <c r="A337" s="69"/>
      <c r="B337" s="3"/>
      <c r="C337" s="8">
        <v>40510</v>
      </c>
      <c r="D337" s="1">
        <v>3</v>
      </c>
      <c r="E337" s="1">
        <v>-1.6</v>
      </c>
      <c r="F337" s="1">
        <v>9</v>
      </c>
      <c r="G337" s="1">
        <f t="shared" si="12"/>
        <v>1068.9000000000001</v>
      </c>
      <c r="H337" s="1">
        <f t="shared" si="18"/>
        <v>16.7</v>
      </c>
      <c r="I337" s="23" t="s">
        <v>36</v>
      </c>
      <c r="J337" s="1">
        <v>0.1</v>
      </c>
      <c r="K337" s="1">
        <f t="shared" si="13"/>
        <v>190.29999999999993</v>
      </c>
      <c r="L337" s="1">
        <v>0.9</v>
      </c>
      <c r="M337" s="1">
        <f t="shared" si="14"/>
        <v>170.40000000000006</v>
      </c>
      <c r="N337" s="1">
        <v>-0.8</v>
      </c>
      <c r="O337" s="1">
        <f t="shared" si="9"/>
        <v>83.2</v>
      </c>
      <c r="P337" s="6">
        <v>82</v>
      </c>
      <c r="Q337" s="1">
        <v>1</v>
      </c>
      <c r="R337" s="14">
        <f t="shared" si="10"/>
        <v>0.9</v>
      </c>
      <c r="S337" s="14">
        <f t="shared" si="11"/>
        <v>-0.8</v>
      </c>
      <c r="T337" s="15">
        <f t="shared" si="15"/>
        <v>102.31714285714284</v>
      </c>
      <c r="U337" s="23" t="s">
        <v>37</v>
      </c>
      <c r="V337" s="1">
        <v>526.29999999999995</v>
      </c>
      <c r="X337" s="1">
        <f t="shared" si="16"/>
        <v>74403.500000000044</v>
      </c>
      <c r="Y337" s="1">
        <f t="shared" si="19"/>
        <v>2323.6999999999998</v>
      </c>
      <c r="Z337" s="23" t="s">
        <v>38</v>
      </c>
      <c r="AA337" s="1">
        <v>9.2728462661720794</v>
      </c>
    </row>
    <row r="338" spans="1:27" s="1" customFormat="1" x14ac:dyDescent="0.25">
      <c r="A338" s="69"/>
      <c r="B338" s="3"/>
      <c r="C338" s="8">
        <v>40511</v>
      </c>
      <c r="D338" s="1">
        <v>2.5</v>
      </c>
      <c r="E338" s="1">
        <v>-1.9</v>
      </c>
      <c r="F338" s="1">
        <v>6.8</v>
      </c>
      <c r="G338" s="1">
        <f t="shared" si="12"/>
        <v>1071.4000000000001</v>
      </c>
      <c r="H338" s="1">
        <f t="shared" si="18"/>
        <v>19.2</v>
      </c>
      <c r="I338" s="14">
        <f>AVERAGE(D333:D375)</f>
        <v>4.1744186046511649</v>
      </c>
      <c r="J338" s="1">
        <v>0.9</v>
      </c>
      <c r="K338" s="1">
        <f t="shared" si="13"/>
        <v>191.19999999999993</v>
      </c>
      <c r="L338" s="1">
        <v>0.6</v>
      </c>
      <c r="M338" s="1">
        <f t="shared" si="14"/>
        <v>171.00000000000006</v>
      </c>
      <c r="N338" s="1">
        <v>0.30000000000000004</v>
      </c>
      <c r="O338" s="1">
        <f t="shared" si="9"/>
        <v>83.5</v>
      </c>
      <c r="P338" s="6">
        <v>83</v>
      </c>
      <c r="Q338" s="1">
        <v>1</v>
      </c>
      <c r="R338" s="14">
        <f t="shared" si="10"/>
        <v>0.6</v>
      </c>
      <c r="S338" s="14">
        <f t="shared" si="11"/>
        <v>0.30000000000000004</v>
      </c>
      <c r="T338" s="15">
        <f t="shared" si="15"/>
        <v>102.61714285714284</v>
      </c>
      <c r="U338" s="1">
        <v>0</v>
      </c>
      <c r="V338" s="1">
        <v>720.6</v>
      </c>
      <c r="X338" s="1">
        <f t="shared" si="16"/>
        <v>75124.100000000049</v>
      </c>
      <c r="Y338" s="1">
        <f t="shared" si="19"/>
        <v>3044.2999999999997</v>
      </c>
      <c r="Z338" s="1">
        <v>43</v>
      </c>
      <c r="AA338" s="1">
        <v>9.2450409523719106</v>
      </c>
    </row>
    <row r="339" spans="1:27" s="1" customFormat="1" x14ac:dyDescent="0.25">
      <c r="A339" s="69"/>
      <c r="B339" s="3"/>
      <c r="C339" s="8">
        <v>40512</v>
      </c>
      <c r="D339" s="1">
        <v>4.5</v>
      </c>
      <c r="E339" s="1">
        <v>1.7</v>
      </c>
      <c r="F339" s="1">
        <v>8.6</v>
      </c>
      <c r="G339" s="1">
        <f t="shared" si="12"/>
        <v>1075.9000000000001</v>
      </c>
      <c r="H339" s="1">
        <f t="shared" si="18"/>
        <v>23.7</v>
      </c>
      <c r="I339" s="23" t="s">
        <v>39</v>
      </c>
      <c r="J339" s="1">
        <v>0</v>
      </c>
      <c r="K339" s="1">
        <f t="shared" si="13"/>
        <v>191.19999999999993</v>
      </c>
      <c r="L339" s="1">
        <v>0.9</v>
      </c>
      <c r="M339" s="1">
        <f t="shared" si="14"/>
        <v>171.90000000000006</v>
      </c>
      <c r="N339" s="1">
        <v>-0.9</v>
      </c>
      <c r="O339" s="1">
        <f t="shared" si="9"/>
        <v>82.6</v>
      </c>
      <c r="P339" s="6">
        <v>84</v>
      </c>
      <c r="Q339" s="1">
        <v>1</v>
      </c>
      <c r="R339" s="14">
        <f t="shared" si="10"/>
        <v>0.9</v>
      </c>
      <c r="S339" s="14">
        <f t="shared" si="11"/>
        <v>-0.9</v>
      </c>
      <c r="T339" s="15">
        <f t="shared" si="15"/>
        <v>101.71714285714283</v>
      </c>
      <c r="U339" s="23" t="s">
        <v>40</v>
      </c>
      <c r="V339" s="1">
        <v>209.9</v>
      </c>
      <c r="X339" s="1">
        <f t="shared" si="16"/>
        <v>75334.000000000044</v>
      </c>
      <c r="Y339" s="1">
        <f t="shared" si="19"/>
        <v>3254.2</v>
      </c>
      <c r="AA339" s="1">
        <v>9.2181856076983308</v>
      </c>
    </row>
    <row r="340" spans="1:27" s="1" customFormat="1" x14ac:dyDescent="0.25">
      <c r="A340" s="69"/>
      <c r="B340" s="3"/>
      <c r="C340" s="8">
        <v>40513</v>
      </c>
      <c r="D340" s="1">
        <v>1.6</v>
      </c>
      <c r="E340" s="1">
        <v>0.6</v>
      </c>
      <c r="F340" s="1">
        <v>4.4000000000000004</v>
      </c>
      <c r="G340" s="1">
        <f t="shared" si="12"/>
        <v>1077.5</v>
      </c>
      <c r="H340" s="1">
        <f t="shared" si="18"/>
        <v>25.3</v>
      </c>
      <c r="I340" s="1">
        <v>18</v>
      </c>
      <c r="J340" s="1">
        <v>0.2</v>
      </c>
      <c r="K340" s="1">
        <f t="shared" si="13"/>
        <v>191.39999999999992</v>
      </c>
      <c r="L340" s="1">
        <v>0.4</v>
      </c>
      <c r="M340" s="1">
        <f t="shared" si="14"/>
        <v>172.30000000000007</v>
      </c>
      <c r="N340" s="1">
        <v>-0.2</v>
      </c>
      <c r="O340" s="1">
        <f t="shared" si="9"/>
        <v>82.399999999999991</v>
      </c>
      <c r="P340" s="6">
        <v>85</v>
      </c>
      <c r="Q340" s="1">
        <v>1</v>
      </c>
      <c r="R340" s="14">
        <f t="shared" si="10"/>
        <v>0.4</v>
      </c>
      <c r="S340" s="14">
        <f t="shared" si="11"/>
        <v>-0.2</v>
      </c>
      <c r="T340" s="15">
        <f t="shared" si="15"/>
        <v>101.51714285714283</v>
      </c>
      <c r="U340" s="14">
        <f>MIN(T333:T375)</f>
        <v>89.817142857142798</v>
      </c>
      <c r="V340" s="1">
        <v>238.4</v>
      </c>
      <c r="X340" s="1">
        <f t="shared" si="16"/>
        <v>75572.400000000038</v>
      </c>
      <c r="Y340" s="1">
        <f t="shared" si="19"/>
        <v>3492.6</v>
      </c>
      <c r="AA340" s="1">
        <v>9.1923035321696798</v>
      </c>
    </row>
    <row r="341" spans="1:27" s="1" customFormat="1" x14ac:dyDescent="0.25">
      <c r="A341" s="69"/>
      <c r="B341" s="3"/>
      <c r="C341" s="8">
        <v>40514</v>
      </c>
      <c r="D341" s="1">
        <v>2</v>
      </c>
      <c r="E341" s="1">
        <v>-1.7</v>
      </c>
      <c r="F341" s="1">
        <v>5.8</v>
      </c>
      <c r="G341" s="1">
        <f t="shared" si="12"/>
        <v>1079.5</v>
      </c>
      <c r="H341" s="1">
        <f t="shared" si="18"/>
        <v>27.3</v>
      </c>
      <c r="I341" s="23" t="s">
        <v>41</v>
      </c>
      <c r="J341" s="1">
        <v>0.5</v>
      </c>
      <c r="K341" s="1">
        <f t="shared" si="13"/>
        <v>191.89999999999992</v>
      </c>
      <c r="L341" s="1">
        <v>0.7</v>
      </c>
      <c r="M341" s="1">
        <f t="shared" si="14"/>
        <v>173.00000000000006</v>
      </c>
      <c r="N341" s="1">
        <v>-0.19999999999999996</v>
      </c>
      <c r="O341" s="1">
        <f t="shared" si="9"/>
        <v>82.199999999999989</v>
      </c>
      <c r="P341" s="6">
        <v>86</v>
      </c>
      <c r="Q341" s="1">
        <v>1</v>
      </c>
      <c r="R341" s="14">
        <f t="shared" si="10"/>
        <v>0.7</v>
      </c>
      <c r="S341" s="14">
        <f t="shared" si="11"/>
        <v>-0.19999999999999996</v>
      </c>
      <c r="T341" s="15">
        <f t="shared" si="15"/>
        <v>101.31714285714283</v>
      </c>
      <c r="U341" s="23" t="s">
        <v>42</v>
      </c>
      <c r="V341" s="1">
        <v>571.29999999999995</v>
      </c>
      <c r="X341" s="1">
        <f t="shared" si="16"/>
        <v>76143.700000000041</v>
      </c>
      <c r="Y341" s="1">
        <f t="shared" si="19"/>
        <v>4063.8999999999996</v>
      </c>
      <c r="AA341" s="1">
        <v>9.1674176596340509</v>
      </c>
    </row>
    <row r="342" spans="1:27" s="1" customFormat="1" x14ac:dyDescent="0.25">
      <c r="A342" s="69"/>
      <c r="B342" s="3"/>
      <c r="C342" s="8">
        <v>40515</v>
      </c>
      <c r="D342" s="1">
        <v>2</v>
      </c>
      <c r="E342" s="1">
        <v>-0.4</v>
      </c>
      <c r="F342" s="1">
        <v>3.5</v>
      </c>
      <c r="G342" s="1">
        <f t="shared" si="12"/>
        <v>1081.5</v>
      </c>
      <c r="H342" s="1">
        <f t="shared" si="18"/>
        <v>29.3</v>
      </c>
      <c r="I342" s="1">
        <v>0</v>
      </c>
      <c r="J342" s="1">
        <v>0.1</v>
      </c>
      <c r="K342" s="1">
        <f t="shared" si="13"/>
        <v>191.99999999999991</v>
      </c>
      <c r="L342" s="1">
        <v>0.5</v>
      </c>
      <c r="M342" s="1">
        <f t="shared" si="14"/>
        <v>173.50000000000006</v>
      </c>
      <c r="N342" s="1">
        <v>-0.4</v>
      </c>
      <c r="O342" s="1">
        <f t="shared" si="9"/>
        <v>81.799999999999983</v>
      </c>
      <c r="P342" s="6">
        <v>87</v>
      </c>
      <c r="Q342" s="1">
        <v>1</v>
      </c>
      <c r="R342" s="14">
        <f t="shared" si="10"/>
        <v>0.5</v>
      </c>
      <c r="S342" s="14">
        <f t="shared" si="11"/>
        <v>-0.4</v>
      </c>
      <c r="T342" s="15">
        <f t="shared" si="15"/>
        <v>100.91714285714282</v>
      </c>
      <c r="U342" s="14">
        <f>MAX(T333:T375)</f>
        <v>105.6171428571428</v>
      </c>
      <c r="V342" s="1">
        <v>360.5</v>
      </c>
      <c r="X342" s="1">
        <f t="shared" si="16"/>
        <v>76504.200000000041</v>
      </c>
      <c r="Y342" s="1">
        <f t="shared" si="19"/>
        <v>4424.3999999999996</v>
      </c>
      <c r="AA342" s="1">
        <v>9.1435504943525494</v>
      </c>
    </row>
    <row r="343" spans="1:27" s="1" customFormat="1" x14ac:dyDescent="0.25">
      <c r="A343" s="69"/>
      <c r="B343" s="3"/>
      <c r="C343" s="8">
        <v>40516</v>
      </c>
      <c r="D343" s="1">
        <v>3.1</v>
      </c>
      <c r="E343" s="1">
        <v>0.2</v>
      </c>
      <c r="F343" s="1">
        <v>6.5</v>
      </c>
      <c r="G343" s="1">
        <f t="shared" si="12"/>
        <v>1084.5999999999999</v>
      </c>
      <c r="H343" s="1">
        <f t="shared" si="18"/>
        <v>32.4</v>
      </c>
      <c r="I343" s="23" t="s">
        <v>43</v>
      </c>
      <c r="J343" s="1">
        <v>0</v>
      </c>
      <c r="K343" s="1">
        <f t="shared" si="13"/>
        <v>191.99999999999991</v>
      </c>
      <c r="L343" s="1">
        <v>0.9</v>
      </c>
      <c r="M343" s="1">
        <f t="shared" si="14"/>
        <v>174.40000000000006</v>
      </c>
      <c r="N343" s="1">
        <v>-0.9</v>
      </c>
      <c r="O343" s="1">
        <f t="shared" si="9"/>
        <v>80.899999999999977</v>
      </c>
      <c r="P343" s="6">
        <v>88</v>
      </c>
      <c r="Q343" s="1">
        <v>1</v>
      </c>
      <c r="R343" s="14">
        <f t="shared" si="10"/>
        <v>0.9</v>
      </c>
      <c r="S343" s="14">
        <f t="shared" si="11"/>
        <v>-0.9</v>
      </c>
      <c r="T343" s="15">
        <f t="shared" si="15"/>
        <v>100.01714285714282</v>
      </c>
      <c r="U343" s="23" t="s">
        <v>44</v>
      </c>
      <c r="V343" s="1">
        <v>791</v>
      </c>
      <c r="X343" s="1">
        <f t="shared" si="16"/>
        <v>77295.200000000041</v>
      </c>
      <c r="Y343" s="1">
        <f t="shared" si="19"/>
        <v>5215.3999999999996</v>
      </c>
      <c r="AA343" s="1">
        <v>9.1207240466944004</v>
      </c>
    </row>
    <row r="344" spans="1:27" s="1" customFormat="1" x14ac:dyDescent="0.25">
      <c r="A344" s="69"/>
      <c r="B344" s="3"/>
      <c r="C344" s="8">
        <v>40517</v>
      </c>
      <c r="D344" s="1">
        <v>7.8</v>
      </c>
      <c r="E344" s="1">
        <v>2.9</v>
      </c>
      <c r="F344" s="1">
        <v>10.9</v>
      </c>
      <c r="G344" s="1">
        <f t="shared" si="12"/>
        <v>1092.3999999999999</v>
      </c>
      <c r="H344" s="1">
        <f t="shared" si="18"/>
        <v>40.199999999999996</v>
      </c>
      <c r="I344" s="1">
        <v>16</v>
      </c>
      <c r="J344" s="1">
        <v>0.4</v>
      </c>
      <c r="K344" s="1">
        <f t="shared" si="13"/>
        <v>192.39999999999992</v>
      </c>
      <c r="L344" s="1">
        <v>1.2</v>
      </c>
      <c r="M344" s="1">
        <f t="shared" si="14"/>
        <v>175.60000000000005</v>
      </c>
      <c r="N344" s="1">
        <v>-0.79999999999999993</v>
      </c>
      <c r="O344" s="1">
        <f t="shared" si="9"/>
        <v>80.09999999999998</v>
      </c>
      <c r="P344" s="6">
        <v>89</v>
      </c>
      <c r="Q344" s="1">
        <v>1</v>
      </c>
      <c r="R344" s="14">
        <f t="shared" si="10"/>
        <v>1.2</v>
      </c>
      <c r="S344" s="14">
        <f t="shared" si="11"/>
        <v>-0.79999999999999993</v>
      </c>
      <c r="T344" s="15">
        <f t="shared" si="15"/>
        <v>99.217142857142818</v>
      </c>
      <c r="U344" s="16">
        <f>AVERAGE(T333:T375)</f>
        <v>98.321794019933506</v>
      </c>
      <c r="V344" s="1">
        <v>209.7</v>
      </c>
      <c r="X344" s="1">
        <f t="shared" si="16"/>
        <v>77504.900000000038</v>
      </c>
      <c r="Y344" s="1">
        <f t="shared" si="19"/>
        <v>5425.0999999999995</v>
      </c>
      <c r="AA344" s="1">
        <v>9.0989597682599204</v>
      </c>
    </row>
    <row r="345" spans="1:27" s="1" customFormat="1" x14ac:dyDescent="0.25">
      <c r="A345" s="69"/>
      <c r="B345" s="3"/>
      <c r="C345" s="8">
        <v>40518</v>
      </c>
      <c r="D345" s="1">
        <v>11.1</v>
      </c>
      <c r="E345" s="1">
        <v>9</v>
      </c>
      <c r="F345" s="1">
        <v>13.1</v>
      </c>
      <c r="G345" s="1">
        <f t="shared" si="12"/>
        <v>1103.4999999999998</v>
      </c>
      <c r="H345" s="1">
        <f t="shared" si="18"/>
        <v>51.3</v>
      </c>
      <c r="I345" s="23" t="s">
        <v>45</v>
      </c>
      <c r="J345" s="1">
        <v>1</v>
      </c>
      <c r="K345" s="1">
        <f t="shared" si="13"/>
        <v>193.39999999999992</v>
      </c>
      <c r="L345" s="1">
        <v>0.9</v>
      </c>
      <c r="M345" s="1">
        <f t="shared" si="14"/>
        <v>176.50000000000006</v>
      </c>
      <c r="N345" s="1">
        <v>9.9999999999999978E-2</v>
      </c>
      <c r="O345" s="1">
        <f t="shared" si="9"/>
        <v>80.199999999999974</v>
      </c>
      <c r="P345" s="6">
        <v>90</v>
      </c>
      <c r="Q345" s="1">
        <v>1</v>
      </c>
      <c r="R345" s="14">
        <f t="shared" si="10"/>
        <v>0.9</v>
      </c>
      <c r="S345" s="14">
        <f t="shared" si="11"/>
        <v>9.9999999999999978E-2</v>
      </c>
      <c r="T345" s="15">
        <f t="shared" si="15"/>
        <v>99.317142857142812</v>
      </c>
      <c r="U345" s="23" t="s">
        <v>47</v>
      </c>
      <c r="V345" s="1">
        <v>128.19999999999999</v>
      </c>
      <c r="X345" s="1">
        <f t="shared" si="16"/>
        <v>77633.100000000035</v>
      </c>
      <c r="Y345" s="1">
        <f t="shared" si="19"/>
        <v>5553.2999999999993</v>
      </c>
      <c r="AA345" s="1">
        <v>9.0782784867684505</v>
      </c>
    </row>
    <row r="346" spans="1:27" s="1" customFormat="1" x14ac:dyDescent="0.25">
      <c r="A346" s="69"/>
      <c r="B346" s="3"/>
      <c r="C346" s="8">
        <v>40519</v>
      </c>
      <c r="D346" s="1">
        <v>12.2</v>
      </c>
      <c r="E346" s="1">
        <v>8.5</v>
      </c>
      <c r="F346" s="1">
        <v>15.8</v>
      </c>
      <c r="G346" s="1">
        <f t="shared" si="12"/>
        <v>1115.6999999999998</v>
      </c>
      <c r="H346" s="1">
        <f t="shared" si="18"/>
        <v>63.5</v>
      </c>
      <c r="I346" s="1">
        <v>183.7</v>
      </c>
      <c r="J346" s="1">
        <v>0.7</v>
      </c>
      <c r="K346" s="1">
        <f t="shared" si="13"/>
        <v>194.09999999999991</v>
      </c>
      <c r="L346" s="1">
        <v>1.1000000000000001</v>
      </c>
      <c r="M346" s="1">
        <f t="shared" si="14"/>
        <v>177.60000000000005</v>
      </c>
      <c r="N346" s="1">
        <v>-0.40000000000000013</v>
      </c>
      <c r="O346" s="1">
        <f t="shared" si="9"/>
        <v>79.799999999999969</v>
      </c>
      <c r="P346" s="6">
        <v>91</v>
      </c>
      <c r="Q346" s="1">
        <v>1</v>
      </c>
      <c r="R346" s="14">
        <f t="shared" si="10"/>
        <v>1.1000000000000001</v>
      </c>
      <c r="S346" s="14">
        <f t="shared" si="11"/>
        <v>-0.40000000000000013</v>
      </c>
      <c r="T346" s="15">
        <f t="shared" si="15"/>
        <v>98.917142857142807</v>
      </c>
      <c r="U346" s="14">
        <v>15</v>
      </c>
      <c r="V346" s="1">
        <v>504.1</v>
      </c>
      <c r="X346" s="1">
        <f t="shared" si="16"/>
        <v>78137.200000000041</v>
      </c>
      <c r="Y346" s="1">
        <f t="shared" si="19"/>
        <v>6057.4</v>
      </c>
      <c r="AA346" s="1">
        <v>9.0587003410666203</v>
      </c>
    </row>
    <row r="347" spans="1:27" s="1" customFormat="1" x14ac:dyDescent="0.25">
      <c r="A347" s="69"/>
      <c r="B347" s="3"/>
      <c r="C347" s="8">
        <v>40520</v>
      </c>
      <c r="D347" s="1">
        <v>14</v>
      </c>
      <c r="E347" s="1">
        <v>11.8</v>
      </c>
      <c r="F347" s="1">
        <v>19.3</v>
      </c>
      <c r="G347" s="1">
        <f t="shared" si="12"/>
        <v>1129.6999999999998</v>
      </c>
      <c r="H347" s="1">
        <f t="shared" si="18"/>
        <v>77.5</v>
      </c>
      <c r="J347" s="1">
        <v>0</v>
      </c>
      <c r="K347" s="1">
        <f t="shared" si="13"/>
        <v>194.09999999999991</v>
      </c>
      <c r="L347" s="1">
        <v>1.7</v>
      </c>
      <c r="M347" s="1">
        <f t="shared" si="14"/>
        <v>179.30000000000004</v>
      </c>
      <c r="N347" s="1">
        <v>-1.7</v>
      </c>
      <c r="O347" s="1">
        <f t="shared" si="9"/>
        <v>78.099999999999966</v>
      </c>
      <c r="P347" s="6">
        <v>92</v>
      </c>
      <c r="Q347" s="1">
        <v>1</v>
      </c>
      <c r="R347" s="14">
        <f t="shared" si="10"/>
        <v>1.7</v>
      </c>
      <c r="S347" s="14">
        <f t="shared" si="11"/>
        <v>-1.7</v>
      </c>
      <c r="T347" s="15">
        <f t="shared" si="15"/>
        <v>97.217142857142804</v>
      </c>
      <c r="V347" s="1">
        <v>703.1</v>
      </c>
      <c r="X347" s="1">
        <f t="shared" si="16"/>
        <v>78840.300000000047</v>
      </c>
      <c r="Y347" s="1">
        <f t="shared" si="19"/>
        <v>6760.5</v>
      </c>
      <c r="AA347" s="1">
        <v>9.0402447166284698</v>
      </c>
    </row>
    <row r="348" spans="1:27" s="1" customFormat="1" x14ac:dyDescent="0.25">
      <c r="A348" s="69"/>
      <c r="B348" s="3"/>
      <c r="C348" s="8">
        <v>40521</v>
      </c>
      <c r="D348" s="1">
        <v>4.8</v>
      </c>
      <c r="E348" s="1">
        <v>3.4</v>
      </c>
      <c r="F348" s="1">
        <v>6.4</v>
      </c>
      <c r="G348" s="1">
        <f t="shared" si="12"/>
        <v>1134.4999999999998</v>
      </c>
      <c r="H348" s="1">
        <f t="shared" si="18"/>
        <v>82.3</v>
      </c>
      <c r="J348" s="1">
        <v>0</v>
      </c>
      <c r="K348" s="1">
        <f t="shared" si="13"/>
        <v>194.09999999999991</v>
      </c>
      <c r="L348" s="1">
        <v>0.7</v>
      </c>
      <c r="M348" s="1">
        <f t="shared" si="14"/>
        <v>180.00000000000003</v>
      </c>
      <c r="N348" s="1">
        <v>-0.7</v>
      </c>
      <c r="O348" s="1">
        <f t="shared" si="9"/>
        <v>77.399999999999963</v>
      </c>
      <c r="P348" s="6">
        <v>93</v>
      </c>
      <c r="Q348" s="1">
        <v>1</v>
      </c>
      <c r="R348" s="14">
        <f t="shared" si="10"/>
        <v>0.7</v>
      </c>
      <c r="S348" s="14">
        <f t="shared" si="11"/>
        <v>-0.7</v>
      </c>
      <c r="T348" s="15">
        <f t="shared" si="15"/>
        <v>96.517142857142801</v>
      </c>
      <c r="U348" s="14">
        <f>(U344*100)/122.1</f>
        <v>80.525629827955385</v>
      </c>
      <c r="V348" s="1">
        <v>230.3</v>
      </c>
      <c r="X348" s="1">
        <f t="shared" si="16"/>
        <v>79070.600000000049</v>
      </c>
      <c r="Y348" s="1">
        <f t="shared" si="19"/>
        <v>6990.8</v>
      </c>
      <c r="AA348" s="1">
        <v>9.0229301819317502</v>
      </c>
    </row>
    <row r="349" spans="1:27" s="1" customFormat="1" x14ac:dyDescent="0.25">
      <c r="A349" s="69"/>
      <c r="B349" s="3"/>
      <c r="C349" s="8">
        <v>40522</v>
      </c>
      <c r="D349" s="1">
        <v>0.4</v>
      </c>
      <c r="E349" s="1">
        <v>-2.4</v>
      </c>
      <c r="F349" s="1">
        <v>4</v>
      </c>
      <c r="G349" s="1">
        <f t="shared" si="12"/>
        <v>1134.8999999999999</v>
      </c>
      <c r="H349" s="1">
        <f t="shared" si="18"/>
        <v>82.7</v>
      </c>
      <c r="J349" s="1">
        <v>0</v>
      </c>
      <c r="K349" s="1">
        <f t="shared" si="13"/>
        <v>194.09999999999991</v>
      </c>
      <c r="L349" s="1">
        <v>0.9</v>
      </c>
      <c r="M349" s="1">
        <f t="shared" si="14"/>
        <v>180.90000000000003</v>
      </c>
      <c r="N349" s="1">
        <v>-0.9</v>
      </c>
      <c r="O349" s="1">
        <f t="shared" si="9"/>
        <v>76.499999999999957</v>
      </c>
      <c r="P349" s="6">
        <v>94</v>
      </c>
      <c r="Q349" s="1">
        <v>1</v>
      </c>
      <c r="R349" s="14">
        <f t="shared" si="10"/>
        <v>0.9</v>
      </c>
      <c r="S349" s="14">
        <f t="shared" si="11"/>
        <v>-0.9</v>
      </c>
      <c r="T349" s="15">
        <f t="shared" si="15"/>
        <v>95.617142857142795</v>
      </c>
      <c r="V349" s="1">
        <v>882.2</v>
      </c>
      <c r="X349" s="1">
        <f t="shared" si="16"/>
        <v>79952.800000000047</v>
      </c>
      <c r="Y349" s="1">
        <f t="shared" si="19"/>
        <v>7873</v>
      </c>
      <c r="AA349" s="1">
        <v>9.0067744261043305</v>
      </c>
    </row>
    <row r="350" spans="1:27" s="1" customFormat="1" x14ac:dyDescent="0.25">
      <c r="A350" s="69"/>
      <c r="B350" s="24">
        <v>1</v>
      </c>
      <c r="C350" s="8">
        <v>40523</v>
      </c>
      <c r="D350" s="1">
        <v>1.2</v>
      </c>
      <c r="E350" s="1">
        <v>-3.3</v>
      </c>
      <c r="F350" s="1">
        <v>7.6</v>
      </c>
      <c r="G350" s="1">
        <f t="shared" si="12"/>
        <v>1136.0999999999999</v>
      </c>
      <c r="H350" s="1">
        <f t="shared" si="18"/>
        <v>83.9</v>
      </c>
      <c r="J350" s="1">
        <v>0</v>
      </c>
      <c r="K350" s="1">
        <f t="shared" si="13"/>
        <v>194.09999999999991</v>
      </c>
      <c r="L350" s="1">
        <v>1.2</v>
      </c>
      <c r="M350" s="1">
        <f t="shared" si="14"/>
        <v>182.10000000000002</v>
      </c>
      <c r="N350" s="1">
        <v>-1.2</v>
      </c>
      <c r="O350" s="1">
        <f t="shared" si="9"/>
        <v>75.299999999999955</v>
      </c>
      <c r="P350" s="6">
        <v>95</v>
      </c>
      <c r="Q350" s="1">
        <v>1</v>
      </c>
      <c r="R350" s="14">
        <f t="shared" si="10"/>
        <v>1.2</v>
      </c>
      <c r="S350" s="14">
        <f t="shared" si="11"/>
        <v>-1.2</v>
      </c>
      <c r="T350" s="15">
        <f t="shared" si="15"/>
        <v>94.417142857142792</v>
      </c>
      <c r="V350" s="1">
        <v>822</v>
      </c>
      <c r="X350" s="1">
        <f t="shared" si="16"/>
        <v>80774.800000000047</v>
      </c>
      <c r="Y350" s="1">
        <f t="shared" si="19"/>
        <v>8695</v>
      </c>
      <c r="AA350" s="25">
        <v>8.9917941982407594</v>
      </c>
    </row>
    <row r="351" spans="1:27" s="1" customFormat="1" x14ac:dyDescent="0.25">
      <c r="A351" s="69"/>
      <c r="B351" s="24">
        <v>2</v>
      </c>
      <c r="C351" s="8">
        <v>40524</v>
      </c>
      <c r="D351" s="1">
        <v>2.7</v>
      </c>
      <c r="E351" s="1">
        <v>-2.2999999999999998</v>
      </c>
      <c r="F351" s="1">
        <v>9.5</v>
      </c>
      <c r="G351" s="1">
        <f t="shared" si="12"/>
        <v>1138.8</v>
      </c>
      <c r="H351" s="1">
        <f t="shared" si="18"/>
        <v>86.600000000000009</v>
      </c>
      <c r="J351" s="1">
        <v>0</v>
      </c>
      <c r="K351" s="1">
        <f t="shared" si="13"/>
        <v>194.09999999999991</v>
      </c>
      <c r="L351" s="1">
        <v>0.9</v>
      </c>
      <c r="M351" s="1">
        <f t="shared" si="14"/>
        <v>183.00000000000003</v>
      </c>
      <c r="N351" s="1">
        <v>-0.9</v>
      </c>
      <c r="O351" s="1">
        <f t="shared" ref="O351:O414" si="20">O350+N351</f>
        <v>74.399999999999949</v>
      </c>
      <c r="P351" s="6">
        <v>96</v>
      </c>
      <c r="Q351" s="1">
        <v>1</v>
      </c>
      <c r="R351" s="14">
        <f t="shared" si="10"/>
        <v>0.9</v>
      </c>
      <c r="S351" s="14">
        <f t="shared" si="11"/>
        <v>-0.9</v>
      </c>
      <c r="T351" s="15">
        <f t="shared" si="15"/>
        <v>93.517142857142787</v>
      </c>
      <c r="V351" s="1">
        <v>539.5</v>
      </c>
      <c r="X351" s="1">
        <f t="shared" si="16"/>
        <v>81314.300000000047</v>
      </c>
      <c r="Y351" s="1">
        <f t="shared" si="19"/>
        <v>9234.5</v>
      </c>
      <c r="AA351" s="25">
        <v>8.9780052487909998</v>
      </c>
    </row>
    <row r="352" spans="1:27" s="1" customFormat="1" x14ac:dyDescent="0.25">
      <c r="A352" s="69"/>
      <c r="B352" s="24">
        <v>3</v>
      </c>
      <c r="C352" s="8">
        <v>40525</v>
      </c>
      <c r="D352" s="1">
        <v>0.4</v>
      </c>
      <c r="E352" s="1">
        <v>-3.4</v>
      </c>
      <c r="F352" s="1">
        <v>5.9</v>
      </c>
      <c r="G352" s="1">
        <f t="shared" si="12"/>
        <v>1139.2</v>
      </c>
      <c r="H352" s="1">
        <f t="shared" si="18"/>
        <v>87.000000000000014</v>
      </c>
      <c r="J352" s="1">
        <v>0</v>
      </c>
      <c r="K352" s="1">
        <f t="shared" si="13"/>
        <v>194.09999999999991</v>
      </c>
      <c r="L352" s="1">
        <v>0.8</v>
      </c>
      <c r="M352" s="1">
        <f t="shared" si="14"/>
        <v>183.80000000000004</v>
      </c>
      <c r="N352" s="1">
        <v>-0.8</v>
      </c>
      <c r="O352" s="1">
        <f t="shared" si="20"/>
        <v>73.599999999999952</v>
      </c>
      <c r="P352" s="6">
        <v>97</v>
      </c>
      <c r="Q352" s="1">
        <v>1</v>
      </c>
      <c r="R352" s="14">
        <f t="shared" si="10"/>
        <v>0.8</v>
      </c>
      <c r="S352" s="14">
        <f t="shared" si="11"/>
        <v>-0.8</v>
      </c>
      <c r="T352" s="15">
        <f t="shared" si="15"/>
        <v>92.71714285714279</v>
      </c>
      <c r="V352" s="1">
        <v>709.8</v>
      </c>
      <c r="X352" s="1">
        <f t="shared" si="16"/>
        <v>82024.100000000049</v>
      </c>
      <c r="Y352" s="1">
        <f t="shared" si="19"/>
        <v>9944.2999999999993</v>
      </c>
      <c r="AA352" s="25">
        <v>8.9654222734210904</v>
      </c>
    </row>
    <row r="353" spans="1:27" s="1" customFormat="1" x14ac:dyDescent="0.25">
      <c r="A353" s="69"/>
      <c r="B353" s="24">
        <v>4</v>
      </c>
      <c r="C353" s="8">
        <v>40526</v>
      </c>
      <c r="D353" s="1">
        <v>0</v>
      </c>
      <c r="E353" s="1">
        <v>-4</v>
      </c>
      <c r="F353" s="1">
        <v>5.6</v>
      </c>
      <c r="G353" s="1">
        <f t="shared" si="12"/>
        <v>1139.2</v>
      </c>
      <c r="H353" s="1">
        <f t="shared" si="18"/>
        <v>87.000000000000014</v>
      </c>
      <c r="J353" s="1">
        <v>0</v>
      </c>
      <c r="K353" s="1">
        <f t="shared" si="13"/>
        <v>194.09999999999991</v>
      </c>
      <c r="L353" s="1">
        <v>1</v>
      </c>
      <c r="M353" s="1">
        <f t="shared" si="14"/>
        <v>184.80000000000004</v>
      </c>
      <c r="N353" s="1">
        <v>-1</v>
      </c>
      <c r="O353" s="1">
        <f t="shared" si="20"/>
        <v>72.599999999999952</v>
      </c>
      <c r="P353" s="6">
        <v>98</v>
      </c>
      <c r="Q353" s="1">
        <v>1</v>
      </c>
      <c r="R353" s="14">
        <f t="shared" si="10"/>
        <v>1</v>
      </c>
      <c r="S353" s="14">
        <f t="shared" si="11"/>
        <v>-1</v>
      </c>
      <c r="T353" s="15">
        <f t="shared" si="15"/>
        <v>91.71714285714279</v>
      </c>
      <c r="V353" s="1">
        <v>874.6</v>
      </c>
      <c r="X353" s="1">
        <f t="shared" si="16"/>
        <v>82898.700000000055</v>
      </c>
      <c r="Y353" s="1">
        <f t="shared" si="19"/>
        <v>10818.9</v>
      </c>
      <c r="AA353" s="25">
        <v>8.9540588597394901</v>
      </c>
    </row>
    <row r="354" spans="1:27" s="1" customFormat="1" x14ac:dyDescent="0.25">
      <c r="A354" s="69"/>
      <c r="B354" s="24">
        <v>5</v>
      </c>
      <c r="C354" s="8">
        <v>40527</v>
      </c>
      <c r="D354" s="1">
        <v>-1.7</v>
      </c>
      <c r="E354" s="1">
        <v>-2.4</v>
      </c>
      <c r="F354" s="1">
        <v>-0.3</v>
      </c>
      <c r="G354" s="1">
        <v>1139.2</v>
      </c>
      <c r="H354" s="1">
        <v>87</v>
      </c>
      <c r="J354" s="1">
        <v>0</v>
      </c>
      <c r="K354" s="1">
        <f t="shared" si="13"/>
        <v>194.09999999999991</v>
      </c>
      <c r="L354" s="1">
        <v>0.8</v>
      </c>
      <c r="M354" s="1">
        <f t="shared" si="14"/>
        <v>185.60000000000005</v>
      </c>
      <c r="N354" s="1">
        <v>-0.8</v>
      </c>
      <c r="O354" s="1">
        <f t="shared" si="20"/>
        <v>71.799999999999955</v>
      </c>
      <c r="P354" s="6">
        <v>99</v>
      </c>
      <c r="Q354" s="1">
        <v>1</v>
      </c>
      <c r="R354" s="14">
        <f t="shared" si="10"/>
        <v>0.8</v>
      </c>
      <c r="S354" s="14">
        <f t="shared" si="11"/>
        <v>-0.8</v>
      </c>
      <c r="T354" s="15">
        <f t="shared" si="15"/>
        <v>90.917142857142792</v>
      </c>
      <c r="V354" s="1">
        <v>610.20000000000005</v>
      </c>
      <c r="X354" s="1">
        <f t="shared" si="16"/>
        <v>83508.900000000052</v>
      </c>
      <c r="Y354" s="1">
        <f t="shared" si="19"/>
        <v>11429.1</v>
      </c>
      <c r="AA354" s="25">
        <v>8.9439274372714106</v>
      </c>
    </row>
    <row r="355" spans="1:27" s="1" customFormat="1" x14ac:dyDescent="0.25">
      <c r="A355" s="69"/>
      <c r="B355" s="24">
        <v>6</v>
      </c>
      <c r="C355" s="8">
        <v>40528</v>
      </c>
      <c r="D355" s="1">
        <v>1.8</v>
      </c>
      <c r="E355" s="1">
        <v>-2.4</v>
      </c>
      <c r="F355" s="1">
        <v>6.9</v>
      </c>
      <c r="G355" s="1">
        <f t="shared" si="12"/>
        <v>1141</v>
      </c>
      <c r="H355" s="1">
        <f t="shared" si="18"/>
        <v>88.8</v>
      </c>
      <c r="J355" s="1">
        <v>0.1</v>
      </c>
      <c r="K355" s="1">
        <f t="shared" si="13"/>
        <v>194.1999999999999</v>
      </c>
      <c r="L355" s="1">
        <v>1.2</v>
      </c>
      <c r="M355" s="1">
        <f t="shared" si="14"/>
        <v>186.80000000000004</v>
      </c>
      <c r="N355" s="1">
        <v>-1.0999999999999999</v>
      </c>
      <c r="O355" s="1">
        <f t="shared" si="20"/>
        <v>70.69999999999996</v>
      </c>
      <c r="P355" s="6">
        <v>100</v>
      </c>
      <c r="Q355" s="1">
        <v>1</v>
      </c>
      <c r="R355" s="14">
        <f t="shared" si="10"/>
        <v>1.2</v>
      </c>
      <c r="S355" s="14">
        <f t="shared" si="11"/>
        <v>-1.0999999999999999</v>
      </c>
      <c r="T355" s="15">
        <f t="shared" si="15"/>
        <v>89.817142857142798</v>
      </c>
      <c r="V355" s="1">
        <v>105.4</v>
      </c>
      <c r="X355" s="1">
        <f t="shared" si="16"/>
        <v>83614.300000000047</v>
      </c>
      <c r="Y355" s="1">
        <f t="shared" si="19"/>
        <v>11534.5</v>
      </c>
      <c r="AA355" s="25">
        <v>8.9350392310487798</v>
      </c>
    </row>
    <row r="356" spans="1:27" s="1" customFormat="1" x14ac:dyDescent="0.25">
      <c r="A356" s="69"/>
      <c r="B356" s="24">
        <v>7</v>
      </c>
      <c r="C356" s="8">
        <v>40529</v>
      </c>
      <c r="D356" s="1">
        <v>3.7</v>
      </c>
      <c r="E356" s="1">
        <v>2</v>
      </c>
      <c r="F356" s="1">
        <v>6.4</v>
      </c>
      <c r="G356" s="1">
        <f t="shared" si="12"/>
        <v>1144.7</v>
      </c>
      <c r="H356" s="1">
        <f t="shared" si="18"/>
        <v>92.5</v>
      </c>
      <c r="J356" s="1">
        <v>5</v>
      </c>
      <c r="K356" s="1">
        <f t="shared" si="13"/>
        <v>199.1999999999999</v>
      </c>
      <c r="L356" s="1">
        <v>0.8</v>
      </c>
      <c r="M356" s="1">
        <f t="shared" si="14"/>
        <v>187.60000000000005</v>
      </c>
      <c r="N356" s="1">
        <v>4.2</v>
      </c>
      <c r="O356" s="1">
        <f t="shared" si="20"/>
        <v>74.899999999999963</v>
      </c>
      <c r="P356" s="6">
        <v>101</v>
      </c>
      <c r="Q356" s="1">
        <v>1</v>
      </c>
      <c r="R356" s="14">
        <f t="shared" si="10"/>
        <v>0.8</v>
      </c>
      <c r="S356" s="14">
        <f t="shared" si="11"/>
        <v>4.2</v>
      </c>
      <c r="T356" s="15">
        <f t="shared" si="15"/>
        <v>94.017142857142801</v>
      </c>
      <c r="V356" s="1">
        <v>99.9</v>
      </c>
      <c r="X356" s="1">
        <f t="shared" si="16"/>
        <v>83714.200000000041</v>
      </c>
      <c r="Y356" s="1">
        <f t="shared" si="19"/>
        <v>11634.4</v>
      </c>
      <c r="AA356" s="25">
        <v>8.9274042191631295</v>
      </c>
    </row>
    <row r="357" spans="1:27" s="1" customFormat="1" x14ac:dyDescent="0.25">
      <c r="A357" s="69"/>
      <c r="B357" s="24">
        <v>8</v>
      </c>
      <c r="C357" s="8">
        <v>40530</v>
      </c>
      <c r="D357" s="1">
        <v>0.8</v>
      </c>
      <c r="E357" s="1">
        <v>-2.7</v>
      </c>
      <c r="F357" s="1">
        <v>4.2</v>
      </c>
      <c r="G357" s="1">
        <f t="shared" si="12"/>
        <v>1145.5</v>
      </c>
      <c r="H357" s="1">
        <f t="shared" si="18"/>
        <v>93.3</v>
      </c>
      <c r="J357" s="1">
        <v>0</v>
      </c>
      <c r="K357" s="1">
        <f t="shared" si="13"/>
        <v>199.1999999999999</v>
      </c>
      <c r="L357" s="1">
        <v>0.7</v>
      </c>
      <c r="M357" s="1">
        <f t="shared" si="14"/>
        <v>188.30000000000004</v>
      </c>
      <c r="N357" s="1">
        <v>-0.7</v>
      </c>
      <c r="O357" s="1">
        <f t="shared" si="20"/>
        <v>74.19999999999996</v>
      </c>
      <c r="P357" s="6">
        <v>102</v>
      </c>
      <c r="Q357" s="1">
        <v>1</v>
      </c>
      <c r="R357" s="14">
        <f t="shared" si="10"/>
        <v>0.7</v>
      </c>
      <c r="S357" s="14">
        <f t="shared" si="11"/>
        <v>-0.7</v>
      </c>
      <c r="T357" s="15">
        <f t="shared" si="15"/>
        <v>93.317142857142798</v>
      </c>
      <c r="V357" s="1">
        <v>645.29999999999995</v>
      </c>
      <c r="X357" s="1">
        <f t="shared" si="16"/>
        <v>84359.500000000044</v>
      </c>
      <c r="Y357" s="1">
        <f t="shared" si="19"/>
        <v>12279.699999999999</v>
      </c>
      <c r="AA357" s="25">
        <v>8.9210310946051994</v>
      </c>
    </row>
    <row r="358" spans="1:27" s="1" customFormat="1" x14ac:dyDescent="0.25">
      <c r="A358" s="69"/>
      <c r="B358" s="24">
        <v>9</v>
      </c>
      <c r="C358" s="8">
        <v>40531</v>
      </c>
      <c r="D358" s="1">
        <v>3.5</v>
      </c>
      <c r="E358" s="1">
        <v>-0.1</v>
      </c>
      <c r="F358" s="1">
        <v>8</v>
      </c>
      <c r="G358" s="1">
        <f t="shared" si="12"/>
        <v>1149</v>
      </c>
      <c r="H358" s="1">
        <f t="shared" si="18"/>
        <v>96.8</v>
      </c>
      <c r="J358" s="1">
        <v>0</v>
      </c>
      <c r="K358" s="1">
        <f t="shared" si="13"/>
        <v>199.1999999999999</v>
      </c>
      <c r="L358" s="1">
        <v>0.7</v>
      </c>
      <c r="M358" s="1">
        <f t="shared" si="14"/>
        <v>189.00000000000003</v>
      </c>
      <c r="N358" s="1">
        <v>-0.7</v>
      </c>
      <c r="O358" s="1">
        <f t="shared" si="20"/>
        <v>73.499999999999957</v>
      </c>
      <c r="P358" s="6">
        <v>103</v>
      </c>
      <c r="Q358" s="1">
        <v>1</v>
      </c>
      <c r="R358" s="14">
        <f t="shared" si="10"/>
        <v>0.7</v>
      </c>
      <c r="S358" s="14">
        <f t="shared" si="11"/>
        <v>-0.7</v>
      </c>
      <c r="T358" s="15">
        <f t="shared" si="15"/>
        <v>92.617142857142795</v>
      </c>
      <c r="V358" s="1">
        <v>315.8</v>
      </c>
      <c r="X358" s="1">
        <f t="shared" si="16"/>
        <v>84675.300000000047</v>
      </c>
      <c r="Y358" s="1">
        <f t="shared" si="19"/>
        <v>12595.499999999998</v>
      </c>
      <c r="AA358" s="25">
        <v>8.9159272316865401</v>
      </c>
    </row>
    <row r="359" spans="1:27" s="1" customFormat="1" x14ac:dyDescent="0.25">
      <c r="A359" s="69"/>
      <c r="B359" s="3"/>
      <c r="C359" s="8">
        <v>40532</v>
      </c>
      <c r="D359" s="1">
        <v>5.7</v>
      </c>
      <c r="E359" s="1">
        <v>1.7</v>
      </c>
      <c r="F359" s="1">
        <v>9.6999999999999993</v>
      </c>
      <c r="G359" s="1">
        <f t="shared" si="12"/>
        <v>1154.7</v>
      </c>
      <c r="H359" s="1">
        <f t="shared" si="18"/>
        <v>102.5</v>
      </c>
      <c r="J359" s="1">
        <v>0.2</v>
      </c>
      <c r="K359" s="1">
        <f t="shared" si="13"/>
        <v>199.39999999999989</v>
      </c>
      <c r="L359" s="1">
        <v>0.7</v>
      </c>
      <c r="M359" s="1">
        <f t="shared" si="14"/>
        <v>189.70000000000002</v>
      </c>
      <c r="N359" s="1">
        <v>-0.49999999999999994</v>
      </c>
      <c r="O359" s="1">
        <f t="shared" si="20"/>
        <v>72.999999999999957</v>
      </c>
      <c r="P359" s="6">
        <v>104</v>
      </c>
      <c r="Q359" s="1">
        <v>1</v>
      </c>
      <c r="R359" s="14">
        <f t="shared" si="10"/>
        <v>0.7</v>
      </c>
      <c r="S359" s="14">
        <f t="shared" si="11"/>
        <v>-0.49999999999999994</v>
      </c>
      <c r="T359" s="15">
        <f t="shared" si="15"/>
        <v>92.117142857142795</v>
      </c>
      <c r="V359" s="1">
        <v>579.9</v>
      </c>
      <c r="X359" s="1">
        <f t="shared" si="16"/>
        <v>85255.200000000041</v>
      </c>
      <c r="Y359" s="1">
        <f t="shared" si="19"/>
        <v>13175.399999999998</v>
      </c>
      <c r="AA359" s="25">
        <v>8.9120986573066894</v>
      </c>
    </row>
    <row r="360" spans="1:27" s="1" customFormat="1" x14ac:dyDescent="0.25">
      <c r="A360" s="69"/>
      <c r="B360" s="3"/>
      <c r="C360" s="8">
        <v>40533</v>
      </c>
      <c r="D360" s="1">
        <v>7.8</v>
      </c>
      <c r="E360" s="1">
        <v>5.4</v>
      </c>
      <c r="F360" s="1">
        <v>9.1999999999999993</v>
      </c>
      <c r="G360" s="1">
        <f t="shared" si="12"/>
        <v>1162.5</v>
      </c>
      <c r="H360" s="1">
        <f t="shared" si="18"/>
        <v>110.3</v>
      </c>
      <c r="J360" s="1">
        <v>0.2</v>
      </c>
      <c r="K360" s="1">
        <f t="shared" si="13"/>
        <v>199.59999999999988</v>
      </c>
      <c r="L360" s="1">
        <v>0.3</v>
      </c>
      <c r="M360" s="1">
        <f t="shared" si="14"/>
        <v>190.00000000000003</v>
      </c>
      <c r="N360" s="1">
        <v>-9.9999999999999978E-2</v>
      </c>
      <c r="O360" s="1">
        <f t="shared" si="20"/>
        <v>72.899999999999963</v>
      </c>
      <c r="P360" s="6">
        <v>105</v>
      </c>
      <c r="Q360" s="1">
        <v>1</v>
      </c>
      <c r="R360" s="14">
        <f t="shared" si="10"/>
        <v>0.3</v>
      </c>
      <c r="S360" s="14">
        <f t="shared" si="11"/>
        <v>-9.9999999999999978E-2</v>
      </c>
      <c r="T360" s="15">
        <f t="shared" si="15"/>
        <v>92.017142857142801</v>
      </c>
      <c r="V360" s="1">
        <v>166.6</v>
      </c>
      <c r="X360" s="1">
        <f t="shared" si="16"/>
        <v>85421.800000000047</v>
      </c>
      <c r="Y360" s="1">
        <f t="shared" si="19"/>
        <v>13341.999999999998</v>
      </c>
      <c r="AA360" s="25">
        <v>8.9095500272939407</v>
      </c>
    </row>
    <row r="361" spans="1:27" s="1" customFormat="1" x14ac:dyDescent="0.25">
      <c r="A361" s="69"/>
      <c r="B361" s="3"/>
      <c r="C361" s="8">
        <v>40534</v>
      </c>
      <c r="D361" s="1">
        <v>9.4</v>
      </c>
      <c r="E361" s="1">
        <v>6.6</v>
      </c>
      <c r="F361" s="1">
        <v>12</v>
      </c>
      <c r="G361" s="1">
        <f t="shared" si="12"/>
        <v>1171.9000000000001</v>
      </c>
      <c r="H361" s="1">
        <f t="shared" si="18"/>
        <v>119.7</v>
      </c>
      <c r="J361" s="1">
        <v>0.5</v>
      </c>
      <c r="K361" s="1">
        <f t="shared" si="13"/>
        <v>200.09999999999988</v>
      </c>
      <c r="L361" s="1">
        <v>0.3</v>
      </c>
      <c r="M361" s="1">
        <f t="shared" si="14"/>
        <v>190.30000000000004</v>
      </c>
      <c r="N361" s="1">
        <v>0.2</v>
      </c>
      <c r="O361" s="1">
        <f t="shared" si="20"/>
        <v>73.099999999999966</v>
      </c>
      <c r="P361" s="6">
        <v>106</v>
      </c>
      <c r="Q361" s="1">
        <v>1</v>
      </c>
      <c r="R361" s="14">
        <f t="shared" si="10"/>
        <v>0.3</v>
      </c>
      <c r="S361" s="14">
        <f t="shared" si="11"/>
        <v>0.2</v>
      </c>
      <c r="T361" s="15">
        <f t="shared" si="15"/>
        <v>92.217142857142804</v>
      </c>
      <c r="V361" s="1">
        <v>234.4</v>
      </c>
      <c r="X361" s="1">
        <f t="shared" si="16"/>
        <v>85656.200000000041</v>
      </c>
      <c r="Y361" s="1">
        <f t="shared" si="19"/>
        <v>13576.399999999998</v>
      </c>
      <c r="AA361" s="25">
        <v>8.9082846080093994</v>
      </c>
    </row>
    <row r="362" spans="1:27" s="1" customFormat="1" x14ac:dyDescent="0.25">
      <c r="A362" s="69"/>
      <c r="B362" s="3"/>
      <c r="C362" s="8">
        <v>40535</v>
      </c>
      <c r="D362" s="1">
        <v>6.8</v>
      </c>
      <c r="E362" s="1">
        <v>5.5</v>
      </c>
      <c r="F362" s="1">
        <v>8.9</v>
      </c>
      <c r="G362" s="1">
        <f t="shared" si="12"/>
        <v>1178.7</v>
      </c>
      <c r="H362" s="1">
        <f t="shared" si="18"/>
        <v>126.5</v>
      </c>
      <c r="J362" s="1">
        <v>13.7</v>
      </c>
      <c r="K362" s="1">
        <f t="shared" si="13"/>
        <v>213.79999999999987</v>
      </c>
      <c r="L362" s="1">
        <v>0.3</v>
      </c>
      <c r="M362" s="1">
        <f t="shared" si="14"/>
        <v>190.60000000000005</v>
      </c>
      <c r="N362" s="1">
        <v>13.399999999999999</v>
      </c>
      <c r="O362" s="1">
        <f t="shared" si="20"/>
        <v>86.499999999999972</v>
      </c>
      <c r="P362" s="6">
        <v>107</v>
      </c>
      <c r="Q362" s="1">
        <v>1</v>
      </c>
      <c r="R362" s="14">
        <f t="shared" si="10"/>
        <v>0.3</v>
      </c>
      <c r="S362" s="14">
        <f t="shared" si="11"/>
        <v>13.399999999999999</v>
      </c>
      <c r="T362" s="15">
        <f t="shared" si="15"/>
        <v>105.6171428571428</v>
      </c>
      <c r="V362" s="1">
        <v>96.3</v>
      </c>
      <c r="X362" s="1">
        <f t="shared" si="16"/>
        <v>85752.500000000044</v>
      </c>
      <c r="Y362" s="1">
        <f t="shared" si="19"/>
        <v>13672.699999999997</v>
      </c>
      <c r="AA362" s="25">
        <v>8.90830426336281</v>
      </c>
    </row>
    <row r="363" spans="1:27" s="1" customFormat="1" x14ac:dyDescent="0.25">
      <c r="A363" s="69"/>
      <c r="B363" s="24">
        <v>10</v>
      </c>
      <c r="C363" s="8">
        <v>40536</v>
      </c>
      <c r="D363" s="1">
        <v>2.8</v>
      </c>
      <c r="E363" s="1">
        <v>1.6</v>
      </c>
      <c r="F363" s="1">
        <v>4.0999999999999996</v>
      </c>
      <c r="G363" s="1">
        <f t="shared" si="12"/>
        <v>1181.5</v>
      </c>
      <c r="H363" s="1">
        <f t="shared" si="18"/>
        <v>129.30000000000001</v>
      </c>
      <c r="J363" s="1">
        <v>0.1</v>
      </c>
      <c r="K363" s="1">
        <f t="shared" si="13"/>
        <v>213.89999999999986</v>
      </c>
      <c r="L363" s="1">
        <v>0.6</v>
      </c>
      <c r="M363" s="1">
        <f t="shared" si="14"/>
        <v>191.20000000000005</v>
      </c>
      <c r="N363" s="1">
        <v>-0.5</v>
      </c>
      <c r="O363" s="1">
        <f t="shared" si="20"/>
        <v>85.999999999999972</v>
      </c>
      <c r="P363" s="6">
        <v>108</v>
      </c>
      <c r="Q363" s="1">
        <v>1</v>
      </c>
      <c r="R363" s="14">
        <f t="shared" si="10"/>
        <v>0.6</v>
      </c>
      <c r="S363" s="14">
        <f t="shared" si="11"/>
        <v>-0.5</v>
      </c>
      <c r="T363" s="15">
        <f t="shared" si="15"/>
        <v>105.1171428571428</v>
      </c>
      <c r="V363" s="1">
        <v>142.5</v>
      </c>
      <c r="X363" s="1">
        <f t="shared" si="16"/>
        <v>85895.000000000044</v>
      </c>
      <c r="Y363" s="1">
        <f t="shared" si="19"/>
        <v>13815.199999999997</v>
      </c>
      <c r="AA363" s="25">
        <v>8.9096094473457796</v>
      </c>
    </row>
    <row r="364" spans="1:27" s="1" customFormat="1" x14ac:dyDescent="0.25">
      <c r="A364" s="69"/>
      <c r="B364" s="24">
        <v>11</v>
      </c>
      <c r="C364" s="8">
        <v>40537</v>
      </c>
      <c r="D364" s="1">
        <v>0.1</v>
      </c>
      <c r="E364" s="1">
        <v>-0.2</v>
      </c>
      <c r="F364" s="1">
        <v>0.7</v>
      </c>
      <c r="G364" s="1">
        <f t="shared" si="12"/>
        <v>1181.5999999999999</v>
      </c>
      <c r="H364" s="1">
        <f t="shared" si="18"/>
        <v>129.4</v>
      </c>
      <c r="J364" s="1">
        <v>0.1</v>
      </c>
      <c r="K364" s="1">
        <f t="shared" si="13"/>
        <v>213.99999999999986</v>
      </c>
      <c r="L364" s="1">
        <v>0.9</v>
      </c>
      <c r="M364" s="1">
        <f t="shared" si="14"/>
        <v>192.10000000000005</v>
      </c>
      <c r="N364" s="1">
        <v>-0.8</v>
      </c>
      <c r="O364" s="1">
        <f t="shared" si="20"/>
        <v>85.199999999999974</v>
      </c>
      <c r="P364" s="6">
        <v>109</v>
      </c>
      <c r="Q364" s="1">
        <v>1</v>
      </c>
      <c r="R364" s="14">
        <f t="shared" si="10"/>
        <v>0.9</v>
      </c>
      <c r="S364" s="14">
        <f t="shared" si="11"/>
        <v>-0.8</v>
      </c>
      <c r="T364" s="15">
        <f t="shared" si="15"/>
        <v>104.3171428571428</v>
      </c>
      <c r="V364" s="1">
        <v>272.7</v>
      </c>
      <c r="X364" s="1">
        <f t="shared" si="16"/>
        <v>86167.700000000041</v>
      </c>
      <c r="Y364" s="1">
        <f t="shared" si="19"/>
        <v>14087.899999999998</v>
      </c>
      <c r="AA364" s="25">
        <v>8.9121992021433307</v>
      </c>
    </row>
    <row r="365" spans="1:27" s="1" customFormat="1" x14ac:dyDescent="0.25">
      <c r="A365" s="69"/>
      <c r="B365" s="24">
        <v>12</v>
      </c>
      <c r="C365" s="8">
        <v>40538</v>
      </c>
      <c r="D365" s="1">
        <v>-2.5</v>
      </c>
      <c r="E365" s="1">
        <v>-4.7</v>
      </c>
      <c r="F365" s="1">
        <v>0.5</v>
      </c>
      <c r="G365" s="1">
        <v>1181.5999999999999</v>
      </c>
      <c r="H365" s="1">
        <v>129.4</v>
      </c>
      <c r="J365" s="1">
        <v>0</v>
      </c>
      <c r="K365" s="1">
        <f t="shared" si="13"/>
        <v>213.99999999999986</v>
      </c>
      <c r="L365" s="1">
        <v>0.8</v>
      </c>
      <c r="M365" s="1">
        <f t="shared" si="14"/>
        <v>192.90000000000006</v>
      </c>
      <c r="N365" s="1">
        <v>-0.8</v>
      </c>
      <c r="O365" s="1">
        <f t="shared" si="20"/>
        <v>84.399999999999977</v>
      </c>
      <c r="P365" s="6">
        <v>110</v>
      </c>
      <c r="Q365" s="1">
        <v>1</v>
      </c>
      <c r="R365" s="14">
        <f t="shared" si="10"/>
        <v>0.8</v>
      </c>
      <c r="S365" s="14">
        <f t="shared" si="11"/>
        <v>-0.8</v>
      </c>
      <c r="T365" s="15">
        <f t="shared" si="15"/>
        <v>103.5171428571428</v>
      </c>
      <c r="V365" s="1">
        <v>821</v>
      </c>
      <c r="X365" s="1">
        <f t="shared" si="16"/>
        <v>86988.700000000041</v>
      </c>
      <c r="Y365" s="1">
        <f t="shared" si="19"/>
        <v>14908.899999999998</v>
      </c>
      <c r="AA365" s="25">
        <v>8.9160711618395396</v>
      </c>
    </row>
    <row r="366" spans="1:27" s="1" customFormat="1" x14ac:dyDescent="0.25">
      <c r="A366" s="69"/>
      <c r="B366" s="24">
        <v>13</v>
      </c>
      <c r="C366" s="8">
        <v>40539</v>
      </c>
      <c r="D366" s="1">
        <v>0.9</v>
      </c>
      <c r="E366" s="1">
        <v>-5.5</v>
      </c>
      <c r="F366" s="1">
        <v>6.4</v>
      </c>
      <c r="G366" s="1">
        <f t="shared" si="12"/>
        <v>1182.5</v>
      </c>
      <c r="H366" s="1">
        <f t="shared" si="18"/>
        <v>130.30000000000001</v>
      </c>
      <c r="J366" s="1">
        <v>0</v>
      </c>
      <c r="K366" s="1">
        <f t="shared" si="13"/>
        <v>213.99999999999986</v>
      </c>
      <c r="L366" s="1">
        <v>1.1000000000000001</v>
      </c>
      <c r="M366" s="1">
        <f t="shared" si="14"/>
        <v>194.00000000000006</v>
      </c>
      <c r="N366" s="1">
        <v>-1.1000000000000001</v>
      </c>
      <c r="O366" s="1">
        <f t="shared" si="20"/>
        <v>83.299999999999983</v>
      </c>
      <c r="P366" s="6">
        <v>111</v>
      </c>
      <c r="Q366" s="1">
        <v>1</v>
      </c>
      <c r="R366" s="14">
        <f t="shared" si="10"/>
        <v>1.1000000000000001</v>
      </c>
      <c r="S366" s="14">
        <f t="shared" si="11"/>
        <v>-1.1000000000000001</v>
      </c>
      <c r="T366" s="15">
        <f t="shared" si="15"/>
        <v>102.41714285714281</v>
      </c>
      <c r="V366" s="1">
        <v>465.8</v>
      </c>
      <c r="X366" s="1">
        <f t="shared" si="16"/>
        <v>87454.500000000044</v>
      </c>
      <c r="Y366" s="1">
        <f t="shared" si="19"/>
        <v>15374.699999999997</v>
      </c>
      <c r="AA366" s="25">
        <v>8.9212215616872008</v>
      </c>
    </row>
    <row r="367" spans="1:27" s="1" customFormat="1" x14ac:dyDescent="0.25">
      <c r="A367" s="69"/>
      <c r="B367" s="3"/>
      <c r="C367" s="8">
        <v>40540</v>
      </c>
      <c r="D367" s="1">
        <v>6.1</v>
      </c>
      <c r="E367" s="1">
        <v>2.7</v>
      </c>
      <c r="F367" s="1">
        <v>10.3</v>
      </c>
      <c r="G367" s="1">
        <f t="shared" si="12"/>
        <v>1188.5999999999999</v>
      </c>
      <c r="H367" s="1">
        <f t="shared" si="18"/>
        <v>136.4</v>
      </c>
      <c r="J367" s="1">
        <v>0</v>
      </c>
      <c r="K367" s="1">
        <f t="shared" si="13"/>
        <v>213.99999999999986</v>
      </c>
      <c r="L367" s="1">
        <v>0.9</v>
      </c>
      <c r="M367" s="1">
        <f t="shared" si="14"/>
        <v>194.90000000000006</v>
      </c>
      <c r="N367" s="1">
        <v>-0.9</v>
      </c>
      <c r="O367" s="1">
        <f t="shared" si="20"/>
        <v>82.399999999999977</v>
      </c>
      <c r="P367" s="6">
        <v>112</v>
      </c>
      <c r="Q367" s="1">
        <v>1</v>
      </c>
      <c r="R367" s="14">
        <f t="shared" si="10"/>
        <v>0.9</v>
      </c>
      <c r="S367" s="14">
        <f t="shared" si="11"/>
        <v>-0.9</v>
      </c>
      <c r="T367" s="15">
        <f t="shared" si="15"/>
        <v>101.5171428571428</v>
      </c>
      <c r="V367" s="1">
        <v>370.2</v>
      </c>
      <c r="X367" s="1">
        <f t="shared" si="16"/>
        <v>87824.700000000041</v>
      </c>
      <c r="Y367" s="1">
        <f t="shared" si="19"/>
        <v>15744.899999999998</v>
      </c>
      <c r="AA367" s="25">
        <v>8.9276452528666006</v>
      </c>
    </row>
    <row r="368" spans="1:27" s="1" customFormat="1" x14ac:dyDescent="0.25">
      <c r="A368" s="69"/>
      <c r="B368" s="3"/>
      <c r="C368" s="8">
        <v>40541</v>
      </c>
      <c r="D368" s="1">
        <v>7.8</v>
      </c>
      <c r="E368" s="1">
        <v>5.2</v>
      </c>
      <c r="F368" s="1">
        <v>11.4</v>
      </c>
      <c r="G368" s="1">
        <f t="shared" si="12"/>
        <v>1196.3999999999999</v>
      </c>
      <c r="H368" s="1">
        <f t="shared" si="18"/>
        <v>144.20000000000002</v>
      </c>
      <c r="J368" s="1">
        <v>0.2</v>
      </c>
      <c r="K368" s="1">
        <f t="shared" si="13"/>
        <v>214.19999999999985</v>
      </c>
      <c r="L368" s="1">
        <v>0.9</v>
      </c>
      <c r="M368" s="1">
        <f t="shared" si="14"/>
        <v>195.80000000000007</v>
      </c>
      <c r="N368" s="1">
        <v>-0.7</v>
      </c>
      <c r="O368" s="1">
        <f t="shared" si="20"/>
        <v>81.699999999999974</v>
      </c>
      <c r="P368" s="6">
        <v>113</v>
      </c>
      <c r="Q368" s="1">
        <v>1</v>
      </c>
      <c r="R368" s="14">
        <f t="shared" si="10"/>
        <v>0.9</v>
      </c>
      <c r="S368" s="14">
        <f t="shared" si="11"/>
        <v>-0.7</v>
      </c>
      <c r="T368" s="15">
        <f t="shared" si="15"/>
        <v>100.8171428571428</v>
      </c>
      <c r="V368" s="1">
        <v>146.6</v>
      </c>
      <c r="X368" s="1">
        <f t="shared" si="16"/>
        <v>87971.300000000047</v>
      </c>
      <c r="Y368" s="1">
        <f t="shared" si="19"/>
        <v>15891.499999999998</v>
      </c>
      <c r="AA368" s="25">
        <v>8.9353357226140204</v>
      </c>
    </row>
    <row r="369" spans="1:27" s="1" customFormat="1" x14ac:dyDescent="0.25">
      <c r="A369" s="69"/>
      <c r="B369" s="3"/>
      <c r="C369" s="8">
        <v>40542</v>
      </c>
      <c r="D369" s="1">
        <v>9.3000000000000007</v>
      </c>
      <c r="E369" s="1">
        <v>5.5</v>
      </c>
      <c r="F369" s="1">
        <v>11.3</v>
      </c>
      <c r="G369" s="1">
        <f t="shared" si="12"/>
        <v>1205.6999999999998</v>
      </c>
      <c r="H369" s="1">
        <f t="shared" si="18"/>
        <v>153.50000000000003</v>
      </c>
      <c r="J369" s="1">
        <v>0.4</v>
      </c>
      <c r="K369" s="1">
        <f t="shared" si="13"/>
        <v>214.59999999999985</v>
      </c>
      <c r="L369" s="1">
        <v>0.6</v>
      </c>
      <c r="M369" s="1">
        <f t="shared" si="14"/>
        <v>196.40000000000006</v>
      </c>
      <c r="N369" s="1">
        <v>-0.19999999999999996</v>
      </c>
      <c r="O369" s="1">
        <f t="shared" si="20"/>
        <v>81.499999999999972</v>
      </c>
      <c r="P369" s="6">
        <v>114</v>
      </c>
      <c r="Q369" s="1">
        <v>1</v>
      </c>
      <c r="R369" s="14">
        <f t="shared" si="10"/>
        <v>0.6</v>
      </c>
      <c r="S369" s="14">
        <f t="shared" si="11"/>
        <v>-0.19999999999999996</v>
      </c>
      <c r="T369" s="15">
        <f t="shared" si="15"/>
        <v>100.6171428571428</v>
      </c>
      <c r="V369" s="1">
        <v>329.6</v>
      </c>
      <c r="X369" s="1">
        <f t="shared" si="16"/>
        <v>88300.900000000052</v>
      </c>
      <c r="Y369" s="1">
        <f t="shared" si="19"/>
        <v>16221.099999999999</v>
      </c>
      <c r="AA369" s="25">
        <v>8.9442851195584403</v>
      </c>
    </row>
    <row r="370" spans="1:27" s="1" customFormat="1" x14ac:dyDescent="0.25">
      <c r="A370" s="69"/>
      <c r="B370" s="3"/>
      <c r="C370" s="8">
        <v>40543</v>
      </c>
      <c r="D370" s="1">
        <v>10.3</v>
      </c>
      <c r="E370" s="1">
        <v>9</v>
      </c>
      <c r="F370" s="1">
        <v>15.3</v>
      </c>
      <c r="G370" s="1">
        <f t="shared" si="12"/>
        <v>1215.9999999999998</v>
      </c>
      <c r="H370" s="1">
        <f t="shared" si="18"/>
        <v>163.80000000000004</v>
      </c>
      <c r="J370" s="1">
        <v>0</v>
      </c>
      <c r="K370" s="1">
        <f t="shared" si="13"/>
        <v>214.59999999999985</v>
      </c>
      <c r="L370" s="1">
        <v>1.7</v>
      </c>
      <c r="M370" s="1">
        <f t="shared" si="14"/>
        <v>198.10000000000005</v>
      </c>
      <c r="N370" s="1">
        <v>-1.7</v>
      </c>
      <c r="O370" s="1">
        <f t="shared" si="20"/>
        <v>79.799999999999969</v>
      </c>
      <c r="P370" s="6">
        <v>115</v>
      </c>
      <c r="Q370" s="1">
        <v>1</v>
      </c>
      <c r="R370" s="14">
        <f t="shared" si="10"/>
        <v>1.7</v>
      </c>
      <c r="S370" s="14">
        <f t="shared" si="11"/>
        <v>-1.7</v>
      </c>
      <c r="T370" s="15">
        <f t="shared" si="15"/>
        <v>98.917142857142792</v>
      </c>
      <c r="V370" s="1">
        <v>279.89999999999998</v>
      </c>
      <c r="X370" s="1">
        <f t="shared" si="16"/>
        <v>88580.800000000047</v>
      </c>
      <c r="Y370" s="1">
        <f t="shared" si="19"/>
        <v>16501</v>
      </c>
      <c r="AA370" s="25">
        <v>8.95448428406422</v>
      </c>
    </row>
    <row r="371" spans="1:27" s="1" customFormat="1" x14ac:dyDescent="0.25">
      <c r="A371" s="69"/>
      <c r="B371" s="3"/>
      <c r="C371" s="8">
        <v>40544</v>
      </c>
      <c r="D371" s="1">
        <v>6.8</v>
      </c>
      <c r="E371" s="1">
        <v>3.7</v>
      </c>
      <c r="F371" s="1">
        <v>10.199999999999999</v>
      </c>
      <c r="G371" s="1">
        <f t="shared" si="12"/>
        <v>1222.7999999999997</v>
      </c>
      <c r="H371" s="1">
        <f t="shared" si="18"/>
        <v>170.60000000000005</v>
      </c>
      <c r="J371" s="1">
        <v>0</v>
      </c>
      <c r="K371" s="1">
        <f t="shared" si="13"/>
        <v>214.59999999999985</v>
      </c>
      <c r="L371" s="1">
        <v>0.4</v>
      </c>
      <c r="M371" s="1">
        <f t="shared" si="14"/>
        <v>198.50000000000006</v>
      </c>
      <c r="N371" s="1">
        <v>-0.4</v>
      </c>
      <c r="O371" s="1">
        <f t="shared" si="20"/>
        <v>79.399999999999963</v>
      </c>
      <c r="P371" s="6">
        <v>116</v>
      </c>
      <c r="Q371" s="1">
        <v>1</v>
      </c>
      <c r="R371" s="14">
        <f t="shared" si="10"/>
        <v>0.4</v>
      </c>
      <c r="S371" s="14">
        <f t="shared" si="11"/>
        <v>-0.4</v>
      </c>
      <c r="T371" s="15">
        <f t="shared" si="15"/>
        <v>98.517142857142787</v>
      </c>
      <c r="V371" s="1">
        <v>242.5</v>
      </c>
      <c r="X371" s="1">
        <f t="shared" si="16"/>
        <v>88823.300000000047</v>
      </c>
      <c r="Y371" s="1">
        <f t="shared" si="19"/>
        <v>16743.5</v>
      </c>
      <c r="AA371" s="25">
        <v>8.9696125694491506</v>
      </c>
    </row>
    <row r="372" spans="1:27" s="1" customFormat="1" x14ac:dyDescent="0.25">
      <c r="A372" s="69"/>
      <c r="B372" s="24">
        <v>14</v>
      </c>
      <c r="C372" s="8">
        <v>40545</v>
      </c>
      <c r="D372" s="1">
        <v>2.5</v>
      </c>
      <c r="E372" s="1">
        <v>1.3</v>
      </c>
      <c r="F372" s="1">
        <v>3</v>
      </c>
      <c r="G372" s="1">
        <f t="shared" si="12"/>
        <v>1225.2999999999997</v>
      </c>
      <c r="H372" s="1">
        <f t="shared" si="18"/>
        <v>173.10000000000005</v>
      </c>
      <c r="J372" s="1">
        <v>0</v>
      </c>
      <c r="K372" s="1">
        <f t="shared" si="13"/>
        <v>214.59999999999985</v>
      </c>
      <c r="L372" s="1">
        <v>0.2</v>
      </c>
      <c r="M372" s="1">
        <f t="shared" si="14"/>
        <v>198.70000000000005</v>
      </c>
      <c r="N372" s="1">
        <v>-0.2</v>
      </c>
      <c r="O372" s="1">
        <f t="shared" si="20"/>
        <v>79.19999999999996</v>
      </c>
      <c r="P372" s="6">
        <v>117</v>
      </c>
      <c r="Q372" s="1">
        <v>1</v>
      </c>
      <c r="R372" s="14">
        <f t="shared" si="10"/>
        <v>0.2</v>
      </c>
      <c r="S372" s="14">
        <f t="shared" si="11"/>
        <v>-0.2</v>
      </c>
      <c r="T372" s="15">
        <f t="shared" si="15"/>
        <v>98.317142857142784</v>
      </c>
      <c r="V372" s="1">
        <v>222.9</v>
      </c>
      <c r="X372" s="1">
        <f t="shared" si="16"/>
        <v>89046.200000000041</v>
      </c>
      <c r="Y372" s="1">
        <f t="shared" si="19"/>
        <v>16966.400000000001</v>
      </c>
      <c r="AA372" s="25">
        <v>8.98264637504559</v>
      </c>
    </row>
    <row r="373" spans="1:27" s="1" customFormat="1" x14ac:dyDescent="0.25">
      <c r="A373" s="69"/>
      <c r="B373" s="24">
        <v>15</v>
      </c>
      <c r="C373" s="8">
        <v>40546</v>
      </c>
      <c r="D373" s="1">
        <v>2.4</v>
      </c>
      <c r="E373" s="1">
        <v>1.6</v>
      </c>
      <c r="F373" s="1">
        <v>3</v>
      </c>
      <c r="G373" s="1">
        <f t="shared" si="12"/>
        <v>1227.6999999999998</v>
      </c>
      <c r="H373" s="1">
        <f t="shared" si="18"/>
        <v>175.50000000000006</v>
      </c>
      <c r="J373" s="1">
        <v>0</v>
      </c>
      <c r="K373" s="1">
        <f t="shared" si="13"/>
        <v>214.59999999999985</v>
      </c>
      <c r="L373" s="1">
        <v>0.7</v>
      </c>
      <c r="M373" s="1">
        <f t="shared" si="14"/>
        <v>199.40000000000003</v>
      </c>
      <c r="N373" s="1">
        <v>-0.7</v>
      </c>
      <c r="O373" s="1">
        <f t="shared" si="20"/>
        <v>78.499999999999957</v>
      </c>
      <c r="P373" s="6">
        <v>118</v>
      </c>
      <c r="Q373" s="1">
        <v>1</v>
      </c>
      <c r="R373" s="14">
        <f t="shared" si="10"/>
        <v>0.7</v>
      </c>
      <c r="S373" s="14">
        <f t="shared" si="11"/>
        <v>-0.7</v>
      </c>
      <c r="T373" s="15">
        <f t="shared" si="15"/>
        <v>97.617142857142781</v>
      </c>
      <c r="V373" s="1">
        <v>323.10000000000002</v>
      </c>
      <c r="X373" s="1">
        <f t="shared" si="16"/>
        <v>89369.300000000047</v>
      </c>
      <c r="Y373" s="1">
        <f t="shared" si="19"/>
        <v>17289.5</v>
      </c>
      <c r="AA373" s="25">
        <v>8.9968908908804792</v>
      </c>
    </row>
    <row r="374" spans="1:27" s="1" customFormat="1" x14ac:dyDescent="0.25">
      <c r="A374" s="69"/>
      <c r="B374" s="3"/>
      <c r="C374" s="8">
        <v>40547</v>
      </c>
      <c r="D374" s="1">
        <v>2.4</v>
      </c>
      <c r="E374" s="1">
        <v>0.1</v>
      </c>
      <c r="F374" s="1">
        <v>4.0999999999999996</v>
      </c>
      <c r="G374" s="1">
        <f t="shared" si="12"/>
        <v>1230.0999999999999</v>
      </c>
      <c r="H374" s="1">
        <f t="shared" si="18"/>
        <v>177.90000000000006</v>
      </c>
      <c r="J374" s="1">
        <v>0.6</v>
      </c>
      <c r="K374" s="1">
        <f t="shared" si="13"/>
        <v>215.19999999999985</v>
      </c>
      <c r="L374" s="1">
        <v>0.7</v>
      </c>
      <c r="M374" s="1">
        <f t="shared" si="14"/>
        <v>200.10000000000002</v>
      </c>
      <c r="N374" s="1">
        <v>-9.9999999999999978E-2</v>
      </c>
      <c r="O374" s="1">
        <f t="shared" si="20"/>
        <v>78.399999999999963</v>
      </c>
      <c r="P374" s="6">
        <v>119</v>
      </c>
      <c r="Q374" s="1">
        <v>1</v>
      </c>
      <c r="R374" s="14">
        <f t="shared" si="10"/>
        <v>0.7</v>
      </c>
      <c r="S374" s="14">
        <f t="shared" si="11"/>
        <v>-9.9999999999999978E-2</v>
      </c>
      <c r="T374" s="15">
        <f t="shared" si="15"/>
        <v>97.517142857142787</v>
      </c>
      <c r="V374" s="1">
        <v>598.70000000000005</v>
      </c>
      <c r="X374" s="1">
        <f t="shared" si="16"/>
        <v>89968.000000000044</v>
      </c>
      <c r="Y374" s="1">
        <f t="shared" si="19"/>
        <v>17888.2</v>
      </c>
      <c r="AA374" s="1">
        <v>9.0123317842943393</v>
      </c>
    </row>
    <row r="375" spans="1:27" s="45" customFormat="1" ht="15.75" thickBot="1" x14ac:dyDescent="0.3">
      <c r="A375" s="69"/>
      <c r="B375" s="43"/>
      <c r="C375" s="44">
        <v>40548</v>
      </c>
      <c r="D375" s="45">
        <v>5.8</v>
      </c>
      <c r="E375" s="45">
        <v>2.1</v>
      </c>
      <c r="F375" s="45">
        <v>9.6999999999999993</v>
      </c>
      <c r="G375" s="45">
        <f t="shared" si="12"/>
        <v>1235.8999999999999</v>
      </c>
      <c r="H375" s="45">
        <f t="shared" si="18"/>
        <v>183.70000000000007</v>
      </c>
      <c r="J375" s="45">
        <v>0</v>
      </c>
      <c r="K375" s="45">
        <f t="shared" si="13"/>
        <v>215.19999999999985</v>
      </c>
      <c r="L375" s="45">
        <v>1.1000000000000001</v>
      </c>
      <c r="M375" s="45">
        <f t="shared" si="14"/>
        <v>201.20000000000002</v>
      </c>
      <c r="N375" s="45">
        <v>-1.1000000000000001</v>
      </c>
      <c r="O375" s="45">
        <f t="shared" si="20"/>
        <v>77.299999999999969</v>
      </c>
      <c r="P375" s="46">
        <v>120</v>
      </c>
      <c r="Q375" s="45">
        <v>1</v>
      </c>
      <c r="R375" s="48">
        <f t="shared" si="10"/>
        <v>1.1000000000000001</v>
      </c>
      <c r="S375" s="48">
        <f t="shared" si="11"/>
        <v>-1.1000000000000001</v>
      </c>
      <c r="T375" s="49">
        <f t="shared" si="15"/>
        <v>96.417142857142792</v>
      </c>
      <c r="V375" s="45">
        <v>536.5</v>
      </c>
      <c r="X375" s="45">
        <f t="shared" si="16"/>
        <v>90504.500000000044</v>
      </c>
      <c r="Y375" s="45">
        <f t="shared" si="19"/>
        <v>18424.7</v>
      </c>
      <c r="AA375" s="45">
        <v>9.0289536477070094</v>
      </c>
    </row>
    <row r="376" spans="1:27" s="1" customFormat="1" ht="15" customHeight="1" x14ac:dyDescent="0.25">
      <c r="A376" s="70" t="s">
        <v>48</v>
      </c>
      <c r="B376" s="3"/>
      <c r="C376" s="8">
        <v>40549</v>
      </c>
      <c r="D376" s="1">
        <v>10.6</v>
      </c>
      <c r="E376" s="1">
        <v>6.8</v>
      </c>
      <c r="F376" s="1">
        <v>12.4</v>
      </c>
      <c r="G376" s="1">
        <f t="shared" si="12"/>
        <v>1246.4999999999998</v>
      </c>
      <c r="H376" s="1">
        <v>10.6</v>
      </c>
      <c r="I376" s="26" t="s">
        <v>30</v>
      </c>
      <c r="J376" s="1">
        <v>0</v>
      </c>
      <c r="K376" s="1">
        <f t="shared" si="13"/>
        <v>215.19999999999985</v>
      </c>
      <c r="L376" s="1">
        <v>0.5</v>
      </c>
      <c r="M376" s="1">
        <f t="shared" si="14"/>
        <v>201.70000000000002</v>
      </c>
      <c r="N376" s="1">
        <v>-0.5</v>
      </c>
      <c r="O376" s="1">
        <f t="shared" si="20"/>
        <v>76.799999999999969</v>
      </c>
      <c r="P376" s="6">
        <v>121</v>
      </c>
      <c r="Q376" s="16">
        <f>1+((P376-120)/73)*(1.15-1)</f>
        <v>1.002054794520548</v>
      </c>
      <c r="R376" s="14">
        <f t="shared" si="10"/>
        <v>0.50102739726027401</v>
      </c>
      <c r="S376" s="14">
        <f t="shared" si="11"/>
        <v>-0.50102739726027401</v>
      </c>
      <c r="T376" s="15">
        <f t="shared" si="15"/>
        <v>95.916115459882519</v>
      </c>
      <c r="U376" s="26" t="s">
        <v>31</v>
      </c>
      <c r="V376" s="1">
        <v>270.3</v>
      </c>
      <c r="X376" s="1">
        <f t="shared" si="16"/>
        <v>90774.800000000047</v>
      </c>
      <c r="Y376" s="1">
        <v>270.3</v>
      </c>
      <c r="Z376" s="26" t="s">
        <v>32</v>
      </c>
      <c r="AA376" s="1">
        <v>9.0467400537614999</v>
      </c>
    </row>
    <row r="377" spans="1:27" s="1" customFormat="1" x14ac:dyDescent="0.25">
      <c r="A377" s="70"/>
      <c r="B377" s="3">
        <v>6</v>
      </c>
      <c r="C377" s="8">
        <v>40550</v>
      </c>
      <c r="D377" s="1">
        <v>11.1</v>
      </c>
      <c r="E377" s="1">
        <v>10.1</v>
      </c>
      <c r="F377" s="1">
        <v>13.6</v>
      </c>
      <c r="G377" s="1">
        <f t="shared" si="12"/>
        <v>1257.5999999999997</v>
      </c>
      <c r="H377" s="1">
        <f t="shared" si="18"/>
        <v>21.7</v>
      </c>
      <c r="I377" s="1">
        <f>MIN(E376:E448)</f>
        <v>-4.5999999999999996</v>
      </c>
      <c r="J377" s="1">
        <v>0</v>
      </c>
      <c r="K377" s="1">
        <f t="shared" si="13"/>
        <v>215.19999999999985</v>
      </c>
      <c r="L377" s="1">
        <v>1</v>
      </c>
      <c r="M377" s="1">
        <f t="shared" si="14"/>
        <v>202.70000000000002</v>
      </c>
      <c r="N377" s="1">
        <v>-1</v>
      </c>
      <c r="O377" s="1">
        <f t="shared" si="20"/>
        <v>75.799999999999969</v>
      </c>
      <c r="P377" s="6">
        <v>122</v>
      </c>
      <c r="Q377" s="16">
        <f t="shared" ref="Q377:Q440" si="21">1+((P377-120)/73)*(1.15-1)</f>
        <v>1.0041095890410958</v>
      </c>
      <c r="R377" s="14">
        <f t="shared" si="10"/>
        <v>1.0041095890410958</v>
      </c>
      <c r="S377" s="14">
        <f t="shared" si="11"/>
        <v>-1.0041095890410958</v>
      </c>
      <c r="T377" s="15">
        <f t="shared" si="15"/>
        <v>94.912005870841426</v>
      </c>
      <c r="U377" s="1">
        <v>57</v>
      </c>
      <c r="V377" s="1">
        <v>342.5</v>
      </c>
      <c r="X377" s="1">
        <f t="shared" si="16"/>
        <v>91117.300000000047</v>
      </c>
      <c r="Y377" s="1">
        <f t="shared" si="19"/>
        <v>612.79999999999995</v>
      </c>
      <c r="Z377" s="1">
        <v>56159.299999999996</v>
      </c>
      <c r="AA377" s="1">
        <v>9.0656736130913007</v>
      </c>
    </row>
    <row r="378" spans="1:27" s="1" customFormat="1" x14ac:dyDescent="0.25">
      <c r="A378" s="70"/>
      <c r="B378" s="3"/>
      <c r="C378" s="8">
        <v>40551</v>
      </c>
      <c r="D378" s="1">
        <v>11.3</v>
      </c>
      <c r="E378" s="1">
        <v>8.1</v>
      </c>
      <c r="F378" s="1">
        <v>15.4</v>
      </c>
      <c r="G378" s="1">
        <f t="shared" si="12"/>
        <v>1268.8999999999996</v>
      </c>
      <c r="H378" s="1">
        <f t="shared" si="18"/>
        <v>33</v>
      </c>
      <c r="I378" s="26" t="s">
        <v>33</v>
      </c>
      <c r="J378" s="1">
        <v>0.5</v>
      </c>
      <c r="K378" s="1">
        <f t="shared" si="13"/>
        <v>215.69999999999985</v>
      </c>
      <c r="L378" s="1">
        <v>0.9</v>
      </c>
      <c r="M378" s="1">
        <f t="shared" si="14"/>
        <v>203.60000000000002</v>
      </c>
      <c r="N378" s="1">
        <v>-0.4</v>
      </c>
      <c r="O378" s="1">
        <f t="shared" si="20"/>
        <v>75.399999999999963</v>
      </c>
      <c r="P378" s="6">
        <v>123</v>
      </c>
      <c r="Q378" s="16">
        <f t="shared" si="21"/>
        <v>1.0061643835616438</v>
      </c>
      <c r="R378" s="14">
        <f t="shared" si="10"/>
        <v>0.90554794520547943</v>
      </c>
      <c r="S378" s="14">
        <f t="shared" si="11"/>
        <v>-0.40554794520547943</v>
      </c>
      <c r="T378" s="15">
        <f t="shared" si="15"/>
        <v>94.506457925635942</v>
      </c>
      <c r="U378" s="26" t="s">
        <v>34</v>
      </c>
      <c r="V378" s="1">
        <v>328.5</v>
      </c>
      <c r="X378" s="1">
        <f t="shared" si="16"/>
        <v>91445.800000000047</v>
      </c>
      <c r="Y378" s="1">
        <f t="shared" si="19"/>
        <v>941.3</v>
      </c>
      <c r="Z378" s="26" t="s">
        <v>35</v>
      </c>
      <c r="AA378" s="1">
        <v>9.0857360343126992</v>
      </c>
    </row>
    <row r="379" spans="1:27" s="1" customFormat="1" x14ac:dyDescent="0.25">
      <c r="A379" s="70"/>
      <c r="B379" s="3"/>
      <c r="C379" s="8">
        <v>40552</v>
      </c>
      <c r="D379" s="1">
        <v>7.2</v>
      </c>
      <c r="E379" s="1">
        <v>5.5</v>
      </c>
      <c r="F379" s="1">
        <v>9.3000000000000007</v>
      </c>
      <c r="G379" s="1">
        <f t="shared" si="12"/>
        <v>1276.0999999999997</v>
      </c>
      <c r="H379" s="1">
        <f t="shared" si="18"/>
        <v>40.200000000000003</v>
      </c>
      <c r="I379" s="1">
        <f>MAX(F376:F448)</f>
        <v>16.600000000000001</v>
      </c>
      <c r="J379" s="1">
        <v>4.4000000000000004</v>
      </c>
      <c r="K379" s="1">
        <f t="shared" si="13"/>
        <v>220.09999999999985</v>
      </c>
      <c r="L379" s="1">
        <v>0.3</v>
      </c>
      <c r="M379" s="1">
        <f t="shared" si="14"/>
        <v>203.90000000000003</v>
      </c>
      <c r="N379" s="1">
        <v>4.1000000000000005</v>
      </c>
      <c r="O379" s="1">
        <f t="shared" si="20"/>
        <v>79.499999999999957</v>
      </c>
      <c r="P379" s="6">
        <v>124</v>
      </c>
      <c r="Q379" s="16">
        <f t="shared" si="21"/>
        <v>1.0082191780821919</v>
      </c>
      <c r="R379" s="14">
        <f t="shared" si="10"/>
        <v>0.30246575342465754</v>
      </c>
      <c r="S379" s="14">
        <f t="shared" si="11"/>
        <v>4.0975342465753428</v>
      </c>
      <c r="T379" s="15">
        <f t="shared" si="15"/>
        <v>98.603992172211292</v>
      </c>
      <c r="U379" s="1">
        <v>0</v>
      </c>
      <c r="V379" s="1">
        <v>168.8</v>
      </c>
      <c r="X379" s="1">
        <f t="shared" si="16"/>
        <v>91614.600000000049</v>
      </c>
      <c r="Y379" s="1">
        <f t="shared" si="19"/>
        <v>1110.0999999999999</v>
      </c>
      <c r="Z379" s="16">
        <f>(Z377/100)/I389</f>
        <v>1.0574147994727923</v>
      </c>
      <c r="AA379" s="1">
        <v>9.1069081858402594</v>
      </c>
    </row>
    <row r="380" spans="1:27" s="1" customFormat="1" x14ac:dyDescent="0.25">
      <c r="A380" s="70"/>
      <c r="B380" s="3"/>
      <c r="C380" s="8">
        <v>40553</v>
      </c>
      <c r="D380" s="1">
        <v>3.6</v>
      </c>
      <c r="E380" s="1">
        <v>-0.7</v>
      </c>
      <c r="F380" s="1">
        <v>7.9</v>
      </c>
      <c r="G380" s="1">
        <f t="shared" si="12"/>
        <v>1279.6999999999996</v>
      </c>
      <c r="H380" s="1">
        <f t="shared" si="18"/>
        <v>43.800000000000004</v>
      </c>
      <c r="I380" s="26" t="s">
        <v>36</v>
      </c>
      <c r="J380" s="1">
        <v>5.9</v>
      </c>
      <c r="K380" s="1">
        <f t="shared" si="13"/>
        <v>225.99999999999986</v>
      </c>
      <c r="L380" s="1">
        <v>0.8</v>
      </c>
      <c r="M380" s="1">
        <f t="shared" si="14"/>
        <v>204.70000000000005</v>
      </c>
      <c r="N380" s="1">
        <v>5.1000000000000005</v>
      </c>
      <c r="O380" s="1">
        <f t="shared" si="20"/>
        <v>84.599999999999952</v>
      </c>
      <c r="P380" s="6">
        <v>125</v>
      </c>
      <c r="Q380" s="16">
        <f t="shared" si="21"/>
        <v>1.0102739726027397</v>
      </c>
      <c r="R380" s="14">
        <f t="shared" si="10"/>
        <v>0.80821917808219179</v>
      </c>
      <c r="S380" s="14">
        <f t="shared" si="11"/>
        <v>5.0917808219178085</v>
      </c>
      <c r="T380" s="15">
        <f t="shared" si="15"/>
        <v>103.6957729941291</v>
      </c>
      <c r="U380" s="26" t="s">
        <v>37</v>
      </c>
      <c r="V380" s="1">
        <v>722.3</v>
      </c>
      <c r="X380" s="1">
        <f t="shared" si="16"/>
        <v>92336.900000000052</v>
      </c>
      <c r="Y380" s="1">
        <f t="shared" si="19"/>
        <v>1832.3999999999999</v>
      </c>
      <c r="Z380" s="26" t="s">
        <v>38</v>
      </c>
      <c r="AA380" s="1">
        <v>9.1291701591237508</v>
      </c>
    </row>
    <row r="381" spans="1:27" s="1" customFormat="1" x14ac:dyDescent="0.25">
      <c r="A381" s="70"/>
      <c r="B381" s="3"/>
      <c r="C381" s="8">
        <v>40554</v>
      </c>
      <c r="D381" s="1">
        <v>8.9</v>
      </c>
      <c r="E381" s="1">
        <v>3.2</v>
      </c>
      <c r="F381" s="1">
        <v>14.2</v>
      </c>
      <c r="G381" s="1">
        <f t="shared" si="12"/>
        <v>1288.5999999999997</v>
      </c>
      <c r="H381" s="1">
        <f t="shared" si="18"/>
        <v>52.7</v>
      </c>
      <c r="I381" s="14">
        <f>AVERAGE(D376:D448)</f>
        <v>7.2397260273972588</v>
      </c>
      <c r="J381" s="1">
        <v>5.6</v>
      </c>
      <c r="K381" s="1">
        <f t="shared" si="13"/>
        <v>231.59999999999985</v>
      </c>
      <c r="L381" s="1">
        <v>0.7</v>
      </c>
      <c r="M381" s="1">
        <f t="shared" si="14"/>
        <v>205.40000000000003</v>
      </c>
      <c r="N381" s="1">
        <v>4.8999999999999995</v>
      </c>
      <c r="O381" s="1">
        <f t="shared" si="20"/>
        <v>89.499999999999957</v>
      </c>
      <c r="P381" s="6">
        <v>126</v>
      </c>
      <c r="Q381" s="16">
        <f t="shared" si="21"/>
        <v>1.0123287671232877</v>
      </c>
      <c r="R381" s="14">
        <f t="shared" si="10"/>
        <v>0.70863013698630128</v>
      </c>
      <c r="S381" s="14">
        <f t="shared" si="11"/>
        <v>4.8913698630136988</v>
      </c>
      <c r="T381" s="15">
        <f t="shared" si="15"/>
        <v>108.58714285714279</v>
      </c>
      <c r="U381" s="1">
        <v>0</v>
      </c>
      <c r="V381" s="1">
        <v>164</v>
      </c>
      <c r="X381" s="1">
        <f t="shared" si="16"/>
        <v>92500.900000000052</v>
      </c>
      <c r="Y381" s="1">
        <f t="shared" si="19"/>
        <v>1996.3999999999999</v>
      </c>
      <c r="Z381" s="1">
        <v>47</v>
      </c>
      <c r="AA381" s="1">
        <v>9.1525013329092904</v>
      </c>
    </row>
    <row r="382" spans="1:27" s="1" customFormat="1" x14ac:dyDescent="0.25">
      <c r="A382" s="70"/>
      <c r="B382" s="3"/>
      <c r="C382" s="8">
        <v>40555</v>
      </c>
      <c r="D382" s="1">
        <v>10.1</v>
      </c>
      <c r="E382" s="1">
        <v>8</v>
      </c>
      <c r="F382" s="1">
        <v>12.8</v>
      </c>
      <c r="G382" s="1">
        <f t="shared" si="12"/>
        <v>1298.6999999999996</v>
      </c>
      <c r="H382" s="1">
        <f t="shared" si="18"/>
        <v>62.800000000000004</v>
      </c>
      <c r="I382" s="26" t="s">
        <v>39</v>
      </c>
      <c r="J382" s="1">
        <v>1.9</v>
      </c>
      <c r="K382" s="1">
        <f t="shared" si="13"/>
        <v>233.49999999999986</v>
      </c>
      <c r="L382" s="1">
        <v>0.5</v>
      </c>
      <c r="M382" s="1">
        <f t="shared" si="14"/>
        <v>205.90000000000003</v>
      </c>
      <c r="N382" s="1">
        <v>1.4</v>
      </c>
      <c r="O382" s="1">
        <f t="shared" si="20"/>
        <v>90.899999999999963</v>
      </c>
      <c r="P382" s="6">
        <v>127</v>
      </c>
      <c r="Q382" s="16">
        <f t="shared" si="21"/>
        <v>1.0143835616438357</v>
      </c>
      <c r="R382" s="14">
        <f t="shared" si="10"/>
        <v>0.50719178082191785</v>
      </c>
      <c r="S382" s="14">
        <f t="shared" si="11"/>
        <v>1.392808219178082</v>
      </c>
      <c r="T382" s="15">
        <f t="shared" si="15"/>
        <v>109.97995107632087</v>
      </c>
      <c r="U382" s="26" t="s">
        <v>40</v>
      </c>
      <c r="V382" s="1">
        <v>150.5</v>
      </c>
      <c r="X382" s="1">
        <f t="shared" si="16"/>
        <v>92651.400000000052</v>
      </c>
      <c r="Y382" s="1">
        <f t="shared" si="19"/>
        <v>2146.8999999999996</v>
      </c>
      <c r="AA382" s="1">
        <v>9.1768804381359708</v>
      </c>
    </row>
    <row r="383" spans="1:27" s="1" customFormat="1" x14ac:dyDescent="0.25">
      <c r="A383" s="70"/>
      <c r="B383" s="3"/>
      <c r="C383" s="8">
        <v>40556</v>
      </c>
      <c r="D383" s="1">
        <v>11.8</v>
      </c>
      <c r="E383" s="1">
        <v>11.5</v>
      </c>
      <c r="F383" s="1">
        <v>16.100000000000001</v>
      </c>
      <c r="G383" s="1">
        <f t="shared" si="12"/>
        <v>1310.4999999999995</v>
      </c>
      <c r="H383" s="1">
        <f t="shared" si="18"/>
        <v>74.600000000000009</v>
      </c>
      <c r="I383" s="1">
        <v>13</v>
      </c>
      <c r="J383" s="1">
        <v>0.2</v>
      </c>
      <c r="K383" s="1">
        <f t="shared" si="13"/>
        <v>233.69999999999985</v>
      </c>
      <c r="L383" s="1">
        <v>1.2</v>
      </c>
      <c r="M383" s="1">
        <f t="shared" si="14"/>
        <v>207.10000000000002</v>
      </c>
      <c r="N383" s="1">
        <v>-1</v>
      </c>
      <c r="O383" s="1">
        <f t="shared" si="20"/>
        <v>89.899999999999963</v>
      </c>
      <c r="P383" s="6">
        <v>128</v>
      </c>
      <c r="Q383" s="16">
        <f t="shared" si="21"/>
        <v>1.0164383561643835</v>
      </c>
      <c r="R383" s="14">
        <f t="shared" si="10"/>
        <v>1.2197260273972601</v>
      </c>
      <c r="S383" s="14">
        <f t="shared" si="11"/>
        <v>-1.0197260273972601</v>
      </c>
      <c r="T383" s="15">
        <f t="shared" si="15"/>
        <v>108.96022504892362</v>
      </c>
      <c r="U383" s="14">
        <f>MIN(T376:T448)</f>
        <v>71.074129158512704</v>
      </c>
      <c r="V383" s="1">
        <v>412.3</v>
      </c>
      <c r="X383" s="1">
        <f t="shared" si="16"/>
        <v>93063.700000000055</v>
      </c>
      <c r="Y383" s="1">
        <f t="shared" si="19"/>
        <v>2559.1999999999998</v>
      </c>
      <c r="AA383" s="1">
        <v>9.2022856230905408</v>
      </c>
    </row>
    <row r="384" spans="1:27" s="1" customFormat="1" x14ac:dyDescent="0.25">
      <c r="A384" s="70"/>
      <c r="B384" s="3">
        <v>7</v>
      </c>
      <c r="C384" s="8">
        <v>40557</v>
      </c>
      <c r="D384" s="1">
        <v>6.4</v>
      </c>
      <c r="E384" s="1">
        <v>5</v>
      </c>
      <c r="F384" s="1">
        <v>8.3000000000000007</v>
      </c>
      <c r="G384" s="1">
        <f t="shared" si="12"/>
        <v>1316.8999999999996</v>
      </c>
      <c r="H384" s="1">
        <f t="shared" si="18"/>
        <v>81.000000000000014</v>
      </c>
      <c r="I384" s="26" t="s">
        <v>41</v>
      </c>
      <c r="J384" s="1">
        <v>0.2</v>
      </c>
      <c r="K384" s="1">
        <f t="shared" si="13"/>
        <v>233.89999999999984</v>
      </c>
      <c r="L384" s="1">
        <v>0.8</v>
      </c>
      <c r="M384" s="1">
        <f t="shared" si="14"/>
        <v>207.90000000000003</v>
      </c>
      <c r="N384" s="1">
        <v>-0.60000000000000009</v>
      </c>
      <c r="O384" s="1">
        <f t="shared" si="20"/>
        <v>89.299999999999969</v>
      </c>
      <c r="P384" s="6">
        <v>129</v>
      </c>
      <c r="Q384" s="16">
        <f t="shared" si="21"/>
        <v>1.0184931506849315</v>
      </c>
      <c r="R384" s="14">
        <f t="shared" ref="R384:R447" si="22">Q384*L384</f>
        <v>0.81479452054794521</v>
      </c>
      <c r="S384" s="14">
        <f t="shared" si="11"/>
        <v>-0.61479452054794526</v>
      </c>
      <c r="T384" s="15">
        <f t="shared" si="15"/>
        <v>108.34543052837567</v>
      </c>
      <c r="U384" s="26" t="s">
        <v>42</v>
      </c>
      <c r="V384" s="1">
        <v>340.4</v>
      </c>
      <c r="X384" s="1">
        <f t="shared" si="16"/>
        <v>93404.100000000049</v>
      </c>
      <c r="Y384" s="1">
        <f t="shared" si="19"/>
        <v>2899.6</v>
      </c>
      <c r="AA384" s="1">
        <v>9.2286945184577291</v>
      </c>
    </row>
    <row r="385" spans="1:27" s="1" customFormat="1" x14ac:dyDescent="0.25">
      <c r="A385" s="70"/>
      <c r="B385" s="3"/>
      <c r="C385" s="8">
        <v>40558</v>
      </c>
      <c r="D385" s="1">
        <v>6.8</v>
      </c>
      <c r="E385" s="1">
        <v>5.2</v>
      </c>
      <c r="F385" s="1">
        <v>9.1</v>
      </c>
      <c r="G385" s="1">
        <f t="shared" si="12"/>
        <v>1323.6999999999996</v>
      </c>
      <c r="H385" s="1">
        <f t="shared" si="18"/>
        <v>87.800000000000011</v>
      </c>
      <c r="I385" s="1">
        <v>0</v>
      </c>
      <c r="J385" s="1">
        <v>0.2</v>
      </c>
      <c r="K385" s="1">
        <f t="shared" si="13"/>
        <v>234.09999999999982</v>
      </c>
      <c r="L385" s="1">
        <v>0.9</v>
      </c>
      <c r="M385" s="1">
        <f t="shared" si="14"/>
        <v>208.80000000000004</v>
      </c>
      <c r="N385" s="1">
        <v>-0.7</v>
      </c>
      <c r="O385" s="1">
        <f t="shared" si="20"/>
        <v>88.599999999999966</v>
      </c>
      <c r="P385" s="6">
        <v>130</v>
      </c>
      <c r="Q385" s="16">
        <f t="shared" si="21"/>
        <v>1.0205479452054795</v>
      </c>
      <c r="R385" s="14">
        <f t="shared" si="22"/>
        <v>0.91849315068493165</v>
      </c>
      <c r="S385" s="14">
        <f t="shared" ref="S385:S448" si="23">J385-R385</f>
        <v>-0.71849315068493169</v>
      </c>
      <c r="T385" s="15">
        <f t="shared" si="15"/>
        <v>107.62693737769074</v>
      </c>
      <c r="U385" s="14">
        <f>MAX(T376:T448)</f>
        <v>109.97995107632087</v>
      </c>
      <c r="V385" s="1">
        <v>476.3</v>
      </c>
      <c r="X385" s="1">
        <f t="shared" si="16"/>
        <v>93880.400000000052</v>
      </c>
      <c r="Y385" s="1">
        <f t="shared" si="19"/>
        <v>3375.9</v>
      </c>
      <c r="AA385" s="1">
        <v>9.2560843019213195</v>
      </c>
    </row>
    <row r="386" spans="1:27" s="1" customFormat="1" x14ac:dyDescent="0.25">
      <c r="A386" s="70"/>
      <c r="B386" s="3"/>
      <c r="C386" s="8">
        <v>40559</v>
      </c>
      <c r="D386" s="1">
        <v>8.1999999999999993</v>
      </c>
      <c r="E386" s="1">
        <v>3.1</v>
      </c>
      <c r="F386" s="1">
        <v>12.5</v>
      </c>
      <c r="G386" s="1">
        <f t="shared" ref="G386:G449" si="24">G385+D386</f>
        <v>1331.8999999999996</v>
      </c>
      <c r="H386" s="1">
        <f t="shared" si="18"/>
        <v>96.000000000000014</v>
      </c>
      <c r="I386" s="26" t="s">
        <v>43</v>
      </c>
      <c r="J386" s="1">
        <v>0.1</v>
      </c>
      <c r="K386" s="1">
        <f t="shared" ref="K386:K449" si="25">K385+J386</f>
        <v>234.19999999999982</v>
      </c>
      <c r="L386" s="1">
        <v>1.1000000000000001</v>
      </c>
      <c r="M386" s="1">
        <f t="shared" ref="M386:M449" si="26">M385+L386</f>
        <v>209.90000000000003</v>
      </c>
      <c r="N386" s="1">
        <v>-1</v>
      </c>
      <c r="O386" s="1">
        <f t="shared" si="20"/>
        <v>87.599999999999966</v>
      </c>
      <c r="P386" s="6">
        <v>131</v>
      </c>
      <c r="Q386" s="16">
        <f t="shared" si="21"/>
        <v>1.0226027397260273</v>
      </c>
      <c r="R386" s="14">
        <f t="shared" si="22"/>
        <v>1.1248630136986302</v>
      </c>
      <c r="S386" s="14">
        <f t="shared" si="23"/>
        <v>-1.0248630136986301</v>
      </c>
      <c r="T386" s="15">
        <f t="shared" ref="T386:T449" si="27">T385+S386</f>
        <v>106.6020743639921</v>
      </c>
      <c r="U386" s="26" t="s">
        <v>44</v>
      </c>
      <c r="V386" s="1">
        <v>886.1</v>
      </c>
      <c r="X386" s="1">
        <f t="shared" ref="X386:X449" si="28">X385+V386</f>
        <v>94766.500000000058</v>
      </c>
      <c r="Y386" s="1">
        <f t="shared" si="19"/>
        <v>4262</v>
      </c>
      <c r="AA386" s="1">
        <v>9.2844317619909909</v>
      </c>
    </row>
    <row r="387" spans="1:27" s="1" customFormat="1" x14ac:dyDescent="0.25">
      <c r="A387" s="70"/>
      <c r="B387" s="3"/>
      <c r="C387" s="8">
        <v>40560</v>
      </c>
      <c r="D387" s="1">
        <v>9.5</v>
      </c>
      <c r="E387" s="1">
        <v>4.9000000000000004</v>
      </c>
      <c r="F387" s="1">
        <v>15.9</v>
      </c>
      <c r="G387" s="1">
        <f t="shared" si="24"/>
        <v>1341.3999999999996</v>
      </c>
      <c r="H387" s="1">
        <f t="shared" si="18"/>
        <v>105.50000000000001</v>
      </c>
      <c r="I387" s="1">
        <v>28</v>
      </c>
      <c r="J387" s="1">
        <v>0</v>
      </c>
      <c r="K387" s="1">
        <f t="shared" si="25"/>
        <v>234.19999999999982</v>
      </c>
      <c r="L387" s="1">
        <v>1.2</v>
      </c>
      <c r="M387" s="1">
        <f t="shared" si="26"/>
        <v>211.10000000000002</v>
      </c>
      <c r="N387" s="1">
        <v>-1.2</v>
      </c>
      <c r="O387" s="1">
        <f t="shared" si="20"/>
        <v>86.399999999999963</v>
      </c>
      <c r="P387" s="6">
        <v>132</v>
      </c>
      <c r="Q387" s="16">
        <f t="shared" si="21"/>
        <v>1.0246575342465754</v>
      </c>
      <c r="R387" s="14">
        <f t="shared" si="22"/>
        <v>1.2295890410958903</v>
      </c>
      <c r="S387" s="14">
        <f t="shared" si="23"/>
        <v>-1.2295890410958903</v>
      </c>
      <c r="T387" s="15">
        <f t="shared" si="27"/>
        <v>105.37248532289621</v>
      </c>
      <c r="U387" s="16">
        <f>AVERAGE(T376:T448)</f>
        <v>92.361533924885364</v>
      </c>
      <c r="V387" s="1">
        <v>488.4</v>
      </c>
      <c r="X387" s="1">
        <f t="shared" si="28"/>
        <v>95254.900000000052</v>
      </c>
      <c r="Y387" s="1">
        <f t="shared" si="19"/>
        <v>4750.3999999999996</v>
      </c>
      <c r="AA387" s="1">
        <v>9.3137133607517306</v>
      </c>
    </row>
    <row r="388" spans="1:27" s="1" customFormat="1" x14ac:dyDescent="0.25">
      <c r="A388" s="70"/>
      <c r="B388" s="3"/>
      <c r="C388" s="8">
        <v>40561</v>
      </c>
      <c r="D388" s="1">
        <v>8.5</v>
      </c>
      <c r="E388" s="1">
        <v>5.8</v>
      </c>
      <c r="F388" s="1">
        <v>13.9</v>
      </c>
      <c r="G388" s="1">
        <f t="shared" si="24"/>
        <v>1349.8999999999996</v>
      </c>
      <c r="H388" s="1">
        <f t="shared" si="18"/>
        <v>114.00000000000001</v>
      </c>
      <c r="I388" s="26" t="s">
        <v>45</v>
      </c>
      <c r="J388" s="1">
        <v>0</v>
      </c>
      <c r="K388" s="1">
        <f t="shared" si="25"/>
        <v>234.19999999999982</v>
      </c>
      <c r="L388" s="1">
        <v>1</v>
      </c>
      <c r="M388" s="1">
        <f t="shared" si="26"/>
        <v>212.10000000000002</v>
      </c>
      <c r="N388" s="1">
        <v>-1</v>
      </c>
      <c r="O388" s="1">
        <f t="shared" si="20"/>
        <v>85.399999999999963</v>
      </c>
      <c r="P388" s="6">
        <v>133</v>
      </c>
      <c r="Q388" s="16">
        <f t="shared" si="21"/>
        <v>1.0267123287671234</v>
      </c>
      <c r="R388" s="14">
        <f t="shared" si="22"/>
        <v>1.0267123287671234</v>
      </c>
      <c r="S388" s="14">
        <f t="shared" si="23"/>
        <v>-1.0267123287671234</v>
      </c>
      <c r="T388" s="15">
        <f t="shared" si="27"/>
        <v>104.34577299412909</v>
      </c>
      <c r="V388" s="1">
        <v>565.70000000000005</v>
      </c>
      <c r="X388" s="1">
        <f t="shared" si="28"/>
        <v>95820.600000000049</v>
      </c>
      <c r="Y388" s="1">
        <f t="shared" si="19"/>
        <v>5316.0999999999995</v>
      </c>
      <c r="AA388" s="1">
        <v>9.3439052952562403</v>
      </c>
    </row>
    <row r="389" spans="1:27" s="1" customFormat="1" x14ac:dyDescent="0.25">
      <c r="A389" s="70"/>
      <c r="B389" s="3"/>
      <c r="C389" s="8">
        <v>40562</v>
      </c>
      <c r="D389" s="1">
        <v>6.3</v>
      </c>
      <c r="E389" s="1">
        <v>5.6</v>
      </c>
      <c r="F389" s="1">
        <v>10.4</v>
      </c>
      <c r="G389" s="1">
        <f t="shared" si="24"/>
        <v>1356.1999999999996</v>
      </c>
      <c r="H389" s="1">
        <f t="shared" si="18"/>
        <v>120.30000000000001</v>
      </c>
      <c r="I389" s="1">
        <v>531.1</v>
      </c>
      <c r="J389" s="1">
        <v>0</v>
      </c>
      <c r="K389" s="1">
        <f t="shared" si="25"/>
        <v>234.19999999999982</v>
      </c>
      <c r="L389" s="1">
        <v>1</v>
      </c>
      <c r="M389" s="1">
        <f t="shared" si="26"/>
        <v>213.10000000000002</v>
      </c>
      <c r="N389" s="1">
        <v>-1</v>
      </c>
      <c r="O389" s="1">
        <f t="shared" si="20"/>
        <v>84.399999999999963</v>
      </c>
      <c r="P389" s="6">
        <v>134</v>
      </c>
      <c r="Q389" s="16">
        <f t="shared" si="21"/>
        <v>1.0287671232876712</v>
      </c>
      <c r="R389" s="14">
        <f t="shared" si="22"/>
        <v>1.0287671232876712</v>
      </c>
      <c r="S389" s="14">
        <f t="shared" si="23"/>
        <v>-1.0287671232876712</v>
      </c>
      <c r="T389" s="15">
        <f t="shared" si="27"/>
        <v>103.31700587084143</v>
      </c>
      <c r="U389" s="14">
        <f>(U387*100)/122.1</f>
        <v>75.644171928653051</v>
      </c>
      <c r="V389" s="1">
        <v>627.79999999999995</v>
      </c>
      <c r="X389" s="1">
        <f t="shared" si="28"/>
        <v>96448.400000000052</v>
      </c>
      <c r="Y389" s="1">
        <f t="shared" si="19"/>
        <v>5943.9</v>
      </c>
      <c r="AA389" s="1">
        <v>9.3749835573052707</v>
      </c>
    </row>
    <row r="390" spans="1:27" s="1" customFormat="1" x14ac:dyDescent="0.25">
      <c r="A390" s="70"/>
      <c r="B390" s="3"/>
      <c r="C390" s="8">
        <v>40563</v>
      </c>
      <c r="D390" s="1">
        <v>2.1</v>
      </c>
      <c r="E390" s="1">
        <v>-1.4</v>
      </c>
      <c r="F390" s="1">
        <v>5.0999999999999996</v>
      </c>
      <c r="G390" s="1">
        <f t="shared" si="24"/>
        <v>1358.2999999999995</v>
      </c>
      <c r="H390" s="1">
        <f t="shared" si="18"/>
        <v>122.4</v>
      </c>
      <c r="J390" s="1">
        <v>0</v>
      </c>
      <c r="K390" s="1">
        <f t="shared" si="25"/>
        <v>234.19999999999982</v>
      </c>
      <c r="L390" s="1">
        <v>1.1000000000000001</v>
      </c>
      <c r="M390" s="1">
        <f t="shared" si="26"/>
        <v>214.20000000000002</v>
      </c>
      <c r="N390" s="1">
        <v>-1.1000000000000001</v>
      </c>
      <c r="O390" s="1">
        <f t="shared" si="20"/>
        <v>83.299999999999969</v>
      </c>
      <c r="P390" s="6">
        <v>135</v>
      </c>
      <c r="Q390" s="16">
        <f t="shared" si="21"/>
        <v>1.0308219178082192</v>
      </c>
      <c r="R390" s="14">
        <f t="shared" si="22"/>
        <v>1.1339041095890412</v>
      </c>
      <c r="S390" s="14">
        <f t="shared" si="23"/>
        <v>-1.1339041095890412</v>
      </c>
      <c r="T390" s="15">
        <f t="shared" si="27"/>
        <v>102.18310176125239</v>
      </c>
      <c r="V390" s="1">
        <v>1057.5999999999999</v>
      </c>
      <c r="X390" s="1">
        <f t="shared" si="28"/>
        <v>97506.000000000058</v>
      </c>
      <c r="Y390" s="1">
        <f t="shared" si="19"/>
        <v>7001.5</v>
      </c>
      <c r="AA390" s="1">
        <v>9.4069239913861793</v>
      </c>
    </row>
    <row r="391" spans="1:27" s="1" customFormat="1" x14ac:dyDescent="0.25">
      <c r="A391" s="70"/>
      <c r="B391" s="3">
        <v>8</v>
      </c>
      <c r="C391" s="8">
        <v>40564</v>
      </c>
      <c r="D391" s="1">
        <v>0.7</v>
      </c>
      <c r="E391" s="1">
        <v>-0.9</v>
      </c>
      <c r="F391" s="1">
        <v>4.2</v>
      </c>
      <c r="G391" s="1">
        <f t="shared" si="24"/>
        <v>1358.9999999999995</v>
      </c>
      <c r="H391" s="1">
        <f t="shared" si="18"/>
        <v>123.10000000000001</v>
      </c>
      <c r="J391" s="1">
        <v>0</v>
      </c>
      <c r="K391" s="1">
        <f t="shared" si="25"/>
        <v>234.19999999999982</v>
      </c>
      <c r="L391" s="1">
        <v>1.2</v>
      </c>
      <c r="M391" s="1">
        <f t="shared" si="26"/>
        <v>215.4</v>
      </c>
      <c r="N391" s="1">
        <v>-1.2</v>
      </c>
      <c r="O391" s="1">
        <f t="shared" si="20"/>
        <v>82.099999999999966</v>
      </c>
      <c r="P391" s="6">
        <v>136</v>
      </c>
      <c r="Q391" s="16">
        <f t="shared" si="21"/>
        <v>1.032876712328767</v>
      </c>
      <c r="R391" s="14">
        <f t="shared" si="22"/>
        <v>1.2394520547945203</v>
      </c>
      <c r="S391" s="14">
        <f t="shared" si="23"/>
        <v>-1.2394520547945203</v>
      </c>
      <c r="T391" s="15">
        <f t="shared" si="27"/>
        <v>100.94364970645786</v>
      </c>
      <c r="V391" s="1">
        <v>811.2</v>
      </c>
      <c r="X391" s="1">
        <f t="shared" si="28"/>
        <v>98317.200000000055</v>
      </c>
      <c r="Y391" s="1">
        <f t="shared" si="19"/>
        <v>7812.7</v>
      </c>
      <c r="AA391" s="1">
        <v>9.4397023505662503</v>
      </c>
    </row>
    <row r="392" spans="1:27" s="1" customFormat="1" x14ac:dyDescent="0.25">
      <c r="A392" s="70"/>
      <c r="B392" s="3"/>
      <c r="C392" s="8">
        <v>40565</v>
      </c>
      <c r="D392" s="1">
        <v>-1.3</v>
      </c>
      <c r="E392" s="1">
        <v>-3.3</v>
      </c>
      <c r="F392" s="1">
        <v>-0.1</v>
      </c>
      <c r="G392" s="1">
        <v>1359</v>
      </c>
      <c r="H392" s="1">
        <v>123.1</v>
      </c>
      <c r="J392" s="1">
        <v>0</v>
      </c>
      <c r="K392" s="1">
        <f t="shared" si="25"/>
        <v>234.19999999999982</v>
      </c>
      <c r="L392" s="1">
        <v>0.7</v>
      </c>
      <c r="M392" s="1">
        <f t="shared" si="26"/>
        <v>216.1</v>
      </c>
      <c r="N392" s="1">
        <v>-0.7</v>
      </c>
      <c r="O392" s="1">
        <f t="shared" si="20"/>
        <v>81.399999999999963</v>
      </c>
      <c r="P392" s="6">
        <v>137</v>
      </c>
      <c r="Q392" s="16">
        <f t="shared" si="21"/>
        <v>1.034931506849315</v>
      </c>
      <c r="R392" s="14">
        <f t="shared" si="22"/>
        <v>0.72445205479452046</v>
      </c>
      <c r="S392" s="14">
        <f t="shared" si="23"/>
        <v>-0.72445205479452046</v>
      </c>
      <c r="T392" s="15">
        <f t="shared" si="27"/>
        <v>100.21919765166334</v>
      </c>
      <c r="V392" s="1">
        <v>561.79999999999995</v>
      </c>
      <c r="X392" s="1">
        <f t="shared" si="28"/>
        <v>98879.000000000058</v>
      </c>
      <c r="Y392" s="1">
        <f t="shared" si="19"/>
        <v>8374.5</v>
      </c>
      <c r="AA392" s="1">
        <v>9.4732943501627194</v>
      </c>
    </row>
    <row r="393" spans="1:27" s="1" customFormat="1" x14ac:dyDescent="0.25">
      <c r="A393" s="70"/>
      <c r="B393" s="3"/>
      <c r="C393" s="8">
        <v>40566</v>
      </c>
      <c r="D393" s="1">
        <v>-0.2</v>
      </c>
      <c r="E393" s="1">
        <v>-1.6</v>
      </c>
      <c r="F393" s="1">
        <v>3.4</v>
      </c>
      <c r="G393" s="1">
        <v>1359</v>
      </c>
      <c r="H393" s="1">
        <v>123.1</v>
      </c>
      <c r="J393" s="1">
        <v>0</v>
      </c>
      <c r="K393" s="1">
        <f t="shared" si="25"/>
        <v>234.19999999999982</v>
      </c>
      <c r="L393" s="1">
        <v>1.1000000000000001</v>
      </c>
      <c r="M393" s="1">
        <f t="shared" si="26"/>
        <v>217.2</v>
      </c>
      <c r="N393" s="1">
        <v>-1.1000000000000001</v>
      </c>
      <c r="O393" s="1">
        <f t="shared" si="20"/>
        <v>80.299999999999969</v>
      </c>
      <c r="P393" s="6">
        <v>138</v>
      </c>
      <c r="Q393" s="16">
        <f t="shared" si="21"/>
        <v>1.036986301369863</v>
      </c>
      <c r="R393" s="14">
        <f t="shared" si="22"/>
        <v>1.1406849315068495</v>
      </c>
      <c r="S393" s="14">
        <f t="shared" si="23"/>
        <v>-1.1406849315068495</v>
      </c>
      <c r="T393" s="15">
        <f t="shared" si="27"/>
        <v>99.078512720156482</v>
      </c>
      <c r="V393" s="1">
        <v>984.1</v>
      </c>
      <c r="X393" s="1">
        <f t="shared" si="28"/>
        <v>99863.100000000064</v>
      </c>
      <c r="Y393" s="1">
        <f t="shared" si="19"/>
        <v>9358.6</v>
      </c>
      <c r="AA393" s="1">
        <v>9.5076757190377794</v>
      </c>
    </row>
    <row r="394" spans="1:27" s="1" customFormat="1" x14ac:dyDescent="0.25">
      <c r="A394" s="70"/>
      <c r="B394" s="3"/>
      <c r="C394" s="8">
        <v>40567</v>
      </c>
      <c r="D394" s="1">
        <v>-1</v>
      </c>
      <c r="E394" s="1">
        <v>-4.5999999999999996</v>
      </c>
      <c r="F394" s="1">
        <v>4.2</v>
      </c>
      <c r="G394" s="1">
        <v>1359</v>
      </c>
      <c r="H394" s="1">
        <v>123.1</v>
      </c>
      <c r="J394" s="1">
        <v>0</v>
      </c>
      <c r="K394" s="1">
        <f t="shared" si="25"/>
        <v>234.19999999999982</v>
      </c>
      <c r="L394" s="1">
        <v>1</v>
      </c>
      <c r="M394" s="1">
        <f t="shared" si="26"/>
        <v>218.2</v>
      </c>
      <c r="N394" s="1">
        <v>-1</v>
      </c>
      <c r="O394" s="1">
        <f t="shared" si="20"/>
        <v>79.299999999999969</v>
      </c>
      <c r="P394" s="6">
        <v>139</v>
      </c>
      <c r="Q394" s="16">
        <f t="shared" si="21"/>
        <v>1.0390410958904108</v>
      </c>
      <c r="R394" s="14">
        <f t="shared" si="22"/>
        <v>1.0390410958904108</v>
      </c>
      <c r="S394" s="14">
        <f t="shared" si="23"/>
        <v>-1.0390410958904108</v>
      </c>
      <c r="T394" s="15">
        <f t="shared" si="27"/>
        <v>98.039471624266071</v>
      </c>
      <c r="V394" s="1">
        <v>1104.9000000000001</v>
      </c>
      <c r="X394" s="1">
        <f t="shared" si="28"/>
        <v>100968.00000000006</v>
      </c>
      <c r="Y394" s="1">
        <f t="shared" si="19"/>
        <v>10463.5</v>
      </c>
      <c r="AA394" s="1">
        <v>9.5428222483918006</v>
      </c>
    </row>
    <row r="395" spans="1:27" s="1" customFormat="1" x14ac:dyDescent="0.25">
      <c r="A395" s="70"/>
      <c r="B395" s="3"/>
      <c r="C395" s="8">
        <v>40568</v>
      </c>
      <c r="D395" s="1">
        <v>0.5</v>
      </c>
      <c r="E395" s="1">
        <v>-3.3</v>
      </c>
      <c r="F395" s="1">
        <v>5</v>
      </c>
      <c r="G395" s="1">
        <f t="shared" si="24"/>
        <v>1359.5</v>
      </c>
      <c r="H395" s="1">
        <f t="shared" si="18"/>
        <v>123.6</v>
      </c>
      <c r="J395" s="1">
        <v>0</v>
      </c>
      <c r="K395" s="1">
        <f t="shared" si="25"/>
        <v>234.19999999999982</v>
      </c>
      <c r="L395" s="1">
        <v>0.7</v>
      </c>
      <c r="M395" s="1">
        <f t="shared" si="26"/>
        <v>218.89999999999998</v>
      </c>
      <c r="N395" s="1">
        <v>-0.7</v>
      </c>
      <c r="O395" s="1">
        <f t="shared" si="20"/>
        <v>78.599999999999966</v>
      </c>
      <c r="P395" s="6">
        <v>140</v>
      </c>
      <c r="Q395" s="16">
        <f t="shared" si="21"/>
        <v>1.0410958904109588</v>
      </c>
      <c r="R395" s="14">
        <f t="shared" si="22"/>
        <v>0.72876712328767113</v>
      </c>
      <c r="S395" s="14">
        <f t="shared" si="23"/>
        <v>-0.72876712328767113</v>
      </c>
      <c r="T395" s="15">
        <f t="shared" si="27"/>
        <v>97.310704500978403</v>
      </c>
      <c r="V395" s="1">
        <v>556.5</v>
      </c>
      <c r="X395" s="1">
        <f t="shared" si="28"/>
        <v>101524.50000000006</v>
      </c>
      <c r="Y395" s="1">
        <f t="shared" si="19"/>
        <v>11020</v>
      </c>
      <c r="AA395" s="1">
        <v>9.5787098379526103</v>
      </c>
    </row>
    <row r="396" spans="1:27" s="1" customFormat="1" x14ac:dyDescent="0.25">
      <c r="A396" s="70"/>
      <c r="B396" s="3"/>
      <c r="C396" s="8">
        <v>40569</v>
      </c>
      <c r="D396" s="1">
        <v>1.7</v>
      </c>
      <c r="E396" s="1">
        <v>-1.5</v>
      </c>
      <c r="F396" s="1">
        <v>6.8</v>
      </c>
      <c r="G396" s="1">
        <f t="shared" si="24"/>
        <v>1361.2</v>
      </c>
      <c r="H396" s="1">
        <f t="shared" si="18"/>
        <v>125.3</v>
      </c>
      <c r="J396" s="1">
        <v>0</v>
      </c>
      <c r="K396" s="1">
        <f t="shared" si="25"/>
        <v>234.19999999999982</v>
      </c>
      <c r="L396" s="1">
        <v>0.8</v>
      </c>
      <c r="M396" s="1">
        <f t="shared" si="26"/>
        <v>219.7</v>
      </c>
      <c r="N396" s="1">
        <v>-0.8</v>
      </c>
      <c r="O396" s="1">
        <f t="shared" si="20"/>
        <v>77.799999999999969</v>
      </c>
      <c r="P396" s="6">
        <v>141</v>
      </c>
      <c r="Q396" s="16">
        <f t="shared" si="21"/>
        <v>1.0431506849315069</v>
      </c>
      <c r="R396" s="14">
        <f t="shared" si="22"/>
        <v>0.83452054794520558</v>
      </c>
      <c r="S396" s="14">
        <f t="shared" si="23"/>
        <v>-0.83452054794520558</v>
      </c>
      <c r="T396" s="15">
        <f t="shared" si="27"/>
        <v>96.4761839530332</v>
      </c>
      <c r="V396" s="1">
        <v>395.5</v>
      </c>
      <c r="X396" s="1">
        <f t="shared" si="28"/>
        <v>101920.00000000006</v>
      </c>
      <c r="Y396" s="1">
        <f t="shared" si="19"/>
        <v>11415.5</v>
      </c>
      <c r="AA396" s="1">
        <v>9.6153145394824406</v>
      </c>
    </row>
    <row r="397" spans="1:27" s="1" customFormat="1" x14ac:dyDescent="0.25">
      <c r="A397" s="70"/>
      <c r="B397" s="3"/>
      <c r="C397" s="8">
        <v>40570</v>
      </c>
      <c r="D397" s="1">
        <v>3.2</v>
      </c>
      <c r="E397" s="1">
        <v>-3.2</v>
      </c>
      <c r="F397" s="1">
        <v>9.8000000000000007</v>
      </c>
      <c r="G397" s="1">
        <f t="shared" si="24"/>
        <v>1364.4</v>
      </c>
      <c r="H397" s="1">
        <f t="shared" si="18"/>
        <v>128.5</v>
      </c>
      <c r="J397" s="1">
        <v>0</v>
      </c>
      <c r="K397" s="1">
        <f t="shared" si="25"/>
        <v>234.19999999999982</v>
      </c>
      <c r="L397" s="1">
        <v>0.7</v>
      </c>
      <c r="M397" s="1">
        <f t="shared" si="26"/>
        <v>220.39999999999998</v>
      </c>
      <c r="N397" s="1">
        <v>-0.7</v>
      </c>
      <c r="O397" s="1">
        <f t="shared" si="20"/>
        <v>77.099999999999966</v>
      </c>
      <c r="P397" s="6">
        <v>142</v>
      </c>
      <c r="Q397" s="16">
        <f t="shared" si="21"/>
        <v>1.0452054794520547</v>
      </c>
      <c r="R397" s="14">
        <f t="shared" si="22"/>
        <v>0.7316438356164382</v>
      </c>
      <c r="S397" s="14">
        <f t="shared" si="23"/>
        <v>-0.7316438356164382</v>
      </c>
      <c r="T397" s="15">
        <f t="shared" si="27"/>
        <v>95.744540117416761</v>
      </c>
      <c r="V397" s="1">
        <v>533.29999999999995</v>
      </c>
      <c r="X397" s="1">
        <f t="shared" si="28"/>
        <v>102453.30000000006</v>
      </c>
      <c r="Y397" s="1">
        <f t="shared" si="19"/>
        <v>11948.8</v>
      </c>
      <c r="AA397" s="1">
        <v>9.6526125975464208</v>
      </c>
    </row>
    <row r="398" spans="1:27" s="1" customFormat="1" x14ac:dyDescent="0.25">
      <c r="A398" s="70"/>
      <c r="B398" s="3">
        <v>9</v>
      </c>
      <c r="C398" s="8">
        <v>40571</v>
      </c>
      <c r="D398" s="1">
        <v>7</v>
      </c>
      <c r="E398" s="1">
        <v>3.1</v>
      </c>
      <c r="F398" s="1">
        <v>11.8</v>
      </c>
      <c r="G398" s="1">
        <f t="shared" si="24"/>
        <v>1371.4</v>
      </c>
      <c r="H398" s="1">
        <f t="shared" si="18"/>
        <v>135.5</v>
      </c>
      <c r="J398" s="1">
        <v>0</v>
      </c>
      <c r="K398" s="1">
        <f t="shared" si="25"/>
        <v>234.19999999999982</v>
      </c>
      <c r="L398" s="1">
        <v>1.6</v>
      </c>
      <c r="M398" s="1">
        <f t="shared" si="26"/>
        <v>221.99999999999997</v>
      </c>
      <c r="N398" s="1">
        <v>-1.6</v>
      </c>
      <c r="O398" s="1">
        <f t="shared" si="20"/>
        <v>75.499999999999972</v>
      </c>
      <c r="P398" s="6">
        <v>143</v>
      </c>
      <c r="Q398" s="16">
        <f t="shared" si="21"/>
        <v>1.0472602739726027</v>
      </c>
      <c r="R398" s="14">
        <f t="shared" si="22"/>
        <v>1.6756164383561645</v>
      </c>
      <c r="S398" s="14">
        <f t="shared" si="23"/>
        <v>-1.6756164383561645</v>
      </c>
      <c r="T398" s="15">
        <f t="shared" si="27"/>
        <v>94.068923679060603</v>
      </c>
      <c r="V398" s="1">
        <v>694.2</v>
      </c>
      <c r="X398" s="1">
        <f t="shared" si="28"/>
        <v>103147.50000000006</v>
      </c>
      <c r="Y398" s="1">
        <f t="shared" si="19"/>
        <v>12643</v>
      </c>
      <c r="AA398" s="1">
        <v>9.6905804875077397</v>
      </c>
    </row>
    <row r="399" spans="1:27" s="1" customFormat="1" x14ac:dyDescent="0.25">
      <c r="A399" s="70"/>
      <c r="B399" s="3"/>
      <c r="C399" s="8">
        <v>40572</v>
      </c>
      <c r="D399" s="1">
        <v>5.2</v>
      </c>
      <c r="E399" s="1">
        <v>3.5</v>
      </c>
      <c r="F399" s="1">
        <v>6.5</v>
      </c>
      <c r="G399" s="1">
        <f t="shared" si="24"/>
        <v>1376.6000000000001</v>
      </c>
      <c r="H399" s="1">
        <f t="shared" ref="H399:H462" si="29">H398+D399</f>
        <v>140.69999999999999</v>
      </c>
      <c r="J399" s="1">
        <v>9.6999999999999993</v>
      </c>
      <c r="K399" s="1">
        <f t="shared" si="25"/>
        <v>243.89999999999981</v>
      </c>
      <c r="L399" s="1">
        <v>0.4</v>
      </c>
      <c r="M399" s="1">
        <f t="shared" si="26"/>
        <v>222.39999999999998</v>
      </c>
      <c r="N399" s="1">
        <v>9.2999999999999989</v>
      </c>
      <c r="O399" s="1">
        <f t="shared" si="20"/>
        <v>84.799999999999969</v>
      </c>
      <c r="P399" s="6">
        <v>144</v>
      </c>
      <c r="Q399" s="16">
        <f t="shared" si="21"/>
        <v>1.0493150684931507</v>
      </c>
      <c r="R399" s="14">
        <f t="shared" si="22"/>
        <v>0.41972602739726028</v>
      </c>
      <c r="S399" s="14">
        <f t="shared" si="23"/>
        <v>9.280273972602739</v>
      </c>
      <c r="T399" s="15">
        <f t="shared" si="27"/>
        <v>103.34919765166335</v>
      </c>
      <c r="V399" s="1">
        <v>124.2</v>
      </c>
      <c r="X399" s="1">
        <f t="shared" si="28"/>
        <v>103271.70000000006</v>
      </c>
      <c r="Y399" s="1">
        <f t="shared" ref="Y399:Y462" si="30">Y398+V399</f>
        <v>12767.2</v>
      </c>
      <c r="AA399" s="1">
        <v>9.7291949507346693</v>
      </c>
    </row>
    <row r="400" spans="1:27" s="1" customFormat="1" x14ac:dyDescent="0.25">
      <c r="A400" s="70"/>
      <c r="B400" s="3"/>
      <c r="C400" s="8">
        <v>40573</v>
      </c>
      <c r="D400" s="1">
        <v>4.0999999999999996</v>
      </c>
      <c r="E400" s="1">
        <v>3.4</v>
      </c>
      <c r="F400" s="1">
        <v>5.0999999999999996</v>
      </c>
      <c r="G400" s="1">
        <f t="shared" si="24"/>
        <v>1380.7</v>
      </c>
      <c r="H400" s="1">
        <f t="shared" si="29"/>
        <v>144.79999999999998</v>
      </c>
      <c r="J400" s="1">
        <v>0</v>
      </c>
      <c r="K400" s="1">
        <f t="shared" si="25"/>
        <v>243.89999999999981</v>
      </c>
      <c r="L400" s="1">
        <v>0.2</v>
      </c>
      <c r="M400" s="1">
        <f t="shared" si="26"/>
        <v>222.59999999999997</v>
      </c>
      <c r="N400" s="1">
        <v>-0.2</v>
      </c>
      <c r="O400" s="1">
        <f t="shared" si="20"/>
        <v>84.599999999999966</v>
      </c>
      <c r="P400" s="6">
        <v>145</v>
      </c>
      <c r="Q400" s="16">
        <f t="shared" si="21"/>
        <v>1.0513698630136985</v>
      </c>
      <c r="R400" s="14">
        <f t="shared" si="22"/>
        <v>0.21027397260273972</v>
      </c>
      <c r="S400" s="14">
        <f t="shared" si="23"/>
        <v>-0.21027397260273972</v>
      </c>
      <c r="T400" s="15">
        <f t="shared" si="27"/>
        <v>103.13892367906061</v>
      </c>
      <c r="V400" s="1">
        <v>66.5</v>
      </c>
      <c r="X400" s="1">
        <f t="shared" si="28"/>
        <v>103338.20000000006</v>
      </c>
      <c r="Y400" s="1">
        <f t="shared" si="30"/>
        <v>12833.7</v>
      </c>
      <c r="AA400" s="1">
        <v>9.7684330270224002</v>
      </c>
    </row>
    <row r="401" spans="1:27" s="1" customFormat="1" x14ac:dyDescent="0.25">
      <c r="A401" s="70"/>
      <c r="B401" s="3"/>
      <c r="C401" s="8">
        <v>40574</v>
      </c>
      <c r="D401" s="1">
        <v>1.1000000000000001</v>
      </c>
      <c r="E401" s="1">
        <v>0.1</v>
      </c>
      <c r="F401" s="1">
        <v>2.2999999999999998</v>
      </c>
      <c r="G401" s="1">
        <f t="shared" si="24"/>
        <v>1381.8</v>
      </c>
      <c r="H401" s="1">
        <f t="shared" si="29"/>
        <v>145.89999999999998</v>
      </c>
      <c r="J401" s="1">
        <v>0</v>
      </c>
      <c r="K401" s="1">
        <f t="shared" si="25"/>
        <v>243.89999999999981</v>
      </c>
      <c r="L401" s="1">
        <v>0.5</v>
      </c>
      <c r="M401" s="1">
        <f t="shared" si="26"/>
        <v>223.09999999999997</v>
      </c>
      <c r="N401" s="1">
        <v>-0.5</v>
      </c>
      <c r="O401" s="1">
        <f t="shared" si="20"/>
        <v>84.099999999999966</v>
      </c>
      <c r="P401" s="6">
        <v>146</v>
      </c>
      <c r="Q401" s="16">
        <f t="shared" si="21"/>
        <v>1.0534246575342465</v>
      </c>
      <c r="R401" s="14">
        <f t="shared" si="22"/>
        <v>0.52671232876712326</v>
      </c>
      <c r="S401" s="14">
        <f t="shared" si="23"/>
        <v>-0.52671232876712326</v>
      </c>
      <c r="T401" s="15">
        <f t="shared" si="27"/>
        <v>102.61221135029349</v>
      </c>
      <c r="V401" s="1">
        <v>270.2</v>
      </c>
      <c r="X401" s="1">
        <f t="shared" si="28"/>
        <v>103608.40000000005</v>
      </c>
      <c r="Y401" s="1">
        <f t="shared" si="30"/>
        <v>13103.900000000001</v>
      </c>
      <c r="AA401" s="1">
        <v>9.8082720842499906</v>
      </c>
    </row>
    <row r="402" spans="1:27" s="1" customFormat="1" x14ac:dyDescent="0.25">
      <c r="A402" s="70"/>
      <c r="B402" s="3"/>
      <c r="C402" s="8">
        <v>40575</v>
      </c>
      <c r="D402" s="1">
        <v>-0.1</v>
      </c>
      <c r="E402" s="1">
        <v>-1.1000000000000001</v>
      </c>
      <c r="F402" s="1">
        <v>0.6</v>
      </c>
      <c r="G402" s="1">
        <v>1381.8</v>
      </c>
      <c r="H402" s="1">
        <v>145.9</v>
      </c>
      <c r="J402" s="1">
        <v>0</v>
      </c>
      <c r="K402" s="1">
        <f t="shared" si="25"/>
        <v>243.89999999999981</v>
      </c>
      <c r="L402" s="1">
        <v>0.6</v>
      </c>
      <c r="M402" s="1">
        <f t="shared" si="26"/>
        <v>223.69999999999996</v>
      </c>
      <c r="N402" s="1">
        <v>-0.6</v>
      </c>
      <c r="O402" s="1">
        <f t="shared" si="20"/>
        <v>83.499999999999972</v>
      </c>
      <c r="P402" s="6">
        <v>147</v>
      </c>
      <c r="Q402" s="16">
        <f t="shared" si="21"/>
        <v>1.0554794520547945</v>
      </c>
      <c r="R402" s="14">
        <f t="shared" si="22"/>
        <v>0.63328767123287666</v>
      </c>
      <c r="S402" s="14">
        <f t="shared" si="23"/>
        <v>-0.63328767123287666</v>
      </c>
      <c r="T402" s="15">
        <f t="shared" si="27"/>
        <v>101.97892367906061</v>
      </c>
      <c r="V402" s="1">
        <v>454.2</v>
      </c>
      <c r="X402" s="1">
        <f t="shared" si="28"/>
        <v>104062.60000000005</v>
      </c>
      <c r="Y402" s="1">
        <f t="shared" si="30"/>
        <v>13558.100000000002</v>
      </c>
      <c r="AA402" s="1">
        <v>9.8486898453075806</v>
      </c>
    </row>
    <row r="403" spans="1:27" s="1" customFormat="1" x14ac:dyDescent="0.25">
      <c r="A403" s="70"/>
      <c r="B403" s="3"/>
      <c r="C403" s="8">
        <v>40576</v>
      </c>
      <c r="D403" s="1">
        <v>2.7</v>
      </c>
      <c r="E403" s="1">
        <v>-0.4</v>
      </c>
      <c r="F403" s="1">
        <v>5.9</v>
      </c>
      <c r="G403" s="1">
        <f t="shared" si="24"/>
        <v>1384.5</v>
      </c>
      <c r="H403" s="1">
        <f t="shared" si="29"/>
        <v>148.6</v>
      </c>
      <c r="J403" s="1">
        <v>0</v>
      </c>
      <c r="K403" s="1">
        <f t="shared" si="25"/>
        <v>243.89999999999981</v>
      </c>
      <c r="L403" s="1">
        <v>1.1000000000000001</v>
      </c>
      <c r="M403" s="1">
        <f t="shared" si="26"/>
        <v>224.79999999999995</v>
      </c>
      <c r="N403" s="1">
        <v>-1.1000000000000001</v>
      </c>
      <c r="O403" s="1">
        <f t="shared" si="20"/>
        <v>82.399999999999977</v>
      </c>
      <c r="P403" s="6">
        <v>148</v>
      </c>
      <c r="Q403" s="16">
        <f t="shared" si="21"/>
        <v>1.0575342465753423</v>
      </c>
      <c r="R403" s="14">
        <f t="shared" si="22"/>
        <v>1.1632876712328766</v>
      </c>
      <c r="S403" s="14">
        <f t="shared" si="23"/>
        <v>-1.1632876712328766</v>
      </c>
      <c r="T403" s="15">
        <f t="shared" si="27"/>
        <v>100.81563600782773</v>
      </c>
      <c r="V403" s="1">
        <v>681.6</v>
      </c>
      <c r="X403" s="1">
        <f t="shared" si="28"/>
        <v>104744.20000000006</v>
      </c>
      <c r="Y403" s="1">
        <f t="shared" si="30"/>
        <v>14239.700000000003</v>
      </c>
      <c r="AA403" s="1">
        <v>9.8896644123426807</v>
      </c>
    </row>
    <row r="404" spans="1:27" s="1" customFormat="1" x14ac:dyDescent="0.25">
      <c r="A404" s="70"/>
      <c r="B404" s="3"/>
      <c r="C404" s="8">
        <v>40577</v>
      </c>
      <c r="D404" s="1">
        <v>8.1999999999999993</v>
      </c>
      <c r="E404" s="1">
        <v>5.0999999999999996</v>
      </c>
      <c r="F404" s="1">
        <v>11.7</v>
      </c>
      <c r="G404" s="1">
        <f t="shared" si="24"/>
        <v>1392.7</v>
      </c>
      <c r="H404" s="1">
        <f t="shared" si="29"/>
        <v>156.79999999999998</v>
      </c>
      <c r="J404" s="1">
        <v>0</v>
      </c>
      <c r="K404" s="1">
        <f t="shared" si="25"/>
        <v>243.89999999999981</v>
      </c>
      <c r="L404" s="1">
        <v>1</v>
      </c>
      <c r="M404" s="1">
        <f t="shared" si="26"/>
        <v>225.79999999999995</v>
      </c>
      <c r="N404" s="1">
        <v>-1</v>
      </c>
      <c r="O404" s="1">
        <f t="shared" si="20"/>
        <v>81.399999999999977</v>
      </c>
      <c r="P404" s="6">
        <v>149</v>
      </c>
      <c r="Q404" s="16">
        <f t="shared" si="21"/>
        <v>1.0595890410958904</v>
      </c>
      <c r="R404" s="14">
        <f t="shared" si="22"/>
        <v>1.0595890410958904</v>
      </c>
      <c r="S404" s="14">
        <f t="shared" si="23"/>
        <v>-1.0595890410958904</v>
      </c>
      <c r="T404" s="15">
        <f t="shared" si="27"/>
        <v>99.756046966731844</v>
      </c>
      <c r="V404" s="1">
        <v>271.7</v>
      </c>
      <c r="X404" s="1">
        <f t="shared" si="28"/>
        <v>105015.90000000005</v>
      </c>
      <c r="Y404" s="1">
        <f t="shared" si="30"/>
        <v>14511.400000000003</v>
      </c>
      <c r="AA404" s="1">
        <v>9.93117428838646</v>
      </c>
    </row>
    <row r="405" spans="1:27" s="1" customFormat="1" x14ac:dyDescent="0.25">
      <c r="A405" s="70"/>
      <c r="B405" s="3">
        <v>10</v>
      </c>
      <c r="C405" s="8">
        <v>40578</v>
      </c>
      <c r="D405" s="1">
        <v>9.5</v>
      </c>
      <c r="E405" s="1">
        <v>7.4</v>
      </c>
      <c r="F405" s="1">
        <v>13.9</v>
      </c>
      <c r="G405" s="1">
        <f t="shared" si="24"/>
        <v>1402.2</v>
      </c>
      <c r="H405" s="1">
        <f t="shared" si="29"/>
        <v>166.29999999999998</v>
      </c>
      <c r="J405" s="1">
        <v>0</v>
      </c>
      <c r="K405" s="1">
        <f t="shared" si="25"/>
        <v>243.89999999999981</v>
      </c>
      <c r="L405" s="1">
        <v>1.6</v>
      </c>
      <c r="M405" s="1">
        <f t="shared" si="26"/>
        <v>227.39999999999995</v>
      </c>
      <c r="N405" s="1">
        <v>-1.6</v>
      </c>
      <c r="O405" s="1">
        <f t="shared" si="20"/>
        <v>79.799999999999983</v>
      </c>
      <c r="P405" s="6">
        <v>150</v>
      </c>
      <c r="Q405" s="16">
        <f t="shared" si="21"/>
        <v>1.0616438356164384</v>
      </c>
      <c r="R405" s="14">
        <f t="shared" si="22"/>
        <v>1.6986301369863015</v>
      </c>
      <c r="S405" s="14">
        <f t="shared" si="23"/>
        <v>-1.6986301369863015</v>
      </c>
      <c r="T405" s="15">
        <f t="shared" si="27"/>
        <v>98.057416829745549</v>
      </c>
      <c r="V405" s="1">
        <v>512.20000000000005</v>
      </c>
      <c r="X405" s="1">
        <f t="shared" si="28"/>
        <v>105528.10000000005</v>
      </c>
      <c r="Y405" s="1">
        <f t="shared" si="30"/>
        <v>15023.600000000004</v>
      </c>
      <c r="AA405" s="1">
        <v>9.9731983964313997</v>
      </c>
    </row>
    <row r="406" spans="1:27" s="1" customFormat="1" x14ac:dyDescent="0.25">
      <c r="A406" s="70"/>
      <c r="B406" s="3"/>
      <c r="C406" s="8">
        <v>40579</v>
      </c>
      <c r="D406" s="1">
        <v>6.7</v>
      </c>
      <c r="E406" s="1">
        <v>1.8</v>
      </c>
      <c r="F406" s="1">
        <v>14.1</v>
      </c>
      <c r="G406" s="1">
        <f t="shared" si="24"/>
        <v>1408.9</v>
      </c>
      <c r="H406" s="1">
        <f t="shared" si="29"/>
        <v>172.99999999999997</v>
      </c>
      <c r="J406" s="1">
        <v>0.1</v>
      </c>
      <c r="K406" s="1">
        <f t="shared" si="25"/>
        <v>243.9999999999998</v>
      </c>
      <c r="L406" s="1">
        <v>1.6</v>
      </c>
      <c r="M406" s="1">
        <f t="shared" si="26"/>
        <v>228.99999999999994</v>
      </c>
      <c r="N406" s="1">
        <v>-1.5</v>
      </c>
      <c r="O406" s="1">
        <f t="shared" si="20"/>
        <v>78.299999999999983</v>
      </c>
      <c r="P406" s="6">
        <v>151</v>
      </c>
      <c r="Q406" s="16">
        <f t="shared" si="21"/>
        <v>1.0636986301369862</v>
      </c>
      <c r="R406" s="14">
        <f t="shared" si="22"/>
        <v>1.7019178082191779</v>
      </c>
      <c r="S406" s="14">
        <f t="shared" si="23"/>
        <v>-1.6019178082191778</v>
      </c>
      <c r="T406" s="15">
        <f t="shared" si="27"/>
        <v>96.455499021526364</v>
      </c>
      <c r="V406" s="1">
        <v>1011.1</v>
      </c>
      <c r="X406" s="1">
        <f t="shared" si="28"/>
        <v>106539.20000000006</v>
      </c>
      <c r="Y406" s="1">
        <f t="shared" si="30"/>
        <v>16034.700000000004</v>
      </c>
      <c r="AA406" s="1">
        <v>10.015716096040601</v>
      </c>
    </row>
    <row r="407" spans="1:27" s="1" customFormat="1" x14ac:dyDescent="0.25">
      <c r="A407" s="70"/>
      <c r="B407" s="3"/>
      <c r="C407" s="8">
        <v>40580</v>
      </c>
      <c r="D407" s="1">
        <v>2.1</v>
      </c>
      <c r="E407" s="1">
        <v>-1</v>
      </c>
      <c r="F407" s="1">
        <v>6.9</v>
      </c>
      <c r="G407" s="1">
        <f t="shared" si="24"/>
        <v>1411</v>
      </c>
      <c r="H407" s="1">
        <f t="shared" si="29"/>
        <v>175.09999999999997</v>
      </c>
      <c r="J407" s="1">
        <v>0</v>
      </c>
      <c r="K407" s="1">
        <f t="shared" si="25"/>
        <v>243.9999999999998</v>
      </c>
      <c r="L407" s="1">
        <v>1.4</v>
      </c>
      <c r="M407" s="1">
        <f t="shared" si="26"/>
        <v>230.39999999999995</v>
      </c>
      <c r="N407" s="1">
        <v>-1.4</v>
      </c>
      <c r="O407" s="1">
        <f t="shared" si="20"/>
        <v>76.899999999999977</v>
      </c>
      <c r="P407" s="6">
        <v>152</v>
      </c>
      <c r="Q407" s="16">
        <f t="shared" si="21"/>
        <v>1.0657534246575342</v>
      </c>
      <c r="R407" s="14">
        <f t="shared" si="22"/>
        <v>1.4920547945205478</v>
      </c>
      <c r="S407" s="14">
        <f t="shared" si="23"/>
        <v>-1.4920547945205478</v>
      </c>
      <c r="T407" s="15">
        <f t="shared" si="27"/>
        <v>94.963444227005823</v>
      </c>
      <c r="V407" s="1">
        <v>898.7</v>
      </c>
      <c r="X407" s="1">
        <f t="shared" si="28"/>
        <v>107437.90000000005</v>
      </c>
      <c r="Y407" s="1">
        <f t="shared" si="30"/>
        <v>16933.400000000005</v>
      </c>
      <c r="AA407" s="1">
        <v>10.058707197576799</v>
      </c>
    </row>
    <row r="408" spans="1:27" s="1" customFormat="1" x14ac:dyDescent="0.25">
      <c r="A408" s="70"/>
      <c r="B408" s="3"/>
      <c r="C408" s="8">
        <v>40581</v>
      </c>
      <c r="D408" s="1">
        <v>5.7</v>
      </c>
      <c r="E408" s="1">
        <v>-1.3</v>
      </c>
      <c r="F408" s="1">
        <v>15.2</v>
      </c>
      <c r="G408" s="1">
        <f t="shared" si="24"/>
        <v>1416.7</v>
      </c>
      <c r="H408" s="1">
        <f t="shared" si="29"/>
        <v>180.79999999999995</v>
      </c>
      <c r="J408" s="1">
        <v>0.1</v>
      </c>
      <c r="K408" s="1">
        <f t="shared" si="25"/>
        <v>244.0999999999998</v>
      </c>
      <c r="L408" s="1">
        <v>2</v>
      </c>
      <c r="M408" s="1">
        <f t="shared" si="26"/>
        <v>232.39999999999995</v>
      </c>
      <c r="N408" s="1">
        <v>-1.9</v>
      </c>
      <c r="O408" s="1">
        <f t="shared" si="20"/>
        <v>74.999999999999972</v>
      </c>
      <c r="P408" s="6">
        <v>153</v>
      </c>
      <c r="Q408" s="16">
        <f t="shared" si="21"/>
        <v>1.0678082191780822</v>
      </c>
      <c r="R408" s="14">
        <f t="shared" si="22"/>
        <v>2.1356164383561644</v>
      </c>
      <c r="S408" s="14">
        <f t="shared" si="23"/>
        <v>-2.0356164383561643</v>
      </c>
      <c r="T408" s="15">
        <f t="shared" si="27"/>
        <v>92.927827788649665</v>
      </c>
      <c r="V408" s="1">
        <v>1230.8</v>
      </c>
      <c r="X408" s="1">
        <f t="shared" si="28"/>
        <v>108668.70000000006</v>
      </c>
      <c r="Y408" s="1">
        <f t="shared" si="30"/>
        <v>18164.200000000004</v>
      </c>
      <c r="AA408" s="1">
        <v>10.1021519741451</v>
      </c>
    </row>
    <row r="409" spans="1:27" s="1" customFormat="1" x14ac:dyDescent="0.25">
      <c r="A409" s="70"/>
      <c r="B409" s="3"/>
      <c r="C409" s="8">
        <v>40582</v>
      </c>
      <c r="D409" s="1">
        <v>6.4</v>
      </c>
      <c r="E409" s="1">
        <v>0.6</v>
      </c>
      <c r="F409" s="1">
        <v>13.5</v>
      </c>
      <c r="G409" s="1">
        <f t="shared" si="24"/>
        <v>1423.1000000000001</v>
      </c>
      <c r="H409" s="1">
        <f t="shared" si="29"/>
        <v>187.19999999999996</v>
      </c>
      <c r="J409" s="1">
        <v>0.1</v>
      </c>
      <c r="K409" s="1">
        <f t="shared" si="25"/>
        <v>244.19999999999979</v>
      </c>
      <c r="L409" s="1">
        <v>1.3</v>
      </c>
      <c r="M409" s="1">
        <f t="shared" si="26"/>
        <v>233.69999999999996</v>
      </c>
      <c r="N409" s="1">
        <v>-1.2</v>
      </c>
      <c r="O409" s="1">
        <f t="shared" si="20"/>
        <v>73.799999999999969</v>
      </c>
      <c r="P409" s="6">
        <v>154</v>
      </c>
      <c r="Q409" s="16">
        <f t="shared" si="21"/>
        <v>1.06986301369863</v>
      </c>
      <c r="R409" s="14">
        <f t="shared" si="22"/>
        <v>1.3908219178082191</v>
      </c>
      <c r="S409" s="14">
        <f t="shared" si="23"/>
        <v>-1.290821917808219</v>
      </c>
      <c r="T409" s="15">
        <f t="shared" si="27"/>
        <v>91.637005870841449</v>
      </c>
      <c r="V409" s="1">
        <v>861.2</v>
      </c>
      <c r="X409" s="1">
        <f t="shared" si="28"/>
        <v>109529.90000000005</v>
      </c>
      <c r="Y409" s="1">
        <f t="shared" si="30"/>
        <v>19025.400000000005</v>
      </c>
      <c r="AA409" s="1">
        <v>10.146031171348</v>
      </c>
    </row>
    <row r="410" spans="1:27" s="1" customFormat="1" x14ac:dyDescent="0.25">
      <c r="A410" s="70"/>
      <c r="B410" s="3"/>
      <c r="C410" s="8">
        <v>40583</v>
      </c>
      <c r="D410" s="1">
        <v>6.7</v>
      </c>
      <c r="E410" s="1">
        <v>0.7</v>
      </c>
      <c r="F410" s="1">
        <v>14.8</v>
      </c>
      <c r="G410" s="1">
        <f t="shared" si="24"/>
        <v>1429.8000000000002</v>
      </c>
      <c r="H410" s="1">
        <f t="shared" si="29"/>
        <v>193.89999999999995</v>
      </c>
      <c r="J410" s="1">
        <v>0.1</v>
      </c>
      <c r="K410" s="1">
        <f t="shared" si="25"/>
        <v>244.29999999999978</v>
      </c>
      <c r="L410" s="1">
        <v>2.2999999999999998</v>
      </c>
      <c r="M410" s="1">
        <f t="shared" si="26"/>
        <v>235.99999999999997</v>
      </c>
      <c r="N410" s="1">
        <v>-2.1999999999999997</v>
      </c>
      <c r="O410" s="1">
        <f t="shared" si="20"/>
        <v>71.599999999999966</v>
      </c>
      <c r="P410" s="6">
        <v>155</v>
      </c>
      <c r="Q410" s="16">
        <f t="shared" si="21"/>
        <v>1.071917808219178</v>
      </c>
      <c r="R410" s="14">
        <f t="shared" si="22"/>
        <v>2.4654109589041093</v>
      </c>
      <c r="S410" s="14">
        <f t="shared" si="23"/>
        <v>-2.3654109589041092</v>
      </c>
      <c r="T410" s="15">
        <f t="shared" si="27"/>
        <v>89.271594911937342</v>
      </c>
      <c r="V410" s="1">
        <v>1278.5</v>
      </c>
      <c r="X410" s="1">
        <f t="shared" si="28"/>
        <v>110808.40000000005</v>
      </c>
      <c r="Y410" s="1">
        <f t="shared" si="30"/>
        <v>20303.900000000005</v>
      </c>
      <c r="AA410" s="1">
        <v>10.1903260149566</v>
      </c>
    </row>
    <row r="411" spans="1:27" s="1" customFormat="1" x14ac:dyDescent="0.25">
      <c r="A411" s="70"/>
      <c r="B411" s="3"/>
      <c r="C411" s="8">
        <v>40584</v>
      </c>
      <c r="D411" s="1">
        <v>5.7</v>
      </c>
      <c r="E411" s="1">
        <v>0.9</v>
      </c>
      <c r="F411" s="1">
        <v>9.1</v>
      </c>
      <c r="G411" s="1">
        <f t="shared" si="24"/>
        <v>1435.5000000000002</v>
      </c>
      <c r="H411" s="1">
        <f t="shared" si="29"/>
        <v>199.59999999999994</v>
      </c>
      <c r="J411" s="1">
        <v>0.2</v>
      </c>
      <c r="K411" s="1">
        <f t="shared" si="25"/>
        <v>244.49999999999977</v>
      </c>
      <c r="L411" s="1">
        <v>1.1000000000000001</v>
      </c>
      <c r="M411" s="1">
        <f t="shared" si="26"/>
        <v>237.09999999999997</v>
      </c>
      <c r="N411" s="1">
        <v>-0.90000000000000013</v>
      </c>
      <c r="O411" s="1">
        <f t="shared" si="20"/>
        <v>70.69999999999996</v>
      </c>
      <c r="P411" s="6">
        <v>156</v>
      </c>
      <c r="Q411" s="16">
        <f t="shared" si="21"/>
        <v>1.0739726027397261</v>
      </c>
      <c r="R411" s="14">
        <f t="shared" si="22"/>
        <v>1.1813698630136988</v>
      </c>
      <c r="S411" s="14">
        <f t="shared" si="23"/>
        <v>-0.98136986301369888</v>
      </c>
      <c r="T411" s="15">
        <f t="shared" si="27"/>
        <v>88.290225048923645</v>
      </c>
      <c r="V411" s="1">
        <v>942.2</v>
      </c>
      <c r="X411" s="1">
        <f t="shared" si="28"/>
        <v>111750.60000000005</v>
      </c>
      <c r="Y411" s="1">
        <f t="shared" si="30"/>
        <v>21246.100000000006</v>
      </c>
      <c r="AA411" s="1">
        <v>10.235018216601899</v>
      </c>
    </row>
    <row r="412" spans="1:27" s="1" customFormat="1" x14ac:dyDescent="0.25">
      <c r="A412" s="70"/>
      <c r="B412" s="3"/>
      <c r="C412" s="8">
        <v>40585</v>
      </c>
      <c r="D412" s="1">
        <v>8</v>
      </c>
      <c r="E412" s="1">
        <v>5.2</v>
      </c>
      <c r="F412" s="1">
        <v>13.9</v>
      </c>
      <c r="G412" s="1">
        <f t="shared" si="24"/>
        <v>1443.5000000000002</v>
      </c>
      <c r="H412" s="1">
        <f t="shared" si="29"/>
        <v>207.59999999999994</v>
      </c>
      <c r="J412" s="1">
        <v>0</v>
      </c>
      <c r="K412" s="1">
        <f t="shared" si="25"/>
        <v>244.49999999999977</v>
      </c>
      <c r="L412" s="1">
        <v>1.9</v>
      </c>
      <c r="M412" s="1">
        <f t="shared" si="26"/>
        <v>238.99999999999997</v>
      </c>
      <c r="N412" s="1">
        <v>-1.9</v>
      </c>
      <c r="O412" s="1">
        <f t="shared" si="20"/>
        <v>68.799999999999955</v>
      </c>
      <c r="P412" s="6">
        <v>157</v>
      </c>
      <c r="Q412" s="16">
        <f t="shared" si="21"/>
        <v>1.0760273972602739</v>
      </c>
      <c r="R412" s="14">
        <f t="shared" si="22"/>
        <v>2.0444520547945202</v>
      </c>
      <c r="S412" s="14">
        <f t="shared" si="23"/>
        <v>-2.0444520547945202</v>
      </c>
      <c r="T412" s="15">
        <f t="shared" si="27"/>
        <v>86.245772994129126</v>
      </c>
      <c r="V412" s="1">
        <v>974.4</v>
      </c>
      <c r="X412" s="1">
        <f t="shared" si="28"/>
        <v>112725.00000000004</v>
      </c>
      <c r="Y412" s="1">
        <f t="shared" si="30"/>
        <v>22220.500000000007</v>
      </c>
      <c r="AA412" s="1">
        <v>10.2800899775938</v>
      </c>
    </row>
    <row r="413" spans="1:27" s="1" customFormat="1" x14ac:dyDescent="0.25">
      <c r="A413" s="70"/>
      <c r="B413" s="3"/>
      <c r="C413" s="8">
        <v>40586</v>
      </c>
      <c r="D413" s="1">
        <v>7.4</v>
      </c>
      <c r="E413" s="1">
        <v>2.2000000000000002</v>
      </c>
      <c r="F413" s="1">
        <v>14.4</v>
      </c>
      <c r="G413" s="1">
        <f t="shared" si="24"/>
        <v>1450.9000000000003</v>
      </c>
      <c r="H413" s="1">
        <f t="shared" si="29"/>
        <v>214.99999999999994</v>
      </c>
      <c r="J413" s="1">
        <v>1.6</v>
      </c>
      <c r="K413" s="1">
        <f t="shared" si="25"/>
        <v>246.09999999999977</v>
      </c>
      <c r="L413" s="1">
        <v>1.5</v>
      </c>
      <c r="M413" s="1">
        <f t="shared" si="26"/>
        <v>240.49999999999997</v>
      </c>
      <c r="N413" s="1">
        <v>0.10000000000000009</v>
      </c>
      <c r="O413" s="1">
        <f t="shared" si="20"/>
        <v>68.899999999999949</v>
      </c>
      <c r="P413" s="6">
        <v>158</v>
      </c>
      <c r="Q413" s="16">
        <f t="shared" si="21"/>
        <v>1.0780821917808219</v>
      </c>
      <c r="R413" s="14">
        <f t="shared" si="22"/>
        <v>1.6171232876712329</v>
      </c>
      <c r="S413" s="14">
        <f t="shared" si="23"/>
        <v>-1.7123287671232834E-2</v>
      </c>
      <c r="T413" s="15">
        <f t="shared" si="27"/>
        <v>86.228649706457887</v>
      </c>
      <c r="V413" s="1">
        <v>934.8</v>
      </c>
      <c r="X413" s="1">
        <f t="shared" si="28"/>
        <v>113659.80000000005</v>
      </c>
      <c r="Y413" s="1">
        <f t="shared" si="30"/>
        <v>23155.300000000007</v>
      </c>
      <c r="AA413" s="1">
        <v>10.325523990975</v>
      </c>
    </row>
    <row r="414" spans="1:27" s="1" customFormat="1" x14ac:dyDescent="0.25">
      <c r="A414" s="70"/>
      <c r="B414" s="3"/>
      <c r="C414" s="8">
        <v>40587</v>
      </c>
      <c r="D414" s="1">
        <v>7.1</v>
      </c>
      <c r="E414" s="1">
        <v>3</v>
      </c>
      <c r="F414" s="1">
        <v>11.3</v>
      </c>
      <c r="G414" s="1">
        <f t="shared" si="24"/>
        <v>1458.0000000000002</v>
      </c>
      <c r="H414" s="1">
        <f t="shared" si="29"/>
        <v>222.09999999999994</v>
      </c>
      <c r="J414" s="1">
        <v>1.2</v>
      </c>
      <c r="K414" s="1">
        <f t="shared" si="25"/>
        <v>247.29999999999976</v>
      </c>
      <c r="L414" s="1">
        <v>0.9</v>
      </c>
      <c r="M414" s="1">
        <f t="shared" si="26"/>
        <v>241.39999999999998</v>
      </c>
      <c r="N414" s="1">
        <v>0.29999999999999993</v>
      </c>
      <c r="O414" s="1">
        <f t="shared" si="20"/>
        <v>69.199999999999946</v>
      </c>
      <c r="P414" s="6">
        <v>159</v>
      </c>
      <c r="Q414" s="16">
        <f t="shared" si="21"/>
        <v>1.0801369863013699</v>
      </c>
      <c r="R414" s="14">
        <f t="shared" si="22"/>
        <v>0.97212328767123291</v>
      </c>
      <c r="S414" s="14">
        <f t="shared" si="23"/>
        <v>0.22787671232876705</v>
      </c>
      <c r="T414" s="15">
        <f t="shared" si="27"/>
        <v>86.456526418786652</v>
      </c>
      <c r="V414" s="1">
        <v>655.29999999999995</v>
      </c>
      <c r="X414" s="1">
        <f t="shared" si="28"/>
        <v>114315.10000000005</v>
      </c>
      <c r="Y414" s="1">
        <f t="shared" si="30"/>
        <v>23810.600000000006</v>
      </c>
      <c r="AA414" s="1">
        <v>10.3713034419173</v>
      </c>
    </row>
    <row r="415" spans="1:27" s="1" customFormat="1" x14ac:dyDescent="0.25">
      <c r="A415" s="70"/>
      <c r="B415" s="3"/>
      <c r="C415" s="8">
        <v>40588</v>
      </c>
      <c r="D415" s="1">
        <v>7.5</v>
      </c>
      <c r="E415" s="1">
        <v>6.5</v>
      </c>
      <c r="F415" s="1">
        <v>9.4</v>
      </c>
      <c r="G415" s="1">
        <f t="shared" si="24"/>
        <v>1465.5000000000002</v>
      </c>
      <c r="H415" s="1">
        <f t="shared" si="29"/>
        <v>229.59999999999994</v>
      </c>
      <c r="J415" s="1">
        <v>0.9</v>
      </c>
      <c r="K415" s="1">
        <f t="shared" si="25"/>
        <v>248.19999999999976</v>
      </c>
      <c r="L415" s="1">
        <v>0.8</v>
      </c>
      <c r="M415" s="1">
        <f t="shared" si="26"/>
        <v>242.2</v>
      </c>
      <c r="N415" s="1">
        <v>9.9999999999999978E-2</v>
      </c>
      <c r="O415" s="1">
        <f t="shared" ref="O415:O474" si="31">O414+N415</f>
        <v>69.29999999999994</v>
      </c>
      <c r="P415" s="6">
        <v>160</v>
      </c>
      <c r="Q415" s="16">
        <f t="shared" si="21"/>
        <v>1.0821917808219177</v>
      </c>
      <c r="R415" s="14">
        <f t="shared" si="22"/>
        <v>0.86575342465753424</v>
      </c>
      <c r="S415" s="14">
        <f t="shared" si="23"/>
        <v>3.4246575342465779E-2</v>
      </c>
      <c r="T415" s="15">
        <f t="shared" si="27"/>
        <v>86.490772994129117</v>
      </c>
      <c r="V415" s="1">
        <v>430.4</v>
      </c>
      <c r="X415" s="1">
        <f t="shared" si="28"/>
        <v>114745.50000000004</v>
      </c>
      <c r="Y415" s="1">
        <f t="shared" si="30"/>
        <v>24241.000000000007</v>
      </c>
      <c r="AA415" s="1">
        <v>10.417412006566201</v>
      </c>
    </row>
    <row r="416" spans="1:27" s="1" customFormat="1" x14ac:dyDescent="0.25">
      <c r="A416" s="70"/>
      <c r="B416" s="3"/>
      <c r="C416" s="8">
        <v>40589</v>
      </c>
      <c r="D416" s="1">
        <v>9.5</v>
      </c>
      <c r="E416" s="1">
        <v>4.3</v>
      </c>
      <c r="F416" s="1">
        <v>16.2</v>
      </c>
      <c r="G416" s="1">
        <f t="shared" si="24"/>
        <v>1475.0000000000002</v>
      </c>
      <c r="H416" s="1">
        <f t="shared" si="29"/>
        <v>239.09999999999994</v>
      </c>
      <c r="J416" s="1">
        <v>2.9</v>
      </c>
      <c r="K416" s="1">
        <f t="shared" si="25"/>
        <v>251.09999999999977</v>
      </c>
      <c r="L416" s="1">
        <v>1.9</v>
      </c>
      <c r="M416" s="1">
        <f t="shared" si="26"/>
        <v>244.1</v>
      </c>
      <c r="N416" s="1">
        <v>1</v>
      </c>
      <c r="O416" s="1">
        <f t="shared" si="31"/>
        <v>70.29999999999994</v>
      </c>
      <c r="P416" s="6">
        <v>161</v>
      </c>
      <c r="Q416" s="16">
        <f t="shared" si="21"/>
        <v>1.0842465753424657</v>
      </c>
      <c r="R416" s="14">
        <f t="shared" si="22"/>
        <v>2.060068493150685</v>
      </c>
      <c r="S416" s="14">
        <f t="shared" si="23"/>
        <v>0.83993150684931495</v>
      </c>
      <c r="T416" s="15">
        <f t="shared" si="27"/>
        <v>87.330704500978428</v>
      </c>
      <c r="V416" s="1">
        <v>1086</v>
      </c>
      <c r="X416" s="1">
        <f t="shared" si="28"/>
        <v>115831.50000000004</v>
      </c>
      <c r="Y416" s="1">
        <f t="shared" si="30"/>
        <v>25327.000000000007</v>
      </c>
      <c r="AA416" s="1">
        <v>10.4638338494391</v>
      </c>
    </row>
    <row r="417" spans="1:28" s="1" customFormat="1" x14ac:dyDescent="0.25">
      <c r="A417" s="70"/>
      <c r="B417" s="3"/>
      <c r="C417" s="8">
        <v>40590</v>
      </c>
      <c r="D417" s="1">
        <v>8.6999999999999993</v>
      </c>
      <c r="E417" s="1">
        <v>5.0999999999999996</v>
      </c>
      <c r="F417" s="1">
        <v>13.5</v>
      </c>
      <c r="G417" s="1">
        <f t="shared" si="24"/>
        <v>1483.7000000000003</v>
      </c>
      <c r="H417" s="1">
        <f t="shared" si="29"/>
        <v>247.79999999999993</v>
      </c>
      <c r="J417" s="1">
        <v>0</v>
      </c>
      <c r="K417" s="1">
        <f t="shared" si="25"/>
        <v>251.09999999999977</v>
      </c>
      <c r="L417" s="1">
        <v>1.8</v>
      </c>
      <c r="M417" s="1">
        <f t="shared" si="26"/>
        <v>245.9</v>
      </c>
      <c r="N417" s="1">
        <v>-1.8</v>
      </c>
      <c r="O417" s="1">
        <f t="shared" si="31"/>
        <v>68.499999999999943</v>
      </c>
      <c r="P417" s="6">
        <v>162</v>
      </c>
      <c r="Q417" s="16">
        <f t="shared" si="21"/>
        <v>1.0863013698630137</v>
      </c>
      <c r="R417" s="14">
        <f t="shared" si="22"/>
        <v>1.9553424657534249</v>
      </c>
      <c r="S417" s="14">
        <f t="shared" si="23"/>
        <v>-1.9553424657534249</v>
      </c>
      <c r="T417" s="15">
        <f t="shared" si="27"/>
        <v>85.37536203522501</v>
      </c>
      <c r="V417" s="1">
        <v>1155.3</v>
      </c>
      <c r="X417" s="1">
        <f t="shared" si="28"/>
        <v>116986.80000000005</v>
      </c>
      <c r="Y417" s="1">
        <f t="shared" si="30"/>
        <v>26482.300000000007</v>
      </c>
      <c r="AA417" s="1">
        <v>10.5105536194789</v>
      </c>
    </row>
    <row r="418" spans="1:28" s="1" customFormat="1" x14ac:dyDescent="0.25">
      <c r="A418" s="70"/>
      <c r="B418" s="3"/>
      <c r="C418" s="8">
        <v>40591</v>
      </c>
      <c r="D418" s="1">
        <v>7.7</v>
      </c>
      <c r="E418" s="1">
        <v>4.5</v>
      </c>
      <c r="F418" s="1">
        <v>11.2</v>
      </c>
      <c r="G418" s="1">
        <f t="shared" si="24"/>
        <v>1491.4000000000003</v>
      </c>
      <c r="H418" s="1">
        <f t="shared" si="29"/>
        <v>255.49999999999991</v>
      </c>
      <c r="J418" s="1">
        <v>0</v>
      </c>
      <c r="K418" s="1">
        <f t="shared" si="25"/>
        <v>251.09999999999977</v>
      </c>
      <c r="L418" s="1">
        <v>1</v>
      </c>
      <c r="M418" s="1">
        <f t="shared" si="26"/>
        <v>246.9</v>
      </c>
      <c r="N418" s="1">
        <v>-1</v>
      </c>
      <c r="O418" s="1">
        <f t="shared" si="31"/>
        <v>67.499999999999943</v>
      </c>
      <c r="P418" s="6">
        <v>163</v>
      </c>
      <c r="Q418" s="16">
        <f t="shared" si="21"/>
        <v>1.0883561643835615</v>
      </c>
      <c r="R418" s="14">
        <f t="shared" si="22"/>
        <v>1.0883561643835615</v>
      </c>
      <c r="S418" s="14">
        <f t="shared" si="23"/>
        <v>-1.0883561643835615</v>
      </c>
      <c r="T418" s="15">
        <f t="shared" si="27"/>
        <v>84.287005870841455</v>
      </c>
      <c r="V418" s="1">
        <v>636.70000000000005</v>
      </c>
      <c r="X418" s="1">
        <f t="shared" si="28"/>
        <v>117623.50000000004</v>
      </c>
      <c r="Y418" s="1">
        <f t="shared" si="30"/>
        <v>27119.000000000007</v>
      </c>
      <c r="AA418" s="1">
        <v>10.557556444863501</v>
      </c>
    </row>
    <row r="419" spans="1:28" s="1" customFormat="1" x14ac:dyDescent="0.25">
      <c r="A419" s="70"/>
      <c r="B419" s="3"/>
      <c r="C419" s="8">
        <v>40592</v>
      </c>
      <c r="D419" s="1">
        <v>9.1999999999999993</v>
      </c>
      <c r="E419" s="1">
        <v>7.8</v>
      </c>
      <c r="F419" s="1">
        <v>13.8</v>
      </c>
      <c r="G419" s="1">
        <f t="shared" si="24"/>
        <v>1500.6000000000004</v>
      </c>
      <c r="H419" s="1">
        <f t="shared" si="29"/>
        <v>264.69999999999993</v>
      </c>
      <c r="J419" s="1">
        <v>0</v>
      </c>
      <c r="K419" s="1">
        <f t="shared" si="25"/>
        <v>251.09999999999977</v>
      </c>
      <c r="L419" s="1">
        <v>2.2999999999999998</v>
      </c>
      <c r="M419" s="1">
        <f t="shared" si="26"/>
        <v>249.20000000000002</v>
      </c>
      <c r="N419" s="1">
        <v>-2.2999999999999998</v>
      </c>
      <c r="O419" s="1">
        <f t="shared" si="31"/>
        <v>65.199999999999946</v>
      </c>
      <c r="P419" s="6">
        <v>164</v>
      </c>
      <c r="Q419" s="16">
        <f t="shared" si="21"/>
        <v>1.0904109589041096</v>
      </c>
      <c r="R419" s="14">
        <f t="shared" si="22"/>
        <v>2.507945205479452</v>
      </c>
      <c r="S419" s="14">
        <f t="shared" si="23"/>
        <v>-2.507945205479452</v>
      </c>
      <c r="T419" s="15">
        <f t="shared" si="27"/>
        <v>81.779060665361996</v>
      </c>
      <c r="V419" s="1">
        <v>1084.7</v>
      </c>
      <c r="X419" s="1">
        <f t="shared" si="28"/>
        <v>118708.20000000004</v>
      </c>
      <c r="Y419" s="1">
        <f t="shared" si="30"/>
        <v>28203.700000000008</v>
      </c>
      <c r="AA419" s="1">
        <v>10.604827926667101</v>
      </c>
    </row>
    <row r="420" spans="1:28" s="1" customFormat="1" x14ac:dyDescent="0.25">
      <c r="A420" s="70"/>
      <c r="B420" s="3"/>
      <c r="C420" s="8">
        <v>40593</v>
      </c>
      <c r="D420" s="1">
        <v>7.7</v>
      </c>
      <c r="E420" s="1">
        <v>2.2000000000000002</v>
      </c>
      <c r="F420" s="1">
        <v>13.5</v>
      </c>
      <c r="G420" s="1">
        <f t="shared" si="24"/>
        <v>1508.3000000000004</v>
      </c>
      <c r="H420" s="1">
        <f t="shared" si="29"/>
        <v>272.39999999999992</v>
      </c>
      <c r="J420" s="1">
        <v>3.2</v>
      </c>
      <c r="K420" s="1">
        <f t="shared" si="25"/>
        <v>254.29999999999976</v>
      </c>
      <c r="L420" s="1">
        <v>0.7</v>
      </c>
      <c r="M420" s="1">
        <f t="shared" si="26"/>
        <v>249.9</v>
      </c>
      <c r="N420" s="1">
        <v>2.5</v>
      </c>
      <c r="O420" s="1">
        <f t="shared" si="31"/>
        <v>67.699999999999946</v>
      </c>
      <c r="P420" s="6">
        <v>165</v>
      </c>
      <c r="Q420" s="16">
        <f t="shared" si="21"/>
        <v>1.0924657534246576</v>
      </c>
      <c r="R420" s="14">
        <f t="shared" si="22"/>
        <v>0.76472602739726026</v>
      </c>
      <c r="S420" s="14">
        <f t="shared" si="23"/>
        <v>2.4352739726027401</v>
      </c>
      <c r="T420" s="15">
        <f t="shared" si="27"/>
        <v>84.21433463796474</v>
      </c>
      <c r="V420" s="1">
        <v>382.3</v>
      </c>
      <c r="X420" s="1">
        <f t="shared" si="28"/>
        <v>119090.50000000004</v>
      </c>
      <c r="Y420" s="1">
        <f t="shared" si="30"/>
        <v>28586.000000000007</v>
      </c>
      <c r="AA420" s="1">
        <v>10.652354131468099</v>
      </c>
    </row>
    <row r="421" spans="1:28" s="1" customFormat="1" x14ac:dyDescent="0.25">
      <c r="A421" s="70"/>
      <c r="B421" s="3"/>
      <c r="C421" s="8">
        <v>40594</v>
      </c>
      <c r="D421" s="1">
        <v>9</v>
      </c>
      <c r="E421" s="1">
        <v>8.1999999999999993</v>
      </c>
      <c r="F421" s="1">
        <v>11.4</v>
      </c>
      <c r="G421" s="1">
        <f t="shared" si="24"/>
        <v>1517.3000000000004</v>
      </c>
      <c r="H421" s="1">
        <f t="shared" si="29"/>
        <v>281.39999999999992</v>
      </c>
      <c r="J421" s="1">
        <v>0.3</v>
      </c>
      <c r="K421" s="1">
        <f t="shared" si="25"/>
        <v>254.59999999999977</v>
      </c>
      <c r="L421" s="1">
        <v>1.5</v>
      </c>
      <c r="M421" s="1">
        <f t="shared" si="26"/>
        <v>251.4</v>
      </c>
      <c r="N421" s="1">
        <v>-1.2</v>
      </c>
      <c r="O421" s="1">
        <f t="shared" si="31"/>
        <v>66.499999999999943</v>
      </c>
      <c r="P421" s="6">
        <v>166</v>
      </c>
      <c r="Q421" s="16">
        <f t="shared" si="21"/>
        <v>1.0945205479452054</v>
      </c>
      <c r="R421" s="14">
        <f t="shared" si="22"/>
        <v>1.6417808219178081</v>
      </c>
      <c r="S421" s="14">
        <f t="shared" si="23"/>
        <v>-1.341780821917808</v>
      </c>
      <c r="T421" s="15">
        <f t="shared" si="27"/>
        <v>82.872553816046931</v>
      </c>
      <c r="V421" s="1">
        <v>1020.1</v>
      </c>
      <c r="X421" s="1">
        <f t="shared" si="28"/>
        <v>120110.60000000005</v>
      </c>
      <c r="Y421" s="1">
        <f t="shared" si="30"/>
        <v>29606.100000000006</v>
      </c>
      <c r="AA421" s="1">
        <v>10.7001215829912</v>
      </c>
    </row>
    <row r="422" spans="1:28" s="1" customFormat="1" x14ac:dyDescent="0.25">
      <c r="A422" s="70"/>
      <c r="B422" s="3"/>
      <c r="C422" s="8">
        <v>40595</v>
      </c>
      <c r="D422" s="1">
        <v>9</v>
      </c>
      <c r="E422" s="1">
        <v>4.2</v>
      </c>
      <c r="F422" s="1">
        <v>11.5</v>
      </c>
      <c r="G422" s="1">
        <f t="shared" si="24"/>
        <v>1526.3000000000004</v>
      </c>
      <c r="H422" s="1">
        <f t="shared" si="29"/>
        <v>290.39999999999992</v>
      </c>
      <c r="J422" s="1">
        <v>12.6</v>
      </c>
      <c r="K422" s="1">
        <f t="shared" si="25"/>
        <v>267.19999999999976</v>
      </c>
      <c r="L422" s="1">
        <v>0.8</v>
      </c>
      <c r="M422" s="1">
        <f t="shared" si="26"/>
        <v>252.20000000000002</v>
      </c>
      <c r="N422" s="1">
        <v>11.799999999999999</v>
      </c>
      <c r="O422" s="1">
        <f t="shared" si="31"/>
        <v>78.29999999999994</v>
      </c>
      <c r="P422" s="6">
        <v>167</v>
      </c>
      <c r="Q422" s="16">
        <f t="shared" si="21"/>
        <v>1.0965753424657534</v>
      </c>
      <c r="R422" s="14">
        <f t="shared" si="22"/>
        <v>0.87726027397260276</v>
      </c>
      <c r="S422" s="14">
        <f t="shared" si="23"/>
        <v>11.722739726027397</v>
      </c>
      <c r="T422" s="15">
        <f t="shared" si="27"/>
        <v>94.59529354207433</v>
      </c>
      <c r="V422" s="1">
        <v>523.70000000000005</v>
      </c>
      <c r="X422" s="1">
        <f t="shared" si="28"/>
        <v>120634.30000000005</v>
      </c>
      <c r="Y422" s="1">
        <f t="shared" si="30"/>
        <v>30129.800000000007</v>
      </c>
      <c r="AA422" s="1">
        <v>10.7481172528709</v>
      </c>
    </row>
    <row r="423" spans="1:28" s="1" customFormat="1" x14ac:dyDescent="0.25">
      <c r="A423" s="70"/>
      <c r="B423" s="3"/>
      <c r="C423" s="8">
        <v>40596</v>
      </c>
      <c r="D423" s="1">
        <v>8.9</v>
      </c>
      <c r="E423" s="1">
        <v>7.7</v>
      </c>
      <c r="F423" s="1">
        <v>10</v>
      </c>
      <c r="G423" s="1">
        <f t="shared" si="24"/>
        <v>1535.2000000000005</v>
      </c>
      <c r="H423" s="1">
        <f t="shared" si="29"/>
        <v>299.2999999999999</v>
      </c>
      <c r="J423" s="1">
        <v>2.5</v>
      </c>
      <c r="K423" s="1">
        <f t="shared" si="25"/>
        <v>269.69999999999976</v>
      </c>
      <c r="L423" s="1">
        <v>0.6</v>
      </c>
      <c r="M423" s="1">
        <f t="shared" si="26"/>
        <v>252.8</v>
      </c>
      <c r="N423" s="1">
        <v>1.9</v>
      </c>
      <c r="O423" s="1">
        <f t="shared" si="31"/>
        <v>80.199999999999946</v>
      </c>
      <c r="P423" s="6">
        <v>168</v>
      </c>
      <c r="Q423" s="16">
        <f t="shared" si="21"/>
        <v>1.0986301369863014</v>
      </c>
      <c r="R423" s="14">
        <f t="shared" si="22"/>
        <v>0.65917808219178087</v>
      </c>
      <c r="S423" s="14">
        <f t="shared" si="23"/>
        <v>1.8408219178082192</v>
      </c>
      <c r="T423" s="15">
        <f t="shared" si="27"/>
        <v>96.436115459882544</v>
      </c>
      <c r="V423" s="1">
        <v>167.6</v>
      </c>
      <c r="X423" s="1">
        <f t="shared" si="28"/>
        <v>120801.90000000005</v>
      </c>
      <c r="Y423" s="1">
        <f t="shared" si="30"/>
        <v>30297.400000000005</v>
      </c>
      <c r="AA423" s="1">
        <v>10.796328550617201</v>
      </c>
    </row>
    <row r="424" spans="1:28" s="1" customFormat="1" x14ac:dyDescent="0.25">
      <c r="A424" s="70"/>
      <c r="B424" s="3"/>
      <c r="C424" s="8">
        <v>40597</v>
      </c>
      <c r="D424" s="1">
        <v>9.4</v>
      </c>
      <c r="E424" s="1">
        <v>6.6</v>
      </c>
      <c r="F424" s="1">
        <v>11.1</v>
      </c>
      <c r="G424" s="1">
        <f t="shared" si="24"/>
        <v>1544.6000000000006</v>
      </c>
      <c r="H424" s="1">
        <f t="shared" si="29"/>
        <v>308.69999999999987</v>
      </c>
      <c r="J424" s="1">
        <v>0.9</v>
      </c>
      <c r="K424" s="1">
        <f t="shared" si="25"/>
        <v>270.59999999999974</v>
      </c>
      <c r="L424" s="1">
        <v>1</v>
      </c>
      <c r="M424" s="1">
        <f t="shared" si="26"/>
        <v>253.8</v>
      </c>
      <c r="N424" s="1">
        <v>-9.9999999999999978E-2</v>
      </c>
      <c r="O424" s="1">
        <f t="shared" si="31"/>
        <v>80.099999999999952</v>
      </c>
      <c r="P424" s="6">
        <v>169</v>
      </c>
      <c r="Q424" s="16">
        <f t="shared" si="21"/>
        <v>1.1006849315068492</v>
      </c>
      <c r="R424" s="14">
        <f t="shared" si="22"/>
        <v>1.1006849315068492</v>
      </c>
      <c r="S424" s="14">
        <f t="shared" si="23"/>
        <v>-0.20068493150684918</v>
      </c>
      <c r="T424" s="15">
        <f t="shared" si="27"/>
        <v>96.235430528375701</v>
      </c>
      <c r="V424" s="1">
        <v>681.3</v>
      </c>
      <c r="X424" s="1">
        <f t="shared" si="28"/>
        <v>121483.20000000006</v>
      </c>
      <c r="Y424" s="1">
        <f t="shared" si="30"/>
        <v>30978.700000000004</v>
      </c>
      <c r="AA424" s="1">
        <v>10.844743312861301</v>
      </c>
    </row>
    <row r="425" spans="1:28" s="1" customFormat="1" x14ac:dyDescent="0.25">
      <c r="A425" s="70"/>
      <c r="B425" s="3"/>
      <c r="C425" s="8">
        <v>40598</v>
      </c>
      <c r="D425" s="1">
        <v>11.8</v>
      </c>
      <c r="E425" s="1">
        <v>10.199999999999999</v>
      </c>
      <c r="F425" s="1">
        <v>14.3</v>
      </c>
      <c r="G425" s="1">
        <f t="shared" si="24"/>
        <v>1556.4000000000005</v>
      </c>
      <c r="H425" s="1">
        <f t="shared" si="29"/>
        <v>320.49999999999989</v>
      </c>
      <c r="J425" s="1">
        <v>0.7</v>
      </c>
      <c r="K425" s="1">
        <f t="shared" si="25"/>
        <v>271.29999999999973</v>
      </c>
      <c r="L425" s="1">
        <v>1.4</v>
      </c>
      <c r="M425" s="1">
        <f t="shared" si="26"/>
        <v>255.20000000000002</v>
      </c>
      <c r="N425" s="1">
        <v>-0.7</v>
      </c>
      <c r="O425" s="1">
        <f t="shared" si="31"/>
        <v>79.399999999999949</v>
      </c>
      <c r="P425" s="6">
        <v>170</v>
      </c>
      <c r="Q425" s="16">
        <f t="shared" si="21"/>
        <v>1.1027397260273972</v>
      </c>
      <c r="R425" s="14">
        <f t="shared" si="22"/>
        <v>1.543835616438356</v>
      </c>
      <c r="S425" s="14">
        <f t="shared" si="23"/>
        <v>-0.84383561643835603</v>
      </c>
      <c r="T425" s="15">
        <f t="shared" si="27"/>
        <v>95.391594911937347</v>
      </c>
      <c r="V425" s="1">
        <v>682.6</v>
      </c>
      <c r="X425" s="1">
        <f t="shared" si="28"/>
        <v>122165.80000000006</v>
      </c>
      <c r="Y425" s="1">
        <f t="shared" si="30"/>
        <v>31661.300000000003</v>
      </c>
      <c r="AA425" s="1">
        <v>10.8933497919536</v>
      </c>
    </row>
    <row r="426" spans="1:28" s="1" customFormat="1" x14ac:dyDescent="0.25">
      <c r="A426" s="70"/>
      <c r="B426" s="3"/>
      <c r="C426" s="8">
        <v>40599</v>
      </c>
      <c r="D426" s="1">
        <v>11.2</v>
      </c>
      <c r="E426" s="1">
        <v>10.6</v>
      </c>
      <c r="F426" s="1">
        <v>13.7</v>
      </c>
      <c r="G426" s="1">
        <f t="shared" si="24"/>
        <v>1567.6000000000006</v>
      </c>
      <c r="H426" s="1">
        <f t="shared" si="29"/>
        <v>331.69999999999987</v>
      </c>
      <c r="J426" s="1">
        <v>0</v>
      </c>
      <c r="K426" s="1">
        <f t="shared" si="25"/>
        <v>271.29999999999973</v>
      </c>
      <c r="L426" s="1">
        <v>1.6</v>
      </c>
      <c r="M426" s="1">
        <f t="shared" si="26"/>
        <v>256.8</v>
      </c>
      <c r="N426" s="1">
        <v>-1.6</v>
      </c>
      <c r="O426" s="1">
        <f t="shared" si="31"/>
        <v>77.799999999999955</v>
      </c>
      <c r="P426" s="6">
        <v>171</v>
      </c>
      <c r="Q426" s="16">
        <f t="shared" si="21"/>
        <v>1.1047945205479452</v>
      </c>
      <c r="R426" s="14">
        <f t="shared" si="22"/>
        <v>1.7676712328767126</v>
      </c>
      <c r="S426" s="14">
        <f t="shared" si="23"/>
        <v>-1.7676712328767126</v>
      </c>
      <c r="T426" s="15">
        <f t="shared" si="27"/>
        <v>93.623923679060638</v>
      </c>
      <c r="V426" s="1">
        <v>658.3</v>
      </c>
      <c r="X426" s="1">
        <f t="shared" si="28"/>
        <v>122824.10000000006</v>
      </c>
      <c r="Y426" s="1">
        <f t="shared" si="30"/>
        <v>32319.600000000002</v>
      </c>
      <c r="AA426" s="1">
        <v>10.942136643984</v>
      </c>
      <c r="AB426" s="93" t="s">
        <v>69</v>
      </c>
    </row>
    <row r="427" spans="1:28" s="1" customFormat="1" x14ac:dyDescent="0.25">
      <c r="A427" s="70"/>
      <c r="B427" s="3"/>
      <c r="C427" s="8">
        <v>40600</v>
      </c>
      <c r="D427" s="1">
        <v>9.5</v>
      </c>
      <c r="E427" s="1">
        <v>5.6</v>
      </c>
      <c r="F427" s="1">
        <v>13.8</v>
      </c>
      <c r="G427" s="1">
        <f t="shared" si="24"/>
        <v>1577.1000000000006</v>
      </c>
      <c r="H427" s="1">
        <f t="shared" si="29"/>
        <v>341.19999999999987</v>
      </c>
      <c r="J427" s="1">
        <v>3</v>
      </c>
      <c r="K427" s="1">
        <f t="shared" si="25"/>
        <v>274.29999999999973</v>
      </c>
      <c r="L427" s="1">
        <v>1</v>
      </c>
      <c r="M427" s="1">
        <f t="shared" si="26"/>
        <v>257.8</v>
      </c>
      <c r="N427" s="1">
        <v>2</v>
      </c>
      <c r="O427" s="1">
        <f t="shared" si="31"/>
        <v>79.799999999999955</v>
      </c>
      <c r="P427" s="6">
        <v>172</v>
      </c>
      <c r="Q427" s="16">
        <f t="shared" si="21"/>
        <v>1.106849315068493</v>
      </c>
      <c r="R427" s="14">
        <f t="shared" si="22"/>
        <v>1.106849315068493</v>
      </c>
      <c r="S427" s="14">
        <f t="shared" si="23"/>
        <v>1.893150684931507</v>
      </c>
      <c r="T427" s="15">
        <f t="shared" si="27"/>
        <v>95.517074363992151</v>
      </c>
      <c r="V427" s="1">
        <v>298.8</v>
      </c>
      <c r="X427" s="1">
        <f t="shared" si="28"/>
        <v>123122.90000000007</v>
      </c>
      <c r="Y427" s="1">
        <f t="shared" si="30"/>
        <v>32618.400000000001</v>
      </c>
      <c r="AA427" s="1">
        <v>10.9910929162871</v>
      </c>
      <c r="AB427" s="14">
        <f>AVERAGE(T436:T449)</f>
        <v>75.80250978473579</v>
      </c>
    </row>
    <row r="428" spans="1:28" s="1" customFormat="1" x14ac:dyDescent="0.25">
      <c r="A428" s="70"/>
      <c r="B428" s="3"/>
      <c r="C428" s="8">
        <v>40601</v>
      </c>
      <c r="D428" s="1">
        <v>7.4</v>
      </c>
      <c r="E428" s="1">
        <v>6.6</v>
      </c>
      <c r="F428" s="1">
        <v>9.6</v>
      </c>
      <c r="G428" s="1">
        <f t="shared" si="24"/>
        <v>1584.5000000000007</v>
      </c>
      <c r="H428" s="1">
        <f t="shared" si="29"/>
        <v>348.59999999999985</v>
      </c>
      <c r="J428" s="1">
        <v>2.6</v>
      </c>
      <c r="K428" s="1">
        <f t="shared" si="25"/>
        <v>276.89999999999975</v>
      </c>
      <c r="L428" s="1">
        <v>1.7</v>
      </c>
      <c r="M428" s="1">
        <f t="shared" si="26"/>
        <v>259.5</v>
      </c>
      <c r="N428" s="1">
        <v>0.90000000000000013</v>
      </c>
      <c r="O428" s="1">
        <f t="shared" si="31"/>
        <v>80.69999999999996</v>
      </c>
      <c r="P428" s="6">
        <v>173</v>
      </c>
      <c r="Q428" s="16">
        <f t="shared" si="21"/>
        <v>1.1089041095890411</v>
      </c>
      <c r="R428" s="14">
        <f t="shared" si="22"/>
        <v>1.8851369863013698</v>
      </c>
      <c r="S428" s="14">
        <f t="shared" si="23"/>
        <v>0.71486301369863026</v>
      </c>
      <c r="T428" s="15">
        <f t="shared" si="27"/>
        <v>96.231937377690784</v>
      </c>
      <c r="V428" s="1">
        <v>1030.9000000000001</v>
      </c>
      <c r="X428" s="1">
        <f t="shared" si="28"/>
        <v>124153.80000000006</v>
      </c>
      <c r="Y428" s="1">
        <f t="shared" si="30"/>
        <v>33649.300000000003</v>
      </c>
      <c r="AA428" s="1">
        <v>11.040208034494601</v>
      </c>
      <c r="AB428" s="93" t="s">
        <v>55</v>
      </c>
    </row>
    <row r="429" spans="1:28" s="1" customFormat="1" x14ac:dyDescent="0.25">
      <c r="A429" s="70"/>
      <c r="B429" s="3"/>
      <c r="C429" s="8">
        <v>40602</v>
      </c>
      <c r="D429" s="1">
        <v>6.4</v>
      </c>
      <c r="E429" s="1">
        <v>4.0999999999999996</v>
      </c>
      <c r="F429" s="1">
        <v>9</v>
      </c>
      <c r="G429" s="1">
        <f t="shared" si="24"/>
        <v>1590.9000000000008</v>
      </c>
      <c r="H429" s="1">
        <f t="shared" si="29"/>
        <v>354.99999999999983</v>
      </c>
      <c r="J429" s="1">
        <v>0.1</v>
      </c>
      <c r="K429" s="1">
        <f t="shared" si="25"/>
        <v>276.99999999999977</v>
      </c>
      <c r="L429" s="1">
        <v>1.2</v>
      </c>
      <c r="M429" s="1">
        <f t="shared" si="26"/>
        <v>260.7</v>
      </c>
      <c r="N429" s="1">
        <v>-1.0999999999999999</v>
      </c>
      <c r="O429" s="1">
        <f t="shared" si="31"/>
        <v>79.599999999999966</v>
      </c>
      <c r="P429" s="6">
        <v>174</v>
      </c>
      <c r="Q429" s="16">
        <f t="shared" si="21"/>
        <v>1.1109589041095891</v>
      </c>
      <c r="R429" s="14">
        <f t="shared" si="22"/>
        <v>1.3331506849315069</v>
      </c>
      <c r="S429" s="14">
        <f t="shared" si="23"/>
        <v>-1.2331506849315068</v>
      </c>
      <c r="T429" s="15">
        <f t="shared" si="27"/>
        <v>94.998786692759282</v>
      </c>
      <c r="V429" s="1">
        <v>641.5</v>
      </c>
      <c r="X429" s="1">
        <f t="shared" si="28"/>
        <v>124795.30000000006</v>
      </c>
      <c r="Y429" s="1">
        <f t="shared" si="30"/>
        <v>34290.800000000003</v>
      </c>
      <c r="AA429" s="1">
        <v>11.089471789189499</v>
      </c>
      <c r="AB429" s="1">
        <v>6</v>
      </c>
    </row>
    <row r="430" spans="1:28" s="1" customFormat="1" x14ac:dyDescent="0.25">
      <c r="A430" s="70"/>
      <c r="B430" s="3"/>
      <c r="C430" s="8">
        <v>40603</v>
      </c>
      <c r="D430" s="1">
        <v>5</v>
      </c>
      <c r="E430" s="1">
        <v>3.8</v>
      </c>
      <c r="F430" s="1">
        <v>5.4</v>
      </c>
      <c r="G430" s="1">
        <f t="shared" si="24"/>
        <v>1595.9000000000008</v>
      </c>
      <c r="H430" s="1">
        <f t="shared" si="29"/>
        <v>359.99999999999983</v>
      </c>
      <c r="J430" s="1">
        <v>0.2</v>
      </c>
      <c r="K430" s="1">
        <f t="shared" si="25"/>
        <v>277.19999999999976</v>
      </c>
      <c r="L430" s="1">
        <v>0.9</v>
      </c>
      <c r="M430" s="1">
        <f t="shared" si="26"/>
        <v>261.59999999999997</v>
      </c>
      <c r="N430" s="1">
        <v>-0.7</v>
      </c>
      <c r="O430" s="1">
        <f t="shared" si="31"/>
        <v>78.899999999999963</v>
      </c>
      <c r="P430" s="6">
        <v>175</v>
      </c>
      <c r="Q430" s="16">
        <f t="shared" si="21"/>
        <v>1.1130136986301369</v>
      </c>
      <c r="R430" s="14">
        <f t="shared" si="22"/>
        <v>1.0017123287671232</v>
      </c>
      <c r="S430" s="14">
        <f t="shared" si="23"/>
        <v>-0.80171232876712328</v>
      </c>
      <c r="T430" s="15">
        <f t="shared" si="27"/>
        <v>94.197074363992158</v>
      </c>
      <c r="V430" s="1">
        <v>636.70000000000005</v>
      </c>
      <c r="X430" s="1">
        <f t="shared" si="28"/>
        <v>125432.00000000006</v>
      </c>
      <c r="Y430" s="1">
        <f t="shared" si="30"/>
        <v>34927.5</v>
      </c>
      <c r="AA430" s="1">
        <v>11.1388743222142</v>
      </c>
      <c r="AB430" s="93" t="s">
        <v>56</v>
      </c>
    </row>
    <row r="431" spans="1:28" s="1" customFormat="1" x14ac:dyDescent="0.25">
      <c r="A431" s="70"/>
      <c r="B431" s="3"/>
      <c r="C431" s="8">
        <v>40604</v>
      </c>
      <c r="D431" s="1">
        <v>5.2</v>
      </c>
      <c r="E431" s="1">
        <v>5</v>
      </c>
      <c r="F431" s="1">
        <v>6</v>
      </c>
      <c r="G431" s="1">
        <f t="shared" si="24"/>
        <v>1601.1000000000008</v>
      </c>
      <c r="H431" s="1">
        <f t="shared" si="29"/>
        <v>365.19999999999982</v>
      </c>
      <c r="J431" s="1">
        <v>0</v>
      </c>
      <c r="K431" s="1">
        <f t="shared" si="25"/>
        <v>277.19999999999976</v>
      </c>
      <c r="L431" s="1">
        <v>1.1000000000000001</v>
      </c>
      <c r="M431" s="1">
        <f t="shared" si="26"/>
        <v>262.7</v>
      </c>
      <c r="N431" s="1">
        <v>-1.1000000000000001</v>
      </c>
      <c r="O431" s="1">
        <f t="shared" si="31"/>
        <v>77.799999999999969</v>
      </c>
      <c r="P431" s="6">
        <v>176</v>
      </c>
      <c r="Q431" s="16">
        <f t="shared" si="21"/>
        <v>1.1150684931506849</v>
      </c>
      <c r="R431" s="14">
        <f t="shared" si="22"/>
        <v>1.2265753424657535</v>
      </c>
      <c r="S431" s="14">
        <f t="shared" si="23"/>
        <v>-1.2265753424657535</v>
      </c>
      <c r="T431" s="15">
        <f t="shared" si="27"/>
        <v>92.970499021526408</v>
      </c>
      <c r="V431" s="1">
        <v>868.9</v>
      </c>
      <c r="X431" s="1">
        <f t="shared" si="28"/>
        <v>126300.90000000005</v>
      </c>
      <c r="Y431" s="1">
        <f t="shared" si="30"/>
        <v>35796.400000000001</v>
      </c>
      <c r="AA431" s="1">
        <v>11.188406112681101</v>
      </c>
      <c r="AB431" s="1">
        <v>4</v>
      </c>
    </row>
    <row r="432" spans="1:28" s="1" customFormat="1" x14ac:dyDescent="0.25">
      <c r="A432" s="70"/>
      <c r="B432" s="3"/>
      <c r="C432" s="8">
        <v>40605</v>
      </c>
      <c r="D432" s="1">
        <v>4.2</v>
      </c>
      <c r="E432" s="1">
        <v>3</v>
      </c>
      <c r="F432" s="1">
        <v>6.1</v>
      </c>
      <c r="G432" s="1">
        <f t="shared" si="24"/>
        <v>1605.3000000000009</v>
      </c>
      <c r="H432" s="1">
        <f t="shared" si="29"/>
        <v>369.39999999999981</v>
      </c>
      <c r="J432" s="1">
        <v>0.5</v>
      </c>
      <c r="K432" s="1">
        <f t="shared" si="25"/>
        <v>277.69999999999976</v>
      </c>
      <c r="L432" s="1">
        <v>1.4</v>
      </c>
      <c r="M432" s="1">
        <f t="shared" si="26"/>
        <v>264.09999999999997</v>
      </c>
      <c r="N432" s="1">
        <v>-0.89999999999999991</v>
      </c>
      <c r="O432" s="1">
        <f t="shared" si="31"/>
        <v>76.899999999999963</v>
      </c>
      <c r="P432" s="6">
        <v>177</v>
      </c>
      <c r="Q432" s="16">
        <f t="shared" si="21"/>
        <v>1.1171232876712329</v>
      </c>
      <c r="R432" s="14">
        <f t="shared" si="22"/>
        <v>1.563972602739726</v>
      </c>
      <c r="S432" s="14">
        <f t="shared" si="23"/>
        <v>-1.063972602739726</v>
      </c>
      <c r="T432" s="15">
        <f t="shared" si="27"/>
        <v>91.906526418786683</v>
      </c>
      <c r="V432" s="1">
        <v>1036.9000000000001</v>
      </c>
      <c r="X432" s="1">
        <f t="shared" si="28"/>
        <v>127337.80000000005</v>
      </c>
      <c r="Y432" s="1">
        <f t="shared" si="30"/>
        <v>36833.300000000003</v>
      </c>
      <c r="AA432" s="1">
        <v>11.2380579627293</v>
      </c>
      <c r="AB432" s="93" t="s">
        <v>57</v>
      </c>
    </row>
    <row r="433" spans="1:105" s="1" customFormat="1" x14ac:dyDescent="0.25">
      <c r="A433" s="70"/>
      <c r="B433" s="3"/>
      <c r="C433" s="8">
        <v>40606</v>
      </c>
      <c r="D433" s="1">
        <v>6.2</v>
      </c>
      <c r="E433" s="1">
        <v>0</v>
      </c>
      <c r="F433" s="1">
        <v>13.4</v>
      </c>
      <c r="G433" s="1">
        <f t="shared" si="24"/>
        <v>1611.5000000000009</v>
      </c>
      <c r="H433" s="1">
        <f t="shared" si="29"/>
        <v>375.5999999999998</v>
      </c>
      <c r="J433" s="1">
        <v>0</v>
      </c>
      <c r="K433" s="1">
        <f t="shared" si="25"/>
        <v>277.69999999999976</v>
      </c>
      <c r="L433" s="1">
        <v>2.1</v>
      </c>
      <c r="M433" s="1">
        <f t="shared" si="26"/>
        <v>266.2</v>
      </c>
      <c r="N433" s="1">
        <v>-2.1</v>
      </c>
      <c r="O433" s="1">
        <f t="shared" si="31"/>
        <v>74.799999999999969</v>
      </c>
      <c r="P433" s="6">
        <v>178</v>
      </c>
      <c r="Q433" s="16">
        <f t="shared" si="21"/>
        <v>1.1191780821917807</v>
      </c>
      <c r="R433" s="14">
        <f t="shared" si="22"/>
        <v>2.3502739726027397</v>
      </c>
      <c r="S433" s="14">
        <f t="shared" si="23"/>
        <v>-2.3502739726027397</v>
      </c>
      <c r="T433" s="15">
        <f t="shared" si="27"/>
        <v>89.556252446183947</v>
      </c>
      <c r="V433" s="1">
        <v>1458.2</v>
      </c>
      <c r="X433" s="1">
        <f t="shared" si="28"/>
        <v>128796.00000000004</v>
      </c>
      <c r="Y433" s="1">
        <f t="shared" si="30"/>
        <v>38291.5</v>
      </c>
      <c r="AA433" s="1">
        <v>11.287820983067601</v>
      </c>
      <c r="AB433" s="1">
        <v>0</v>
      </c>
    </row>
    <row r="434" spans="1:105" s="1" customFormat="1" x14ac:dyDescent="0.25">
      <c r="A434" s="70"/>
      <c r="B434" s="3"/>
      <c r="C434" s="8">
        <v>40607</v>
      </c>
      <c r="D434" s="1">
        <v>7.3</v>
      </c>
      <c r="E434" s="1">
        <v>0.8</v>
      </c>
      <c r="F434" s="1">
        <v>14.9</v>
      </c>
      <c r="G434" s="1">
        <f t="shared" si="24"/>
        <v>1618.8000000000009</v>
      </c>
      <c r="H434" s="1">
        <f t="shared" si="29"/>
        <v>382.89999999999981</v>
      </c>
      <c r="J434" s="1">
        <v>0</v>
      </c>
      <c r="K434" s="1">
        <f t="shared" si="25"/>
        <v>277.69999999999976</v>
      </c>
      <c r="L434" s="1">
        <v>2.2999999999999998</v>
      </c>
      <c r="M434" s="1">
        <f t="shared" si="26"/>
        <v>268.5</v>
      </c>
      <c r="N434" s="1">
        <v>-2.2999999999999998</v>
      </c>
      <c r="O434" s="1">
        <f t="shared" si="31"/>
        <v>72.499999999999972</v>
      </c>
      <c r="P434" s="6">
        <v>179</v>
      </c>
      <c r="Q434" s="16">
        <f t="shared" si="21"/>
        <v>1.1212328767123287</v>
      </c>
      <c r="R434" s="14">
        <f t="shared" si="22"/>
        <v>2.5788356164383561</v>
      </c>
      <c r="S434" s="14">
        <f t="shared" si="23"/>
        <v>-2.5788356164383561</v>
      </c>
      <c r="T434" s="15">
        <f t="shared" si="27"/>
        <v>86.977416829745593</v>
      </c>
      <c r="V434" s="1">
        <v>1735.3</v>
      </c>
      <c r="X434" s="1">
        <f t="shared" si="28"/>
        <v>130531.30000000005</v>
      </c>
      <c r="Y434" s="1">
        <f t="shared" si="30"/>
        <v>40026.800000000003</v>
      </c>
      <c r="AA434" s="1">
        <v>11.3376865783416</v>
      </c>
      <c r="AB434" s="93" t="s">
        <v>58</v>
      </c>
    </row>
    <row r="435" spans="1:105" s="1" customFormat="1" x14ac:dyDescent="0.25">
      <c r="A435" s="70"/>
      <c r="B435" s="3"/>
      <c r="C435" s="8">
        <v>40608</v>
      </c>
      <c r="D435" s="1">
        <v>7.1</v>
      </c>
      <c r="E435" s="1">
        <v>1.2</v>
      </c>
      <c r="F435" s="1">
        <v>14.4</v>
      </c>
      <c r="G435" s="1">
        <f t="shared" si="24"/>
        <v>1625.9000000000008</v>
      </c>
      <c r="H435" s="1">
        <f t="shared" si="29"/>
        <v>389.99999999999983</v>
      </c>
      <c r="J435" s="1">
        <v>0</v>
      </c>
      <c r="K435" s="1">
        <f t="shared" si="25"/>
        <v>277.69999999999976</v>
      </c>
      <c r="L435" s="1">
        <v>2.2999999999999998</v>
      </c>
      <c r="M435" s="1">
        <f t="shared" si="26"/>
        <v>270.8</v>
      </c>
      <c r="N435" s="1">
        <v>-2.2999999999999998</v>
      </c>
      <c r="O435" s="1">
        <f t="shared" si="31"/>
        <v>70.199999999999974</v>
      </c>
      <c r="P435" s="6">
        <v>180</v>
      </c>
      <c r="Q435" s="16">
        <f t="shared" si="21"/>
        <v>1.1232876712328765</v>
      </c>
      <c r="R435" s="14">
        <f t="shared" si="22"/>
        <v>2.5835616438356159</v>
      </c>
      <c r="S435" s="14">
        <f t="shared" si="23"/>
        <v>-2.5835616438356159</v>
      </c>
      <c r="T435" s="15">
        <f t="shared" si="27"/>
        <v>84.39385518590997</v>
      </c>
      <c r="V435" s="1">
        <v>1768.1</v>
      </c>
      <c r="X435" s="1">
        <f t="shared" si="28"/>
        <v>132299.40000000005</v>
      </c>
      <c r="Y435" s="1">
        <f t="shared" si="30"/>
        <v>41794.9</v>
      </c>
      <c r="AA435" s="1">
        <v>11.387646432357201</v>
      </c>
      <c r="AB435" s="1">
        <f>SUM(J440:J449)</f>
        <v>20.200000000000003</v>
      </c>
    </row>
    <row r="436" spans="1:105" s="1" customFormat="1" x14ac:dyDescent="0.25">
      <c r="A436" s="70"/>
      <c r="B436" s="3"/>
      <c r="C436" s="8">
        <v>40609</v>
      </c>
      <c r="D436" s="1">
        <v>8.5</v>
      </c>
      <c r="E436" s="1">
        <v>0.4</v>
      </c>
      <c r="F436" s="1">
        <v>16.3</v>
      </c>
      <c r="G436" s="1">
        <f t="shared" si="24"/>
        <v>1634.4000000000008</v>
      </c>
      <c r="H436" s="1">
        <f t="shared" si="29"/>
        <v>398.49999999999983</v>
      </c>
      <c r="J436" s="88">
        <v>0</v>
      </c>
      <c r="K436" s="1">
        <f t="shared" si="25"/>
        <v>277.69999999999976</v>
      </c>
      <c r="L436" s="1">
        <v>2.8</v>
      </c>
      <c r="M436" s="1">
        <f t="shared" si="26"/>
        <v>273.60000000000002</v>
      </c>
      <c r="N436" s="1">
        <v>-2.8</v>
      </c>
      <c r="O436" s="1">
        <f t="shared" si="31"/>
        <v>67.399999999999977</v>
      </c>
      <c r="P436" s="6">
        <v>181</v>
      </c>
      <c r="Q436" s="16">
        <f t="shared" si="21"/>
        <v>1.1253424657534246</v>
      </c>
      <c r="R436" s="14">
        <f t="shared" si="22"/>
        <v>3.1509589041095887</v>
      </c>
      <c r="S436" s="14">
        <f t="shared" si="23"/>
        <v>-3.1509589041095887</v>
      </c>
      <c r="T436" s="91">
        <f t="shared" si="27"/>
        <v>81.242896281800384</v>
      </c>
      <c r="V436" s="1">
        <v>1810.9</v>
      </c>
      <c r="X436" s="1">
        <f t="shared" si="28"/>
        <v>134110.30000000005</v>
      </c>
      <c r="Y436" s="1">
        <f t="shared" si="30"/>
        <v>43605.8</v>
      </c>
      <c r="AA436" s="1">
        <v>11.4376924931915</v>
      </c>
    </row>
    <row r="437" spans="1:105" s="1" customFormat="1" x14ac:dyDescent="0.25">
      <c r="A437" s="70"/>
      <c r="B437" s="3"/>
      <c r="C437" s="8">
        <v>40610</v>
      </c>
      <c r="D437" s="1">
        <v>10.5</v>
      </c>
      <c r="E437" s="1">
        <v>9.4</v>
      </c>
      <c r="F437" s="1">
        <v>13.6</v>
      </c>
      <c r="G437" s="1">
        <f t="shared" si="24"/>
        <v>1644.9000000000008</v>
      </c>
      <c r="H437" s="1">
        <f t="shared" si="29"/>
        <v>408.99999999999983</v>
      </c>
      <c r="J437" s="88">
        <v>0</v>
      </c>
      <c r="K437" s="1">
        <f t="shared" si="25"/>
        <v>277.69999999999976</v>
      </c>
      <c r="L437" s="1">
        <v>3.4</v>
      </c>
      <c r="M437" s="1">
        <f t="shared" si="26"/>
        <v>277</v>
      </c>
      <c r="N437" s="1">
        <v>-3.4</v>
      </c>
      <c r="O437" s="1">
        <f t="shared" si="31"/>
        <v>63.999999999999979</v>
      </c>
      <c r="P437" s="6">
        <v>182</v>
      </c>
      <c r="Q437" s="16">
        <f t="shared" si="21"/>
        <v>1.1273972602739726</v>
      </c>
      <c r="R437" s="14">
        <f t="shared" si="22"/>
        <v>3.8331506849315065</v>
      </c>
      <c r="S437" s="14">
        <f t="shared" si="23"/>
        <v>-3.8331506849315065</v>
      </c>
      <c r="T437" s="91">
        <f t="shared" si="27"/>
        <v>77.409745596868873</v>
      </c>
      <c r="V437" s="1">
        <v>1667.6</v>
      </c>
      <c r="X437" s="1">
        <f t="shared" si="28"/>
        <v>135777.90000000005</v>
      </c>
      <c r="Y437" s="1">
        <f t="shared" si="30"/>
        <v>45273.4</v>
      </c>
      <c r="AA437" s="1">
        <v>11.4878169582182</v>
      </c>
    </row>
    <row r="438" spans="1:105" s="1" customFormat="1" x14ac:dyDescent="0.25">
      <c r="A438" s="70"/>
      <c r="B438" s="3"/>
      <c r="C438" s="8">
        <v>40611</v>
      </c>
      <c r="D438" s="1">
        <v>10.199999999999999</v>
      </c>
      <c r="E438" s="1">
        <v>7</v>
      </c>
      <c r="F438" s="1">
        <v>14.7</v>
      </c>
      <c r="G438" s="1">
        <f t="shared" si="24"/>
        <v>1655.1000000000008</v>
      </c>
      <c r="H438" s="1">
        <f t="shared" si="29"/>
        <v>419.19999999999982</v>
      </c>
      <c r="J438" s="88">
        <v>0</v>
      </c>
      <c r="K438" s="1">
        <f t="shared" si="25"/>
        <v>277.69999999999976</v>
      </c>
      <c r="L438" s="1">
        <v>2.4</v>
      </c>
      <c r="M438" s="1">
        <f t="shared" si="26"/>
        <v>279.39999999999998</v>
      </c>
      <c r="N438" s="1">
        <v>-2.4</v>
      </c>
      <c r="O438" s="1">
        <f t="shared" si="31"/>
        <v>61.59999999999998</v>
      </c>
      <c r="P438" s="6">
        <v>183</v>
      </c>
      <c r="Q438" s="16">
        <f t="shared" si="21"/>
        <v>1.1294520547945204</v>
      </c>
      <c r="R438" s="14">
        <f t="shared" si="22"/>
        <v>2.7106849315068486</v>
      </c>
      <c r="S438" s="14">
        <f t="shared" si="23"/>
        <v>-2.7106849315068486</v>
      </c>
      <c r="T438" s="91">
        <f t="shared" si="27"/>
        <v>74.699060665362026</v>
      </c>
      <c r="V438" s="1">
        <v>1512.7</v>
      </c>
      <c r="X438" s="1">
        <f t="shared" si="28"/>
        <v>137290.60000000006</v>
      </c>
      <c r="Y438" s="1">
        <f t="shared" si="30"/>
        <v>46786.1</v>
      </c>
      <c r="AA438" s="1">
        <v>11.5380122590723</v>
      </c>
    </row>
    <row r="439" spans="1:105" s="83" customFormat="1" x14ac:dyDescent="0.25">
      <c r="A439" s="70"/>
      <c r="B439" s="81" t="s">
        <v>53</v>
      </c>
      <c r="C439" s="82">
        <v>40612</v>
      </c>
      <c r="D439" s="83">
        <v>7.5</v>
      </c>
      <c r="E439" s="83">
        <v>3.5</v>
      </c>
      <c r="F439" s="83">
        <v>11.6</v>
      </c>
      <c r="G439" s="83">
        <f t="shared" si="24"/>
        <v>1662.6000000000008</v>
      </c>
      <c r="H439" s="83">
        <f t="shared" si="29"/>
        <v>426.69999999999982</v>
      </c>
      <c r="J439" s="83">
        <v>0</v>
      </c>
      <c r="K439" s="83">
        <f t="shared" si="25"/>
        <v>277.69999999999976</v>
      </c>
      <c r="L439" s="83">
        <v>1.2</v>
      </c>
      <c r="M439" s="83">
        <f t="shared" si="26"/>
        <v>280.59999999999997</v>
      </c>
      <c r="N439" s="83">
        <v>-1.2</v>
      </c>
      <c r="O439" s="83">
        <f t="shared" si="31"/>
        <v>60.399999999999977</v>
      </c>
      <c r="P439" s="84">
        <v>184</v>
      </c>
      <c r="Q439" s="85">
        <f t="shared" si="21"/>
        <v>1.1315068493150684</v>
      </c>
      <c r="R439" s="86">
        <f t="shared" si="22"/>
        <v>1.357808219178082</v>
      </c>
      <c r="S439" s="86">
        <f t="shared" si="23"/>
        <v>-1.357808219178082</v>
      </c>
      <c r="T439" s="87">
        <f t="shared" si="27"/>
        <v>73.341252446183944</v>
      </c>
      <c r="V439" s="83">
        <v>830.5</v>
      </c>
      <c r="X439" s="83">
        <f t="shared" si="28"/>
        <v>138121.10000000006</v>
      </c>
      <c r="Y439" s="83">
        <f t="shared" si="30"/>
        <v>47616.6</v>
      </c>
      <c r="AA439" s="83">
        <v>11.588271046574199</v>
      </c>
    </row>
    <row r="440" spans="1:105" s="1" customFormat="1" x14ac:dyDescent="0.25">
      <c r="A440" s="70"/>
      <c r="B440" s="3"/>
      <c r="C440" s="8">
        <v>40613</v>
      </c>
      <c r="D440" s="1">
        <v>8.6</v>
      </c>
      <c r="E440" s="1">
        <v>1.6</v>
      </c>
      <c r="F440" s="1">
        <v>14</v>
      </c>
      <c r="G440" s="1">
        <f t="shared" si="24"/>
        <v>1671.2000000000007</v>
      </c>
      <c r="H440" s="1">
        <f t="shared" si="29"/>
        <v>435.29999999999984</v>
      </c>
      <c r="J440" s="88">
        <v>0</v>
      </c>
      <c r="K440" s="1">
        <f t="shared" si="25"/>
        <v>277.69999999999976</v>
      </c>
      <c r="L440" s="1">
        <v>2</v>
      </c>
      <c r="M440" s="1">
        <f t="shared" si="26"/>
        <v>282.59999999999997</v>
      </c>
      <c r="N440" s="1">
        <v>-2</v>
      </c>
      <c r="O440" s="1">
        <f t="shared" si="31"/>
        <v>58.399999999999977</v>
      </c>
      <c r="P440" s="6">
        <v>185</v>
      </c>
      <c r="Q440" s="16">
        <f t="shared" si="21"/>
        <v>1.1335616438356164</v>
      </c>
      <c r="R440" s="14">
        <f t="shared" si="22"/>
        <v>2.2671232876712328</v>
      </c>
      <c r="S440" s="14">
        <f t="shared" si="23"/>
        <v>-2.2671232876712328</v>
      </c>
      <c r="T440" s="91">
        <f t="shared" si="27"/>
        <v>71.074129158512704</v>
      </c>
      <c r="V440" s="1">
        <v>1736.6</v>
      </c>
      <c r="X440" s="1">
        <f t="shared" si="28"/>
        <v>139857.70000000007</v>
      </c>
      <c r="Y440" s="1">
        <f t="shared" si="30"/>
        <v>49353.2</v>
      </c>
      <c r="AA440" s="1">
        <v>11.638586175635</v>
      </c>
    </row>
    <row r="441" spans="1:105" s="1" customFormat="1" x14ac:dyDescent="0.25">
      <c r="A441" s="70"/>
      <c r="B441" s="3"/>
      <c r="C441" s="8">
        <v>40614</v>
      </c>
      <c r="D441" s="1">
        <v>11.1</v>
      </c>
      <c r="E441" s="1">
        <v>9</v>
      </c>
      <c r="F441" s="1">
        <v>11.5</v>
      </c>
      <c r="G441" s="1">
        <f t="shared" si="24"/>
        <v>1682.3000000000006</v>
      </c>
      <c r="H441" s="1">
        <f t="shared" si="29"/>
        <v>446.39999999999986</v>
      </c>
      <c r="J441" s="88">
        <v>6</v>
      </c>
      <c r="K441" s="1">
        <f t="shared" si="25"/>
        <v>283.69999999999976</v>
      </c>
      <c r="L441" s="1">
        <v>1.1000000000000001</v>
      </c>
      <c r="M441" s="1">
        <f t="shared" si="26"/>
        <v>283.7</v>
      </c>
      <c r="N441" s="1">
        <v>4.9000000000000004</v>
      </c>
      <c r="O441" s="1">
        <f t="shared" si="31"/>
        <v>63.299999999999976</v>
      </c>
      <c r="P441" s="6">
        <v>186</v>
      </c>
      <c r="Q441" s="16">
        <f t="shared" ref="Q441:Q448" si="32">1+((P441-120)/73)*(1.15-1)</f>
        <v>1.1356164383561642</v>
      </c>
      <c r="R441" s="14">
        <f t="shared" si="22"/>
        <v>1.2491780821917808</v>
      </c>
      <c r="S441" s="14">
        <f t="shared" si="23"/>
        <v>4.7508219178082189</v>
      </c>
      <c r="T441" s="91">
        <f t="shared" si="27"/>
        <v>75.824951076320929</v>
      </c>
      <c r="V441" s="1">
        <v>309.60000000000002</v>
      </c>
      <c r="X441" s="1">
        <f t="shared" si="28"/>
        <v>140167.30000000008</v>
      </c>
      <c r="Y441" s="1">
        <f t="shared" si="30"/>
        <v>49662.799999999996</v>
      </c>
      <c r="AA441" s="1">
        <v>11.6889506901574</v>
      </c>
    </row>
    <row r="442" spans="1:105" s="1" customFormat="1" x14ac:dyDescent="0.25">
      <c r="A442" s="70"/>
      <c r="B442" s="3"/>
      <c r="C442" s="8">
        <v>40615</v>
      </c>
      <c r="D442" s="1">
        <v>12</v>
      </c>
      <c r="E442" s="1">
        <v>8.5</v>
      </c>
      <c r="F442" s="1">
        <v>15.8</v>
      </c>
      <c r="G442" s="1">
        <f t="shared" si="24"/>
        <v>1694.3000000000006</v>
      </c>
      <c r="H442" s="1">
        <f t="shared" si="29"/>
        <v>458.39999999999986</v>
      </c>
      <c r="J442" s="88">
        <v>0.1</v>
      </c>
      <c r="K442" s="1">
        <f t="shared" si="25"/>
        <v>283.79999999999978</v>
      </c>
      <c r="L442" s="1">
        <v>2</v>
      </c>
      <c r="M442" s="1">
        <f t="shared" si="26"/>
        <v>285.7</v>
      </c>
      <c r="N442" s="1">
        <v>-1.9</v>
      </c>
      <c r="O442" s="1">
        <f t="shared" si="31"/>
        <v>61.399999999999977</v>
      </c>
      <c r="P442" s="6">
        <v>187</v>
      </c>
      <c r="Q442" s="16">
        <f t="shared" si="32"/>
        <v>1.1376712328767122</v>
      </c>
      <c r="R442" s="14">
        <f t="shared" si="22"/>
        <v>2.2753424657534245</v>
      </c>
      <c r="S442" s="14">
        <f t="shared" si="23"/>
        <v>-2.1753424657534244</v>
      </c>
      <c r="T442" s="91">
        <f t="shared" si="27"/>
        <v>73.649608610567498</v>
      </c>
      <c r="V442" s="1">
        <v>1177.5</v>
      </c>
      <c r="X442" s="1">
        <f t="shared" si="28"/>
        <v>141344.80000000008</v>
      </c>
      <c r="Y442" s="1">
        <f t="shared" si="30"/>
        <v>50840.299999999996</v>
      </c>
      <c r="AA442" s="1">
        <v>11.7393578079484</v>
      </c>
    </row>
    <row r="443" spans="1:105" s="1" customFormat="1" x14ac:dyDescent="0.25">
      <c r="A443" s="70"/>
      <c r="B443" s="3"/>
      <c r="C443" s="8">
        <v>40616</v>
      </c>
      <c r="D443" s="1">
        <v>13.1</v>
      </c>
      <c r="E443" s="1">
        <v>9.6999999999999993</v>
      </c>
      <c r="F443" s="1">
        <v>16.600000000000001</v>
      </c>
      <c r="G443" s="1">
        <f t="shared" si="24"/>
        <v>1707.4000000000005</v>
      </c>
      <c r="H443" s="1">
        <f t="shared" si="29"/>
        <v>471.49999999999989</v>
      </c>
      <c r="J443" s="88">
        <v>0.2</v>
      </c>
      <c r="K443" s="1">
        <f t="shared" si="25"/>
        <v>283.99999999999977</v>
      </c>
      <c r="L443" s="1">
        <v>2.2000000000000002</v>
      </c>
      <c r="M443" s="1">
        <f t="shared" si="26"/>
        <v>287.89999999999998</v>
      </c>
      <c r="N443" s="1">
        <v>-2</v>
      </c>
      <c r="O443" s="1">
        <f t="shared" si="31"/>
        <v>59.399999999999977</v>
      </c>
      <c r="P443" s="6">
        <v>188</v>
      </c>
      <c r="Q443" s="16">
        <f t="shared" si="32"/>
        <v>1.1397260273972603</v>
      </c>
      <c r="R443" s="14">
        <f t="shared" si="22"/>
        <v>2.5073972602739727</v>
      </c>
      <c r="S443" s="14">
        <f t="shared" si="23"/>
        <v>-2.3073972602739725</v>
      </c>
      <c r="T443" s="91">
        <f t="shared" si="27"/>
        <v>71.342211350293525</v>
      </c>
      <c r="V443" s="1">
        <v>805.3</v>
      </c>
      <c r="X443" s="1">
        <f t="shared" si="28"/>
        <v>142150.10000000006</v>
      </c>
      <c r="Y443" s="1">
        <f t="shared" si="30"/>
        <v>51645.599999999999</v>
      </c>
      <c r="AA443" s="1">
        <v>11.7898009056566</v>
      </c>
    </row>
    <row r="444" spans="1:105" s="1" customFormat="1" x14ac:dyDescent="0.25">
      <c r="A444" s="70"/>
      <c r="B444" s="3"/>
      <c r="C444" s="8">
        <v>40617</v>
      </c>
      <c r="D444" s="1">
        <v>13.2</v>
      </c>
      <c r="E444" s="1">
        <v>12.8</v>
      </c>
      <c r="F444" s="1">
        <v>14.7</v>
      </c>
      <c r="G444" s="1">
        <f t="shared" si="24"/>
        <v>1720.6000000000006</v>
      </c>
      <c r="H444" s="1">
        <f t="shared" si="29"/>
        <v>484.69999999999987</v>
      </c>
      <c r="J444" s="88">
        <v>9.3000000000000007</v>
      </c>
      <c r="K444" s="1">
        <f t="shared" si="25"/>
        <v>293.29999999999978</v>
      </c>
      <c r="L444" s="1">
        <v>1.6</v>
      </c>
      <c r="M444" s="1">
        <f t="shared" si="26"/>
        <v>289.5</v>
      </c>
      <c r="N444" s="1">
        <v>7.7000000000000011</v>
      </c>
      <c r="O444" s="1">
        <f t="shared" si="31"/>
        <v>67.09999999999998</v>
      </c>
      <c r="P444" s="6">
        <v>189</v>
      </c>
      <c r="Q444" s="16">
        <f t="shared" si="32"/>
        <v>1.1417808219178081</v>
      </c>
      <c r="R444" s="14">
        <f t="shared" si="22"/>
        <v>1.826849315068493</v>
      </c>
      <c r="S444" s="14">
        <f t="shared" si="23"/>
        <v>7.4731506849315075</v>
      </c>
      <c r="T444" s="91">
        <f t="shared" si="27"/>
        <v>78.815362035225036</v>
      </c>
      <c r="V444" s="1">
        <v>330.5</v>
      </c>
      <c r="X444" s="1">
        <f t="shared" si="28"/>
        <v>142480.60000000006</v>
      </c>
      <c r="Y444" s="1">
        <f t="shared" si="30"/>
        <v>51976.1</v>
      </c>
      <c r="AA444" s="1">
        <v>11.840273503743701</v>
      </c>
    </row>
    <row r="445" spans="1:105" s="1" customFormat="1" x14ac:dyDescent="0.25">
      <c r="A445" s="70"/>
      <c r="B445" s="3"/>
      <c r="C445" s="8">
        <v>40618</v>
      </c>
      <c r="D445" s="1">
        <v>11.8</v>
      </c>
      <c r="E445" s="1">
        <v>10.5</v>
      </c>
      <c r="F445" s="1">
        <v>13.2</v>
      </c>
      <c r="G445" s="1">
        <f t="shared" si="24"/>
        <v>1732.4000000000005</v>
      </c>
      <c r="H445" s="1">
        <f t="shared" si="29"/>
        <v>496.49999999999989</v>
      </c>
      <c r="J445" s="88">
        <v>4.5</v>
      </c>
      <c r="K445" s="1">
        <f t="shared" si="25"/>
        <v>297.79999999999978</v>
      </c>
      <c r="L445" s="1">
        <v>0.8</v>
      </c>
      <c r="M445" s="1">
        <f t="shared" si="26"/>
        <v>290.3</v>
      </c>
      <c r="N445" s="1">
        <v>3.7</v>
      </c>
      <c r="O445" s="1">
        <f t="shared" si="31"/>
        <v>70.799999999999983</v>
      </c>
      <c r="P445" s="6">
        <v>190</v>
      </c>
      <c r="Q445" s="16">
        <f t="shared" si="32"/>
        <v>1.1438356164383561</v>
      </c>
      <c r="R445" s="14">
        <f t="shared" si="22"/>
        <v>0.91506849315068495</v>
      </c>
      <c r="S445" s="14">
        <f t="shared" si="23"/>
        <v>3.5849315068493151</v>
      </c>
      <c r="T445" s="91">
        <f t="shared" si="27"/>
        <v>82.400293542074351</v>
      </c>
      <c r="V445" s="1">
        <v>351.2</v>
      </c>
      <c r="X445" s="1">
        <f t="shared" si="28"/>
        <v>142831.80000000008</v>
      </c>
      <c r="Y445" s="1">
        <f t="shared" si="30"/>
        <v>52327.299999999996</v>
      </c>
      <c r="AA445" s="1">
        <v>11.890769251502199</v>
      </c>
    </row>
    <row r="446" spans="1:105" s="29" customFormat="1" x14ac:dyDescent="0.25">
      <c r="A446" s="70"/>
      <c r="B446" s="27"/>
      <c r="C446" s="28">
        <v>40619</v>
      </c>
      <c r="D446" s="29">
        <v>11.2</v>
      </c>
      <c r="E446" s="29">
        <v>11.1</v>
      </c>
      <c r="F446" s="29">
        <v>12</v>
      </c>
      <c r="G446" s="29">
        <f t="shared" si="24"/>
        <v>1743.6000000000006</v>
      </c>
      <c r="H446" s="29">
        <f t="shared" si="29"/>
        <v>507.69999999999987</v>
      </c>
      <c r="J446" s="89">
        <v>0</v>
      </c>
      <c r="K446" s="29">
        <f t="shared" si="25"/>
        <v>297.79999999999978</v>
      </c>
      <c r="L446" s="29">
        <v>2.2999999999999998</v>
      </c>
      <c r="M446" s="29">
        <f t="shared" si="26"/>
        <v>292.60000000000002</v>
      </c>
      <c r="N446" s="29">
        <v>-2.2999999999999998</v>
      </c>
      <c r="O446" s="29">
        <f t="shared" si="31"/>
        <v>68.499999999999986</v>
      </c>
      <c r="P446" s="30">
        <v>191</v>
      </c>
      <c r="Q446" s="16">
        <f t="shared" si="32"/>
        <v>1.1458904109589041</v>
      </c>
      <c r="R446" s="31">
        <f t="shared" si="22"/>
        <v>2.6355479452054791</v>
      </c>
      <c r="S446" s="14">
        <f t="shared" si="23"/>
        <v>-2.6355479452054791</v>
      </c>
      <c r="T446" s="91">
        <f t="shared" si="27"/>
        <v>79.764745596868877</v>
      </c>
      <c r="V446" s="29">
        <v>1040.2</v>
      </c>
      <c r="X446" s="29">
        <f t="shared" si="28"/>
        <v>143872.00000000009</v>
      </c>
      <c r="Y446" s="1">
        <f t="shared" si="30"/>
        <v>53367.499999999993</v>
      </c>
      <c r="AA446" s="29">
        <v>11.9412819121242</v>
      </c>
    </row>
    <row r="447" spans="1:105" s="33" customFormat="1" ht="15" customHeight="1" x14ac:dyDescent="0.25">
      <c r="A447" s="70"/>
      <c r="B447" s="32"/>
      <c r="C447" s="28">
        <v>40620</v>
      </c>
      <c r="D447" s="29">
        <v>11.4</v>
      </c>
      <c r="E447" s="29">
        <v>7.5</v>
      </c>
      <c r="F447" s="29">
        <v>15.9</v>
      </c>
      <c r="G447" s="29">
        <f t="shared" si="24"/>
        <v>1755.0000000000007</v>
      </c>
      <c r="H447" s="1">
        <f t="shared" si="29"/>
        <v>519.09999999999991</v>
      </c>
      <c r="I447" s="29"/>
      <c r="J447" s="89">
        <v>0.1</v>
      </c>
      <c r="K447" s="1">
        <f t="shared" si="25"/>
        <v>297.89999999999981</v>
      </c>
      <c r="L447" s="29">
        <v>2.7</v>
      </c>
      <c r="M447" s="1">
        <f t="shared" si="26"/>
        <v>295.3</v>
      </c>
      <c r="N447" s="29">
        <v>-2.6</v>
      </c>
      <c r="O447" s="1">
        <f t="shared" si="31"/>
        <v>65.899999999999991</v>
      </c>
      <c r="P447" s="6">
        <v>192</v>
      </c>
      <c r="Q447" s="16">
        <f t="shared" si="32"/>
        <v>1.1479452054794519</v>
      </c>
      <c r="R447" s="14">
        <f t="shared" si="22"/>
        <v>3.0994520547945204</v>
      </c>
      <c r="S447" s="14">
        <f t="shared" si="23"/>
        <v>-2.9994520547945203</v>
      </c>
      <c r="T447" s="91">
        <f t="shared" si="27"/>
        <v>76.76529354207436</v>
      </c>
      <c r="U447" s="29"/>
      <c r="V447" s="29">
        <v>1375.9</v>
      </c>
      <c r="W447" s="29"/>
      <c r="X447" s="1">
        <f t="shared" si="28"/>
        <v>145247.90000000008</v>
      </c>
      <c r="Y447" s="1">
        <f t="shared" si="30"/>
        <v>54743.399999999994</v>
      </c>
      <c r="Z447" s="29"/>
      <c r="AA447" s="1">
        <v>11.9918053478304</v>
      </c>
      <c r="AB447" s="29"/>
      <c r="AC447" s="29"/>
      <c r="AD447" s="29"/>
      <c r="AE447" s="29"/>
      <c r="AF447" s="29"/>
      <c r="AG447" s="29"/>
      <c r="AH447" s="29"/>
      <c r="AI447" s="29"/>
      <c r="AJ447" s="29"/>
      <c r="AK447" s="29"/>
      <c r="AL447" s="29"/>
      <c r="AM447" s="29"/>
      <c r="AN447" s="29"/>
      <c r="AO447" s="29"/>
      <c r="AP447" s="29"/>
      <c r="AQ447" s="29"/>
      <c r="AR447" s="29"/>
      <c r="AS447" s="29"/>
      <c r="AT447" s="29"/>
      <c r="AU447" s="29"/>
      <c r="AV447" s="29"/>
      <c r="AW447" s="29"/>
      <c r="AX447" s="29"/>
      <c r="AY447" s="29"/>
      <c r="AZ447" s="29"/>
      <c r="BA447" s="29"/>
      <c r="BB447" s="29"/>
      <c r="BC447" s="29"/>
      <c r="BD447" s="29"/>
      <c r="BE447" s="29"/>
      <c r="BF447" s="29"/>
      <c r="BG447" s="29"/>
      <c r="BH447" s="29"/>
      <c r="BI447" s="29"/>
      <c r="BJ447" s="29"/>
      <c r="BK447" s="29"/>
      <c r="BL447" s="29"/>
      <c r="BM447" s="29"/>
      <c r="BN447" s="29"/>
      <c r="BO447" s="29"/>
      <c r="BP447" s="29"/>
      <c r="BQ447" s="29"/>
      <c r="BR447" s="29"/>
      <c r="BS447" s="29"/>
      <c r="BT447" s="29"/>
      <c r="BU447" s="29"/>
      <c r="BV447" s="29"/>
      <c r="BW447" s="29"/>
      <c r="BX447" s="29"/>
      <c r="BY447" s="29"/>
      <c r="BZ447" s="29"/>
      <c r="CA447" s="29"/>
      <c r="CB447" s="29"/>
      <c r="CC447" s="29"/>
      <c r="CD447" s="29"/>
      <c r="CE447" s="29"/>
      <c r="CF447" s="29"/>
      <c r="CG447" s="29"/>
      <c r="CH447" s="29"/>
      <c r="CI447" s="29"/>
      <c r="CJ447" s="29"/>
      <c r="CK447" s="29"/>
      <c r="CL447" s="29"/>
      <c r="CM447" s="29"/>
      <c r="CN447" s="29"/>
      <c r="CO447" s="29"/>
      <c r="CP447" s="29"/>
      <c r="CQ447" s="29"/>
      <c r="CR447" s="29"/>
      <c r="CS447" s="29"/>
      <c r="CT447" s="29"/>
      <c r="CU447" s="29"/>
      <c r="CV447" s="29"/>
      <c r="CW447" s="29"/>
      <c r="CX447" s="29"/>
      <c r="CY447" s="29"/>
      <c r="CZ447" s="29"/>
      <c r="DA447" s="29"/>
    </row>
    <row r="448" spans="1:105" s="45" customFormat="1" ht="15.75" thickBot="1" x14ac:dyDescent="0.3">
      <c r="A448" s="70"/>
      <c r="B448" s="43"/>
      <c r="C448" s="44">
        <v>40621</v>
      </c>
      <c r="D448" s="45">
        <v>12</v>
      </c>
      <c r="E448" s="45">
        <v>10</v>
      </c>
      <c r="F448" s="45">
        <v>15.9</v>
      </c>
      <c r="G448" s="45">
        <f t="shared" si="24"/>
        <v>1767.0000000000007</v>
      </c>
      <c r="H448" s="45">
        <f t="shared" si="29"/>
        <v>531.09999999999991</v>
      </c>
      <c r="J448" s="90">
        <v>0</v>
      </c>
      <c r="K448" s="45">
        <f t="shared" si="25"/>
        <v>297.89999999999981</v>
      </c>
      <c r="L448" s="45">
        <v>2.7</v>
      </c>
      <c r="M448" s="45">
        <f t="shared" si="26"/>
        <v>298</v>
      </c>
      <c r="N448" s="45">
        <v>-2.7</v>
      </c>
      <c r="O448" s="45">
        <f t="shared" si="31"/>
        <v>63.199999999999989</v>
      </c>
      <c r="P448" s="46">
        <v>193</v>
      </c>
      <c r="Q448" s="47">
        <f t="shared" si="32"/>
        <v>1.1499999999999999</v>
      </c>
      <c r="R448" s="48">
        <f t="shared" ref="R448:R511" si="33">Q448*L448</f>
        <v>3.105</v>
      </c>
      <c r="S448" s="48">
        <f t="shared" si="23"/>
        <v>-3.105</v>
      </c>
      <c r="T448" s="92">
        <f t="shared" si="27"/>
        <v>73.660293542074356</v>
      </c>
      <c r="V448" s="45">
        <v>1415.9</v>
      </c>
      <c r="X448" s="45">
        <f t="shared" si="28"/>
        <v>146663.80000000008</v>
      </c>
      <c r="Y448" s="45">
        <f t="shared" si="30"/>
        <v>56159.299999999996</v>
      </c>
      <c r="AA448" s="45">
        <v>12.042333505063899</v>
      </c>
    </row>
    <row r="449" spans="1:106" s="1" customFormat="1" x14ac:dyDescent="0.25">
      <c r="A449" s="34" t="s">
        <v>49</v>
      </c>
      <c r="B449" s="2"/>
      <c r="C449" s="8">
        <v>40622</v>
      </c>
      <c r="D449" s="1">
        <v>10</v>
      </c>
      <c r="E449" s="1">
        <v>7.2</v>
      </c>
      <c r="F449" s="1">
        <v>14.9</v>
      </c>
      <c r="G449" s="1">
        <f t="shared" si="24"/>
        <v>1777.0000000000007</v>
      </c>
      <c r="H449" s="1">
        <v>10</v>
      </c>
      <c r="I449" s="35" t="s">
        <v>30</v>
      </c>
      <c r="J449" s="88">
        <v>0</v>
      </c>
      <c r="K449" s="1">
        <f t="shared" si="25"/>
        <v>297.89999999999981</v>
      </c>
      <c r="L449" s="1">
        <v>2.1</v>
      </c>
      <c r="M449" s="1">
        <f t="shared" si="26"/>
        <v>300.10000000000002</v>
      </c>
      <c r="N449" s="1">
        <v>-2.1</v>
      </c>
      <c r="O449" s="1">
        <f t="shared" si="31"/>
        <v>61.099999999999987</v>
      </c>
      <c r="P449" s="6">
        <v>194</v>
      </c>
      <c r="Q449" s="29">
        <v>1.1499999999999999</v>
      </c>
      <c r="R449" s="14">
        <f t="shared" si="33"/>
        <v>2.415</v>
      </c>
      <c r="S449" s="14">
        <f t="shared" ref="S449:S512" si="34">J449-R449</f>
        <v>-2.415</v>
      </c>
      <c r="T449" s="91">
        <f t="shared" si="27"/>
        <v>71.24529354207435</v>
      </c>
      <c r="U449" s="35" t="s">
        <v>31</v>
      </c>
      <c r="V449" s="1">
        <v>1234.9000000000001</v>
      </c>
      <c r="X449" s="1">
        <f t="shared" si="28"/>
        <v>147898.70000000007</v>
      </c>
      <c r="Y449" s="1">
        <v>1234.9000000000001</v>
      </c>
      <c r="Z449" s="35" t="s">
        <v>32</v>
      </c>
      <c r="AA449" s="1">
        <v>12.092860399753</v>
      </c>
    </row>
    <row r="450" spans="1:106" s="1" customFormat="1" x14ac:dyDescent="0.25">
      <c r="A450" s="34"/>
      <c r="B450" s="2"/>
      <c r="C450" s="8">
        <v>40623</v>
      </c>
      <c r="D450" s="1">
        <v>9.5</v>
      </c>
      <c r="E450" s="1">
        <v>3.6</v>
      </c>
      <c r="F450" s="1">
        <v>15.6</v>
      </c>
      <c r="G450" s="1">
        <f t="shared" ref="G450:G513" si="35">G449+D450</f>
        <v>1786.5000000000007</v>
      </c>
      <c r="H450" s="1">
        <f t="shared" si="29"/>
        <v>19.5</v>
      </c>
      <c r="I450" s="1">
        <f>MIN(E449:E469)</f>
        <v>3.5</v>
      </c>
      <c r="J450" s="1">
        <v>0</v>
      </c>
      <c r="K450" s="1">
        <f t="shared" ref="K450:K513" si="36">K449+J450</f>
        <v>297.89999999999981</v>
      </c>
      <c r="L450" s="1">
        <v>2.6</v>
      </c>
      <c r="M450" s="1">
        <f t="shared" ref="M450:M513" si="37">M449+L450</f>
        <v>302.70000000000005</v>
      </c>
      <c r="N450" s="1">
        <v>-2.6</v>
      </c>
      <c r="O450" s="1">
        <f t="shared" si="31"/>
        <v>58.499999999999986</v>
      </c>
      <c r="P450" s="6">
        <v>195</v>
      </c>
      <c r="Q450" s="29">
        <v>1.1499999999999999</v>
      </c>
      <c r="R450" s="14">
        <f t="shared" si="33"/>
        <v>2.9899999999999998</v>
      </c>
      <c r="S450" s="14">
        <f t="shared" si="34"/>
        <v>-2.9899999999999998</v>
      </c>
      <c r="T450" s="15">
        <f t="shared" ref="T450:T506" si="38">T449+S450</f>
        <v>68.255293542074355</v>
      </c>
      <c r="U450" s="1">
        <v>17</v>
      </c>
      <c r="V450" s="1">
        <v>1808.3</v>
      </c>
      <c r="X450" s="1">
        <f t="shared" ref="X450:X513" si="39">X449+V450</f>
        <v>149707.00000000006</v>
      </c>
      <c r="Y450" s="1">
        <f t="shared" si="30"/>
        <v>3043.2</v>
      </c>
      <c r="Z450" s="1">
        <v>33462.1</v>
      </c>
      <c r="AA450" s="1">
        <v>12.1433801026478</v>
      </c>
    </row>
    <row r="451" spans="1:106" s="1" customFormat="1" x14ac:dyDescent="0.25">
      <c r="A451" s="34"/>
      <c r="B451" s="2"/>
      <c r="C451" s="8">
        <v>40624</v>
      </c>
      <c r="D451" s="1">
        <v>10.5</v>
      </c>
      <c r="E451" s="1">
        <v>6.3</v>
      </c>
      <c r="F451" s="1">
        <v>17</v>
      </c>
      <c r="G451" s="1">
        <f t="shared" si="35"/>
        <v>1797.0000000000007</v>
      </c>
      <c r="H451" s="1">
        <f t="shared" si="29"/>
        <v>30</v>
      </c>
      <c r="I451" s="35" t="s">
        <v>33</v>
      </c>
      <c r="J451" s="1">
        <v>0</v>
      </c>
      <c r="K451" s="1">
        <f t="shared" si="36"/>
        <v>297.89999999999981</v>
      </c>
      <c r="L451" s="1">
        <v>3.8</v>
      </c>
      <c r="M451" s="1">
        <f t="shared" si="37"/>
        <v>306.50000000000006</v>
      </c>
      <c r="N451" s="1">
        <v>-3.8</v>
      </c>
      <c r="O451" s="1">
        <f t="shared" si="31"/>
        <v>54.699999999999989</v>
      </c>
      <c r="P451" s="6">
        <v>196</v>
      </c>
      <c r="Q451" s="29">
        <v>1.1499999999999999</v>
      </c>
      <c r="R451" s="14">
        <f t="shared" si="33"/>
        <v>4.3699999999999992</v>
      </c>
      <c r="S451" s="14">
        <f t="shared" si="34"/>
        <v>-4.3699999999999992</v>
      </c>
      <c r="T451" s="15">
        <f t="shared" si="38"/>
        <v>63.885293542074358</v>
      </c>
      <c r="U451" s="35" t="s">
        <v>34</v>
      </c>
      <c r="V451" s="1">
        <v>1818.1</v>
      </c>
      <c r="X451" s="1">
        <f t="shared" si="39"/>
        <v>151525.10000000006</v>
      </c>
      <c r="Y451" s="1">
        <f t="shared" si="30"/>
        <v>4861.2999999999993</v>
      </c>
      <c r="Z451" s="35" t="s">
        <v>35</v>
      </c>
      <c r="AA451" s="1">
        <v>12.193886724733</v>
      </c>
    </row>
    <row r="452" spans="1:106" s="1" customFormat="1" x14ac:dyDescent="0.25">
      <c r="A452" s="34"/>
      <c r="B452" s="2"/>
      <c r="C452" s="8">
        <v>40625</v>
      </c>
      <c r="D452" s="1">
        <v>11.2</v>
      </c>
      <c r="E452" s="1">
        <v>3.5</v>
      </c>
      <c r="F452" s="1">
        <v>18.8</v>
      </c>
      <c r="G452" s="1">
        <f t="shared" si="35"/>
        <v>1808.2000000000007</v>
      </c>
      <c r="H452" s="1">
        <f t="shared" si="29"/>
        <v>41.2</v>
      </c>
      <c r="I452" s="1">
        <f>MAX(F449:F469)</f>
        <v>28.1</v>
      </c>
      <c r="J452" s="1">
        <v>0</v>
      </c>
      <c r="K452" s="1">
        <f t="shared" si="36"/>
        <v>297.89999999999981</v>
      </c>
      <c r="L452" s="1">
        <v>4.2</v>
      </c>
      <c r="M452" s="1">
        <f t="shared" si="37"/>
        <v>310.70000000000005</v>
      </c>
      <c r="N452" s="1">
        <v>-4.2</v>
      </c>
      <c r="O452" s="1">
        <f t="shared" si="31"/>
        <v>50.499999999999986</v>
      </c>
      <c r="P452" s="6">
        <v>197</v>
      </c>
      <c r="Q452" s="29">
        <v>1.1499999999999999</v>
      </c>
      <c r="R452" s="14">
        <f t="shared" si="33"/>
        <v>4.83</v>
      </c>
      <c r="S452" s="14">
        <f t="shared" si="34"/>
        <v>-4.83</v>
      </c>
      <c r="T452" s="15">
        <f t="shared" si="38"/>
        <v>59.055293542074359</v>
      </c>
      <c r="U452" s="1">
        <v>0</v>
      </c>
      <c r="V452" s="1">
        <v>2130.6</v>
      </c>
      <c r="X452" s="1">
        <f t="shared" si="39"/>
        <v>153655.70000000007</v>
      </c>
      <c r="Y452" s="1">
        <f t="shared" si="30"/>
        <v>6991.9</v>
      </c>
      <c r="Z452" s="16">
        <f>(Z450/100)/I462</f>
        <v>1.2023751347466762</v>
      </c>
      <c r="AA452" s="1">
        <v>12.244374402719799</v>
      </c>
    </row>
    <row r="453" spans="1:106" s="1" customFormat="1" x14ac:dyDescent="0.25">
      <c r="A453" s="34"/>
      <c r="B453" s="2"/>
      <c r="C453" s="8">
        <v>40626</v>
      </c>
      <c r="D453" s="1">
        <v>11.8</v>
      </c>
      <c r="E453" s="1">
        <v>5.4</v>
      </c>
      <c r="F453" s="1">
        <v>19.5</v>
      </c>
      <c r="G453" s="1">
        <f t="shared" si="35"/>
        <v>1820.0000000000007</v>
      </c>
      <c r="H453" s="1">
        <f t="shared" si="29"/>
        <v>53</v>
      </c>
      <c r="I453" s="35" t="s">
        <v>36</v>
      </c>
      <c r="J453" s="1">
        <v>0</v>
      </c>
      <c r="K453" s="1">
        <f t="shared" si="36"/>
        <v>297.89999999999981</v>
      </c>
      <c r="L453" s="1">
        <v>4.2</v>
      </c>
      <c r="M453" s="1">
        <f t="shared" si="37"/>
        <v>314.90000000000003</v>
      </c>
      <c r="N453" s="1">
        <v>-4.2</v>
      </c>
      <c r="O453" s="1">
        <f t="shared" si="31"/>
        <v>46.299999999999983</v>
      </c>
      <c r="P453" s="6">
        <v>198</v>
      </c>
      <c r="Q453" s="29">
        <v>1.1499999999999999</v>
      </c>
      <c r="R453" s="14">
        <f t="shared" si="33"/>
        <v>4.83</v>
      </c>
      <c r="S453" s="14">
        <f t="shared" si="34"/>
        <v>-4.83</v>
      </c>
      <c r="T453" s="15">
        <f t="shared" si="38"/>
        <v>54.225293542074361</v>
      </c>
      <c r="U453" s="35" t="s">
        <v>37</v>
      </c>
      <c r="V453" s="1">
        <v>2107.8000000000002</v>
      </c>
      <c r="X453" s="1">
        <f t="shared" si="39"/>
        <v>155763.50000000006</v>
      </c>
      <c r="Y453" s="1">
        <f t="shared" si="30"/>
        <v>9099.7000000000007</v>
      </c>
      <c r="Z453" s="35" t="s">
        <v>38</v>
      </c>
      <c r="AA453" s="1">
        <v>12.294837284619099</v>
      </c>
    </row>
    <row r="454" spans="1:106" s="1" customFormat="1" x14ac:dyDescent="0.25">
      <c r="A454" s="34" t="s">
        <v>50</v>
      </c>
      <c r="B454" s="2"/>
      <c r="C454" s="8">
        <v>40627</v>
      </c>
      <c r="D454" s="1">
        <v>11.4</v>
      </c>
      <c r="E454" s="1">
        <v>6.7</v>
      </c>
      <c r="F454" s="1">
        <v>17.899999999999999</v>
      </c>
      <c r="G454" s="1">
        <f t="shared" si="35"/>
        <v>1831.4000000000008</v>
      </c>
      <c r="H454" s="1">
        <f t="shared" si="29"/>
        <v>64.400000000000006</v>
      </c>
      <c r="I454" s="14">
        <f>AVERAGE(D449:D469)</f>
        <v>13.25238095238095</v>
      </c>
      <c r="J454" s="1">
        <v>0</v>
      </c>
      <c r="K454" s="1">
        <f t="shared" si="36"/>
        <v>297.89999999999981</v>
      </c>
      <c r="L454" s="1">
        <v>3.2</v>
      </c>
      <c r="M454" s="1">
        <f t="shared" si="37"/>
        <v>318.10000000000002</v>
      </c>
      <c r="N454" s="1">
        <v>-3.2</v>
      </c>
      <c r="O454" s="1">
        <f t="shared" si="31"/>
        <v>43.09999999999998</v>
      </c>
      <c r="P454" s="6">
        <v>199</v>
      </c>
      <c r="Q454" s="29">
        <v>1.1499999999999999</v>
      </c>
      <c r="R454" s="14">
        <f t="shared" si="33"/>
        <v>3.6799999999999997</v>
      </c>
      <c r="S454" s="14">
        <f t="shared" si="34"/>
        <v>-3.6799999999999997</v>
      </c>
      <c r="T454" s="15">
        <f t="shared" si="38"/>
        <v>50.545293542074361</v>
      </c>
      <c r="U454" s="1">
        <v>4</v>
      </c>
      <c r="V454" s="1">
        <v>1895.4</v>
      </c>
      <c r="X454" s="1">
        <f t="shared" si="39"/>
        <v>157658.90000000005</v>
      </c>
      <c r="Y454" s="1">
        <f t="shared" si="30"/>
        <v>10995.1</v>
      </c>
      <c r="Z454" s="1">
        <v>4</v>
      </c>
      <c r="AA454" s="1">
        <v>12.345269515398</v>
      </c>
    </row>
    <row r="455" spans="1:106" s="1" customFormat="1" x14ac:dyDescent="0.25">
      <c r="A455" s="34"/>
      <c r="B455" s="2"/>
      <c r="C455" s="8">
        <v>40628</v>
      </c>
      <c r="D455" s="1">
        <v>13.1</v>
      </c>
      <c r="E455" s="1">
        <v>6.1</v>
      </c>
      <c r="F455" s="1">
        <v>20.7</v>
      </c>
      <c r="G455" s="1">
        <f t="shared" si="35"/>
        <v>1844.5000000000007</v>
      </c>
      <c r="H455" s="1">
        <f t="shared" si="29"/>
        <v>77.5</v>
      </c>
      <c r="I455" s="35" t="s">
        <v>39</v>
      </c>
      <c r="J455" s="1">
        <v>0.2</v>
      </c>
      <c r="K455" s="1">
        <f t="shared" si="36"/>
        <v>298.0999999999998</v>
      </c>
      <c r="L455" s="1">
        <v>2.8</v>
      </c>
      <c r="M455" s="1">
        <f t="shared" si="37"/>
        <v>320.90000000000003</v>
      </c>
      <c r="N455" s="1">
        <v>-2.5999999999999996</v>
      </c>
      <c r="O455" s="1">
        <f t="shared" si="31"/>
        <v>40.499999999999979</v>
      </c>
      <c r="P455" s="6">
        <v>200</v>
      </c>
      <c r="Q455" s="29">
        <v>1.1499999999999999</v>
      </c>
      <c r="R455" s="14">
        <f t="shared" si="33"/>
        <v>3.2199999999999998</v>
      </c>
      <c r="S455" s="14">
        <f t="shared" si="34"/>
        <v>-3.0199999999999996</v>
      </c>
      <c r="T455" s="15">
        <f t="shared" si="38"/>
        <v>47.525293542074365</v>
      </c>
      <c r="U455" s="33" t="s">
        <v>40</v>
      </c>
      <c r="V455" s="1">
        <v>1629.9</v>
      </c>
      <c r="X455" s="1">
        <f t="shared" si="39"/>
        <v>159288.80000000005</v>
      </c>
      <c r="Y455" s="1">
        <f t="shared" si="30"/>
        <v>12625</v>
      </c>
      <c r="AA455" s="1">
        <v>12.395665222721901</v>
      </c>
    </row>
    <row r="456" spans="1:106" s="1" customFormat="1" x14ac:dyDescent="0.25">
      <c r="A456" s="34"/>
      <c r="B456" s="2"/>
      <c r="C456" s="8">
        <v>40629</v>
      </c>
      <c r="D456" s="1">
        <v>12.8</v>
      </c>
      <c r="E456" s="1">
        <v>9.6999999999999993</v>
      </c>
      <c r="F456" s="1">
        <v>17.2</v>
      </c>
      <c r="G456" s="1">
        <f t="shared" si="35"/>
        <v>1857.3000000000006</v>
      </c>
      <c r="H456" s="1">
        <f t="shared" si="29"/>
        <v>90.3</v>
      </c>
      <c r="I456" s="1">
        <v>0</v>
      </c>
      <c r="J456" s="1">
        <v>6.7</v>
      </c>
      <c r="K456" s="1">
        <f t="shared" si="36"/>
        <v>304.79999999999978</v>
      </c>
      <c r="L456" s="1">
        <v>1.7</v>
      </c>
      <c r="M456" s="1">
        <f t="shared" si="37"/>
        <v>322.60000000000002</v>
      </c>
      <c r="N456" s="1">
        <v>5</v>
      </c>
      <c r="O456" s="1">
        <f t="shared" si="31"/>
        <v>45.499999999999979</v>
      </c>
      <c r="P456" s="6">
        <v>201</v>
      </c>
      <c r="Q456" s="29">
        <v>1.1499999999999999</v>
      </c>
      <c r="R456" s="14">
        <f t="shared" si="33"/>
        <v>1.9549999999999998</v>
      </c>
      <c r="S456" s="14">
        <f t="shared" si="34"/>
        <v>4.7450000000000001</v>
      </c>
      <c r="T456" s="15">
        <f t="shared" si="38"/>
        <v>52.270293542074363</v>
      </c>
      <c r="U456" s="14">
        <f>MIN(T449:T469)</f>
        <v>17.585293542074364</v>
      </c>
      <c r="V456" s="1">
        <v>992.4</v>
      </c>
      <c r="X456" s="1">
        <f t="shared" si="39"/>
        <v>160281.20000000004</v>
      </c>
      <c r="Y456" s="1">
        <f t="shared" si="30"/>
        <v>13617.4</v>
      </c>
      <c r="AA456" s="1">
        <v>12.446018502784201</v>
      </c>
    </row>
    <row r="457" spans="1:106" s="33" customFormat="1" x14ac:dyDescent="0.25">
      <c r="A457" s="36"/>
      <c r="B457" s="29"/>
      <c r="C457" s="28">
        <v>40630</v>
      </c>
      <c r="D457" s="29">
        <v>11.2</v>
      </c>
      <c r="E457" s="29">
        <v>10.1</v>
      </c>
      <c r="F457" s="29">
        <v>12.6</v>
      </c>
      <c r="G457" s="29">
        <f t="shared" si="35"/>
        <v>1868.5000000000007</v>
      </c>
      <c r="H457" s="29">
        <f t="shared" si="29"/>
        <v>101.5</v>
      </c>
      <c r="I457" s="33" t="s">
        <v>41</v>
      </c>
      <c r="J457" s="29">
        <v>3.4</v>
      </c>
      <c r="K457" s="29">
        <f t="shared" si="36"/>
        <v>308.19999999999976</v>
      </c>
      <c r="L457" s="29">
        <v>1</v>
      </c>
      <c r="M457" s="29">
        <f t="shared" si="37"/>
        <v>323.60000000000002</v>
      </c>
      <c r="N457" s="29">
        <v>2.4</v>
      </c>
      <c r="O457" s="29">
        <f t="shared" si="31"/>
        <v>47.899999999999977</v>
      </c>
      <c r="P457" s="30">
        <v>202</v>
      </c>
      <c r="Q457" s="29">
        <v>1.1499999999999999</v>
      </c>
      <c r="R457" s="31">
        <f t="shared" si="33"/>
        <v>1.1499999999999999</v>
      </c>
      <c r="S457" s="14">
        <f t="shared" si="34"/>
        <v>2.25</v>
      </c>
      <c r="T457" s="15">
        <f t="shared" si="38"/>
        <v>54.520293542074363</v>
      </c>
      <c r="U457" s="35" t="s">
        <v>42</v>
      </c>
      <c r="V457" s="29">
        <v>429.3</v>
      </c>
      <c r="W457" s="29"/>
      <c r="X457" s="29">
        <f t="shared" si="39"/>
        <v>160710.50000000003</v>
      </c>
      <c r="Y457" s="1">
        <f t="shared" si="30"/>
        <v>14046.699999999999</v>
      </c>
      <c r="Z457" s="29"/>
      <c r="AA457" s="29">
        <v>12.4963234062244</v>
      </c>
      <c r="AB457" s="29"/>
      <c r="AC457" s="29"/>
      <c r="AD457" s="29"/>
      <c r="AE457" s="29"/>
      <c r="AF457" s="29"/>
      <c r="AG457" s="29"/>
      <c r="AH457" s="29"/>
      <c r="AI457" s="29"/>
      <c r="AJ457" s="29"/>
      <c r="AK457" s="29"/>
      <c r="AL457" s="29"/>
      <c r="AM457" s="29"/>
      <c r="AN457" s="29"/>
      <c r="AO457" s="29"/>
      <c r="AP457" s="29"/>
      <c r="AQ457" s="29"/>
      <c r="AR457" s="29"/>
      <c r="AS457" s="29"/>
      <c r="AT457" s="29"/>
      <c r="AU457" s="29"/>
      <c r="AV457" s="29"/>
      <c r="AW457" s="29"/>
      <c r="AX457" s="29"/>
      <c r="AY457" s="29"/>
      <c r="AZ457" s="29"/>
      <c r="BA457" s="29"/>
      <c r="BB457" s="29"/>
      <c r="BC457" s="29"/>
      <c r="BD457" s="29"/>
      <c r="BE457" s="29"/>
      <c r="BF457" s="29"/>
      <c r="BG457" s="29"/>
      <c r="BH457" s="29"/>
      <c r="BI457" s="29"/>
      <c r="BJ457" s="29"/>
      <c r="BK457" s="29"/>
      <c r="BL457" s="29"/>
      <c r="BM457" s="29"/>
      <c r="BN457" s="29"/>
      <c r="BO457" s="29"/>
      <c r="BP457" s="29"/>
      <c r="BQ457" s="29"/>
      <c r="BR457" s="29"/>
      <c r="BS457" s="29"/>
      <c r="BT457" s="29"/>
      <c r="BU457" s="29"/>
      <c r="BV457" s="29"/>
      <c r="BW457" s="29"/>
      <c r="BX457" s="29"/>
      <c r="BY457" s="29"/>
      <c r="BZ457" s="29"/>
      <c r="CA457" s="29"/>
      <c r="CB457" s="29"/>
      <c r="CC457" s="29"/>
      <c r="CD457" s="29"/>
      <c r="CE457" s="29"/>
      <c r="CF457" s="29"/>
      <c r="CG457" s="29"/>
      <c r="CH457" s="29"/>
      <c r="CI457" s="29"/>
      <c r="CJ457" s="29"/>
      <c r="CK457" s="29"/>
      <c r="CL457" s="29"/>
      <c r="CM457" s="29"/>
      <c r="CN457" s="29"/>
      <c r="CO457" s="29"/>
      <c r="CP457" s="29"/>
      <c r="CQ457" s="29"/>
      <c r="CR457" s="29"/>
      <c r="CS457" s="29"/>
      <c r="CT457" s="29"/>
      <c r="CU457" s="29"/>
      <c r="CV457" s="29"/>
      <c r="CW457" s="29"/>
      <c r="CX457" s="29"/>
      <c r="CY457" s="29"/>
      <c r="CZ457" s="29"/>
      <c r="DA457" s="29"/>
      <c r="DB457" s="29"/>
    </row>
    <row r="458" spans="1:106" s="1" customFormat="1" ht="15" customHeight="1" x14ac:dyDescent="0.25">
      <c r="A458" s="37"/>
      <c r="B458" s="2"/>
      <c r="C458" s="8">
        <v>40631</v>
      </c>
      <c r="D458" s="1">
        <v>11.5</v>
      </c>
      <c r="E458" s="1">
        <v>8.1999999999999993</v>
      </c>
      <c r="F458" s="1">
        <v>16</v>
      </c>
      <c r="G458" s="1">
        <f t="shared" si="35"/>
        <v>1880.0000000000007</v>
      </c>
      <c r="H458" s="1">
        <f t="shared" si="29"/>
        <v>113</v>
      </c>
      <c r="I458" s="1">
        <v>4</v>
      </c>
      <c r="J458" s="1">
        <v>4.5999999999999996</v>
      </c>
      <c r="K458" s="1">
        <f t="shared" si="36"/>
        <v>312.79999999999978</v>
      </c>
      <c r="L458" s="1">
        <v>2.2000000000000002</v>
      </c>
      <c r="M458" s="1">
        <f t="shared" si="37"/>
        <v>325.8</v>
      </c>
      <c r="N458" s="1">
        <v>2.3999999999999995</v>
      </c>
      <c r="O458" s="1">
        <f t="shared" si="31"/>
        <v>50.299999999999976</v>
      </c>
      <c r="P458" s="6">
        <v>203</v>
      </c>
      <c r="Q458" s="29">
        <v>1.1499999999999999</v>
      </c>
      <c r="R458" s="14">
        <f t="shared" si="33"/>
        <v>2.5299999999999998</v>
      </c>
      <c r="S458" s="14">
        <f t="shared" si="34"/>
        <v>2.0699999999999998</v>
      </c>
      <c r="T458" s="15">
        <f t="shared" si="38"/>
        <v>56.590293542074363</v>
      </c>
      <c r="U458" s="14">
        <f>MAX(T449:T469)</f>
        <v>71.24529354207435</v>
      </c>
      <c r="V458" s="1">
        <v>1253.2</v>
      </c>
      <c r="X458" s="1">
        <f t="shared" si="39"/>
        <v>161963.70000000004</v>
      </c>
      <c r="Y458" s="1">
        <f t="shared" si="30"/>
        <v>15299.9</v>
      </c>
      <c r="AA458" s="1">
        <v>12.546573924140199</v>
      </c>
    </row>
    <row r="459" spans="1:106" s="1" customFormat="1" x14ac:dyDescent="0.25">
      <c r="A459" s="37"/>
      <c r="B459" s="2"/>
      <c r="C459" s="8">
        <v>40632</v>
      </c>
      <c r="D459" s="1">
        <v>11.7</v>
      </c>
      <c r="E459" s="1">
        <v>8.5</v>
      </c>
      <c r="F459" s="1">
        <v>13.6</v>
      </c>
      <c r="G459" s="1">
        <f t="shared" si="35"/>
        <v>1891.7000000000007</v>
      </c>
      <c r="H459" s="1">
        <f t="shared" si="29"/>
        <v>124.7</v>
      </c>
      <c r="I459" s="35" t="s">
        <v>43</v>
      </c>
      <c r="J459" s="1">
        <v>3</v>
      </c>
      <c r="K459" s="1">
        <f t="shared" si="36"/>
        <v>315.79999999999978</v>
      </c>
      <c r="L459" s="1">
        <v>1.2</v>
      </c>
      <c r="M459" s="1">
        <f t="shared" si="37"/>
        <v>327</v>
      </c>
      <c r="N459" s="1">
        <v>1.8</v>
      </c>
      <c r="O459" s="1">
        <f t="shared" si="31"/>
        <v>52.099999999999973</v>
      </c>
      <c r="P459" s="6">
        <v>204</v>
      </c>
      <c r="Q459" s="29">
        <v>1.1499999999999999</v>
      </c>
      <c r="R459" s="14">
        <f t="shared" si="33"/>
        <v>1.38</v>
      </c>
      <c r="S459" s="14">
        <f t="shared" si="34"/>
        <v>1.62</v>
      </c>
      <c r="T459" s="15">
        <f t="shared" si="38"/>
        <v>58.210293542074361</v>
      </c>
      <c r="U459" s="35" t="s">
        <v>44</v>
      </c>
      <c r="V459" s="1">
        <v>648.79999999999995</v>
      </c>
      <c r="X459" s="1">
        <f t="shared" si="39"/>
        <v>162612.50000000003</v>
      </c>
      <c r="Y459" s="1">
        <f t="shared" si="30"/>
        <v>15948.699999999999</v>
      </c>
      <c r="AA459" s="1">
        <v>12.5967639741929</v>
      </c>
    </row>
    <row r="460" spans="1:106" s="1" customFormat="1" x14ac:dyDescent="0.25">
      <c r="A460" s="37"/>
      <c r="B460" s="2"/>
      <c r="C460" s="8">
        <v>40633</v>
      </c>
      <c r="D460" s="1">
        <v>14</v>
      </c>
      <c r="E460" s="1">
        <v>13.1</v>
      </c>
      <c r="F460" s="1">
        <v>16.3</v>
      </c>
      <c r="G460" s="1">
        <f t="shared" si="35"/>
        <v>1905.7000000000007</v>
      </c>
      <c r="H460" s="1">
        <f t="shared" si="29"/>
        <v>138.69999999999999</v>
      </c>
      <c r="I460" s="1">
        <v>3</v>
      </c>
      <c r="J460" s="1">
        <v>0.2</v>
      </c>
      <c r="K460" s="1">
        <f t="shared" si="36"/>
        <v>315.99999999999977</v>
      </c>
      <c r="L460" s="1">
        <v>1.4</v>
      </c>
      <c r="M460" s="1">
        <f t="shared" si="37"/>
        <v>328.4</v>
      </c>
      <c r="N460" s="1">
        <v>-1.2</v>
      </c>
      <c r="O460" s="1">
        <f t="shared" si="31"/>
        <v>50.89999999999997</v>
      </c>
      <c r="P460" s="6">
        <v>205</v>
      </c>
      <c r="Q460" s="29">
        <v>1.1499999999999999</v>
      </c>
      <c r="R460" s="14">
        <f t="shared" si="33"/>
        <v>1.6099999999999999</v>
      </c>
      <c r="S460" s="14">
        <f t="shared" si="34"/>
        <v>-1.41</v>
      </c>
      <c r="T460" s="15">
        <f t="shared" si="38"/>
        <v>56.800293542074364</v>
      </c>
      <c r="U460" s="16">
        <f>AVERAGE(T449:T469)</f>
        <v>49.288150684931516</v>
      </c>
      <c r="V460" s="1">
        <v>496.1</v>
      </c>
      <c r="X460" s="1">
        <f t="shared" si="39"/>
        <v>163108.60000000003</v>
      </c>
      <c r="Y460" s="1">
        <f t="shared" si="30"/>
        <v>16444.8</v>
      </c>
      <c r="AA460" s="1">
        <v>12.646887386812599</v>
      </c>
    </row>
    <row r="461" spans="1:106" s="1" customFormat="1" x14ac:dyDescent="0.25">
      <c r="A461" s="37"/>
      <c r="B461" s="2"/>
      <c r="C461" s="8">
        <v>40634</v>
      </c>
      <c r="D461" s="1">
        <v>15.1</v>
      </c>
      <c r="E461" s="1">
        <v>5.7</v>
      </c>
      <c r="F461" s="1">
        <v>21.7</v>
      </c>
      <c r="G461" s="1">
        <f t="shared" si="35"/>
        <v>1920.8000000000006</v>
      </c>
      <c r="H461" s="1">
        <f t="shared" si="29"/>
        <v>153.79999999999998</v>
      </c>
      <c r="I461" s="35" t="s">
        <v>45</v>
      </c>
      <c r="J461" s="1">
        <v>0</v>
      </c>
      <c r="K461" s="1">
        <f t="shared" si="36"/>
        <v>315.99999999999977</v>
      </c>
      <c r="L461" s="1">
        <v>2.9</v>
      </c>
      <c r="M461" s="1">
        <f t="shared" si="37"/>
        <v>331.29999999999995</v>
      </c>
      <c r="N461" s="1">
        <v>-2.9</v>
      </c>
      <c r="O461" s="1">
        <f t="shared" si="31"/>
        <v>47.999999999999972</v>
      </c>
      <c r="P461" s="6">
        <v>206</v>
      </c>
      <c r="Q461" s="29">
        <v>1.1499999999999999</v>
      </c>
      <c r="R461" s="14">
        <f t="shared" si="33"/>
        <v>3.3349999999999995</v>
      </c>
      <c r="S461" s="14">
        <f t="shared" si="34"/>
        <v>-3.3349999999999995</v>
      </c>
      <c r="T461" s="15">
        <f t="shared" si="38"/>
        <v>53.465293542074363</v>
      </c>
      <c r="V461" s="1">
        <v>1883.3</v>
      </c>
      <c r="X461" s="1">
        <f t="shared" si="39"/>
        <v>164991.90000000002</v>
      </c>
      <c r="Y461" s="1">
        <f t="shared" si="30"/>
        <v>18328.099999999999</v>
      </c>
      <c r="AA461" s="1">
        <v>12.6969378915059</v>
      </c>
    </row>
    <row r="462" spans="1:106" s="1" customFormat="1" x14ac:dyDescent="0.25">
      <c r="A462" s="37"/>
      <c r="B462" s="2"/>
      <c r="C462" s="8">
        <v>40635</v>
      </c>
      <c r="D462" s="1">
        <v>15.1</v>
      </c>
      <c r="E462" s="1">
        <v>11.6</v>
      </c>
      <c r="F462" s="1">
        <v>19.7</v>
      </c>
      <c r="G462" s="1">
        <f t="shared" si="35"/>
        <v>1935.9000000000005</v>
      </c>
      <c r="H462" s="1">
        <f t="shared" si="29"/>
        <v>168.89999999999998</v>
      </c>
      <c r="I462" s="1">
        <v>278.3</v>
      </c>
      <c r="J462" s="1">
        <v>0</v>
      </c>
      <c r="K462" s="1">
        <f t="shared" si="36"/>
        <v>315.99999999999977</v>
      </c>
      <c r="L462" s="1">
        <v>3.5</v>
      </c>
      <c r="M462" s="1">
        <f t="shared" si="37"/>
        <v>334.79999999999995</v>
      </c>
      <c r="N462" s="1">
        <v>-3.5</v>
      </c>
      <c r="O462" s="1">
        <f t="shared" si="31"/>
        <v>44.499999999999972</v>
      </c>
      <c r="P462" s="6">
        <v>207</v>
      </c>
      <c r="Q462" s="29">
        <v>1.1499999999999999</v>
      </c>
      <c r="R462" s="14">
        <f t="shared" si="33"/>
        <v>4.0249999999999995</v>
      </c>
      <c r="S462" s="14">
        <f t="shared" si="34"/>
        <v>-4.0249999999999995</v>
      </c>
      <c r="T462" s="15">
        <f t="shared" si="38"/>
        <v>49.440293542074365</v>
      </c>
      <c r="U462" s="14">
        <f>(U460*100)/122.1</f>
        <v>40.367035777994694</v>
      </c>
      <c r="V462" s="1">
        <v>1622.1</v>
      </c>
      <c r="X462" s="1">
        <f t="shared" si="39"/>
        <v>166614.00000000003</v>
      </c>
      <c r="Y462" s="1">
        <f t="shared" si="30"/>
        <v>19950.199999999997</v>
      </c>
      <c r="AA462" s="1">
        <v>12.7469091032715</v>
      </c>
    </row>
    <row r="463" spans="1:106" s="1" customFormat="1" x14ac:dyDescent="0.25">
      <c r="A463" s="37"/>
      <c r="B463" s="2"/>
      <c r="C463" s="8">
        <v>40636</v>
      </c>
      <c r="D463" s="1">
        <v>13.3</v>
      </c>
      <c r="E463" s="1">
        <v>12.7</v>
      </c>
      <c r="F463" s="1">
        <v>14.7</v>
      </c>
      <c r="G463" s="1">
        <f t="shared" si="35"/>
        <v>1949.2000000000005</v>
      </c>
      <c r="H463" s="1">
        <f t="shared" ref="H463:H526" si="40">H462+D463</f>
        <v>182.2</v>
      </c>
      <c r="J463" s="1">
        <v>0</v>
      </c>
      <c r="K463" s="1">
        <f t="shared" si="36"/>
        <v>315.99999999999977</v>
      </c>
      <c r="L463" s="1">
        <v>1</v>
      </c>
      <c r="M463" s="1">
        <f t="shared" si="37"/>
        <v>335.79999999999995</v>
      </c>
      <c r="N463" s="1">
        <v>-1</v>
      </c>
      <c r="O463" s="1">
        <f t="shared" si="31"/>
        <v>43.499999999999972</v>
      </c>
      <c r="P463" s="6">
        <v>208</v>
      </c>
      <c r="Q463" s="29">
        <v>1.1499999999999999</v>
      </c>
      <c r="R463" s="14">
        <f t="shared" si="33"/>
        <v>1.1499999999999999</v>
      </c>
      <c r="S463" s="14">
        <f t="shared" si="34"/>
        <v>-1.1499999999999999</v>
      </c>
      <c r="T463" s="15">
        <f t="shared" si="38"/>
        <v>48.290293542074366</v>
      </c>
      <c r="V463" s="1">
        <v>334</v>
      </c>
      <c r="X463" s="1">
        <f t="shared" si="39"/>
        <v>166948.00000000003</v>
      </c>
      <c r="Y463" s="1">
        <f t="shared" ref="Y463:Y526" si="41">Y462+V463</f>
        <v>20284.199999999997</v>
      </c>
      <c r="AA463" s="1">
        <v>12.7967945091298</v>
      </c>
    </row>
    <row r="464" spans="1:106" s="1" customFormat="1" x14ac:dyDescent="0.25">
      <c r="A464" s="37"/>
      <c r="B464" s="2"/>
      <c r="C464" s="8">
        <v>40637</v>
      </c>
      <c r="D464" s="1">
        <v>12.7</v>
      </c>
      <c r="E464" s="1">
        <v>10.4</v>
      </c>
      <c r="F464" s="1">
        <v>17.7</v>
      </c>
      <c r="G464" s="1">
        <f t="shared" si="35"/>
        <v>1961.9000000000005</v>
      </c>
      <c r="H464" s="1">
        <f t="shared" si="40"/>
        <v>194.89999999999998</v>
      </c>
      <c r="J464" s="1">
        <v>0</v>
      </c>
      <c r="K464" s="1">
        <f t="shared" si="36"/>
        <v>315.99999999999977</v>
      </c>
      <c r="L464" s="1">
        <v>3</v>
      </c>
      <c r="M464" s="1">
        <f t="shared" si="37"/>
        <v>338.79999999999995</v>
      </c>
      <c r="N464" s="1">
        <v>-3</v>
      </c>
      <c r="O464" s="1">
        <f t="shared" si="31"/>
        <v>40.499999999999972</v>
      </c>
      <c r="P464" s="6">
        <v>209</v>
      </c>
      <c r="Q464" s="29">
        <v>1.1499999999999999</v>
      </c>
      <c r="R464" s="14">
        <f t="shared" si="33"/>
        <v>3.4499999999999997</v>
      </c>
      <c r="S464" s="14">
        <f t="shared" si="34"/>
        <v>-3.4499999999999997</v>
      </c>
      <c r="T464" s="15">
        <f t="shared" si="38"/>
        <v>44.840293542074363</v>
      </c>
      <c r="V464" s="1">
        <v>1501.8</v>
      </c>
      <c r="X464" s="1">
        <f t="shared" si="39"/>
        <v>168449.80000000002</v>
      </c>
      <c r="Y464" s="1">
        <f t="shared" si="41"/>
        <v>21785.999999999996</v>
      </c>
      <c r="AA464" s="1">
        <v>12.8465874547739</v>
      </c>
    </row>
    <row r="465" spans="1:27" s="1" customFormat="1" x14ac:dyDescent="0.25">
      <c r="A465" s="37"/>
      <c r="B465" s="2"/>
      <c r="C465" s="8">
        <v>40638</v>
      </c>
      <c r="D465" s="1">
        <v>13.2</v>
      </c>
      <c r="E465" s="1">
        <v>5</v>
      </c>
      <c r="F465" s="1">
        <v>20.5</v>
      </c>
      <c r="G465" s="1">
        <f t="shared" si="35"/>
        <v>1975.1000000000006</v>
      </c>
      <c r="H465" s="1">
        <f t="shared" si="40"/>
        <v>208.09999999999997</v>
      </c>
      <c r="J465" s="1">
        <v>0</v>
      </c>
      <c r="K465" s="1">
        <f t="shared" si="36"/>
        <v>315.99999999999977</v>
      </c>
      <c r="L465" s="1">
        <v>3.6</v>
      </c>
      <c r="M465" s="1">
        <f t="shared" si="37"/>
        <v>342.4</v>
      </c>
      <c r="N465" s="1">
        <v>-3.6</v>
      </c>
      <c r="O465" s="1">
        <f t="shared" si="31"/>
        <v>36.89999999999997</v>
      </c>
      <c r="P465" s="6">
        <v>210</v>
      </c>
      <c r="Q465" s="29">
        <v>1.1499999999999999</v>
      </c>
      <c r="R465" s="14">
        <f t="shared" si="33"/>
        <v>4.1399999999999997</v>
      </c>
      <c r="S465" s="14">
        <f t="shared" si="34"/>
        <v>-4.1399999999999997</v>
      </c>
      <c r="T465" s="15">
        <f t="shared" si="38"/>
        <v>40.700293542074363</v>
      </c>
      <c r="V465" s="1">
        <v>2163.9</v>
      </c>
      <c r="X465" s="1">
        <f t="shared" si="39"/>
        <v>170613.7</v>
      </c>
      <c r="Y465" s="1">
        <f t="shared" si="41"/>
        <v>23949.899999999998</v>
      </c>
      <c r="AA465" s="1">
        <v>12.896281131349699</v>
      </c>
    </row>
    <row r="466" spans="1:27" s="1" customFormat="1" x14ac:dyDescent="0.25">
      <c r="A466" s="37"/>
      <c r="B466" s="2"/>
      <c r="C466" s="8">
        <v>40639</v>
      </c>
      <c r="D466" s="1">
        <v>15.3</v>
      </c>
      <c r="E466" s="1">
        <v>6.1</v>
      </c>
      <c r="F466" s="1">
        <v>25.6</v>
      </c>
      <c r="G466" s="1">
        <f t="shared" si="35"/>
        <v>1990.4000000000005</v>
      </c>
      <c r="H466" s="1">
        <f t="shared" si="40"/>
        <v>223.39999999999998</v>
      </c>
      <c r="J466" s="1">
        <v>0</v>
      </c>
      <c r="K466" s="1">
        <f t="shared" si="36"/>
        <v>315.99999999999977</v>
      </c>
      <c r="L466" s="1">
        <v>5</v>
      </c>
      <c r="M466" s="1">
        <f t="shared" si="37"/>
        <v>347.4</v>
      </c>
      <c r="N466" s="1">
        <v>-5</v>
      </c>
      <c r="O466" s="1">
        <f t="shared" si="31"/>
        <v>31.89999999999997</v>
      </c>
      <c r="P466" s="6">
        <v>211</v>
      </c>
      <c r="Q466" s="29">
        <v>1.1499999999999999</v>
      </c>
      <c r="R466" s="14">
        <f t="shared" si="33"/>
        <v>5.75</v>
      </c>
      <c r="S466" s="14">
        <f t="shared" si="34"/>
        <v>-5.75</v>
      </c>
      <c r="T466" s="15">
        <f t="shared" si="38"/>
        <v>34.950293542074363</v>
      </c>
      <c r="V466" s="1">
        <v>2268.1999999999998</v>
      </c>
      <c r="X466" s="1">
        <f t="shared" si="39"/>
        <v>172881.90000000002</v>
      </c>
      <c r="Y466" s="1">
        <f t="shared" si="41"/>
        <v>26218.1</v>
      </c>
      <c r="AA466" s="1">
        <v>12.9458685623751</v>
      </c>
    </row>
    <row r="467" spans="1:27" s="1" customFormat="1" x14ac:dyDescent="0.25">
      <c r="A467" s="37"/>
      <c r="B467" s="2"/>
      <c r="C467" s="8">
        <v>40640</v>
      </c>
      <c r="D467" s="1">
        <v>18</v>
      </c>
      <c r="E467" s="1">
        <v>9.1999999999999993</v>
      </c>
      <c r="F467" s="1">
        <v>25.5</v>
      </c>
      <c r="G467" s="1">
        <f t="shared" si="35"/>
        <v>2008.4000000000005</v>
      </c>
      <c r="H467" s="1">
        <f t="shared" si="40"/>
        <v>241.39999999999998</v>
      </c>
      <c r="J467" s="1">
        <v>0</v>
      </c>
      <c r="K467" s="1">
        <f t="shared" si="36"/>
        <v>315.99999999999977</v>
      </c>
      <c r="L467" s="1">
        <v>4.9000000000000004</v>
      </c>
      <c r="M467" s="1">
        <f t="shared" si="37"/>
        <v>352.29999999999995</v>
      </c>
      <c r="N467" s="1">
        <v>-4.9000000000000004</v>
      </c>
      <c r="O467" s="1">
        <f t="shared" si="31"/>
        <v>26.999999999999972</v>
      </c>
      <c r="P467" s="6">
        <v>212</v>
      </c>
      <c r="Q467" s="29">
        <v>1.1499999999999999</v>
      </c>
      <c r="R467" s="14">
        <f t="shared" si="33"/>
        <v>5.6349999999999998</v>
      </c>
      <c r="S467" s="14">
        <f t="shared" si="34"/>
        <v>-5.6349999999999998</v>
      </c>
      <c r="T467" s="15">
        <f t="shared" si="38"/>
        <v>29.315293542074365</v>
      </c>
      <c r="V467" s="1">
        <v>2452.6999999999998</v>
      </c>
      <c r="X467" s="1">
        <f t="shared" si="39"/>
        <v>175334.60000000003</v>
      </c>
      <c r="Y467" s="1">
        <f t="shared" si="41"/>
        <v>28670.799999999999</v>
      </c>
      <c r="AA467" s="1">
        <v>12.9953425908089</v>
      </c>
    </row>
    <row r="468" spans="1:27" s="1" customFormat="1" x14ac:dyDescent="0.25">
      <c r="A468" s="37"/>
      <c r="B468" s="2"/>
      <c r="C468" s="8">
        <v>40641</v>
      </c>
      <c r="D468" s="1">
        <v>18.5</v>
      </c>
      <c r="E468" s="1">
        <v>9.8000000000000007</v>
      </c>
      <c r="F468" s="1">
        <v>28.1</v>
      </c>
      <c r="G468" s="1">
        <f t="shared" si="35"/>
        <v>2026.9000000000005</v>
      </c>
      <c r="H468" s="1">
        <f t="shared" si="40"/>
        <v>259.89999999999998</v>
      </c>
      <c r="J468" s="1">
        <v>0</v>
      </c>
      <c r="K468" s="1">
        <f t="shared" si="36"/>
        <v>315.99999999999977</v>
      </c>
      <c r="L468" s="1">
        <v>5.2</v>
      </c>
      <c r="M468" s="1">
        <f t="shared" si="37"/>
        <v>357.49999999999994</v>
      </c>
      <c r="N468" s="1">
        <v>-5.2</v>
      </c>
      <c r="O468" s="1">
        <f t="shared" si="31"/>
        <v>21.799999999999972</v>
      </c>
      <c r="P468" s="6">
        <v>213</v>
      </c>
      <c r="Q468" s="29">
        <v>1.1499999999999999</v>
      </c>
      <c r="R468" s="14">
        <f t="shared" si="33"/>
        <v>5.9799999999999995</v>
      </c>
      <c r="S468" s="14">
        <f t="shared" si="34"/>
        <v>-5.9799999999999995</v>
      </c>
      <c r="T468" s="15">
        <f t="shared" si="38"/>
        <v>23.335293542074364</v>
      </c>
      <c r="V468" s="1">
        <v>2455.4</v>
      </c>
      <c r="X468" s="1">
        <f t="shared" si="39"/>
        <v>177790.00000000003</v>
      </c>
      <c r="Y468" s="1">
        <f t="shared" si="41"/>
        <v>31126.2</v>
      </c>
      <c r="AA468" s="1">
        <v>13.044695866283099</v>
      </c>
    </row>
    <row r="469" spans="1:27" s="45" customFormat="1" ht="15.75" thickBot="1" x14ac:dyDescent="0.3">
      <c r="A469" s="52" t="s">
        <v>51</v>
      </c>
      <c r="B469" s="53"/>
      <c r="C469" s="44">
        <v>40642</v>
      </c>
      <c r="D469" s="45">
        <v>18.399999999999999</v>
      </c>
      <c r="E469" s="45">
        <v>8.6</v>
      </c>
      <c r="F469" s="45">
        <v>27.7</v>
      </c>
      <c r="G469" s="45">
        <f t="shared" si="35"/>
        <v>2045.3000000000006</v>
      </c>
      <c r="H469" s="45">
        <f t="shared" si="40"/>
        <v>278.29999999999995</v>
      </c>
      <c r="J469" s="45">
        <v>0</v>
      </c>
      <c r="K469" s="45">
        <f t="shared" si="36"/>
        <v>315.99999999999977</v>
      </c>
      <c r="L469" s="45">
        <v>5</v>
      </c>
      <c r="M469" s="45">
        <f t="shared" si="37"/>
        <v>362.49999999999994</v>
      </c>
      <c r="N469" s="45">
        <v>-5</v>
      </c>
      <c r="O469" s="45">
        <f t="shared" si="31"/>
        <v>16.799999999999972</v>
      </c>
      <c r="P469" s="46">
        <v>214</v>
      </c>
      <c r="Q469" s="45">
        <v>1.1499999999999999</v>
      </c>
      <c r="R469" s="48">
        <f t="shared" si="33"/>
        <v>5.75</v>
      </c>
      <c r="S469" s="48">
        <f t="shared" si="34"/>
        <v>-5.75</v>
      </c>
      <c r="T469" s="49">
        <f t="shared" si="38"/>
        <v>17.585293542074364</v>
      </c>
      <c r="V469" s="45">
        <v>2335.9</v>
      </c>
      <c r="X469" s="45">
        <f t="shared" si="39"/>
        <v>180125.90000000002</v>
      </c>
      <c r="Y469" s="45">
        <f t="shared" si="41"/>
        <v>33462.1</v>
      </c>
      <c r="AA469" s="45">
        <v>13.0939208325112</v>
      </c>
    </row>
    <row r="470" spans="1:27" s="1" customFormat="1" x14ac:dyDescent="0.25">
      <c r="A470" s="71">
        <v>300</v>
      </c>
      <c r="B470" s="3"/>
      <c r="C470" s="8">
        <v>40643</v>
      </c>
      <c r="D470" s="1">
        <v>15.3</v>
      </c>
      <c r="E470" s="1">
        <v>13.7</v>
      </c>
      <c r="F470" s="1">
        <v>17.5</v>
      </c>
      <c r="G470" s="1">
        <f t="shared" si="35"/>
        <v>2060.6000000000008</v>
      </c>
      <c r="H470" s="1">
        <v>15.3</v>
      </c>
      <c r="I470" s="38" t="s">
        <v>30</v>
      </c>
      <c r="J470" s="1">
        <v>0</v>
      </c>
      <c r="K470" s="1">
        <f t="shared" si="36"/>
        <v>315.99999999999977</v>
      </c>
      <c r="L470" s="1">
        <v>2.2000000000000002</v>
      </c>
      <c r="M470" s="1">
        <f t="shared" si="37"/>
        <v>364.69999999999993</v>
      </c>
      <c r="N470" s="1">
        <v>-2.2000000000000002</v>
      </c>
      <c r="O470" s="1">
        <f t="shared" si="31"/>
        <v>14.599999999999973</v>
      </c>
      <c r="P470" s="6">
        <v>215</v>
      </c>
      <c r="Q470" s="29">
        <v>1.1499999999999999</v>
      </c>
      <c r="R470" s="14">
        <f t="shared" si="33"/>
        <v>2.5299999999999998</v>
      </c>
      <c r="S470" s="14">
        <f t="shared" si="34"/>
        <v>-2.5299999999999998</v>
      </c>
      <c r="T470" s="15">
        <f t="shared" si="38"/>
        <v>15.055293542074365</v>
      </c>
      <c r="U470" s="38" t="s">
        <v>31</v>
      </c>
      <c r="V470" s="1">
        <v>817.1</v>
      </c>
      <c r="X470" s="1">
        <f t="shared" si="39"/>
        <v>180943.00000000003</v>
      </c>
      <c r="Y470" s="1">
        <v>817.1</v>
      </c>
      <c r="Z470" s="38" t="s">
        <v>32</v>
      </c>
      <c r="AA470" s="1">
        <v>13.143009714889599</v>
      </c>
    </row>
    <row r="471" spans="1:27" s="1" customFormat="1" x14ac:dyDescent="0.25">
      <c r="A471" s="71"/>
      <c r="B471" s="3"/>
      <c r="C471" s="8">
        <v>40644</v>
      </c>
      <c r="D471" s="1">
        <v>15.7</v>
      </c>
      <c r="E471" s="1">
        <v>13.3</v>
      </c>
      <c r="F471" s="1">
        <v>19.899999999999999</v>
      </c>
      <c r="G471" s="1">
        <f t="shared" si="35"/>
        <v>2076.3000000000006</v>
      </c>
      <c r="H471" s="1">
        <f t="shared" si="40"/>
        <v>31</v>
      </c>
      <c r="I471" s="1">
        <f>MIN(E470:E490)</f>
        <v>4.3</v>
      </c>
      <c r="J471" s="1">
        <v>0.3</v>
      </c>
      <c r="K471" s="1">
        <f t="shared" si="36"/>
        <v>316.29999999999978</v>
      </c>
      <c r="L471" s="1">
        <v>3.4</v>
      </c>
      <c r="M471" s="1">
        <f t="shared" si="37"/>
        <v>368.09999999999991</v>
      </c>
      <c r="N471" s="1">
        <v>-3.1</v>
      </c>
      <c r="O471" s="1">
        <f t="shared" si="31"/>
        <v>11.499999999999973</v>
      </c>
      <c r="P471" s="6">
        <v>216</v>
      </c>
      <c r="Q471" s="29">
        <v>1.1499999999999999</v>
      </c>
      <c r="R471" s="14">
        <f t="shared" si="33"/>
        <v>3.9099999999999997</v>
      </c>
      <c r="S471" s="14">
        <f t="shared" si="34"/>
        <v>-3.61</v>
      </c>
      <c r="T471" s="15">
        <f t="shared" si="38"/>
        <v>11.445293542074365</v>
      </c>
      <c r="U471" s="1">
        <v>19</v>
      </c>
      <c r="V471" s="1">
        <v>1493.6</v>
      </c>
      <c r="X471" s="1">
        <f t="shared" si="39"/>
        <v>182436.60000000003</v>
      </c>
      <c r="Y471" s="1">
        <f t="shared" si="41"/>
        <v>2310.6999999999998</v>
      </c>
      <c r="Z471" s="1">
        <v>39855.200000000004</v>
      </c>
      <c r="AA471" s="1">
        <v>13.1919545083099</v>
      </c>
    </row>
    <row r="472" spans="1:27" s="1" customFormat="1" x14ac:dyDescent="0.25">
      <c r="A472" s="71"/>
      <c r="B472" s="3"/>
      <c r="C472" s="8">
        <v>40645</v>
      </c>
      <c r="D472" s="1">
        <v>13.2</v>
      </c>
      <c r="E472" s="1">
        <v>12.4</v>
      </c>
      <c r="F472" s="1">
        <v>15.9</v>
      </c>
      <c r="G472" s="1">
        <f t="shared" si="35"/>
        <v>2089.5000000000005</v>
      </c>
      <c r="H472" s="1">
        <f t="shared" si="40"/>
        <v>44.2</v>
      </c>
      <c r="I472" s="38" t="s">
        <v>33</v>
      </c>
      <c r="J472" s="1">
        <v>0.6</v>
      </c>
      <c r="K472" s="1">
        <f t="shared" si="36"/>
        <v>316.89999999999981</v>
      </c>
      <c r="L472" s="1">
        <v>2.2000000000000002</v>
      </c>
      <c r="M472" s="1">
        <f t="shared" si="37"/>
        <v>370.2999999999999</v>
      </c>
      <c r="N472" s="1">
        <v>-1.6</v>
      </c>
      <c r="O472" s="1">
        <f t="shared" si="31"/>
        <v>9.8999999999999737</v>
      </c>
      <c r="P472" s="6">
        <v>217</v>
      </c>
      <c r="Q472" s="29">
        <v>1.1499999999999999</v>
      </c>
      <c r="R472" s="14">
        <f t="shared" si="33"/>
        <v>2.5299999999999998</v>
      </c>
      <c r="S472" s="14">
        <f t="shared" si="34"/>
        <v>-1.9299999999999997</v>
      </c>
      <c r="T472" s="15">
        <f t="shared" si="38"/>
        <v>9.5152935420743656</v>
      </c>
      <c r="U472" s="38" t="s">
        <v>34</v>
      </c>
      <c r="V472" s="1">
        <v>990.5</v>
      </c>
      <c r="X472" s="1">
        <f t="shared" si="39"/>
        <v>183427.10000000003</v>
      </c>
      <c r="Y472" s="1">
        <f t="shared" si="41"/>
        <v>3301.2</v>
      </c>
      <c r="Z472" s="38" t="s">
        <v>35</v>
      </c>
      <c r="AA472" s="1">
        <v>13.2407469652017</v>
      </c>
    </row>
    <row r="473" spans="1:27" s="1" customFormat="1" x14ac:dyDescent="0.25">
      <c r="A473" s="71"/>
      <c r="B473" s="3"/>
      <c r="C473" s="8">
        <v>40646</v>
      </c>
      <c r="D473" s="1">
        <v>11</v>
      </c>
      <c r="E473" s="1">
        <v>4.3</v>
      </c>
      <c r="F473" s="1">
        <v>18.2</v>
      </c>
      <c r="G473" s="1">
        <f t="shared" si="35"/>
        <v>2100.5000000000005</v>
      </c>
      <c r="H473" s="1">
        <f t="shared" si="40"/>
        <v>55.2</v>
      </c>
      <c r="I473" s="1">
        <f>MAX(F470:F490)</f>
        <v>23</v>
      </c>
      <c r="J473" s="1">
        <v>0</v>
      </c>
      <c r="K473" s="1">
        <f t="shared" si="36"/>
        <v>316.89999999999981</v>
      </c>
      <c r="L473" s="1">
        <v>3</v>
      </c>
      <c r="M473" s="1">
        <f t="shared" si="37"/>
        <v>373.2999999999999</v>
      </c>
      <c r="N473" s="1">
        <v>-3</v>
      </c>
      <c r="O473" s="1">
        <f t="shared" si="31"/>
        <v>6.8999999999999737</v>
      </c>
      <c r="P473" s="6">
        <v>218</v>
      </c>
      <c r="Q473" s="29">
        <v>1.1499999999999999</v>
      </c>
      <c r="R473" s="14">
        <f t="shared" si="33"/>
        <v>3.4499999999999997</v>
      </c>
      <c r="S473" s="14">
        <f t="shared" si="34"/>
        <v>-3.4499999999999997</v>
      </c>
      <c r="T473" s="15">
        <f t="shared" si="38"/>
        <v>6.0652935420743663</v>
      </c>
      <c r="U473" s="1">
        <v>12</v>
      </c>
      <c r="V473" s="1">
        <v>1960.7</v>
      </c>
      <c r="X473" s="1">
        <f t="shared" si="39"/>
        <v>185387.80000000005</v>
      </c>
      <c r="Y473" s="1">
        <f t="shared" si="41"/>
        <v>5261.9</v>
      </c>
      <c r="Z473" s="16">
        <f>(Z471/100)/I483</f>
        <v>1.2737360178970918</v>
      </c>
      <c r="AA473" s="1">
        <v>13.289378583827499</v>
      </c>
    </row>
    <row r="474" spans="1:27" s="1" customFormat="1" x14ac:dyDescent="0.25">
      <c r="A474" s="71"/>
      <c r="B474" s="3"/>
      <c r="C474" s="8">
        <v>40647</v>
      </c>
      <c r="D474" s="1">
        <v>12.9</v>
      </c>
      <c r="E474" s="1">
        <v>5.7</v>
      </c>
      <c r="F474" s="1">
        <v>21</v>
      </c>
      <c r="G474" s="1">
        <f t="shared" si="35"/>
        <v>2113.4000000000005</v>
      </c>
      <c r="H474" s="1">
        <f t="shared" si="40"/>
        <v>68.100000000000009</v>
      </c>
      <c r="I474" s="38" t="s">
        <v>36</v>
      </c>
      <c r="J474" s="1">
        <v>0</v>
      </c>
      <c r="K474" s="1">
        <f t="shared" si="36"/>
        <v>316.89999999999981</v>
      </c>
      <c r="L474" s="1">
        <v>4.0999999999999996</v>
      </c>
      <c r="M474" s="1">
        <f t="shared" si="37"/>
        <v>377.39999999999992</v>
      </c>
      <c r="N474" s="1">
        <v>-4.0999999999999996</v>
      </c>
      <c r="O474" s="1">
        <f t="shared" si="31"/>
        <v>2.7999999999999741</v>
      </c>
      <c r="P474" s="6">
        <v>219</v>
      </c>
      <c r="Q474" s="29">
        <v>1.1499999999999999</v>
      </c>
      <c r="R474" s="14">
        <f t="shared" si="33"/>
        <v>4.714999999999999</v>
      </c>
      <c r="S474" s="14">
        <f t="shared" si="34"/>
        <v>-4.714999999999999</v>
      </c>
      <c r="T474" s="15">
        <f t="shared" si="38"/>
        <v>1.3502935420743674</v>
      </c>
      <c r="U474" s="38" t="s">
        <v>37</v>
      </c>
      <c r="V474" s="1">
        <v>2031.7</v>
      </c>
      <c r="X474" s="1">
        <f t="shared" si="39"/>
        <v>187419.50000000006</v>
      </c>
      <c r="Y474" s="1">
        <f t="shared" si="41"/>
        <v>7293.5999999999995</v>
      </c>
      <c r="Z474" s="38" t="s">
        <v>38</v>
      </c>
      <c r="AA474" s="1">
        <v>13.3378405968548</v>
      </c>
    </row>
    <row r="475" spans="1:27" s="1" customFormat="1" x14ac:dyDescent="0.25">
      <c r="A475" s="71"/>
      <c r="B475" s="3"/>
      <c r="C475" s="8">
        <v>40648</v>
      </c>
      <c r="D475" s="1">
        <v>12.6</v>
      </c>
      <c r="E475" s="1">
        <v>7.6</v>
      </c>
      <c r="F475" s="1">
        <v>18.100000000000001</v>
      </c>
      <c r="G475" s="1">
        <f t="shared" si="35"/>
        <v>2126.0000000000005</v>
      </c>
      <c r="H475" s="1">
        <f t="shared" si="40"/>
        <v>80.7</v>
      </c>
      <c r="I475" s="14">
        <f>AVERAGE(D470:D490)</f>
        <v>14.899999999999997</v>
      </c>
      <c r="J475" s="1">
        <v>0</v>
      </c>
      <c r="K475" s="1">
        <f t="shared" si="36"/>
        <v>316.89999999999981</v>
      </c>
      <c r="L475" s="1">
        <v>3.9</v>
      </c>
      <c r="M475" s="1">
        <f t="shared" si="37"/>
        <v>381.2999999999999</v>
      </c>
      <c r="N475" s="1">
        <v>-3.9</v>
      </c>
      <c r="O475" s="1">
        <v>0</v>
      </c>
      <c r="P475" s="6">
        <v>220</v>
      </c>
      <c r="Q475" s="29">
        <v>1.1499999999999999</v>
      </c>
      <c r="R475" s="14">
        <f t="shared" si="33"/>
        <v>4.4849999999999994</v>
      </c>
      <c r="S475" s="14">
        <f t="shared" si="34"/>
        <v>-4.4849999999999994</v>
      </c>
      <c r="T475" s="15">
        <v>0</v>
      </c>
      <c r="U475" s="1">
        <v>9</v>
      </c>
      <c r="V475" s="1">
        <v>2244.6999999999998</v>
      </c>
      <c r="X475" s="1">
        <f t="shared" si="39"/>
        <v>189664.20000000007</v>
      </c>
      <c r="Y475" s="1">
        <f t="shared" si="41"/>
        <v>9538.2999999999993</v>
      </c>
      <c r="Z475" s="1">
        <v>3</v>
      </c>
      <c r="AA475" s="1">
        <v>13.386123960230501</v>
      </c>
    </row>
    <row r="476" spans="1:27" s="1" customFormat="1" x14ac:dyDescent="0.25">
      <c r="A476" s="71"/>
      <c r="B476" s="3"/>
      <c r="C476" s="8">
        <v>40649</v>
      </c>
      <c r="D476" s="1">
        <v>12.6</v>
      </c>
      <c r="E476" s="1">
        <v>4.5</v>
      </c>
      <c r="F476" s="1">
        <v>20.2</v>
      </c>
      <c r="G476" s="1">
        <f t="shared" si="35"/>
        <v>2138.6000000000004</v>
      </c>
      <c r="H476" s="1">
        <f t="shared" si="40"/>
        <v>93.3</v>
      </c>
      <c r="I476" s="38" t="s">
        <v>39</v>
      </c>
      <c r="J476" s="1">
        <v>0</v>
      </c>
      <c r="K476" s="1">
        <f t="shared" si="36"/>
        <v>316.89999999999981</v>
      </c>
      <c r="L476" s="1">
        <v>4.2</v>
      </c>
      <c r="M476" s="1">
        <f t="shared" si="37"/>
        <v>385.49999999999989</v>
      </c>
      <c r="N476" s="1">
        <v>-4.2</v>
      </c>
      <c r="O476" s="1">
        <v>0</v>
      </c>
      <c r="P476" s="6">
        <v>221</v>
      </c>
      <c r="Q476" s="29">
        <v>1.1499999999999999</v>
      </c>
      <c r="R476" s="14">
        <f t="shared" si="33"/>
        <v>4.83</v>
      </c>
      <c r="S476" s="14">
        <f t="shared" si="34"/>
        <v>-4.83</v>
      </c>
      <c r="T476" s="15">
        <v>0</v>
      </c>
      <c r="U476" s="38" t="s">
        <v>40</v>
      </c>
      <c r="V476" s="1">
        <v>2555.6999999999998</v>
      </c>
      <c r="X476" s="1">
        <f t="shared" si="39"/>
        <v>192219.90000000008</v>
      </c>
      <c r="Y476" s="1">
        <f t="shared" si="41"/>
        <v>12094</v>
      </c>
      <c r="AA476" s="1">
        <v>13.4342193423876</v>
      </c>
    </row>
    <row r="477" spans="1:27" s="1" customFormat="1" x14ac:dyDescent="0.25">
      <c r="A477" s="71"/>
      <c r="B477" s="3"/>
      <c r="C477" s="8">
        <v>40650</v>
      </c>
      <c r="D477" s="1">
        <v>14.1</v>
      </c>
      <c r="E477" s="1">
        <v>6</v>
      </c>
      <c r="F477" s="1">
        <v>22.4</v>
      </c>
      <c r="G477" s="1">
        <f t="shared" si="35"/>
        <v>2152.7000000000003</v>
      </c>
      <c r="H477" s="1">
        <f t="shared" si="40"/>
        <v>107.39999999999999</v>
      </c>
      <c r="I477" s="1">
        <v>0</v>
      </c>
      <c r="J477" s="1">
        <v>0</v>
      </c>
      <c r="K477" s="1">
        <f t="shared" si="36"/>
        <v>316.89999999999981</v>
      </c>
      <c r="L477" s="1">
        <v>4.4000000000000004</v>
      </c>
      <c r="M477" s="1">
        <f t="shared" si="37"/>
        <v>389.89999999999986</v>
      </c>
      <c r="N477" s="1">
        <v>-4.4000000000000004</v>
      </c>
      <c r="O477" s="1">
        <v>0</v>
      </c>
      <c r="P477" s="6">
        <v>222</v>
      </c>
      <c r="Q477" s="29">
        <v>1.1499999999999999</v>
      </c>
      <c r="R477" s="14">
        <f t="shared" si="33"/>
        <v>5.0599999999999996</v>
      </c>
      <c r="S477" s="14">
        <f t="shared" si="34"/>
        <v>-5.0599999999999996</v>
      </c>
      <c r="T477" s="15">
        <v>0</v>
      </c>
      <c r="U477" s="31">
        <v>0</v>
      </c>
      <c r="V477" s="1">
        <v>2398.4</v>
      </c>
      <c r="X477" s="1">
        <f t="shared" si="39"/>
        <v>194618.30000000008</v>
      </c>
      <c r="Y477" s="1">
        <f t="shared" si="41"/>
        <v>14492.4</v>
      </c>
      <c r="AA477" s="1">
        <v>13.4821171138138</v>
      </c>
    </row>
    <row r="478" spans="1:27" s="1" customFormat="1" x14ac:dyDescent="0.25">
      <c r="A478" s="71"/>
      <c r="B478" s="3"/>
      <c r="C478" s="8">
        <v>40651</v>
      </c>
      <c r="D478" s="1">
        <v>15.7</v>
      </c>
      <c r="E478" s="1">
        <v>10.4</v>
      </c>
      <c r="F478" s="1">
        <v>22.3</v>
      </c>
      <c r="G478" s="1">
        <f t="shared" si="35"/>
        <v>2168.4</v>
      </c>
      <c r="H478" s="1">
        <f t="shared" si="40"/>
        <v>123.1</v>
      </c>
      <c r="I478" s="38" t="s">
        <v>41</v>
      </c>
      <c r="J478" s="1">
        <v>0</v>
      </c>
      <c r="K478" s="1">
        <f t="shared" si="36"/>
        <v>316.89999999999981</v>
      </c>
      <c r="L478" s="1">
        <v>5.0999999999999996</v>
      </c>
      <c r="M478" s="1">
        <f t="shared" si="37"/>
        <v>394.99999999999989</v>
      </c>
      <c r="N478" s="1">
        <v>-5.0999999999999996</v>
      </c>
      <c r="O478" s="1">
        <v>0</v>
      </c>
      <c r="P478" s="6">
        <v>223</v>
      </c>
      <c r="Q478" s="29">
        <v>1.1499999999999999</v>
      </c>
      <c r="R478" s="14">
        <f t="shared" si="33"/>
        <v>5.8649999999999993</v>
      </c>
      <c r="S478" s="14">
        <f t="shared" si="34"/>
        <v>-5.8649999999999993</v>
      </c>
      <c r="T478" s="15">
        <v>0</v>
      </c>
      <c r="U478" s="38" t="s">
        <v>42</v>
      </c>
      <c r="V478" s="1">
        <v>2630.6</v>
      </c>
      <c r="X478" s="1">
        <f t="shared" si="39"/>
        <v>197248.90000000008</v>
      </c>
      <c r="Y478" s="1">
        <f t="shared" si="41"/>
        <v>17123</v>
      </c>
      <c r="AA478" s="1">
        <v>13.529807337016999</v>
      </c>
    </row>
    <row r="479" spans="1:27" s="29" customFormat="1" x14ac:dyDescent="0.25">
      <c r="A479" s="71"/>
      <c r="B479" s="27"/>
      <c r="C479" s="28">
        <v>40652</v>
      </c>
      <c r="D479" s="29">
        <v>14.2</v>
      </c>
      <c r="E479" s="29">
        <v>8.9</v>
      </c>
      <c r="F479" s="29">
        <v>19.899999999999999</v>
      </c>
      <c r="G479" s="29">
        <f t="shared" si="35"/>
        <v>2182.6</v>
      </c>
      <c r="H479" s="29">
        <f t="shared" si="40"/>
        <v>137.29999999999998</v>
      </c>
      <c r="I479" s="29">
        <v>0</v>
      </c>
      <c r="J479" s="29">
        <v>0</v>
      </c>
      <c r="K479" s="29">
        <f t="shared" si="36"/>
        <v>316.89999999999981</v>
      </c>
      <c r="L479" s="29">
        <v>4.5999999999999996</v>
      </c>
      <c r="M479" s="29">
        <f t="shared" si="37"/>
        <v>399.59999999999991</v>
      </c>
      <c r="N479" s="29">
        <v>-4.5999999999999996</v>
      </c>
      <c r="O479" s="29">
        <v>0</v>
      </c>
      <c r="P479" s="30">
        <v>224</v>
      </c>
      <c r="Q479" s="29">
        <v>1.1499999999999999</v>
      </c>
      <c r="R479" s="31">
        <f t="shared" si="33"/>
        <v>5.2899999999999991</v>
      </c>
      <c r="S479" s="14">
        <f t="shared" si="34"/>
        <v>-5.2899999999999991</v>
      </c>
      <c r="T479" s="15">
        <v>0</v>
      </c>
      <c r="U479" s="14">
        <f>MAX(T470:T490)</f>
        <v>15.055293542074365</v>
      </c>
      <c r="V479" s="29">
        <v>2301.1999999999998</v>
      </c>
      <c r="X479" s="29">
        <f t="shared" si="39"/>
        <v>199550.10000000009</v>
      </c>
      <c r="Y479" s="1">
        <f t="shared" si="41"/>
        <v>19424.2</v>
      </c>
      <c r="AA479" s="29">
        <v>13.577279756923399</v>
      </c>
    </row>
    <row r="480" spans="1:27" s="1" customFormat="1" ht="15" customHeight="1" x14ac:dyDescent="0.25">
      <c r="A480" s="71"/>
      <c r="B480" s="3"/>
      <c r="C480" s="8">
        <v>40653</v>
      </c>
      <c r="D480" s="1">
        <v>15.5</v>
      </c>
      <c r="E480" s="1">
        <v>11.4</v>
      </c>
      <c r="F480" s="1">
        <v>20.6</v>
      </c>
      <c r="G480" s="1">
        <f t="shared" si="35"/>
        <v>2198.1</v>
      </c>
      <c r="H480" s="1">
        <f t="shared" si="40"/>
        <v>152.79999999999998</v>
      </c>
      <c r="I480" s="38" t="s">
        <v>43</v>
      </c>
      <c r="J480" s="1">
        <v>0.2</v>
      </c>
      <c r="K480" s="1">
        <f t="shared" si="36"/>
        <v>317.0999999999998</v>
      </c>
      <c r="L480" s="1">
        <v>4.7</v>
      </c>
      <c r="M480" s="1">
        <f t="shared" si="37"/>
        <v>404.2999999999999</v>
      </c>
      <c r="N480" s="1">
        <v>-4.5</v>
      </c>
      <c r="O480" s="1">
        <v>0</v>
      </c>
      <c r="P480" s="6">
        <v>225</v>
      </c>
      <c r="Q480" s="29">
        <v>1.1499999999999999</v>
      </c>
      <c r="R480" s="14">
        <f t="shared" si="33"/>
        <v>5.4049999999999994</v>
      </c>
      <c r="S480" s="14">
        <f t="shared" si="34"/>
        <v>-5.2049999999999992</v>
      </c>
      <c r="T480" s="15">
        <v>0</v>
      </c>
      <c r="U480" s="38" t="s">
        <v>44</v>
      </c>
      <c r="V480" s="1">
        <v>2018.1</v>
      </c>
      <c r="X480" s="1">
        <f t="shared" si="39"/>
        <v>201568.2000000001</v>
      </c>
      <c r="Y480" s="1">
        <f t="shared" si="41"/>
        <v>21442.3</v>
      </c>
      <c r="AA480" s="1">
        <v>13.624523791745199</v>
      </c>
    </row>
    <row r="481" spans="1:27" s="1" customFormat="1" x14ac:dyDescent="0.25">
      <c r="A481" s="71"/>
      <c r="B481" s="3"/>
      <c r="C481" s="8">
        <v>40654</v>
      </c>
      <c r="D481" s="1">
        <v>16.5</v>
      </c>
      <c r="E481" s="1">
        <v>11.9</v>
      </c>
      <c r="F481" s="1">
        <v>22.2</v>
      </c>
      <c r="G481" s="1">
        <f t="shared" si="35"/>
        <v>2214.6</v>
      </c>
      <c r="H481" s="1">
        <f t="shared" si="40"/>
        <v>169.29999999999998</v>
      </c>
      <c r="I481" s="1">
        <v>2</v>
      </c>
      <c r="J481" s="1">
        <v>0</v>
      </c>
      <c r="K481" s="1">
        <f t="shared" si="36"/>
        <v>317.0999999999998</v>
      </c>
      <c r="L481" s="1">
        <v>5.5</v>
      </c>
      <c r="M481" s="1">
        <f t="shared" si="37"/>
        <v>409.7999999999999</v>
      </c>
      <c r="N481" s="1">
        <v>-5.5</v>
      </c>
      <c r="O481" s="1">
        <v>0</v>
      </c>
      <c r="P481" s="6">
        <v>226</v>
      </c>
      <c r="Q481" s="29">
        <v>1.1499999999999999</v>
      </c>
      <c r="R481" s="14">
        <f t="shared" si="33"/>
        <v>6.3249999999999993</v>
      </c>
      <c r="S481" s="14">
        <f t="shared" si="34"/>
        <v>-6.3249999999999993</v>
      </c>
      <c r="T481" s="15">
        <v>0</v>
      </c>
      <c r="U481" s="16">
        <f>AVERAGE(T470:T490)</f>
        <v>2.7767365576367538</v>
      </c>
      <c r="V481" s="1">
        <v>2298.6999999999998</v>
      </c>
      <c r="X481" s="1">
        <f t="shared" si="39"/>
        <v>203866.90000000011</v>
      </c>
      <c r="Y481" s="1">
        <f t="shared" si="41"/>
        <v>23741</v>
      </c>
      <c r="AA481" s="1">
        <v>13.6715285243625</v>
      </c>
    </row>
    <row r="482" spans="1:27" s="1" customFormat="1" x14ac:dyDescent="0.25">
      <c r="A482" s="71"/>
      <c r="B482" s="3"/>
      <c r="C482" s="8">
        <v>40655</v>
      </c>
      <c r="D482" s="1">
        <v>15.5</v>
      </c>
      <c r="E482" s="1">
        <v>11.7</v>
      </c>
      <c r="F482" s="1">
        <v>21.1</v>
      </c>
      <c r="G482" s="1">
        <f t="shared" si="35"/>
        <v>2230.1</v>
      </c>
      <c r="H482" s="1">
        <f t="shared" si="40"/>
        <v>184.79999999999998</v>
      </c>
      <c r="I482" s="38" t="s">
        <v>45</v>
      </c>
      <c r="J482" s="1">
        <v>0</v>
      </c>
      <c r="K482" s="1">
        <f t="shared" si="36"/>
        <v>317.0999999999998</v>
      </c>
      <c r="L482" s="1">
        <v>4.5999999999999996</v>
      </c>
      <c r="M482" s="1">
        <f t="shared" si="37"/>
        <v>414.39999999999992</v>
      </c>
      <c r="N482" s="1">
        <v>-4.5999999999999996</v>
      </c>
      <c r="O482" s="1">
        <v>0</v>
      </c>
      <c r="P482" s="6">
        <v>227</v>
      </c>
      <c r="Q482" s="29">
        <v>1.1499999999999999</v>
      </c>
      <c r="R482" s="14">
        <f t="shared" si="33"/>
        <v>5.2899999999999991</v>
      </c>
      <c r="S482" s="14">
        <f t="shared" si="34"/>
        <v>-5.2899999999999991</v>
      </c>
      <c r="T482" s="15">
        <v>0</v>
      </c>
      <c r="V482" s="1">
        <v>1453.3</v>
      </c>
      <c r="X482" s="1">
        <f t="shared" si="39"/>
        <v>205320.2000000001</v>
      </c>
      <c r="Y482" s="1">
        <f t="shared" si="41"/>
        <v>25194.3</v>
      </c>
      <c r="AA482" s="1">
        <v>13.7182826942591</v>
      </c>
    </row>
    <row r="483" spans="1:27" s="1" customFormat="1" x14ac:dyDescent="0.25">
      <c r="A483" s="71"/>
      <c r="B483" s="3"/>
      <c r="C483" s="8">
        <v>40656</v>
      </c>
      <c r="D483" s="1">
        <v>13.7</v>
      </c>
      <c r="E483" s="1">
        <v>12.1</v>
      </c>
      <c r="F483" s="1">
        <v>15.1</v>
      </c>
      <c r="G483" s="1">
        <f t="shared" si="35"/>
        <v>2243.7999999999997</v>
      </c>
      <c r="H483" s="1">
        <f t="shared" si="40"/>
        <v>198.49999999999997</v>
      </c>
      <c r="I483" s="1">
        <v>312.89999999999998</v>
      </c>
      <c r="J483" s="1">
        <v>5.6</v>
      </c>
      <c r="K483" s="1">
        <f t="shared" si="36"/>
        <v>322.69999999999982</v>
      </c>
      <c r="L483" s="1">
        <v>1.2</v>
      </c>
      <c r="M483" s="1">
        <f t="shared" si="37"/>
        <v>415.59999999999991</v>
      </c>
      <c r="N483" s="1">
        <v>4.3999999999999995</v>
      </c>
      <c r="O483" s="1">
        <f>O482+N483</f>
        <v>4.3999999999999995</v>
      </c>
      <c r="P483" s="6">
        <v>228</v>
      </c>
      <c r="Q483" s="29">
        <v>1.1499999999999999</v>
      </c>
      <c r="R483" s="14">
        <f t="shared" si="33"/>
        <v>1.38</v>
      </c>
      <c r="S483" s="14">
        <f t="shared" si="34"/>
        <v>4.22</v>
      </c>
      <c r="T483" s="15">
        <f t="shared" si="38"/>
        <v>4.22</v>
      </c>
      <c r="U483" s="14">
        <f>(U481*100)/122.1</f>
        <v>2.2741495148540163</v>
      </c>
      <c r="V483" s="1">
        <v>591.6</v>
      </c>
      <c r="X483" s="1">
        <f t="shared" si="39"/>
        <v>205911.8000000001</v>
      </c>
      <c r="Y483" s="1">
        <f t="shared" si="41"/>
        <v>25785.899999999998</v>
      </c>
      <c r="AA483" s="1">
        <v>13.7647746900623</v>
      </c>
    </row>
    <row r="484" spans="1:27" s="1" customFormat="1" x14ac:dyDescent="0.25">
      <c r="A484" s="71"/>
      <c r="B484" s="3"/>
      <c r="C484" s="8">
        <v>40657</v>
      </c>
      <c r="D484" s="1">
        <v>16.399999999999999</v>
      </c>
      <c r="E484" s="1">
        <v>13.3</v>
      </c>
      <c r="F484" s="1">
        <v>19.600000000000001</v>
      </c>
      <c r="G484" s="1">
        <f t="shared" si="35"/>
        <v>2260.1999999999998</v>
      </c>
      <c r="H484" s="1">
        <f t="shared" si="40"/>
        <v>214.89999999999998</v>
      </c>
      <c r="J484" s="1">
        <v>0</v>
      </c>
      <c r="K484" s="1">
        <f t="shared" si="36"/>
        <v>322.69999999999982</v>
      </c>
      <c r="L484" s="1">
        <v>2.8</v>
      </c>
      <c r="M484" s="1">
        <f t="shared" si="37"/>
        <v>418.39999999999992</v>
      </c>
      <c r="N484" s="1">
        <v>-2.8</v>
      </c>
      <c r="O484" s="1">
        <f>O483+N484</f>
        <v>1.5999999999999996</v>
      </c>
      <c r="P484" s="6">
        <v>229</v>
      </c>
      <c r="Q484" s="29">
        <v>1.1499999999999999</v>
      </c>
      <c r="R484" s="14">
        <f t="shared" si="33"/>
        <v>3.2199999999999998</v>
      </c>
      <c r="S484" s="14">
        <f t="shared" si="34"/>
        <v>-3.2199999999999998</v>
      </c>
      <c r="T484" s="15">
        <f t="shared" si="38"/>
        <v>1</v>
      </c>
      <c r="V484" s="1">
        <v>1608.7</v>
      </c>
      <c r="X484" s="1">
        <f t="shared" si="39"/>
        <v>207520.50000000012</v>
      </c>
      <c r="Y484" s="1">
        <f t="shared" si="41"/>
        <v>27394.6</v>
      </c>
      <c r="AA484" s="1">
        <v>13.8109925427327</v>
      </c>
    </row>
    <row r="485" spans="1:27" s="1" customFormat="1" x14ac:dyDescent="0.25">
      <c r="A485" s="71"/>
      <c r="B485" s="3"/>
      <c r="C485" s="8">
        <v>40658</v>
      </c>
      <c r="D485" s="1">
        <v>16</v>
      </c>
      <c r="E485" s="1">
        <v>13.3</v>
      </c>
      <c r="F485" s="1">
        <v>20.2</v>
      </c>
      <c r="G485" s="1">
        <f t="shared" si="35"/>
        <v>2276.1999999999998</v>
      </c>
      <c r="H485" s="1">
        <f t="shared" si="40"/>
        <v>230.89999999999998</v>
      </c>
      <c r="J485" s="1">
        <v>9.3000000000000007</v>
      </c>
      <c r="K485" s="1">
        <f t="shared" si="36"/>
        <v>331.99999999999983</v>
      </c>
      <c r="L485" s="1">
        <v>2.5</v>
      </c>
      <c r="M485" s="1">
        <f t="shared" si="37"/>
        <v>420.89999999999992</v>
      </c>
      <c r="N485" s="1">
        <v>6.8000000000000007</v>
      </c>
      <c r="O485" s="1">
        <f>O484+N485</f>
        <v>8.4</v>
      </c>
      <c r="P485" s="6">
        <v>230</v>
      </c>
      <c r="Q485" s="29">
        <v>1.1499999999999999</v>
      </c>
      <c r="R485" s="14">
        <f t="shared" si="33"/>
        <v>2.875</v>
      </c>
      <c r="S485" s="14">
        <f t="shared" si="34"/>
        <v>6.4250000000000007</v>
      </c>
      <c r="T485" s="15">
        <f t="shared" si="38"/>
        <v>7.4250000000000007</v>
      </c>
      <c r="V485" s="1">
        <v>889.8</v>
      </c>
      <c r="X485" s="1">
        <f t="shared" si="39"/>
        <v>208410.3000000001</v>
      </c>
      <c r="Y485" s="1">
        <f t="shared" si="41"/>
        <v>28284.399999999998</v>
      </c>
      <c r="AA485" s="1">
        <v>13.856923919457101</v>
      </c>
    </row>
    <row r="486" spans="1:27" s="1" customFormat="1" x14ac:dyDescent="0.25">
      <c r="A486" s="71"/>
      <c r="B486" s="3"/>
      <c r="C486" s="8">
        <v>40659</v>
      </c>
      <c r="D486" s="1">
        <v>17.7</v>
      </c>
      <c r="E486" s="1">
        <v>14.1</v>
      </c>
      <c r="F486" s="1">
        <v>22.1</v>
      </c>
      <c r="G486" s="1">
        <f t="shared" si="35"/>
        <v>2293.8999999999996</v>
      </c>
      <c r="H486" s="1">
        <f t="shared" si="40"/>
        <v>248.59999999999997</v>
      </c>
      <c r="J486" s="1">
        <v>0.1</v>
      </c>
      <c r="K486" s="1">
        <f t="shared" si="36"/>
        <v>332.09999999999985</v>
      </c>
      <c r="L486" s="1">
        <v>4.5999999999999996</v>
      </c>
      <c r="M486" s="1">
        <f t="shared" si="37"/>
        <v>425.49999999999994</v>
      </c>
      <c r="N486" s="1">
        <v>-4.5</v>
      </c>
      <c r="O486" s="1">
        <f>O485+N486</f>
        <v>3.9000000000000004</v>
      </c>
      <c r="P486" s="6">
        <v>231</v>
      </c>
      <c r="Q486" s="29">
        <v>1.1499999999999999</v>
      </c>
      <c r="R486" s="14">
        <f t="shared" si="33"/>
        <v>5.2899999999999991</v>
      </c>
      <c r="S486" s="14">
        <f t="shared" si="34"/>
        <v>-5.1899999999999995</v>
      </c>
      <c r="T486" s="15">
        <f t="shared" si="38"/>
        <v>2.2350000000000012</v>
      </c>
      <c r="V486" s="1">
        <v>2190</v>
      </c>
      <c r="X486" s="1">
        <f t="shared" si="39"/>
        <v>210600.3000000001</v>
      </c>
      <c r="Y486" s="1">
        <f t="shared" si="41"/>
        <v>30474.399999999998</v>
      </c>
      <c r="AA486" s="1">
        <v>13.902556118297101</v>
      </c>
    </row>
    <row r="487" spans="1:27" s="1" customFormat="1" x14ac:dyDescent="0.25">
      <c r="A487" s="71"/>
      <c r="B487" s="3"/>
      <c r="C487" s="8">
        <v>40660</v>
      </c>
      <c r="D487" s="1">
        <v>16.899999999999999</v>
      </c>
      <c r="E487" s="1">
        <v>13.4</v>
      </c>
      <c r="F487" s="1">
        <v>21.8</v>
      </c>
      <c r="G487" s="1">
        <f t="shared" si="35"/>
        <v>2310.7999999999997</v>
      </c>
      <c r="H487" s="1">
        <f t="shared" si="40"/>
        <v>265.49999999999994</v>
      </c>
      <c r="J487" s="1">
        <v>0</v>
      </c>
      <c r="K487" s="1">
        <f t="shared" si="36"/>
        <v>332.09999999999985</v>
      </c>
      <c r="L487" s="1">
        <v>4.4000000000000004</v>
      </c>
      <c r="M487" s="1">
        <f t="shared" si="37"/>
        <v>429.89999999999992</v>
      </c>
      <c r="N487" s="1">
        <v>-4.4000000000000004</v>
      </c>
      <c r="O487" s="1">
        <v>0</v>
      </c>
      <c r="P487" s="6">
        <v>232</v>
      </c>
      <c r="Q487" s="29">
        <v>1.1499999999999999</v>
      </c>
      <c r="R487" s="14">
        <f t="shared" si="33"/>
        <v>5.0599999999999996</v>
      </c>
      <c r="S487" s="14">
        <f t="shared" si="34"/>
        <v>-5.0599999999999996</v>
      </c>
      <c r="T487" s="15">
        <v>0</v>
      </c>
      <c r="V487" s="1">
        <v>2167.8000000000002</v>
      </c>
      <c r="X487" s="1">
        <f t="shared" si="39"/>
        <v>212768.10000000009</v>
      </c>
      <c r="Y487" s="1">
        <f t="shared" si="41"/>
        <v>32642.199999999997</v>
      </c>
      <c r="AA487" s="1">
        <v>13.9478760636504</v>
      </c>
    </row>
    <row r="488" spans="1:27" s="1" customFormat="1" x14ac:dyDescent="0.25">
      <c r="A488" s="71"/>
      <c r="B488" s="3"/>
      <c r="C488" s="8">
        <v>40661</v>
      </c>
      <c r="D488" s="1">
        <v>15.7</v>
      </c>
      <c r="E488" s="1">
        <v>9.6999999999999993</v>
      </c>
      <c r="F488" s="1">
        <v>21.3</v>
      </c>
      <c r="G488" s="1">
        <f t="shared" si="35"/>
        <v>2326.4999999999995</v>
      </c>
      <c r="H488" s="1">
        <f t="shared" si="40"/>
        <v>281.19999999999993</v>
      </c>
      <c r="J488" s="1">
        <v>0</v>
      </c>
      <c r="K488" s="1">
        <f t="shared" si="36"/>
        <v>332.09999999999985</v>
      </c>
      <c r="L488" s="1">
        <v>4.4000000000000004</v>
      </c>
      <c r="M488" s="1">
        <f t="shared" si="37"/>
        <v>434.2999999999999</v>
      </c>
      <c r="N488" s="1">
        <v>-4.4000000000000004</v>
      </c>
      <c r="O488" s="1">
        <v>0</v>
      </c>
      <c r="P488" s="6">
        <v>233</v>
      </c>
      <c r="Q488" s="29">
        <v>1.1499999999999999</v>
      </c>
      <c r="R488" s="14">
        <f t="shared" si="33"/>
        <v>5.0599999999999996</v>
      </c>
      <c r="S488" s="14">
        <f t="shared" si="34"/>
        <v>-5.0599999999999996</v>
      </c>
      <c r="T488" s="15">
        <v>0</v>
      </c>
      <c r="V488" s="1">
        <v>2498.3000000000002</v>
      </c>
      <c r="X488" s="1">
        <f t="shared" si="39"/>
        <v>215266.40000000008</v>
      </c>
      <c r="Y488" s="1">
        <f t="shared" si="41"/>
        <v>35140.5</v>
      </c>
      <c r="AA488" s="1">
        <v>13.992870302581499</v>
      </c>
    </row>
    <row r="489" spans="1:27" s="1" customFormat="1" x14ac:dyDescent="0.25">
      <c r="A489" s="71"/>
      <c r="B489" s="3"/>
      <c r="C489" s="8">
        <v>40662</v>
      </c>
      <c r="D489" s="1">
        <v>14.9</v>
      </c>
      <c r="E489" s="1">
        <v>7.8</v>
      </c>
      <c r="F489" s="1">
        <v>21</v>
      </c>
      <c r="G489" s="1">
        <f t="shared" si="35"/>
        <v>2341.3999999999996</v>
      </c>
      <c r="H489" s="1">
        <f t="shared" si="40"/>
        <v>296.09999999999991</v>
      </c>
      <c r="J489" s="1">
        <v>0</v>
      </c>
      <c r="K489" s="1">
        <f t="shared" si="36"/>
        <v>332.09999999999985</v>
      </c>
      <c r="L489" s="1">
        <v>4</v>
      </c>
      <c r="M489" s="1">
        <f t="shared" si="37"/>
        <v>438.2999999999999</v>
      </c>
      <c r="N489" s="1">
        <v>-4</v>
      </c>
      <c r="O489" s="1">
        <v>0</v>
      </c>
      <c r="P489" s="6">
        <v>234</v>
      </c>
      <c r="Q489" s="29">
        <v>1.1499999999999999</v>
      </c>
      <c r="R489" s="14">
        <f t="shared" si="33"/>
        <v>4.5999999999999996</v>
      </c>
      <c r="S489" s="14">
        <f t="shared" si="34"/>
        <v>-4.5999999999999996</v>
      </c>
      <c r="T489" s="15">
        <v>0</v>
      </c>
      <c r="V489" s="1">
        <v>2345.4</v>
      </c>
      <c r="X489" s="1">
        <f t="shared" si="39"/>
        <v>217611.80000000008</v>
      </c>
      <c r="Y489" s="1">
        <f t="shared" si="41"/>
        <v>37485.9</v>
      </c>
      <c r="AA489" s="1">
        <v>14.0375250020838</v>
      </c>
    </row>
    <row r="490" spans="1:27" s="45" customFormat="1" ht="15.75" thickBot="1" x14ac:dyDescent="0.3">
      <c r="A490" s="71"/>
      <c r="B490" s="43">
        <v>300</v>
      </c>
      <c r="C490" s="44">
        <v>40663</v>
      </c>
      <c r="D490" s="45">
        <v>16.8</v>
      </c>
      <c r="E490" s="45">
        <v>11.8</v>
      </c>
      <c r="F490" s="45">
        <v>23</v>
      </c>
      <c r="G490" s="45">
        <f t="shared" si="35"/>
        <v>2358.1999999999998</v>
      </c>
      <c r="H490" s="45">
        <f t="shared" si="40"/>
        <v>312.89999999999992</v>
      </c>
      <c r="J490" s="45">
        <v>0</v>
      </c>
      <c r="K490" s="45">
        <f t="shared" si="36"/>
        <v>332.09999999999985</v>
      </c>
      <c r="L490" s="45">
        <v>5.2</v>
      </c>
      <c r="M490" s="45">
        <f t="shared" si="37"/>
        <v>443.49999999999989</v>
      </c>
      <c r="N490" s="45">
        <v>-5.2</v>
      </c>
      <c r="O490" s="45">
        <v>0</v>
      </c>
      <c r="P490" s="46">
        <v>235</v>
      </c>
      <c r="Q490" s="45">
        <v>1.1499999999999999</v>
      </c>
      <c r="R490" s="48">
        <f t="shared" si="33"/>
        <v>5.9799999999999995</v>
      </c>
      <c r="S490" s="48">
        <f t="shared" si="34"/>
        <v>-5.9799999999999995</v>
      </c>
      <c r="T490" s="49">
        <v>0</v>
      </c>
      <c r="V490" s="45">
        <v>2369.3000000000002</v>
      </c>
      <c r="X490" s="45">
        <f t="shared" si="39"/>
        <v>219981.10000000006</v>
      </c>
      <c r="Y490" s="45">
        <f t="shared" si="41"/>
        <v>39855.200000000004</v>
      </c>
      <c r="AA490" s="45">
        <v>14.0818259473327</v>
      </c>
    </row>
    <row r="491" spans="1:27" s="1" customFormat="1" x14ac:dyDescent="0.25">
      <c r="A491" s="72">
        <v>600</v>
      </c>
      <c r="B491" s="3"/>
      <c r="C491" s="8">
        <v>40664</v>
      </c>
      <c r="D491" s="1">
        <v>17.3</v>
      </c>
      <c r="E491" s="1">
        <v>11.8</v>
      </c>
      <c r="F491" s="1">
        <v>22.5</v>
      </c>
      <c r="G491" s="1">
        <f t="shared" si="35"/>
        <v>2375.5</v>
      </c>
      <c r="H491" s="1">
        <v>17.3</v>
      </c>
      <c r="I491" s="39" t="s">
        <v>30</v>
      </c>
      <c r="J491" s="1">
        <v>0</v>
      </c>
      <c r="K491" s="1">
        <f t="shared" si="36"/>
        <v>332.09999999999985</v>
      </c>
      <c r="L491" s="1">
        <v>3.7</v>
      </c>
      <c r="M491" s="1">
        <f t="shared" si="37"/>
        <v>447.19999999999987</v>
      </c>
      <c r="N491" s="1">
        <v>-3.7</v>
      </c>
      <c r="O491" s="1">
        <v>0</v>
      </c>
      <c r="P491" s="6">
        <v>236</v>
      </c>
      <c r="Q491" s="1">
        <f>1.15+((P491-235)/40)*(0.35-1.15)</f>
        <v>1.1299999999999999</v>
      </c>
      <c r="R491" s="14">
        <f t="shared" si="33"/>
        <v>4.181</v>
      </c>
      <c r="S491" s="14">
        <f t="shared" si="34"/>
        <v>-4.181</v>
      </c>
      <c r="T491" s="15">
        <v>0</v>
      </c>
      <c r="U491" s="39" t="s">
        <v>31</v>
      </c>
      <c r="V491" s="1">
        <v>1869.9</v>
      </c>
      <c r="X491" s="1">
        <f t="shared" si="39"/>
        <v>221851.00000000006</v>
      </c>
      <c r="Y491" s="1">
        <v>1869.9</v>
      </c>
      <c r="Z491" s="39" t="s">
        <v>32</v>
      </c>
      <c r="AA491" s="1">
        <v>14.1257585409945</v>
      </c>
    </row>
    <row r="492" spans="1:27" s="1" customFormat="1" x14ac:dyDescent="0.25">
      <c r="A492" s="72"/>
      <c r="B492" s="3"/>
      <c r="C492" s="8">
        <v>40665</v>
      </c>
      <c r="D492" s="1">
        <v>17.5</v>
      </c>
      <c r="E492" s="1">
        <v>14.3</v>
      </c>
      <c r="F492" s="1">
        <v>21</v>
      </c>
      <c r="G492" s="1">
        <f t="shared" si="35"/>
        <v>2393</v>
      </c>
      <c r="H492" s="1">
        <f t="shared" si="40"/>
        <v>34.799999999999997</v>
      </c>
      <c r="I492" s="1">
        <f>MIN(E491:E507)</f>
        <v>10</v>
      </c>
      <c r="J492" s="1">
        <v>1.4</v>
      </c>
      <c r="K492" s="1">
        <f t="shared" si="36"/>
        <v>333.49999999999983</v>
      </c>
      <c r="L492" s="1">
        <v>4.2</v>
      </c>
      <c r="M492" s="1">
        <f t="shared" si="37"/>
        <v>451.39999999999986</v>
      </c>
      <c r="N492" s="1">
        <v>-2.8000000000000003</v>
      </c>
      <c r="O492" s="1">
        <v>0</v>
      </c>
      <c r="P492" s="6">
        <v>237</v>
      </c>
      <c r="Q492" s="1">
        <f t="shared" ref="Q492:Q530" si="42">1.15+((P492-235)/40)*(0.35-1.15)</f>
        <v>1.1099999999999999</v>
      </c>
      <c r="R492" s="14">
        <f t="shared" si="33"/>
        <v>4.6619999999999999</v>
      </c>
      <c r="S492" s="14">
        <f t="shared" si="34"/>
        <v>-3.262</v>
      </c>
      <c r="T492" s="15">
        <v>0</v>
      </c>
      <c r="U492" s="1">
        <v>15</v>
      </c>
      <c r="V492" s="1">
        <v>2064.1999999999998</v>
      </c>
      <c r="X492" s="1">
        <f t="shared" si="39"/>
        <v>223915.20000000007</v>
      </c>
      <c r="Y492" s="1">
        <f t="shared" si="41"/>
        <v>3934.1</v>
      </c>
      <c r="Z492" s="1">
        <v>34533.700000000004</v>
      </c>
      <c r="AA492" s="1">
        <v>14.169307803654799</v>
      </c>
    </row>
    <row r="493" spans="1:27" s="1" customFormat="1" x14ac:dyDescent="0.25">
      <c r="A493" s="72"/>
      <c r="B493" s="3"/>
      <c r="C493" s="8">
        <v>40666</v>
      </c>
      <c r="D493" s="1">
        <v>17.2</v>
      </c>
      <c r="E493" s="1">
        <v>14.7</v>
      </c>
      <c r="F493" s="1">
        <v>20.3</v>
      </c>
      <c r="G493" s="1">
        <f t="shared" si="35"/>
        <v>2410.1999999999998</v>
      </c>
      <c r="H493" s="1">
        <f t="shared" si="40"/>
        <v>52</v>
      </c>
      <c r="I493" s="39" t="s">
        <v>33</v>
      </c>
      <c r="J493" s="1">
        <v>5.7</v>
      </c>
      <c r="K493" s="1">
        <f t="shared" si="36"/>
        <v>339.19999999999982</v>
      </c>
      <c r="L493" s="1">
        <v>3</v>
      </c>
      <c r="M493" s="1">
        <f t="shared" si="37"/>
        <v>454.39999999999986</v>
      </c>
      <c r="N493" s="1">
        <v>2.7</v>
      </c>
      <c r="O493" s="1">
        <f>O492+N493</f>
        <v>2.7</v>
      </c>
      <c r="P493" s="6">
        <v>238</v>
      </c>
      <c r="Q493" s="1">
        <f t="shared" si="42"/>
        <v>1.0899999999999999</v>
      </c>
      <c r="R493" s="14">
        <f t="shared" si="33"/>
        <v>3.2699999999999996</v>
      </c>
      <c r="S493" s="14">
        <f t="shared" si="34"/>
        <v>2.4300000000000006</v>
      </c>
      <c r="T493" s="15">
        <f t="shared" si="38"/>
        <v>2.4300000000000006</v>
      </c>
      <c r="U493" s="39" t="s">
        <v>34</v>
      </c>
      <c r="V493" s="1">
        <v>1311.3</v>
      </c>
      <c r="X493" s="1">
        <f t="shared" si="39"/>
        <v>225226.50000000006</v>
      </c>
      <c r="Y493" s="1">
        <f t="shared" si="41"/>
        <v>5245.4</v>
      </c>
      <c r="Z493" s="39" t="s">
        <v>35</v>
      </c>
      <c r="AA493" s="1">
        <v>14.212458375432499</v>
      </c>
    </row>
    <row r="494" spans="1:27" s="1" customFormat="1" x14ac:dyDescent="0.25">
      <c r="A494" s="72"/>
      <c r="B494" s="3"/>
      <c r="C494" s="8">
        <v>40667</v>
      </c>
      <c r="D494" s="1">
        <v>16.7</v>
      </c>
      <c r="E494" s="1">
        <v>12.8</v>
      </c>
      <c r="F494" s="1">
        <v>20.9</v>
      </c>
      <c r="G494" s="1">
        <f t="shared" si="35"/>
        <v>2426.8999999999996</v>
      </c>
      <c r="H494" s="1">
        <f t="shared" si="40"/>
        <v>68.7</v>
      </c>
      <c r="I494" s="1">
        <f>MAX(F491:F507)</f>
        <v>27.9</v>
      </c>
      <c r="J494" s="1">
        <v>0</v>
      </c>
      <c r="K494" s="1">
        <f t="shared" si="36"/>
        <v>339.19999999999982</v>
      </c>
      <c r="L494" s="1">
        <v>3.9</v>
      </c>
      <c r="M494" s="1">
        <f t="shared" si="37"/>
        <v>458.29999999999984</v>
      </c>
      <c r="N494" s="1">
        <v>-3.9</v>
      </c>
      <c r="O494" s="1">
        <v>0</v>
      </c>
      <c r="P494" s="6">
        <v>239</v>
      </c>
      <c r="Q494" s="1">
        <f t="shared" si="42"/>
        <v>1.0699999999999998</v>
      </c>
      <c r="R494" s="14">
        <f t="shared" si="33"/>
        <v>4.1729999999999992</v>
      </c>
      <c r="S494" s="14">
        <f t="shared" si="34"/>
        <v>-4.1729999999999992</v>
      </c>
      <c r="T494" s="15">
        <v>0</v>
      </c>
      <c r="U494" s="1">
        <v>13</v>
      </c>
      <c r="V494" s="1">
        <v>1985.8</v>
      </c>
      <c r="X494" s="1">
        <f t="shared" si="39"/>
        <v>227212.30000000005</v>
      </c>
      <c r="Y494" s="1">
        <f t="shared" si="41"/>
        <v>7231.2</v>
      </c>
      <c r="Z494" s="16">
        <f>(Z492/100)/I504</f>
        <v>1.1267112561174553</v>
      </c>
      <c r="AA494" s="1">
        <v>14.255194518843499</v>
      </c>
    </row>
    <row r="495" spans="1:27" s="1" customFormat="1" x14ac:dyDescent="0.25">
      <c r="A495" s="72"/>
      <c r="B495" s="3"/>
      <c r="C495" s="8">
        <v>40668</v>
      </c>
      <c r="D495" s="1">
        <v>17.7</v>
      </c>
      <c r="E495" s="1">
        <v>10.5</v>
      </c>
      <c r="F495" s="1">
        <v>23.7</v>
      </c>
      <c r="G495" s="1">
        <f t="shared" si="35"/>
        <v>2444.5999999999995</v>
      </c>
      <c r="H495" s="1">
        <f t="shared" si="40"/>
        <v>86.4</v>
      </c>
      <c r="I495" s="39" t="s">
        <v>36</v>
      </c>
      <c r="J495" s="1">
        <v>0</v>
      </c>
      <c r="K495" s="1">
        <f t="shared" si="36"/>
        <v>339.19999999999982</v>
      </c>
      <c r="L495" s="1">
        <v>4.5999999999999996</v>
      </c>
      <c r="M495" s="1">
        <f t="shared" si="37"/>
        <v>462.89999999999986</v>
      </c>
      <c r="N495" s="1">
        <v>-4.5999999999999996</v>
      </c>
      <c r="O495" s="1">
        <v>0</v>
      </c>
      <c r="P495" s="6">
        <v>240</v>
      </c>
      <c r="Q495" s="1">
        <f t="shared" si="42"/>
        <v>1.0499999999999998</v>
      </c>
      <c r="R495" s="14">
        <f t="shared" si="33"/>
        <v>4.8299999999999992</v>
      </c>
      <c r="S495" s="14">
        <f t="shared" si="34"/>
        <v>-4.8299999999999992</v>
      </c>
      <c r="T495" s="15">
        <v>0</v>
      </c>
      <c r="U495" s="39" t="s">
        <v>37</v>
      </c>
      <c r="V495" s="1">
        <v>2298.3000000000002</v>
      </c>
      <c r="X495" s="1">
        <f t="shared" si="39"/>
        <v>229510.60000000003</v>
      </c>
      <c r="Y495" s="1">
        <f t="shared" si="41"/>
        <v>9529.5</v>
      </c>
      <c r="Z495" s="39" t="s">
        <v>38</v>
      </c>
      <c r="AA495" s="1">
        <v>14.297500122982701</v>
      </c>
    </row>
    <row r="496" spans="1:27" s="1" customFormat="1" x14ac:dyDescent="0.25">
      <c r="A496" s="72"/>
      <c r="B496" s="3"/>
      <c r="C496" s="8">
        <v>40669</v>
      </c>
      <c r="D496" s="1">
        <v>18.600000000000001</v>
      </c>
      <c r="E496" s="1">
        <v>15.7</v>
      </c>
      <c r="F496" s="1">
        <v>22.5</v>
      </c>
      <c r="G496" s="1">
        <f t="shared" si="35"/>
        <v>2463.1999999999994</v>
      </c>
      <c r="H496" s="1">
        <f t="shared" si="40"/>
        <v>105</v>
      </c>
      <c r="I496" s="14">
        <f>AVERAGE(D491:D507)</f>
        <v>18.029411764705884</v>
      </c>
      <c r="J496" s="1">
        <v>0</v>
      </c>
      <c r="K496" s="1">
        <f t="shared" si="36"/>
        <v>339.19999999999982</v>
      </c>
      <c r="L496" s="1">
        <v>5.6</v>
      </c>
      <c r="M496" s="1">
        <f t="shared" si="37"/>
        <v>468.49999999999989</v>
      </c>
      <c r="N496" s="1">
        <v>-5.6</v>
      </c>
      <c r="O496" s="1">
        <v>0</v>
      </c>
      <c r="P496" s="6">
        <v>241</v>
      </c>
      <c r="Q496" s="1">
        <f t="shared" si="42"/>
        <v>1.03</v>
      </c>
      <c r="R496" s="14">
        <f t="shared" si="33"/>
        <v>5.7679999999999998</v>
      </c>
      <c r="S496" s="14">
        <f t="shared" si="34"/>
        <v>-5.7679999999999998</v>
      </c>
      <c r="T496" s="15">
        <v>0</v>
      </c>
      <c r="U496" s="29">
        <v>4</v>
      </c>
      <c r="V496" s="1">
        <v>2426.6</v>
      </c>
      <c r="X496" s="1">
        <f t="shared" si="39"/>
        <v>231937.20000000004</v>
      </c>
      <c r="Y496" s="1">
        <f t="shared" si="41"/>
        <v>11956.1</v>
      </c>
      <c r="Z496" s="1">
        <v>1</v>
      </c>
      <c r="AA496" s="1">
        <v>14.3393587090866</v>
      </c>
    </row>
    <row r="497" spans="1:27" s="1" customFormat="1" x14ac:dyDescent="0.25">
      <c r="A497" s="72"/>
      <c r="B497" s="3"/>
      <c r="C497" s="8">
        <v>40670</v>
      </c>
      <c r="D497" s="1">
        <v>16.899999999999999</v>
      </c>
      <c r="E497" s="1">
        <v>16.100000000000001</v>
      </c>
      <c r="F497" s="1">
        <v>17.7</v>
      </c>
      <c r="G497" s="1">
        <f t="shared" si="35"/>
        <v>2480.0999999999995</v>
      </c>
      <c r="H497" s="1">
        <f t="shared" si="40"/>
        <v>121.9</v>
      </c>
      <c r="I497" s="39" t="s">
        <v>39</v>
      </c>
      <c r="J497" s="1">
        <v>0</v>
      </c>
      <c r="K497" s="1">
        <f t="shared" si="36"/>
        <v>339.19999999999982</v>
      </c>
      <c r="L497" s="1">
        <v>2.9</v>
      </c>
      <c r="M497" s="1">
        <f t="shared" si="37"/>
        <v>471.39999999999986</v>
      </c>
      <c r="N497" s="1">
        <v>-2.9</v>
      </c>
      <c r="O497" s="1">
        <v>0</v>
      </c>
      <c r="P497" s="6">
        <v>242</v>
      </c>
      <c r="Q497" s="1">
        <f t="shared" si="42"/>
        <v>1.01</v>
      </c>
      <c r="R497" s="14">
        <f t="shared" si="33"/>
        <v>2.9289999999999998</v>
      </c>
      <c r="S497" s="14">
        <f t="shared" si="34"/>
        <v>-2.9289999999999998</v>
      </c>
      <c r="T497" s="15">
        <v>0</v>
      </c>
      <c r="U497" s="39" t="s">
        <v>40</v>
      </c>
      <c r="V497" s="1">
        <v>904.6</v>
      </c>
      <c r="X497" s="1">
        <f t="shared" si="39"/>
        <v>232841.80000000005</v>
      </c>
      <c r="Y497" s="1">
        <f t="shared" si="41"/>
        <v>12860.7</v>
      </c>
      <c r="AA497" s="1">
        <v>14.380753437543699</v>
      </c>
    </row>
    <row r="498" spans="1:27" s="29" customFormat="1" x14ac:dyDescent="0.25">
      <c r="A498" s="72"/>
      <c r="B498" s="27"/>
      <c r="C498" s="28">
        <v>40671</v>
      </c>
      <c r="D498" s="29">
        <v>19.5</v>
      </c>
      <c r="E498" s="29">
        <v>15.8</v>
      </c>
      <c r="F498" s="29">
        <v>24</v>
      </c>
      <c r="G498" s="29">
        <f t="shared" si="35"/>
        <v>2499.5999999999995</v>
      </c>
      <c r="H498" s="29">
        <f t="shared" si="40"/>
        <v>141.4</v>
      </c>
      <c r="I498" s="29">
        <v>0</v>
      </c>
      <c r="J498" s="29">
        <v>0</v>
      </c>
      <c r="K498" s="29">
        <f t="shared" si="36"/>
        <v>339.19999999999982</v>
      </c>
      <c r="L498" s="29">
        <v>5.0999999999999996</v>
      </c>
      <c r="M498" s="29">
        <f t="shared" si="37"/>
        <v>476.49999999999989</v>
      </c>
      <c r="N498" s="29">
        <v>-5.0999999999999996</v>
      </c>
      <c r="O498" s="29">
        <v>0</v>
      </c>
      <c r="P498" s="30">
        <v>243</v>
      </c>
      <c r="Q498" s="1">
        <f t="shared" si="42"/>
        <v>0.98999999999999988</v>
      </c>
      <c r="R498" s="31">
        <f t="shared" si="33"/>
        <v>5.0489999999999986</v>
      </c>
      <c r="S498" s="14">
        <f t="shared" si="34"/>
        <v>-5.0489999999999986</v>
      </c>
      <c r="T498" s="15">
        <v>0</v>
      </c>
      <c r="U498" s="1">
        <v>0</v>
      </c>
      <c r="V498" s="29">
        <v>2496.4</v>
      </c>
      <c r="W498" s="29">
        <f>(Y498/100)/H498</f>
        <v>1.0860749646393211</v>
      </c>
      <c r="X498" s="29">
        <f t="shared" si="39"/>
        <v>235338.20000000004</v>
      </c>
      <c r="Y498" s="1">
        <f t="shared" si="41"/>
        <v>15357.1</v>
      </c>
      <c r="AA498" s="29">
        <v>14.421667116414101</v>
      </c>
    </row>
    <row r="499" spans="1:27" s="1" customFormat="1" ht="15" customHeight="1" x14ac:dyDescent="0.25">
      <c r="A499" s="72"/>
      <c r="B499" s="3"/>
      <c r="C499" s="8">
        <v>40672</v>
      </c>
      <c r="D499" s="1">
        <v>19.7</v>
      </c>
      <c r="E499" s="1">
        <v>13.6</v>
      </c>
      <c r="F499" s="1">
        <v>27.7</v>
      </c>
      <c r="G499" s="1">
        <f t="shared" si="35"/>
        <v>2519.2999999999993</v>
      </c>
      <c r="H499" s="1">
        <f t="shared" si="40"/>
        <v>161.1</v>
      </c>
      <c r="I499" s="39" t="s">
        <v>41</v>
      </c>
      <c r="J499" s="1">
        <v>0</v>
      </c>
      <c r="K499" s="1">
        <f t="shared" si="36"/>
        <v>339.19999999999982</v>
      </c>
      <c r="L499" s="1">
        <v>5.6</v>
      </c>
      <c r="M499" s="1">
        <f t="shared" si="37"/>
        <v>482.09999999999991</v>
      </c>
      <c r="N499" s="1">
        <v>-5.6</v>
      </c>
      <c r="O499" s="1">
        <v>0</v>
      </c>
      <c r="P499" s="6">
        <v>244</v>
      </c>
      <c r="Q499" s="1">
        <f t="shared" si="42"/>
        <v>0.97</v>
      </c>
      <c r="R499" s="14">
        <f t="shared" si="33"/>
        <v>5.4319999999999995</v>
      </c>
      <c r="S499" s="14">
        <f t="shared" si="34"/>
        <v>-5.4319999999999995</v>
      </c>
      <c r="T499" s="15">
        <v>0</v>
      </c>
      <c r="U499" s="39" t="s">
        <v>42</v>
      </c>
      <c r="V499" s="1">
        <v>2480.6999999999998</v>
      </c>
      <c r="X499" s="1">
        <f t="shared" si="39"/>
        <v>237818.90000000005</v>
      </c>
      <c r="Y499" s="1">
        <f t="shared" si="41"/>
        <v>17837.8</v>
      </c>
      <c r="AA499" s="1">
        <v>14.462082211520199</v>
      </c>
    </row>
    <row r="500" spans="1:27" s="1" customFormat="1" x14ac:dyDescent="0.25">
      <c r="A500" s="72"/>
      <c r="B500" s="3"/>
      <c r="C500" s="8">
        <v>40673</v>
      </c>
      <c r="D500" s="1">
        <v>19.399999999999999</v>
      </c>
      <c r="E500" s="1">
        <v>15</v>
      </c>
      <c r="F500" s="1">
        <v>23.4</v>
      </c>
      <c r="G500" s="1">
        <f t="shared" si="35"/>
        <v>2538.6999999999994</v>
      </c>
      <c r="H500" s="1">
        <f t="shared" si="40"/>
        <v>180.5</v>
      </c>
      <c r="I500" s="1">
        <v>4</v>
      </c>
      <c r="J500" s="1">
        <v>0</v>
      </c>
      <c r="K500" s="1">
        <f t="shared" si="36"/>
        <v>339.19999999999982</v>
      </c>
      <c r="L500" s="1">
        <v>4.7</v>
      </c>
      <c r="M500" s="1">
        <f t="shared" si="37"/>
        <v>486.7999999999999</v>
      </c>
      <c r="N500" s="1">
        <v>-4.7</v>
      </c>
      <c r="O500" s="1">
        <v>0</v>
      </c>
      <c r="P500" s="6">
        <v>245</v>
      </c>
      <c r="Q500" s="1">
        <f t="shared" si="42"/>
        <v>0.95</v>
      </c>
      <c r="R500" s="14">
        <f t="shared" si="33"/>
        <v>4.4649999999999999</v>
      </c>
      <c r="S500" s="14">
        <f t="shared" si="34"/>
        <v>-4.4649999999999999</v>
      </c>
      <c r="T500" s="15">
        <v>0</v>
      </c>
      <c r="U500" s="14">
        <f>MAX(T491:T507)</f>
        <v>8.9469999999999992</v>
      </c>
      <c r="V500" s="1">
        <v>2199.4</v>
      </c>
      <c r="X500" s="1">
        <f t="shared" si="39"/>
        <v>240018.30000000005</v>
      </c>
      <c r="Y500" s="1">
        <f t="shared" si="41"/>
        <v>20037.2</v>
      </c>
      <c r="AA500" s="1">
        <v>14.5019808581661</v>
      </c>
    </row>
    <row r="501" spans="1:27" s="1" customFormat="1" x14ac:dyDescent="0.25">
      <c r="A501" s="72"/>
      <c r="B501" s="3"/>
      <c r="C501" s="8">
        <v>40674</v>
      </c>
      <c r="D501" s="1">
        <v>21.1</v>
      </c>
      <c r="E501" s="1">
        <v>13.8</v>
      </c>
      <c r="F501" s="1">
        <v>27.9</v>
      </c>
      <c r="G501" s="1">
        <f t="shared" si="35"/>
        <v>2559.7999999999993</v>
      </c>
      <c r="H501" s="1">
        <f t="shared" si="40"/>
        <v>201.6</v>
      </c>
      <c r="I501" s="39" t="s">
        <v>43</v>
      </c>
      <c r="J501" s="1">
        <v>0</v>
      </c>
      <c r="K501" s="1">
        <f t="shared" si="36"/>
        <v>339.19999999999982</v>
      </c>
      <c r="L501" s="1">
        <v>4.9000000000000004</v>
      </c>
      <c r="M501" s="1">
        <f t="shared" si="37"/>
        <v>491.69999999999987</v>
      </c>
      <c r="N501" s="1">
        <v>-4.9000000000000004</v>
      </c>
      <c r="O501" s="1">
        <v>0</v>
      </c>
      <c r="P501" s="6">
        <v>246</v>
      </c>
      <c r="Q501" s="1">
        <f t="shared" si="42"/>
        <v>0.92999999999999994</v>
      </c>
      <c r="R501" s="14">
        <f t="shared" si="33"/>
        <v>4.5570000000000004</v>
      </c>
      <c r="S501" s="14">
        <f t="shared" si="34"/>
        <v>-4.5570000000000004</v>
      </c>
      <c r="T501" s="15">
        <v>0</v>
      </c>
      <c r="U501" s="39" t="s">
        <v>44</v>
      </c>
      <c r="V501" s="1">
        <v>2249.9</v>
      </c>
      <c r="X501" s="1">
        <f t="shared" si="39"/>
        <v>242268.20000000004</v>
      </c>
      <c r="Y501" s="1">
        <f t="shared" si="41"/>
        <v>22287.100000000002</v>
      </c>
      <c r="AA501" s="1">
        <v>14.541344874540799</v>
      </c>
    </row>
    <row r="502" spans="1:27" s="1" customFormat="1" x14ac:dyDescent="0.25">
      <c r="A502" s="72"/>
      <c r="B502" s="3"/>
      <c r="C502" s="8">
        <v>40675</v>
      </c>
      <c r="D502" s="1">
        <v>19</v>
      </c>
      <c r="E502" s="1">
        <v>17.399999999999999</v>
      </c>
      <c r="F502" s="1">
        <v>20.8</v>
      </c>
      <c r="G502" s="1">
        <f t="shared" si="35"/>
        <v>2578.7999999999993</v>
      </c>
      <c r="H502" s="1">
        <f t="shared" si="40"/>
        <v>220.6</v>
      </c>
      <c r="I502" s="1">
        <v>0</v>
      </c>
      <c r="J502" s="1">
        <v>0.1</v>
      </c>
      <c r="K502" s="1">
        <f t="shared" si="36"/>
        <v>339.29999999999984</v>
      </c>
      <c r="L502" s="1">
        <v>2.5</v>
      </c>
      <c r="M502" s="1">
        <f t="shared" si="37"/>
        <v>494.19999999999987</v>
      </c>
      <c r="N502" s="1">
        <v>-2.4</v>
      </c>
      <c r="O502" s="1">
        <v>0</v>
      </c>
      <c r="P502" s="6">
        <v>247</v>
      </c>
      <c r="Q502" s="1">
        <f t="shared" si="42"/>
        <v>0.90999999999999992</v>
      </c>
      <c r="R502" s="14">
        <f t="shared" si="33"/>
        <v>2.2749999999999999</v>
      </c>
      <c r="S502" s="14">
        <f t="shared" si="34"/>
        <v>-2.1749999999999998</v>
      </c>
      <c r="T502" s="15">
        <v>0</v>
      </c>
      <c r="U502" s="16">
        <f>AVERAGE(T491:T507)</f>
        <v>0.95817647058823519</v>
      </c>
      <c r="V502" s="1">
        <v>991.4</v>
      </c>
      <c r="X502" s="1">
        <f t="shared" si="39"/>
        <v>243259.60000000003</v>
      </c>
      <c r="Y502" s="1">
        <f t="shared" si="41"/>
        <v>23278.500000000004</v>
      </c>
      <c r="AA502" s="1">
        <v>14.580155776856</v>
      </c>
    </row>
    <row r="503" spans="1:27" s="1" customFormat="1" x14ac:dyDescent="0.25">
      <c r="A503" s="72"/>
      <c r="B503" s="3"/>
      <c r="C503" s="8">
        <v>40676</v>
      </c>
      <c r="D503" s="1">
        <v>21.3</v>
      </c>
      <c r="E503" s="1">
        <v>17.399999999999999</v>
      </c>
      <c r="F503" s="1">
        <v>26.2</v>
      </c>
      <c r="G503" s="1">
        <f t="shared" si="35"/>
        <v>2600.0999999999995</v>
      </c>
      <c r="H503" s="1">
        <f t="shared" si="40"/>
        <v>241.9</v>
      </c>
      <c r="I503" s="39" t="s">
        <v>45</v>
      </c>
      <c r="J503" s="1">
        <v>0</v>
      </c>
      <c r="K503" s="1">
        <f t="shared" si="36"/>
        <v>339.29999999999984</v>
      </c>
      <c r="L503" s="1">
        <v>4.2</v>
      </c>
      <c r="M503" s="1">
        <f t="shared" si="37"/>
        <v>498.39999999999986</v>
      </c>
      <c r="N503" s="1">
        <v>-4.2</v>
      </c>
      <c r="O503" s="1">
        <v>0</v>
      </c>
      <c r="P503" s="6">
        <v>248</v>
      </c>
      <c r="Q503" s="1">
        <f t="shared" si="42"/>
        <v>0.8899999999999999</v>
      </c>
      <c r="R503" s="14">
        <f t="shared" si="33"/>
        <v>3.7379999999999995</v>
      </c>
      <c r="S503" s="14">
        <f t="shared" si="34"/>
        <v>-3.7379999999999995</v>
      </c>
      <c r="T503" s="15">
        <v>0</v>
      </c>
      <c r="V503" s="1">
        <v>1876.9</v>
      </c>
      <c r="X503" s="1">
        <f t="shared" si="39"/>
        <v>245136.50000000003</v>
      </c>
      <c r="Y503" s="1">
        <f t="shared" si="41"/>
        <v>25155.400000000005</v>
      </c>
      <c r="AA503" s="1">
        <v>14.6183947962635</v>
      </c>
    </row>
    <row r="504" spans="1:27" s="1" customFormat="1" x14ac:dyDescent="0.25">
      <c r="A504" s="72"/>
      <c r="B504" s="3"/>
      <c r="C504" s="8">
        <v>40677</v>
      </c>
      <c r="D504" s="1">
        <v>15.2</v>
      </c>
      <c r="E504" s="1">
        <v>14.8</v>
      </c>
      <c r="F504" s="1">
        <v>16.8</v>
      </c>
      <c r="G504" s="1">
        <f t="shared" si="35"/>
        <v>2615.2999999999993</v>
      </c>
      <c r="H504" s="1">
        <f t="shared" si="40"/>
        <v>257.10000000000002</v>
      </c>
      <c r="I504" s="1">
        <v>306.5</v>
      </c>
      <c r="J504" s="1">
        <v>10.6</v>
      </c>
      <c r="K504" s="1">
        <f t="shared" si="36"/>
        <v>349.89999999999986</v>
      </c>
      <c r="L504" s="1">
        <v>1.9</v>
      </c>
      <c r="M504" s="1">
        <f t="shared" si="37"/>
        <v>500.29999999999984</v>
      </c>
      <c r="N504" s="1">
        <v>8.6999999999999993</v>
      </c>
      <c r="O504" s="1">
        <f>O503+N504</f>
        <v>8.6999999999999993</v>
      </c>
      <c r="P504" s="6">
        <v>249</v>
      </c>
      <c r="Q504" s="1">
        <f t="shared" si="42"/>
        <v>0.86999999999999988</v>
      </c>
      <c r="R504" s="14">
        <f t="shared" si="33"/>
        <v>1.6529999999999998</v>
      </c>
      <c r="S504" s="14">
        <f t="shared" si="34"/>
        <v>8.9469999999999992</v>
      </c>
      <c r="T504" s="15">
        <f t="shared" si="38"/>
        <v>8.9469999999999992</v>
      </c>
      <c r="U504" s="14">
        <f>(U502*100)/122.1</f>
        <v>0.78474731415907883</v>
      </c>
      <c r="V504" s="1">
        <v>723.5</v>
      </c>
      <c r="X504" s="1">
        <f t="shared" si="39"/>
        <v>245860.00000000003</v>
      </c>
      <c r="Y504" s="1">
        <f t="shared" si="41"/>
        <v>25878.900000000005</v>
      </c>
      <c r="AA504" s="1">
        <v>14.6560428975923</v>
      </c>
    </row>
    <row r="505" spans="1:27" s="1" customFormat="1" x14ac:dyDescent="0.25">
      <c r="A505" s="72"/>
      <c r="B505" s="3"/>
      <c r="C505" s="8">
        <v>40678</v>
      </c>
      <c r="D505" s="1">
        <v>14.7</v>
      </c>
      <c r="E505" s="1">
        <v>11.5</v>
      </c>
      <c r="F505" s="1">
        <v>18.399999999999999</v>
      </c>
      <c r="G505" s="1">
        <f t="shared" si="35"/>
        <v>2629.9999999999991</v>
      </c>
      <c r="H505" s="1">
        <f t="shared" si="40"/>
        <v>271.8</v>
      </c>
      <c r="J505" s="1">
        <v>0</v>
      </c>
      <c r="K505" s="1">
        <f t="shared" si="36"/>
        <v>349.89999999999986</v>
      </c>
      <c r="L505" s="1">
        <v>5</v>
      </c>
      <c r="M505" s="1">
        <f t="shared" si="37"/>
        <v>505.29999999999984</v>
      </c>
      <c r="N505" s="1">
        <v>-5</v>
      </c>
      <c r="O505" s="1">
        <f>O504+N505</f>
        <v>3.6999999999999993</v>
      </c>
      <c r="P505" s="6">
        <v>250</v>
      </c>
      <c r="Q505" s="1">
        <f t="shared" si="42"/>
        <v>0.84999999999999987</v>
      </c>
      <c r="R505" s="14">
        <f t="shared" si="33"/>
        <v>4.2499999999999991</v>
      </c>
      <c r="S505" s="14">
        <f t="shared" si="34"/>
        <v>-4.2499999999999991</v>
      </c>
      <c r="T505" s="15">
        <f t="shared" si="38"/>
        <v>4.6970000000000001</v>
      </c>
      <c r="V505" s="1">
        <v>2464.1999999999998</v>
      </c>
      <c r="X505" s="1">
        <f t="shared" si="39"/>
        <v>248324.20000000004</v>
      </c>
      <c r="Y505" s="1">
        <f t="shared" si="41"/>
        <v>28343.100000000006</v>
      </c>
      <c r="AA505" s="1">
        <v>14.693080799939301</v>
      </c>
    </row>
    <row r="506" spans="1:27" s="1" customFormat="1" x14ac:dyDescent="0.25">
      <c r="A506" s="72"/>
      <c r="B506" s="3"/>
      <c r="C506" s="8">
        <v>40679</v>
      </c>
      <c r="D506" s="1">
        <v>15.9</v>
      </c>
      <c r="E506" s="1">
        <v>10</v>
      </c>
      <c r="F506" s="1">
        <v>21.7</v>
      </c>
      <c r="G506" s="1">
        <f t="shared" si="35"/>
        <v>2645.8999999999992</v>
      </c>
      <c r="H506" s="1">
        <f t="shared" si="40"/>
        <v>287.7</v>
      </c>
      <c r="J506" s="1">
        <v>0</v>
      </c>
      <c r="K506" s="1">
        <f t="shared" si="36"/>
        <v>349.89999999999986</v>
      </c>
      <c r="L506" s="1">
        <v>5.4</v>
      </c>
      <c r="M506" s="1">
        <f t="shared" si="37"/>
        <v>510.69999999999982</v>
      </c>
      <c r="N506" s="1">
        <v>-5.4</v>
      </c>
      <c r="O506" s="1">
        <v>0</v>
      </c>
      <c r="P506" s="6">
        <v>251</v>
      </c>
      <c r="Q506" s="1">
        <f t="shared" si="42"/>
        <v>0.82999999999999985</v>
      </c>
      <c r="R506" s="14">
        <f t="shared" si="33"/>
        <v>4.4819999999999993</v>
      </c>
      <c r="S506" s="14">
        <f t="shared" si="34"/>
        <v>-4.4819999999999993</v>
      </c>
      <c r="T506" s="15">
        <f t="shared" si="38"/>
        <v>0.21500000000000075</v>
      </c>
      <c r="V506" s="1">
        <v>3100.2</v>
      </c>
      <c r="X506" s="1">
        <f t="shared" si="39"/>
        <v>251424.40000000005</v>
      </c>
      <c r="Y506" s="1">
        <f t="shared" si="41"/>
        <v>31443.300000000007</v>
      </c>
      <c r="AA506" s="1">
        <v>14.7294889991378</v>
      </c>
    </row>
    <row r="507" spans="1:27" s="45" customFormat="1" ht="15.75" thickBot="1" x14ac:dyDescent="0.3">
      <c r="A507" s="72"/>
      <c r="B507" s="43">
        <v>600</v>
      </c>
      <c r="C507" s="44">
        <v>40680</v>
      </c>
      <c r="D507" s="45">
        <v>18.8</v>
      </c>
      <c r="E507" s="45">
        <v>11.5</v>
      </c>
      <c r="F507" s="45">
        <v>25.8</v>
      </c>
      <c r="G507" s="45">
        <f t="shared" si="35"/>
        <v>2664.6999999999994</v>
      </c>
      <c r="H507" s="45">
        <f t="shared" si="40"/>
        <v>306.5</v>
      </c>
      <c r="J507" s="45">
        <v>0</v>
      </c>
      <c r="K507" s="45">
        <f t="shared" si="36"/>
        <v>349.89999999999986</v>
      </c>
      <c r="L507" s="45">
        <v>5.9</v>
      </c>
      <c r="M507" s="45">
        <f t="shared" si="37"/>
        <v>516.5999999999998</v>
      </c>
      <c r="N507" s="45">
        <v>-5.9</v>
      </c>
      <c r="O507" s="45">
        <v>0</v>
      </c>
      <c r="P507" s="46">
        <v>252</v>
      </c>
      <c r="Q507" s="45">
        <f t="shared" si="42"/>
        <v>0.80999999999999994</v>
      </c>
      <c r="R507" s="48">
        <f t="shared" si="33"/>
        <v>4.7789999999999999</v>
      </c>
      <c r="S507" s="48">
        <f t="shared" si="34"/>
        <v>-4.7789999999999999</v>
      </c>
      <c r="T507" s="49">
        <v>0</v>
      </c>
      <c r="V507" s="45">
        <v>3090.4</v>
      </c>
      <c r="X507" s="45">
        <f t="shared" si="39"/>
        <v>254514.80000000005</v>
      </c>
      <c r="Y507" s="45">
        <f t="shared" si="41"/>
        <v>34533.700000000004</v>
      </c>
      <c r="AA507" s="45">
        <v>14.765247792122301</v>
      </c>
    </row>
    <row r="508" spans="1:27" s="1" customFormat="1" x14ac:dyDescent="0.25">
      <c r="A508" s="65">
        <v>1000</v>
      </c>
      <c r="B508" s="3"/>
      <c r="C508" s="8">
        <v>40681</v>
      </c>
      <c r="D508" s="1">
        <v>20.100000000000001</v>
      </c>
      <c r="E508" s="1">
        <v>13.6</v>
      </c>
      <c r="F508" s="1">
        <v>27.4</v>
      </c>
      <c r="G508" s="1">
        <f t="shared" si="35"/>
        <v>2684.7999999999993</v>
      </c>
      <c r="H508" s="1">
        <v>20.100000000000001</v>
      </c>
      <c r="I508" s="40" t="s">
        <v>30</v>
      </c>
      <c r="J508" s="1">
        <v>0</v>
      </c>
      <c r="K508" s="1">
        <f t="shared" si="36"/>
        <v>349.89999999999986</v>
      </c>
      <c r="L508" s="1">
        <v>6.4</v>
      </c>
      <c r="M508" s="1">
        <f t="shared" si="37"/>
        <v>522.99999999999977</v>
      </c>
      <c r="N508" s="1">
        <v>-6.4</v>
      </c>
      <c r="O508" s="1">
        <v>0</v>
      </c>
      <c r="P508" s="6">
        <v>253</v>
      </c>
      <c r="Q508" s="1">
        <f t="shared" si="42"/>
        <v>0.78999999999999992</v>
      </c>
      <c r="R508" s="14">
        <f t="shared" si="33"/>
        <v>5.056</v>
      </c>
      <c r="S508" s="14">
        <f t="shared" si="34"/>
        <v>-5.056</v>
      </c>
      <c r="T508" s="15">
        <v>0</v>
      </c>
      <c r="U508" s="40" t="s">
        <v>31</v>
      </c>
      <c r="V508" s="1">
        <v>2663</v>
      </c>
      <c r="X508" s="1">
        <f t="shared" si="39"/>
        <v>257177.80000000005</v>
      </c>
      <c r="Y508" s="1">
        <v>2663</v>
      </c>
      <c r="Z508" s="40" t="s">
        <v>32</v>
      </c>
      <c r="AA508" s="1">
        <v>14.800337303197701</v>
      </c>
    </row>
    <row r="509" spans="1:27" s="1" customFormat="1" x14ac:dyDescent="0.25">
      <c r="A509" s="65"/>
      <c r="B509" s="3"/>
      <c r="C509" s="8">
        <v>40682</v>
      </c>
      <c r="D509" s="1">
        <v>19.3</v>
      </c>
      <c r="E509" s="1">
        <v>14.8</v>
      </c>
      <c r="F509" s="1">
        <v>26.3</v>
      </c>
      <c r="G509" s="1">
        <f t="shared" si="35"/>
        <v>2704.0999999999995</v>
      </c>
      <c r="H509" s="1">
        <f t="shared" si="40"/>
        <v>39.400000000000006</v>
      </c>
      <c r="I509" s="1">
        <f>MIN(E508:E529)</f>
        <v>11.1</v>
      </c>
      <c r="J509" s="1">
        <v>0</v>
      </c>
      <c r="K509" s="1">
        <f t="shared" si="36"/>
        <v>349.89999999999986</v>
      </c>
      <c r="L509" s="1">
        <v>4.3</v>
      </c>
      <c r="M509" s="1">
        <f t="shared" si="37"/>
        <v>527.29999999999973</v>
      </c>
      <c r="N509" s="1">
        <v>-4.3</v>
      </c>
      <c r="O509" s="1">
        <v>0</v>
      </c>
      <c r="P509" s="6">
        <v>254</v>
      </c>
      <c r="Q509" s="1">
        <f t="shared" si="42"/>
        <v>0.77</v>
      </c>
      <c r="R509" s="14">
        <f t="shared" si="33"/>
        <v>3.3109999999999999</v>
      </c>
      <c r="S509" s="14">
        <f t="shared" si="34"/>
        <v>-3.3109999999999999</v>
      </c>
      <c r="T509" s="15">
        <v>0</v>
      </c>
      <c r="U509" s="1">
        <v>16</v>
      </c>
      <c r="V509" s="1">
        <v>1779.3</v>
      </c>
      <c r="X509" s="1">
        <f t="shared" si="39"/>
        <v>258957.10000000003</v>
      </c>
      <c r="Y509" s="1">
        <f t="shared" si="41"/>
        <v>4442.3</v>
      </c>
      <c r="Z509" s="1">
        <v>41129.30000000001</v>
      </c>
      <c r="AA509" s="1">
        <v>14.834737512209999</v>
      </c>
    </row>
    <row r="510" spans="1:27" s="1" customFormat="1" x14ac:dyDescent="0.25">
      <c r="A510" s="65"/>
      <c r="B510" s="3"/>
      <c r="C510" s="8">
        <v>40683</v>
      </c>
      <c r="D510" s="1">
        <v>20.3</v>
      </c>
      <c r="E510" s="1">
        <v>13.3</v>
      </c>
      <c r="F510" s="1">
        <v>25.9</v>
      </c>
      <c r="G510" s="1">
        <f t="shared" si="35"/>
        <v>2724.3999999999996</v>
      </c>
      <c r="H510" s="1">
        <f t="shared" si="40"/>
        <v>59.7</v>
      </c>
      <c r="I510" s="40" t="s">
        <v>33</v>
      </c>
      <c r="J510" s="1">
        <v>0</v>
      </c>
      <c r="K510" s="1">
        <f t="shared" si="36"/>
        <v>349.89999999999986</v>
      </c>
      <c r="L510" s="1">
        <v>4.7</v>
      </c>
      <c r="M510" s="1">
        <f t="shared" si="37"/>
        <v>531.99999999999977</v>
      </c>
      <c r="N510" s="1">
        <v>-4.7</v>
      </c>
      <c r="O510" s="1">
        <v>0</v>
      </c>
      <c r="P510" s="6">
        <v>255</v>
      </c>
      <c r="Q510" s="1">
        <f t="shared" si="42"/>
        <v>0.75</v>
      </c>
      <c r="R510" s="14">
        <f t="shared" si="33"/>
        <v>3.5250000000000004</v>
      </c>
      <c r="S510" s="14">
        <f t="shared" si="34"/>
        <v>-3.5250000000000004</v>
      </c>
      <c r="T510" s="15">
        <v>0</v>
      </c>
      <c r="U510" s="40" t="s">
        <v>34</v>
      </c>
      <c r="V510" s="1">
        <v>2336.6</v>
      </c>
      <c r="X510" s="1">
        <f t="shared" si="39"/>
        <v>261293.70000000004</v>
      </c>
      <c r="Y510" s="1">
        <f t="shared" si="41"/>
        <v>6778.9</v>
      </c>
      <c r="Z510" s="40" t="s">
        <v>35</v>
      </c>
      <c r="AA510" s="1">
        <v>14.868428284606299</v>
      </c>
    </row>
    <row r="511" spans="1:27" s="1" customFormat="1" x14ac:dyDescent="0.25">
      <c r="A511" s="65"/>
      <c r="B511" s="3"/>
      <c r="C511" s="8">
        <v>40684</v>
      </c>
      <c r="D511" s="1">
        <v>21.6</v>
      </c>
      <c r="E511" s="1">
        <v>15.7</v>
      </c>
      <c r="F511" s="1">
        <v>26.7</v>
      </c>
      <c r="G511" s="1">
        <f t="shared" si="35"/>
        <v>2745.9999999999995</v>
      </c>
      <c r="H511" s="1">
        <f t="shared" si="40"/>
        <v>81.300000000000011</v>
      </c>
      <c r="I511" s="1">
        <f>MAX(F508:F529)</f>
        <v>30.8</v>
      </c>
      <c r="J511" s="1">
        <v>0</v>
      </c>
      <c r="K511" s="1">
        <f t="shared" si="36"/>
        <v>349.89999999999986</v>
      </c>
      <c r="L511" s="1">
        <v>5.2</v>
      </c>
      <c r="M511" s="1">
        <f t="shared" si="37"/>
        <v>537.19999999999982</v>
      </c>
      <c r="N511" s="1">
        <v>-5.2</v>
      </c>
      <c r="O511" s="1">
        <v>0</v>
      </c>
      <c r="P511" s="6">
        <v>256</v>
      </c>
      <c r="Q511" s="1">
        <f t="shared" si="42"/>
        <v>0.73</v>
      </c>
      <c r="R511" s="14">
        <f t="shared" si="33"/>
        <v>3.7959999999999998</v>
      </c>
      <c r="S511" s="14">
        <f t="shared" si="34"/>
        <v>-3.7959999999999998</v>
      </c>
      <c r="T511" s="15">
        <v>0</v>
      </c>
      <c r="U511" s="1">
        <v>12</v>
      </c>
      <c r="V511" s="1">
        <v>2418.5</v>
      </c>
      <c r="X511" s="1">
        <f t="shared" si="39"/>
        <v>263712.20000000007</v>
      </c>
      <c r="Y511" s="1">
        <f t="shared" si="41"/>
        <v>9197.4</v>
      </c>
      <c r="Z511" s="16">
        <f>(Z509/100)/I521</f>
        <v>1.0090603532875371</v>
      </c>
      <c r="AA511" s="1">
        <v>14.9013894033589</v>
      </c>
    </row>
    <row r="512" spans="1:27" s="1" customFormat="1" x14ac:dyDescent="0.25">
      <c r="A512" s="65"/>
      <c r="B512" s="3"/>
      <c r="C512" s="8">
        <v>40685</v>
      </c>
      <c r="D512" s="1">
        <v>18.3</v>
      </c>
      <c r="E512" s="1">
        <v>16.7</v>
      </c>
      <c r="F512" s="1">
        <v>20.6</v>
      </c>
      <c r="G512" s="1">
        <f t="shared" si="35"/>
        <v>2764.2999999999997</v>
      </c>
      <c r="H512" s="1">
        <f t="shared" si="40"/>
        <v>99.600000000000009</v>
      </c>
      <c r="I512" s="40" t="s">
        <v>36</v>
      </c>
      <c r="J512" s="1">
        <v>0</v>
      </c>
      <c r="K512" s="1">
        <f t="shared" si="36"/>
        <v>349.89999999999986</v>
      </c>
      <c r="L512" s="1">
        <v>3</v>
      </c>
      <c r="M512" s="1">
        <f t="shared" si="37"/>
        <v>540.19999999999982</v>
      </c>
      <c r="N512" s="1">
        <v>-3</v>
      </c>
      <c r="O512" s="1">
        <v>0</v>
      </c>
      <c r="P512" s="6">
        <v>257</v>
      </c>
      <c r="Q512" s="1">
        <f t="shared" si="42"/>
        <v>0.71</v>
      </c>
      <c r="R512" s="14">
        <f t="shared" ref="R512:R530" si="43">Q512*L512</f>
        <v>2.13</v>
      </c>
      <c r="S512" s="14">
        <f t="shared" si="34"/>
        <v>-2.13</v>
      </c>
      <c r="T512" s="15">
        <v>0</v>
      </c>
      <c r="U512" s="40" t="s">
        <v>37</v>
      </c>
      <c r="V512" s="1">
        <v>1009.4</v>
      </c>
      <c r="X512" s="1">
        <f t="shared" si="39"/>
        <v>264721.60000000009</v>
      </c>
      <c r="Y512" s="1">
        <f t="shared" si="41"/>
        <v>10206.799999999999</v>
      </c>
      <c r="Z512" s="40" t="s">
        <v>38</v>
      </c>
      <c r="AA512" s="1">
        <v>14.933600602715901</v>
      </c>
    </row>
    <row r="513" spans="1:27" s="1" customFormat="1" x14ac:dyDescent="0.25">
      <c r="A513" s="65"/>
      <c r="B513" s="3"/>
      <c r="C513" s="8">
        <v>40686</v>
      </c>
      <c r="D513" s="1">
        <v>20.8</v>
      </c>
      <c r="E513" s="1">
        <v>14</v>
      </c>
      <c r="F513" s="1">
        <v>28.3</v>
      </c>
      <c r="G513" s="1">
        <f t="shared" si="35"/>
        <v>2785.1</v>
      </c>
      <c r="H513" s="1">
        <f t="shared" si="40"/>
        <v>120.4</v>
      </c>
      <c r="I513" s="14">
        <f>AVERAGE(D508:D529)</f>
        <v>18.527272727272727</v>
      </c>
      <c r="J513" s="1">
        <v>0</v>
      </c>
      <c r="K513" s="1">
        <f t="shared" si="36"/>
        <v>349.89999999999986</v>
      </c>
      <c r="L513" s="1">
        <v>6.3</v>
      </c>
      <c r="M513" s="1">
        <f t="shared" si="37"/>
        <v>546.49999999999977</v>
      </c>
      <c r="N513" s="1">
        <v>-6.3</v>
      </c>
      <c r="O513" s="1">
        <v>0</v>
      </c>
      <c r="P513" s="6">
        <v>258</v>
      </c>
      <c r="Q513" s="1">
        <f t="shared" si="42"/>
        <v>0.69</v>
      </c>
      <c r="R513" s="14">
        <f t="shared" si="43"/>
        <v>4.3469999999999995</v>
      </c>
      <c r="S513" s="14">
        <f t="shared" ref="S513:S530" si="44">J513-R513</f>
        <v>-4.3469999999999995</v>
      </c>
      <c r="T513" s="15">
        <v>0</v>
      </c>
      <c r="U513" s="1">
        <v>10</v>
      </c>
      <c r="V513" s="1">
        <v>3001.2</v>
      </c>
      <c r="X513" s="1">
        <f t="shared" si="39"/>
        <v>267722.8000000001</v>
      </c>
      <c r="Y513" s="1">
        <f t="shared" si="41"/>
        <v>13208</v>
      </c>
      <c r="Z513" s="1">
        <v>1</v>
      </c>
      <c r="AA513" s="1">
        <v>14.965041603728499</v>
      </c>
    </row>
    <row r="514" spans="1:27" s="1" customFormat="1" x14ac:dyDescent="0.25">
      <c r="A514" s="65"/>
      <c r="B514" s="3"/>
      <c r="C514" s="8">
        <v>40687</v>
      </c>
      <c r="D514" s="1">
        <v>21</v>
      </c>
      <c r="E514" s="1">
        <v>16</v>
      </c>
      <c r="F514" s="1">
        <v>25.7</v>
      </c>
      <c r="G514" s="1">
        <f t="shared" ref="G514:G530" si="45">G513+D514</f>
        <v>2806.1</v>
      </c>
      <c r="H514" s="1">
        <f t="shared" si="40"/>
        <v>141.4</v>
      </c>
      <c r="I514" s="40" t="s">
        <v>39</v>
      </c>
      <c r="J514" s="1">
        <v>0</v>
      </c>
      <c r="K514" s="1">
        <f t="shared" ref="K514:K530" si="46">K513+J514</f>
        <v>349.89999999999986</v>
      </c>
      <c r="L514" s="1">
        <v>6.9</v>
      </c>
      <c r="M514" s="1">
        <f t="shared" ref="M514:M530" si="47">M513+L514</f>
        <v>553.39999999999975</v>
      </c>
      <c r="N514" s="1">
        <v>-6.9</v>
      </c>
      <c r="O514" s="1">
        <v>0</v>
      </c>
      <c r="P514" s="6">
        <v>259</v>
      </c>
      <c r="Q514" s="1">
        <f t="shared" si="42"/>
        <v>0.66999999999999993</v>
      </c>
      <c r="R514" s="14">
        <f t="shared" si="43"/>
        <v>4.6229999999999993</v>
      </c>
      <c r="S514" s="14">
        <f t="shared" si="44"/>
        <v>-4.6229999999999993</v>
      </c>
      <c r="T514" s="15">
        <v>0</v>
      </c>
      <c r="U514" s="40" t="s">
        <v>40</v>
      </c>
      <c r="V514" s="1">
        <v>3104.3</v>
      </c>
      <c r="X514" s="1">
        <f t="shared" ref="X514:X530" si="48">X513+V514</f>
        <v>270827.10000000009</v>
      </c>
      <c r="Y514" s="1">
        <f t="shared" si="41"/>
        <v>16312.3</v>
      </c>
      <c r="AA514" s="1">
        <v>14.995692151489401</v>
      </c>
    </row>
    <row r="515" spans="1:27" s="1" customFormat="1" x14ac:dyDescent="0.25">
      <c r="A515" s="65"/>
      <c r="B515" s="3"/>
      <c r="C515" s="8">
        <v>40688</v>
      </c>
      <c r="D515" s="1">
        <v>23</v>
      </c>
      <c r="E515" s="1">
        <v>16.3</v>
      </c>
      <c r="F515" s="1">
        <v>30.8</v>
      </c>
      <c r="G515" s="1">
        <f t="shared" si="45"/>
        <v>2829.1</v>
      </c>
      <c r="H515" s="1">
        <f t="shared" si="40"/>
        <v>164.4</v>
      </c>
      <c r="I515" s="1">
        <v>0</v>
      </c>
      <c r="J515" s="1">
        <v>0</v>
      </c>
      <c r="K515" s="1">
        <f t="shared" si="46"/>
        <v>349.89999999999986</v>
      </c>
      <c r="L515" s="1">
        <v>6.7</v>
      </c>
      <c r="M515" s="1">
        <f t="shared" si="47"/>
        <v>560.0999999999998</v>
      </c>
      <c r="N515" s="1">
        <v>-6.7</v>
      </c>
      <c r="O515" s="1">
        <v>0</v>
      </c>
      <c r="P515" s="6">
        <v>260</v>
      </c>
      <c r="Q515" s="1">
        <f t="shared" si="42"/>
        <v>0.64999999999999991</v>
      </c>
      <c r="R515" s="14">
        <f t="shared" si="43"/>
        <v>4.3549999999999995</v>
      </c>
      <c r="S515" s="14">
        <f t="shared" si="44"/>
        <v>-4.3549999999999995</v>
      </c>
      <c r="T515" s="15">
        <v>0</v>
      </c>
      <c r="U515" s="14">
        <v>0</v>
      </c>
      <c r="V515" s="1">
        <v>2982.7</v>
      </c>
      <c r="X515" s="1">
        <f t="shared" si="48"/>
        <v>273809.8000000001</v>
      </c>
      <c r="Y515" s="1">
        <f t="shared" si="41"/>
        <v>19295</v>
      </c>
      <c r="AA515" s="1">
        <v>15.0255320540036</v>
      </c>
    </row>
    <row r="516" spans="1:27" s="1" customFormat="1" x14ac:dyDescent="0.25">
      <c r="A516" s="65"/>
      <c r="B516" s="3"/>
      <c r="C516" s="8">
        <v>40689</v>
      </c>
      <c r="D516" s="1">
        <v>19.5</v>
      </c>
      <c r="E516" s="1">
        <v>16.8</v>
      </c>
      <c r="F516" s="1">
        <v>21.6</v>
      </c>
      <c r="G516" s="1">
        <f t="shared" si="45"/>
        <v>2848.6</v>
      </c>
      <c r="H516" s="1">
        <f t="shared" si="40"/>
        <v>183.9</v>
      </c>
      <c r="I516" s="40" t="s">
        <v>41</v>
      </c>
      <c r="J516" s="1">
        <v>0.1</v>
      </c>
      <c r="K516" s="1">
        <f t="shared" si="46"/>
        <v>349.99999999999989</v>
      </c>
      <c r="L516" s="1">
        <v>3.2</v>
      </c>
      <c r="M516" s="1">
        <f t="shared" si="47"/>
        <v>563.29999999999984</v>
      </c>
      <c r="N516" s="1">
        <v>-3.1</v>
      </c>
      <c r="O516" s="1">
        <v>0</v>
      </c>
      <c r="P516" s="6">
        <v>261</v>
      </c>
      <c r="Q516" s="1">
        <f t="shared" si="42"/>
        <v>0.62999999999999989</v>
      </c>
      <c r="R516" s="14">
        <f t="shared" si="43"/>
        <v>2.0159999999999996</v>
      </c>
      <c r="S516" s="14">
        <f t="shared" si="44"/>
        <v>-1.9159999999999995</v>
      </c>
      <c r="T516" s="15">
        <v>0</v>
      </c>
      <c r="U516" s="40" t="s">
        <v>42</v>
      </c>
      <c r="V516" s="1">
        <v>1034.9000000000001</v>
      </c>
      <c r="X516" s="1">
        <f t="shared" si="48"/>
        <v>274844.70000000013</v>
      </c>
      <c r="Y516" s="1">
        <f t="shared" si="41"/>
        <v>20329.900000000001</v>
      </c>
      <c r="AA516" s="1">
        <v>15.0545412225981</v>
      </c>
    </row>
    <row r="517" spans="1:27" s="1" customFormat="1" x14ac:dyDescent="0.25">
      <c r="A517" s="65"/>
      <c r="B517" s="3"/>
      <c r="C517" s="8">
        <v>40690</v>
      </c>
      <c r="D517" s="1">
        <v>16.8</v>
      </c>
      <c r="E517" s="1">
        <v>11.8</v>
      </c>
      <c r="F517" s="1">
        <v>19.7</v>
      </c>
      <c r="G517" s="1">
        <f t="shared" si="45"/>
        <v>2865.4</v>
      </c>
      <c r="H517" s="1">
        <f t="shared" si="40"/>
        <v>200.70000000000002</v>
      </c>
      <c r="I517" s="1">
        <v>9</v>
      </c>
      <c r="J517" s="1">
        <v>0</v>
      </c>
      <c r="K517" s="1">
        <f t="shared" si="46"/>
        <v>349.99999999999989</v>
      </c>
      <c r="L517" s="1">
        <v>3.6</v>
      </c>
      <c r="M517" s="1">
        <f t="shared" si="47"/>
        <v>566.89999999999986</v>
      </c>
      <c r="N517" s="1">
        <v>-3.6</v>
      </c>
      <c r="O517" s="1">
        <v>0</v>
      </c>
      <c r="P517" s="6">
        <v>262</v>
      </c>
      <c r="Q517" s="1">
        <f t="shared" si="42"/>
        <v>0.60999999999999988</v>
      </c>
      <c r="R517" s="14">
        <f t="shared" si="43"/>
        <v>2.1959999999999997</v>
      </c>
      <c r="S517" s="14">
        <f t="shared" si="44"/>
        <v>-2.1959999999999997</v>
      </c>
      <c r="T517" s="15">
        <v>0</v>
      </c>
      <c r="U517" s="31">
        <v>32.5</v>
      </c>
      <c r="V517" s="1">
        <v>1447.4</v>
      </c>
      <c r="X517" s="1">
        <f t="shared" si="48"/>
        <v>276292.10000000015</v>
      </c>
      <c r="Y517" s="1">
        <f t="shared" si="41"/>
        <v>21777.300000000003</v>
      </c>
      <c r="AA517" s="1">
        <v>15.082699713760499</v>
      </c>
    </row>
    <row r="518" spans="1:27" s="1" customFormat="1" x14ac:dyDescent="0.25">
      <c r="A518" s="65"/>
      <c r="B518" s="3"/>
      <c r="C518" s="8">
        <v>40691</v>
      </c>
      <c r="D518" s="1">
        <v>17.7</v>
      </c>
      <c r="E518" s="1">
        <v>12.2</v>
      </c>
      <c r="F518" s="1">
        <v>23.7</v>
      </c>
      <c r="G518" s="1">
        <f t="shared" si="45"/>
        <v>2883.1</v>
      </c>
      <c r="H518" s="1">
        <f t="shared" si="40"/>
        <v>218.4</v>
      </c>
      <c r="I518" s="40" t="s">
        <v>43</v>
      </c>
      <c r="J518" s="1">
        <v>0</v>
      </c>
      <c r="K518" s="1">
        <f t="shared" si="46"/>
        <v>349.99999999999989</v>
      </c>
      <c r="L518" s="1">
        <v>6.1</v>
      </c>
      <c r="M518" s="1">
        <f t="shared" si="47"/>
        <v>572.99999999999989</v>
      </c>
      <c r="N518" s="1">
        <v>-6.1</v>
      </c>
      <c r="O518" s="1">
        <v>0</v>
      </c>
      <c r="P518" s="6">
        <v>263</v>
      </c>
      <c r="Q518" s="1">
        <f t="shared" si="42"/>
        <v>0.59</v>
      </c>
      <c r="R518" s="14">
        <f t="shared" si="43"/>
        <v>3.5989999999999998</v>
      </c>
      <c r="S518" s="14">
        <f t="shared" si="44"/>
        <v>-3.5989999999999998</v>
      </c>
      <c r="T518" s="15">
        <v>0</v>
      </c>
      <c r="U518" s="40" t="s">
        <v>44</v>
      </c>
      <c r="V518" s="1">
        <v>3177.4</v>
      </c>
      <c r="X518" s="1">
        <f t="shared" si="48"/>
        <v>279469.50000000017</v>
      </c>
      <c r="Y518" s="1">
        <f t="shared" si="41"/>
        <v>24954.700000000004</v>
      </c>
      <c r="AA518" s="1">
        <v>15.109987772282</v>
      </c>
    </row>
    <row r="519" spans="1:27" s="29" customFormat="1" x14ac:dyDescent="0.25">
      <c r="A519" s="65"/>
      <c r="B519" s="27"/>
      <c r="C519" s="28">
        <v>40692</v>
      </c>
      <c r="D519" s="29">
        <v>21.2</v>
      </c>
      <c r="E519" s="29">
        <v>12.6</v>
      </c>
      <c r="F519" s="29">
        <v>29.4</v>
      </c>
      <c r="G519" s="29">
        <f t="shared" si="45"/>
        <v>2904.2999999999997</v>
      </c>
      <c r="H519" s="29">
        <f t="shared" si="40"/>
        <v>239.6</v>
      </c>
      <c r="I519" s="29">
        <v>0</v>
      </c>
      <c r="J519" s="29">
        <v>0.3</v>
      </c>
      <c r="K519" s="29">
        <f t="shared" si="46"/>
        <v>350.2999999999999</v>
      </c>
      <c r="L519" s="29">
        <v>6.5</v>
      </c>
      <c r="M519" s="29">
        <f t="shared" si="47"/>
        <v>579.49999999999989</v>
      </c>
      <c r="N519" s="29">
        <v>-6.2</v>
      </c>
      <c r="O519" s="29">
        <v>0</v>
      </c>
      <c r="P519" s="30">
        <v>264</v>
      </c>
      <c r="Q519" s="1">
        <f t="shared" si="42"/>
        <v>0.56999999999999995</v>
      </c>
      <c r="R519" s="31">
        <f t="shared" si="43"/>
        <v>3.7049999999999996</v>
      </c>
      <c r="S519" s="14">
        <f t="shared" si="44"/>
        <v>-3.4049999999999998</v>
      </c>
      <c r="T519" s="15">
        <v>0</v>
      </c>
      <c r="U519" s="55">
        <f>AVERAGE(T508:T529)</f>
        <v>8.8554545454545472</v>
      </c>
      <c r="V519" s="29">
        <v>2884.4</v>
      </c>
      <c r="X519" s="29">
        <f t="shared" si="48"/>
        <v>282353.9000000002</v>
      </c>
      <c r="Y519" s="1">
        <f t="shared" si="41"/>
        <v>27839.100000000006</v>
      </c>
      <c r="AA519" s="29">
        <v>15.136385875566001</v>
      </c>
    </row>
    <row r="520" spans="1:27" s="1" customFormat="1" ht="15" customHeight="1" x14ac:dyDescent="0.25">
      <c r="A520" s="65"/>
      <c r="B520" s="41"/>
      <c r="C520" s="8">
        <v>40693</v>
      </c>
      <c r="D520" s="1">
        <v>20.7</v>
      </c>
      <c r="E520" s="1">
        <v>18.2</v>
      </c>
      <c r="F520" s="1">
        <v>25.3</v>
      </c>
      <c r="G520" s="1">
        <f t="shared" si="45"/>
        <v>2924.9999999999995</v>
      </c>
      <c r="H520" s="1">
        <f t="shared" si="40"/>
        <v>260.3</v>
      </c>
      <c r="I520" s="40" t="s">
        <v>45</v>
      </c>
      <c r="J520" s="1">
        <v>13.4</v>
      </c>
      <c r="K520" s="1">
        <f t="shared" si="46"/>
        <v>363.69999999999987</v>
      </c>
      <c r="L520" s="1">
        <v>4.0999999999999996</v>
      </c>
      <c r="M520" s="1">
        <f t="shared" si="47"/>
        <v>583.59999999999991</v>
      </c>
      <c r="N520" s="1">
        <v>9.3000000000000007</v>
      </c>
      <c r="O520" s="1">
        <f t="shared" ref="O520:O530" si="49">O519+N520</f>
        <v>9.3000000000000007</v>
      </c>
      <c r="P520" s="6">
        <v>265</v>
      </c>
      <c r="Q520" s="1">
        <f t="shared" si="42"/>
        <v>0.54999999999999993</v>
      </c>
      <c r="R520" s="14">
        <f t="shared" si="43"/>
        <v>2.2549999999999994</v>
      </c>
      <c r="S520" s="14">
        <f t="shared" si="44"/>
        <v>11.145000000000001</v>
      </c>
      <c r="T520" s="15">
        <f t="shared" ref="T520:T530" si="50">T519+S520</f>
        <v>11.145000000000001</v>
      </c>
      <c r="V520" s="1">
        <v>1465.7</v>
      </c>
      <c r="X520" s="1">
        <f t="shared" si="48"/>
        <v>283819.60000000021</v>
      </c>
      <c r="Y520" s="1">
        <f t="shared" si="41"/>
        <v>29304.800000000007</v>
      </c>
      <c r="AA520" s="1">
        <v>15.1618747789451</v>
      </c>
    </row>
    <row r="521" spans="1:27" s="1" customFormat="1" x14ac:dyDescent="0.25">
      <c r="A521" s="65"/>
      <c r="B521" s="41"/>
      <c r="C521" s="8">
        <v>40694</v>
      </c>
      <c r="D521" s="1">
        <v>15.3</v>
      </c>
      <c r="E521" s="1">
        <v>12.6</v>
      </c>
      <c r="F521" s="1">
        <v>17.399999999999999</v>
      </c>
      <c r="G521" s="1">
        <f t="shared" si="45"/>
        <v>2940.2999999999997</v>
      </c>
      <c r="H521" s="1">
        <f t="shared" si="40"/>
        <v>275.60000000000002</v>
      </c>
      <c r="I521" s="1">
        <v>407.6</v>
      </c>
      <c r="J521" s="1">
        <v>2.6</v>
      </c>
      <c r="K521" s="1">
        <f t="shared" si="46"/>
        <v>366.2999999999999</v>
      </c>
      <c r="L521" s="1">
        <v>2.2999999999999998</v>
      </c>
      <c r="M521" s="1">
        <f t="shared" si="47"/>
        <v>585.89999999999986</v>
      </c>
      <c r="N521" s="1">
        <v>0.30000000000000027</v>
      </c>
      <c r="O521" s="1">
        <f t="shared" si="49"/>
        <v>9.6000000000000014</v>
      </c>
      <c r="P521" s="6">
        <v>266</v>
      </c>
      <c r="Q521" s="1">
        <f t="shared" si="42"/>
        <v>0.52999999999999992</v>
      </c>
      <c r="R521" s="14">
        <f t="shared" si="43"/>
        <v>1.2189999999999996</v>
      </c>
      <c r="S521" s="14">
        <f t="shared" si="44"/>
        <v>1.3810000000000004</v>
      </c>
      <c r="T521" s="15">
        <f t="shared" si="50"/>
        <v>12.526000000000002</v>
      </c>
      <c r="U521" s="14">
        <f>(U519*100)/122.1</f>
        <v>7.2526245253518002</v>
      </c>
      <c r="V521" s="1">
        <v>908.5</v>
      </c>
      <c r="X521" s="1">
        <f t="shared" si="48"/>
        <v>284728.10000000021</v>
      </c>
      <c r="Y521" s="1">
        <f t="shared" si="41"/>
        <v>30213.300000000007</v>
      </c>
      <c r="AA521" s="1">
        <v>15.186435561837699</v>
      </c>
    </row>
    <row r="522" spans="1:27" s="1" customFormat="1" x14ac:dyDescent="0.25">
      <c r="A522" s="65"/>
      <c r="B522" s="41"/>
      <c r="C522" s="8">
        <v>40695</v>
      </c>
      <c r="D522" s="1">
        <v>13</v>
      </c>
      <c r="E522" s="1">
        <v>11.1</v>
      </c>
      <c r="F522" s="1">
        <v>17.2</v>
      </c>
      <c r="G522" s="1">
        <f t="shared" si="45"/>
        <v>2953.2999999999997</v>
      </c>
      <c r="H522" s="1">
        <f t="shared" si="40"/>
        <v>288.60000000000002</v>
      </c>
      <c r="J522" s="1">
        <v>9.5</v>
      </c>
      <c r="K522" s="1">
        <f t="shared" si="46"/>
        <v>375.7999999999999</v>
      </c>
      <c r="L522" s="1">
        <v>3.6</v>
      </c>
      <c r="M522" s="1">
        <f t="shared" si="47"/>
        <v>589.49999999999989</v>
      </c>
      <c r="N522" s="1">
        <v>5.9</v>
      </c>
      <c r="O522" s="1">
        <f t="shared" si="49"/>
        <v>15.500000000000002</v>
      </c>
      <c r="P522" s="6">
        <v>267</v>
      </c>
      <c r="Q522" s="1">
        <f t="shared" si="42"/>
        <v>0.5099999999999999</v>
      </c>
      <c r="R522" s="14">
        <f t="shared" si="43"/>
        <v>1.8359999999999996</v>
      </c>
      <c r="S522" s="14">
        <f t="shared" si="44"/>
        <v>7.6640000000000006</v>
      </c>
      <c r="T522" s="15">
        <f t="shared" si="50"/>
        <v>20.190000000000001</v>
      </c>
      <c r="V522" s="1">
        <v>1387</v>
      </c>
      <c r="X522" s="1">
        <f t="shared" si="48"/>
        <v>286115.10000000021</v>
      </c>
      <c r="Y522" s="1">
        <f t="shared" si="41"/>
        <v>31600.300000000007</v>
      </c>
      <c r="AA522" s="1">
        <v>15.2100496745591</v>
      </c>
    </row>
    <row r="523" spans="1:27" s="1" customFormat="1" x14ac:dyDescent="0.25">
      <c r="A523" s="65"/>
      <c r="B523" s="41"/>
      <c r="C523" s="8">
        <v>40696</v>
      </c>
      <c r="D523" s="1">
        <v>14.2</v>
      </c>
      <c r="E523" s="1">
        <v>11.3</v>
      </c>
      <c r="F523" s="1">
        <v>17.2</v>
      </c>
      <c r="G523" s="1">
        <f t="shared" si="45"/>
        <v>2967.4999999999995</v>
      </c>
      <c r="H523" s="1">
        <f t="shared" si="40"/>
        <v>302.8</v>
      </c>
      <c r="J523" s="1">
        <v>0.2</v>
      </c>
      <c r="K523" s="1">
        <f t="shared" si="46"/>
        <v>375.99999999999989</v>
      </c>
      <c r="L523" s="1">
        <v>1.9</v>
      </c>
      <c r="M523" s="1">
        <f t="shared" si="47"/>
        <v>591.39999999999986</v>
      </c>
      <c r="N523" s="1">
        <v>-1.7</v>
      </c>
      <c r="O523" s="1">
        <f t="shared" si="49"/>
        <v>13.800000000000002</v>
      </c>
      <c r="P523" s="6">
        <v>268</v>
      </c>
      <c r="Q523" s="1">
        <f t="shared" si="42"/>
        <v>0.49</v>
      </c>
      <c r="R523" s="14">
        <f t="shared" si="43"/>
        <v>0.93099999999999994</v>
      </c>
      <c r="S523" s="14">
        <f t="shared" si="44"/>
        <v>-0.73099999999999987</v>
      </c>
      <c r="T523" s="15">
        <f t="shared" si="50"/>
        <v>19.459000000000003</v>
      </c>
      <c r="V523" s="1">
        <v>988.7</v>
      </c>
      <c r="X523" s="1">
        <f t="shared" si="48"/>
        <v>287103.80000000022</v>
      </c>
      <c r="Y523" s="1">
        <f t="shared" si="41"/>
        <v>32589.000000000007</v>
      </c>
      <c r="AA523" s="1">
        <v>15.232698985588801</v>
      </c>
    </row>
    <row r="524" spans="1:27" s="1" customFormat="1" x14ac:dyDescent="0.25">
      <c r="A524" s="65"/>
      <c r="B524" s="41"/>
      <c r="C524" s="8">
        <v>40697</v>
      </c>
      <c r="D524" s="1">
        <v>17.899999999999999</v>
      </c>
      <c r="E524" s="1">
        <v>12.4</v>
      </c>
      <c r="F524" s="1">
        <v>24.5</v>
      </c>
      <c r="G524" s="1">
        <f t="shared" si="45"/>
        <v>2985.3999999999996</v>
      </c>
      <c r="H524" s="1">
        <f t="shared" si="40"/>
        <v>320.7</v>
      </c>
      <c r="J524" s="1">
        <v>0</v>
      </c>
      <c r="K524" s="1">
        <f t="shared" si="46"/>
        <v>375.99999999999989</v>
      </c>
      <c r="L524" s="1">
        <v>3.7</v>
      </c>
      <c r="M524" s="1">
        <f t="shared" si="47"/>
        <v>595.09999999999991</v>
      </c>
      <c r="N524" s="1">
        <v>-3.7</v>
      </c>
      <c r="O524" s="1">
        <f t="shared" si="49"/>
        <v>10.100000000000001</v>
      </c>
      <c r="P524" s="6">
        <v>269</v>
      </c>
      <c r="Q524" s="1">
        <f t="shared" si="42"/>
        <v>0.47</v>
      </c>
      <c r="R524" s="14">
        <f t="shared" si="43"/>
        <v>1.7389999999999999</v>
      </c>
      <c r="S524" s="14">
        <f t="shared" si="44"/>
        <v>-1.7389999999999999</v>
      </c>
      <c r="T524" s="15">
        <f t="shared" si="50"/>
        <v>17.720000000000002</v>
      </c>
      <c r="V524" s="1">
        <v>1864.5</v>
      </c>
      <c r="X524" s="1">
        <f t="shared" si="48"/>
        <v>288968.30000000022</v>
      </c>
      <c r="Y524" s="1">
        <f t="shared" si="41"/>
        <v>34453.500000000007</v>
      </c>
      <c r="AA524" s="1">
        <v>15.254365829083101</v>
      </c>
    </row>
    <row r="525" spans="1:27" s="1" customFormat="1" x14ac:dyDescent="0.25">
      <c r="A525" s="65"/>
      <c r="B525" s="41"/>
      <c r="C525" s="8">
        <v>40698</v>
      </c>
      <c r="D525" s="1">
        <v>17.7</v>
      </c>
      <c r="E525" s="1">
        <v>13.8</v>
      </c>
      <c r="F525" s="1">
        <v>21.4</v>
      </c>
      <c r="G525" s="1">
        <f t="shared" si="45"/>
        <v>3003.0999999999995</v>
      </c>
      <c r="H525" s="1">
        <f t="shared" si="40"/>
        <v>338.4</v>
      </c>
      <c r="J525" s="1">
        <v>0.9</v>
      </c>
      <c r="K525" s="1">
        <f t="shared" si="46"/>
        <v>376.89999999999986</v>
      </c>
      <c r="L525" s="1">
        <v>1.9</v>
      </c>
      <c r="M525" s="1">
        <f t="shared" si="47"/>
        <v>596.99999999999989</v>
      </c>
      <c r="N525" s="1">
        <v>-0.99999999999999989</v>
      </c>
      <c r="O525" s="1">
        <f t="shared" si="49"/>
        <v>9.1000000000000014</v>
      </c>
      <c r="P525" s="6">
        <v>270</v>
      </c>
      <c r="Q525" s="1">
        <f t="shared" si="42"/>
        <v>0.44999999999999996</v>
      </c>
      <c r="R525" s="14">
        <f t="shared" si="43"/>
        <v>0.85499999999999987</v>
      </c>
      <c r="S525" s="14">
        <f t="shared" si="44"/>
        <v>4.5000000000000151E-2</v>
      </c>
      <c r="T525" s="15">
        <f t="shared" si="50"/>
        <v>17.765000000000004</v>
      </c>
      <c r="V525" s="1">
        <v>1136.4000000000001</v>
      </c>
      <c r="X525" s="1">
        <f t="shared" si="48"/>
        <v>290104.70000000024</v>
      </c>
      <c r="Y525" s="1">
        <f t="shared" si="41"/>
        <v>35589.900000000009</v>
      </c>
      <c r="AA525" s="1">
        <v>15.2750330524105</v>
      </c>
    </row>
    <row r="526" spans="1:27" s="1" customFormat="1" x14ac:dyDescent="0.25">
      <c r="A526" s="65"/>
      <c r="B526" s="41"/>
      <c r="C526" s="8">
        <v>40699</v>
      </c>
      <c r="D526" s="1">
        <v>18.899999999999999</v>
      </c>
      <c r="E526" s="1">
        <v>15</v>
      </c>
      <c r="F526" s="1">
        <v>22.8</v>
      </c>
      <c r="G526" s="1">
        <f t="shared" si="45"/>
        <v>3021.9999999999995</v>
      </c>
      <c r="H526" s="1">
        <f t="shared" si="40"/>
        <v>357.29999999999995</v>
      </c>
      <c r="J526" s="1">
        <v>0.1</v>
      </c>
      <c r="K526" s="1">
        <f t="shared" si="46"/>
        <v>376.99999999999989</v>
      </c>
      <c r="L526" s="1">
        <v>3.8</v>
      </c>
      <c r="M526" s="1">
        <f t="shared" si="47"/>
        <v>600.79999999999984</v>
      </c>
      <c r="N526" s="1">
        <v>-3.6999999999999997</v>
      </c>
      <c r="O526" s="1">
        <f t="shared" si="49"/>
        <v>5.4000000000000021</v>
      </c>
      <c r="P526" s="6">
        <v>271</v>
      </c>
      <c r="Q526" s="1">
        <f t="shared" si="42"/>
        <v>0.42999999999999994</v>
      </c>
      <c r="R526" s="14">
        <f t="shared" si="43"/>
        <v>1.6339999999999997</v>
      </c>
      <c r="S526" s="14">
        <f t="shared" si="44"/>
        <v>-1.5339999999999996</v>
      </c>
      <c r="T526" s="15">
        <f t="shared" si="50"/>
        <v>16.231000000000005</v>
      </c>
      <c r="V526" s="1">
        <v>1913.3</v>
      </c>
      <c r="X526" s="1">
        <f t="shared" si="48"/>
        <v>292018.00000000023</v>
      </c>
      <c r="Y526" s="1">
        <f t="shared" si="41"/>
        <v>37503.200000000012</v>
      </c>
      <c r="AA526" s="1">
        <v>15.2946840634769</v>
      </c>
    </row>
    <row r="527" spans="1:27" s="1" customFormat="1" x14ac:dyDescent="0.25">
      <c r="A527" s="65"/>
      <c r="B527" s="41"/>
      <c r="C527" s="8">
        <v>40700</v>
      </c>
      <c r="D527" s="1">
        <v>20</v>
      </c>
      <c r="E527" s="1">
        <v>16.2</v>
      </c>
      <c r="F527" s="1">
        <v>24.6</v>
      </c>
      <c r="G527" s="1">
        <f t="shared" si="45"/>
        <v>3041.9999999999995</v>
      </c>
      <c r="H527" s="1">
        <f t="shared" ref="H527:H530" si="51">H526+D527</f>
        <v>377.29999999999995</v>
      </c>
      <c r="J527" s="1">
        <v>0.4</v>
      </c>
      <c r="K527" s="1">
        <f t="shared" si="46"/>
        <v>377.39999999999986</v>
      </c>
      <c r="L527" s="1">
        <v>4.2</v>
      </c>
      <c r="M527" s="1">
        <f t="shared" si="47"/>
        <v>604.99999999999989</v>
      </c>
      <c r="N527" s="1">
        <v>-3.8000000000000003</v>
      </c>
      <c r="O527" s="1">
        <f t="shared" si="49"/>
        <v>1.6000000000000019</v>
      </c>
      <c r="P527" s="6">
        <v>272</v>
      </c>
      <c r="Q527" s="1">
        <f t="shared" si="42"/>
        <v>0.40999999999999992</v>
      </c>
      <c r="R527" s="14">
        <f t="shared" si="43"/>
        <v>1.7219999999999998</v>
      </c>
      <c r="S527" s="14">
        <f t="shared" si="44"/>
        <v>-1.3219999999999996</v>
      </c>
      <c r="T527" s="15">
        <f t="shared" si="50"/>
        <v>14.909000000000006</v>
      </c>
      <c r="V527" s="1">
        <v>1864.9</v>
      </c>
      <c r="X527" s="1">
        <f t="shared" si="48"/>
        <v>293882.90000000026</v>
      </c>
      <c r="Y527" s="1">
        <f t="shared" ref="Y527:Y529" si="52">Y526+V527</f>
        <v>39368.100000000013</v>
      </c>
      <c r="AA527" s="1">
        <v>15.313302877599099</v>
      </c>
    </row>
    <row r="528" spans="1:27" s="1" customFormat="1" x14ac:dyDescent="0.25">
      <c r="A528" s="65"/>
      <c r="B528" s="41"/>
      <c r="C528" s="8">
        <v>40701</v>
      </c>
      <c r="D528" s="1">
        <v>15.6</v>
      </c>
      <c r="E528" s="1">
        <v>14.7</v>
      </c>
      <c r="F528" s="1">
        <v>17</v>
      </c>
      <c r="G528" s="1">
        <f t="shared" si="45"/>
        <v>3057.5999999999995</v>
      </c>
      <c r="H528" s="1">
        <f t="shared" si="51"/>
        <v>392.9</v>
      </c>
      <c r="J528" s="1">
        <v>18</v>
      </c>
      <c r="K528" s="1">
        <f t="shared" si="46"/>
        <v>395.39999999999986</v>
      </c>
      <c r="L528" s="1">
        <v>1.4</v>
      </c>
      <c r="M528" s="1">
        <f t="shared" si="47"/>
        <v>606.39999999999986</v>
      </c>
      <c r="N528" s="1">
        <v>16.600000000000001</v>
      </c>
      <c r="O528" s="1">
        <f t="shared" si="49"/>
        <v>18.200000000000003</v>
      </c>
      <c r="P528" s="6">
        <v>273</v>
      </c>
      <c r="Q528" s="1">
        <f t="shared" si="42"/>
        <v>0.39</v>
      </c>
      <c r="R528" s="14">
        <f t="shared" si="43"/>
        <v>0.54599999999999993</v>
      </c>
      <c r="S528" s="14">
        <f t="shared" si="44"/>
        <v>17.454000000000001</v>
      </c>
      <c r="T528" s="15">
        <f t="shared" si="50"/>
        <v>32.363000000000007</v>
      </c>
      <c r="V528" s="1">
        <v>589.20000000000005</v>
      </c>
      <c r="X528" s="1">
        <f t="shared" si="48"/>
        <v>294472.10000000027</v>
      </c>
      <c r="Y528" s="1">
        <f t="shared" si="52"/>
        <v>39957.30000000001</v>
      </c>
      <c r="AA528" s="1">
        <v>15.3308741636784</v>
      </c>
    </row>
    <row r="529" spans="1:27" s="45" customFormat="1" ht="15.75" thickBot="1" x14ac:dyDescent="0.3">
      <c r="A529" s="65"/>
      <c r="B529" s="54">
        <v>1000</v>
      </c>
      <c r="C529" s="44">
        <v>40702</v>
      </c>
      <c r="D529" s="45">
        <v>14.7</v>
      </c>
      <c r="E529" s="45">
        <v>13.9</v>
      </c>
      <c r="F529" s="45">
        <v>16.3</v>
      </c>
      <c r="G529" s="45">
        <f t="shared" si="45"/>
        <v>3072.2999999999993</v>
      </c>
      <c r="H529" s="45">
        <f t="shared" si="51"/>
        <v>407.59999999999997</v>
      </c>
      <c r="J529" s="45">
        <v>1</v>
      </c>
      <c r="K529" s="45">
        <f t="shared" si="46"/>
        <v>396.39999999999986</v>
      </c>
      <c r="L529" s="45">
        <v>2.2999999999999998</v>
      </c>
      <c r="M529" s="45">
        <f t="shared" si="47"/>
        <v>608.69999999999982</v>
      </c>
      <c r="N529" s="45">
        <v>-1.2999999999999998</v>
      </c>
      <c r="O529" s="45">
        <f t="shared" si="49"/>
        <v>16.900000000000002</v>
      </c>
      <c r="P529" s="46">
        <v>274</v>
      </c>
      <c r="Q529" s="45">
        <f t="shared" si="42"/>
        <v>0.37</v>
      </c>
      <c r="R529" s="48">
        <f t="shared" si="43"/>
        <v>0.85099999999999998</v>
      </c>
      <c r="S529" s="48">
        <f t="shared" si="44"/>
        <v>0.14900000000000002</v>
      </c>
      <c r="T529" s="49">
        <f t="shared" si="50"/>
        <v>32.512000000000008</v>
      </c>
      <c r="V529" s="45">
        <v>1172</v>
      </c>
      <c r="X529" s="45">
        <f t="shared" si="48"/>
        <v>295644.10000000027</v>
      </c>
      <c r="Y529" s="45">
        <f t="shared" si="52"/>
        <v>41129.30000000001</v>
      </c>
      <c r="AA529" s="45">
        <v>15.3473832894206</v>
      </c>
    </row>
    <row r="530" spans="1:27" s="1" customFormat="1" x14ac:dyDescent="0.25">
      <c r="A530" s="42"/>
      <c r="B530" s="41"/>
      <c r="C530" s="8">
        <v>40703</v>
      </c>
      <c r="D530" s="1">
        <v>16.8</v>
      </c>
      <c r="E530" s="1">
        <v>12.7</v>
      </c>
      <c r="F530" s="1">
        <v>20</v>
      </c>
      <c r="G530" s="1">
        <f t="shared" si="45"/>
        <v>3089.0999999999995</v>
      </c>
      <c r="H530" s="1">
        <f t="shared" si="51"/>
        <v>424.4</v>
      </c>
      <c r="J530" s="1">
        <v>0.5</v>
      </c>
      <c r="K530" s="1">
        <f t="shared" si="46"/>
        <v>396.89999999999986</v>
      </c>
      <c r="L530" s="1">
        <v>3.7</v>
      </c>
      <c r="M530" s="1">
        <f t="shared" si="47"/>
        <v>612.39999999999986</v>
      </c>
      <c r="N530" s="1">
        <v>-3.2</v>
      </c>
      <c r="O530" s="1">
        <f t="shared" si="49"/>
        <v>13.700000000000003</v>
      </c>
      <c r="P530" s="6">
        <v>275</v>
      </c>
      <c r="Q530" s="1">
        <f t="shared" si="42"/>
        <v>0.35</v>
      </c>
      <c r="R530" s="14">
        <f t="shared" si="43"/>
        <v>1.2949999999999999</v>
      </c>
      <c r="S530" s="14">
        <f t="shared" si="44"/>
        <v>-0.79499999999999993</v>
      </c>
      <c r="T530" s="15">
        <f t="shared" si="50"/>
        <v>31.717000000000006</v>
      </c>
      <c r="V530" s="1">
        <v>1966.2</v>
      </c>
      <c r="X530" s="1">
        <f t="shared" si="48"/>
        <v>297610.30000000028</v>
      </c>
      <c r="Y530" s="1">
        <v>1966.2</v>
      </c>
      <c r="AA530" s="1">
        <v>15.3628163653462</v>
      </c>
    </row>
    <row r="531" spans="1:27" s="1" customFormat="1" x14ac:dyDescent="0.25">
      <c r="A531" s="66" t="s">
        <v>52</v>
      </c>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row>
  </sheetData>
  <mergeCells count="15">
    <mergeCell ref="G4:H4"/>
    <mergeCell ref="X4:Y4"/>
    <mergeCell ref="D1:I2"/>
    <mergeCell ref="J1:U2"/>
    <mergeCell ref="V1:Z2"/>
    <mergeCell ref="J3:O3"/>
    <mergeCell ref="P3:T3"/>
    <mergeCell ref="A508:A529"/>
    <mergeCell ref="A531:Z531"/>
    <mergeCell ref="A255:Z255"/>
    <mergeCell ref="A256:A332"/>
    <mergeCell ref="A333:A375"/>
    <mergeCell ref="A376:A448"/>
    <mergeCell ref="A470:A490"/>
    <mergeCell ref="A491:A507"/>
  </mergeCells>
  <conditionalFormatting sqref="D5:F254 D256:F530 I263 I265 I267 I269 I346 I340 I342 I344 I389 I383 I385 I387 I450 I452 I456 I458 I460 I462 I477 I479 I481 I483 I504 I502 I500 I498 I515 I517 I519 I521">
    <cfRule type="cellIs" dxfId="15" priority="6" operator="between">
      <formula>25</formula>
      <formula>40</formula>
    </cfRule>
    <cfRule type="cellIs" dxfId="14" priority="7" operator="between">
      <formula>0.1</formula>
      <formula>5</formula>
    </cfRule>
    <cfRule type="cellIs" dxfId="13" priority="8" operator="between">
      <formula>0</formula>
      <formula>-20</formula>
    </cfRule>
  </conditionalFormatting>
  <conditionalFormatting sqref="N5:N254 N256:N530">
    <cfRule type="cellIs" dxfId="12" priority="5" operator="between">
      <formula>0.0001</formula>
      <formula>-50</formula>
    </cfRule>
  </conditionalFormatting>
  <conditionalFormatting sqref="V1:V531">
    <cfRule type="cellIs" dxfId="11" priority="4" operator="between">
      <formula>899.99</formula>
      <formula>0</formula>
    </cfRule>
  </conditionalFormatting>
  <conditionalFormatting sqref="S256:S530">
    <cfRule type="cellIs" dxfId="10" priority="3" operator="lessThanOrEqual">
      <formula>0</formula>
    </cfRule>
  </conditionalFormatting>
  <conditionalFormatting sqref="T1:T531">
    <cfRule type="cellIs" dxfId="9" priority="1" operator="equal">
      <formula>0</formula>
    </cfRule>
    <cfRule type="cellIs" dxfId="8" priority="2" operator="lessThanOrEqual">
      <formula>40.7</formula>
    </cfRule>
  </conditionalFormatting>
  <pageMargins left="0.7" right="0.7" top="0.75" bottom="0.75" header="0.3" footer="0.3"/>
  <pageSetup paperSize="9" orientation="portrait" verticalDpi="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DB531"/>
  <sheetViews>
    <sheetView tabSelected="1" zoomScale="70" zoomScaleNormal="70" workbookViewId="0">
      <pane xSplit="3" ySplit="4" topLeftCell="D400" activePane="bottomRight" state="frozen"/>
      <selection pane="topRight" activeCell="D1" sqref="D1"/>
      <selection pane="bottomLeft" activeCell="A5" sqref="A5"/>
      <selection pane="bottomRight" activeCell="AD416" sqref="AD416"/>
    </sheetView>
  </sheetViews>
  <sheetFormatPr baseColWidth="10" defaultRowHeight="15" x14ac:dyDescent="0.25"/>
  <sheetData>
    <row r="1" spans="1:27" s="1" customFormat="1" x14ac:dyDescent="0.25">
      <c r="B1" s="2"/>
      <c r="D1" s="73" t="s">
        <v>0</v>
      </c>
      <c r="E1" s="73"/>
      <c r="F1" s="73"/>
      <c r="G1" s="73"/>
      <c r="H1" s="73"/>
      <c r="I1" s="73"/>
      <c r="J1" s="73" t="s">
        <v>1</v>
      </c>
      <c r="K1" s="73"/>
      <c r="L1" s="73"/>
      <c r="M1" s="73"/>
      <c r="N1" s="73"/>
      <c r="O1" s="73"/>
      <c r="P1" s="73"/>
      <c r="Q1" s="73"/>
      <c r="R1" s="73"/>
      <c r="S1" s="73"/>
      <c r="T1" s="73"/>
      <c r="U1" s="73"/>
      <c r="V1" s="73" t="s">
        <v>2</v>
      </c>
      <c r="W1" s="74"/>
      <c r="X1" s="74"/>
      <c r="Y1" s="74"/>
      <c r="Z1" s="74"/>
    </row>
    <row r="2" spans="1:27" s="1" customFormat="1" x14ac:dyDescent="0.25">
      <c r="B2" s="2"/>
      <c r="D2" s="73"/>
      <c r="E2" s="73"/>
      <c r="F2" s="73"/>
      <c r="G2" s="73"/>
      <c r="H2" s="73"/>
      <c r="I2" s="73"/>
      <c r="J2" s="73"/>
      <c r="K2" s="73"/>
      <c r="L2" s="73"/>
      <c r="M2" s="73"/>
      <c r="N2" s="73"/>
      <c r="O2" s="73"/>
      <c r="P2" s="73"/>
      <c r="Q2" s="73"/>
      <c r="R2" s="73"/>
      <c r="S2" s="73"/>
      <c r="T2" s="73"/>
      <c r="U2" s="73"/>
      <c r="V2" s="74"/>
      <c r="W2" s="74"/>
      <c r="X2" s="74"/>
      <c r="Y2" s="74"/>
      <c r="Z2" s="74"/>
    </row>
    <row r="3" spans="1:27" s="1" customFormat="1" x14ac:dyDescent="0.25">
      <c r="B3" s="2"/>
      <c r="D3" s="3"/>
      <c r="E3" s="3"/>
      <c r="F3" s="3"/>
      <c r="G3" s="3"/>
      <c r="H3" s="3"/>
      <c r="I3" s="3"/>
      <c r="J3" s="73"/>
      <c r="K3" s="73"/>
      <c r="L3" s="73"/>
      <c r="M3" s="73"/>
      <c r="N3" s="73"/>
      <c r="O3" s="73"/>
      <c r="P3" s="75" t="s">
        <v>3</v>
      </c>
      <c r="Q3" s="73"/>
      <c r="R3" s="73"/>
      <c r="S3" s="73"/>
      <c r="T3" s="76"/>
      <c r="U3" s="3"/>
      <c r="V3" s="4"/>
      <c r="W3" s="4"/>
      <c r="X3" s="4"/>
      <c r="Y3" s="4"/>
      <c r="Z3" s="4"/>
    </row>
    <row r="4" spans="1:27" s="1" customFormat="1" x14ac:dyDescent="0.25">
      <c r="A4" s="1" t="s">
        <v>4</v>
      </c>
      <c r="B4" s="2">
        <v>5</v>
      </c>
      <c r="C4" s="1" t="s">
        <v>5</v>
      </c>
      <c r="D4" s="1" t="s">
        <v>6</v>
      </c>
      <c r="E4" s="1" t="s">
        <v>7</v>
      </c>
      <c r="F4" s="1" t="s">
        <v>8</v>
      </c>
      <c r="G4" s="77" t="s">
        <v>9</v>
      </c>
      <c r="H4" s="77"/>
      <c r="I4" s="1" t="s">
        <v>10</v>
      </c>
      <c r="J4" s="1" t="s">
        <v>11</v>
      </c>
      <c r="K4" s="1" t="s">
        <v>12</v>
      </c>
      <c r="L4" s="1" t="s">
        <v>13</v>
      </c>
      <c r="M4" s="1" t="s">
        <v>14</v>
      </c>
      <c r="N4" s="1" t="s">
        <v>15</v>
      </c>
      <c r="O4" s="5" t="s">
        <v>16</v>
      </c>
      <c r="P4" s="6" t="s">
        <v>17</v>
      </c>
      <c r="Q4" s="1" t="s">
        <v>18</v>
      </c>
      <c r="R4" s="1" t="s">
        <v>19</v>
      </c>
      <c r="S4" s="1" t="s">
        <v>20</v>
      </c>
      <c r="T4" s="7" t="s">
        <v>21</v>
      </c>
      <c r="U4" s="1" t="s">
        <v>10</v>
      </c>
      <c r="V4" s="1" t="s">
        <v>22</v>
      </c>
      <c r="W4" s="1" t="s">
        <v>23</v>
      </c>
      <c r="X4" s="74" t="s">
        <v>24</v>
      </c>
      <c r="Y4" s="74"/>
      <c r="Z4" s="1" t="s">
        <v>10</v>
      </c>
      <c r="AA4" s="1" t="s">
        <v>25</v>
      </c>
    </row>
    <row r="5" spans="1:27" s="1" customFormat="1" x14ac:dyDescent="0.25">
      <c r="B5" s="2"/>
      <c r="C5" s="8">
        <v>40179</v>
      </c>
      <c r="D5" s="1">
        <v>6.3</v>
      </c>
      <c r="E5" s="1">
        <v>5.9</v>
      </c>
      <c r="F5" s="1">
        <v>7.4</v>
      </c>
      <c r="J5" s="1">
        <v>0.6</v>
      </c>
      <c r="L5" s="1">
        <v>1</v>
      </c>
      <c r="N5" s="1">
        <v>-0.4</v>
      </c>
      <c r="P5" s="6"/>
      <c r="T5" s="7"/>
      <c r="U5" s="9" t="s">
        <v>26</v>
      </c>
      <c r="V5" s="1">
        <v>263.39999999999998</v>
      </c>
    </row>
    <row r="6" spans="1:27" s="1" customFormat="1" x14ac:dyDescent="0.25">
      <c r="B6" s="2"/>
      <c r="C6" s="8">
        <v>40180</v>
      </c>
      <c r="D6" s="1">
        <v>1.9</v>
      </c>
      <c r="E6" s="1">
        <v>0.3</v>
      </c>
      <c r="F6" s="1">
        <v>2.7</v>
      </c>
      <c r="J6" s="1">
        <v>0.4</v>
      </c>
      <c r="L6" s="1">
        <v>0.3</v>
      </c>
      <c r="N6" s="1">
        <v>0.10000000000000003</v>
      </c>
      <c r="P6" s="6"/>
      <c r="T6" s="7"/>
      <c r="U6" s="9">
        <v>122.1</v>
      </c>
      <c r="V6" s="1">
        <v>216.2</v>
      </c>
    </row>
    <row r="7" spans="1:27" s="1" customFormat="1" x14ac:dyDescent="0.25">
      <c r="B7" s="2"/>
      <c r="C7" s="8">
        <v>40181</v>
      </c>
      <c r="D7" s="1">
        <v>3.6</v>
      </c>
      <c r="E7" s="1">
        <v>2.2999999999999998</v>
      </c>
      <c r="F7" s="1">
        <v>5.8</v>
      </c>
      <c r="J7" s="1">
        <v>2.9</v>
      </c>
      <c r="L7" s="1">
        <v>1.2</v>
      </c>
      <c r="N7" s="1">
        <v>1.7</v>
      </c>
      <c r="P7" s="6"/>
      <c r="T7" s="7"/>
      <c r="V7" s="1">
        <v>94.2</v>
      </c>
    </row>
    <row r="8" spans="1:27" s="1" customFormat="1" x14ac:dyDescent="0.25">
      <c r="B8" s="2"/>
      <c r="C8" s="8">
        <v>40182</v>
      </c>
      <c r="D8" s="1">
        <v>6</v>
      </c>
      <c r="E8" s="1">
        <v>2.6</v>
      </c>
      <c r="F8" s="1">
        <v>7.5</v>
      </c>
      <c r="J8" s="1">
        <v>0.2</v>
      </c>
      <c r="L8" s="1">
        <v>0.2</v>
      </c>
      <c r="N8" s="1">
        <v>0</v>
      </c>
      <c r="P8" s="6"/>
      <c r="T8" s="7"/>
      <c r="V8" s="1">
        <v>148.1</v>
      </c>
    </row>
    <row r="9" spans="1:27" s="1" customFormat="1" x14ac:dyDescent="0.25">
      <c r="B9" s="2"/>
      <c r="C9" s="8">
        <v>40183</v>
      </c>
      <c r="D9" s="1">
        <v>3.7</v>
      </c>
      <c r="E9" s="1">
        <v>1.5</v>
      </c>
      <c r="F9" s="1">
        <v>5.7</v>
      </c>
      <c r="J9" s="1">
        <v>0.5</v>
      </c>
      <c r="L9" s="1">
        <v>0.2</v>
      </c>
      <c r="N9" s="1">
        <v>0.3</v>
      </c>
      <c r="P9" s="6"/>
      <c r="T9" s="7"/>
      <c r="V9" s="1">
        <v>105.1</v>
      </c>
    </row>
    <row r="10" spans="1:27" s="1" customFormat="1" x14ac:dyDescent="0.25">
      <c r="B10" s="2"/>
      <c r="C10" s="8">
        <v>40184</v>
      </c>
      <c r="D10" s="1">
        <v>2.2000000000000002</v>
      </c>
      <c r="E10" s="1">
        <v>-1.1000000000000001</v>
      </c>
      <c r="F10" s="1">
        <v>8.5</v>
      </c>
      <c r="J10" s="1">
        <v>0</v>
      </c>
      <c r="L10" s="1">
        <v>0.9</v>
      </c>
      <c r="N10" s="1">
        <v>-0.9</v>
      </c>
      <c r="P10" s="6"/>
      <c r="T10" s="7"/>
      <c r="V10" s="1">
        <v>749.5</v>
      </c>
    </row>
    <row r="11" spans="1:27" s="1" customFormat="1" x14ac:dyDescent="0.25">
      <c r="B11" s="2"/>
      <c r="C11" s="8">
        <v>40185</v>
      </c>
      <c r="D11" s="1">
        <v>1</v>
      </c>
      <c r="E11" s="1">
        <v>-1.3</v>
      </c>
      <c r="F11" s="1">
        <v>2.6</v>
      </c>
      <c r="J11" s="1">
        <v>0.2</v>
      </c>
      <c r="L11" s="1">
        <v>0.2</v>
      </c>
      <c r="N11" s="1">
        <v>0</v>
      </c>
      <c r="P11" s="6"/>
      <c r="T11" s="7"/>
      <c r="V11" s="1">
        <v>130.80000000000001</v>
      </c>
    </row>
    <row r="12" spans="1:27" s="1" customFormat="1" x14ac:dyDescent="0.25">
      <c r="B12" s="2"/>
      <c r="C12" s="8">
        <v>40186</v>
      </c>
      <c r="D12" s="1">
        <v>-0.8</v>
      </c>
      <c r="E12" s="1">
        <v>-1.5</v>
      </c>
      <c r="F12" s="1">
        <v>0</v>
      </c>
      <c r="J12" s="1">
        <v>0</v>
      </c>
      <c r="L12" s="1">
        <v>0.6</v>
      </c>
      <c r="N12" s="1">
        <v>-0.6</v>
      </c>
      <c r="P12" s="6"/>
      <c r="T12" s="7"/>
      <c r="V12" s="1">
        <v>202.9</v>
      </c>
    </row>
    <row r="13" spans="1:27" s="1" customFormat="1" x14ac:dyDescent="0.25">
      <c r="B13" s="2"/>
      <c r="C13" s="8">
        <v>40187</v>
      </c>
      <c r="D13" s="1">
        <v>-3.2</v>
      </c>
      <c r="E13" s="1">
        <v>-3.7</v>
      </c>
      <c r="F13" s="1">
        <v>-2.2999999999999998</v>
      </c>
      <c r="J13" s="1">
        <v>0</v>
      </c>
      <c r="L13" s="1">
        <v>0.4</v>
      </c>
      <c r="N13" s="1">
        <v>-0.4</v>
      </c>
      <c r="P13" s="6"/>
      <c r="T13" s="7"/>
      <c r="V13" s="1">
        <v>111</v>
      </c>
    </row>
    <row r="14" spans="1:27" s="1" customFormat="1" x14ac:dyDescent="0.25">
      <c r="B14" s="2"/>
      <c r="C14" s="8">
        <v>40188</v>
      </c>
      <c r="D14" s="1">
        <v>-2.7</v>
      </c>
      <c r="E14" s="1">
        <v>-3.4</v>
      </c>
      <c r="F14" s="1">
        <v>-0.5</v>
      </c>
      <c r="J14" s="1">
        <v>0</v>
      </c>
      <c r="L14" s="1">
        <v>0.5</v>
      </c>
      <c r="N14" s="1">
        <v>-0.5</v>
      </c>
      <c r="P14" s="6"/>
      <c r="T14" s="7"/>
      <c r="V14" s="1">
        <v>208.7</v>
      </c>
    </row>
    <row r="15" spans="1:27" s="1" customFormat="1" x14ac:dyDescent="0.25">
      <c r="B15" s="2"/>
      <c r="C15" s="8">
        <v>40189</v>
      </c>
      <c r="D15" s="1">
        <v>-3.9</v>
      </c>
      <c r="E15" s="1">
        <v>-6.1</v>
      </c>
      <c r="F15" s="1">
        <v>0.1</v>
      </c>
      <c r="J15" s="1">
        <v>0</v>
      </c>
      <c r="L15" s="1">
        <v>0.6</v>
      </c>
      <c r="N15" s="1">
        <v>-0.6</v>
      </c>
      <c r="P15" s="6"/>
      <c r="T15" s="7"/>
      <c r="V15" s="1">
        <v>742.7</v>
      </c>
    </row>
    <row r="16" spans="1:27" s="1" customFormat="1" x14ac:dyDescent="0.25">
      <c r="B16" s="2"/>
      <c r="C16" s="8">
        <v>40190</v>
      </c>
      <c r="D16" s="1">
        <v>-1.7</v>
      </c>
      <c r="E16" s="1">
        <v>-8.4</v>
      </c>
      <c r="F16" s="1">
        <v>5.6</v>
      </c>
      <c r="J16" s="1">
        <v>13.6</v>
      </c>
      <c r="L16" s="1">
        <v>0.5</v>
      </c>
      <c r="N16" s="1">
        <v>13.1</v>
      </c>
      <c r="P16" s="6"/>
      <c r="T16" s="7"/>
      <c r="V16" s="1">
        <v>208.1</v>
      </c>
    </row>
    <row r="17" spans="2:22" s="1" customFormat="1" x14ac:dyDescent="0.25">
      <c r="B17" s="2"/>
      <c r="C17" s="8">
        <v>40191</v>
      </c>
      <c r="D17" s="1">
        <v>7.7</v>
      </c>
      <c r="E17" s="1">
        <v>2.2999999999999998</v>
      </c>
      <c r="F17" s="1">
        <v>11.6</v>
      </c>
      <c r="J17" s="1">
        <v>0.8</v>
      </c>
      <c r="L17" s="1">
        <v>1</v>
      </c>
      <c r="N17" s="1">
        <v>-0.19999999999999996</v>
      </c>
      <c r="P17" s="6"/>
      <c r="T17" s="7"/>
      <c r="V17" s="1">
        <v>671.2</v>
      </c>
    </row>
    <row r="18" spans="2:22" s="1" customFormat="1" x14ac:dyDescent="0.25">
      <c r="B18" s="2"/>
      <c r="C18" s="8">
        <v>40192</v>
      </c>
      <c r="D18" s="1">
        <v>9</v>
      </c>
      <c r="E18" s="1">
        <v>7.4</v>
      </c>
      <c r="F18" s="1">
        <v>12.6</v>
      </c>
      <c r="J18" s="1">
        <v>8.8000000000000007</v>
      </c>
      <c r="L18" s="1">
        <v>1.3</v>
      </c>
      <c r="N18" s="1">
        <v>7.5000000000000009</v>
      </c>
      <c r="P18" s="6"/>
      <c r="T18" s="7"/>
      <c r="V18" s="1">
        <v>135.69999999999999</v>
      </c>
    </row>
    <row r="19" spans="2:22" s="1" customFormat="1" x14ac:dyDescent="0.25">
      <c r="B19" s="2"/>
      <c r="C19" s="8">
        <v>40193</v>
      </c>
      <c r="D19" s="1">
        <v>5.6</v>
      </c>
      <c r="E19" s="1">
        <v>5.2</v>
      </c>
      <c r="F19" s="1">
        <v>7.2</v>
      </c>
      <c r="J19" s="1">
        <v>0.1</v>
      </c>
      <c r="L19" s="1">
        <v>0.9</v>
      </c>
      <c r="N19" s="1">
        <v>-0.8</v>
      </c>
      <c r="P19" s="6"/>
      <c r="T19" s="7"/>
      <c r="V19" s="1">
        <v>390.5</v>
      </c>
    </row>
    <row r="20" spans="2:22" s="1" customFormat="1" x14ac:dyDescent="0.25">
      <c r="B20" s="2"/>
      <c r="C20" s="8">
        <v>40194</v>
      </c>
      <c r="D20" s="1">
        <v>6.4</v>
      </c>
      <c r="E20" s="1">
        <v>0.9</v>
      </c>
      <c r="F20" s="1">
        <v>9.4</v>
      </c>
      <c r="J20" s="1">
        <v>5.5</v>
      </c>
      <c r="L20" s="1">
        <v>0.4</v>
      </c>
      <c r="N20" s="1">
        <v>5.0999999999999996</v>
      </c>
      <c r="P20" s="6"/>
      <c r="T20" s="7"/>
      <c r="V20" s="1">
        <v>220.1</v>
      </c>
    </row>
    <row r="21" spans="2:22" s="1" customFormat="1" x14ac:dyDescent="0.25">
      <c r="B21" s="2"/>
      <c r="C21" s="8">
        <v>40195</v>
      </c>
      <c r="D21" s="1">
        <v>8.5</v>
      </c>
      <c r="E21" s="1">
        <v>7</v>
      </c>
      <c r="F21" s="1">
        <v>11.8</v>
      </c>
      <c r="J21" s="1">
        <v>0</v>
      </c>
      <c r="L21" s="1">
        <v>0.9</v>
      </c>
      <c r="N21" s="1">
        <v>-0.9</v>
      </c>
      <c r="P21" s="6"/>
      <c r="T21" s="7"/>
      <c r="V21" s="1">
        <v>403.9</v>
      </c>
    </row>
    <row r="22" spans="2:22" s="1" customFormat="1" x14ac:dyDescent="0.25">
      <c r="B22" s="2"/>
      <c r="C22" s="8">
        <v>40196</v>
      </c>
      <c r="D22" s="1">
        <v>3.4</v>
      </c>
      <c r="E22" s="1">
        <v>-0.2</v>
      </c>
      <c r="F22" s="1">
        <v>5.9</v>
      </c>
      <c r="J22" s="1">
        <v>0.1</v>
      </c>
      <c r="L22" s="1">
        <v>0.5</v>
      </c>
      <c r="N22" s="1">
        <v>-0.4</v>
      </c>
      <c r="P22" s="6"/>
      <c r="T22" s="7"/>
      <c r="V22" s="1">
        <v>596</v>
      </c>
    </row>
    <row r="23" spans="2:22" s="1" customFormat="1" x14ac:dyDescent="0.25">
      <c r="B23" s="2"/>
      <c r="C23" s="8">
        <v>40197</v>
      </c>
      <c r="D23" s="1">
        <v>6.6</v>
      </c>
      <c r="E23" s="1">
        <v>3.3</v>
      </c>
      <c r="F23" s="1">
        <v>8.9</v>
      </c>
      <c r="J23" s="1">
        <v>2.8</v>
      </c>
      <c r="L23" s="1">
        <v>0.7</v>
      </c>
      <c r="N23" s="1">
        <v>2.0999999999999996</v>
      </c>
      <c r="P23" s="6"/>
      <c r="T23" s="7"/>
      <c r="V23" s="1">
        <v>269.39999999999998</v>
      </c>
    </row>
    <row r="24" spans="2:22" s="1" customFormat="1" x14ac:dyDescent="0.25">
      <c r="B24" s="2"/>
      <c r="C24" s="8">
        <v>40198</v>
      </c>
      <c r="D24" s="1">
        <v>8.6999999999999993</v>
      </c>
      <c r="E24" s="1">
        <v>7.3</v>
      </c>
      <c r="F24" s="1">
        <v>10.6</v>
      </c>
      <c r="J24" s="1">
        <v>8.4</v>
      </c>
      <c r="L24" s="1">
        <v>0.5</v>
      </c>
      <c r="N24" s="1">
        <v>7.9</v>
      </c>
      <c r="P24" s="6"/>
      <c r="T24" s="7"/>
      <c r="V24" s="1">
        <v>138.5</v>
      </c>
    </row>
    <row r="25" spans="2:22" s="1" customFormat="1" x14ac:dyDescent="0.25">
      <c r="B25" s="2"/>
      <c r="C25" s="8">
        <v>40199</v>
      </c>
      <c r="D25" s="1">
        <v>7.1</v>
      </c>
      <c r="E25" s="1">
        <v>6.7</v>
      </c>
      <c r="F25" s="1">
        <v>8.8000000000000007</v>
      </c>
      <c r="J25" s="1">
        <v>0</v>
      </c>
      <c r="L25" s="1">
        <v>1.1000000000000001</v>
      </c>
      <c r="N25" s="1">
        <v>-1.1000000000000001</v>
      </c>
      <c r="P25" s="6"/>
      <c r="T25" s="7"/>
      <c r="V25" s="1">
        <v>630.20000000000005</v>
      </c>
    </row>
    <row r="26" spans="2:22" s="1" customFormat="1" x14ac:dyDescent="0.25">
      <c r="B26" s="2"/>
      <c r="C26" s="8">
        <v>40200</v>
      </c>
      <c r="D26" s="1">
        <v>4.5999999999999996</v>
      </c>
      <c r="E26" s="1">
        <v>-0.1</v>
      </c>
      <c r="F26" s="1">
        <v>10</v>
      </c>
      <c r="J26" s="1">
        <v>0</v>
      </c>
      <c r="L26" s="1">
        <v>1.1000000000000001</v>
      </c>
      <c r="N26" s="1">
        <v>-1.1000000000000001</v>
      </c>
      <c r="P26" s="6"/>
      <c r="T26" s="7"/>
      <c r="V26" s="1">
        <v>757.2</v>
      </c>
    </row>
    <row r="27" spans="2:22" s="1" customFormat="1" x14ac:dyDescent="0.25">
      <c r="B27" s="2"/>
      <c r="C27" s="8">
        <v>40201</v>
      </c>
      <c r="D27" s="1">
        <v>6.8</v>
      </c>
      <c r="E27" s="1">
        <v>3</v>
      </c>
      <c r="F27" s="1">
        <v>10.8</v>
      </c>
      <c r="J27" s="1">
        <v>0.1</v>
      </c>
      <c r="L27" s="1">
        <v>0.9</v>
      </c>
      <c r="N27" s="1">
        <v>-0.8</v>
      </c>
      <c r="P27" s="6"/>
      <c r="T27" s="7"/>
      <c r="V27" s="1">
        <v>420.8</v>
      </c>
    </row>
    <row r="28" spans="2:22" s="1" customFormat="1" x14ac:dyDescent="0.25">
      <c r="B28" s="2"/>
      <c r="C28" s="8">
        <v>40202</v>
      </c>
      <c r="D28" s="1">
        <v>7.4</v>
      </c>
      <c r="E28" s="1">
        <v>5.8</v>
      </c>
      <c r="F28" s="1">
        <v>9.6999999999999993</v>
      </c>
      <c r="J28" s="1">
        <v>0.8</v>
      </c>
      <c r="L28" s="1">
        <v>0.5</v>
      </c>
      <c r="N28" s="1">
        <v>0.30000000000000004</v>
      </c>
      <c r="P28" s="6"/>
      <c r="T28" s="7"/>
      <c r="V28" s="1">
        <v>143.80000000000001</v>
      </c>
    </row>
    <row r="29" spans="2:22" s="1" customFormat="1" x14ac:dyDescent="0.25">
      <c r="B29" s="2"/>
      <c r="C29" s="8">
        <v>40203</v>
      </c>
      <c r="D29" s="1">
        <v>4.5999999999999996</v>
      </c>
      <c r="E29" s="1">
        <v>3.4</v>
      </c>
      <c r="F29" s="1">
        <v>7.6</v>
      </c>
      <c r="J29" s="1">
        <v>0</v>
      </c>
      <c r="L29" s="1">
        <v>0.8</v>
      </c>
      <c r="N29" s="1">
        <v>-0.8</v>
      </c>
      <c r="P29" s="6"/>
      <c r="T29" s="7"/>
      <c r="V29" s="1">
        <v>435.4</v>
      </c>
    </row>
    <row r="30" spans="2:22" s="1" customFormat="1" x14ac:dyDescent="0.25">
      <c r="B30" s="2"/>
      <c r="C30" s="8">
        <v>40204</v>
      </c>
      <c r="D30" s="1">
        <v>2.7</v>
      </c>
      <c r="E30" s="1">
        <v>-1.1000000000000001</v>
      </c>
      <c r="F30" s="1">
        <v>7.6</v>
      </c>
      <c r="J30" s="1">
        <v>0</v>
      </c>
      <c r="L30" s="1">
        <v>1.3</v>
      </c>
      <c r="N30" s="1">
        <v>-1.3</v>
      </c>
      <c r="P30" s="6"/>
      <c r="T30" s="7"/>
      <c r="V30" s="1">
        <v>957.1</v>
      </c>
    </row>
    <row r="31" spans="2:22" s="1" customFormat="1" x14ac:dyDescent="0.25">
      <c r="B31" s="2"/>
      <c r="C31" s="8">
        <v>40205</v>
      </c>
      <c r="D31" s="1">
        <v>1.5</v>
      </c>
      <c r="E31" s="1">
        <v>1.2</v>
      </c>
      <c r="F31" s="1">
        <v>3.2</v>
      </c>
      <c r="J31" s="1">
        <v>0</v>
      </c>
      <c r="L31" s="1">
        <v>1.3</v>
      </c>
      <c r="N31" s="1">
        <v>-1.3</v>
      </c>
      <c r="P31" s="6"/>
      <c r="T31" s="7"/>
      <c r="V31" s="1">
        <v>907.7</v>
      </c>
    </row>
    <row r="32" spans="2:22" s="1" customFormat="1" x14ac:dyDescent="0.25">
      <c r="B32" s="2"/>
      <c r="C32" s="8">
        <v>40206</v>
      </c>
      <c r="D32" s="1">
        <v>4.0999999999999996</v>
      </c>
      <c r="E32" s="1">
        <v>-1.2</v>
      </c>
      <c r="F32" s="1">
        <v>6.6</v>
      </c>
      <c r="J32" s="1">
        <v>0.4</v>
      </c>
      <c r="L32" s="1">
        <v>0.6</v>
      </c>
      <c r="N32" s="1">
        <v>-0.19999999999999996</v>
      </c>
      <c r="P32" s="6"/>
      <c r="T32" s="7"/>
      <c r="V32" s="1">
        <v>176.5</v>
      </c>
    </row>
    <row r="33" spans="2:22" s="1" customFormat="1" x14ac:dyDescent="0.25">
      <c r="B33" s="2"/>
      <c r="C33" s="8">
        <v>40207</v>
      </c>
      <c r="D33" s="1">
        <v>7</v>
      </c>
      <c r="E33" s="1">
        <v>5.2</v>
      </c>
      <c r="F33" s="1">
        <v>9.8000000000000007</v>
      </c>
      <c r="J33" s="1">
        <v>4</v>
      </c>
      <c r="L33" s="1">
        <v>1.2</v>
      </c>
      <c r="N33" s="1">
        <v>2.8</v>
      </c>
      <c r="P33" s="6"/>
      <c r="T33" s="7"/>
      <c r="V33" s="1">
        <v>282.60000000000002</v>
      </c>
    </row>
    <row r="34" spans="2:22" s="1" customFormat="1" x14ac:dyDescent="0.25">
      <c r="B34" s="2"/>
      <c r="C34" s="8">
        <v>40208</v>
      </c>
      <c r="D34" s="1">
        <v>5.5</v>
      </c>
      <c r="E34" s="1">
        <v>3.1</v>
      </c>
      <c r="F34" s="1">
        <v>9.1</v>
      </c>
      <c r="J34" s="1">
        <v>0.2</v>
      </c>
      <c r="L34" s="1">
        <v>1.7</v>
      </c>
      <c r="N34" s="1">
        <v>-1.5</v>
      </c>
      <c r="P34" s="6"/>
      <c r="T34" s="7"/>
      <c r="V34" s="1">
        <v>468.9</v>
      </c>
    </row>
    <row r="35" spans="2:22" s="1" customFormat="1" x14ac:dyDescent="0.25">
      <c r="B35" s="2"/>
      <c r="C35" s="8">
        <v>40209</v>
      </c>
      <c r="D35" s="1">
        <v>0.7</v>
      </c>
      <c r="E35" s="1">
        <v>-1.2</v>
      </c>
      <c r="F35" s="1">
        <v>4.5</v>
      </c>
      <c r="J35" s="1">
        <v>0</v>
      </c>
      <c r="L35" s="1">
        <v>1.1000000000000001</v>
      </c>
      <c r="N35" s="1">
        <v>-1.1000000000000001</v>
      </c>
      <c r="P35" s="6"/>
      <c r="T35" s="7"/>
      <c r="V35" s="1">
        <v>943.5</v>
      </c>
    </row>
    <row r="36" spans="2:22" s="1" customFormat="1" x14ac:dyDescent="0.25">
      <c r="B36" s="2"/>
      <c r="C36" s="8">
        <v>40210</v>
      </c>
      <c r="D36" s="1">
        <v>0.4</v>
      </c>
      <c r="E36" s="1">
        <v>-4.5</v>
      </c>
      <c r="F36" s="1">
        <v>6.7</v>
      </c>
      <c r="J36" s="1">
        <v>0</v>
      </c>
      <c r="L36" s="1">
        <v>0.7</v>
      </c>
      <c r="N36" s="1">
        <v>-0.7</v>
      </c>
      <c r="P36" s="6"/>
      <c r="T36" s="7"/>
      <c r="V36" s="1">
        <v>855.3</v>
      </c>
    </row>
    <row r="37" spans="2:22" s="1" customFormat="1" x14ac:dyDescent="0.25">
      <c r="B37" s="2"/>
      <c r="C37" s="8">
        <v>40211</v>
      </c>
      <c r="D37" s="1">
        <v>2.1</v>
      </c>
      <c r="E37" s="1">
        <v>-3</v>
      </c>
      <c r="F37" s="1">
        <v>9.1</v>
      </c>
      <c r="J37" s="1">
        <v>0</v>
      </c>
      <c r="L37" s="1">
        <v>1</v>
      </c>
      <c r="N37" s="1">
        <v>-1</v>
      </c>
      <c r="P37" s="6"/>
      <c r="T37" s="7"/>
      <c r="V37" s="1">
        <v>999.1</v>
      </c>
    </row>
    <row r="38" spans="2:22" s="1" customFormat="1" x14ac:dyDescent="0.25">
      <c r="B38" s="2"/>
      <c r="C38" s="8">
        <v>40212</v>
      </c>
      <c r="D38" s="1">
        <v>3.3</v>
      </c>
      <c r="E38" s="1">
        <v>-3</v>
      </c>
      <c r="F38" s="1">
        <v>9.1999999999999993</v>
      </c>
      <c r="J38" s="1">
        <v>0</v>
      </c>
      <c r="L38" s="1">
        <v>1.3</v>
      </c>
      <c r="N38" s="1">
        <v>-1.3</v>
      </c>
      <c r="P38" s="6"/>
      <c r="T38" s="7"/>
      <c r="V38" s="1">
        <v>1166.2</v>
      </c>
    </row>
    <row r="39" spans="2:22" s="1" customFormat="1" x14ac:dyDescent="0.25">
      <c r="B39" s="2"/>
      <c r="C39" s="8">
        <v>40213</v>
      </c>
      <c r="D39" s="1">
        <v>8.4</v>
      </c>
      <c r="E39" s="1">
        <v>1.4</v>
      </c>
      <c r="F39" s="1">
        <v>12.7</v>
      </c>
      <c r="J39" s="1">
        <v>13.4</v>
      </c>
      <c r="L39" s="1">
        <v>0.7</v>
      </c>
      <c r="N39" s="1">
        <v>12.700000000000001</v>
      </c>
      <c r="P39" s="6"/>
      <c r="T39" s="7"/>
      <c r="V39" s="1">
        <v>447.2</v>
      </c>
    </row>
    <row r="40" spans="2:22" s="1" customFormat="1" x14ac:dyDescent="0.25">
      <c r="B40" s="2"/>
      <c r="C40" s="8">
        <v>40214</v>
      </c>
      <c r="D40" s="1">
        <v>8.4</v>
      </c>
      <c r="E40" s="1">
        <v>6.4</v>
      </c>
      <c r="F40" s="1">
        <v>12.9</v>
      </c>
      <c r="J40" s="1">
        <v>7.2</v>
      </c>
      <c r="L40" s="1">
        <v>1.4</v>
      </c>
      <c r="N40" s="1">
        <v>5.8000000000000007</v>
      </c>
      <c r="P40" s="6"/>
      <c r="T40" s="7"/>
      <c r="V40" s="1">
        <v>594.20000000000005</v>
      </c>
    </row>
    <row r="41" spans="2:22" s="1" customFormat="1" x14ac:dyDescent="0.25">
      <c r="B41" s="2"/>
      <c r="C41" s="8">
        <v>40215</v>
      </c>
      <c r="D41" s="1">
        <v>9.6</v>
      </c>
      <c r="E41" s="1">
        <v>3.9</v>
      </c>
      <c r="F41" s="1">
        <v>13.6</v>
      </c>
      <c r="J41" s="1">
        <v>2.7</v>
      </c>
      <c r="L41" s="1">
        <v>1.3</v>
      </c>
      <c r="N41" s="1">
        <v>1.4000000000000001</v>
      </c>
      <c r="P41" s="6"/>
      <c r="T41" s="7"/>
      <c r="V41" s="1">
        <v>526.20000000000005</v>
      </c>
    </row>
    <row r="42" spans="2:22" s="1" customFormat="1" x14ac:dyDescent="0.25">
      <c r="B42" s="2"/>
      <c r="C42" s="8">
        <v>40216</v>
      </c>
      <c r="D42" s="1">
        <v>7.9</v>
      </c>
      <c r="E42" s="1">
        <v>7</v>
      </c>
      <c r="F42" s="1">
        <v>11.7</v>
      </c>
      <c r="J42" s="1">
        <v>0</v>
      </c>
      <c r="L42" s="1">
        <v>1.8</v>
      </c>
      <c r="N42" s="1">
        <v>-1.8</v>
      </c>
      <c r="P42" s="6"/>
      <c r="T42" s="7"/>
      <c r="V42" s="1">
        <v>1074.7</v>
      </c>
    </row>
    <row r="43" spans="2:22" s="1" customFormat="1" x14ac:dyDescent="0.25">
      <c r="B43" s="2"/>
      <c r="C43" s="8">
        <v>40217</v>
      </c>
      <c r="D43" s="1">
        <v>4.2</v>
      </c>
      <c r="E43" s="1">
        <v>-1.2</v>
      </c>
      <c r="F43" s="1">
        <v>9.4</v>
      </c>
      <c r="J43" s="1">
        <v>1.1000000000000001</v>
      </c>
      <c r="L43" s="1">
        <v>0.7</v>
      </c>
      <c r="N43" s="1">
        <v>0.40000000000000013</v>
      </c>
      <c r="P43" s="6"/>
      <c r="T43" s="7"/>
      <c r="V43" s="1">
        <v>471.5</v>
      </c>
    </row>
    <row r="44" spans="2:22" s="1" customFormat="1" x14ac:dyDescent="0.25">
      <c r="B44" s="2"/>
      <c r="C44" s="8">
        <v>40218</v>
      </c>
      <c r="D44" s="1">
        <v>4</v>
      </c>
      <c r="E44" s="1">
        <v>3.3</v>
      </c>
      <c r="F44" s="1">
        <v>4.9000000000000004</v>
      </c>
      <c r="J44" s="1">
        <v>0.4</v>
      </c>
      <c r="L44" s="1">
        <v>1.2</v>
      </c>
      <c r="N44" s="1">
        <v>-0.79999999999999993</v>
      </c>
      <c r="P44" s="6"/>
      <c r="T44" s="7"/>
      <c r="V44" s="1">
        <v>742.6</v>
      </c>
    </row>
    <row r="45" spans="2:22" s="1" customFormat="1" x14ac:dyDescent="0.25">
      <c r="B45" s="2"/>
      <c r="C45" s="8">
        <v>40219</v>
      </c>
      <c r="D45" s="1">
        <v>1.3</v>
      </c>
      <c r="E45" s="1">
        <v>1.1000000000000001</v>
      </c>
      <c r="F45" s="1">
        <v>1.7</v>
      </c>
      <c r="J45" s="1">
        <v>0.1</v>
      </c>
      <c r="L45" s="1">
        <v>1.1000000000000001</v>
      </c>
      <c r="N45" s="1">
        <v>-1</v>
      </c>
      <c r="P45" s="6"/>
      <c r="T45" s="7"/>
      <c r="V45" s="1">
        <v>529.4</v>
      </c>
    </row>
    <row r="46" spans="2:22" s="1" customFormat="1" x14ac:dyDescent="0.25">
      <c r="B46" s="2"/>
      <c r="C46" s="8">
        <v>40220</v>
      </c>
      <c r="D46" s="1">
        <v>-1.7</v>
      </c>
      <c r="E46" s="1">
        <v>-3.1</v>
      </c>
      <c r="F46" s="1">
        <v>-0.6</v>
      </c>
      <c r="J46" s="1">
        <v>0</v>
      </c>
      <c r="L46" s="1">
        <v>0.9</v>
      </c>
      <c r="N46" s="1">
        <v>-0.9</v>
      </c>
      <c r="P46" s="6"/>
      <c r="T46" s="7"/>
      <c r="V46" s="1">
        <v>472.2</v>
      </c>
    </row>
    <row r="47" spans="2:22" s="1" customFormat="1" x14ac:dyDescent="0.25">
      <c r="B47" s="2"/>
      <c r="C47" s="8">
        <v>40221</v>
      </c>
      <c r="D47" s="1">
        <v>-1.5</v>
      </c>
      <c r="E47" s="1">
        <v>-3</v>
      </c>
      <c r="F47" s="1">
        <v>0</v>
      </c>
      <c r="J47" s="1">
        <v>0</v>
      </c>
      <c r="L47" s="1">
        <v>0.6</v>
      </c>
      <c r="N47" s="1">
        <v>-0.6</v>
      </c>
      <c r="P47" s="6"/>
      <c r="T47" s="7"/>
      <c r="V47" s="1">
        <v>154.80000000000001</v>
      </c>
    </row>
    <row r="48" spans="2:22" s="1" customFormat="1" x14ac:dyDescent="0.25">
      <c r="B48" s="2"/>
      <c r="C48" s="8">
        <v>40222</v>
      </c>
      <c r="D48" s="1">
        <v>-0.6</v>
      </c>
      <c r="E48" s="1">
        <v>-2.1</v>
      </c>
      <c r="F48" s="1">
        <v>1.3</v>
      </c>
      <c r="J48" s="1">
        <v>0.1</v>
      </c>
      <c r="L48" s="1">
        <v>1.2</v>
      </c>
      <c r="N48" s="1">
        <v>-1.0999999999999999</v>
      </c>
      <c r="P48" s="6"/>
      <c r="T48" s="7"/>
      <c r="V48" s="1">
        <v>801.2</v>
      </c>
    </row>
    <row r="49" spans="2:22" s="1" customFormat="1" x14ac:dyDescent="0.25">
      <c r="B49" s="2"/>
      <c r="C49" s="8">
        <v>40223</v>
      </c>
      <c r="D49" s="1">
        <v>-0.1</v>
      </c>
      <c r="E49" s="1">
        <v>-0.8</v>
      </c>
      <c r="F49" s="1">
        <v>0.6</v>
      </c>
      <c r="J49" s="1">
        <v>0.1</v>
      </c>
      <c r="L49" s="1">
        <v>0.8</v>
      </c>
      <c r="N49" s="1">
        <v>-0.70000000000000007</v>
      </c>
      <c r="P49" s="6"/>
      <c r="T49" s="7"/>
      <c r="V49" s="1">
        <v>563.9</v>
      </c>
    </row>
    <row r="50" spans="2:22" s="1" customFormat="1" x14ac:dyDescent="0.25">
      <c r="B50" s="2"/>
      <c r="C50" s="8">
        <v>40224</v>
      </c>
      <c r="D50" s="1">
        <v>0.6</v>
      </c>
      <c r="E50" s="1">
        <v>-1.3</v>
      </c>
      <c r="F50" s="1">
        <v>2.2000000000000002</v>
      </c>
      <c r="J50" s="1">
        <v>0</v>
      </c>
      <c r="L50" s="1">
        <v>1</v>
      </c>
      <c r="N50" s="1">
        <v>-1</v>
      </c>
      <c r="P50" s="6"/>
      <c r="T50" s="7"/>
      <c r="V50" s="1">
        <v>904.4</v>
      </c>
    </row>
    <row r="51" spans="2:22" s="1" customFormat="1" x14ac:dyDescent="0.25">
      <c r="B51" s="2"/>
      <c r="C51" s="8">
        <v>40225</v>
      </c>
      <c r="D51" s="1">
        <v>5.5</v>
      </c>
      <c r="E51" s="1">
        <v>-0.4</v>
      </c>
      <c r="F51" s="1">
        <v>9</v>
      </c>
      <c r="J51" s="1">
        <v>0.1</v>
      </c>
      <c r="L51" s="1">
        <v>0.5</v>
      </c>
      <c r="N51" s="1">
        <v>-0.4</v>
      </c>
      <c r="P51" s="6"/>
      <c r="T51" s="7"/>
      <c r="V51" s="1">
        <v>253.1</v>
      </c>
    </row>
    <row r="52" spans="2:22" s="1" customFormat="1" x14ac:dyDescent="0.25">
      <c r="B52" s="2"/>
      <c r="C52" s="8">
        <v>40226</v>
      </c>
      <c r="D52" s="1">
        <v>8.6999999999999993</v>
      </c>
      <c r="E52" s="1">
        <v>6.3</v>
      </c>
      <c r="F52" s="1">
        <v>11.4</v>
      </c>
      <c r="J52" s="1">
        <v>2.1</v>
      </c>
      <c r="L52" s="1">
        <v>0.7</v>
      </c>
      <c r="N52" s="1">
        <v>1.4000000000000001</v>
      </c>
      <c r="P52" s="6"/>
      <c r="T52" s="7"/>
      <c r="V52" s="1">
        <v>247.9</v>
      </c>
    </row>
    <row r="53" spans="2:22" s="1" customFormat="1" x14ac:dyDescent="0.25">
      <c r="B53" s="2"/>
      <c r="C53" s="8">
        <v>40227</v>
      </c>
      <c r="D53" s="1">
        <v>9.1999999999999993</v>
      </c>
      <c r="E53" s="1">
        <v>4.9000000000000004</v>
      </c>
      <c r="F53" s="1">
        <v>13.5</v>
      </c>
      <c r="J53" s="1">
        <v>4.9000000000000004</v>
      </c>
      <c r="L53" s="1">
        <v>1.7</v>
      </c>
      <c r="N53" s="1">
        <v>3.2</v>
      </c>
      <c r="P53" s="6"/>
      <c r="T53" s="7"/>
      <c r="V53" s="1">
        <v>1041.3</v>
      </c>
    </row>
    <row r="54" spans="2:22" s="1" customFormat="1" x14ac:dyDescent="0.25">
      <c r="B54" s="2"/>
      <c r="C54" s="8">
        <v>40228</v>
      </c>
      <c r="D54" s="1">
        <v>6.7</v>
      </c>
      <c r="E54" s="1">
        <v>6.1</v>
      </c>
      <c r="F54" s="1">
        <v>8.1999999999999993</v>
      </c>
      <c r="J54" s="1">
        <v>0.6</v>
      </c>
      <c r="L54" s="1">
        <v>1</v>
      </c>
      <c r="N54" s="1">
        <v>-0.4</v>
      </c>
      <c r="P54" s="6"/>
      <c r="T54" s="7"/>
      <c r="V54" s="1">
        <v>428.2</v>
      </c>
    </row>
    <row r="55" spans="2:22" s="1" customFormat="1" x14ac:dyDescent="0.25">
      <c r="B55" s="2"/>
      <c r="C55" s="8">
        <v>40229</v>
      </c>
      <c r="D55" s="1">
        <v>5.7</v>
      </c>
      <c r="E55" s="1">
        <v>3.7</v>
      </c>
      <c r="F55" s="1">
        <v>9.6999999999999993</v>
      </c>
      <c r="J55" s="1">
        <v>0.6</v>
      </c>
      <c r="L55" s="1">
        <v>1.3</v>
      </c>
      <c r="N55" s="1">
        <v>-0.70000000000000007</v>
      </c>
      <c r="P55" s="6"/>
      <c r="T55" s="7"/>
      <c r="V55" s="1">
        <v>383.7</v>
      </c>
    </row>
    <row r="56" spans="2:22" s="1" customFormat="1" x14ac:dyDescent="0.25">
      <c r="B56" s="2"/>
      <c r="C56" s="8">
        <v>40230</v>
      </c>
      <c r="D56" s="1">
        <v>5.8</v>
      </c>
      <c r="E56" s="1">
        <v>-0.1</v>
      </c>
      <c r="F56" s="1">
        <v>10.199999999999999</v>
      </c>
      <c r="J56" s="1">
        <v>0</v>
      </c>
      <c r="L56" s="1">
        <v>0.7</v>
      </c>
      <c r="N56" s="1">
        <v>-0.7</v>
      </c>
      <c r="P56" s="6"/>
      <c r="T56" s="7"/>
      <c r="V56" s="1">
        <v>496</v>
      </c>
    </row>
    <row r="57" spans="2:22" s="1" customFormat="1" x14ac:dyDescent="0.25">
      <c r="B57" s="2"/>
      <c r="C57" s="8">
        <v>40231</v>
      </c>
      <c r="D57" s="1">
        <v>9.1</v>
      </c>
      <c r="E57" s="1">
        <v>4.5999999999999996</v>
      </c>
      <c r="F57" s="1">
        <v>13</v>
      </c>
      <c r="J57" s="1">
        <v>0.3</v>
      </c>
      <c r="L57" s="1">
        <v>1.1000000000000001</v>
      </c>
      <c r="N57" s="1">
        <v>-0.8</v>
      </c>
      <c r="P57" s="6"/>
      <c r="T57" s="7"/>
      <c r="V57" s="1">
        <v>420.9</v>
      </c>
    </row>
    <row r="58" spans="2:22" s="1" customFormat="1" x14ac:dyDescent="0.25">
      <c r="B58" s="2"/>
      <c r="C58" s="8">
        <v>40232</v>
      </c>
      <c r="D58" s="1">
        <v>10.8</v>
      </c>
      <c r="E58" s="1">
        <v>6.5</v>
      </c>
      <c r="F58" s="1">
        <v>15.4</v>
      </c>
      <c r="J58" s="1">
        <v>0.8</v>
      </c>
      <c r="L58" s="1">
        <v>1</v>
      </c>
      <c r="N58" s="1">
        <v>-0.19999999999999996</v>
      </c>
      <c r="P58" s="6"/>
      <c r="T58" s="7"/>
      <c r="V58" s="1">
        <v>478</v>
      </c>
    </row>
    <row r="59" spans="2:22" s="1" customFormat="1" x14ac:dyDescent="0.25">
      <c r="B59" s="2"/>
      <c r="C59" s="8">
        <v>40233</v>
      </c>
      <c r="D59" s="1">
        <v>11.5</v>
      </c>
      <c r="E59" s="1">
        <v>8.1999999999999993</v>
      </c>
      <c r="F59" s="1">
        <v>16.7</v>
      </c>
      <c r="J59" s="1">
        <v>2.7</v>
      </c>
      <c r="L59" s="1">
        <v>2.2999999999999998</v>
      </c>
      <c r="N59" s="1">
        <v>0.40000000000000036</v>
      </c>
      <c r="P59" s="6"/>
      <c r="T59" s="7"/>
      <c r="V59" s="1">
        <v>943.3</v>
      </c>
    </row>
    <row r="60" spans="2:22" s="1" customFormat="1" x14ac:dyDescent="0.25">
      <c r="B60" s="2"/>
      <c r="C60" s="8">
        <v>40234</v>
      </c>
      <c r="D60" s="1">
        <v>10.4</v>
      </c>
      <c r="E60" s="1">
        <v>7.2</v>
      </c>
      <c r="F60" s="1">
        <v>13.5</v>
      </c>
      <c r="J60" s="1">
        <v>0.3</v>
      </c>
      <c r="L60" s="1">
        <v>1.3</v>
      </c>
      <c r="N60" s="1">
        <v>-1</v>
      </c>
      <c r="P60" s="6"/>
      <c r="T60" s="7"/>
      <c r="V60" s="1">
        <v>500.2</v>
      </c>
    </row>
    <row r="61" spans="2:22" s="1" customFormat="1" x14ac:dyDescent="0.25">
      <c r="B61" s="2"/>
      <c r="C61" s="8">
        <v>40235</v>
      </c>
      <c r="D61" s="1">
        <v>9.8000000000000007</v>
      </c>
      <c r="E61" s="1">
        <v>10.1</v>
      </c>
      <c r="F61" s="1">
        <v>12.9</v>
      </c>
      <c r="J61" s="1">
        <v>0.4</v>
      </c>
      <c r="L61" s="1">
        <v>3</v>
      </c>
      <c r="N61" s="1">
        <v>-2.6</v>
      </c>
      <c r="P61" s="6"/>
      <c r="T61" s="7"/>
      <c r="V61" s="1">
        <v>1237.9000000000001</v>
      </c>
    </row>
    <row r="62" spans="2:22" s="1" customFormat="1" x14ac:dyDescent="0.25">
      <c r="B62" s="2"/>
      <c r="C62" s="8">
        <v>40236</v>
      </c>
      <c r="D62" s="1">
        <v>9.6</v>
      </c>
      <c r="E62" s="1">
        <v>2.7</v>
      </c>
      <c r="F62" s="1">
        <v>13.5</v>
      </c>
      <c r="J62" s="1">
        <v>0.6</v>
      </c>
      <c r="L62" s="1">
        <v>1</v>
      </c>
      <c r="N62" s="1">
        <v>-0.4</v>
      </c>
      <c r="P62" s="6"/>
      <c r="T62" s="7"/>
      <c r="V62" s="1">
        <v>561</v>
      </c>
    </row>
    <row r="63" spans="2:22" s="1" customFormat="1" x14ac:dyDescent="0.25">
      <c r="B63" s="2"/>
      <c r="C63" s="8">
        <v>40237</v>
      </c>
      <c r="D63" s="1">
        <v>11.4</v>
      </c>
      <c r="E63" s="1">
        <v>10.6</v>
      </c>
      <c r="F63" s="1">
        <v>15.2</v>
      </c>
      <c r="J63" s="1">
        <v>0</v>
      </c>
      <c r="L63" s="1">
        <v>2.9</v>
      </c>
      <c r="N63" s="1">
        <v>-2.9</v>
      </c>
      <c r="P63" s="6"/>
      <c r="T63" s="7"/>
      <c r="V63" s="1">
        <v>1244.0999999999999</v>
      </c>
    </row>
    <row r="64" spans="2:22" s="1" customFormat="1" x14ac:dyDescent="0.25">
      <c r="B64" s="2"/>
      <c r="C64" s="8">
        <v>40238</v>
      </c>
      <c r="D64" s="1">
        <v>8.1</v>
      </c>
      <c r="E64" s="1">
        <v>4.4000000000000004</v>
      </c>
      <c r="F64" s="1">
        <v>11.9</v>
      </c>
      <c r="J64" s="1">
        <v>0.2</v>
      </c>
      <c r="L64" s="1">
        <v>1.1000000000000001</v>
      </c>
      <c r="N64" s="1">
        <v>-0.90000000000000013</v>
      </c>
      <c r="P64" s="6"/>
      <c r="T64" s="7"/>
      <c r="V64" s="1">
        <v>684</v>
      </c>
    </row>
    <row r="65" spans="2:22" s="1" customFormat="1" x14ac:dyDescent="0.25">
      <c r="B65" s="2"/>
      <c r="C65" s="8">
        <v>40239</v>
      </c>
      <c r="D65" s="1">
        <v>9.1</v>
      </c>
      <c r="E65" s="1">
        <v>1.5</v>
      </c>
      <c r="F65" s="1">
        <v>16.100000000000001</v>
      </c>
      <c r="J65" s="1">
        <v>1.8</v>
      </c>
      <c r="L65" s="1">
        <v>1.6</v>
      </c>
      <c r="N65" s="1">
        <v>0.19999999999999996</v>
      </c>
      <c r="P65" s="6"/>
      <c r="T65" s="7"/>
      <c r="V65" s="1">
        <v>1026.7</v>
      </c>
    </row>
    <row r="66" spans="2:22" s="1" customFormat="1" x14ac:dyDescent="0.25">
      <c r="B66" s="2"/>
      <c r="C66" s="8">
        <v>40240</v>
      </c>
      <c r="D66" s="1">
        <v>9</v>
      </c>
      <c r="E66" s="1">
        <v>8.5</v>
      </c>
      <c r="F66" s="1">
        <v>10.4</v>
      </c>
      <c r="J66" s="1">
        <v>3.3</v>
      </c>
      <c r="L66" s="1">
        <v>1.2</v>
      </c>
      <c r="N66" s="1">
        <v>2.0999999999999996</v>
      </c>
      <c r="P66" s="6"/>
      <c r="T66" s="7"/>
      <c r="V66" s="1">
        <v>248.3</v>
      </c>
    </row>
    <row r="67" spans="2:22" s="1" customFormat="1" x14ac:dyDescent="0.25">
      <c r="B67" s="2"/>
      <c r="C67" s="8">
        <v>40241</v>
      </c>
      <c r="D67" s="1">
        <v>9.5</v>
      </c>
      <c r="E67" s="1">
        <v>8.1999999999999993</v>
      </c>
      <c r="F67" s="1">
        <v>13.1</v>
      </c>
      <c r="J67" s="1">
        <v>0.4</v>
      </c>
      <c r="L67" s="1">
        <v>1.8</v>
      </c>
      <c r="N67" s="1">
        <v>-1.4</v>
      </c>
      <c r="P67" s="6"/>
      <c r="T67" s="7"/>
      <c r="V67" s="1">
        <v>679</v>
      </c>
    </row>
    <row r="68" spans="2:22" s="1" customFormat="1" x14ac:dyDescent="0.25">
      <c r="B68" s="2"/>
      <c r="C68" s="8">
        <v>40242</v>
      </c>
      <c r="D68" s="1">
        <v>6</v>
      </c>
      <c r="E68" s="1">
        <v>3.7</v>
      </c>
      <c r="F68" s="1">
        <v>10.7</v>
      </c>
      <c r="J68" s="1">
        <v>0</v>
      </c>
      <c r="L68" s="1">
        <v>2.4</v>
      </c>
      <c r="N68" s="1">
        <v>-2.4</v>
      </c>
      <c r="P68" s="6"/>
      <c r="T68" s="7"/>
      <c r="V68" s="1">
        <v>1485</v>
      </c>
    </row>
    <row r="69" spans="2:22" s="1" customFormat="1" x14ac:dyDescent="0.25">
      <c r="B69" s="2"/>
      <c r="C69" s="8">
        <v>40243</v>
      </c>
      <c r="D69" s="1">
        <v>4.0999999999999996</v>
      </c>
      <c r="E69" s="1">
        <v>-2.5</v>
      </c>
      <c r="F69" s="1">
        <v>9</v>
      </c>
      <c r="J69" s="1">
        <v>0</v>
      </c>
      <c r="L69" s="1">
        <v>1.7</v>
      </c>
      <c r="N69" s="1">
        <v>-1.7</v>
      </c>
      <c r="P69" s="6"/>
      <c r="T69" s="7"/>
      <c r="V69" s="1">
        <v>1387.3</v>
      </c>
    </row>
    <row r="70" spans="2:22" s="1" customFormat="1" x14ac:dyDescent="0.25">
      <c r="B70" s="2"/>
      <c r="C70" s="8">
        <v>40244</v>
      </c>
      <c r="D70" s="1">
        <v>2.7</v>
      </c>
      <c r="E70" s="1">
        <v>-1.8</v>
      </c>
      <c r="F70" s="1">
        <v>8.3000000000000007</v>
      </c>
      <c r="J70" s="1">
        <v>0</v>
      </c>
      <c r="L70" s="1">
        <v>2.1</v>
      </c>
      <c r="N70" s="1">
        <v>-2.1</v>
      </c>
      <c r="P70" s="6"/>
      <c r="T70" s="7"/>
      <c r="V70" s="1">
        <v>1423.7</v>
      </c>
    </row>
    <row r="71" spans="2:22" s="1" customFormat="1" x14ac:dyDescent="0.25">
      <c r="B71" s="2"/>
      <c r="C71" s="8">
        <v>40245</v>
      </c>
      <c r="D71" s="1">
        <v>-1.3</v>
      </c>
      <c r="E71" s="1">
        <v>-1.6</v>
      </c>
      <c r="F71" s="1">
        <v>-1.1000000000000001</v>
      </c>
      <c r="J71" s="1">
        <v>0</v>
      </c>
      <c r="L71" s="1">
        <v>0.6</v>
      </c>
      <c r="N71" s="1">
        <v>-0.6</v>
      </c>
      <c r="P71" s="6"/>
      <c r="T71" s="7"/>
      <c r="V71" s="1">
        <v>296.60000000000002</v>
      </c>
    </row>
    <row r="72" spans="2:22" s="1" customFormat="1" x14ac:dyDescent="0.25">
      <c r="B72" s="2"/>
      <c r="C72" s="8">
        <v>40246</v>
      </c>
      <c r="D72" s="1">
        <v>-0.1</v>
      </c>
      <c r="E72" s="1">
        <v>-4.0999999999999996</v>
      </c>
      <c r="F72" s="1">
        <v>3.5</v>
      </c>
      <c r="J72" s="1">
        <v>0</v>
      </c>
      <c r="L72" s="1">
        <v>1.6</v>
      </c>
      <c r="N72" s="1">
        <v>-1.6</v>
      </c>
      <c r="P72" s="6"/>
      <c r="T72" s="7"/>
      <c r="V72" s="1">
        <v>1344.3</v>
      </c>
    </row>
    <row r="73" spans="2:22" s="1" customFormat="1" x14ac:dyDescent="0.25">
      <c r="B73" s="2"/>
      <c r="C73" s="8">
        <v>40247</v>
      </c>
      <c r="D73" s="1">
        <v>-0.4</v>
      </c>
      <c r="E73" s="1">
        <v>-2.5</v>
      </c>
      <c r="F73" s="1">
        <v>1.7</v>
      </c>
      <c r="J73" s="1">
        <v>0</v>
      </c>
      <c r="L73" s="1">
        <v>1.6</v>
      </c>
      <c r="N73" s="1">
        <v>-1.6</v>
      </c>
      <c r="P73" s="6"/>
      <c r="T73" s="7"/>
      <c r="V73" s="1">
        <v>1303.7</v>
      </c>
    </row>
    <row r="74" spans="2:22" s="1" customFormat="1" x14ac:dyDescent="0.25">
      <c r="B74" s="2"/>
      <c r="C74" s="8">
        <v>40248</v>
      </c>
      <c r="D74" s="1">
        <v>0.5</v>
      </c>
      <c r="E74" s="1">
        <v>-2.9</v>
      </c>
      <c r="F74" s="1">
        <v>2.1</v>
      </c>
      <c r="J74" s="1">
        <v>0</v>
      </c>
      <c r="L74" s="1">
        <v>0.8</v>
      </c>
      <c r="N74" s="1">
        <v>-0.8</v>
      </c>
      <c r="P74" s="6"/>
      <c r="T74" s="7"/>
      <c r="V74" s="1">
        <v>565.29999999999995</v>
      </c>
    </row>
    <row r="75" spans="2:22" s="1" customFormat="1" x14ac:dyDescent="0.25">
      <c r="B75" s="2"/>
      <c r="C75" s="8">
        <v>40249</v>
      </c>
      <c r="D75" s="1">
        <v>3.7</v>
      </c>
      <c r="E75" s="1">
        <v>0.1</v>
      </c>
      <c r="F75" s="1">
        <v>8.3000000000000007</v>
      </c>
      <c r="J75" s="1">
        <v>0</v>
      </c>
      <c r="L75" s="1">
        <v>1.9</v>
      </c>
      <c r="N75" s="1">
        <v>-1.9</v>
      </c>
      <c r="P75" s="6"/>
      <c r="T75" s="7"/>
      <c r="V75" s="1">
        <v>1185.0999999999999</v>
      </c>
    </row>
    <row r="76" spans="2:22" s="1" customFormat="1" x14ac:dyDescent="0.25">
      <c r="B76" s="2"/>
      <c r="C76" s="8">
        <v>40250</v>
      </c>
      <c r="D76" s="1">
        <v>4.3</v>
      </c>
      <c r="E76" s="1">
        <v>1.5</v>
      </c>
      <c r="F76" s="1">
        <v>8.3000000000000007</v>
      </c>
      <c r="J76" s="1">
        <v>0</v>
      </c>
      <c r="L76" s="1">
        <v>1.9</v>
      </c>
      <c r="N76" s="1">
        <v>-1.9</v>
      </c>
      <c r="P76" s="6"/>
      <c r="T76" s="7"/>
      <c r="V76" s="1">
        <v>1148</v>
      </c>
    </row>
    <row r="77" spans="2:22" s="1" customFormat="1" x14ac:dyDescent="0.25">
      <c r="B77" s="2"/>
      <c r="C77" s="8">
        <v>40251</v>
      </c>
      <c r="D77" s="1">
        <v>4.7</v>
      </c>
      <c r="E77" s="1">
        <v>0.9</v>
      </c>
      <c r="F77" s="1">
        <v>6.9</v>
      </c>
      <c r="J77" s="1">
        <v>0</v>
      </c>
      <c r="L77" s="1">
        <v>1.5</v>
      </c>
      <c r="N77" s="1">
        <v>-1.5</v>
      </c>
      <c r="P77" s="6"/>
      <c r="T77" s="7"/>
      <c r="V77" s="1">
        <v>1015.8</v>
      </c>
    </row>
    <row r="78" spans="2:22" s="1" customFormat="1" x14ac:dyDescent="0.25">
      <c r="B78" s="2"/>
      <c r="C78" s="8">
        <v>40252</v>
      </c>
      <c r="D78" s="1">
        <v>6.2</v>
      </c>
      <c r="E78" s="1">
        <v>1.6</v>
      </c>
      <c r="F78" s="1">
        <v>11</v>
      </c>
      <c r="J78" s="1">
        <v>0</v>
      </c>
      <c r="L78" s="1">
        <v>2.2000000000000002</v>
      </c>
      <c r="N78" s="1">
        <v>-2.2000000000000002</v>
      </c>
      <c r="P78" s="6"/>
      <c r="T78" s="7"/>
      <c r="V78" s="1">
        <v>1592.9</v>
      </c>
    </row>
    <row r="79" spans="2:22" s="1" customFormat="1" x14ac:dyDescent="0.25">
      <c r="B79" s="2"/>
      <c r="C79" s="8">
        <v>40253</v>
      </c>
      <c r="D79" s="1">
        <v>7.1</v>
      </c>
      <c r="E79" s="1">
        <v>-1.4</v>
      </c>
      <c r="F79" s="1">
        <v>15.4</v>
      </c>
      <c r="J79" s="1">
        <v>0</v>
      </c>
      <c r="L79" s="1">
        <v>2.6</v>
      </c>
      <c r="N79" s="1">
        <v>-2.6</v>
      </c>
      <c r="P79" s="6"/>
      <c r="T79" s="7"/>
      <c r="V79" s="1">
        <v>1848.8</v>
      </c>
    </row>
    <row r="80" spans="2:22" s="1" customFormat="1" x14ac:dyDescent="0.25">
      <c r="B80" s="2"/>
      <c r="C80" s="8">
        <v>40254</v>
      </c>
      <c r="D80" s="1">
        <v>9.4</v>
      </c>
      <c r="E80" s="1">
        <v>0.7</v>
      </c>
      <c r="F80" s="1">
        <v>18.8</v>
      </c>
      <c r="J80" s="1">
        <v>0</v>
      </c>
      <c r="L80" s="1">
        <v>3.3</v>
      </c>
      <c r="N80" s="1">
        <v>-3.3</v>
      </c>
      <c r="P80" s="6"/>
      <c r="T80" s="7"/>
      <c r="V80" s="1">
        <v>1779.1</v>
      </c>
    </row>
    <row r="81" spans="2:22" s="1" customFormat="1" x14ac:dyDescent="0.25">
      <c r="B81" s="2"/>
      <c r="C81" s="8">
        <v>40255</v>
      </c>
      <c r="D81" s="1">
        <v>11.4</v>
      </c>
      <c r="E81" s="1">
        <v>9</v>
      </c>
      <c r="F81" s="1">
        <v>14</v>
      </c>
      <c r="J81" s="1">
        <v>0</v>
      </c>
      <c r="L81" s="1">
        <v>2.4</v>
      </c>
      <c r="N81" s="1">
        <v>-2.4</v>
      </c>
      <c r="P81" s="6"/>
      <c r="T81" s="7"/>
      <c r="V81" s="1">
        <v>1136.8</v>
      </c>
    </row>
    <row r="82" spans="2:22" s="1" customFormat="1" x14ac:dyDescent="0.25">
      <c r="B82" s="2"/>
      <c r="C82" s="8">
        <v>40256</v>
      </c>
      <c r="D82" s="1">
        <v>12.6</v>
      </c>
      <c r="E82" s="1">
        <v>10.8</v>
      </c>
      <c r="F82" s="1">
        <v>15.6</v>
      </c>
      <c r="J82" s="1">
        <v>0</v>
      </c>
      <c r="L82" s="1">
        <v>2.8</v>
      </c>
      <c r="N82" s="1">
        <v>-2.8</v>
      </c>
      <c r="P82" s="6"/>
      <c r="T82" s="7"/>
      <c r="V82" s="1">
        <v>1204.3</v>
      </c>
    </row>
    <row r="83" spans="2:22" s="1" customFormat="1" x14ac:dyDescent="0.25">
      <c r="B83" s="2"/>
      <c r="C83" s="8">
        <v>40257</v>
      </c>
      <c r="D83" s="1">
        <v>13.2</v>
      </c>
      <c r="E83" s="1">
        <v>11.7</v>
      </c>
      <c r="F83" s="1">
        <v>16.3</v>
      </c>
      <c r="J83" s="1">
        <v>0.2</v>
      </c>
      <c r="L83" s="1">
        <v>2.4</v>
      </c>
      <c r="N83" s="1">
        <v>-2.1999999999999997</v>
      </c>
      <c r="P83" s="6"/>
      <c r="T83" s="7"/>
      <c r="V83" s="1">
        <v>772.6</v>
      </c>
    </row>
    <row r="84" spans="2:22" s="1" customFormat="1" x14ac:dyDescent="0.25">
      <c r="B84" s="2"/>
      <c r="C84" s="8">
        <v>40258</v>
      </c>
      <c r="D84" s="1">
        <v>12.2</v>
      </c>
      <c r="E84" s="1">
        <v>11.1</v>
      </c>
      <c r="F84" s="1">
        <v>13.8</v>
      </c>
      <c r="J84" s="1">
        <v>3</v>
      </c>
      <c r="L84" s="1">
        <v>0.7</v>
      </c>
      <c r="N84" s="1">
        <v>2.2999999999999998</v>
      </c>
      <c r="P84" s="6"/>
      <c r="T84" s="7"/>
      <c r="V84" s="1">
        <v>244.2</v>
      </c>
    </row>
    <row r="85" spans="2:22" s="1" customFormat="1" x14ac:dyDescent="0.25">
      <c r="B85" s="2"/>
      <c r="C85" s="8">
        <v>40259</v>
      </c>
      <c r="D85" s="1">
        <v>11.8</v>
      </c>
      <c r="E85" s="1">
        <v>10.5</v>
      </c>
      <c r="F85" s="1">
        <v>13.8</v>
      </c>
      <c r="J85" s="1">
        <v>3.1</v>
      </c>
      <c r="L85" s="1">
        <v>0.9</v>
      </c>
      <c r="N85" s="1">
        <v>2.2000000000000002</v>
      </c>
      <c r="P85" s="6"/>
      <c r="T85" s="7"/>
      <c r="V85" s="1">
        <v>437.3</v>
      </c>
    </row>
    <row r="86" spans="2:22" s="1" customFormat="1" x14ac:dyDescent="0.25">
      <c r="B86" s="2"/>
      <c r="C86" s="8">
        <v>40260</v>
      </c>
      <c r="D86" s="1">
        <v>12.4</v>
      </c>
      <c r="E86" s="1">
        <v>4.0999999999999996</v>
      </c>
      <c r="F86" s="1">
        <v>18</v>
      </c>
      <c r="J86" s="1">
        <v>0</v>
      </c>
      <c r="L86" s="1">
        <v>2.5</v>
      </c>
      <c r="N86" s="1">
        <v>-2.5</v>
      </c>
      <c r="P86" s="6"/>
      <c r="T86" s="7"/>
      <c r="V86" s="1">
        <v>1835.3</v>
      </c>
    </row>
    <row r="87" spans="2:22" s="1" customFormat="1" x14ac:dyDescent="0.25">
      <c r="B87" s="2"/>
      <c r="C87" s="8">
        <v>40261</v>
      </c>
      <c r="D87" s="1">
        <v>14</v>
      </c>
      <c r="E87" s="1">
        <v>11.9</v>
      </c>
      <c r="F87" s="1">
        <v>17.899999999999999</v>
      </c>
      <c r="J87" s="1">
        <v>0.2</v>
      </c>
      <c r="L87" s="1">
        <v>2.7</v>
      </c>
      <c r="N87" s="1">
        <v>-2.5</v>
      </c>
      <c r="P87" s="6"/>
      <c r="T87" s="7"/>
      <c r="V87" s="1">
        <v>913.3</v>
      </c>
    </row>
    <row r="88" spans="2:22" s="1" customFormat="1" x14ac:dyDescent="0.25">
      <c r="B88" s="2"/>
      <c r="C88" s="8">
        <v>40262</v>
      </c>
      <c r="D88" s="1">
        <v>13.7</v>
      </c>
      <c r="E88" s="1">
        <v>11.2</v>
      </c>
      <c r="F88" s="1">
        <v>18.2</v>
      </c>
      <c r="J88" s="1">
        <v>7.8</v>
      </c>
      <c r="L88" s="1">
        <v>2.7</v>
      </c>
      <c r="N88" s="1">
        <v>5.0999999999999996</v>
      </c>
      <c r="P88" s="6"/>
      <c r="T88" s="7"/>
      <c r="V88" s="1">
        <v>1070.7</v>
      </c>
    </row>
    <row r="89" spans="2:22" s="1" customFormat="1" x14ac:dyDescent="0.25">
      <c r="B89" s="2"/>
      <c r="C89" s="8">
        <v>40263</v>
      </c>
      <c r="D89" s="1">
        <v>12.8</v>
      </c>
      <c r="E89" s="1">
        <v>9.3000000000000007</v>
      </c>
      <c r="F89" s="1">
        <v>17.8</v>
      </c>
      <c r="J89" s="1">
        <v>0.5</v>
      </c>
      <c r="L89" s="1">
        <v>3.6</v>
      </c>
      <c r="N89" s="1">
        <v>-3.1</v>
      </c>
      <c r="P89" s="6"/>
      <c r="T89" s="7"/>
      <c r="V89" s="1">
        <v>1827.9</v>
      </c>
    </row>
    <row r="90" spans="2:22" s="1" customFormat="1" x14ac:dyDescent="0.25">
      <c r="B90" s="2"/>
      <c r="C90" s="8">
        <v>40264</v>
      </c>
      <c r="D90" s="1">
        <v>11.1</v>
      </c>
      <c r="E90" s="1">
        <v>9.1999999999999993</v>
      </c>
      <c r="F90" s="1">
        <v>14.5</v>
      </c>
      <c r="J90" s="1">
        <v>4.5</v>
      </c>
      <c r="L90" s="1">
        <v>2.2999999999999998</v>
      </c>
      <c r="N90" s="1">
        <v>2.2000000000000002</v>
      </c>
      <c r="P90" s="6"/>
      <c r="T90" s="7"/>
      <c r="V90" s="1">
        <v>806.4</v>
      </c>
    </row>
    <row r="91" spans="2:22" s="1" customFormat="1" x14ac:dyDescent="0.25">
      <c r="B91" s="2"/>
      <c r="C91" s="8">
        <v>40265</v>
      </c>
      <c r="D91" s="1">
        <v>13.2</v>
      </c>
      <c r="E91" s="1">
        <v>8.9</v>
      </c>
      <c r="F91" s="1">
        <v>16.899999999999999</v>
      </c>
      <c r="J91" s="1">
        <v>0</v>
      </c>
      <c r="L91" s="1">
        <v>2.2999999999999998</v>
      </c>
      <c r="N91" s="1">
        <v>-2.2999999999999998</v>
      </c>
      <c r="P91" s="6"/>
      <c r="T91" s="7"/>
      <c r="V91" s="1">
        <v>1297.5</v>
      </c>
    </row>
    <row r="92" spans="2:22" s="1" customFormat="1" x14ac:dyDescent="0.25">
      <c r="B92" s="2"/>
      <c r="C92" s="8">
        <v>40266</v>
      </c>
      <c r="D92" s="1">
        <v>12.9</v>
      </c>
      <c r="E92" s="1">
        <v>9.5</v>
      </c>
      <c r="F92" s="1">
        <v>17.100000000000001</v>
      </c>
      <c r="J92" s="1">
        <v>2.5</v>
      </c>
      <c r="L92" s="1">
        <v>2.8</v>
      </c>
      <c r="N92" s="1">
        <v>-0.29999999999999982</v>
      </c>
      <c r="P92" s="6"/>
      <c r="T92" s="7"/>
      <c r="V92" s="1">
        <v>1439.2</v>
      </c>
    </row>
    <row r="93" spans="2:22" s="1" customFormat="1" x14ac:dyDescent="0.25">
      <c r="B93" s="2"/>
      <c r="C93" s="8">
        <v>40267</v>
      </c>
      <c r="D93" s="1">
        <v>9.4</v>
      </c>
      <c r="E93" s="1">
        <v>6.9</v>
      </c>
      <c r="F93" s="1">
        <v>10.8</v>
      </c>
      <c r="J93" s="1">
        <v>4.3</v>
      </c>
      <c r="L93" s="1">
        <v>1.6</v>
      </c>
      <c r="N93" s="1">
        <v>2.6999999999999997</v>
      </c>
      <c r="P93" s="6"/>
      <c r="T93" s="7"/>
      <c r="V93" s="1">
        <v>1038.3</v>
      </c>
    </row>
    <row r="94" spans="2:22" s="1" customFormat="1" x14ac:dyDescent="0.25">
      <c r="B94" s="2"/>
      <c r="C94" s="8">
        <v>40268</v>
      </c>
      <c r="D94" s="1">
        <v>10.7</v>
      </c>
      <c r="E94" s="1">
        <v>6.8</v>
      </c>
      <c r="F94" s="1">
        <v>15</v>
      </c>
      <c r="J94" s="1">
        <v>3.6</v>
      </c>
      <c r="L94" s="1">
        <v>2.8</v>
      </c>
      <c r="N94" s="1">
        <v>0.80000000000000027</v>
      </c>
      <c r="P94" s="6"/>
      <c r="T94" s="7"/>
      <c r="V94" s="1">
        <v>1458.5</v>
      </c>
    </row>
    <row r="95" spans="2:22" s="1" customFormat="1" x14ac:dyDescent="0.25">
      <c r="B95" s="2"/>
      <c r="C95" s="8">
        <v>40269</v>
      </c>
      <c r="D95" s="1">
        <v>8.6</v>
      </c>
      <c r="E95" s="1">
        <v>5.7</v>
      </c>
      <c r="F95" s="1">
        <v>13.1</v>
      </c>
      <c r="J95" s="1">
        <v>1.5</v>
      </c>
      <c r="L95" s="1">
        <v>2.1</v>
      </c>
      <c r="N95" s="1">
        <v>-0.60000000000000009</v>
      </c>
      <c r="P95" s="6"/>
      <c r="T95" s="7"/>
      <c r="V95" s="1">
        <v>1041.9000000000001</v>
      </c>
    </row>
    <row r="96" spans="2:22" s="1" customFormat="1" x14ac:dyDescent="0.25">
      <c r="B96" s="2"/>
      <c r="C96" s="8">
        <v>40270</v>
      </c>
      <c r="D96" s="1">
        <v>10.5</v>
      </c>
      <c r="E96" s="1">
        <v>2.4</v>
      </c>
      <c r="F96" s="1">
        <v>16.600000000000001</v>
      </c>
      <c r="J96" s="1">
        <v>0</v>
      </c>
      <c r="L96" s="1">
        <v>2.4</v>
      </c>
      <c r="N96" s="1">
        <v>-2.4</v>
      </c>
      <c r="P96" s="6"/>
      <c r="T96" s="7"/>
      <c r="V96" s="1">
        <v>1538.2</v>
      </c>
    </row>
    <row r="97" spans="2:22" s="1" customFormat="1" x14ac:dyDescent="0.25">
      <c r="B97" s="2"/>
      <c r="C97" s="8">
        <v>40271</v>
      </c>
      <c r="D97" s="1">
        <v>11</v>
      </c>
      <c r="E97" s="1">
        <v>8.6</v>
      </c>
      <c r="F97" s="1">
        <v>15.3</v>
      </c>
      <c r="J97" s="1">
        <v>6.3</v>
      </c>
      <c r="L97" s="1">
        <v>1.2</v>
      </c>
      <c r="N97" s="1">
        <v>5.0999999999999996</v>
      </c>
      <c r="P97" s="6"/>
      <c r="T97" s="7"/>
      <c r="V97" s="1">
        <v>781.8</v>
      </c>
    </row>
    <row r="98" spans="2:22" s="1" customFormat="1" x14ac:dyDescent="0.25">
      <c r="B98" s="2"/>
      <c r="C98" s="8">
        <v>40272</v>
      </c>
      <c r="D98" s="1">
        <v>8.9</v>
      </c>
      <c r="E98" s="1">
        <v>7.6</v>
      </c>
      <c r="F98" s="1">
        <v>12.9</v>
      </c>
      <c r="J98" s="1">
        <v>6.5</v>
      </c>
      <c r="L98" s="1">
        <v>2.2999999999999998</v>
      </c>
      <c r="N98" s="1">
        <v>4.2</v>
      </c>
      <c r="P98" s="6"/>
      <c r="T98" s="7"/>
      <c r="V98" s="1">
        <v>1217.4000000000001</v>
      </c>
    </row>
    <row r="99" spans="2:22" s="1" customFormat="1" x14ac:dyDescent="0.25">
      <c r="B99" s="2"/>
      <c r="C99" s="8">
        <v>40273</v>
      </c>
      <c r="D99" s="1">
        <v>9.5</v>
      </c>
      <c r="E99" s="1">
        <v>3</v>
      </c>
      <c r="F99" s="1">
        <v>14.5</v>
      </c>
      <c r="J99" s="1">
        <v>0</v>
      </c>
      <c r="L99" s="1">
        <v>2.6</v>
      </c>
      <c r="N99" s="1">
        <v>-2.6</v>
      </c>
      <c r="P99" s="6"/>
      <c r="T99" s="7"/>
      <c r="V99" s="1">
        <v>2141.3000000000002</v>
      </c>
    </row>
    <row r="100" spans="2:22" s="1" customFormat="1" x14ac:dyDescent="0.25">
      <c r="B100" s="2"/>
      <c r="C100" s="8">
        <v>40274</v>
      </c>
      <c r="D100" s="1">
        <v>11.3</v>
      </c>
      <c r="E100" s="1">
        <v>5.5</v>
      </c>
      <c r="F100" s="1">
        <v>16.399999999999999</v>
      </c>
      <c r="J100" s="1">
        <v>0.2</v>
      </c>
      <c r="L100" s="1">
        <v>2.5</v>
      </c>
      <c r="N100" s="1">
        <v>-2.2999999999999998</v>
      </c>
      <c r="P100" s="6"/>
      <c r="T100" s="7"/>
      <c r="V100" s="1">
        <v>1234.8</v>
      </c>
    </row>
    <row r="101" spans="2:22" s="1" customFormat="1" x14ac:dyDescent="0.25">
      <c r="B101" s="2"/>
      <c r="C101" s="8">
        <v>40275</v>
      </c>
      <c r="D101" s="1">
        <v>10.8</v>
      </c>
      <c r="E101" s="1">
        <v>10.5</v>
      </c>
      <c r="F101" s="1">
        <v>11.6</v>
      </c>
      <c r="J101" s="1">
        <v>2.5</v>
      </c>
      <c r="L101" s="1">
        <v>0.9</v>
      </c>
      <c r="N101" s="1">
        <v>1.6</v>
      </c>
      <c r="P101" s="6"/>
      <c r="T101" s="7"/>
      <c r="V101" s="1">
        <v>420.1</v>
      </c>
    </row>
    <row r="102" spans="2:22" s="1" customFormat="1" x14ac:dyDescent="0.25">
      <c r="B102" s="2"/>
      <c r="C102" s="8">
        <v>40276</v>
      </c>
      <c r="D102" s="1">
        <v>10.3</v>
      </c>
      <c r="E102" s="1">
        <v>8</v>
      </c>
      <c r="F102" s="1">
        <v>12.9</v>
      </c>
      <c r="J102" s="1">
        <v>0</v>
      </c>
      <c r="L102" s="1">
        <v>2.2999999999999998</v>
      </c>
      <c r="N102" s="1">
        <v>-2.2999999999999998</v>
      </c>
      <c r="P102" s="6"/>
      <c r="T102" s="7"/>
      <c r="V102" s="1">
        <v>1481.6</v>
      </c>
    </row>
    <row r="103" spans="2:22" s="1" customFormat="1" x14ac:dyDescent="0.25">
      <c r="B103" s="2"/>
      <c r="C103" s="8">
        <v>40277</v>
      </c>
      <c r="D103" s="1">
        <v>11.9</v>
      </c>
      <c r="E103" s="1">
        <v>6.2</v>
      </c>
      <c r="F103" s="1">
        <v>16.899999999999999</v>
      </c>
      <c r="J103" s="1">
        <v>0</v>
      </c>
      <c r="L103" s="1">
        <v>2.9</v>
      </c>
      <c r="N103" s="1">
        <v>-2.9</v>
      </c>
      <c r="P103" s="6"/>
      <c r="T103" s="7"/>
      <c r="V103" s="1">
        <v>1894.1</v>
      </c>
    </row>
    <row r="104" spans="2:22" s="1" customFormat="1" x14ac:dyDescent="0.25">
      <c r="B104" s="2"/>
      <c r="C104" s="8">
        <v>40278</v>
      </c>
      <c r="D104" s="1">
        <v>13.3</v>
      </c>
      <c r="E104" s="1">
        <v>5.2</v>
      </c>
      <c r="F104" s="1">
        <v>21.5</v>
      </c>
      <c r="J104" s="1">
        <v>0</v>
      </c>
      <c r="L104" s="1">
        <v>3.5</v>
      </c>
      <c r="N104" s="1">
        <v>-3.5</v>
      </c>
      <c r="P104" s="6"/>
      <c r="T104" s="7"/>
      <c r="V104" s="1">
        <v>2188.9</v>
      </c>
    </row>
    <row r="105" spans="2:22" s="1" customFormat="1" x14ac:dyDescent="0.25">
      <c r="B105" s="2"/>
      <c r="C105" s="8">
        <v>40279</v>
      </c>
      <c r="D105" s="1">
        <v>13.2</v>
      </c>
      <c r="E105" s="1">
        <v>6.6</v>
      </c>
      <c r="F105" s="1">
        <v>19.7</v>
      </c>
      <c r="J105" s="1">
        <v>0</v>
      </c>
      <c r="L105" s="1">
        <v>3.5</v>
      </c>
      <c r="N105" s="1">
        <v>-3.5</v>
      </c>
      <c r="P105" s="6"/>
      <c r="T105" s="7"/>
      <c r="V105" s="1">
        <v>2068.1</v>
      </c>
    </row>
    <row r="106" spans="2:22" s="1" customFormat="1" x14ac:dyDescent="0.25">
      <c r="B106" s="2"/>
      <c r="C106" s="8">
        <v>40280</v>
      </c>
      <c r="D106" s="1">
        <v>10.1</v>
      </c>
      <c r="E106" s="1">
        <v>4.7</v>
      </c>
      <c r="F106" s="1">
        <v>14.9</v>
      </c>
      <c r="J106" s="1">
        <v>0</v>
      </c>
      <c r="L106" s="1">
        <v>2.8</v>
      </c>
      <c r="N106" s="1">
        <v>-2.8</v>
      </c>
      <c r="P106" s="6"/>
      <c r="T106" s="7"/>
      <c r="V106" s="1">
        <v>1265.8</v>
      </c>
    </row>
    <row r="107" spans="2:22" s="1" customFormat="1" x14ac:dyDescent="0.25">
      <c r="B107" s="2"/>
      <c r="C107" s="8">
        <v>40281</v>
      </c>
      <c r="D107" s="1">
        <v>8.5</v>
      </c>
      <c r="E107" s="1">
        <v>2.2000000000000002</v>
      </c>
      <c r="F107" s="1">
        <v>15.4</v>
      </c>
      <c r="J107" s="1">
        <v>0</v>
      </c>
      <c r="L107" s="1">
        <v>3.3</v>
      </c>
      <c r="N107" s="1">
        <v>-3.3</v>
      </c>
      <c r="P107" s="6"/>
      <c r="T107" s="7"/>
      <c r="V107" s="1">
        <v>2131.6999999999998</v>
      </c>
    </row>
    <row r="108" spans="2:22" s="1" customFormat="1" x14ac:dyDescent="0.25">
      <c r="B108" s="2"/>
      <c r="C108" s="8">
        <v>40282</v>
      </c>
      <c r="D108" s="1">
        <v>9.5</v>
      </c>
      <c r="E108" s="1">
        <v>3</v>
      </c>
      <c r="F108" s="1">
        <v>15.5</v>
      </c>
      <c r="J108" s="1">
        <v>0</v>
      </c>
      <c r="L108" s="1">
        <v>2.8</v>
      </c>
      <c r="N108" s="1">
        <v>-2.8</v>
      </c>
      <c r="P108" s="6"/>
      <c r="T108" s="7"/>
      <c r="V108" s="1">
        <v>1889.9</v>
      </c>
    </row>
    <row r="109" spans="2:22" s="1" customFormat="1" x14ac:dyDescent="0.25">
      <c r="B109" s="2"/>
      <c r="C109" s="8">
        <v>40283</v>
      </c>
      <c r="D109" s="1">
        <v>10.9</v>
      </c>
      <c r="E109" s="1">
        <v>2.2000000000000002</v>
      </c>
      <c r="F109" s="1">
        <v>19.600000000000001</v>
      </c>
      <c r="J109" s="1">
        <v>0</v>
      </c>
      <c r="L109" s="1">
        <v>3.4</v>
      </c>
      <c r="N109" s="1">
        <v>-3.4</v>
      </c>
      <c r="P109" s="6"/>
      <c r="T109" s="7"/>
      <c r="V109" s="1">
        <v>2230.1</v>
      </c>
    </row>
    <row r="110" spans="2:22" s="1" customFormat="1" x14ac:dyDescent="0.25">
      <c r="B110" s="2"/>
      <c r="C110" s="8">
        <v>40284</v>
      </c>
      <c r="D110" s="1">
        <v>11.3</v>
      </c>
      <c r="E110" s="1">
        <v>4.5</v>
      </c>
      <c r="F110" s="1">
        <v>17.100000000000001</v>
      </c>
      <c r="J110" s="1">
        <v>0</v>
      </c>
      <c r="L110" s="1">
        <v>3.4</v>
      </c>
      <c r="N110" s="1">
        <v>-3.4</v>
      </c>
      <c r="P110" s="6"/>
      <c r="T110" s="7"/>
      <c r="V110" s="1">
        <v>2357.6999999999998</v>
      </c>
    </row>
    <row r="111" spans="2:22" s="1" customFormat="1" x14ac:dyDescent="0.25">
      <c r="B111" s="2"/>
      <c r="C111" s="8">
        <v>40285</v>
      </c>
      <c r="D111" s="1">
        <v>12.4</v>
      </c>
      <c r="E111" s="1">
        <v>3.6</v>
      </c>
      <c r="F111" s="1">
        <v>21.5</v>
      </c>
      <c r="J111" s="1">
        <v>0</v>
      </c>
      <c r="L111" s="1">
        <v>4.2</v>
      </c>
      <c r="N111" s="1">
        <v>-4.2</v>
      </c>
      <c r="P111" s="6"/>
      <c r="T111" s="7"/>
      <c r="V111" s="1">
        <v>2328.4</v>
      </c>
    </row>
    <row r="112" spans="2:22" s="1" customFormat="1" x14ac:dyDescent="0.25">
      <c r="B112" s="2"/>
      <c r="C112" s="8">
        <v>40286</v>
      </c>
      <c r="D112" s="1">
        <v>12.8</v>
      </c>
      <c r="E112" s="1">
        <v>5.9</v>
      </c>
      <c r="F112" s="1">
        <v>20.6</v>
      </c>
      <c r="J112" s="1">
        <v>0</v>
      </c>
      <c r="L112" s="1">
        <v>3.8</v>
      </c>
      <c r="N112" s="1">
        <v>-3.8</v>
      </c>
      <c r="P112" s="6"/>
      <c r="T112" s="7"/>
      <c r="V112" s="1">
        <v>2369.5</v>
      </c>
    </row>
    <row r="113" spans="2:22" s="1" customFormat="1" x14ac:dyDescent="0.25">
      <c r="B113" s="2"/>
      <c r="C113" s="8">
        <v>40287</v>
      </c>
      <c r="D113" s="1">
        <v>13.7</v>
      </c>
      <c r="E113" s="1">
        <v>7.2</v>
      </c>
      <c r="F113" s="1">
        <v>22.2</v>
      </c>
      <c r="J113" s="1">
        <v>2.1</v>
      </c>
      <c r="L113" s="1">
        <v>3.2</v>
      </c>
      <c r="N113" s="1">
        <v>-1.1000000000000001</v>
      </c>
      <c r="P113" s="6"/>
      <c r="T113" s="7"/>
      <c r="V113" s="1">
        <v>1817.6</v>
      </c>
    </row>
    <row r="114" spans="2:22" s="1" customFormat="1" x14ac:dyDescent="0.25">
      <c r="B114" s="2"/>
      <c r="C114" s="8">
        <v>40288</v>
      </c>
      <c r="D114" s="1">
        <v>14.3</v>
      </c>
      <c r="E114" s="1">
        <v>8.6999999999999993</v>
      </c>
      <c r="F114" s="1">
        <v>19.600000000000001</v>
      </c>
      <c r="J114" s="1">
        <v>0</v>
      </c>
      <c r="L114" s="1">
        <v>3.7</v>
      </c>
      <c r="N114" s="1">
        <v>-3.7</v>
      </c>
      <c r="P114" s="6"/>
      <c r="T114" s="7"/>
      <c r="V114" s="1">
        <v>2390.9</v>
      </c>
    </row>
    <row r="115" spans="2:22" s="1" customFormat="1" x14ac:dyDescent="0.25">
      <c r="B115" s="2"/>
      <c r="C115" s="8">
        <v>40289</v>
      </c>
      <c r="D115" s="1">
        <v>16.8</v>
      </c>
      <c r="E115" s="1">
        <v>8.3000000000000007</v>
      </c>
      <c r="F115" s="1">
        <v>24.4</v>
      </c>
      <c r="J115" s="1">
        <v>0</v>
      </c>
      <c r="L115" s="1">
        <v>3.7</v>
      </c>
      <c r="N115" s="1">
        <v>-3.7</v>
      </c>
      <c r="P115" s="6"/>
      <c r="T115" s="7"/>
      <c r="V115" s="1">
        <v>2140.8000000000002</v>
      </c>
    </row>
    <row r="116" spans="2:22" s="1" customFormat="1" x14ac:dyDescent="0.25">
      <c r="B116" s="2"/>
      <c r="C116" s="8">
        <v>40290</v>
      </c>
      <c r="D116" s="1">
        <v>16.399999999999999</v>
      </c>
      <c r="E116" s="1">
        <v>13.1</v>
      </c>
      <c r="F116" s="1">
        <v>21.1</v>
      </c>
      <c r="J116" s="1">
        <v>0</v>
      </c>
      <c r="L116" s="1">
        <v>2.2999999999999998</v>
      </c>
      <c r="N116" s="1">
        <v>-2.2999999999999998</v>
      </c>
      <c r="P116" s="6"/>
      <c r="T116" s="7"/>
      <c r="V116" s="1">
        <v>1157</v>
      </c>
    </row>
    <row r="117" spans="2:22" s="1" customFormat="1" x14ac:dyDescent="0.25">
      <c r="B117" s="2"/>
      <c r="C117" s="8">
        <v>40291</v>
      </c>
      <c r="D117" s="1">
        <v>14.1</v>
      </c>
      <c r="E117" s="1">
        <v>13.4</v>
      </c>
      <c r="F117" s="1">
        <v>15.7</v>
      </c>
      <c r="J117" s="1">
        <v>1.1000000000000001</v>
      </c>
      <c r="L117" s="1">
        <v>1</v>
      </c>
      <c r="N117" s="1">
        <v>0.10000000000000009</v>
      </c>
      <c r="P117" s="6"/>
      <c r="T117" s="7"/>
      <c r="V117" s="1">
        <v>272.7</v>
      </c>
    </row>
    <row r="118" spans="2:22" s="1" customFormat="1" x14ac:dyDescent="0.25">
      <c r="B118" s="2"/>
      <c r="C118" s="8">
        <v>40292</v>
      </c>
      <c r="D118" s="1">
        <v>15.5</v>
      </c>
      <c r="E118" s="1">
        <v>12.1</v>
      </c>
      <c r="F118" s="1">
        <v>19.8</v>
      </c>
      <c r="J118" s="1">
        <v>0</v>
      </c>
      <c r="L118" s="1">
        <v>1.9</v>
      </c>
      <c r="N118" s="1">
        <v>-1.9</v>
      </c>
      <c r="P118" s="6"/>
      <c r="T118" s="7"/>
      <c r="V118" s="1">
        <v>844.6</v>
      </c>
    </row>
    <row r="119" spans="2:22" s="1" customFormat="1" x14ac:dyDescent="0.25">
      <c r="B119" s="2"/>
      <c r="C119" s="8">
        <v>40293</v>
      </c>
      <c r="D119" s="1">
        <v>16.7</v>
      </c>
      <c r="E119" s="1">
        <v>9.5</v>
      </c>
      <c r="F119" s="1">
        <v>23</v>
      </c>
      <c r="J119" s="1">
        <v>0</v>
      </c>
      <c r="L119" s="1">
        <v>3.7</v>
      </c>
      <c r="N119" s="1">
        <v>-3.7</v>
      </c>
      <c r="P119" s="6"/>
      <c r="T119" s="7"/>
      <c r="V119" s="1">
        <v>2020.2</v>
      </c>
    </row>
    <row r="120" spans="2:22" s="1" customFormat="1" x14ac:dyDescent="0.25">
      <c r="B120" s="2"/>
      <c r="C120" s="8">
        <v>40294</v>
      </c>
      <c r="D120" s="1">
        <v>17.3</v>
      </c>
      <c r="E120" s="1">
        <v>13.1</v>
      </c>
      <c r="F120" s="1">
        <v>22.8</v>
      </c>
      <c r="J120" s="1">
        <v>0</v>
      </c>
      <c r="L120" s="1">
        <v>4</v>
      </c>
      <c r="N120" s="1">
        <v>-4</v>
      </c>
      <c r="P120" s="6"/>
      <c r="T120" s="7"/>
      <c r="V120" s="1">
        <v>1934</v>
      </c>
    </row>
    <row r="121" spans="2:22" s="1" customFormat="1" x14ac:dyDescent="0.25">
      <c r="B121" s="2"/>
      <c r="C121" s="8">
        <v>40295</v>
      </c>
      <c r="D121" s="1">
        <v>16.7</v>
      </c>
      <c r="E121" s="1">
        <v>8.4</v>
      </c>
      <c r="F121" s="1">
        <v>24.6</v>
      </c>
      <c r="J121" s="1">
        <v>0</v>
      </c>
      <c r="L121" s="1">
        <v>4.8</v>
      </c>
      <c r="N121" s="1">
        <v>-4.8</v>
      </c>
      <c r="P121" s="6"/>
      <c r="T121" s="7"/>
      <c r="V121" s="1">
        <v>2526.3000000000002</v>
      </c>
    </row>
    <row r="122" spans="2:22" s="1" customFormat="1" x14ac:dyDescent="0.25">
      <c r="B122" s="2"/>
      <c r="C122" s="8">
        <v>40296</v>
      </c>
      <c r="D122" s="1">
        <v>17.899999999999999</v>
      </c>
      <c r="E122" s="1">
        <v>7.7</v>
      </c>
      <c r="F122" s="1">
        <v>25.9</v>
      </c>
      <c r="J122" s="1">
        <v>0</v>
      </c>
      <c r="L122" s="1">
        <v>5.0999999999999996</v>
      </c>
      <c r="N122" s="1">
        <v>-5.0999999999999996</v>
      </c>
      <c r="P122" s="6"/>
      <c r="T122" s="7"/>
      <c r="V122" s="1">
        <v>2469.9</v>
      </c>
    </row>
    <row r="123" spans="2:22" s="1" customFormat="1" x14ac:dyDescent="0.25">
      <c r="B123" s="2"/>
      <c r="C123" s="8">
        <v>40297</v>
      </c>
      <c r="D123" s="1">
        <v>18.899999999999999</v>
      </c>
      <c r="E123" s="1">
        <v>14</v>
      </c>
      <c r="F123" s="1">
        <v>24.4</v>
      </c>
      <c r="J123" s="1">
        <v>2.9</v>
      </c>
      <c r="L123" s="1">
        <v>3.8</v>
      </c>
      <c r="N123" s="1">
        <v>-0.89999999999999991</v>
      </c>
      <c r="P123" s="6"/>
      <c r="T123" s="7"/>
      <c r="V123" s="1">
        <v>1566.6</v>
      </c>
    </row>
    <row r="124" spans="2:22" s="1" customFormat="1" x14ac:dyDescent="0.25">
      <c r="B124" s="2"/>
      <c r="C124" s="8">
        <v>40298</v>
      </c>
      <c r="D124" s="1">
        <v>16.100000000000001</v>
      </c>
      <c r="E124" s="1">
        <v>12.7</v>
      </c>
      <c r="F124" s="1">
        <v>20.100000000000001</v>
      </c>
      <c r="J124" s="1">
        <v>18</v>
      </c>
      <c r="L124" s="1">
        <v>1.5</v>
      </c>
      <c r="N124" s="1">
        <v>16.5</v>
      </c>
      <c r="P124" s="6"/>
      <c r="T124" s="7"/>
      <c r="V124" s="1">
        <v>530.5</v>
      </c>
    </row>
    <row r="125" spans="2:22" s="1" customFormat="1" x14ac:dyDescent="0.25">
      <c r="B125" s="2"/>
      <c r="C125" s="8">
        <v>40299</v>
      </c>
      <c r="D125" s="1">
        <v>14.3</v>
      </c>
      <c r="E125" s="1">
        <v>14.1</v>
      </c>
      <c r="F125" s="1">
        <v>14.9</v>
      </c>
      <c r="J125" s="1">
        <v>11.1</v>
      </c>
      <c r="L125" s="1">
        <v>1</v>
      </c>
      <c r="N125" s="1">
        <v>10.1</v>
      </c>
      <c r="P125" s="6"/>
      <c r="T125" s="7"/>
      <c r="V125" s="1">
        <v>442.2</v>
      </c>
    </row>
    <row r="126" spans="2:22" s="1" customFormat="1" x14ac:dyDescent="0.25">
      <c r="B126" s="2"/>
      <c r="C126" s="8">
        <v>40300</v>
      </c>
      <c r="D126" s="1">
        <v>12.4</v>
      </c>
      <c r="E126" s="1">
        <v>10.4</v>
      </c>
      <c r="F126" s="1">
        <v>14.4</v>
      </c>
      <c r="J126" s="1">
        <v>1.2</v>
      </c>
      <c r="L126" s="1">
        <v>2</v>
      </c>
      <c r="N126" s="1">
        <v>-0.8</v>
      </c>
      <c r="P126" s="6"/>
      <c r="T126" s="7"/>
      <c r="V126" s="1">
        <v>1380.4</v>
      </c>
    </row>
    <row r="127" spans="2:22" s="1" customFormat="1" x14ac:dyDescent="0.25">
      <c r="B127" s="2"/>
      <c r="C127" s="8">
        <v>40301</v>
      </c>
      <c r="D127" s="1">
        <v>11</v>
      </c>
      <c r="E127" s="1">
        <v>9.1999999999999993</v>
      </c>
      <c r="F127" s="1">
        <v>14.9</v>
      </c>
      <c r="J127" s="1">
        <v>4.9000000000000004</v>
      </c>
      <c r="L127" s="1">
        <v>1.4</v>
      </c>
      <c r="N127" s="1">
        <v>3.5000000000000004</v>
      </c>
      <c r="P127" s="6"/>
      <c r="T127" s="7"/>
      <c r="V127" s="1">
        <v>536.1</v>
      </c>
    </row>
    <row r="128" spans="2:22" s="1" customFormat="1" x14ac:dyDescent="0.25">
      <c r="B128" s="2"/>
      <c r="C128" s="8">
        <v>40302</v>
      </c>
      <c r="D128" s="1">
        <v>6.8</v>
      </c>
      <c r="E128" s="1">
        <v>6</v>
      </c>
      <c r="F128" s="1">
        <v>7.5</v>
      </c>
      <c r="J128" s="1">
        <v>30.7</v>
      </c>
      <c r="L128" s="1">
        <v>1</v>
      </c>
      <c r="N128" s="1">
        <v>29.7</v>
      </c>
      <c r="P128" s="6"/>
      <c r="T128" s="7"/>
      <c r="V128" s="1">
        <v>440.8</v>
      </c>
    </row>
    <row r="129" spans="2:22" s="1" customFormat="1" x14ac:dyDescent="0.25">
      <c r="B129" s="2"/>
      <c r="C129" s="8">
        <v>40303</v>
      </c>
      <c r="D129" s="1">
        <v>5.8</v>
      </c>
      <c r="E129" s="1">
        <v>3.7</v>
      </c>
      <c r="F129" s="1">
        <v>6.9</v>
      </c>
      <c r="J129" s="1">
        <v>10.3</v>
      </c>
      <c r="L129" s="1">
        <v>0.5</v>
      </c>
      <c r="N129" s="1">
        <v>9.8000000000000007</v>
      </c>
      <c r="P129" s="6"/>
      <c r="T129" s="7"/>
      <c r="V129" s="1">
        <v>371.1</v>
      </c>
    </row>
    <row r="130" spans="2:22" s="1" customFormat="1" x14ac:dyDescent="0.25">
      <c r="B130" s="2"/>
      <c r="C130" s="8">
        <v>40304</v>
      </c>
      <c r="D130" s="1">
        <v>8.6</v>
      </c>
      <c r="E130" s="1">
        <v>3.9</v>
      </c>
      <c r="F130" s="1">
        <v>11</v>
      </c>
      <c r="J130" s="1">
        <v>0</v>
      </c>
      <c r="L130" s="1">
        <v>1</v>
      </c>
      <c r="N130" s="1">
        <v>-1</v>
      </c>
      <c r="P130" s="6"/>
      <c r="T130" s="7"/>
      <c r="V130" s="1">
        <v>789.4</v>
      </c>
    </row>
    <row r="131" spans="2:22" s="1" customFormat="1" x14ac:dyDescent="0.25">
      <c r="B131" s="2"/>
      <c r="C131" s="8">
        <v>40305</v>
      </c>
      <c r="D131" s="1">
        <v>11.2</v>
      </c>
      <c r="E131" s="1">
        <v>4.8</v>
      </c>
      <c r="F131" s="1">
        <v>16</v>
      </c>
      <c r="J131" s="1">
        <v>0.3</v>
      </c>
      <c r="L131" s="1">
        <v>2.8</v>
      </c>
      <c r="N131" s="1">
        <v>-2.5</v>
      </c>
      <c r="P131" s="6"/>
      <c r="T131" s="7"/>
      <c r="V131" s="1">
        <v>2039.7</v>
      </c>
    </row>
    <row r="132" spans="2:22" s="1" customFormat="1" x14ac:dyDescent="0.25">
      <c r="B132" s="2"/>
      <c r="C132" s="8">
        <v>40306</v>
      </c>
      <c r="D132" s="1">
        <v>14.1</v>
      </c>
      <c r="E132" s="1">
        <v>9.6999999999999993</v>
      </c>
      <c r="F132" s="1">
        <v>20</v>
      </c>
      <c r="J132" s="1">
        <v>0.4</v>
      </c>
      <c r="L132" s="1">
        <v>3.2</v>
      </c>
      <c r="N132" s="1">
        <v>-2.8000000000000003</v>
      </c>
      <c r="P132" s="6"/>
      <c r="T132" s="7"/>
      <c r="V132" s="1">
        <v>1723.5</v>
      </c>
    </row>
    <row r="133" spans="2:22" s="1" customFormat="1" x14ac:dyDescent="0.25">
      <c r="B133" s="2"/>
      <c r="C133" s="8">
        <v>40307</v>
      </c>
      <c r="D133" s="1">
        <v>14.7</v>
      </c>
      <c r="E133" s="1">
        <v>12.3</v>
      </c>
      <c r="F133" s="1">
        <v>18.600000000000001</v>
      </c>
      <c r="J133" s="1">
        <v>2.9</v>
      </c>
      <c r="L133" s="1">
        <v>2.1</v>
      </c>
      <c r="N133" s="1">
        <v>0.79999999999999982</v>
      </c>
      <c r="P133" s="6"/>
      <c r="T133" s="7"/>
      <c r="V133" s="1">
        <v>1102.8</v>
      </c>
    </row>
    <row r="134" spans="2:22" s="1" customFormat="1" x14ac:dyDescent="0.25">
      <c r="B134" s="2"/>
      <c r="C134" s="8">
        <v>40308</v>
      </c>
      <c r="D134" s="1">
        <v>16</v>
      </c>
      <c r="E134" s="1">
        <v>11</v>
      </c>
      <c r="F134" s="1">
        <v>22.5</v>
      </c>
      <c r="J134" s="1">
        <v>9.3000000000000007</v>
      </c>
      <c r="L134" s="1">
        <v>3.7</v>
      </c>
      <c r="N134" s="1">
        <v>5.6000000000000005</v>
      </c>
      <c r="P134" s="6"/>
      <c r="T134" s="7"/>
      <c r="V134" s="1">
        <v>1874.8</v>
      </c>
    </row>
    <row r="135" spans="2:22" s="1" customFormat="1" x14ac:dyDescent="0.25">
      <c r="B135" s="2"/>
      <c r="C135" s="8">
        <v>40309</v>
      </c>
      <c r="D135" s="1">
        <v>15</v>
      </c>
      <c r="E135" s="1">
        <v>11.1</v>
      </c>
      <c r="F135" s="1">
        <v>19.600000000000001</v>
      </c>
      <c r="J135" s="1">
        <v>0.4</v>
      </c>
      <c r="L135" s="1">
        <v>3.9</v>
      </c>
      <c r="N135" s="1">
        <v>-3.5</v>
      </c>
      <c r="P135" s="6"/>
      <c r="T135" s="7"/>
      <c r="V135" s="1">
        <v>2173.4</v>
      </c>
    </row>
    <row r="136" spans="2:22" s="1" customFormat="1" x14ac:dyDescent="0.25">
      <c r="B136" s="2"/>
      <c r="C136" s="8">
        <v>40310</v>
      </c>
      <c r="D136" s="1">
        <v>13</v>
      </c>
      <c r="E136" s="1">
        <v>10.5</v>
      </c>
      <c r="F136" s="1">
        <v>17.600000000000001</v>
      </c>
      <c r="J136" s="1">
        <v>9.6</v>
      </c>
      <c r="L136" s="1">
        <v>2.2999999999999998</v>
      </c>
      <c r="N136" s="1">
        <v>7.3</v>
      </c>
      <c r="P136" s="6"/>
      <c r="T136" s="7"/>
      <c r="V136" s="1">
        <v>1091.7</v>
      </c>
    </row>
    <row r="137" spans="2:22" s="1" customFormat="1" x14ac:dyDescent="0.25">
      <c r="B137" s="2"/>
      <c r="C137" s="8">
        <v>40311</v>
      </c>
      <c r="D137" s="1">
        <v>10.4</v>
      </c>
      <c r="E137" s="1">
        <v>9.1</v>
      </c>
      <c r="F137" s="1">
        <v>12.8</v>
      </c>
      <c r="J137" s="1">
        <v>4.0999999999999996</v>
      </c>
      <c r="L137" s="1">
        <v>1.3</v>
      </c>
      <c r="N137" s="1">
        <v>2.8</v>
      </c>
      <c r="P137" s="6"/>
      <c r="T137" s="7"/>
      <c r="V137" s="1">
        <v>564.70000000000005</v>
      </c>
    </row>
    <row r="138" spans="2:22" s="1" customFormat="1" x14ac:dyDescent="0.25">
      <c r="B138" s="2"/>
      <c r="C138" s="8">
        <v>40312</v>
      </c>
      <c r="D138" s="1">
        <v>11.1</v>
      </c>
      <c r="E138" s="1">
        <v>7.2</v>
      </c>
      <c r="F138" s="1">
        <v>14.4</v>
      </c>
      <c r="J138" s="1">
        <v>0</v>
      </c>
      <c r="L138" s="1">
        <v>2.4</v>
      </c>
      <c r="N138" s="1">
        <v>-2.4</v>
      </c>
      <c r="P138" s="6"/>
      <c r="T138" s="7"/>
      <c r="V138" s="1">
        <v>1462.2</v>
      </c>
    </row>
    <row r="139" spans="2:22" s="1" customFormat="1" x14ac:dyDescent="0.25">
      <c r="B139" s="2"/>
      <c r="C139" s="8">
        <v>40313</v>
      </c>
      <c r="D139" s="1">
        <v>11.6</v>
      </c>
      <c r="E139" s="1">
        <v>8.8000000000000007</v>
      </c>
      <c r="F139" s="1">
        <v>14</v>
      </c>
      <c r="J139" s="1">
        <v>0</v>
      </c>
      <c r="L139" s="1">
        <v>3</v>
      </c>
      <c r="N139" s="1">
        <v>-3</v>
      </c>
      <c r="P139" s="6"/>
      <c r="T139" s="7"/>
      <c r="V139" s="1">
        <v>1732.8</v>
      </c>
    </row>
    <row r="140" spans="2:22" s="1" customFormat="1" x14ac:dyDescent="0.25">
      <c r="B140" s="2"/>
      <c r="C140" s="8">
        <v>40314</v>
      </c>
      <c r="D140" s="1">
        <v>12.5</v>
      </c>
      <c r="E140" s="1">
        <v>9.5</v>
      </c>
      <c r="F140" s="1">
        <v>16.3</v>
      </c>
      <c r="J140" s="1">
        <v>0.3</v>
      </c>
      <c r="L140" s="1">
        <v>3.6</v>
      </c>
      <c r="N140" s="1">
        <v>-3.3000000000000003</v>
      </c>
      <c r="P140" s="6"/>
      <c r="T140" s="7"/>
      <c r="V140" s="1">
        <v>2035.6</v>
      </c>
    </row>
    <row r="141" spans="2:22" s="1" customFormat="1" x14ac:dyDescent="0.25">
      <c r="B141" s="2"/>
      <c r="C141" s="8">
        <v>40315</v>
      </c>
      <c r="D141" s="1">
        <v>13.8</v>
      </c>
      <c r="E141" s="1">
        <v>10.1</v>
      </c>
      <c r="F141" s="1">
        <v>17.600000000000001</v>
      </c>
      <c r="J141" s="1">
        <v>0.1</v>
      </c>
      <c r="L141" s="1">
        <v>3.3</v>
      </c>
      <c r="N141" s="1">
        <v>-3.1999999999999997</v>
      </c>
      <c r="P141" s="6"/>
      <c r="T141" s="7"/>
      <c r="V141" s="1">
        <v>1884.9</v>
      </c>
    </row>
    <row r="142" spans="2:22" s="1" customFormat="1" x14ac:dyDescent="0.25">
      <c r="B142" s="2"/>
      <c r="C142" s="8">
        <v>40316</v>
      </c>
      <c r="D142" s="1">
        <v>15.2</v>
      </c>
      <c r="E142" s="1">
        <v>10.4</v>
      </c>
      <c r="F142" s="1">
        <v>19.5</v>
      </c>
      <c r="J142" s="1">
        <v>0</v>
      </c>
      <c r="L142" s="1">
        <v>4.0999999999999996</v>
      </c>
      <c r="N142" s="1">
        <v>-4.0999999999999996</v>
      </c>
      <c r="P142" s="6"/>
      <c r="T142" s="7"/>
      <c r="V142" s="1">
        <v>2323.1999999999998</v>
      </c>
    </row>
    <row r="143" spans="2:22" s="1" customFormat="1" x14ac:dyDescent="0.25">
      <c r="B143" s="2"/>
      <c r="C143" s="8">
        <v>40317</v>
      </c>
      <c r="D143" s="1">
        <v>15.6</v>
      </c>
      <c r="E143" s="1">
        <v>11.8</v>
      </c>
      <c r="F143" s="1">
        <v>19.7</v>
      </c>
      <c r="J143" s="1">
        <v>0</v>
      </c>
      <c r="L143" s="1">
        <v>4.5</v>
      </c>
      <c r="N143" s="1">
        <v>-4.5</v>
      </c>
      <c r="P143" s="6"/>
      <c r="T143" s="7"/>
      <c r="V143" s="1">
        <v>2120.1999999999998</v>
      </c>
    </row>
    <row r="144" spans="2:22" s="1" customFormat="1" x14ac:dyDescent="0.25">
      <c r="B144" s="2"/>
      <c r="C144" s="8">
        <v>40318</v>
      </c>
      <c r="D144" s="1">
        <v>16.8</v>
      </c>
      <c r="E144" s="1">
        <v>11.3</v>
      </c>
      <c r="F144" s="1">
        <v>21.9</v>
      </c>
      <c r="J144" s="1">
        <v>0</v>
      </c>
      <c r="L144" s="1">
        <v>5.8</v>
      </c>
      <c r="N144" s="1">
        <v>-5.8</v>
      </c>
      <c r="P144" s="6"/>
      <c r="T144" s="7"/>
      <c r="V144" s="1">
        <v>3095.9</v>
      </c>
    </row>
    <row r="145" spans="2:22" s="1" customFormat="1" x14ac:dyDescent="0.25">
      <c r="B145" s="2"/>
      <c r="C145" s="8">
        <v>40319</v>
      </c>
      <c r="D145" s="1">
        <v>18.899999999999999</v>
      </c>
      <c r="E145" s="1">
        <v>13</v>
      </c>
      <c r="F145" s="1">
        <v>24.9</v>
      </c>
      <c r="J145" s="1">
        <v>0</v>
      </c>
      <c r="L145" s="1">
        <v>5.3</v>
      </c>
      <c r="N145" s="1">
        <v>-5.3</v>
      </c>
      <c r="P145" s="6"/>
      <c r="T145" s="7"/>
      <c r="V145" s="1">
        <v>2736.3</v>
      </c>
    </row>
    <row r="146" spans="2:22" s="1" customFormat="1" x14ac:dyDescent="0.25">
      <c r="B146" s="2"/>
      <c r="C146" s="8">
        <v>40320</v>
      </c>
      <c r="D146" s="1">
        <v>20</v>
      </c>
      <c r="E146" s="1">
        <v>14.2</v>
      </c>
      <c r="F146" s="1">
        <v>25.1</v>
      </c>
      <c r="J146" s="1">
        <v>0</v>
      </c>
      <c r="L146" s="1">
        <v>5.4</v>
      </c>
      <c r="N146" s="1">
        <v>-5.4</v>
      </c>
      <c r="P146" s="6"/>
      <c r="T146" s="7"/>
      <c r="V146" s="1">
        <v>2790.3</v>
      </c>
    </row>
    <row r="147" spans="2:22" s="1" customFormat="1" x14ac:dyDescent="0.25">
      <c r="B147" s="2"/>
      <c r="C147" s="8">
        <v>40321</v>
      </c>
      <c r="D147" s="1">
        <v>20.8</v>
      </c>
      <c r="E147" s="1">
        <v>15.8</v>
      </c>
      <c r="F147" s="1">
        <v>25.9</v>
      </c>
      <c r="J147" s="1">
        <v>0</v>
      </c>
      <c r="L147" s="1">
        <v>6.8</v>
      </c>
      <c r="N147" s="1">
        <v>-6.8</v>
      </c>
      <c r="P147" s="6"/>
      <c r="T147" s="7"/>
      <c r="V147" s="1">
        <v>3162.1</v>
      </c>
    </row>
    <row r="148" spans="2:22" s="1" customFormat="1" x14ac:dyDescent="0.25">
      <c r="B148" s="2"/>
      <c r="C148" s="8">
        <v>40322</v>
      </c>
      <c r="D148" s="1">
        <v>20.7</v>
      </c>
      <c r="E148" s="1">
        <v>14.1</v>
      </c>
      <c r="F148" s="1">
        <v>27.5</v>
      </c>
      <c r="J148" s="1">
        <v>0</v>
      </c>
      <c r="L148" s="1">
        <v>7.1</v>
      </c>
      <c r="N148" s="1">
        <v>-7.1</v>
      </c>
      <c r="P148" s="6"/>
      <c r="T148" s="7"/>
      <c r="V148" s="1">
        <v>3111.4</v>
      </c>
    </row>
    <row r="149" spans="2:22" s="1" customFormat="1" x14ac:dyDescent="0.25">
      <c r="B149" s="2"/>
      <c r="C149" s="8">
        <v>40323</v>
      </c>
      <c r="D149" s="1">
        <v>21</v>
      </c>
      <c r="E149" s="1">
        <v>15.8</v>
      </c>
      <c r="F149" s="1">
        <v>28.2</v>
      </c>
      <c r="J149" s="1">
        <v>2.9</v>
      </c>
      <c r="L149" s="1">
        <v>5.5</v>
      </c>
      <c r="N149" s="1">
        <v>-2.6</v>
      </c>
      <c r="P149" s="6"/>
      <c r="T149" s="7"/>
      <c r="V149" s="1">
        <v>2172.1</v>
      </c>
    </row>
    <row r="150" spans="2:22" s="1" customFormat="1" x14ac:dyDescent="0.25">
      <c r="B150" s="2"/>
      <c r="C150" s="8">
        <v>40324</v>
      </c>
      <c r="D150" s="1">
        <v>19.5</v>
      </c>
      <c r="E150" s="1">
        <v>14.8</v>
      </c>
      <c r="F150" s="1">
        <v>25.9</v>
      </c>
      <c r="J150" s="1">
        <v>2.6</v>
      </c>
      <c r="L150" s="1">
        <v>4.3</v>
      </c>
      <c r="N150" s="1">
        <v>-1.6999999999999997</v>
      </c>
      <c r="P150" s="6"/>
      <c r="T150" s="7"/>
      <c r="V150" s="1">
        <v>1804</v>
      </c>
    </row>
    <row r="151" spans="2:22" s="1" customFormat="1" x14ac:dyDescent="0.25">
      <c r="B151" s="2"/>
      <c r="C151" s="8">
        <v>40325</v>
      </c>
      <c r="D151" s="1">
        <v>17.8</v>
      </c>
      <c r="E151" s="1">
        <v>14.3</v>
      </c>
      <c r="F151" s="1">
        <v>21.7</v>
      </c>
      <c r="J151" s="1">
        <v>0.7</v>
      </c>
      <c r="L151" s="1">
        <v>4.2</v>
      </c>
      <c r="N151" s="1">
        <v>-3.5</v>
      </c>
      <c r="P151" s="6"/>
      <c r="T151" s="7"/>
      <c r="V151" s="1">
        <v>2299.6</v>
      </c>
    </row>
    <row r="152" spans="2:22" s="1" customFormat="1" x14ac:dyDescent="0.25">
      <c r="B152" s="2"/>
      <c r="C152" s="8">
        <v>40326</v>
      </c>
      <c r="D152" s="1">
        <v>16.399999999999999</v>
      </c>
      <c r="E152" s="1">
        <v>13.7</v>
      </c>
      <c r="F152" s="1">
        <v>18.2</v>
      </c>
      <c r="J152" s="1">
        <v>0</v>
      </c>
      <c r="L152" s="1">
        <v>2.2000000000000002</v>
      </c>
      <c r="N152" s="1">
        <v>-2.2000000000000002</v>
      </c>
      <c r="P152" s="6"/>
      <c r="T152" s="7"/>
      <c r="V152" s="1">
        <v>1158.0999999999999</v>
      </c>
    </row>
    <row r="153" spans="2:22" s="1" customFormat="1" x14ac:dyDescent="0.25">
      <c r="B153" s="2"/>
      <c r="C153" s="8">
        <v>40327</v>
      </c>
      <c r="D153" s="1">
        <v>17.899999999999999</v>
      </c>
      <c r="E153" s="1">
        <v>14.4</v>
      </c>
      <c r="F153" s="1">
        <v>20.6</v>
      </c>
      <c r="J153" s="1">
        <v>0</v>
      </c>
      <c r="L153" s="1">
        <v>3.5</v>
      </c>
      <c r="N153" s="1">
        <v>-3.5</v>
      </c>
      <c r="P153" s="6"/>
      <c r="T153" s="7"/>
      <c r="V153" s="1">
        <v>1661.1</v>
      </c>
    </row>
    <row r="154" spans="2:22" s="1" customFormat="1" x14ac:dyDescent="0.25">
      <c r="B154" s="2"/>
      <c r="C154" s="8">
        <v>40328</v>
      </c>
      <c r="D154" s="1">
        <v>18.5</v>
      </c>
      <c r="E154" s="1">
        <v>17.3</v>
      </c>
      <c r="F154" s="1">
        <v>20.7</v>
      </c>
      <c r="J154" s="1">
        <v>1.9</v>
      </c>
      <c r="L154" s="1">
        <v>3</v>
      </c>
      <c r="N154" s="1">
        <v>-1.1000000000000001</v>
      </c>
      <c r="P154" s="6"/>
      <c r="T154" s="7"/>
      <c r="V154" s="1">
        <v>862.6</v>
      </c>
    </row>
    <row r="155" spans="2:22" s="1" customFormat="1" x14ac:dyDescent="0.25">
      <c r="B155" s="2"/>
      <c r="C155" s="8">
        <v>40329</v>
      </c>
      <c r="D155" s="1">
        <v>19.100000000000001</v>
      </c>
      <c r="E155" s="1">
        <v>16.5</v>
      </c>
      <c r="F155" s="1">
        <v>23.4</v>
      </c>
      <c r="J155" s="1">
        <v>0</v>
      </c>
      <c r="L155" s="1">
        <v>4.0999999999999996</v>
      </c>
      <c r="N155" s="1">
        <v>-4.0999999999999996</v>
      </c>
      <c r="P155" s="6"/>
      <c r="T155" s="7"/>
      <c r="V155" s="1">
        <v>1305.0999999999999</v>
      </c>
    </row>
    <row r="156" spans="2:22" s="1" customFormat="1" x14ac:dyDescent="0.25">
      <c r="B156" s="2"/>
      <c r="C156" s="8">
        <v>40330</v>
      </c>
      <c r="D156" s="1">
        <v>18.100000000000001</v>
      </c>
      <c r="E156" s="1">
        <v>15.7</v>
      </c>
      <c r="F156" s="1">
        <v>20.5</v>
      </c>
      <c r="J156" s="1">
        <v>0.2</v>
      </c>
      <c r="L156" s="1">
        <v>2.1</v>
      </c>
      <c r="N156" s="1">
        <v>-1.9000000000000001</v>
      </c>
      <c r="P156" s="6"/>
      <c r="T156" s="7"/>
      <c r="V156" s="1">
        <v>522.1</v>
      </c>
    </row>
    <row r="157" spans="2:22" s="1" customFormat="1" x14ac:dyDescent="0.25">
      <c r="B157" s="2"/>
      <c r="C157" s="8">
        <v>40331</v>
      </c>
      <c r="D157" s="1">
        <v>19.100000000000001</v>
      </c>
      <c r="E157" s="1">
        <v>16.3</v>
      </c>
      <c r="F157" s="1">
        <v>22.8</v>
      </c>
      <c r="J157" s="1">
        <v>0</v>
      </c>
      <c r="L157" s="1">
        <v>4.4000000000000004</v>
      </c>
      <c r="N157" s="1">
        <v>-4.4000000000000004</v>
      </c>
      <c r="P157" s="6"/>
      <c r="T157" s="7"/>
      <c r="V157" s="1">
        <v>1690.5</v>
      </c>
    </row>
    <row r="158" spans="2:22" s="1" customFormat="1" x14ac:dyDescent="0.25">
      <c r="B158" s="2"/>
      <c r="C158" s="8">
        <v>40332</v>
      </c>
      <c r="D158" s="1">
        <v>20</v>
      </c>
      <c r="E158" s="1">
        <v>13.3</v>
      </c>
      <c r="F158" s="1">
        <v>25.9</v>
      </c>
      <c r="J158" s="1">
        <v>0</v>
      </c>
      <c r="L158" s="1">
        <v>6.1</v>
      </c>
      <c r="N158" s="1">
        <v>-6.1</v>
      </c>
      <c r="P158" s="6"/>
      <c r="T158" s="7"/>
      <c r="V158" s="1">
        <v>3172.2</v>
      </c>
    </row>
    <row r="159" spans="2:22" s="1" customFormat="1" x14ac:dyDescent="0.25">
      <c r="B159" s="2"/>
      <c r="C159" s="8">
        <v>40333</v>
      </c>
      <c r="D159" s="1">
        <v>22.6</v>
      </c>
      <c r="E159" s="1">
        <v>16.8</v>
      </c>
      <c r="F159" s="1">
        <v>27.9</v>
      </c>
      <c r="J159" s="1">
        <v>0</v>
      </c>
      <c r="L159" s="1">
        <v>6.3</v>
      </c>
      <c r="N159" s="1">
        <v>-6.3</v>
      </c>
      <c r="P159" s="6"/>
      <c r="T159" s="7"/>
      <c r="V159" s="1">
        <v>2760.1</v>
      </c>
    </row>
    <row r="160" spans="2:22" s="1" customFormat="1" x14ac:dyDescent="0.25">
      <c r="B160" s="2"/>
      <c r="C160" s="8">
        <v>40334</v>
      </c>
      <c r="D160" s="1">
        <v>23.5</v>
      </c>
      <c r="E160" s="1">
        <v>17.5</v>
      </c>
      <c r="F160" s="1">
        <v>28.5</v>
      </c>
      <c r="J160" s="1">
        <v>0.8</v>
      </c>
      <c r="L160" s="1">
        <v>6</v>
      </c>
      <c r="N160" s="1">
        <v>-5.2</v>
      </c>
      <c r="P160" s="6"/>
      <c r="T160" s="7"/>
      <c r="V160" s="1">
        <v>2803.4</v>
      </c>
    </row>
    <row r="161" spans="2:22" s="1" customFormat="1" x14ac:dyDescent="0.25">
      <c r="B161" s="2"/>
      <c r="C161" s="10">
        <v>40335</v>
      </c>
      <c r="D161" s="1">
        <v>17.7</v>
      </c>
      <c r="E161" s="1">
        <v>17</v>
      </c>
      <c r="F161" s="1">
        <v>18.2</v>
      </c>
      <c r="J161" s="1">
        <v>0.3</v>
      </c>
      <c r="L161" s="1">
        <v>1.6</v>
      </c>
      <c r="N161" s="1">
        <v>-1.3</v>
      </c>
      <c r="O161" s="11"/>
      <c r="P161" s="12"/>
      <c r="T161" s="7">
        <v>0</v>
      </c>
      <c r="U161" s="1" t="s">
        <v>27</v>
      </c>
      <c r="V161" s="1">
        <v>560.9</v>
      </c>
    </row>
    <row r="162" spans="2:22" s="1" customFormat="1" x14ac:dyDescent="0.25">
      <c r="B162" s="2"/>
      <c r="C162" s="8">
        <v>40336</v>
      </c>
      <c r="D162" s="1">
        <v>20.7</v>
      </c>
      <c r="E162" s="1">
        <v>14.7</v>
      </c>
      <c r="F162" s="1">
        <v>25.8</v>
      </c>
      <c r="J162" s="1">
        <v>2.2999999999999998</v>
      </c>
      <c r="L162" s="1">
        <v>4.9000000000000004</v>
      </c>
      <c r="N162" s="1">
        <v>-2.6000000000000005</v>
      </c>
      <c r="P162" s="6"/>
      <c r="T162" s="7">
        <v>0</v>
      </c>
      <c r="V162" s="1">
        <v>2437.3000000000002</v>
      </c>
    </row>
    <row r="163" spans="2:22" s="1" customFormat="1" x14ac:dyDescent="0.25">
      <c r="B163" s="2"/>
      <c r="C163" s="8">
        <v>40337</v>
      </c>
      <c r="D163" s="1">
        <v>18.399999999999999</v>
      </c>
      <c r="E163" s="1">
        <v>15.2</v>
      </c>
      <c r="F163" s="1">
        <v>20.3</v>
      </c>
      <c r="J163" s="1">
        <v>32</v>
      </c>
      <c r="L163" s="1">
        <v>1.5</v>
      </c>
      <c r="N163" s="1">
        <v>30.5</v>
      </c>
      <c r="P163" s="6"/>
      <c r="T163" s="7">
        <v>30.5</v>
      </c>
      <c r="V163" s="1">
        <v>576.1</v>
      </c>
    </row>
    <row r="164" spans="2:22" s="1" customFormat="1" x14ac:dyDescent="0.25">
      <c r="B164" s="2"/>
      <c r="C164" s="8">
        <v>40338</v>
      </c>
      <c r="D164" s="1">
        <v>18.5</v>
      </c>
      <c r="E164" s="1">
        <v>15.8</v>
      </c>
      <c r="F164" s="1">
        <v>20.399999999999999</v>
      </c>
      <c r="J164" s="1">
        <v>7.6</v>
      </c>
      <c r="L164" s="1">
        <v>0.8</v>
      </c>
      <c r="N164" s="1">
        <v>6.8</v>
      </c>
      <c r="P164" s="6"/>
      <c r="T164" s="7">
        <v>37.299999999999997</v>
      </c>
      <c r="V164" s="1">
        <v>384.1</v>
      </c>
    </row>
    <row r="165" spans="2:22" s="1" customFormat="1" x14ac:dyDescent="0.25">
      <c r="B165" s="2"/>
      <c r="C165" s="8">
        <v>40339</v>
      </c>
      <c r="D165" s="1">
        <v>22</v>
      </c>
      <c r="E165" s="1">
        <v>18.8</v>
      </c>
      <c r="F165" s="1">
        <v>26.1</v>
      </c>
      <c r="J165" s="1">
        <v>1.7</v>
      </c>
      <c r="L165" s="1">
        <v>4.7</v>
      </c>
      <c r="N165" s="1">
        <v>-3</v>
      </c>
      <c r="P165" s="6"/>
      <c r="T165" s="7">
        <v>34.299999999999997</v>
      </c>
      <c r="V165" s="1">
        <v>1786.3</v>
      </c>
    </row>
    <row r="166" spans="2:22" s="1" customFormat="1" x14ac:dyDescent="0.25">
      <c r="B166" s="2"/>
      <c r="C166" s="8">
        <v>40340</v>
      </c>
      <c r="D166" s="1">
        <v>18.100000000000001</v>
      </c>
      <c r="E166" s="1">
        <v>16.899999999999999</v>
      </c>
      <c r="F166" s="1">
        <v>22</v>
      </c>
      <c r="J166" s="1">
        <v>14.6</v>
      </c>
      <c r="L166" s="1">
        <v>3.2</v>
      </c>
      <c r="N166" s="1">
        <v>11.399999999999999</v>
      </c>
      <c r="P166" s="6"/>
      <c r="T166" s="7">
        <v>45.699999999999996</v>
      </c>
      <c r="V166" s="1">
        <v>1384.9</v>
      </c>
    </row>
    <row r="167" spans="2:22" s="1" customFormat="1" x14ac:dyDescent="0.25">
      <c r="B167" s="2"/>
      <c r="C167" s="8">
        <v>40341</v>
      </c>
      <c r="D167" s="1">
        <v>19.100000000000001</v>
      </c>
      <c r="E167" s="1">
        <v>13.1</v>
      </c>
      <c r="F167" s="1">
        <v>23.4</v>
      </c>
      <c r="J167" s="1">
        <v>2.6</v>
      </c>
      <c r="L167" s="1">
        <v>4.0999999999999996</v>
      </c>
      <c r="N167" s="1">
        <v>-1.4999999999999996</v>
      </c>
      <c r="P167" s="6"/>
      <c r="T167" s="7">
        <v>44.199999999999996</v>
      </c>
      <c r="V167" s="1">
        <v>2091.8000000000002</v>
      </c>
    </row>
    <row r="168" spans="2:22" s="1" customFormat="1" x14ac:dyDescent="0.25">
      <c r="B168" s="2"/>
      <c r="C168" s="8">
        <v>40342</v>
      </c>
      <c r="D168" s="1">
        <v>19.399999999999999</v>
      </c>
      <c r="E168" s="1">
        <v>16.600000000000001</v>
      </c>
      <c r="F168" s="1">
        <v>24.3</v>
      </c>
      <c r="J168" s="1">
        <v>5.0999999999999996</v>
      </c>
      <c r="L168" s="1">
        <v>3.9</v>
      </c>
      <c r="N168" s="1">
        <v>1.1999999999999997</v>
      </c>
      <c r="P168" s="6"/>
      <c r="T168" s="7">
        <v>45.4</v>
      </c>
      <c r="V168" s="1">
        <v>1674.6</v>
      </c>
    </row>
    <row r="169" spans="2:22" s="1" customFormat="1" x14ac:dyDescent="0.25">
      <c r="B169" s="2"/>
      <c r="C169" s="8">
        <v>40343</v>
      </c>
      <c r="D169" s="1">
        <v>14.2</v>
      </c>
      <c r="E169" s="1">
        <v>13.5</v>
      </c>
      <c r="F169" s="1">
        <v>14.6</v>
      </c>
      <c r="J169" s="1">
        <v>6.2</v>
      </c>
      <c r="L169" s="1">
        <v>1</v>
      </c>
      <c r="N169" s="1">
        <v>5.2</v>
      </c>
      <c r="P169" s="6"/>
      <c r="T169" s="7">
        <v>50.6</v>
      </c>
      <c r="V169" s="1">
        <v>504.9</v>
      </c>
    </row>
    <row r="170" spans="2:22" s="1" customFormat="1" x14ac:dyDescent="0.25">
      <c r="B170" s="2"/>
      <c r="C170" s="8">
        <v>40344</v>
      </c>
      <c r="D170" s="1">
        <v>16</v>
      </c>
      <c r="E170" s="1">
        <v>12.5</v>
      </c>
      <c r="F170" s="1">
        <v>18.899999999999999</v>
      </c>
      <c r="J170" s="1">
        <v>1.7</v>
      </c>
      <c r="L170" s="1">
        <v>2.1</v>
      </c>
      <c r="N170" s="1">
        <v>-0.40000000000000013</v>
      </c>
      <c r="P170" s="6"/>
      <c r="T170" s="7">
        <v>50.2</v>
      </c>
      <c r="V170" s="1">
        <v>884.9</v>
      </c>
    </row>
    <row r="171" spans="2:22" s="1" customFormat="1" x14ac:dyDescent="0.25">
      <c r="B171" s="2"/>
      <c r="C171" s="8">
        <v>40345</v>
      </c>
      <c r="D171" s="1">
        <v>14.9</v>
      </c>
      <c r="E171" s="1">
        <v>13.1</v>
      </c>
      <c r="F171" s="1">
        <v>18.399999999999999</v>
      </c>
      <c r="J171" s="1">
        <v>4</v>
      </c>
      <c r="L171" s="1">
        <v>2.5</v>
      </c>
      <c r="N171" s="1">
        <v>1.5</v>
      </c>
      <c r="P171" s="6"/>
      <c r="T171" s="7">
        <v>51.7</v>
      </c>
      <c r="V171" s="1">
        <v>1071.4000000000001</v>
      </c>
    </row>
    <row r="172" spans="2:22" s="1" customFormat="1" x14ac:dyDescent="0.25">
      <c r="B172" s="2"/>
      <c r="C172" s="8">
        <v>40346</v>
      </c>
      <c r="D172" s="1">
        <v>15.6</v>
      </c>
      <c r="E172" s="1">
        <v>13.2</v>
      </c>
      <c r="F172" s="1">
        <v>18.899999999999999</v>
      </c>
      <c r="J172" s="1">
        <v>0</v>
      </c>
      <c r="L172" s="1">
        <v>3</v>
      </c>
      <c r="N172" s="1">
        <v>-3</v>
      </c>
      <c r="P172" s="6"/>
      <c r="T172" s="7">
        <v>48.7</v>
      </c>
      <c r="V172" s="1">
        <v>1455.7</v>
      </c>
    </row>
    <row r="173" spans="2:22" s="1" customFormat="1" x14ac:dyDescent="0.25">
      <c r="B173" s="2"/>
      <c r="C173" s="8">
        <v>40347</v>
      </c>
      <c r="D173" s="1">
        <v>17.100000000000001</v>
      </c>
      <c r="E173" s="1">
        <v>13.9</v>
      </c>
      <c r="F173" s="1">
        <v>20.5</v>
      </c>
      <c r="J173" s="1">
        <v>2.1</v>
      </c>
      <c r="L173" s="1">
        <v>2.7</v>
      </c>
      <c r="N173" s="1">
        <v>-0.60000000000000009</v>
      </c>
      <c r="P173" s="6"/>
      <c r="T173" s="7">
        <v>48.1</v>
      </c>
      <c r="V173" s="1">
        <v>1244.3</v>
      </c>
    </row>
    <row r="174" spans="2:22" s="1" customFormat="1" x14ac:dyDescent="0.25">
      <c r="B174" s="2"/>
      <c r="C174" s="8">
        <v>40348</v>
      </c>
      <c r="D174" s="1">
        <v>15.3</v>
      </c>
      <c r="E174" s="1">
        <v>15.5</v>
      </c>
      <c r="F174" s="1">
        <v>16.399999999999999</v>
      </c>
      <c r="J174" s="1">
        <v>17.2</v>
      </c>
      <c r="L174" s="1">
        <v>1.5</v>
      </c>
      <c r="N174" s="1">
        <v>15.7</v>
      </c>
      <c r="P174" s="6"/>
      <c r="T174" s="7">
        <v>63.8</v>
      </c>
      <c r="V174" s="1">
        <v>629</v>
      </c>
    </row>
    <row r="175" spans="2:22" s="1" customFormat="1" x14ac:dyDescent="0.25">
      <c r="B175" s="2"/>
      <c r="C175" s="8">
        <v>40349</v>
      </c>
      <c r="D175" s="1">
        <v>14.2</v>
      </c>
      <c r="E175" s="1">
        <v>11.7</v>
      </c>
      <c r="F175" s="1">
        <v>17.5</v>
      </c>
      <c r="J175" s="1">
        <v>0.5</v>
      </c>
      <c r="L175" s="1">
        <v>4.5</v>
      </c>
      <c r="N175" s="1">
        <v>-4</v>
      </c>
      <c r="P175" s="6"/>
      <c r="T175" s="7">
        <v>59.8</v>
      </c>
      <c r="V175" s="1">
        <v>2458.1999999999998</v>
      </c>
    </row>
    <row r="176" spans="2:22" s="1" customFormat="1" x14ac:dyDescent="0.25">
      <c r="B176" s="2"/>
      <c r="C176" s="8">
        <v>40350</v>
      </c>
      <c r="D176" s="1">
        <v>15.5</v>
      </c>
      <c r="E176" s="1">
        <v>12.4</v>
      </c>
      <c r="F176" s="1">
        <v>18.899999999999999</v>
      </c>
      <c r="J176" s="1">
        <v>0</v>
      </c>
      <c r="L176" s="1">
        <v>4.5</v>
      </c>
      <c r="N176" s="1">
        <v>-4.5</v>
      </c>
      <c r="P176" s="6"/>
      <c r="T176" s="7">
        <v>55.3</v>
      </c>
      <c r="V176" s="1">
        <v>2085.6</v>
      </c>
    </row>
    <row r="177" spans="2:22" s="1" customFormat="1" x14ac:dyDescent="0.25">
      <c r="B177" s="2"/>
      <c r="C177" s="8">
        <v>40351</v>
      </c>
      <c r="D177" s="1">
        <v>17.399999999999999</v>
      </c>
      <c r="E177" s="1">
        <v>12.7</v>
      </c>
      <c r="F177" s="1">
        <v>22.3</v>
      </c>
      <c r="J177" s="1">
        <v>0</v>
      </c>
      <c r="L177" s="1">
        <v>5.4</v>
      </c>
      <c r="N177" s="1">
        <v>-5.4</v>
      </c>
      <c r="P177" s="6"/>
      <c r="T177" s="7">
        <v>49.9</v>
      </c>
      <c r="V177" s="1">
        <v>2789.4</v>
      </c>
    </row>
    <row r="178" spans="2:22" s="1" customFormat="1" x14ac:dyDescent="0.25">
      <c r="B178" s="2"/>
      <c r="C178" s="8">
        <v>40352</v>
      </c>
      <c r="D178" s="1">
        <v>19.100000000000001</v>
      </c>
      <c r="E178" s="1">
        <v>13.8</v>
      </c>
      <c r="F178" s="1">
        <v>24.8</v>
      </c>
      <c r="J178" s="1">
        <v>0</v>
      </c>
      <c r="L178" s="1">
        <v>6</v>
      </c>
      <c r="N178" s="1">
        <v>-6</v>
      </c>
      <c r="P178" s="6"/>
      <c r="T178" s="7">
        <v>43.9</v>
      </c>
      <c r="V178" s="1">
        <v>3100.2</v>
      </c>
    </row>
    <row r="179" spans="2:22" s="1" customFormat="1" x14ac:dyDescent="0.25">
      <c r="B179" s="2"/>
      <c r="C179" s="8">
        <v>40353</v>
      </c>
      <c r="D179" s="1">
        <v>21.1</v>
      </c>
      <c r="E179" s="1">
        <v>14.3</v>
      </c>
      <c r="F179" s="1">
        <v>28.1</v>
      </c>
      <c r="J179" s="1">
        <v>0</v>
      </c>
      <c r="L179" s="1">
        <v>5.6</v>
      </c>
      <c r="N179" s="1">
        <v>-5.6</v>
      </c>
      <c r="P179" s="6"/>
      <c r="T179" s="7">
        <v>38.299999999999997</v>
      </c>
      <c r="V179" s="1">
        <v>2862.1</v>
      </c>
    </row>
    <row r="180" spans="2:22" s="1" customFormat="1" x14ac:dyDescent="0.25">
      <c r="B180" s="2"/>
      <c r="C180" s="8">
        <v>40354</v>
      </c>
      <c r="D180" s="1">
        <v>22.8</v>
      </c>
      <c r="E180" s="1">
        <v>15.8</v>
      </c>
      <c r="F180" s="1">
        <v>29.5</v>
      </c>
      <c r="J180" s="1">
        <v>0</v>
      </c>
      <c r="L180" s="1">
        <v>5.9</v>
      </c>
      <c r="N180" s="1">
        <v>-5.9</v>
      </c>
      <c r="P180" s="6"/>
      <c r="T180" s="7">
        <v>32.4</v>
      </c>
      <c r="V180" s="1">
        <v>2833.5</v>
      </c>
    </row>
    <row r="181" spans="2:22" s="1" customFormat="1" x14ac:dyDescent="0.25">
      <c r="B181" s="2"/>
      <c r="C181" s="8">
        <v>40355</v>
      </c>
      <c r="D181" s="1">
        <v>23.9</v>
      </c>
      <c r="E181" s="1">
        <v>17</v>
      </c>
      <c r="F181" s="1">
        <v>30.6</v>
      </c>
      <c r="J181" s="1">
        <v>0</v>
      </c>
      <c r="L181" s="1">
        <v>5.4</v>
      </c>
      <c r="N181" s="1">
        <v>-5.4</v>
      </c>
      <c r="P181" s="6"/>
      <c r="T181" s="7">
        <v>27</v>
      </c>
      <c r="V181" s="1">
        <v>2519</v>
      </c>
    </row>
    <row r="182" spans="2:22" s="1" customFormat="1" x14ac:dyDescent="0.25">
      <c r="B182" s="2"/>
      <c r="C182" s="8">
        <v>40356</v>
      </c>
      <c r="D182" s="1">
        <v>23.7</v>
      </c>
      <c r="E182" s="1">
        <v>18.3</v>
      </c>
      <c r="F182" s="1">
        <v>30</v>
      </c>
      <c r="J182" s="1">
        <v>0.8</v>
      </c>
      <c r="L182" s="1">
        <v>5.3</v>
      </c>
      <c r="N182" s="1">
        <v>-4.5</v>
      </c>
      <c r="P182" s="6"/>
      <c r="T182" s="7">
        <v>22.5</v>
      </c>
      <c r="V182" s="1">
        <v>2342.8000000000002</v>
      </c>
    </row>
    <row r="183" spans="2:22" s="1" customFormat="1" x14ac:dyDescent="0.25">
      <c r="B183" s="2"/>
      <c r="C183" s="8">
        <v>40357</v>
      </c>
      <c r="D183" s="1">
        <v>24.1</v>
      </c>
      <c r="E183" s="1">
        <v>18.5</v>
      </c>
      <c r="F183" s="1">
        <v>28.7</v>
      </c>
      <c r="J183" s="1">
        <v>0.9</v>
      </c>
      <c r="L183" s="1">
        <v>4.7</v>
      </c>
      <c r="N183" s="1">
        <v>-3.8000000000000003</v>
      </c>
      <c r="P183" s="6"/>
      <c r="T183" s="7">
        <v>18.7</v>
      </c>
      <c r="V183" s="1">
        <v>2047.7</v>
      </c>
    </row>
    <row r="184" spans="2:22" s="1" customFormat="1" x14ac:dyDescent="0.25">
      <c r="B184" s="2"/>
      <c r="C184" s="8">
        <v>40358</v>
      </c>
      <c r="D184" s="1">
        <v>24.1</v>
      </c>
      <c r="E184" s="1">
        <v>19.2</v>
      </c>
      <c r="F184" s="1">
        <v>27.9</v>
      </c>
      <c r="J184" s="1">
        <v>0</v>
      </c>
      <c r="L184" s="1">
        <v>4.5</v>
      </c>
      <c r="N184" s="1">
        <v>-4.5</v>
      </c>
      <c r="P184" s="6"/>
      <c r="T184" s="7">
        <v>14.2</v>
      </c>
      <c r="V184" s="1">
        <v>1906.8</v>
      </c>
    </row>
    <row r="185" spans="2:22" s="1" customFormat="1" x14ac:dyDescent="0.25">
      <c r="B185" s="2"/>
      <c r="C185" s="8">
        <v>40359</v>
      </c>
      <c r="D185" s="1">
        <v>24.5</v>
      </c>
      <c r="E185" s="1">
        <v>19.7</v>
      </c>
      <c r="F185" s="1">
        <v>29.9</v>
      </c>
      <c r="J185" s="1">
        <v>0</v>
      </c>
      <c r="L185" s="1">
        <v>5.8</v>
      </c>
      <c r="N185" s="1">
        <v>-5.8</v>
      </c>
      <c r="P185" s="6"/>
      <c r="T185" s="7">
        <v>8.3999999999999986</v>
      </c>
      <c r="V185" s="1">
        <v>2627.7</v>
      </c>
    </row>
    <row r="186" spans="2:22" s="1" customFormat="1" x14ac:dyDescent="0.25">
      <c r="B186" s="2"/>
      <c r="C186" s="8">
        <v>40360</v>
      </c>
      <c r="D186" s="1">
        <v>27</v>
      </c>
      <c r="E186" s="1">
        <v>20</v>
      </c>
      <c r="F186" s="1">
        <v>33.799999999999997</v>
      </c>
      <c r="J186" s="1">
        <v>0</v>
      </c>
      <c r="L186" s="1">
        <v>7.4</v>
      </c>
      <c r="N186" s="1">
        <v>-7.4</v>
      </c>
      <c r="P186" s="6"/>
      <c r="T186" s="7">
        <v>0.99999999999999822</v>
      </c>
      <c r="V186" s="1">
        <v>3152.3</v>
      </c>
    </row>
    <row r="187" spans="2:22" s="1" customFormat="1" x14ac:dyDescent="0.25">
      <c r="B187" s="2"/>
      <c r="C187" s="8">
        <v>40361</v>
      </c>
      <c r="D187" s="1">
        <v>26</v>
      </c>
      <c r="E187" s="1">
        <v>21.2</v>
      </c>
      <c r="F187" s="1">
        <v>32.200000000000003</v>
      </c>
      <c r="J187" s="1">
        <v>0</v>
      </c>
      <c r="L187" s="1">
        <v>6.3</v>
      </c>
      <c r="N187" s="1">
        <v>-6.3</v>
      </c>
      <c r="P187" s="6"/>
      <c r="T187" s="7">
        <v>0</v>
      </c>
      <c r="V187" s="1">
        <v>2271.6999999999998</v>
      </c>
    </row>
    <row r="188" spans="2:22" s="1" customFormat="1" x14ac:dyDescent="0.25">
      <c r="B188" s="2"/>
      <c r="C188" s="8">
        <v>40362</v>
      </c>
      <c r="D188" s="1">
        <v>23</v>
      </c>
      <c r="E188" s="1">
        <v>20.399999999999999</v>
      </c>
      <c r="F188" s="1">
        <v>25.5</v>
      </c>
      <c r="J188" s="1">
        <v>0</v>
      </c>
      <c r="L188" s="1">
        <v>2.5</v>
      </c>
      <c r="N188" s="1">
        <v>-2.5</v>
      </c>
      <c r="P188" s="6"/>
      <c r="T188" s="7">
        <v>0</v>
      </c>
      <c r="V188" s="1">
        <v>908.2</v>
      </c>
    </row>
    <row r="189" spans="2:22" s="1" customFormat="1" x14ac:dyDescent="0.25">
      <c r="B189" s="2"/>
      <c r="C189" s="8">
        <v>40363</v>
      </c>
      <c r="D189" s="1">
        <v>24.3</v>
      </c>
      <c r="E189" s="1">
        <v>21.3</v>
      </c>
      <c r="F189" s="1">
        <v>28.2</v>
      </c>
      <c r="J189" s="1">
        <v>0</v>
      </c>
      <c r="L189" s="1">
        <v>4.5999999999999996</v>
      </c>
      <c r="N189" s="1">
        <v>-4.5999999999999996</v>
      </c>
      <c r="P189" s="6"/>
      <c r="T189" s="7">
        <v>0</v>
      </c>
      <c r="V189" s="1">
        <v>1760.5</v>
      </c>
    </row>
    <row r="190" spans="2:22" s="1" customFormat="1" x14ac:dyDescent="0.25">
      <c r="B190" s="2"/>
      <c r="C190" s="8">
        <v>40364</v>
      </c>
      <c r="D190" s="1">
        <v>23.2</v>
      </c>
      <c r="E190" s="1">
        <v>18.899999999999999</v>
      </c>
      <c r="F190" s="1">
        <v>27</v>
      </c>
      <c r="J190" s="1">
        <v>0</v>
      </c>
      <c r="L190" s="1">
        <v>5.3</v>
      </c>
      <c r="N190" s="1">
        <v>-5.3</v>
      </c>
      <c r="P190" s="6"/>
      <c r="T190" s="7">
        <v>0</v>
      </c>
      <c r="V190" s="1">
        <v>1890.1</v>
      </c>
    </row>
    <row r="191" spans="2:22" s="1" customFormat="1" x14ac:dyDescent="0.25">
      <c r="B191" s="2"/>
      <c r="C191" s="8">
        <v>40365</v>
      </c>
      <c r="D191" s="1">
        <v>22.9</v>
      </c>
      <c r="E191" s="1">
        <v>18.7</v>
      </c>
      <c r="F191" s="1">
        <v>27.4</v>
      </c>
      <c r="J191" s="1">
        <v>0</v>
      </c>
      <c r="L191" s="1">
        <v>6</v>
      </c>
      <c r="N191" s="1">
        <v>-6</v>
      </c>
      <c r="P191" s="6"/>
      <c r="T191" s="7">
        <v>0</v>
      </c>
      <c r="V191" s="1">
        <v>2356.4</v>
      </c>
    </row>
    <row r="192" spans="2:22" s="1" customFormat="1" x14ac:dyDescent="0.25">
      <c r="B192" s="2"/>
      <c r="C192" s="8">
        <v>40366</v>
      </c>
      <c r="D192" s="1">
        <v>24</v>
      </c>
      <c r="E192" s="1">
        <v>17.600000000000001</v>
      </c>
      <c r="F192" s="1">
        <v>30.9</v>
      </c>
      <c r="J192" s="1">
        <v>0</v>
      </c>
      <c r="L192" s="1">
        <v>7.2</v>
      </c>
      <c r="N192" s="1">
        <v>-7.2</v>
      </c>
      <c r="P192" s="6"/>
      <c r="T192" s="7">
        <v>0</v>
      </c>
      <c r="V192" s="1">
        <v>3197.7</v>
      </c>
    </row>
    <row r="193" spans="2:22" s="1" customFormat="1" x14ac:dyDescent="0.25">
      <c r="B193" s="2"/>
      <c r="C193" s="8">
        <v>40367</v>
      </c>
      <c r="D193" s="1">
        <v>27</v>
      </c>
      <c r="E193" s="1">
        <v>18.100000000000001</v>
      </c>
      <c r="F193" s="1">
        <v>36.200000000000003</v>
      </c>
      <c r="J193" s="1">
        <v>0</v>
      </c>
      <c r="L193" s="1">
        <v>8</v>
      </c>
      <c r="N193" s="1">
        <v>-8</v>
      </c>
      <c r="P193" s="6"/>
      <c r="T193" s="7">
        <v>0</v>
      </c>
      <c r="V193" s="1">
        <v>2648.2</v>
      </c>
    </row>
    <row r="194" spans="2:22" s="1" customFormat="1" x14ac:dyDescent="0.25">
      <c r="B194" s="2"/>
      <c r="C194" s="8">
        <v>40368</v>
      </c>
      <c r="D194" s="1">
        <v>23.7</v>
      </c>
      <c r="E194" s="1">
        <v>22.6</v>
      </c>
      <c r="F194" s="1">
        <v>26.3</v>
      </c>
      <c r="J194" s="1">
        <v>5.9</v>
      </c>
      <c r="L194" s="1">
        <v>2.6</v>
      </c>
      <c r="N194" s="1">
        <v>3.3000000000000003</v>
      </c>
      <c r="P194" s="6"/>
      <c r="T194" s="7">
        <v>3.3000000000000003</v>
      </c>
      <c r="V194" s="1">
        <v>670.5</v>
      </c>
    </row>
    <row r="195" spans="2:22" s="1" customFormat="1" x14ac:dyDescent="0.25">
      <c r="B195" s="2"/>
      <c r="C195" s="8">
        <v>40369</v>
      </c>
      <c r="D195" s="1">
        <v>24.4</v>
      </c>
      <c r="E195" s="1">
        <v>18.100000000000001</v>
      </c>
      <c r="F195" s="1">
        <v>30.4</v>
      </c>
      <c r="J195" s="1">
        <v>0</v>
      </c>
      <c r="L195" s="1">
        <v>5.7</v>
      </c>
      <c r="N195" s="1">
        <v>-5.7</v>
      </c>
      <c r="P195" s="6"/>
      <c r="T195" s="7">
        <v>0</v>
      </c>
      <c r="V195" s="1">
        <v>2437.3000000000002</v>
      </c>
    </row>
    <row r="196" spans="2:22" s="1" customFormat="1" x14ac:dyDescent="0.25">
      <c r="B196" s="2"/>
      <c r="C196" s="8">
        <v>40370</v>
      </c>
      <c r="D196" s="1">
        <v>26.8</v>
      </c>
      <c r="E196" s="1">
        <v>20.7</v>
      </c>
      <c r="F196" s="1">
        <v>32.4</v>
      </c>
      <c r="J196" s="1">
        <v>0</v>
      </c>
      <c r="L196" s="1">
        <v>6.5</v>
      </c>
      <c r="N196" s="1">
        <v>-6.5</v>
      </c>
      <c r="P196" s="6"/>
      <c r="T196" s="7">
        <v>0</v>
      </c>
      <c r="V196" s="1">
        <v>2866.4</v>
      </c>
    </row>
    <row r="197" spans="2:22" s="1" customFormat="1" x14ac:dyDescent="0.25">
      <c r="B197" s="2"/>
      <c r="C197" s="8">
        <v>40371</v>
      </c>
      <c r="D197" s="1">
        <v>24.8</v>
      </c>
      <c r="E197" s="1">
        <v>20.5</v>
      </c>
      <c r="F197" s="1">
        <v>28</v>
      </c>
      <c r="J197" s="1">
        <v>0</v>
      </c>
      <c r="L197" s="1">
        <v>3.4</v>
      </c>
      <c r="N197" s="1">
        <v>-3.4</v>
      </c>
      <c r="P197" s="6"/>
      <c r="T197" s="7">
        <v>0</v>
      </c>
      <c r="V197" s="1">
        <v>1314.8</v>
      </c>
    </row>
    <row r="198" spans="2:22" s="1" customFormat="1" x14ac:dyDescent="0.25">
      <c r="B198" s="2"/>
      <c r="C198" s="8">
        <v>40372</v>
      </c>
      <c r="D198" s="1">
        <v>25.8</v>
      </c>
      <c r="E198" s="1">
        <v>20.100000000000001</v>
      </c>
      <c r="F198" s="1">
        <v>31.2</v>
      </c>
      <c r="J198" s="1">
        <v>0</v>
      </c>
      <c r="L198" s="1">
        <v>4.5</v>
      </c>
      <c r="N198" s="1">
        <v>-4.5</v>
      </c>
      <c r="P198" s="6"/>
      <c r="T198" s="7">
        <v>0</v>
      </c>
      <c r="V198" s="1">
        <v>1715.7</v>
      </c>
    </row>
    <row r="199" spans="2:22" s="1" customFormat="1" x14ac:dyDescent="0.25">
      <c r="B199" s="2"/>
      <c r="C199" s="8">
        <v>40373</v>
      </c>
      <c r="D199" s="1">
        <v>23.7</v>
      </c>
      <c r="E199" s="1">
        <v>22.2</v>
      </c>
      <c r="F199" s="1">
        <v>28.8</v>
      </c>
      <c r="J199" s="1">
        <v>0</v>
      </c>
      <c r="L199" s="1">
        <v>4.8</v>
      </c>
      <c r="N199" s="1">
        <v>-4.8</v>
      </c>
      <c r="P199" s="6"/>
      <c r="T199" s="7">
        <v>0</v>
      </c>
      <c r="V199" s="1">
        <v>1660</v>
      </c>
    </row>
    <row r="200" spans="2:22" s="1" customFormat="1" x14ac:dyDescent="0.25">
      <c r="B200" s="2"/>
      <c r="C200" s="8">
        <v>40374</v>
      </c>
      <c r="D200" s="1">
        <v>22.9</v>
      </c>
      <c r="E200" s="1">
        <v>18.600000000000001</v>
      </c>
      <c r="F200" s="1">
        <v>28</v>
      </c>
      <c r="J200" s="1">
        <v>0</v>
      </c>
      <c r="L200" s="1">
        <v>5.2</v>
      </c>
      <c r="N200" s="1">
        <v>-5.2</v>
      </c>
      <c r="P200" s="6"/>
      <c r="T200" s="7">
        <v>0</v>
      </c>
      <c r="V200" s="1">
        <v>2290.1</v>
      </c>
    </row>
    <row r="201" spans="2:22" s="1" customFormat="1" x14ac:dyDescent="0.25">
      <c r="B201" s="2"/>
      <c r="C201" s="8">
        <v>40375</v>
      </c>
      <c r="D201" s="1">
        <v>24.4</v>
      </c>
      <c r="E201" s="1">
        <v>17.600000000000001</v>
      </c>
      <c r="F201" s="1">
        <v>31.6</v>
      </c>
      <c r="J201" s="1">
        <v>0</v>
      </c>
      <c r="L201" s="1">
        <v>7</v>
      </c>
      <c r="N201" s="1">
        <v>-7</v>
      </c>
      <c r="P201" s="6"/>
      <c r="T201" s="7">
        <v>0</v>
      </c>
      <c r="V201" s="1">
        <v>2632.2</v>
      </c>
    </row>
    <row r="202" spans="2:22" s="1" customFormat="1" x14ac:dyDescent="0.25">
      <c r="B202" s="2"/>
      <c r="C202" s="8">
        <v>40376</v>
      </c>
      <c r="D202" s="1">
        <v>20.8</v>
      </c>
      <c r="E202" s="1">
        <v>18.3</v>
      </c>
      <c r="F202" s="1">
        <v>22.8</v>
      </c>
      <c r="J202" s="1">
        <v>0</v>
      </c>
      <c r="L202" s="1">
        <v>4.5</v>
      </c>
      <c r="N202" s="1">
        <v>-4.5</v>
      </c>
      <c r="P202" s="6"/>
      <c r="T202" s="7">
        <v>0</v>
      </c>
      <c r="V202" s="1">
        <v>1740.2</v>
      </c>
    </row>
    <row r="203" spans="2:22" s="1" customFormat="1" x14ac:dyDescent="0.25">
      <c r="B203" s="2"/>
      <c r="C203" s="8">
        <v>40377</v>
      </c>
      <c r="D203" s="1">
        <v>22.3</v>
      </c>
      <c r="E203" s="1">
        <v>17</v>
      </c>
      <c r="F203" s="1">
        <v>28.6</v>
      </c>
      <c r="J203" s="1">
        <v>0</v>
      </c>
      <c r="L203" s="1">
        <v>7.5</v>
      </c>
      <c r="N203" s="1">
        <v>-7.5</v>
      </c>
      <c r="P203" s="6"/>
      <c r="T203" s="7">
        <v>0</v>
      </c>
      <c r="V203" s="1">
        <v>3159.6</v>
      </c>
    </row>
    <row r="204" spans="2:22" s="1" customFormat="1" x14ac:dyDescent="0.25">
      <c r="B204" s="2"/>
      <c r="C204" s="8">
        <v>40378</v>
      </c>
      <c r="D204" s="1">
        <v>24.6</v>
      </c>
      <c r="E204" s="1">
        <v>16.600000000000001</v>
      </c>
      <c r="F204" s="1">
        <v>31</v>
      </c>
      <c r="J204" s="1">
        <v>0</v>
      </c>
      <c r="L204" s="1">
        <v>7.5</v>
      </c>
      <c r="N204" s="1">
        <v>-7.5</v>
      </c>
      <c r="P204" s="6"/>
      <c r="T204" s="7">
        <v>0</v>
      </c>
      <c r="V204" s="1">
        <v>2957.9</v>
      </c>
    </row>
    <row r="205" spans="2:22" s="1" customFormat="1" x14ac:dyDescent="0.25">
      <c r="B205" s="2"/>
      <c r="C205" s="8">
        <v>40379</v>
      </c>
      <c r="D205" s="1">
        <v>25.4</v>
      </c>
      <c r="E205" s="1">
        <v>18.600000000000001</v>
      </c>
      <c r="F205" s="1">
        <v>31.3</v>
      </c>
      <c r="J205" s="1">
        <v>4.5</v>
      </c>
      <c r="L205" s="1">
        <v>6.3</v>
      </c>
      <c r="N205" s="1">
        <v>-1.7999999999999998</v>
      </c>
      <c r="P205" s="6"/>
      <c r="T205" s="7">
        <v>0</v>
      </c>
      <c r="V205" s="1">
        <v>2496.3000000000002</v>
      </c>
    </row>
    <row r="206" spans="2:22" s="1" customFormat="1" x14ac:dyDescent="0.25">
      <c r="B206" s="2"/>
      <c r="C206" s="8">
        <v>40380</v>
      </c>
      <c r="D206" s="1">
        <v>20.6</v>
      </c>
      <c r="E206" s="1">
        <v>18.399999999999999</v>
      </c>
      <c r="F206" s="1">
        <v>22.6</v>
      </c>
      <c r="J206" s="1">
        <v>14.6</v>
      </c>
      <c r="L206" s="1">
        <v>2</v>
      </c>
      <c r="N206" s="1">
        <v>12.6</v>
      </c>
      <c r="P206" s="6"/>
      <c r="T206" s="7">
        <v>12.6</v>
      </c>
      <c r="V206" s="1">
        <v>621.20000000000005</v>
      </c>
    </row>
    <row r="207" spans="2:22" s="1" customFormat="1" x14ac:dyDescent="0.25">
      <c r="B207" s="2"/>
      <c r="C207" s="8">
        <v>40381</v>
      </c>
      <c r="D207" s="1">
        <v>18</v>
      </c>
      <c r="E207" s="1">
        <v>15.1</v>
      </c>
      <c r="F207" s="1">
        <v>20.3</v>
      </c>
      <c r="J207" s="1">
        <v>7.8</v>
      </c>
      <c r="L207" s="1">
        <v>1.3</v>
      </c>
      <c r="N207" s="1">
        <v>6.5</v>
      </c>
      <c r="P207" s="6"/>
      <c r="T207" s="7">
        <v>19.100000000000001</v>
      </c>
      <c r="V207" s="1">
        <v>493.4</v>
      </c>
    </row>
    <row r="208" spans="2:22" s="1" customFormat="1" x14ac:dyDescent="0.25">
      <c r="B208" s="2"/>
      <c r="C208" s="8">
        <v>40382</v>
      </c>
      <c r="D208" s="1">
        <v>19.7</v>
      </c>
      <c r="E208" s="1">
        <v>16.899999999999999</v>
      </c>
      <c r="F208" s="1">
        <v>23.5</v>
      </c>
      <c r="J208" s="1">
        <v>0</v>
      </c>
      <c r="L208" s="1">
        <v>4.9000000000000004</v>
      </c>
      <c r="N208" s="1">
        <v>-4.9000000000000004</v>
      </c>
      <c r="P208" s="6"/>
      <c r="T208" s="7">
        <v>14.200000000000001</v>
      </c>
      <c r="V208" s="1">
        <v>2053.1999999999998</v>
      </c>
    </row>
    <row r="209" spans="2:22" s="1" customFormat="1" x14ac:dyDescent="0.25">
      <c r="B209" s="2"/>
      <c r="C209" s="8">
        <v>40383</v>
      </c>
      <c r="D209" s="1">
        <v>19.899999999999999</v>
      </c>
      <c r="E209" s="1">
        <v>15.7</v>
      </c>
      <c r="F209" s="1">
        <v>23.8</v>
      </c>
      <c r="J209" s="1">
        <v>0</v>
      </c>
      <c r="L209" s="1">
        <v>4.3</v>
      </c>
      <c r="N209" s="1">
        <v>-4.3</v>
      </c>
      <c r="P209" s="6"/>
      <c r="T209" s="7">
        <v>9.9000000000000021</v>
      </c>
      <c r="V209" s="1">
        <v>2024</v>
      </c>
    </row>
    <row r="210" spans="2:22" s="1" customFormat="1" x14ac:dyDescent="0.25">
      <c r="B210" s="2"/>
      <c r="C210" s="8">
        <v>40384</v>
      </c>
      <c r="D210" s="1">
        <v>20.100000000000001</v>
      </c>
      <c r="E210" s="1">
        <v>16.3</v>
      </c>
      <c r="F210" s="1">
        <v>25</v>
      </c>
      <c r="J210" s="1">
        <v>1.7</v>
      </c>
      <c r="L210" s="1">
        <v>4.5999999999999996</v>
      </c>
      <c r="N210" s="1">
        <v>-2.8999999999999995</v>
      </c>
      <c r="P210" s="6"/>
      <c r="T210" s="7">
        <v>7.0000000000000027</v>
      </c>
      <c r="V210" s="1">
        <v>1738.4</v>
      </c>
    </row>
    <row r="211" spans="2:22" s="1" customFormat="1" x14ac:dyDescent="0.25">
      <c r="B211" s="2"/>
      <c r="C211" s="8">
        <v>40385</v>
      </c>
      <c r="D211" s="1">
        <v>21.2</v>
      </c>
      <c r="E211" s="1">
        <v>17.8</v>
      </c>
      <c r="F211" s="1">
        <v>25</v>
      </c>
      <c r="J211" s="1">
        <v>0</v>
      </c>
      <c r="L211" s="1">
        <v>4.5</v>
      </c>
      <c r="N211" s="1">
        <v>-4.5</v>
      </c>
      <c r="P211" s="6"/>
      <c r="T211" s="7">
        <v>2.5000000000000027</v>
      </c>
      <c r="V211" s="1">
        <v>1993.8</v>
      </c>
    </row>
    <row r="212" spans="2:22" s="1" customFormat="1" x14ac:dyDescent="0.25">
      <c r="B212" s="2"/>
      <c r="C212" s="8">
        <v>40386</v>
      </c>
      <c r="D212" s="1">
        <v>23</v>
      </c>
      <c r="E212" s="1">
        <v>17.5</v>
      </c>
      <c r="F212" s="1">
        <v>28.1</v>
      </c>
      <c r="J212" s="1">
        <v>0</v>
      </c>
      <c r="L212" s="1">
        <v>5.2</v>
      </c>
      <c r="N212" s="1">
        <v>-5.2</v>
      </c>
      <c r="P212" s="6"/>
      <c r="T212" s="7">
        <v>0</v>
      </c>
      <c r="V212" s="1">
        <v>2329.3000000000002</v>
      </c>
    </row>
    <row r="213" spans="2:22" s="1" customFormat="1" x14ac:dyDescent="0.25">
      <c r="B213" s="2"/>
      <c r="C213" s="8">
        <v>40387</v>
      </c>
      <c r="D213" s="1">
        <v>24.6</v>
      </c>
      <c r="E213" s="1">
        <v>18.100000000000001</v>
      </c>
      <c r="F213" s="1">
        <v>30.1</v>
      </c>
      <c r="J213" s="1">
        <v>0</v>
      </c>
      <c r="L213" s="1">
        <v>5.5</v>
      </c>
      <c r="N213" s="1">
        <v>-5.5</v>
      </c>
      <c r="P213" s="6"/>
      <c r="T213" s="7">
        <v>0</v>
      </c>
      <c r="V213" s="1">
        <v>2377.1999999999998</v>
      </c>
    </row>
    <row r="214" spans="2:22" s="1" customFormat="1" x14ac:dyDescent="0.25">
      <c r="B214" s="2"/>
      <c r="C214" s="8">
        <v>40388</v>
      </c>
      <c r="D214" s="1">
        <v>22</v>
      </c>
      <c r="E214" s="1">
        <v>18.7</v>
      </c>
      <c r="F214" s="1">
        <v>26.6</v>
      </c>
      <c r="J214" s="1">
        <v>0</v>
      </c>
      <c r="L214" s="1">
        <v>5.2</v>
      </c>
      <c r="N214" s="1">
        <v>-5.2</v>
      </c>
      <c r="P214" s="6"/>
      <c r="T214" s="7">
        <v>0</v>
      </c>
      <c r="V214" s="1">
        <v>1802.7</v>
      </c>
    </row>
    <row r="215" spans="2:22" s="1" customFormat="1" x14ac:dyDescent="0.25">
      <c r="B215" s="2"/>
      <c r="C215" s="8">
        <v>40389</v>
      </c>
      <c r="D215" s="1">
        <v>21.3</v>
      </c>
      <c r="E215" s="1">
        <v>16.2</v>
      </c>
      <c r="F215" s="1">
        <v>26.3</v>
      </c>
      <c r="J215" s="1">
        <v>0</v>
      </c>
      <c r="L215" s="1">
        <v>5.6</v>
      </c>
      <c r="N215" s="1">
        <v>-5.6</v>
      </c>
      <c r="P215" s="6"/>
      <c r="T215" s="7">
        <v>0</v>
      </c>
      <c r="V215" s="1">
        <v>2561.9</v>
      </c>
    </row>
    <row r="216" spans="2:22" s="1" customFormat="1" x14ac:dyDescent="0.25">
      <c r="B216" s="2"/>
      <c r="C216" s="8">
        <v>40390</v>
      </c>
      <c r="D216" s="1">
        <v>24.2</v>
      </c>
      <c r="E216" s="1">
        <v>16.899999999999999</v>
      </c>
      <c r="F216" s="1">
        <v>31</v>
      </c>
      <c r="J216" s="1">
        <v>0</v>
      </c>
      <c r="L216" s="1">
        <v>6.7</v>
      </c>
      <c r="N216" s="1">
        <v>-6.7</v>
      </c>
      <c r="P216" s="6"/>
      <c r="T216" s="7">
        <v>0</v>
      </c>
      <c r="V216" s="1">
        <v>2952.8</v>
      </c>
    </row>
    <row r="217" spans="2:22" s="1" customFormat="1" x14ac:dyDescent="0.25">
      <c r="B217" s="2"/>
      <c r="C217" s="8">
        <v>40391</v>
      </c>
      <c r="D217" s="1">
        <v>20.7</v>
      </c>
      <c r="E217" s="1">
        <v>14.2</v>
      </c>
      <c r="F217" s="1">
        <v>22.8</v>
      </c>
      <c r="J217" s="1">
        <v>6.7</v>
      </c>
      <c r="L217" s="1">
        <v>2</v>
      </c>
      <c r="N217" s="1">
        <v>4.7</v>
      </c>
      <c r="O217" s="1">
        <f>N217</f>
        <v>4.7</v>
      </c>
      <c r="P217" s="6"/>
      <c r="T217" s="7">
        <v>4.7</v>
      </c>
      <c r="V217" s="1">
        <v>1121.9000000000001</v>
      </c>
    </row>
    <row r="218" spans="2:22" s="1" customFormat="1" x14ac:dyDescent="0.25">
      <c r="B218" s="2"/>
      <c r="C218" s="8">
        <v>40392</v>
      </c>
      <c r="D218" s="1">
        <v>18.2</v>
      </c>
      <c r="E218" s="1">
        <v>16.899999999999999</v>
      </c>
      <c r="F218" s="1">
        <v>18.3</v>
      </c>
      <c r="J218" s="1">
        <v>6.9</v>
      </c>
      <c r="L218" s="1">
        <v>0.9</v>
      </c>
      <c r="N218" s="1">
        <v>6</v>
      </c>
      <c r="O218" s="1">
        <f>O217+N218</f>
        <v>10.7</v>
      </c>
      <c r="P218" s="6"/>
      <c r="T218" s="7">
        <v>10.7</v>
      </c>
      <c r="V218" s="1">
        <v>433</v>
      </c>
    </row>
    <row r="219" spans="2:22" s="1" customFormat="1" x14ac:dyDescent="0.25">
      <c r="B219" s="2"/>
      <c r="C219" s="8">
        <v>40393</v>
      </c>
      <c r="D219" s="1">
        <v>20.399999999999999</v>
      </c>
      <c r="E219" s="1">
        <v>17</v>
      </c>
      <c r="F219" s="1">
        <v>24</v>
      </c>
      <c r="J219" s="1">
        <v>0</v>
      </c>
      <c r="L219" s="1">
        <v>4.7</v>
      </c>
      <c r="N219" s="1">
        <v>-4.7</v>
      </c>
      <c r="O219" s="1">
        <f>O218+N219</f>
        <v>5.9999999999999991</v>
      </c>
      <c r="P219" s="6"/>
      <c r="T219" s="7">
        <v>5.9999999999999991</v>
      </c>
      <c r="V219" s="1">
        <v>2241.6999999999998</v>
      </c>
    </row>
    <row r="220" spans="2:22" s="1" customFormat="1" x14ac:dyDescent="0.25">
      <c r="B220" s="2"/>
      <c r="C220" s="8">
        <v>40394</v>
      </c>
      <c r="D220" s="1">
        <v>20.100000000000001</v>
      </c>
      <c r="E220" s="1">
        <v>17.100000000000001</v>
      </c>
      <c r="F220" s="1">
        <v>23.6</v>
      </c>
      <c r="J220" s="1">
        <v>1.2</v>
      </c>
      <c r="L220" s="1">
        <v>3.4</v>
      </c>
      <c r="N220" s="1">
        <v>-2.2000000000000002</v>
      </c>
      <c r="O220" s="1">
        <f>O219+N220</f>
        <v>3.7999999999999989</v>
      </c>
      <c r="P220" s="6"/>
      <c r="T220" s="7">
        <v>3.7999999999999989</v>
      </c>
      <c r="V220" s="1">
        <v>1226.3</v>
      </c>
    </row>
    <row r="221" spans="2:22" s="1" customFormat="1" x14ac:dyDescent="0.25">
      <c r="B221" s="2"/>
      <c r="C221" s="8">
        <v>40395</v>
      </c>
      <c r="D221" s="1">
        <v>19.899999999999999</v>
      </c>
      <c r="E221" s="1">
        <v>17.3</v>
      </c>
      <c r="F221" s="1">
        <v>22.9</v>
      </c>
      <c r="J221" s="1">
        <v>0</v>
      </c>
      <c r="L221" s="1">
        <v>4.8</v>
      </c>
      <c r="N221" s="1">
        <v>-4.8</v>
      </c>
      <c r="O221" s="1">
        <v>0</v>
      </c>
      <c r="P221" s="6"/>
      <c r="T221" s="7">
        <v>0</v>
      </c>
      <c r="V221" s="1">
        <v>1908.5</v>
      </c>
    </row>
    <row r="222" spans="2:22" s="1" customFormat="1" x14ac:dyDescent="0.25">
      <c r="B222" s="2"/>
      <c r="C222" s="8">
        <v>40396</v>
      </c>
      <c r="D222" s="1">
        <v>19.5</v>
      </c>
      <c r="E222" s="1">
        <v>14.3</v>
      </c>
      <c r="F222" s="1">
        <v>24.4</v>
      </c>
      <c r="J222" s="1">
        <v>0</v>
      </c>
      <c r="L222" s="1">
        <v>5.5</v>
      </c>
      <c r="N222" s="1">
        <v>-5.5</v>
      </c>
      <c r="O222" s="1">
        <v>0</v>
      </c>
      <c r="P222" s="6"/>
      <c r="T222" s="7">
        <v>0</v>
      </c>
      <c r="V222" s="1">
        <v>2753.4</v>
      </c>
    </row>
    <row r="223" spans="2:22" s="1" customFormat="1" x14ac:dyDescent="0.25">
      <c r="B223" s="2"/>
      <c r="C223" s="8">
        <v>40397</v>
      </c>
      <c r="D223" s="1">
        <v>21.9</v>
      </c>
      <c r="E223" s="1">
        <v>14.1</v>
      </c>
      <c r="F223" s="1">
        <v>28.9</v>
      </c>
      <c r="J223" s="1">
        <v>0</v>
      </c>
      <c r="L223" s="1">
        <v>6.2</v>
      </c>
      <c r="N223" s="1">
        <v>-6.2</v>
      </c>
      <c r="O223" s="1">
        <v>0</v>
      </c>
      <c r="P223" s="6"/>
      <c r="T223" s="7">
        <v>0</v>
      </c>
      <c r="V223" s="1">
        <v>2890.1</v>
      </c>
    </row>
    <row r="224" spans="2:22" s="1" customFormat="1" x14ac:dyDescent="0.25">
      <c r="B224" s="2"/>
      <c r="C224" s="8">
        <v>40398</v>
      </c>
      <c r="D224" s="1">
        <v>22.5</v>
      </c>
      <c r="E224" s="1">
        <v>17.3</v>
      </c>
      <c r="F224" s="1">
        <v>27.7</v>
      </c>
      <c r="J224" s="1">
        <v>0</v>
      </c>
      <c r="L224" s="1">
        <v>5.7</v>
      </c>
      <c r="N224" s="1">
        <v>-5.7</v>
      </c>
      <c r="O224" s="1">
        <v>0</v>
      </c>
      <c r="P224" s="6"/>
      <c r="T224" s="7">
        <v>0</v>
      </c>
      <c r="V224" s="1">
        <v>2577.9</v>
      </c>
    </row>
    <row r="225" spans="2:22" s="1" customFormat="1" x14ac:dyDescent="0.25">
      <c r="B225" s="2"/>
      <c r="C225" s="8">
        <v>40399</v>
      </c>
      <c r="D225" s="1">
        <v>21.7</v>
      </c>
      <c r="E225" s="1">
        <v>18.600000000000001</v>
      </c>
      <c r="F225" s="1">
        <v>26.9</v>
      </c>
      <c r="J225" s="1">
        <v>0</v>
      </c>
      <c r="L225" s="1">
        <v>3.5</v>
      </c>
      <c r="N225" s="1">
        <v>-3.5</v>
      </c>
      <c r="O225" s="1">
        <v>0</v>
      </c>
      <c r="P225" s="6"/>
      <c r="T225" s="7">
        <v>0</v>
      </c>
      <c r="V225" s="1">
        <v>1133.2</v>
      </c>
    </row>
    <row r="226" spans="2:22" s="1" customFormat="1" x14ac:dyDescent="0.25">
      <c r="B226" s="2"/>
      <c r="C226" s="8">
        <v>40400</v>
      </c>
      <c r="D226" s="1">
        <v>22.1</v>
      </c>
      <c r="E226" s="1">
        <v>15.4</v>
      </c>
      <c r="F226" s="1">
        <v>27.6</v>
      </c>
      <c r="J226" s="1">
        <v>0</v>
      </c>
      <c r="L226" s="1">
        <v>4.5</v>
      </c>
      <c r="N226" s="1">
        <v>-4.5</v>
      </c>
      <c r="O226" s="1">
        <v>0</v>
      </c>
      <c r="P226" s="6"/>
      <c r="T226" s="7">
        <v>0</v>
      </c>
      <c r="V226" s="1">
        <v>2302.6999999999998</v>
      </c>
    </row>
    <row r="227" spans="2:22" s="1" customFormat="1" x14ac:dyDescent="0.25">
      <c r="B227" s="2"/>
      <c r="C227" s="8">
        <v>40401</v>
      </c>
      <c r="D227" s="1">
        <v>22.2</v>
      </c>
      <c r="E227" s="1">
        <v>17</v>
      </c>
      <c r="F227" s="1">
        <v>26.2</v>
      </c>
      <c r="J227" s="1">
        <v>1.1000000000000001</v>
      </c>
      <c r="L227" s="1">
        <v>3.6</v>
      </c>
      <c r="N227" s="1">
        <v>-2.5</v>
      </c>
      <c r="O227" s="1">
        <v>0</v>
      </c>
      <c r="P227" s="6"/>
      <c r="T227" s="7">
        <v>0</v>
      </c>
      <c r="V227" s="1">
        <v>1313.5</v>
      </c>
    </row>
    <row r="228" spans="2:22" s="1" customFormat="1" x14ac:dyDescent="0.25">
      <c r="B228" s="2"/>
      <c r="C228" s="8">
        <v>40402</v>
      </c>
      <c r="D228" s="1">
        <v>21.1</v>
      </c>
      <c r="E228" s="1">
        <v>18.899999999999999</v>
      </c>
      <c r="F228" s="1">
        <v>25.1</v>
      </c>
      <c r="J228" s="1">
        <v>0.1</v>
      </c>
      <c r="L228" s="1">
        <v>4</v>
      </c>
      <c r="N228" s="1">
        <v>-3.9</v>
      </c>
      <c r="O228" s="1">
        <v>0</v>
      </c>
      <c r="P228" s="6"/>
      <c r="T228" s="7">
        <v>0</v>
      </c>
      <c r="V228" s="1">
        <v>1173.9000000000001</v>
      </c>
    </row>
    <row r="229" spans="2:22" s="1" customFormat="1" x14ac:dyDescent="0.25">
      <c r="B229" s="2"/>
      <c r="C229" s="8">
        <v>40403</v>
      </c>
      <c r="D229" s="1">
        <v>19.399999999999999</v>
      </c>
      <c r="E229" s="1">
        <v>15.1</v>
      </c>
      <c r="F229" s="1">
        <v>22.4</v>
      </c>
      <c r="J229" s="1">
        <v>0</v>
      </c>
      <c r="L229" s="1">
        <v>4</v>
      </c>
      <c r="N229" s="1">
        <v>-4</v>
      </c>
      <c r="O229" s="1">
        <v>0</v>
      </c>
      <c r="P229" s="6"/>
      <c r="T229" s="7">
        <v>0</v>
      </c>
      <c r="V229" s="1">
        <v>1465.3</v>
      </c>
    </row>
    <row r="230" spans="2:22" s="1" customFormat="1" x14ac:dyDescent="0.25">
      <c r="B230" s="2"/>
      <c r="C230" s="8">
        <v>40404</v>
      </c>
      <c r="D230" s="1">
        <v>19.2</v>
      </c>
      <c r="E230" s="1">
        <v>15.4</v>
      </c>
      <c r="F230" s="1">
        <v>24.1</v>
      </c>
      <c r="J230" s="1">
        <v>0</v>
      </c>
      <c r="L230" s="1">
        <v>5.2</v>
      </c>
      <c r="N230" s="1">
        <v>-5.2</v>
      </c>
      <c r="O230" s="1">
        <v>0</v>
      </c>
      <c r="P230" s="6"/>
      <c r="T230" s="7">
        <v>0</v>
      </c>
      <c r="V230" s="1">
        <v>1959.8</v>
      </c>
    </row>
    <row r="231" spans="2:22" s="1" customFormat="1" x14ac:dyDescent="0.25">
      <c r="B231" s="2"/>
      <c r="C231" s="8">
        <v>40405</v>
      </c>
      <c r="D231" s="1">
        <v>18</v>
      </c>
      <c r="E231" s="1">
        <v>15.3</v>
      </c>
      <c r="F231" s="1">
        <v>22.6</v>
      </c>
      <c r="J231" s="1">
        <v>1.5</v>
      </c>
      <c r="L231" s="1">
        <v>4.4000000000000004</v>
      </c>
      <c r="N231" s="1">
        <v>-2.9000000000000004</v>
      </c>
      <c r="O231" s="1">
        <v>0</v>
      </c>
      <c r="P231" s="6"/>
      <c r="T231" s="7">
        <v>0</v>
      </c>
      <c r="V231" s="1">
        <v>2046.2</v>
      </c>
    </row>
    <row r="232" spans="2:22" s="1" customFormat="1" x14ac:dyDescent="0.25">
      <c r="B232" s="2"/>
      <c r="C232" s="8">
        <v>40406</v>
      </c>
      <c r="D232" s="1">
        <v>18.5</v>
      </c>
      <c r="E232" s="1">
        <v>12.9</v>
      </c>
      <c r="F232" s="1">
        <v>23.9</v>
      </c>
      <c r="J232" s="1">
        <v>0</v>
      </c>
      <c r="L232" s="1">
        <v>4.5999999999999996</v>
      </c>
      <c r="N232" s="1">
        <v>-4.5999999999999996</v>
      </c>
      <c r="O232" s="1">
        <v>0</v>
      </c>
      <c r="P232" s="6"/>
      <c r="T232" s="7">
        <v>0</v>
      </c>
      <c r="V232" s="1">
        <v>2306.1</v>
      </c>
    </row>
    <row r="233" spans="2:22" s="1" customFormat="1" x14ac:dyDescent="0.25">
      <c r="B233" s="2"/>
      <c r="C233" s="8">
        <v>40407</v>
      </c>
      <c r="D233" s="1">
        <v>21.1</v>
      </c>
      <c r="E233" s="1">
        <v>12.7</v>
      </c>
      <c r="F233" s="1">
        <v>28</v>
      </c>
      <c r="J233" s="1">
        <v>0</v>
      </c>
      <c r="L233" s="1">
        <v>4.8</v>
      </c>
      <c r="N233" s="1">
        <v>-4.8</v>
      </c>
      <c r="O233" s="1">
        <v>0</v>
      </c>
      <c r="P233" s="6"/>
      <c r="T233" s="7">
        <v>0</v>
      </c>
      <c r="V233" s="1">
        <v>2352.3000000000002</v>
      </c>
    </row>
    <row r="234" spans="2:22" s="1" customFormat="1" x14ac:dyDescent="0.25">
      <c r="B234" s="2"/>
      <c r="C234" s="8">
        <v>40408</v>
      </c>
      <c r="D234" s="1">
        <v>21.1</v>
      </c>
      <c r="E234" s="1">
        <v>16.2</v>
      </c>
      <c r="F234" s="1">
        <v>27.2</v>
      </c>
      <c r="J234" s="1">
        <v>0</v>
      </c>
      <c r="L234" s="1">
        <v>4.3</v>
      </c>
      <c r="N234" s="1">
        <v>-4.3</v>
      </c>
      <c r="O234" s="1">
        <v>0</v>
      </c>
      <c r="P234" s="6"/>
      <c r="T234" s="7">
        <v>0</v>
      </c>
      <c r="V234" s="1">
        <v>1734.8</v>
      </c>
    </row>
    <row r="235" spans="2:22" s="1" customFormat="1" x14ac:dyDescent="0.25">
      <c r="B235" s="2"/>
      <c r="C235" s="8">
        <v>40409</v>
      </c>
      <c r="D235" s="1">
        <v>22.5</v>
      </c>
      <c r="E235" s="1">
        <v>15.3</v>
      </c>
      <c r="F235" s="1">
        <v>28.3</v>
      </c>
      <c r="J235" s="1">
        <v>0</v>
      </c>
      <c r="L235" s="1">
        <v>2.8</v>
      </c>
      <c r="N235" s="1">
        <v>-2.8</v>
      </c>
      <c r="O235" s="1">
        <v>0</v>
      </c>
      <c r="P235" s="6"/>
      <c r="T235" s="7">
        <v>0</v>
      </c>
      <c r="V235" s="1">
        <v>1301.5</v>
      </c>
    </row>
    <row r="236" spans="2:22" s="1" customFormat="1" x14ac:dyDescent="0.25">
      <c r="B236" s="2"/>
      <c r="C236" s="8">
        <v>40410</v>
      </c>
      <c r="D236" s="1">
        <v>26.2</v>
      </c>
      <c r="E236" s="1">
        <v>20</v>
      </c>
      <c r="F236" s="1">
        <v>32.299999999999997</v>
      </c>
      <c r="J236" s="1">
        <v>0</v>
      </c>
      <c r="L236" s="1">
        <v>4.5</v>
      </c>
      <c r="N236" s="1">
        <v>-4.5</v>
      </c>
      <c r="O236" s="1">
        <v>0</v>
      </c>
      <c r="P236" s="6"/>
      <c r="T236" s="7">
        <v>0</v>
      </c>
      <c r="V236" s="1">
        <v>1838</v>
      </c>
    </row>
    <row r="237" spans="2:22" s="1" customFormat="1" x14ac:dyDescent="0.25">
      <c r="B237" s="2"/>
      <c r="C237" s="8">
        <v>40411</v>
      </c>
      <c r="D237" s="1">
        <v>27.2</v>
      </c>
      <c r="E237" s="1">
        <v>19.3</v>
      </c>
      <c r="F237" s="1">
        <v>34.799999999999997</v>
      </c>
      <c r="J237" s="1">
        <v>0</v>
      </c>
      <c r="L237" s="1">
        <v>6.5</v>
      </c>
      <c r="N237" s="1">
        <v>-6.5</v>
      </c>
      <c r="O237" s="1">
        <v>0</v>
      </c>
      <c r="P237" s="6"/>
      <c r="T237" s="7">
        <v>0</v>
      </c>
      <c r="V237" s="1">
        <v>2651.6</v>
      </c>
    </row>
    <row r="238" spans="2:22" s="1" customFormat="1" x14ac:dyDescent="0.25">
      <c r="B238" s="2"/>
      <c r="C238" s="8">
        <v>40412</v>
      </c>
      <c r="D238" s="1">
        <v>27.1</v>
      </c>
      <c r="E238" s="1">
        <v>18.5</v>
      </c>
      <c r="F238" s="1">
        <v>34</v>
      </c>
      <c r="J238" s="1">
        <v>0</v>
      </c>
      <c r="L238" s="1">
        <v>5.3</v>
      </c>
      <c r="N238" s="1">
        <v>-5.3</v>
      </c>
      <c r="O238" s="1">
        <v>0</v>
      </c>
      <c r="P238" s="6"/>
      <c r="T238" s="7">
        <v>0</v>
      </c>
      <c r="V238" s="1">
        <v>2148.5</v>
      </c>
    </row>
    <row r="239" spans="2:22" s="1" customFormat="1" x14ac:dyDescent="0.25">
      <c r="B239" s="2"/>
      <c r="C239" s="8">
        <v>40413</v>
      </c>
      <c r="D239" s="1">
        <v>24.1</v>
      </c>
      <c r="E239" s="1">
        <v>20.100000000000001</v>
      </c>
      <c r="F239" s="1">
        <v>28</v>
      </c>
      <c r="J239" s="1">
        <v>0</v>
      </c>
      <c r="L239" s="1">
        <v>2.7</v>
      </c>
      <c r="N239" s="1">
        <v>-2.7</v>
      </c>
      <c r="O239" s="1">
        <v>0</v>
      </c>
      <c r="P239" s="6"/>
      <c r="T239" s="7">
        <v>0</v>
      </c>
      <c r="V239" s="1">
        <v>912.7</v>
      </c>
    </row>
    <row r="240" spans="2:22" s="1" customFormat="1" x14ac:dyDescent="0.25">
      <c r="B240" s="2"/>
      <c r="C240" s="8">
        <v>40414</v>
      </c>
      <c r="D240" s="1">
        <v>21.9</v>
      </c>
      <c r="E240" s="1">
        <v>21.7</v>
      </c>
      <c r="F240" s="1">
        <v>24.6</v>
      </c>
      <c r="J240" s="1">
        <v>0</v>
      </c>
      <c r="L240" s="1">
        <v>4.2</v>
      </c>
      <c r="N240" s="1">
        <v>-4.2</v>
      </c>
      <c r="O240" s="1">
        <v>0</v>
      </c>
      <c r="P240" s="6"/>
      <c r="T240" s="7">
        <v>0</v>
      </c>
      <c r="V240" s="1">
        <v>1579.9</v>
      </c>
    </row>
    <row r="241" spans="1:27" s="1" customFormat="1" x14ac:dyDescent="0.25">
      <c r="B241" s="2"/>
      <c r="C241" s="8">
        <v>40415</v>
      </c>
      <c r="D241" s="1">
        <v>23.6</v>
      </c>
      <c r="E241" s="1">
        <v>14.9</v>
      </c>
      <c r="F241" s="1">
        <v>31.4</v>
      </c>
      <c r="J241" s="1">
        <v>0</v>
      </c>
      <c r="L241" s="1">
        <v>5.6</v>
      </c>
      <c r="N241" s="1">
        <v>-5.6</v>
      </c>
      <c r="O241" s="1">
        <v>0</v>
      </c>
      <c r="P241" s="6"/>
      <c r="T241" s="7">
        <v>0</v>
      </c>
      <c r="V241" s="1">
        <v>2462.4</v>
      </c>
    </row>
    <row r="242" spans="1:27" s="1" customFormat="1" x14ac:dyDescent="0.25">
      <c r="B242" s="2"/>
      <c r="C242" s="8">
        <v>40416</v>
      </c>
      <c r="D242" s="1">
        <v>28.3</v>
      </c>
      <c r="E242" s="1">
        <v>19.100000000000001</v>
      </c>
      <c r="F242" s="1">
        <v>39.1</v>
      </c>
      <c r="J242" s="1">
        <v>0</v>
      </c>
      <c r="L242" s="1">
        <v>6.4</v>
      </c>
      <c r="N242" s="1">
        <v>-6.4</v>
      </c>
      <c r="O242" s="1">
        <v>0</v>
      </c>
      <c r="P242" s="6"/>
      <c r="T242" s="7">
        <v>0</v>
      </c>
      <c r="V242" s="1">
        <v>1982.5</v>
      </c>
    </row>
    <row r="243" spans="1:27" s="1" customFormat="1" x14ac:dyDescent="0.25">
      <c r="B243" s="2"/>
      <c r="C243" s="8">
        <v>40417</v>
      </c>
      <c r="D243" s="1">
        <v>25</v>
      </c>
      <c r="E243" s="1">
        <v>20.9</v>
      </c>
      <c r="F243" s="1">
        <v>33.299999999999997</v>
      </c>
      <c r="J243" s="1">
        <v>0</v>
      </c>
      <c r="L243" s="1">
        <v>7.2</v>
      </c>
      <c r="N243" s="1">
        <v>-7.2</v>
      </c>
      <c r="O243" s="1">
        <v>0</v>
      </c>
      <c r="P243" s="6"/>
      <c r="T243" s="7">
        <v>0</v>
      </c>
      <c r="V243" s="1">
        <v>1505.5</v>
      </c>
    </row>
    <row r="244" spans="1:27" s="1" customFormat="1" x14ac:dyDescent="0.25">
      <c r="B244" s="2"/>
      <c r="C244" s="8">
        <v>40418</v>
      </c>
      <c r="D244" s="1">
        <v>21.1</v>
      </c>
      <c r="E244" s="1">
        <v>18.899999999999999</v>
      </c>
      <c r="F244" s="1">
        <v>25.5</v>
      </c>
      <c r="J244" s="1">
        <v>0</v>
      </c>
      <c r="L244" s="1">
        <v>5.6</v>
      </c>
      <c r="N244" s="1">
        <v>-5.6</v>
      </c>
      <c r="O244" s="1">
        <v>0</v>
      </c>
      <c r="P244" s="6"/>
      <c r="T244" s="7">
        <v>0</v>
      </c>
      <c r="V244" s="1">
        <v>1794.8</v>
      </c>
    </row>
    <row r="245" spans="1:27" s="1" customFormat="1" x14ac:dyDescent="0.25">
      <c r="B245" s="2"/>
      <c r="C245" s="8">
        <v>40419</v>
      </c>
      <c r="D245" s="1">
        <v>19.600000000000001</v>
      </c>
      <c r="E245" s="1">
        <v>13</v>
      </c>
      <c r="F245" s="1">
        <v>26.3</v>
      </c>
      <c r="J245" s="1">
        <v>0</v>
      </c>
      <c r="L245" s="1">
        <v>6.1</v>
      </c>
      <c r="N245" s="1">
        <v>-6.1</v>
      </c>
      <c r="O245" s="1">
        <v>0</v>
      </c>
      <c r="P245" s="6"/>
      <c r="T245" s="7">
        <v>0</v>
      </c>
      <c r="V245" s="1">
        <v>2536.8000000000002</v>
      </c>
    </row>
    <row r="246" spans="1:27" s="1" customFormat="1" x14ac:dyDescent="0.25">
      <c r="B246" s="2"/>
      <c r="C246" s="8">
        <v>40420</v>
      </c>
      <c r="D246" s="1">
        <v>18</v>
      </c>
      <c r="E246" s="1">
        <v>13.1</v>
      </c>
      <c r="F246" s="1">
        <v>22.4</v>
      </c>
      <c r="J246" s="1">
        <v>0</v>
      </c>
      <c r="L246" s="1">
        <v>4.7</v>
      </c>
      <c r="N246" s="1">
        <v>-4.7</v>
      </c>
      <c r="O246" s="1">
        <v>0</v>
      </c>
      <c r="P246" s="6"/>
      <c r="T246" s="7">
        <v>0</v>
      </c>
      <c r="V246" s="1">
        <v>1868.3</v>
      </c>
    </row>
    <row r="247" spans="1:27" s="1" customFormat="1" x14ac:dyDescent="0.25">
      <c r="B247" s="2"/>
      <c r="C247" s="8">
        <v>40421</v>
      </c>
      <c r="D247" s="1">
        <v>17.7</v>
      </c>
      <c r="E247" s="1">
        <v>9.1</v>
      </c>
      <c r="F247" s="1">
        <v>25.5</v>
      </c>
      <c r="J247" s="1">
        <v>0</v>
      </c>
      <c r="L247" s="1">
        <v>4.9000000000000004</v>
      </c>
      <c r="N247" s="1">
        <v>-4.9000000000000004</v>
      </c>
      <c r="O247" s="1">
        <v>0</v>
      </c>
      <c r="P247" s="6"/>
      <c r="T247" s="7">
        <v>0</v>
      </c>
      <c r="V247" s="1">
        <v>2414.1999999999998</v>
      </c>
    </row>
    <row r="248" spans="1:27" s="1" customFormat="1" x14ac:dyDescent="0.25">
      <c r="B248" s="2"/>
      <c r="C248" s="8">
        <v>40422</v>
      </c>
      <c r="D248" s="1">
        <v>20.3</v>
      </c>
      <c r="E248" s="1">
        <v>13.3</v>
      </c>
      <c r="F248" s="1">
        <v>28.5</v>
      </c>
      <c r="J248" s="1">
        <v>0</v>
      </c>
      <c r="L248" s="1">
        <v>5.5</v>
      </c>
      <c r="N248" s="1">
        <v>-5.5</v>
      </c>
      <c r="O248" s="1">
        <v>0</v>
      </c>
      <c r="P248" s="6"/>
      <c r="T248" s="7">
        <v>0</v>
      </c>
      <c r="V248" s="1">
        <v>2112.5</v>
      </c>
    </row>
    <row r="249" spans="1:27" s="1" customFormat="1" x14ac:dyDescent="0.25">
      <c r="B249" s="2"/>
      <c r="C249" s="8">
        <v>40423</v>
      </c>
      <c r="D249" s="1">
        <v>21.3</v>
      </c>
      <c r="E249" s="1">
        <v>15.6</v>
      </c>
      <c r="F249" s="1">
        <v>27.6</v>
      </c>
      <c r="J249" s="1">
        <v>0</v>
      </c>
      <c r="L249" s="1">
        <v>3.5</v>
      </c>
      <c r="N249" s="1">
        <v>-3.5</v>
      </c>
      <c r="O249" s="1">
        <v>0</v>
      </c>
      <c r="P249" s="6"/>
      <c r="T249" s="7">
        <v>0</v>
      </c>
      <c r="V249" s="1">
        <v>1550.7</v>
      </c>
    </row>
    <row r="250" spans="1:27" s="1" customFormat="1" x14ac:dyDescent="0.25">
      <c r="B250" s="2"/>
      <c r="C250" s="8">
        <v>40424</v>
      </c>
      <c r="D250" s="1">
        <v>22.3</v>
      </c>
      <c r="E250" s="1">
        <v>15.8</v>
      </c>
      <c r="F250" s="1">
        <v>27.6</v>
      </c>
      <c r="J250" s="1">
        <v>0</v>
      </c>
      <c r="L250" s="1">
        <v>5.0999999999999996</v>
      </c>
      <c r="N250" s="1">
        <v>-5.0999999999999996</v>
      </c>
      <c r="O250" s="1">
        <v>0</v>
      </c>
      <c r="P250" s="6"/>
      <c r="T250" s="7">
        <v>0</v>
      </c>
      <c r="V250" s="1">
        <v>2312.6</v>
      </c>
    </row>
    <row r="251" spans="1:27" s="1" customFormat="1" x14ac:dyDescent="0.25">
      <c r="B251" s="2"/>
      <c r="C251" s="8">
        <v>40425</v>
      </c>
      <c r="D251" s="1">
        <v>20.7</v>
      </c>
      <c r="E251" s="1">
        <v>14.6</v>
      </c>
      <c r="F251" s="1">
        <v>28.3</v>
      </c>
      <c r="J251" s="1">
        <v>0</v>
      </c>
      <c r="L251" s="1">
        <v>3.5</v>
      </c>
      <c r="N251" s="1">
        <v>-3.5</v>
      </c>
      <c r="O251" s="1">
        <v>0</v>
      </c>
      <c r="P251" s="6"/>
      <c r="T251" s="7">
        <v>0</v>
      </c>
      <c r="V251" s="1">
        <v>1697.5</v>
      </c>
    </row>
    <row r="252" spans="1:27" s="1" customFormat="1" x14ac:dyDescent="0.25">
      <c r="B252" s="2"/>
      <c r="C252" s="8">
        <v>40426</v>
      </c>
      <c r="D252" s="1">
        <v>22.5</v>
      </c>
      <c r="E252" s="1">
        <v>11.5</v>
      </c>
      <c r="F252" s="1">
        <v>30.9</v>
      </c>
      <c r="J252" s="1">
        <v>0</v>
      </c>
      <c r="L252" s="1">
        <v>5.4</v>
      </c>
      <c r="N252" s="1">
        <v>-5.4</v>
      </c>
      <c r="O252" s="1">
        <v>0</v>
      </c>
      <c r="P252" s="6"/>
      <c r="T252" s="7">
        <v>0</v>
      </c>
      <c r="V252" s="1">
        <v>2262.8000000000002</v>
      </c>
    </row>
    <row r="253" spans="1:27" s="1" customFormat="1" x14ac:dyDescent="0.25">
      <c r="B253" s="2"/>
      <c r="C253" s="8">
        <v>40427</v>
      </c>
      <c r="D253" s="1">
        <v>21.3</v>
      </c>
      <c r="E253" s="1">
        <v>16.3</v>
      </c>
      <c r="F253" s="1">
        <v>26.8</v>
      </c>
      <c r="J253" s="1">
        <v>6.5</v>
      </c>
      <c r="L253" s="1">
        <v>2.2999999999999998</v>
      </c>
      <c r="N253" s="1">
        <v>4.2</v>
      </c>
      <c r="O253" s="1">
        <f>O252+N253</f>
        <v>4.2</v>
      </c>
      <c r="P253" s="6"/>
      <c r="T253" s="7">
        <v>4.2</v>
      </c>
      <c r="V253" s="1">
        <v>849.5</v>
      </c>
    </row>
    <row r="254" spans="1:27" s="1" customFormat="1" x14ac:dyDescent="0.25">
      <c r="B254" s="2"/>
      <c r="C254" s="8">
        <v>40428</v>
      </c>
      <c r="D254" s="1">
        <v>19.899999999999999</v>
      </c>
      <c r="E254" s="1">
        <v>17.2</v>
      </c>
      <c r="F254" s="1">
        <v>22.4</v>
      </c>
      <c r="J254" s="1">
        <v>3.9</v>
      </c>
      <c r="L254" s="1">
        <v>2</v>
      </c>
      <c r="N254" s="1">
        <v>1.9</v>
      </c>
      <c r="O254" s="1">
        <f>O253+N254</f>
        <v>6.1</v>
      </c>
      <c r="P254" s="6"/>
      <c r="T254" s="7">
        <v>6.1</v>
      </c>
      <c r="V254" s="1">
        <v>696.6</v>
      </c>
    </row>
    <row r="255" spans="1:27" s="1" customFormat="1" x14ac:dyDescent="0.25">
      <c r="A255" s="67" t="s">
        <v>28</v>
      </c>
      <c r="B255" s="67"/>
      <c r="C255" s="67"/>
      <c r="D255" s="67"/>
      <c r="E255" s="67"/>
      <c r="F255" s="67"/>
      <c r="G255" s="67"/>
      <c r="H255" s="67"/>
      <c r="I255" s="67"/>
      <c r="J255" s="67"/>
      <c r="K255" s="67"/>
      <c r="L255" s="67"/>
      <c r="M255" s="67"/>
      <c r="N255" s="67"/>
      <c r="O255" s="67"/>
      <c r="P255" s="67"/>
      <c r="Q255" s="67"/>
      <c r="R255" s="67"/>
      <c r="S255" s="67"/>
      <c r="T255" s="67"/>
      <c r="U255" s="67"/>
      <c r="V255" s="67"/>
      <c r="W255" s="67"/>
      <c r="X255" s="67"/>
      <c r="Y255" s="67"/>
      <c r="Z255" s="67"/>
    </row>
    <row r="256" spans="1:27" s="1" customFormat="1" x14ac:dyDescent="0.25">
      <c r="A256" s="68" t="s">
        <v>29</v>
      </c>
      <c r="B256" s="3"/>
      <c r="C256" s="8">
        <v>40429</v>
      </c>
      <c r="D256" s="1">
        <v>18.2</v>
      </c>
      <c r="E256" s="1">
        <v>14.7</v>
      </c>
      <c r="F256" s="1">
        <v>23.3</v>
      </c>
      <c r="G256" s="1">
        <f>D256</f>
        <v>18.2</v>
      </c>
      <c r="I256" s="13" t="s">
        <v>30</v>
      </c>
      <c r="J256" s="1">
        <v>1.6</v>
      </c>
      <c r="K256" s="1">
        <f>J256</f>
        <v>1.6</v>
      </c>
      <c r="L256" s="1">
        <v>4.3</v>
      </c>
      <c r="M256" s="1">
        <f>L256</f>
        <v>4.3</v>
      </c>
      <c r="N256" s="1">
        <v>-2.6999999999999997</v>
      </c>
      <c r="O256" s="1">
        <f>O254+N256</f>
        <v>3.4</v>
      </c>
      <c r="P256" s="6">
        <v>1</v>
      </c>
      <c r="Q256" s="1">
        <v>0.35</v>
      </c>
      <c r="R256" s="14">
        <f t="shared" ref="R256:R319" si="0">Q256*L256</f>
        <v>1.5049999999999999</v>
      </c>
      <c r="S256" s="14">
        <f>J256-R256</f>
        <v>9.5000000000000195E-2</v>
      </c>
      <c r="T256" s="15">
        <f>T254+S256</f>
        <v>6.1950000000000003</v>
      </c>
      <c r="U256" s="13" t="s">
        <v>31</v>
      </c>
      <c r="V256" s="1">
        <v>1662.7</v>
      </c>
      <c r="X256" s="1">
        <f>V256</f>
        <v>1662.7</v>
      </c>
      <c r="Z256" s="13" t="s">
        <v>32</v>
      </c>
      <c r="AA256" s="1">
        <v>12.9280310846554</v>
      </c>
    </row>
    <row r="257" spans="1:27" s="1" customFormat="1" x14ac:dyDescent="0.25">
      <c r="A257" s="68"/>
      <c r="B257" s="3"/>
      <c r="C257" s="8">
        <v>40430</v>
      </c>
      <c r="D257" s="1">
        <v>18.399999999999999</v>
      </c>
      <c r="E257" s="1">
        <v>15</v>
      </c>
      <c r="F257" s="1">
        <v>21.1</v>
      </c>
      <c r="G257" s="1">
        <f>G256+D257</f>
        <v>36.599999999999994</v>
      </c>
      <c r="I257" s="1">
        <f>MIN(E256:E332)</f>
        <v>0</v>
      </c>
      <c r="J257" s="1">
        <v>0.1</v>
      </c>
      <c r="K257" s="1">
        <f>K256+J257</f>
        <v>1.7000000000000002</v>
      </c>
      <c r="L257" s="1">
        <v>3.2</v>
      </c>
      <c r="M257" s="1">
        <f>M256+L257</f>
        <v>7.5</v>
      </c>
      <c r="N257" s="1">
        <v>-3.1</v>
      </c>
      <c r="O257" s="1">
        <f>O256+N257</f>
        <v>0.29999999999999982</v>
      </c>
      <c r="P257" s="6">
        <v>2</v>
      </c>
      <c r="Q257" s="1">
        <v>0.35</v>
      </c>
      <c r="R257" s="14">
        <f t="shared" si="0"/>
        <v>1.1199999999999999</v>
      </c>
      <c r="S257" s="14">
        <f t="shared" ref="S257:S320" si="1">J257-R257</f>
        <v>-1.0199999999999998</v>
      </c>
      <c r="T257" s="15">
        <f>T256+S257</f>
        <v>5.1750000000000007</v>
      </c>
      <c r="U257" s="1">
        <v>53</v>
      </c>
      <c r="V257" s="1">
        <v>1503.9</v>
      </c>
      <c r="X257" s="1">
        <f>X256+V257</f>
        <v>3166.6000000000004</v>
      </c>
      <c r="Z257" s="1">
        <v>72079.800000000032</v>
      </c>
      <c r="AA257" s="1">
        <v>12.8790942490585</v>
      </c>
    </row>
    <row r="258" spans="1:27" s="1" customFormat="1" x14ac:dyDescent="0.25">
      <c r="A258" s="68"/>
      <c r="B258" s="3"/>
      <c r="C258" s="8">
        <v>40431</v>
      </c>
      <c r="D258" s="1">
        <v>18.899999999999999</v>
      </c>
      <c r="E258" s="1">
        <v>15</v>
      </c>
      <c r="F258" s="1">
        <v>23.6</v>
      </c>
      <c r="G258" s="1">
        <f t="shared" ref="G258:G321" si="2">G257+D258</f>
        <v>55.499999999999993</v>
      </c>
      <c r="I258" s="13" t="s">
        <v>33</v>
      </c>
      <c r="J258" s="1">
        <v>0</v>
      </c>
      <c r="K258" s="1">
        <f t="shared" ref="K258:K321" si="3">K257+J258</f>
        <v>1.7000000000000002</v>
      </c>
      <c r="L258" s="1">
        <v>3.7</v>
      </c>
      <c r="M258" s="1">
        <f t="shared" ref="M258:M321" si="4">M257+L258</f>
        <v>11.2</v>
      </c>
      <c r="N258" s="1">
        <v>-3.7</v>
      </c>
      <c r="O258" s="1">
        <v>0</v>
      </c>
      <c r="P258" s="6">
        <v>3</v>
      </c>
      <c r="Q258" s="1">
        <v>0.35</v>
      </c>
      <c r="R258" s="14">
        <f t="shared" si="0"/>
        <v>1.2949999999999999</v>
      </c>
      <c r="S258" s="14">
        <f t="shared" si="1"/>
        <v>-1.2949999999999999</v>
      </c>
      <c r="T258" s="15">
        <f t="shared" ref="T258:T321" si="5">T257+S258</f>
        <v>3.8800000000000008</v>
      </c>
      <c r="U258" s="13" t="s">
        <v>34</v>
      </c>
      <c r="V258" s="1">
        <v>1703.1</v>
      </c>
      <c r="X258" s="1">
        <f t="shared" ref="X258:X321" si="6">X257+V258</f>
        <v>4869.7000000000007</v>
      </c>
      <c r="Z258" s="13" t="s">
        <v>35</v>
      </c>
      <c r="AA258" s="1">
        <v>12.8300590613851</v>
      </c>
    </row>
    <row r="259" spans="1:27" s="1" customFormat="1" x14ac:dyDescent="0.25">
      <c r="A259" s="68"/>
      <c r="B259" s="3"/>
      <c r="C259" s="8">
        <v>40432</v>
      </c>
      <c r="D259" s="1">
        <v>19.8</v>
      </c>
      <c r="E259" s="1">
        <v>10.199999999999999</v>
      </c>
      <c r="F259" s="1">
        <v>27.8</v>
      </c>
      <c r="G259" s="1">
        <f t="shared" si="2"/>
        <v>75.3</v>
      </c>
      <c r="I259" s="1">
        <f>MAX(F256:F332)</f>
        <v>28.3</v>
      </c>
      <c r="J259" s="1">
        <v>0</v>
      </c>
      <c r="K259" s="1">
        <f t="shared" si="3"/>
        <v>1.7000000000000002</v>
      </c>
      <c r="L259" s="1">
        <v>4.3</v>
      </c>
      <c r="M259" s="1">
        <f t="shared" si="4"/>
        <v>15.5</v>
      </c>
      <c r="N259" s="1">
        <v>-4.3</v>
      </c>
      <c r="O259" s="1">
        <v>0</v>
      </c>
      <c r="P259" s="6">
        <v>4</v>
      </c>
      <c r="Q259" s="1">
        <v>0.35</v>
      </c>
      <c r="R259" s="14">
        <f t="shared" si="0"/>
        <v>1.5049999999999999</v>
      </c>
      <c r="S259" s="14">
        <f t="shared" si="1"/>
        <v>-1.5049999999999999</v>
      </c>
      <c r="T259" s="15">
        <f t="shared" si="5"/>
        <v>2.3750000000000009</v>
      </c>
      <c r="U259" s="1">
        <v>4</v>
      </c>
      <c r="V259" s="1">
        <v>2033.7</v>
      </c>
      <c r="X259" s="1">
        <f t="shared" si="6"/>
        <v>6903.4000000000005</v>
      </c>
      <c r="Z259" s="16">
        <f>(X332/100)/I269</f>
        <v>0.68503896597605052</v>
      </c>
      <c r="AA259" s="1">
        <v>12.780931968586099</v>
      </c>
    </row>
    <row r="260" spans="1:27" s="1" customFormat="1" x14ac:dyDescent="0.25">
      <c r="A260" s="68"/>
      <c r="B260" s="3"/>
      <c r="C260" s="8">
        <v>40433</v>
      </c>
      <c r="D260" s="1">
        <v>21.1</v>
      </c>
      <c r="E260" s="1">
        <v>16.8</v>
      </c>
      <c r="F260" s="1">
        <v>26</v>
      </c>
      <c r="G260" s="1">
        <f t="shared" si="2"/>
        <v>96.4</v>
      </c>
      <c r="I260" s="13" t="s">
        <v>36</v>
      </c>
      <c r="J260" s="1">
        <v>0</v>
      </c>
      <c r="K260" s="1">
        <f t="shared" si="3"/>
        <v>1.7000000000000002</v>
      </c>
      <c r="L260" s="1">
        <v>4.2</v>
      </c>
      <c r="M260" s="1">
        <f t="shared" si="4"/>
        <v>19.7</v>
      </c>
      <c r="N260" s="1">
        <v>-4.2</v>
      </c>
      <c r="O260" s="1">
        <v>0</v>
      </c>
      <c r="P260" s="6">
        <v>5</v>
      </c>
      <c r="Q260" s="1">
        <v>0.35</v>
      </c>
      <c r="R260" s="14">
        <f t="shared" si="0"/>
        <v>1.47</v>
      </c>
      <c r="S260" s="14">
        <f t="shared" si="1"/>
        <v>-1.47</v>
      </c>
      <c r="T260" s="15">
        <f t="shared" si="5"/>
        <v>0.90500000000000091</v>
      </c>
      <c r="U260" s="13" t="s">
        <v>37</v>
      </c>
      <c r="V260" s="1">
        <v>1432.8</v>
      </c>
      <c r="X260" s="1">
        <f t="shared" si="6"/>
        <v>8336.2000000000007</v>
      </c>
      <c r="Z260" s="13" t="s">
        <v>38</v>
      </c>
      <c r="AA260" s="1">
        <v>12.731719259121499</v>
      </c>
    </row>
    <row r="261" spans="1:27" s="1" customFormat="1" x14ac:dyDescent="0.25">
      <c r="A261" s="68"/>
      <c r="B261" s="3"/>
      <c r="C261" s="8">
        <v>40434</v>
      </c>
      <c r="D261" s="1">
        <v>19.399999999999999</v>
      </c>
      <c r="E261" s="1">
        <v>15</v>
      </c>
      <c r="F261" s="1">
        <v>24.6</v>
      </c>
      <c r="G261" s="1">
        <f t="shared" si="2"/>
        <v>115.80000000000001</v>
      </c>
      <c r="I261" s="14">
        <f>AVERAGE(D256:D332)</f>
        <v>13.664935064935065</v>
      </c>
      <c r="J261" s="1">
        <v>0</v>
      </c>
      <c r="K261" s="1">
        <f t="shared" si="3"/>
        <v>1.7000000000000002</v>
      </c>
      <c r="L261" s="1">
        <v>4.4000000000000004</v>
      </c>
      <c r="M261" s="1">
        <f t="shared" si="4"/>
        <v>24.1</v>
      </c>
      <c r="N261" s="1">
        <v>-4.4000000000000004</v>
      </c>
      <c r="O261" s="1">
        <v>0</v>
      </c>
      <c r="P261" s="6">
        <v>6</v>
      </c>
      <c r="Q261" s="1">
        <v>0.35</v>
      </c>
      <c r="R261" s="14">
        <f t="shared" si="0"/>
        <v>1.54</v>
      </c>
      <c r="S261" s="14">
        <f t="shared" si="1"/>
        <v>-1.54</v>
      </c>
      <c r="T261" s="15">
        <v>0</v>
      </c>
      <c r="U261" s="1">
        <v>28</v>
      </c>
      <c r="V261" s="1">
        <v>1559.4</v>
      </c>
      <c r="X261" s="1">
        <f t="shared" si="6"/>
        <v>9895.6</v>
      </c>
      <c r="Z261" s="1">
        <v>35</v>
      </c>
      <c r="AA261" s="1">
        <v>12.6824270755802</v>
      </c>
    </row>
    <row r="262" spans="1:27" s="1" customFormat="1" x14ac:dyDescent="0.25">
      <c r="A262" s="68"/>
      <c r="B262" s="3"/>
      <c r="C262" s="8">
        <v>40435</v>
      </c>
      <c r="D262" s="1">
        <v>18.600000000000001</v>
      </c>
      <c r="E262" s="1">
        <v>11</v>
      </c>
      <c r="F262" s="1">
        <v>25.1</v>
      </c>
      <c r="G262" s="1">
        <f t="shared" si="2"/>
        <v>134.4</v>
      </c>
      <c r="I262" s="13" t="s">
        <v>39</v>
      </c>
      <c r="J262" s="1">
        <v>0</v>
      </c>
      <c r="K262" s="1">
        <f t="shared" si="3"/>
        <v>1.7000000000000002</v>
      </c>
      <c r="L262" s="1">
        <v>3.5</v>
      </c>
      <c r="M262" s="1">
        <f t="shared" si="4"/>
        <v>27.6</v>
      </c>
      <c r="N262" s="1">
        <v>-3.5</v>
      </c>
      <c r="O262" s="1">
        <v>0</v>
      </c>
      <c r="P262" s="6">
        <v>7</v>
      </c>
      <c r="Q262" s="1">
        <v>0.35</v>
      </c>
      <c r="R262" s="14">
        <f t="shared" si="0"/>
        <v>1.2249999999999999</v>
      </c>
      <c r="S262" s="14">
        <f t="shared" si="1"/>
        <v>-1.2249999999999999</v>
      </c>
      <c r="T262" s="15">
        <v>0</v>
      </c>
      <c r="U262" s="13" t="s">
        <v>40</v>
      </c>
      <c r="V262" s="1">
        <v>1648.6</v>
      </c>
      <c r="X262" s="1">
        <f t="shared" si="6"/>
        <v>11544.2</v>
      </c>
      <c r="AA262" s="1">
        <v>12.6330614274066</v>
      </c>
    </row>
    <row r="263" spans="1:27" s="1" customFormat="1" x14ac:dyDescent="0.25">
      <c r="A263" s="68"/>
      <c r="B263" s="3"/>
      <c r="C263" s="8">
        <v>40436</v>
      </c>
      <c r="D263" s="1">
        <v>20.2</v>
      </c>
      <c r="E263" s="1">
        <v>11.6</v>
      </c>
      <c r="F263" s="1">
        <v>28.1</v>
      </c>
      <c r="G263" s="1">
        <f t="shared" si="2"/>
        <v>154.6</v>
      </c>
      <c r="I263" s="1">
        <v>0</v>
      </c>
      <c r="J263" s="1">
        <v>0</v>
      </c>
      <c r="K263" s="1">
        <f t="shared" si="3"/>
        <v>1.7000000000000002</v>
      </c>
      <c r="L263" s="1">
        <v>4.0999999999999996</v>
      </c>
      <c r="M263" s="1">
        <f t="shared" si="4"/>
        <v>31.700000000000003</v>
      </c>
      <c r="N263" s="1">
        <v>-4.0999999999999996</v>
      </c>
      <c r="O263" s="1">
        <v>0</v>
      </c>
      <c r="P263" s="6">
        <v>8</v>
      </c>
      <c r="Q263" s="1">
        <f>0.35+((P263-7)/70)*(1-0.35)</f>
        <v>0.35928571428571426</v>
      </c>
      <c r="R263" s="14">
        <f t="shared" si="0"/>
        <v>1.4730714285714284</v>
      </c>
      <c r="S263" s="14">
        <f t="shared" si="1"/>
        <v>-1.4730714285714284</v>
      </c>
      <c r="T263" s="15">
        <v>0</v>
      </c>
      <c r="U263" s="14">
        <f>MIN(T256:T332)</f>
        <v>0</v>
      </c>
      <c r="V263" s="1">
        <v>1829.4</v>
      </c>
      <c r="X263" s="1">
        <f t="shared" si="6"/>
        <v>13373.6</v>
      </c>
      <c r="AA263" s="1">
        <v>12.5836282037275</v>
      </c>
    </row>
    <row r="264" spans="1:27" s="1" customFormat="1" x14ac:dyDescent="0.25">
      <c r="A264" s="68"/>
      <c r="B264" s="3"/>
      <c r="C264" s="8">
        <v>40437</v>
      </c>
      <c r="D264" s="1">
        <v>16.399999999999999</v>
      </c>
      <c r="E264" s="1">
        <v>15.2</v>
      </c>
      <c r="F264" s="1">
        <v>17.100000000000001</v>
      </c>
      <c r="G264" s="1">
        <f t="shared" si="2"/>
        <v>171</v>
      </c>
      <c r="I264" s="13" t="s">
        <v>41</v>
      </c>
      <c r="J264" s="1">
        <v>4.4000000000000004</v>
      </c>
      <c r="K264" s="1">
        <f t="shared" si="3"/>
        <v>6.1000000000000005</v>
      </c>
      <c r="L264" s="1">
        <v>1.1000000000000001</v>
      </c>
      <c r="M264" s="1">
        <f t="shared" si="4"/>
        <v>32.800000000000004</v>
      </c>
      <c r="N264" s="1">
        <v>3.3000000000000003</v>
      </c>
      <c r="O264" s="1">
        <f>O263+N264</f>
        <v>3.3000000000000003</v>
      </c>
      <c r="P264" s="6">
        <v>9</v>
      </c>
      <c r="Q264" s="1">
        <f t="shared" ref="Q264:Q327" si="7">0.35+((P264-7)/70)*(1-0.35)</f>
        <v>0.36857142857142855</v>
      </c>
      <c r="R264" s="14">
        <f t="shared" si="0"/>
        <v>0.40542857142857142</v>
      </c>
      <c r="S264" s="14">
        <f t="shared" si="1"/>
        <v>3.9945714285714291</v>
      </c>
      <c r="T264" s="15">
        <f t="shared" si="5"/>
        <v>3.9945714285714291</v>
      </c>
      <c r="U264" s="13" t="s">
        <v>42</v>
      </c>
      <c r="V264" s="1">
        <v>378.2</v>
      </c>
      <c r="X264" s="1">
        <f t="shared" si="6"/>
        <v>13751.800000000001</v>
      </c>
      <c r="AA264" s="1">
        <v>12.534133186272699</v>
      </c>
    </row>
    <row r="265" spans="1:27" s="1" customFormat="1" x14ac:dyDescent="0.25">
      <c r="A265" s="68"/>
      <c r="B265" s="3"/>
      <c r="C265" s="8">
        <v>40438</v>
      </c>
      <c r="D265" s="1">
        <v>17.7</v>
      </c>
      <c r="E265" s="1">
        <v>15.1</v>
      </c>
      <c r="F265" s="1">
        <v>21.2</v>
      </c>
      <c r="G265" s="1">
        <f t="shared" si="2"/>
        <v>188.7</v>
      </c>
      <c r="I265" s="1">
        <v>9</v>
      </c>
      <c r="J265" s="1">
        <v>2.2999999999999998</v>
      </c>
      <c r="K265" s="1">
        <f t="shared" si="3"/>
        <v>8.4</v>
      </c>
      <c r="L265" s="1">
        <v>1.5</v>
      </c>
      <c r="M265" s="1">
        <f t="shared" si="4"/>
        <v>34.300000000000004</v>
      </c>
      <c r="N265" s="1">
        <v>0.79999999999999982</v>
      </c>
      <c r="O265" s="1">
        <f>O264+N265</f>
        <v>4.0999999999999996</v>
      </c>
      <c r="P265" s="6">
        <v>10</v>
      </c>
      <c r="Q265" s="1">
        <f t="shared" si="7"/>
        <v>0.37785714285714284</v>
      </c>
      <c r="R265" s="14">
        <f t="shared" si="0"/>
        <v>0.56678571428571423</v>
      </c>
      <c r="S265" s="14">
        <f t="shared" si="1"/>
        <v>1.7332142857142856</v>
      </c>
      <c r="T265" s="15">
        <f t="shared" si="5"/>
        <v>5.7277857142857149</v>
      </c>
      <c r="U265" s="14">
        <f>MAX(T256:T332)</f>
        <v>102.90971428571427</v>
      </c>
      <c r="V265" s="1">
        <v>403.4</v>
      </c>
      <c r="X265" s="1">
        <f t="shared" si="6"/>
        <v>14155.2</v>
      </c>
      <c r="AA265" s="1">
        <v>12.4845820623847</v>
      </c>
    </row>
    <row r="266" spans="1:27" s="1" customFormat="1" x14ac:dyDescent="0.25">
      <c r="A266" s="68"/>
      <c r="B266" s="3"/>
      <c r="C266" s="8">
        <v>40439</v>
      </c>
      <c r="D266" s="1">
        <v>16.600000000000001</v>
      </c>
      <c r="E266" s="1">
        <v>14.1</v>
      </c>
      <c r="F266" s="1">
        <v>19.600000000000001</v>
      </c>
      <c r="G266" s="1">
        <f t="shared" si="2"/>
        <v>205.29999999999998</v>
      </c>
      <c r="I266" s="13" t="s">
        <v>43</v>
      </c>
      <c r="J266" s="1">
        <v>0.2</v>
      </c>
      <c r="K266" s="1">
        <f t="shared" si="3"/>
        <v>8.6</v>
      </c>
      <c r="L266" s="1">
        <v>2.9</v>
      </c>
      <c r="M266" s="1">
        <f t="shared" si="4"/>
        <v>37.200000000000003</v>
      </c>
      <c r="N266" s="1">
        <v>-2.6999999999999997</v>
      </c>
      <c r="O266" s="1">
        <f>O265+N266</f>
        <v>1.4</v>
      </c>
      <c r="P266" s="6">
        <v>11</v>
      </c>
      <c r="Q266" s="1">
        <f t="shared" si="7"/>
        <v>0.38714285714285712</v>
      </c>
      <c r="R266" s="14">
        <f t="shared" si="0"/>
        <v>1.1227142857142856</v>
      </c>
      <c r="S266" s="14">
        <f t="shared" si="1"/>
        <v>-0.9227142857142856</v>
      </c>
      <c r="T266" s="15">
        <f t="shared" si="5"/>
        <v>4.8050714285714289</v>
      </c>
      <c r="U266" s="13" t="s">
        <v>44</v>
      </c>
      <c r="V266" s="1">
        <v>1268.4000000000001</v>
      </c>
      <c r="X266" s="1">
        <f t="shared" si="6"/>
        <v>15423.6</v>
      </c>
      <c r="AA266" s="1">
        <v>12.434980438115399</v>
      </c>
    </row>
    <row r="267" spans="1:27" s="1" customFormat="1" x14ac:dyDescent="0.25">
      <c r="A267" s="68"/>
      <c r="B267" s="3"/>
      <c r="C267" s="8">
        <v>40440</v>
      </c>
      <c r="D267" s="1">
        <v>14.2</v>
      </c>
      <c r="E267" s="1">
        <v>7.7</v>
      </c>
      <c r="F267" s="1">
        <v>22.1</v>
      </c>
      <c r="G267" s="1">
        <f t="shared" si="2"/>
        <v>219.49999999999997</v>
      </c>
      <c r="I267" s="1">
        <v>8</v>
      </c>
      <c r="J267" s="1">
        <v>0</v>
      </c>
      <c r="K267" s="1">
        <f t="shared" si="3"/>
        <v>8.6</v>
      </c>
      <c r="L267" s="1">
        <v>3.8</v>
      </c>
      <c r="M267" s="1">
        <f t="shared" si="4"/>
        <v>41</v>
      </c>
      <c r="N267" s="1">
        <v>-3.8</v>
      </c>
      <c r="O267" s="1">
        <v>0</v>
      </c>
      <c r="P267" s="6">
        <v>12</v>
      </c>
      <c r="Q267" s="1">
        <f t="shared" si="7"/>
        <v>0.39642857142857141</v>
      </c>
      <c r="R267" s="14">
        <f t="shared" si="0"/>
        <v>1.5064285714285712</v>
      </c>
      <c r="S267" s="14">
        <f t="shared" si="1"/>
        <v>-1.5064285714285712</v>
      </c>
      <c r="T267" s="15">
        <f t="shared" si="5"/>
        <v>3.2986428571428577</v>
      </c>
      <c r="U267" s="14">
        <f>AVERAGE(T256:T332)</f>
        <v>42.66014471243043</v>
      </c>
      <c r="V267" s="1">
        <v>2002.4</v>
      </c>
      <c r="X267" s="1">
        <f t="shared" si="6"/>
        <v>17426</v>
      </c>
      <c r="AA267" s="1">
        <v>12.3853338514052</v>
      </c>
    </row>
    <row r="268" spans="1:27" s="1" customFormat="1" x14ac:dyDescent="0.25">
      <c r="A268" s="68"/>
      <c r="B268" s="3"/>
      <c r="C268" s="8">
        <v>40441</v>
      </c>
      <c r="D268" s="1">
        <v>17</v>
      </c>
      <c r="E268" s="1">
        <v>6.9</v>
      </c>
      <c r="F268" s="1">
        <v>25.8</v>
      </c>
      <c r="G268" s="1">
        <f t="shared" si="2"/>
        <v>236.49999999999997</v>
      </c>
      <c r="I268" s="13" t="s">
        <v>45</v>
      </c>
      <c r="J268" s="1">
        <v>0</v>
      </c>
      <c r="K268" s="1">
        <f t="shared" si="3"/>
        <v>8.6</v>
      </c>
      <c r="L268" s="1">
        <v>4</v>
      </c>
      <c r="M268" s="1">
        <f t="shared" si="4"/>
        <v>45</v>
      </c>
      <c r="N268" s="1">
        <v>-4</v>
      </c>
      <c r="O268" s="1">
        <v>0</v>
      </c>
      <c r="P268" s="6">
        <v>13</v>
      </c>
      <c r="Q268" s="1">
        <f t="shared" si="7"/>
        <v>0.40571428571428569</v>
      </c>
      <c r="R268" s="14">
        <f t="shared" si="0"/>
        <v>1.6228571428571428</v>
      </c>
      <c r="S268" s="14">
        <f t="shared" si="1"/>
        <v>-1.6228571428571428</v>
      </c>
      <c r="T268" s="15">
        <f t="shared" si="5"/>
        <v>1.6757857142857149</v>
      </c>
      <c r="V268" s="1">
        <v>1819.3</v>
      </c>
      <c r="X268" s="1">
        <f t="shared" si="6"/>
        <v>19245.3</v>
      </c>
      <c r="AA268" s="1">
        <v>12.335647785343101</v>
      </c>
    </row>
    <row r="269" spans="1:27" s="1" customFormat="1" x14ac:dyDescent="0.25">
      <c r="A269" s="68"/>
      <c r="B269" s="3"/>
      <c r="C269" s="8">
        <v>40442</v>
      </c>
      <c r="D269" s="1">
        <v>18.8</v>
      </c>
      <c r="E269" s="1">
        <v>16.3</v>
      </c>
      <c r="F269" s="1">
        <v>22.2</v>
      </c>
      <c r="G269" s="1">
        <f t="shared" si="2"/>
        <v>255.29999999999998</v>
      </c>
      <c r="I269" s="1">
        <v>1052.2</v>
      </c>
      <c r="J269" s="1">
        <v>0</v>
      </c>
      <c r="K269" s="1">
        <f t="shared" si="3"/>
        <v>8.6</v>
      </c>
      <c r="L269" s="1">
        <v>1.7</v>
      </c>
      <c r="M269" s="1">
        <f t="shared" si="4"/>
        <v>46.7</v>
      </c>
      <c r="N269" s="1">
        <v>-1.7</v>
      </c>
      <c r="O269" s="1">
        <v>0</v>
      </c>
      <c r="P269" s="6">
        <v>14</v>
      </c>
      <c r="Q269" s="1">
        <f t="shared" si="7"/>
        <v>0.41499999999999998</v>
      </c>
      <c r="R269" s="14">
        <f t="shared" si="0"/>
        <v>0.7054999999999999</v>
      </c>
      <c r="S269" s="14">
        <f t="shared" si="1"/>
        <v>-0.7054999999999999</v>
      </c>
      <c r="T269" s="15">
        <f t="shared" si="5"/>
        <v>0.97028571428571497</v>
      </c>
      <c r="U269" s="14"/>
      <c r="V269" s="1">
        <v>578.29999999999995</v>
      </c>
      <c r="X269" s="1">
        <f t="shared" si="6"/>
        <v>19823.599999999999</v>
      </c>
      <c r="AA269" s="1">
        <v>12.2859276815076</v>
      </c>
    </row>
    <row r="270" spans="1:27" s="1" customFormat="1" x14ac:dyDescent="0.25">
      <c r="A270" s="68"/>
      <c r="B270" s="3"/>
      <c r="C270" s="8">
        <v>40443</v>
      </c>
      <c r="D270" s="1">
        <v>20.100000000000001</v>
      </c>
      <c r="E270" s="1">
        <v>12.6</v>
      </c>
      <c r="F270" s="1">
        <v>28.3</v>
      </c>
      <c r="G270" s="1">
        <f t="shared" si="2"/>
        <v>275.39999999999998</v>
      </c>
      <c r="J270" s="1">
        <v>0</v>
      </c>
      <c r="K270" s="1">
        <f t="shared" si="3"/>
        <v>8.6</v>
      </c>
      <c r="L270" s="1">
        <v>4.5</v>
      </c>
      <c r="M270" s="1">
        <f t="shared" si="4"/>
        <v>51.2</v>
      </c>
      <c r="N270" s="1">
        <v>-4.5</v>
      </c>
      <c r="O270" s="1">
        <v>0</v>
      </c>
      <c r="P270" s="6">
        <v>15</v>
      </c>
      <c r="Q270" s="1">
        <f t="shared" si="7"/>
        <v>0.42428571428571427</v>
      </c>
      <c r="R270" s="14">
        <f t="shared" si="0"/>
        <v>1.9092857142857143</v>
      </c>
      <c r="S270" s="14">
        <f t="shared" si="1"/>
        <v>-1.9092857142857143</v>
      </c>
      <c r="T270" s="15">
        <v>0</v>
      </c>
      <c r="V270" s="1">
        <v>1772.6</v>
      </c>
      <c r="X270" s="1">
        <f t="shared" si="6"/>
        <v>21596.199999999997</v>
      </c>
      <c r="AA270" s="1">
        <v>12.2361789533854</v>
      </c>
    </row>
    <row r="271" spans="1:27" s="1" customFormat="1" x14ac:dyDescent="0.25">
      <c r="A271" s="68"/>
      <c r="B271" s="3"/>
      <c r="C271" s="8">
        <v>40444</v>
      </c>
      <c r="D271" s="1">
        <v>19.3</v>
      </c>
      <c r="E271" s="1">
        <v>14.4</v>
      </c>
      <c r="F271" s="1">
        <v>25.3</v>
      </c>
      <c r="G271" s="1">
        <f t="shared" si="2"/>
        <v>294.7</v>
      </c>
      <c r="J271" s="1">
        <v>17</v>
      </c>
      <c r="K271" s="1">
        <f t="shared" si="3"/>
        <v>25.6</v>
      </c>
      <c r="L271" s="1">
        <v>3.1</v>
      </c>
      <c r="M271" s="1">
        <f t="shared" si="4"/>
        <v>54.300000000000004</v>
      </c>
      <c r="N271" s="1">
        <v>13.9</v>
      </c>
      <c r="O271" s="1">
        <f t="shared" ref="O271:O279" si="8">O270+N271</f>
        <v>13.9</v>
      </c>
      <c r="P271" s="6">
        <v>16</v>
      </c>
      <c r="Q271" s="1">
        <f t="shared" si="7"/>
        <v>0.43357142857142855</v>
      </c>
      <c r="R271" s="14">
        <f t="shared" si="0"/>
        <v>1.3440714285714286</v>
      </c>
      <c r="S271" s="14">
        <f t="shared" si="1"/>
        <v>15.655928571428571</v>
      </c>
      <c r="T271" s="15">
        <f t="shared" si="5"/>
        <v>15.655928571428571</v>
      </c>
      <c r="V271" s="1">
        <v>1460.4</v>
      </c>
      <c r="X271" s="1">
        <f t="shared" si="6"/>
        <v>23056.6</v>
      </c>
      <c r="AA271" s="1">
        <v>12.1864069998693</v>
      </c>
    </row>
    <row r="272" spans="1:27" s="1" customFormat="1" x14ac:dyDescent="0.25">
      <c r="A272" s="68"/>
      <c r="B272" s="3"/>
      <c r="C272" s="8">
        <v>40445</v>
      </c>
      <c r="D272" s="1">
        <v>16.7</v>
      </c>
      <c r="E272" s="1">
        <v>14.9</v>
      </c>
      <c r="F272" s="1">
        <v>19.8</v>
      </c>
      <c r="G272" s="1">
        <f t="shared" si="2"/>
        <v>311.39999999999998</v>
      </c>
      <c r="J272" s="1">
        <v>4.5999999999999996</v>
      </c>
      <c r="K272" s="1">
        <f t="shared" si="3"/>
        <v>30.200000000000003</v>
      </c>
      <c r="L272" s="1">
        <v>2.6</v>
      </c>
      <c r="M272" s="1">
        <f t="shared" si="4"/>
        <v>56.900000000000006</v>
      </c>
      <c r="N272" s="1">
        <v>1.9999999999999996</v>
      </c>
      <c r="O272" s="1">
        <f t="shared" si="8"/>
        <v>15.9</v>
      </c>
      <c r="P272" s="6">
        <v>17</v>
      </c>
      <c r="Q272" s="1">
        <f t="shared" si="7"/>
        <v>0.44285714285714284</v>
      </c>
      <c r="R272" s="14">
        <f t="shared" si="0"/>
        <v>1.1514285714285715</v>
      </c>
      <c r="S272" s="14">
        <f t="shared" si="1"/>
        <v>3.4485714285714284</v>
      </c>
      <c r="T272" s="15">
        <f t="shared" si="5"/>
        <v>19.104500000000002</v>
      </c>
      <c r="V272" s="1">
        <v>1070.5999999999999</v>
      </c>
      <c r="X272" s="1">
        <f t="shared" si="6"/>
        <v>24127.199999999997</v>
      </c>
      <c r="AA272" s="1">
        <v>12.1366172188345</v>
      </c>
    </row>
    <row r="273" spans="1:27" s="1" customFormat="1" x14ac:dyDescent="0.25">
      <c r="A273" s="68"/>
      <c r="B273" s="3"/>
      <c r="C273" s="8">
        <v>40446</v>
      </c>
      <c r="D273" s="1">
        <v>15.2</v>
      </c>
      <c r="E273" s="1">
        <v>13.6</v>
      </c>
      <c r="F273" s="1">
        <v>19.2</v>
      </c>
      <c r="G273" s="1">
        <f t="shared" si="2"/>
        <v>326.59999999999997</v>
      </c>
      <c r="J273" s="1">
        <v>0</v>
      </c>
      <c r="K273" s="1">
        <f t="shared" si="3"/>
        <v>30.200000000000003</v>
      </c>
      <c r="L273" s="1">
        <v>3.5</v>
      </c>
      <c r="M273" s="1">
        <f t="shared" si="4"/>
        <v>60.400000000000006</v>
      </c>
      <c r="N273" s="1">
        <v>-3.5</v>
      </c>
      <c r="O273" s="1">
        <f t="shared" si="8"/>
        <v>12.4</v>
      </c>
      <c r="P273" s="6">
        <v>18</v>
      </c>
      <c r="Q273" s="1">
        <f t="shared" si="7"/>
        <v>0.45214285714285712</v>
      </c>
      <c r="R273" s="14">
        <f t="shared" si="0"/>
        <v>1.5825</v>
      </c>
      <c r="S273" s="14">
        <f t="shared" si="1"/>
        <v>-1.5825</v>
      </c>
      <c r="T273" s="15">
        <f t="shared" si="5"/>
        <v>17.522000000000002</v>
      </c>
      <c r="V273" s="1">
        <v>1537.3</v>
      </c>
      <c r="X273" s="1">
        <f t="shared" si="6"/>
        <v>25664.499999999996</v>
      </c>
      <c r="AA273" s="1">
        <v>12.0868150207924</v>
      </c>
    </row>
    <row r="274" spans="1:27" s="1" customFormat="1" x14ac:dyDescent="0.25">
      <c r="A274" s="68"/>
      <c r="B274" s="3"/>
      <c r="C274" s="8">
        <v>40447</v>
      </c>
      <c r="D274" s="1">
        <v>12.6</v>
      </c>
      <c r="E274" s="1">
        <v>9.8000000000000007</v>
      </c>
      <c r="F274" s="1">
        <v>17.100000000000001</v>
      </c>
      <c r="G274" s="1">
        <f t="shared" si="2"/>
        <v>339.2</v>
      </c>
      <c r="J274" s="1">
        <v>0</v>
      </c>
      <c r="K274" s="1">
        <f t="shared" si="3"/>
        <v>30.200000000000003</v>
      </c>
      <c r="L274" s="1">
        <v>3.3</v>
      </c>
      <c r="M274" s="1">
        <f t="shared" si="4"/>
        <v>63.7</v>
      </c>
      <c r="N274" s="1">
        <v>-3.3</v>
      </c>
      <c r="O274" s="1">
        <f t="shared" si="8"/>
        <v>9.1000000000000014</v>
      </c>
      <c r="P274" s="6">
        <v>19</v>
      </c>
      <c r="Q274" s="1">
        <f t="shared" si="7"/>
        <v>0.46142857142857141</v>
      </c>
      <c r="R274" s="14">
        <f t="shared" si="0"/>
        <v>1.5227142857142855</v>
      </c>
      <c r="S274" s="14">
        <f t="shared" si="1"/>
        <v>-1.5227142857142855</v>
      </c>
      <c r="T274" s="15">
        <f t="shared" si="5"/>
        <v>15.999285714285717</v>
      </c>
      <c r="V274" s="1">
        <v>1740</v>
      </c>
      <c r="X274" s="1">
        <f t="shared" si="6"/>
        <v>27404.499999999996</v>
      </c>
      <c r="AA274" s="1">
        <v>12.037005842623801</v>
      </c>
    </row>
    <row r="275" spans="1:27" s="1" customFormat="1" x14ac:dyDescent="0.25">
      <c r="A275" s="68"/>
      <c r="B275" s="3"/>
      <c r="C275" s="8">
        <v>40448</v>
      </c>
      <c r="D275" s="1">
        <v>12.9</v>
      </c>
      <c r="E275" s="1">
        <v>7.2</v>
      </c>
      <c r="F275" s="1">
        <v>19.100000000000001</v>
      </c>
      <c r="G275" s="1">
        <f t="shared" si="2"/>
        <v>352.09999999999997</v>
      </c>
      <c r="J275" s="1">
        <v>0</v>
      </c>
      <c r="K275" s="1">
        <f t="shared" si="3"/>
        <v>30.200000000000003</v>
      </c>
      <c r="L275" s="1">
        <v>2.6</v>
      </c>
      <c r="M275" s="1">
        <f t="shared" si="4"/>
        <v>66.3</v>
      </c>
      <c r="N275" s="1">
        <v>-2.6</v>
      </c>
      <c r="O275" s="1">
        <f t="shared" si="8"/>
        <v>6.5000000000000018</v>
      </c>
      <c r="P275" s="6">
        <v>20</v>
      </c>
      <c r="Q275" s="1">
        <f t="shared" si="7"/>
        <v>0.4707142857142857</v>
      </c>
      <c r="R275" s="14">
        <f t="shared" si="0"/>
        <v>1.2238571428571428</v>
      </c>
      <c r="S275" s="14">
        <f t="shared" si="1"/>
        <v>-1.2238571428571428</v>
      </c>
      <c r="T275" s="15">
        <f t="shared" si="5"/>
        <v>14.775428571428574</v>
      </c>
      <c r="V275" s="1">
        <v>1373.5</v>
      </c>
      <c r="X275" s="1">
        <f t="shared" si="6"/>
        <v>28777.999999999996</v>
      </c>
      <c r="AA275" s="1">
        <v>11.9871951613899</v>
      </c>
    </row>
    <row r="276" spans="1:27" s="1" customFormat="1" x14ac:dyDescent="0.25">
      <c r="A276" s="68"/>
      <c r="B276" s="3"/>
      <c r="C276" s="8">
        <v>40449</v>
      </c>
      <c r="D276" s="1">
        <v>13.2</v>
      </c>
      <c r="E276" s="1">
        <v>9.3000000000000007</v>
      </c>
      <c r="F276" s="1">
        <v>18.899999999999999</v>
      </c>
      <c r="G276" s="1">
        <f t="shared" si="2"/>
        <v>365.29999999999995</v>
      </c>
      <c r="J276" s="1">
        <v>0</v>
      </c>
      <c r="K276" s="1">
        <f t="shared" si="3"/>
        <v>30.200000000000003</v>
      </c>
      <c r="L276" s="1">
        <v>2.6</v>
      </c>
      <c r="M276" s="1">
        <f t="shared" si="4"/>
        <v>68.899999999999991</v>
      </c>
      <c r="N276" s="1">
        <v>-2.6</v>
      </c>
      <c r="O276" s="1">
        <f t="shared" si="8"/>
        <v>3.9000000000000017</v>
      </c>
      <c r="P276" s="6">
        <v>21</v>
      </c>
      <c r="Q276" s="1">
        <f t="shared" si="7"/>
        <v>0.48</v>
      </c>
      <c r="R276" s="14">
        <f t="shared" si="0"/>
        <v>1.248</v>
      </c>
      <c r="S276" s="14">
        <f t="shared" si="1"/>
        <v>-1.248</v>
      </c>
      <c r="T276" s="15">
        <f t="shared" si="5"/>
        <v>13.527428571428574</v>
      </c>
      <c r="V276" s="1">
        <v>1366.5</v>
      </c>
      <c r="X276" s="1">
        <f t="shared" si="6"/>
        <v>30144.499999999996</v>
      </c>
      <c r="AA276" s="1">
        <v>11.937388508221201</v>
      </c>
    </row>
    <row r="277" spans="1:27" s="1" customFormat="1" x14ac:dyDescent="0.25">
      <c r="A277" s="68"/>
      <c r="B277" s="3"/>
      <c r="C277" s="8">
        <v>40450</v>
      </c>
      <c r="D277" s="1">
        <v>14.1</v>
      </c>
      <c r="E277" s="1">
        <v>6.7</v>
      </c>
      <c r="F277" s="1">
        <v>19.899999999999999</v>
      </c>
      <c r="G277" s="1">
        <f t="shared" si="2"/>
        <v>379.4</v>
      </c>
      <c r="J277" s="1">
        <v>0</v>
      </c>
      <c r="K277" s="1">
        <f t="shared" si="3"/>
        <v>30.200000000000003</v>
      </c>
      <c r="L277" s="1">
        <v>2.6</v>
      </c>
      <c r="M277" s="1">
        <f t="shared" si="4"/>
        <v>71.499999999999986</v>
      </c>
      <c r="N277" s="1">
        <v>-2.6</v>
      </c>
      <c r="O277" s="1">
        <f t="shared" si="8"/>
        <v>1.3000000000000016</v>
      </c>
      <c r="P277" s="6">
        <v>22</v>
      </c>
      <c r="Q277" s="1">
        <f t="shared" si="7"/>
        <v>0.48928571428571427</v>
      </c>
      <c r="R277" s="14">
        <f t="shared" si="0"/>
        <v>1.2721428571428572</v>
      </c>
      <c r="S277" s="14">
        <f t="shared" si="1"/>
        <v>-1.2721428571428572</v>
      </c>
      <c r="T277" s="15">
        <f t="shared" si="5"/>
        <v>12.255285714285717</v>
      </c>
      <c r="V277" s="1">
        <v>1552.3</v>
      </c>
      <c r="X277" s="1">
        <f t="shared" si="6"/>
        <v>31696.799999999996</v>
      </c>
      <c r="AA277" s="1">
        <v>11.887591482284099</v>
      </c>
    </row>
    <row r="278" spans="1:27" s="1" customFormat="1" x14ac:dyDescent="0.25">
      <c r="A278" s="68"/>
      <c r="B278" s="3"/>
      <c r="C278" s="8">
        <v>40451</v>
      </c>
      <c r="D278" s="1">
        <v>14</v>
      </c>
      <c r="E278" s="1">
        <v>10.4</v>
      </c>
      <c r="F278" s="1">
        <v>15.8</v>
      </c>
      <c r="G278" s="1">
        <f t="shared" si="2"/>
        <v>393.4</v>
      </c>
      <c r="J278" s="1">
        <v>1.4</v>
      </c>
      <c r="K278" s="1">
        <f t="shared" si="3"/>
        <v>31.6</v>
      </c>
      <c r="L278" s="1">
        <v>0.9</v>
      </c>
      <c r="M278" s="1">
        <f t="shared" si="4"/>
        <v>72.399999999999991</v>
      </c>
      <c r="N278" s="1">
        <v>0.49999999999999989</v>
      </c>
      <c r="O278" s="1">
        <f t="shared" si="8"/>
        <v>1.8000000000000016</v>
      </c>
      <c r="P278" s="6">
        <v>23</v>
      </c>
      <c r="Q278" s="1">
        <f t="shared" si="7"/>
        <v>0.49857142857142855</v>
      </c>
      <c r="R278" s="14">
        <f t="shared" si="0"/>
        <v>0.44871428571428573</v>
      </c>
      <c r="S278" s="14">
        <f t="shared" si="1"/>
        <v>0.95128571428571418</v>
      </c>
      <c r="T278" s="15">
        <f t="shared" si="5"/>
        <v>13.206571428571431</v>
      </c>
      <c r="V278" s="1">
        <v>442.4</v>
      </c>
      <c r="X278" s="1">
        <f t="shared" si="6"/>
        <v>32139.199999999997</v>
      </c>
      <c r="AA278" s="1">
        <v>11.8378097648246</v>
      </c>
    </row>
    <row r="279" spans="1:27" s="1" customFormat="1" x14ac:dyDescent="0.25">
      <c r="A279" s="68"/>
      <c r="B279" s="3"/>
      <c r="C279" s="8">
        <v>40452</v>
      </c>
      <c r="D279" s="1">
        <v>15.8</v>
      </c>
      <c r="E279" s="1">
        <v>8.6999999999999993</v>
      </c>
      <c r="F279" s="1">
        <v>21.1</v>
      </c>
      <c r="G279" s="1">
        <f t="shared" si="2"/>
        <v>409.2</v>
      </c>
      <c r="J279" s="1">
        <v>0</v>
      </c>
      <c r="K279" s="1">
        <f t="shared" si="3"/>
        <v>31.6</v>
      </c>
      <c r="L279" s="1">
        <v>1.5</v>
      </c>
      <c r="M279" s="1">
        <f t="shared" si="4"/>
        <v>73.899999999999991</v>
      </c>
      <c r="N279" s="1">
        <v>-1.5</v>
      </c>
      <c r="O279" s="1">
        <f t="shared" si="8"/>
        <v>0.3000000000000016</v>
      </c>
      <c r="P279" s="6">
        <v>24</v>
      </c>
      <c r="Q279" s="1">
        <f t="shared" si="7"/>
        <v>0.50785714285714278</v>
      </c>
      <c r="R279" s="14">
        <f t="shared" si="0"/>
        <v>0.76178571428571418</v>
      </c>
      <c r="S279" s="14">
        <f t="shared" si="1"/>
        <v>-0.76178571428571418</v>
      </c>
      <c r="T279" s="15">
        <f t="shared" si="5"/>
        <v>12.444785714285716</v>
      </c>
      <c r="V279" s="1">
        <v>858.8</v>
      </c>
      <c r="X279" s="1">
        <f t="shared" si="6"/>
        <v>32998</v>
      </c>
      <c r="AA279" s="1">
        <v>11.788049133285501</v>
      </c>
    </row>
    <row r="280" spans="1:27" s="1" customFormat="1" x14ac:dyDescent="0.25">
      <c r="A280" s="68"/>
      <c r="B280" s="3"/>
      <c r="C280" s="8">
        <v>40453</v>
      </c>
      <c r="D280" s="1">
        <v>17.899999999999999</v>
      </c>
      <c r="E280" s="1">
        <v>14.6</v>
      </c>
      <c r="F280" s="1">
        <v>21.4</v>
      </c>
      <c r="G280" s="1">
        <f t="shared" si="2"/>
        <v>427.09999999999997</v>
      </c>
      <c r="J280" s="1">
        <v>0</v>
      </c>
      <c r="K280" s="1">
        <f t="shared" si="3"/>
        <v>31.6</v>
      </c>
      <c r="L280" s="1">
        <v>3.2</v>
      </c>
      <c r="M280" s="1">
        <f t="shared" si="4"/>
        <v>77.099999999999994</v>
      </c>
      <c r="N280" s="1">
        <v>-3.2</v>
      </c>
      <c r="O280" s="1">
        <v>0</v>
      </c>
      <c r="P280" s="6">
        <v>25</v>
      </c>
      <c r="Q280" s="1">
        <f t="shared" si="7"/>
        <v>0.51714285714285713</v>
      </c>
      <c r="R280" s="14">
        <f t="shared" si="0"/>
        <v>1.6548571428571428</v>
      </c>
      <c r="S280" s="14">
        <f t="shared" si="1"/>
        <v>-1.6548571428571428</v>
      </c>
      <c r="T280" s="15">
        <f t="shared" si="5"/>
        <v>10.789928571428574</v>
      </c>
      <c r="V280" s="1">
        <v>1016</v>
      </c>
      <c r="X280" s="1">
        <f t="shared" si="6"/>
        <v>34014</v>
      </c>
      <c r="AA280" s="1">
        <v>11.738315475497499</v>
      </c>
    </row>
    <row r="281" spans="1:27" s="1" customFormat="1" x14ac:dyDescent="0.25">
      <c r="A281" s="68"/>
      <c r="B281" s="3"/>
      <c r="C281" s="8">
        <v>40454</v>
      </c>
      <c r="D281" s="1">
        <v>21.3</v>
      </c>
      <c r="E281" s="1">
        <v>17.8</v>
      </c>
      <c r="F281" s="1">
        <v>26.9</v>
      </c>
      <c r="G281" s="1">
        <f t="shared" si="2"/>
        <v>448.4</v>
      </c>
      <c r="J281" s="1">
        <v>0.6</v>
      </c>
      <c r="K281" s="1">
        <f t="shared" si="3"/>
        <v>32.200000000000003</v>
      </c>
      <c r="L281" s="1">
        <v>4.8</v>
      </c>
      <c r="M281" s="1">
        <f t="shared" si="4"/>
        <v>81.899999999999991</v>
      </c>
      <c r="N281" s="1">
        <v>-4.2</v>
      </c>
      <c r="O281" s="1">
        <v>0</v>
      </c>
      <c r="P281" s="6">
        <v>26</v>
      </c>
      <c r="Q281" s="1">
        <f t="shared" si="7"/>
        <v>0.52642857142857147</v>
      </c>
      <c r="R281" s="14">
        <f t="shared" si="0"/>
        <v>2.5268571428571431</v>
      </c>
      <c r="S281" s="14">
        <f t="shared" si="1"/>
        <v>-1.926857142857143</v>
      </c>
      <c r="T281" s="15">
        <f t="shared" si="5"/>
        <v>8.8630714285714305</v>
      </c>
      <c r="V281" s="1">
        <v>1514.8</v>
      </c>
      <c r="X281" s="1">
        <f t="shared" si="6"/>
        <v>35528.800000000003</v>
      </c>
      <c r="AA281" s="1">
        <v>11.688614803938799</v>
      </c>
    </row>
    <row r="282" spans="1:27" s="1" customFormat="1" x14ac:dyDescent="0.25">
      <c r="A282" s="68"/>
      <c r="B282" s="3"/>
      <c r="C282" s="8">
        <v>40455</v>
      </c>
      <c r="D282" s="1">
        <v>16.5</v>
      </c>
      <c r="E282" s="1">
        <v>15</v>
      </c>
      <c r="F282" s="1">
        <v>17.399999999999999</v>
      </c>
      <c r="G282" s="1">
        <f t="shared" si="2"/>
        <v>464.9</v>
      </c>
      <c r="J282" s="1">
        <v>2.7</v>
      </c>
      <c r="K282" s="1">
        <f t="shared" si="3"/>
        <v>34.900000000000006</v>
      </c>
      <c r="L282" s="1">
        <v>1.3</v>
      </c>
      <c r="M282" s="1">
        <f t="shared" si="4"/>
        <v>83.199999999999989</v>
      </c>
      <c r="N282" s="1">
        <v>1.4000000000000001</v>
      </c>
      <c r="O282" s="1">
        <f>O281+N282</f>
        <v>1.4000000000000001</v>
      </c>
      <c r="P282" s="6">
        <v>27</v>
      </c>
      <c r="Q282" s="1">
        <f t="shared" si="7"/>
        <v>0.5357142857142857</v>
      </c>
      <c r="R282" s="14">
        <f t="shared" si="0"/>
        <v>0.6964285714285714</v>
      </c>
      <c r="S282" s="14">
        <f t="shared" si="1"/>
        <v>2.003571428571429</v>
      </c>
      <c r="T282" s="15">
        <f t="shared" si="5"/>
        <v>10.86664285714286</v>
      </c>
      <c r="V282" s="1">
        <v>454.7</v>
      </c>
      <c r="X282" s="1">
        <f t="shared" si="6"/>
        <v>35983.5</v>
      </c>
      <c r="AA282" s="1">
        <v>11.63895327006</v>
      </c>
    </row>
    <row r="283" spans="1:27" s="1" customFormat="1" x14ac:dyDescent="0.25">
      <c r="A283" s="68"/>
      <c r="B283" s="3"/>
      <c r="C283" s="8">
        <v>40456</v>
      </c>
      <c r="D283" s="1">
        <v>17.100000000000001</v>
      </c>
      <c r="E283" s="1">
        <v>11.1</v>
      </c>
      <c r="F283" s="1">
        <v>22.9</v>
      </c>
      <c r="G283" s="1">
        <f t="shared" si="2"/>
        <v>482</v>
      </c>
      <c r="J283" s="1">
        <v>0</v>
      </c>
      <c r="K283" s="1">
        <f t="shared" si="3"/>
        <v>34.900000000000006</v>
      </c>
      <c r="L283" s="1">
        <v>3.2</v>
      </c>
      <c r="M283" s="1">
        <f t="shared" si="4"/>
        <v>86.399999999999991</v>
      </c>
      <c r="N283" s="1">
        <v>-3.2</v>
      </c>
      <c r="O283" s="1">
        <v>0</v>
      </c>
      <c r="P283" s="6">
        <v>28</v>
      </c>
      <c r="Q283" s="1">
        <f t="shared" si="7"/>
        <v>0.54499999999999993</v>
      </c>
      <c r="R283" s="14">
        <f t="shared" si="0"/>
        <v>1.7439999999999998</v>
      </c>
      <c r="S283" s="14">
        <f t="shared" si="1"/>
        <v>-1.7439999999999998</v>
      </c>
      <c r="T283" s="15">
        <f t="shared" si="5"/>
        <v>9.1226428571428606</v>
      </c>
      <c r="V283" s="1">
        <v>1447.9</v>
      </c>
      <c r="X283" s="1">
        <f t="shared" si="6"/>
        <v>37431.4</v>
      </c>
      <c r="AA283" s="1">
        <v>11.589337178668901</v>
      </c>
    </row>
    <row r="284" spans="1:27" s="1" customFormat="1" x14ac:dyDescent="0.25">
      <c r="A284" s="68"/>
      <c r="B284" s="3"/>
      <c r="C284" s="8">
        <v>40457</v>
      </c>
      <c r="D284" s="1">
        <v>19.3</v>
      </c>
      <c r="E284" s="1">
        <v>16.3</v>
      </c>
      <c r="F284" s="1">
        <v>24.3</v>
      </c>
      <c r="G284" s="1">
        <f t="shared" si="2"/>
        <v>501.3</v>
      </c>
      <c r="J284" s="1">
        <v>0</v>
      </c>
      <c r="K284" s="1">
        <f t="shared" si="3"/>
        <v>34.900000000000006</v>
      </c>
      <c r="L284" s="1">
        <v>3.8</v>
      </c>
      <c r="M284" s="1">
        <f t="shared" si="4"/>
        <v>90.199999999999989</v>
      </c>
      <c r="N284" s="1">
        <v>-3.8</v>
      </c>
      <c r="O284" s="1">
        <v>0</v>
      </c>
      <c r="P284" s="6">
        <v>29</v>
      </c>
      <c r="Q284" s="1">
        <f t="shared" si="7"/>
        <v>0.55428571428571427</v>
      </c>
      <c r="R284" s="14">
        <f t="shared" si="0"/>
        <v>2.1062857142857143</v>
      </c>
      <c r="S284" s="14">
        <f t="shared" si="1"/>
        <v>-2.1062857142857143</v>
      </c>
      <c r="T284" s="15">
        <f t="shared" si="5"/>
        <v>7.0163571428571458</v>
      </c>
      <c r="V284" s="1">
        <v>1487.1</v>
      </c>
      <c r="X284" s="1">
        <f t="shared" si="6"/>
        <v>38918.5</v>
      </c>
      <c r="AA284" s="1">
        <v>11.539773002367999</v>
      </c>
    </row>
    <row r="285" spans="1:27" s="1" customFormat="1" x14ac:dyDescent="0.25">
      <c r="A285" s="68"/>
      <c r="B285" s="3"/>
      <c r="C285" s="8">
        <v>40458</v>
      </c>
      <c r="D285" s="1">
        <v>19.3</v>
      </c>
      <c r="E285" s="1">
        <v>16</v>
      </c>
      <c r="F285" s="1">
        <v>24.4</v>
      </c>
      <c r="G285" s="1">
        <f t="shared" si="2"/>
        <v>520.6</v>
      </c>
      <c r="J285" s="1">
        <v>0</v>
      </c>
      <c r="K285" s="1">
        <f t="shared" si="3"/>
        <v>34.900000000000006</v>
      </c>
      <c r="L285" s="1">
        <v>4.0999999999999996</v>
      </c>
      <c r="M285" s="1">
        <f t="shared" si="4"/>
        <v>94.299999999999983</v>
      </c>
      <c r="N285" s="1">
        <v>-4.0999999999999996</v>
      </c>
      <c r="O285" s="1">
        <v>0</v>
      </c>
      <c r="P285" s="6">
        <v>30</v>
      </c>
      <c r="Q285" s="1">
        <f t="shared" si="7"/>
        <v>0.56357142857142861</v>
      </c>
      <c r="R285" s="14">
        <f t="shared" si="0"/>
        <v>2.3106428571428572</v>
      </c>
      <c r="S285" s="14">
        <f t="shared" si="1"/>
        <v>-2.3106428571428572</v>
      </c>
      <c r="T285" s="15">
        <f t="shared" si="5"/>
        <v>4.7057142857142882</v>
      </c>
      <c r="V285" s="1">
        <v>1288.8</v>
      </c>
      <c r="X285" s="1">
        <f t="shared" si="6"/>
        <v>40207.300000000003</v>
      </c>
      <c r="AA285" s="1">
        <v>11.490267396036799</v>
      </c>
    </row>
    <row r="286" spans="1:27" s="1" customFormat="1" x14ac:dyDescent="0.25">
      <c r="A286" s="68"/>
      <c r="B286" s="3"/>
      <c r="C286" s="8">
        <v>40459</v>
      </c>
      <c r="D286" s="1">
        <v>19.899999999999999</v>
      </c>
      <c r="E286" s="1">
        <v>16.2</v>
      </c>
      <c r="F286" s="1">
        <v>25.2</v>
      </c>
      <c r="G286" s="1">
        <f t="shared" si="2"/>
        <v>540.5</v>
      </c>
      <c r="J286" s="1">
        <v>0</v>
      </c>
      <c r="K286" s="1">
        <f t="shared" si="3"/>
        <v>34.900000000000006</v>
      </c>
      <c r="L286" s="1">
        <v>3.9</v>
      </c>
      <c r="M286" s="1">
        <f t="shared" si="4"/>
        <v>98.199999999999989</v>
      </c>
      <c r="N286" s="1">
        <v>-3.9</v>
      </c>
      <c r="O286" s="1">
        <v>0</v>
      </c>
      <c r="P286" s="6">
        <v>31</v>
      </c>
      <c r="Q286" s="1">
        <f t="shared" si="7"/>
        <v>0.57285714285714284</v>
      </c>
      <c r="R286" s="14">
        <f t="shared" si="0"/>
        <v>2.234142857142857</v>
      </c>
      <c r="S286" s="14">
        <f t="shared" si="1"/>
        <v>-2.234142857142857</v>
      </c>
      <c r="T286" s="15">
        <f t="shared" si="5"/>
        <v>2.4715714285714312</v>
      </c>
      <c r="V286" s="1">
        <v>1144.5</v>
      </c>
      <c r="X286" s="1">
        <f t="shared" si="6"/>
        <v>41351.800000000003</v>
      </c>
      <c r="AA286" s="1">
        <v>11.4408272113498</v>
      </c>
    </row>
    <row r="287" spans="1:27" s="1" customFormat="1" x14ac:dyDescent="0.25">
      <c r="A287" s="68"/>
      <c r="B287" s="3"/>
      <c r="C287" s="8">
        <v>40460</v>
      </c>
      <c r="D287" s="1">
        <v>19</v>
      </c>
      <c r="E287" s="1">
        <v>17.600000000000001</v>
      </c>
      <c r="F287" s="1">
        <v>22.5</v>
      </c>
      <c r="G287" s="1">
        <f t="shared" si="2"/>
        <v>559.5</v>
      </c>
      <c r="J287" s="1">
        <v>8.4</v>
      </c>
      <c r="K287" s="1">
        <f t="shared" si="3"/>
        <v>43.300000000000004</v>
      </c>
      <c r="L287" s="1">
        <v>3.4</v>
      </c>
      <c r="M287" s="1">
        <f t="shared" si="4"/>
        <v>101.6</v>
      </c>
      <c r="N287" s="1">
        <v>5</v>
      </c>
      <c r="O287" s="1">
        <f t="shared" ref="O287:O350" si="9">O286+N287</f>
        <v>5</v>
      </c>
      <c r="P287" s="6">
        <v>32</v>
      </c>
      <c r="Q287" s="1">
        <f t="shared" si="7"/>
        <v>0.58214285714285707</v>
      </c>
      <c r="R287" s="14">
        <f t="shared" si="0"/>
        <v>1.9792857142857141</v>
      </c>
      <c r="S287" s="14">
        <f t="shared" si="1"/>
        <v>6.4207142857142863</v>
      </c>
      <c r="T287" s="15">
        <f t="shared" si="5"/>
        <v>8.8922857142857179</v>
      </c>
      <c r="V287" s="1">
        <v>981.9</v>
      </c>
      <c r="X287" s="1">
        <f t="shared" si="6"/>
        <v>42333.700000000004</v>
      </c>
      <c r="AA287" s="1">
        <v>11.391459511317199</v>
      </c>
    </row>
    <row r="288" spans="1:27" s="1" customFormat="1" x14ac:dyDescent="0.25">
      <c r="A288" s="68"/>
      <c r="B288" s="3"/>
      <c r="C288" s="8">
        <v>40461</v>
      </c>
      <c r="D288" s="1">
        <v>15.5</v>
      </c>
      <c r="E288" s="1">
        <v>14.9</v>
      </c>
      <c r="F288" s="1">
        <v>15.8</v>
      </c>
      <c r="G288" s="1">
        <f t="shared" si="2"/>
        <v>575</v>
      </c>
      <c r="J288" s="1">
        <v>50.5</v>
      </c>
      <c r="K288" s="1">
        <f t="shared" si="3"/>
        <v>93.800000000000011</v>
      </c>
      <c r="L288" s="1">
        <v>0.5</v>
      </c>
      <c r="M288" s="1">
        <f t="shared" si="4"/>
        <v>102.1</v>
      </c>
      <c r="N288" s="1">
        <v>50</v>
      </c>
      <c r="O288" s="1">
        <f t="shared" si="9"/>
        <v>55</v>
      </c>
      <c r="P288" s="6">
        <v>33</v>
      </c>
      <c r="Q288" s="1">
        <f t="shared" si="7"/>
        <v>0.59142857142857141</v>
      </c>
      <c r="R288" s="14">
        <f t="shared" si="0"/>
        <v>0.29571428571428571</v>
      </c>
      <c r="S288" s="14">
        <f t="shared" si="1"/>
        <v>50.204285714285717</v>
      </c>
      <c r="T288" s="15">
        <f t="shared" si="5"/>
        <v>59.096571428571437</v>
      </c>
      <c r="V288" s="1">
        <v>206.6</v>
      </c>
      <c r="X288" s="1">
        <f t="shared" si="6"/>
        <v>42540.3</v>
      </c>
      <c r="AA288" s="1">
        <v>11.342171584836001</v>
      </c>
    </row>
    <row r="289" spans="1:27" s="1" customFormat="1" x14ac:dyDescent="0.25">
      <c r="A289" s="68"/>
      <c r="B289" s="3"/>
      <c r="C289" s="8">
        <v>40462</v>
      </c>
      <c r="D289" s="1">
        <v>15.7</v>
      </c>
      <c r="E289" s="1">
        <v>14.2</v>
      </c>
      <c r="F289" s="1">
        <v>18.899999999999999</v>
      </c>
      <c r="G289" s="1">
        <f t="shared" si="2"/>
        <v>590.70000000000005</v>
      </c>
      <c r="J289" s="1">
        <v>0.2</v>
      </c>
      <c r="K289" s="1">
        <f t="shared" si="3"/>
        <v>94.000000000000014</v>
      </c>
      <c r="L289" s="1">
        <v>1.4</v>
      </c>
      <c r="M289" s="1">
        <f t="shared" si="4"/>
        <v>103.5</v>
      </c>
      <c r="N289" s="1">
        <v>-1.2</v>
      </c>
      <c r="O289" s="1">
        <f t="shared" si="9"/>
        <v>53.8</v>
      </c>
      <c r="P289" s="6">
        <v>34</v>
      </c>
      <c r="Q289" s="1">
        <f t="shared" si="7"/>
        <v>0.60071428571428576</v>
      </c>
      <c r="R289" s="14">
        <f t="shared" si="0"/>
        <v>0.84099999999999997</v>
      </c>
      <c r="S289" s="14">
        <f t="shared" si="1"/>
        <v>-0.64100000000000001</v>
      </c>
      <c r="T289" s="15">
        <f t="shared" si="5"/>
        <v>58.455571428571439</v>
      </c>
      <c r="V289" s="1">
        <v>490</v>
      </c>
      <c r="X289" s="1">
        <f t="shared" si="6"/>
        <v>43030.3</v>
      </c>
      <c r="AA289" s="1">
        <v>11.292970961235399</v>
      </c>
    </row>
    <row r="290" spans="1:27" s="1" customFormat="1" x14ac:dyDescent="0.25">
      <c r="A290" s="68"/>
      <c r="B290" s="3"/>
      <c r="C290" s="8">
        <v>40463</v>
      </c>
      <c r="D290" s="1">
        <v>15.9</v>
      </c>
      <c r="E290" s="1">
        <v>12.4</v>
      </c>
      <c r="F290" s="1">
        <v>19.899999999999999</v>
      </c>
      <c r="G290" s="1">
        <f t="shared" si="2"/>
        <v>606.6</v>
      </c>
      <c r="J290" s="1">
        <v>0</v>
      </c>
      <c r="K290" s="1">
        <f t="shared" si="3"/>
        <v>94.000000000000014</v>
      </c>
      <c r="L290" s="1">
        <v>2.4</v>
      </c>
      <c r="M290" s="1">
        <f t="shared" si="4"/>
        <v>105.9</v>
      </c>
      <c r="N290" s="1">
        <v>-2.4</v>
      </c>
      <c r="O290" s="1">
        <f t="shared" si="9"/>
        <v>51.4</v>
      </c>
      <c r="P290" s="6">
        <v>35</v>
      </c>
      <c r="Q290" s="1">
        <f t="shared" si="7"/>
        <v>0.61</v>
      </c>
      <c r="R290" s="14">
        <f t="shared" si="0"/>
        <v>1.464</v>
      </c>
      <c r="S290" s="14">
        <f t="shared" si="1"/>
        <v>-1.464</v>
      </c>
      <c r="T290" s="15">
        <f t="shared" si="5"/>
        <v>56.99157142857144</v>
      </c>
      <c r="V290" s="1">
        <v>1096.5</v>
      </c>
      <c r="X290" s="1">
        <f t="shared" si="6"/>
        <v>44126.8</v>
      </c>
      <c r="AA290" s="1">
        <v>11.2438654247982</v>
      </c>
    </row>
    <row r="291" spans="1:27" s="1" customFormat="1" x14ac:dyDescent="0.25">
      <c r="A291" s="68"/>
      <c r="B291" s="3"/>
      <c r="C291" s="8">
        <v>40464</v>
      </c>
      <c r="D291" s="1">
        <v>15.9</v>
      </c>
      <c r="E291" s="1">
        <v>13.1</v>
      </c>
      <c r="F291" s="1">
        <v>20.5</v>
      </c>
      <c r="G291" s="1">
        <f t="shared" si="2"/>
        <v>622.5</v>
      </c>
      <c r="J291" s="1">
        <v>0</v>
      </c>
      <c r="K291" s="1">
        <f t="shared" si="3"/>
        <v>94.000000000000014</v>
      </c>
      <c r="L291" s="1">
        <v>3.2</v>
      </c>
      <c r="M291" s="1">
        <f t="shared" si="4"/>
        <v>109.10000000000001</v>
      </c>
      <c r="N291" s="1">
        <v>-3.2</v>
      </c>
      <c r="O291" s="1">
        <f t="shared" si="9"/>
        <v>48.199999999999996</v>
      </c>
      <c r="P291" s="6">
        <v>36</v>
      </c>
      <c r="Q291" s="1">
        <f t="shared" si="7"/>
        <v>0.61928571428571422</v>
      </c>
      <c r="R291" s="14">
        <f t="shared" si="0"/>
        <v>1.9817142857142855</v>
      </c>
      <c r="S291" s="14">
        <f t="shared" si="1"/>
        <v>-1.9817142857142855</v>
      </c>
      <c r="T291" s="15">
        <f t="shared" si="5"/>
        <v>55.009857142857157</v>
      </c>
      <c r="V291" s="1">
        <v>1337.3</v>
      </c>
      <c r="X291" s="1">
        <f t="shared" si="6"/>
        <v>45464.100000000006</v>
      </c>
      <c r="AA291" s="1">
        <v>11.1948630292391</v>
      </c>
    </row>
    <row r="292" spans="1:27" s="1" customFormat="1" x14ac:dyDescent="0.25">
      <c r="A292" s="68"/>
      <c r="B292" s="3"/>
      <c r="C292" s="8">
        <v>40465</v>
      </c>
      <c r="D292" s="1">
        <v>13.4</v>
      </c>
      <c r="E292" s="1">
        <v>11.7</v>
      </c>
      <c r="F292" s="1">
        <v>17.3</v>
      </c>
      <c r="G292" s="1">
        <f t="shared" si="2"/>
        <v>635.9</v>
      </c>
      <c r="J292" s="1">
        <v>0</v>
      </c>
      <c r="K292" s="1">
        <f t="shared" si="3"/>
        <v>94.000000000000014</v>
      </c>
      <c r="L292" s="1">
        <v>2.9</v>
      </c>
      <c r="M292" s="1">
        <f t="shared" si="4"/>
        <v>112.00000000000001</v>
      </c>
      <c r="N292" s="1">
        <v>-2.9</v>
      </c>
      <c r="O292" s="1">
        <f t="shared" si="9"/>
        <v>45.3</v>
      </c>
      <c r="P292" s="6">
        <v>37</v>
      </c>
      <c r="Q292" s="1">
        <f t="shared" si="7"/>
        <v>0.62857142857142856</v>
      </c>
      <c r="R292" s="14">
        <f t="shared" si="0"/>
        <v>1.8228571428571427</v>
      </c>
      <c r="S292" s="14">
        <f t="shared" si="1"/>
        <v>-1.8228571428571427</v>
      </c>
      <c r="T292" s="15">
        <f t="shared" si="5"/>
        <v>53.187000000000012</v>
      </c>
      <c r="V292" s="1">
        <v>1401.6</v>
      </c>
      <c r="X292" s="1">
        <f t="shared" si="6"/>
        <v>46865.700000000004</v>
      </c>
      <c r="AA292" s="1">
        <v>11.145972112114601</v>
      </c>
    </row>
    <row r="293" spans="1:27" s="1" customFormat="1" x14ac:dyDescent="0.25">
      <c r="A293" s="68"/>
      <c r="B293" s="3"/>
      <c r="C293" s="8">
        <v>40466</v>
      </c>
      <c r="D293" s="1">
        <v>9.6</v>
      </c>
      <c r="E293" s="1">
        <v>6.9</v>
      </c>
      <c r="F293" s="1">
        <v>13.3</v>
      </c>
      <c r="G293" s="1">
        <f t="shared" si="2"/>
        <v>645.5</v>
      </c>
      <c r="J293" s="1">
        <v>0.1</v>
      </c>
      <c r="K293" s="1">
        <f t="shared" si="3"/>
        <v>94.100000000000009</v>
      </c>
      <c r="L293" s="1">
        <v>2</v>
      </c>
      <c r="M293" s="1">
        <f t="shared" si="4"/>
        <v>114.00000000000001</v>
      </c>
      <c r="N293" s="1">
        <v>-1.9</v>
      </c>
      <c r="O293" s="1">
        <f t="shared" si="9"/>
        <v>43.4</v>
      </c>
      <c r="P293" s="6">
        <v>38</v>
      </c>
      <c r="Q293" s="1">
        <f t="shared" si="7"/>
        <v>0.6378571428571429</v>
      </c>
      <c r="R293" s="14">
        <f t="shared" si="0"/>
        <v>1.2757142857142858</v>
      </c>
      <c r="S293" s="14">
        <f t="shared" si="1"/>
        <v>-1.1757142857142857</v>
      </c>
      <c r="T293" s="15">
        <f t="shared" si="5"/>
        <v>52.011285714285727</v>
      </c>
      <c r="V293" s="1">
        <v>1320.1</v>
      </c>
      <c r="X293" s="1">
        <f t="shared" si="6"/>
        <v>48185.8</v>
      </c>
      <c r="AA293" s="1">
        <v>11.0972013091412</v>
      </c>
    </row>
    <row r="294" spans="1:27" s="1" customFormat="1" x14ac:dyDescent="0.25">
      <c r="A294" s="68"/>
      <c r="B294" s="3"/>
      <c r="C294" s="8">
        <v>40467</v>
      </c>
      <c r="D294" s="1">
        <v>10.1</v>
      </c>
      <c r="E294" s="1">
        <v>8.6999999999999993</v>
      </c>
      <c r="F294" s="1">
        <v>11.7</v>
      </c>
      <c r="G294" s="1">
        <f t="shared" si="2"/>
        <v>655.6</v>
      </c>
      <c r="J294" s="1">
        <v>0.3</v>
      </c>
      <c r="K294" s="1">
        <f t="shared" si="3"/>
        <v>94.4</v>
      </c>
      <c r="L294" s="1">
        <v>1</v>
      </c>
      <c r="M294" s="1">
        <f t="shared" si="4"/>
        <v>115.00000000000001</v>
      </c>
      <c r="N294" s="1">
        <v>-0.7</v>
      </c>
      <c r="O294" s="1">
        <f t="shared" si="9"/>
        <v>42.699999999999996</v>
      </c>
      <c r="P294" s="6">
        <v>39</v>
      </c>
      <c r="Q294" s="1">
        <f t="shared" si="7"/>
        <v>0.64714285714285713</v>
      </c>
      <c r="R294" s="14">
        <f t="shared" si="0"/>
        <v>0.64714285714285713</v>
      </c>
      <c r="S294" s="14">
        <f t="shared" si="1"/>
        <v>-0.34714285714285714</v>
      </c>
      <c r="T294" s="15">
        <f t="shared" si="5"/>
        <v>51.66414285714287</v>
      </c>
      <c r="V294" s="1">
        <v>596.20000000000005</v>
      </c>
      <c r="X294" s="1">
        <f t="shared" si="6"/>
        <v>48782</v>
      </c>
      <c r="AA294" s="1">
        <v>11.048559568390701</v>
      </c>
    </row>
    <row r="295" spans="1:27" s="1" customFormat="1" x14ac:dyDescent="0.25">
      <c r="A295" s="68"/>
      <c r="B295" s="3"/>
      <c r="C295" s="8">
        <v>40468</v>
      </c>
      <c r="D295" s="1">
        <v>9.5</v>
      </c>
      <c r="E295" s="1">
        <v>8.3000000000000007</v>
      </c>
      <c r="F295" s="1">
        <v>12</v>
      </c>
      <c r="G295" s="1">
        <f t="shared" si="2"/>
        <v>665.1</v>
      </c>
      <c r="J295" s="1">
        <v>0</v>
      </c>
      <c r="K295" s="1">
        <f t="shared" si="3"/>
        <v>94.4</v>
      </c>
      <c r="L295" s="1">
        <v>2.4</v>
      </c>
      <c r="M295" s="1">
        <f t="shared" si="4"/>
        <v>117.40000000000002</v>
      </c>
      <c r="N295" s="1">
        <v>-2.4</v>
      </c>
      <c r="O295" s="1">
        <f t="shared" si="9"/>
        <v>40.299999999999997</v>
      </c>
      <c r="P295" s="6">
        <v>40</v>
      </c>
      <c r="Q295" s="1">
        <f t="shared" si="7"/>
        <v>0.65642857142857136</v>
      </c>
      <c r="R295" s="14">
        <f t="shared" si="0"/>
        <v>1.5754285714285712</v>
      </c>
      <c r="S295" s="14">
        <f t="shared" si="1"/>
        <v>-1.5754285714285712</v>
      </c>
      <c r="T295" s="15">
        <f t="shared" si="5"/>
        <v>50.088714285714296</v>
      </c>
      <c r="V295" s="1">
        <v>1137.7</v>
      </c>
      <c r="X295" s="1">
        <f t="shared" si="6"/>
        <v>49919.7</v>
      </c>
      <c r="AA295" s="1">
        <v>11.0000561643326</v>
      </c>
    </row>
    <row r="296" spans="1:27" s="1" customFormat="1" x14ac:dyDescent="0.25">
      <c r="A296" s="68"/>
      <c r="B296" s="3"/>
      <c r="C296" s="8">
        <v>40469</v>
      </c>
      <c r="D296" s="1">
        <v>7.1</v>
      </c>
      <c r="E296" s="1">
        <v>6.1</v>
      </c>
      <c r="F296" s="1">
        <v>8.9</v>
      </c>
      <c r="G296" s="1">
        <f t="shared" si="2"/>
        <v>672.2</v>
      </c>
      <c r="J296" s="1">
        <v>0</v>
      </c>
      <c r="K296" s="1">
        <f t="shared" si="3"/>
        <v>94.4</v>
      </c>
      <c r="L296" s="1">
        <v>1.8</v>
      </c>
      <c r="M296" s="1">
        <f t="shared" si="4"/>
        <v>119.20000000000002</v>
      </c>
      <c r="N296" s="1">
        <v>-1.8</v>
      </c>
      <c r="O296" s="1">
        <f t="shared" si="9"/>
        <v>38.5</v>
      </c>
      <c r="P296" s="6">
        <v>41</v>
      </c>
      <c r="Q296" s="1">
        <f t="shared" si="7"/>
        <v>0.6657142857142857</v>
      </c>
      <c r="R296" s="14">
        <f t="shared" si="0"/>
        <v>1.1982857142857144</v>
      </c>
      <c r="S296" s="14">
        <f t="shared" si="1"/>
        <v>-1.1982857142857144</v>
      </c>
      <c r="T296" s="15">
        <f t="shared" si="5"/>
        <v>48.890428571428579</v>
      </c>
      <c r="V296" s="1">
        <v>1017.3</v>
      </c>
      <c r="X296" s="1">
        <f t="shared" si="6"/>
        <v>50937</v>
      </c>
      <c r="AA296" s="1">
        <v>10.9517007116862</v>
      </c>
    </row>
    <row r="297" spans="1:27" s="1" customFormat="1" x14ac:dyDescent="0.25">
      <c r="A297" s="68"/>
      <c r="B297" s="3"/>
      <c r="C297" s="8">
        <v>40470</v>
      </c>
      <c r="D297" s="1">
        <v>10.9</v>
      </c>
      <c r="E297" s="1">
        <v>5.9</v>
      </c>
      <c r="F297" s="1">
        <v>16.3</v>
      </c>
      <c r="G297" s="1">
        <f t="shared" si="2"/>
        <v>683.1</v>
      </c>
      <c r="J297" s="1">
        <v>0.2</v>
      </c>
      <c r="K297" s="1">
        <f t="shared" si="3"/>
        <v>94.600000000000009</v>
      </c>
      <c r="L297" s="1">
        <v>2.2000000000000002</v>
      </c>
      <c r="M297" s="1">
        <f t="shared" si="4"/>
        <v>121.40000000000002</v>
      </c>
      <c r="N297" s="1">
        <v>-2</v>
      </c>
      <c r="O297" s="1">
        <f t="shared" si="9"/>
        <v>36.5</v>
      </c>
      <c r="P297" s="6">
        <v>42</v>
      </c>
      <c r="Q297" s="1">
        <f t="shared" si="7"/>
        <v>0.67500000000000004</v>
      </c>
      <c r="R297" s="14">
        <f t="shared" si="0"/>
        <v>1.4850000000000003</v>
      </c>
      <c r="S297" s="14">
        <f t="shared" si="1"/>
        <v>-1.2850000000000004</v>
      </c>
      <c r="T297" s="15">
        <f t="shared" si="5"/>
        <v>47.605428571428575</v>
      </c>
      <c r="V297" s="1">
        <v>1130.7</v>
      </c>
      <c r="X297" s="1">
        <f t="shared" si="6"/>
        <v>52067.7</v>
      </c>
      <c r="AA297" s="1">
        <v>10.9035031790459</v>
      </c>
    </row>
    <row r="298" spans="1:27" s="1" customFormat="1" x14ac:dyDescent="0.25">
      <c r="A298" s="68"/>
      <c r="B298" s="3"/>
      <c r="C298" s="8">
        <v>40471</v>
      </c>
      <c r="D298" s="1">
        <v>11.4</v>
      </c>
      <c r="E298" s="1">
        <v>10.7</v>
      </c>
      <c r="F298" s="1">
        <v>14.6</v>
      </c>
      <c r="G298" s="1">
        <f t="shared" si="2"/>
        <v>694.5</v>
      </c>
      <c r="J298" s="1">
        <v>0.4</v>
      </c>
      <c r="K298" s="1">
        <f t="shared" si="3"/>
        <v>95.000000000000014</v>
      </c>
      <c r="L298" s="1">
        <v>1.8</v>
      </c>
      <c r="M298" s="1">
        <f t="shared" si="4"/>
        <v>123.20000000000002</v>
      </c>
      <c r="N298" s="1">
        <v>-1.4</v>
      </c>
      <c r="O298" s="1">
        <f t="shared" si="9"/>
        <v>35.1</v>
      </c>
      <c r="P298" s="6">
        <v>43</v>
      </c>
      <c r="Q298" s="1">
        <f t="shared" si="7"/>
        <v>0.68428571428571416</v>
      </c>
      <c r="R298" s="14">
        <f t="shared" si="0"/>
        <v>1.2317142857142855</v>
      </c>
      <c r="S298" s="14">
        <f t="shared" si="1"/>
        <v>-0.83171428571428552</v>
      </c>
      <c r="T298" s="15">
        <f t="shared" si="5"/>
        <v>46.773714285714291</v>
      </c>
      <c r="V298" s="1">
        <v>628.5</v>
      </c>
      <c r="X298" s="1">
        <f t="shared" si="6"/>
        <v>52696.2</v>
      </c>
      <c r="AA298" s="1">
        <v>10.8554739022345</v>
      </c>
    </row>
    <row r="299" spans="1:27" s="1" customFormat="1" x14ac:dyDescent="0.25">
      <c r="A299" s="68"/>
      <c r="B299" s="3"/>
      <c r="C299" s="8">
        <v>40472</v>
      </c>
      <c r="D299" s="1">
        <v>7.8</v>
      </c>
      <c r="E299" s="1">
        <v>3.2</v>
      </c>
      <c r="F299" s="1">
        <v>14.3</v>
      </c>
      <c r="G299" s="1">
        <f t="shared" si="2"/>
        <v>702.3</v>
      </c>
      <c r="J299" s="1">
        <v>0</v>
      </c>
      <c r="K299" s="1">
        <f t="shared" si="3"/>
        <v>95.000000000000014</v>
      </c>
      <c r="L299" s="1">
        <v>1.4</v>
      </c>
      <c r="M299" s="1">
        <f t="shared" si="4"/>
        <v>124.60000000000002</v>
      </c>
      <c r="N299" s="1">
        <v>-1.4</v>
      </c>
      <c r="O299" s="1">
        <f t="shared" si="9"/>
        <v>33.700000000000003</v>
      </c>
      <c r="P299" s="6">
        <v>44</v>
      </c>
      <c r="Q299" s="1">
        <f t="shared" si="7"/>
        <v>0.69357142857142851</v>
      </c>
      <c r="R299" s="14">
        <f t="shared" si="0"/>
        <v>0.97099999999999986</v>
      </c>
      <c r="S299" s="14">
        <f t="shared" si="1"/>
        <v>-0.97099999999999986</v>
      </c>
      <c r="T299" s="15">
        <f t="shared" si="5"/>
        <v>45.802714285714295</v>
      </c>
      <c r="V299" s="1">
        <v>927.8</v>
      </c>
      <c r="X299" s="1">
        <f t="shared" si="6"/>
        <v>53624</v>
      </c>
      <c r="AA299" s="1">
        <v>10.8076235973406</v>
      </c>
    </row>
    <row r="300" spans="1:27" s="1" customFormat="1" x14ac:dyDescent="0.25">
      <c r="A300" s="68"/>
      <c r="B300" s="3"/>
      <c r="C300" s="8">
        <v>40473</v>
      </c>
      <c r="D300" s="1">
        <v>10.9</v>
      </c>
      <c r="E300" s="1">
        <v>4.0999999999999996</v>
      </c>
      <c r="F300" s="1">
        <v>19.8</v>
      </c>
      <c r="G300" s="1">
        <f t="shared" si="2"/>
        <v>713.19999999999993</v>
      </c>
      <c r="J300" s="1">
        <v>0</v>
      </c>
      <c r="K300" s="1">
        <f t="shared" si="3"/>
        <v>95.000000000000014</v>
      </c>
      <c r="L300" s="1">
        <v>2.2000000000000002</v>
      </c>
      <c r="M300" s="1">
        <f t="shared" si="4"/>
        <v>126.80000000000003</v>
      </c>
      <c r="N300" s="1">
        <v>-2.2000000000000002</v>
      </c>
      <c r="O300" s="1">
        <f t="shared" si="9"/>
        <v>31.500000000000004</v>
      </c>
      <c r="P300" s="6">
        <v>45</v>
      </c>
      <c r="Q300" s="1">
        <f t="shared" si="7"/>
        <v>0.70285714285714285</v>
      </c>
      <c r="R300" s="14">
        <f t="shared" si="0"/>
        <v>1.5462857142857145</v>
      </c>
      <c r="S300" s="14">
        <f t="shared" si="1"/>
        <v>-1.5462857142857145</v>
      </c>
      <c r="T300" s="15">
        <f t="shared" si="5"/>
        <v>44.256428571428579</v>
      </c>
      <c r="V300" s="1">
        <v>1082.9000000000001</v>
      </c>
      <c r="X300" s="1">
        <f t="shared" si="6"/>
        <v>54706.9</v>
      </c>
      <c r="AA300" s="1">
        <v>10.759963373388301</v>
      </c>
    </row>
    <row r="301" spans="1:27" s="1" customFormat="1" x14ac:dyDescent="0.25">
      <c r="A301" s="68"/>
      <c r="B301" s="3"/>
      <c r="C301" s="8">
        <v>40474</v>
      </c>
      <c r="D301" s="1">
        <v>12.9</v>
      </c>
      <c r="E301" s="1">
        <v>8.8000000000000007</v>
      </c>
      <c r="F301" s="1">
        <v>18.2</v>
      </c>
      <c r="G301" s="1">
        <f t="shared" si="2"/>
        <v>726.09999999999991</v>
      </c>
      <c r="J301" s="1">
        <v>3.3</v>
      </c>
      <c r="K301" s="1">
        <f t="shared" si="3"/>
        <v>98.300000000000011</v>
      </c>
      <c r="L301" s="1">
        <v>1.8</v>
      </c>
      <c r="M301" s="1">
        <f t="shared" si="4"/>
        <v>128.60000000000002</v>
      </c>
      <c r="N301" s="1">
        <v>1.4999999999999998</v>
      </c>
      <c r="O301" s="1">
        <f t="shared" si="9"/>
        <v>33</v>
      </c>
      <c r="P301" s="6">
        <v>46</v>
      </c>
      <c r="Q301" s="1">
        <f t="shared" si="7"/>
        <v>0.71214285714285719</v>
      </c>
      <c r="R301" s="14">
        <f t="shared" si="0"/>
        <v>1.281857142857143</v>
      </c>
      <c r="S301" s="14">
        <f t="shared" si="1"/>
        <v>2.0181428571428568</v>
      </c>
      <c r="T301" s="15">
        <f t="shared" si="5"/>
        <v>46.274571428571434</v>
      </c>
      <c r="V301" s="1">
        <v>991.4</v>
      </c>
      <c r="X301" s="1">
        <f t="shared" si="6"/>
        <v>55698.3</v>
      </c>
      <c r="AA301" s="1">
        <v>10.7125047445855</v>
      </c>
    </row>
    <row r="302" spans="1:27" s="1" customFormat="1" x14ac:dyDescent="0.25">
      <c r="A302" s="68"/>
      <c r="B302" s="3"/>
      <c r="C302" s="8">
        <v>40475</v>
      </c>
      <c r="D302" s="1">
        <v>11.4</v>
      </c>
      <c r="E302" s="1">
        <v>10.5</v>
      </c>
      <c r="F302" s="1">
        <v>12.9</v>
      </c>
      <c r="G302" s="1">
        <f t="shared" si="2"/>
        <v>737.49999999999989</v>
      </c>
      <c r="J302" s="1">
        <v>16.899999999999999</v>
      </c>
      <c r="K302" s="1">
        <f t="shared" si="3"/>
        <v>115.20000000000002</v>
      </c>
      <c r="L302" s="1">
        <v>0.6</v>
      </c>
      <c r="M302" s="1">
        <f t="shared" si="4"/>
        <v>129.20000000000002</v>
      </c>
      <c r="N302" s="1">
        <v>16.299999999999997</v>
      </c>
      <c r="O302" s="1">
        <f t="shared" si="9"/>
        <v>49.3</v>
      </c>
      <c r="P302" s="6">
        <v>47</v>
      </c>
      <c r="Q302" s="1">
        <f t="shared" si="7"/>
        <v>0.72142857142857142</v>
      </c>
      <c r="R302" s="14">
        <f t="shared" si="0"/>
        <v>0.43285714285714283</v>
      </c>
      <c r="S302" s="14">
        <f t="shared" si="1"/>
        <v>16.467142857142857</v>
      </c>
      <c r="T302" s="15">
        <f t="shared" si="5"/>
        <v>62.741714285714295</v>
      </c>
      <c r="V302" s="1">
        <v>186.3</v>
      </c>
      <c r="X302" s="1">
        <f t="shared" si="6"/>
        <v>55884.600000000006</v>
      </c>
      <c r="AA302" s="1">
        <v>10.6652596420924</v>
      </c>
    </row>
    <row r="303" spans="1:27" s="1" customFormat="1" x14ac:dyDescent="0.25">
      <c r="A303" s="68"/>
      <c r="B303" s="3"/>
      <c r="C303" s="8">
        <v>40476</v>
      </c>
      <c r="D303" s="1">
        <v>8.6999999999999993</v>
      </c>
      <c r="E303" s="1">
        <v>8.1</v>
      </c>
      <c r="F303" s="1">
        <v>11.2</v>
      </c>
      <c r="G303" s="1">
        <f t="shared" si="2"/>
        <v>746.19999999999993</v>
      </c>
      <c r="J303" s="1">
        <v>0</v>
      </c>
      <c r="K303" s="1">
        <f t="shared" si="3"/>
        <v>115.20000000000002</v>
      </c>
      <c r="L303" s="1">
        <v>2.1</v>
      </c>
      <c r="M303" s="1">
        <f t="shared" si="4"/>
        <v>131.30000000000001</v>
      </c>
      <c r="N303" s="1">
        <v>-2.1</v>
      </c>
      <c r="O303" s="1">
        <f t="shared" si="9"/>
        <v>47.199999999999996</v>
      </c>
      <c r="P303" s="6">
        <v>48</v>
      </c>
      <c r="Q303" s="1">
        <f t="shared" si="7"/>
        <v>0.73071428571428565</v>
      </c>
      <c r="R303" s="14">
        <f t="shared" si="0"/>
        <v>1.5345</v>
      </c>
      <c r="S303" s="14">
        <f t="shared" si="1"/>
        <v>-1.5345</v>
      </c>
      <c r="T303" s="15">
        <f t="shared" si="5"/>
        <v>61.207214285714294</v>
      </c>
      <c r="V303" s="1">
        <v>928.3</v>
      </c>
      <c r="X303" s="1">
        <f t="shared" si="6"/>
        <v>56812.900000000009</v>
      </c>
      <c r="AA303" s="1">
        <v>10.618240425247</v>
      </c>
    </row>
    <row r="304" spans="1:27" s="1" customFormat="1" x14ac:dyDescent="0.25">
      <c r="A304" s="68"/>
      <c r="B304" s="3"/>
      <c r="C304" s="8">
        <v>40477</v>
      </c>
      <c r="D304" s="1">
        <v>7</v>
      </c>
      <c r="E304" s="1">
        <v>4</v>
      </c>
      <c r="F304" s="1">
        <v>12.6</v>
      </c>
      <c r="G304" s="1">
        <f t="shared" si="2"/>
        <v>753.19999999999993</v>
      </c>
      <c r="J304" s="1">
        <v>0</v>
      </c>
      <c r="K304" s="1">
        <f t="shared" si="3"/>
        <v>115.20000000000002</v>
      </c>
      <c r="L304" s="1">
        <v>2.2999999999999998</v>
      </c>
      <c r="M304" s="1">
        <f t="shared" si="4"/>
        <v>133.60000000000002</v>
      </c>
      <c r="N304" s="1">
        <v>-2.2999999999999998</v>
      </c>
      <c r="O304" s="1">
        <f t="shared" si="9"/>
        <v>44.9</v>
      </c>
      <c r="P304" s="6">
        <v>49</v>
      </c>
      <c r="Q304" s="1">
        <f t="shared" si="7"/>
        <v>0.74</v>
      </c>
      <c r="R304" s="14">
        <f t="shared" si="0"/>
        <v>1.702</v>
      </c>
      <c r="S304" s="14">
        <f t="shared" si="1"/>
        <v>-1.702</v>
      </c>
      <c r="T304" s="15">
        <f t="shared" si="5"/>
        <v>59.505214285714295</v>
      </c>
      <c r="V304" s="1">
        <v>1282.9000000000001</v>
      </c>
      <c r="X304" s="1">
        <f t="shared" si="6"/>
        <v>58095.80000000001</v>
      </c>
      <c r="AA304" s="1">
        <v>10.571459892181601</v>
      </c>
    </row>
    <row r="305" spans="1:27" s="1" customFormat="1" x14ac:dyDescent="0.25">
      <c r="A305" s="68"/>
      <c r="B305" s="3"/>
      <c r="C305" s="8">
        <v>40478</v>
      </c>
      <c r="D305" s="1">
        <v>7.5</v>
      </c>
      <c r="E305" s="1">
        <v>0.4</v>
      </c>
      <c r="F305" s="1">
        <v>14.8</v>
      </c>
      <c r="G305" s="1">
        <f t="shared" si="2"/>
        <v>760.69999999999993</v>
      </c>
      <c r="J305" s="1">
        <v>0</v>
      </c>
      <c r="K305" s="1">
        <f t="shared" si="3"/>
        <v>115.20000000000002</v>
      </c>
      <c r="L305" s="1">
        <v>1.9</v>
      </c>
      <c r="M305" s="1">
        <f t="shared" si="4"/>
        <v>135.50000000000003</v>
      </c>
      <c r="N305" s="1">
        <v>-1.9</v>
      </c>
      <c r="O305" s="1">
        <f t="shared" si="9"/>
        <v>43</v>
      </c>
      <c r="P305" s="6">
        <v>50</v>
      </c>
      <c r="Q305" s="1">
        <f t="shared" si="7"/>
        <v>0.74928571428571433</v>
      </c>
      <c r="R305" s="14">
        <f t="shared" si="0"/>
        <v>1.4236428571428572</v>
      </c>
      <c r="S305" s="14">
        <f t="shared" si="1"/>
        <v>-1.4236428571428572</v>
      </c>
      <c r="T305" s="15">
        <f t="shared" si="5"/>
        <v>58.081571428571436</v>
      </c>
      <c r="V305" s="1">
        <v>1232</v>
      </c>
      <c r="X305" s="1">
        <f t="shared" si="6"/>
        <v>59327.80000000001</v>
      </c>
      <c r="AA305" s="1">
        <v>10.5249312897583</v>
      </c>
    </row>
    <row r="306" spans="1:27" s="1" customFormat="1" x14ac:dyDescent="0.25">
      <c r="A306" s="68"/>
      <c r="B306" s="3"/>
      <c r="C306" s="8">
        <v>40479</v>
      </c>
      <c r="D306" s="1">
        <v>9.1999999999999993</v>
      </c>
      <c r="E306" s="1">
        <v>4.9000000000000004</v>
      </c>
      <c r="F306" s="1">
        <v>13.6</v>
      </c>
      <c r="G306" s="1">
        <f t="shared" si="2"/>
        <v>769.9</v>
      </c>
      <c r="J306" s="1">
        <v>0</v>
      </c>
      <c r="K306" s="1">
        <f t="shared" si="3"/>
        <v>115.20000000000002</v>
      </c>
      <c r="L306" s="1">
        <v>1.8</v>
      </c>
      <c r="M306" s="1">
        <f t="shared" si="4"/>
        <v>137.30000000000004</v>
      </c>
      <c r="N306" s="1">
        <v>-1.8</v>
      </c>
      <c r="O306" s="1">
        <f t="shared" si="9"/>
        <v>41.2</v>
      </c>
      <c r="P306" s="6">
        <v>51</v>
      </c>
      <c r="Q306" s="1">
        <f t="shared" si="7"/>
        <v>0.75857142857142856</v>
      </c>
      <c r="R306" s="14">
        <f t="shared" si="0"/>
        <v>1.3654285714285714</v>
      </c>
      <c r="S306" s="14">
        <f t="shared" si="1"/>
        <v>-1.3654285714285714</v>
      </c>
      <c r="T306" s="15">
        <f t="shared" si="5"/>
        <v>56.716142857142863</v>
      </c>
      <c r="V306" s="1">
        <v>1212.8</v>
      </c>
      <c r="X306" s="1">
        <f t="shared" si="6"/>
        <v>60540.600000000013</v>
      </c>
      <c r="AA306" s="1">
        <v>10.478668322747399</v>
      </c>
    </row>
    <row r="307" spans="1:27" s="1" customFormat="1" x14ac:dyDescent="0.25">
      <c r="A307" s="68"/>
      <c r="B307" s="3"/>
      <c r="C307" s="8">
        <v>40480</v>
      </c>
      <c r="D307" s="1">
        <v>13.9</v>
      </c>
      <c r="E307" s="1">
        <v>7</v>
      </c>
      <c r="F307" s="1">
        <v>18.8</v>
      </c>
      <c r="G307" s="1">
        <f t="shared" si="2"/>
        <v>783.8</v>
      </c>
      <c r="J307" s="1">
        <v>0.1</v>
      </c>
      <c r="K307" s="1">
        <f t="shared" si="3"/>
        <v>115.30000000000001</v>
      </c>
      <c r="L307" s="1">
        <v>1.4</v>
      </c>
      <c r="M307" s="1">
        <f t="shared" si="4"/>
        <v>138.70000000000005</v>
      </c>
      <c r="N307" s="1">
        <v>-1.2999999999999998</v>
      </c>
      <c r="O307" s="1">
        <f t="shared" si="9"/>
        <v>39.900000000000006</v>
      </c>
      <c r="P307" s="6">
        <v>52</v>
      </c>
      <c r="Q307" s="1">
        <f t="shared" si="7"/>
        <v>0.7678571428571429</v>
      </c>
      <c r="R307" s="14">
        <f t="shared" si="0"/>
        <v>1.075</v>
      </c>
      <c r="S307" s="14">
        <f t="shared" si="1"/>
        <v>-0.97499999999999998</v>
      </c>
      <c r="T307" s="15">
        <f t="shared" si="5"/>
        <v>55.741142857142862</v>
      </c>
      <c r="V307" s="1">
        <v>622.70000000000005</v>
      </c>
      <c r="X307" s="1">
        <f t="shared" si="6"/>
        <v>61163.30000000001</v>
      </c>
      <c r="AA307" s="1">
        <v>10.432685162171101</v>
      </c>
    </row>
    <row r="308" spans="1:27" s="1" customFormat="1" x14ac:dyDescent="0.25">
      <c r="A308" s="68"/>
      <c r="B308" s="3"/>
      <c r="C308" s="8">
        <v>40481</v>
      </c>
      <c r="D308" s="1">
        <v>12.9</v>
      </c>
      <c r="E308" s="1">
        <v>10.3</v>
      </c>
      <c r="F308" s="1">
        <v>17</v>
      </c>
      <c r="G308" s="1">
        <f t="shared" si="2"/>
        <v>796.69999999999993</v>
      </c>
      <c r="J308" s="1">
        <v>0</v>
      </c>
      <c r="K308" s="1">
        <f t="shared" si="3"/>
        <v>115.30000000000001</v>
      </c>
      <c r="L308" s="1">
        <v>1.8</v>
      </c>
      <c r="M308" s="1">
        <f t="shared" si="4"/>
        <v>140.50000000000006</v>
      </c>
      <c r="N308" s="1">
        <v>-1.8</v>
      </c>
      <c r="O308" s="1">
        <f t="shared" si="9"/>
        <v>38.100000000000009</v>
      </c>
      <c r="P308" s="6">
        <v>53</v>
      </c>
      <c r="Q308" s="1">
        <f t="shared" si="7"/>
        <v>0.77714285714285714</v>
      </c>
      <c r="R308" s="14">
        <f t="shared" si="0"/>
        <v>1.3988571428571428</v>
      </c>
      <c r="S308" s="14">
        <f t="shared" si="1"/>
        <v>-1.3988571428571428</v>
      </c>
      <c r="T308" s="15">
        <f t="shared" si="5"/>
        <v>54.342285714285715</v>
      </c>
      <c r="V308" s="1">
        <v>958.3</v>
      </c>
      <c r="X308" s="1">
        <f t="shared" si="6"/>
        <v>62121.600000000013</v>
      </c>
      <c r="AA308" s="1">
        <v>10.386996452725599</v>
      </c>
    </row>
    <row r="309" spans="1:27" s="1" customFormat="1" x14ac:dyDescent="0.25">
      <c r="A309" s="68"/>
      <c r="B309" s="3"/>
      <c r="C309" s="8">
        <v>40482</v>
      </c>
      <c r="D309" s="1">
        <v>11.1</v>
      </c>
      <c r="E309" s="1">
        <v>9.4</v>
      </c>
      <c r="F309" s="1">
        <v>12.7</v>
      </c>
      <c r="G309" s="1">
        <f t="shared" si="2"/>
        <v>807.8</v>
      </c>
      <c r="J309" s="1">
        <v>8.5</v>
      </c>
      <c r="K309" s="1">
        <f t="shared" si="3"/>
        <v>123.80000000000001</v>
      </c>
      <c r="L309" s="1">
        <v>0.5</v>
      </c>
      <c r="M309" s="1">
        <f t="shared" si="4"/>
        <v>141.00000000000006</v>
      </c>
      <c r="N309" s="1">
        <v>8</v>
      </c>
      <c r="O309" s="1">
        <f t="shared" si="9"/>
        <v>46.100000000000009</v>
      </c>
      <c r="P309" s="6">
        <v>54</v>
      </c>
      <c r="Q309" s="1">
        <f t="shared" si="7"/>
        <v>0.78642857142857137</v>
      </c>
      <c r="R309" s="14">
        <f t="shared" si="0"/>
        <v>0.39321428571428568</v>
      </c>
      <c r="S309" s="14">
        <f t="shared" si="1"/>
        <v>8.1067857142857136</v>
      </c>
      <c r="T309" s="15">
        <f t="shared" si="5"/>
        <v>62.449071428571429</v>
      </c>
      <c r="V309" s="1">
        <v>219.1</v>
      </c>
      <c r="X309" s="1">
        <f t="shared" si="6"/>
        <v>62340.700000000012</v>
      </c>
      <c r="AA309" s="1">
        <v>10.3416173191965</v>
      </c>
    </row>
    <row r="310" spans="1:27" s="1" customFormat="1" x14ac:dyDescent="0.25">
      <c r="A310" s="68"/>
      <c r="B310" s="3"/>
      <c r="C310" s="8">
        <v>40483</v>
      </c>
      <c r="D310" s="1">
        <v>12.1</v>
      </c>
      <c r="E310" s="1">
        <v>10.7</v>
      </c>
      <c r="F310" s="1">
        <v>12.9</v>
      </c>
      <c r="G310" s="1">
        <f t="shared" si="2"/>
        <v>819.9</v>
      </c>
      <c r="J310" s="1">
        <v>1.9</v>
      </c>
      <c r="K310" s="1">
        <f t="shared" si="3"/>
        <v>125.70000000000002</v>
      </c>
      <c r="L310" s="1">
        <v>0.6</v>
      </c>
      <c r="M310" s="1">
        <f t="shared" si="4"/>
        <v>141.60000000000005</v>
      </c>
      <c r="N310" s="1">
        <v>1.2999999999999998</v>
      </c>
      <c r="O310" s="1">
        <f t="shared" si="9"/>
        <v>47.400000000000006</v>
      </c>
      <c r="P310" s="6">
        <v>55</v>
      </c>
      <c r="Q310" s="1">
        <f t="shared" si="7"/>
        <v>0.79571428571428571</v>
      </c>
      <c r="R310" s="14">
        <f t="shared" si="0"/>
        <v>0.47742857142857142</v>
      </c>
      <c r="S310" s="14">
        <f t="shared" si="1"/>
        <v>1.4225714285714286</v>
      </c>
      <c r="T310" s="15">
        <f t="shared" si="5"/>
        <v>63.871642857142859</v>
      </c>
      <c r="V310" s="1">
        <v>218.2</v>
      </c>
      <c r="X310" s="1">
        <f t="shared" si="6"/>
        <v>62558.900000000009</v>
      </c>
      <c r="AA310" s="1">
        <v>10.296563371773701</v>
      </c>
    </row>
    <row r="311" spans="1:27" s="1" customFormat="1" x14ac:dyDescent="0.25">
      <c r="A311" s="68"/>
      <c r="B311" s="3"/>
      <c r="C311" s="8">
        <v>40484</v>
      </c>
      <c r="D311" s="1">
        <v>13.5</v>
      </c>
      <c r="E311" s="1">
        <v>11.1</v>
      </c>
      <c r="F311" s="1">
        <v>16.3</v>
      </c>
      <c r="G311" s="1">
        <f t="shared" si="2"/>
        <v>833.4</v>
      </c>
      <c r="J311" s="1">
        <v>0.8</v>
      </c>
      <c r="K311" s="1">
        <f t="shared" si="3"/>
        <v>126.50000000000001</v>
      </c>
      <c r="L311" s="1">
        <v>1.9</v>
      </c>
      <c r="M311" s="1">
        <f t="shared" si="4"/>
        <v>143.50000000000006</v>
      </c>
      <c r="N311" s="1">
        <v>-1.0999999999999999</v>
      </c>
      <c r="O311" s="1">
        <f t="shared" si="9"/>
        <v>46.300000000000004</v>
      </c>
      <c r="P311" s="6">
        <v>56</v>
      </c>
      <c r="Q311" s="1">
        <f t="shared" si="7"/>
        <v>0.80499999999999994</v>
      </c>
      <c r="R311" s="14">
        <f t="shared" si="0"/>
        <v>1.5294999999999999</v>
      </c>
      <c r="S311" s="14">
        <f t="shared" si="1"/>
        <v>-0.72949999999999982</v>
      </c>
      <c r="T311" s="15">
        <f t="shared" si="5"/>
        <v>63.142142857142858</v>
      </c>
      <c r="V311" s="1">
        <v>817.7</v>
      </c>
      <c r="X311" s="1">
        <f t="shared" si="6"/>
        <v>63376.600000000006</v>
      </c>
      <c r="AA311" s="1">
        <v>10.2518507101715</v>
      </c>
    </row>
    <row r="312" spans="1:27" s="1" customFormat="1" x14ac:dyDescent="0.25">
      <c r="A312" s="68"/>
      <c r="B312" s="3"/>
      <c r="C312" s="8">
        <v>40485</v>
      </c>
      <c r="D312" s="1">
        <v>14.8</v>
      </c>
      <c r="E312" s="1">
        <v>13.2</v>
      </c>
      <c r="F312" s="1">
        <v>16.8</v>
      </c>
      <c r="G312" s="1">
        <f t="shared" si="2"/>
        <v>848.19999999999993</v>
      </c>
      <c r="J312" s="1">
        <v>0.6</v>
      </c>
      <c r="K312" s="1">
        <f t="shared" si="3"/>
        <v>127.10000000000001</v>
      </c>
      <c r="L312" s="1">
        <v>1</v>
      </c>
      <c r="M312" s="1">
        <f t="shared" si="4"/>
        <v>144.50000000000006</v>
      </c>
      <c r="N312" s="1">
        <v>-0.4</v>
      </c>
      <c r="O312" s="1">
        <f t="shared" si="9"/>
        <v>45.900000000000006</v>
      </c>
      <c r="P312" s="6">
        <v>57</v>
      </c>
      <c r="Q312" s="1">
        <f t="shared" si="7"/>
        <v>0.81428571428571428</v>
      </c>
      <c r="R312" s="14">
        <f t="shared" si="0"/>
        <v>0.81428571428571428</v>
      </c>
      <c r="S312" s="14">
        <f t="shared" si="1"/>
        <v>-0.2142857142857143</v>
      </c>
      <c r="T312" s="15">
        <f t="shared" si="5"/>
        <v>62.927857142857142</v>
      </c>
      <c r="V312" s="1">
        <v>301.39999999999998</v>
      </c>
      <c r="X312" s="1">
        <f t="shared" si="6"/>
        <v>63678.000000000007</v>
      </c>
      <c r="AA312" s="1">
        <v>10.207495926455399</v>
      </c>
    </row>
    <row r="313" spans="1:27" s="1" customFormat="1" x14ac:dyDescent="0.25">
      <c r="A313" s="68"/>
      <c r="B313" s="3"/>
      <c r="C313" s="8">
        <v>40486</v>
      </c>
      <c r="D313" s="1">
        <v>14.2</v>
      </c>
      <c r="E313" s="1">
        <v>11.4</v>
      </c>
      <c r="F313" s="1">
        <v>17.3</v>
      </c>
      <c r="G313" s="1">
        <f t="shared" si="2"/>
        <v>862.4</v>
      </c>
      <c r="J313" s="1">
        <v>0</v>
      </c>
      <c r="K313" s="1">
        <f t="shared" si="3"/>
        <v>127.10000000000001</v>
      </c>
      <c r="L313" s="1">
        <v>1.6</v>
      </c>
      <c r="M313" s="1">
        <f t="shared" si="4"/>
        <v>146.10000000000005</v>
      </c>
      <c r="N313" s="1">
        <v>-1.6</v>
      </c>
      <c r="O313" s="1">
        <f t="shared" si="9"/>
        <v>44.300000000000004</v>
      </c>
      <c r="P313" s="6">
        <v>58</v>
      </c>
      <c r="Q313" s="1">
        <f t="shared" si="7"/>
        <v>0.82357142857142862</v>
      </c>
      <c r="R313" s="14">
        <f t="shared" si="0"/>
        <v>1.3177142857142858</v>
      </c>
      <c r="S313" s="14">
        <f t="shared" si="1"/>
        <v>-1.3177142857142858</v>
      </c>
      <c r="T313" s="15">
        <f t="shared" si="5"/>
        <v>61.610142857142854</v>
      </c>
      <c r="V313" s="1">
        <v>764.8</v>
      </c>
      <c r="X313" s="1">
        <f t="shared" si="6"/>
        <v>64442.80000000001</v>
      </c>
      <c r="AA313" s="1">
        <v>10.163516106473599</v>
      </c>
    </row>
    <row r="314" spans="1:27" s="1" customFormat="1" x14ac:dyDescent="0.25">
      <c r="A314" s="68"/>
      <c r="B314" s="3"/>
      <c r="C314" s="8">
        <v>40487</v>
      </c>
      <c r="D314" s="1">
        <v>14.6</v>
      </c>
      <c r="E314" s="1">
        <v>14.1</v>
      </c>
      <c r="F314" s="1">
        <v>15.2</v>
      </c>
      <c r="G314" s="1">
        <f t="shared" si="2"/>
        <v>877</v>
      </c>
      <c r="J314" s="1">
        <v>0</v>
      </c>
      <c r="K314" s="1">
        <f t="shared" si="3"/>
        <v>127.10000000000001</v>
      </c>
      <c r="L314" s="1">
        <v>0.9</v>
      </c>
      <c r="M314" s="1">
        <f t="shared" si="4"/>
        <v>147.00000000000006</v>
      </c>
      <c r="N314" s="1">
        <v>-0.9</v>
      </c>
      <c r="O314" s="1">
        <f t="shared" si="9"/>
        <v>43.400000000000006</v>
      </c>
      <c r="P314" s="6">
        <v>59</v>
      </c>
      <c r="Q314" s="1">
        <f t="shared" si="7"/>
        <v>0.83285714285714285</v>
      </c>
      <c r="R314" s="14">
        <f t="shared" si="0"/>
        <v>0.74957142857142856</v>
      </c>
      <c r="S314" s="14">
        <f t="shared" si="1"/>
        <v>-0.74957142857142856</v>
      </c>
      <c r="T314" s="15">
        <f t="shared" si="5"/>
        <v>60.860571428571426</v>
      </c>
      <c r="V314" s="1">
        <v>224.5</v>
      </c>
      <c r="X314" s="1">
        <f t="shared" si="6"/>
        <v>64667.30000000001</v>
      </c>
      <c r="AA314" s="1">
        <v>10.1199288297901</v>
      </c>
    </row>
    <row r="315" spans="1:27" s="1" customFormat="1" x14ac:dyDescent="0.25">
      <c r="A315" s="68"/>
      <c r="B315" s="3"/>
      <c r="C315" s="8">
        <v>40488</v>
      </c>
      <c r="D315" s="1">
        <v>14.3</v>
      </c>
      <c r="E315" s="1">
        <v>12.9</v>
      </c>
      <c r="F315" s="1">
        <v>16.399999999999999</v>
      </c>
      <c r="G315" s="1">
        <f t="shared" si="2"/>
        <v>891.3</v>
      </c>
      <c r="J315" s="1">
        <v>2.2000000000000002</v>
      </c>
      <c r="K315" s="1">
        <f t="shared" si="3"/>
        <v>129.30000000000001</v>
      </c>
      <c r="L315" s="1">
        <v>0.7</v>
      </c>
      <c r="M315" s="1">
        <f t="shared" si="4"/>
        <v>147.70000000000005</v>
      </c>
      <c r="N315" s="1">
        <v>1.5000000000000002</v>
      </c>
      <c r="O315" s="1">
        <f t="shared" si="9"/>
        <v>44.900000000000006</v>
      </c>
      <c r="P315" s="6">
        <v>60</v>
      </c>
      <c r="Q315" s="1">
        <f t="shared" si="7"/>
        <v>0.84214285714285708</v>
      </c>
      <c r="R315" s="14">
        <f t="shared" si="0"/>
        <v>0.58949999999999991</v>
      </c>
      <c r="S315" s="14">
        <f t="shared" si="1"/>
        <v>1.6105000000000003</v>
      </c>
      <c r="T315" s="15">
        <f t="shared" si="5"/>
        <v>62.471071428571427</v>
      </c>
      <c r="V315" s="1">
        <v>346.4</v>
      </c>
      <c r="X315" s="1">
        <f t="shared" si="6"/>
        <v>65013.700000000012</v>
      </c>
      <c r="AA315" s="1">
        <v>10.0767521680136</v>
      </c>
    </row>
    <row r="316" spans="1:27" s="1" customFormat="1" x14ac:dyDescent="0.25">
      <c r="A316" s="68"/>
      <c r="B316" s="3"/>
      <c r="C316" s="8">
        <v>40489</v>
      </c>
      <c r="D316" s="1">
        <v>10.4</v>
      </c>
      <c r="E316" s="1">
        <v>8.6999999999999993</v>
      </c>
      <c r="F316" s="1">
        <v>12.6</v>
      </c>
      <c r="G316" s="1">
        <f t="shared" si="2"/>
        <v>901.69999999999993</v>
      </c>
      <c r="J316" s="1">
        <v>5</v>
      </c>
      <c r="K316" s="1">
        <f t="shared" si="3"/>
        <v>134.30000000000001</v>
      </c>
      <c r="L316" s="1">
        <v>0.9</v>
      </c>
      <c r="M316" s="1">
        <f t="shared" si="4"/>
        <v>148.60000000000005</v>
      </c>
      <c r="N316" s="1">
        <v>4.0999999999999996</v>
      </c>
      <c r="O316" s="1">
        <f t="shared" si="9"/>
        <v>49.000000000000007</v>
      </c>
      <c r="P316" s="6">
        <v>61</v>
      </c>
      <c r="Q316" s="1">
        <f t="shared" si="7"/>
        <v>0.85142857142857142</v>
      </c>
      <c r="R316" s="14">
        <f t="shared" si="0"/>
        <v>0.76628571428571435</v>
      </c>
      <c r="S316" s="14">
        <f t="shared" si="1"/>
        <v>4.233714285714286</v>
      </c>
      <c r="T316" s="15">
        <f t="shared" si="5"/>
        <v>66.70478571428572</v>
      </c>
      <c r="V316" s="1">
        <v>301.39999999999998</v>
      </c>
      <c r="X316" s="1">
        <f t="shared" si="6"/>
        <v>65315.100000000013</v>
      </c>
      <c r="AA316" s="1">
        <v>10.034004681415199</v>
      </c>
    </row>
    <row r="317" spans="1:27" s="1" customFormat="1" x14ac:dyDescent="0.25">
      <c r="A317" s="68"/>
      <c r="B317" s="3"/>
      <c r="C317" s="8">
        <v>40490</v>
      </c>
      <c r="D317" s="1">
        <v>8.5</v>
      </c>
      <c r="E317" s="1">
        <v>6.1</v>
      </c>
      <c r="F317" s="1">
        <v>9.6999999999999993</v>
      </c>
      <c r="G317" s="1">
        <f t="shared" si="2"/>
        <v>910.19999999999993</v>
      </c>
      <c r="J317" s="1">
        <v>10.199999999999999</v>
      </c>
      <c r="K317" s="1">
        <f t="shared" si="3"/>
        <v>144.5</v>
      </c>
      <c r="L317" s="1">
        <v>0.7</v>
      </c>
      <c r="M317" s="1">
        <f t="shared" si="4"/>
        <v>149.30000000000004</v>
      </c>
      <c r="N317" s="1">
        <v>9.5</v>
      </c>
      <c r="O317" s="1">
        <f t="shared" si="9"/>
        <v>58.500000000000007</v>
      </c>
      <c r="P317" s="6">
        <v>62</v>
      </c>
      <c r="Q317" s="1">
        <f t="shared" si="7"/>
        <v>0.86071428571428565</v>
      </c>
      <c r="R317" s="14">
        <f t="shared" si="0"/>
        <v>0.60249999999999992</v>
      </c>
      <c r="S317" s="14">
        <f t="shared" si="1"/>
        <v>9.5975000000000001</v>
      </c>
      <c r="T317" s="15">
        <f t="shared" si="5"/>
        <v>76.302285714285716</v>
      </c>
      <c r="V317" s="1">
        <v>146.4</v>
      </c>
      <c r="X317" s="1">
        <f t="shared" si="6"/>
        <v>65461.500000000015</v>
      </c>
      <c r="AA317" s="1">
        <v>9.9917054137274892</v>
      </c>
    </row>
    <row r="318" spans="1:27" s="1" customFormat="1" x14ac:dyDescent="0.25">
      <c r="A318" s="68"/>
      <c r="B318" s="3"/>
      <c r="C318" s="8">
        <v>40491</v>
      </c>
      <c r="D318" s="1">
        <v>10.8</v>
      </c>
      <c r="E318" s="1">
        <v>8.8000000000000007</v>
      </c>
      <c r="F318" s="1">
        <v>14.4</v>
      </c>
      <c r="G318" s="1">
        <f t="shared" si="2"/>
        <v>920.99999999999989</v>
      </c>
      <c r="J318" s="1">
        <v>4.0999999999999996</v>
      </c>
      <c r="K318" s="1">
        <f t="shared" si="3"/>
        <v>148.6</v>
      </c>
      <c r="L318" s="1">
        <v>1.9</v>
      </c>
      <c r="M318" s="1">
        <f t="shared" si="4"/>
        <v>151.20000000000005</v>
      </c>
      <c r="N318" s="1">
        <v>2.1999999999999997</v>
      </c>
      <c r="O318" s="1">
        <f t="shared" si="9"/>
        <v>60.70000000000001</v>
      </c>
      <c r="P318" s="6">
        <v>63</v>
      </c>
      <c r="Q318" s="1">
        <f t="shared" si="7"/>
        <v>0.87</v>
      </c>
      <c r="R318" s="14">
        <f t="shared" si="0"/>
        <v>1.653</v>
      </c>
      <c r="S318" s="14">
        <f t="shared" si="1"/>
        <v>2.4469999999999996</v>
      </c>
      <c r="T318" s="15">
        <f t="shared" si="5"/>
        <v>78.749285714285719</v>
      </c>
      <c r="V318" s="1">
        <v>238.1</v>
      </c>
      <c r="X318" s="1">
        <f t="shared" si="6"/>
        <v>65699.60000000002</v>
      </c>
      <c r="AA318" s="1">
        <v>9.9498738850186097</v>
      </c>
    </row>
    <row r="319" spans="1:27" s="1" customFormat="1" x14ac:dyDescent="0.25">
      <c r="A319" s="68"/>
      <c r="B319" s="3"/>
      <c r="C319" s="8">
        <v>40492</v>
      </c>
      <c r="D319" s="1">
        <v>9.4</v>
      </c>
      <c r="E319" s="1">
        <v>8.4</v>
      </c>
      <c r="F319" s="1">
        <v>11.8</v>
      </c>
      <c r="G319" s="1">
        <f t="shared" si="2"/>
        <v>930.39999999999986</v>
      </c>
      <c r="J319" s="1">
        <v>3.2</v>
      </c>
      <c r="K319" s="1">
        <f t="shared" si="3"/>
        <v>151.79999999999998</v>
      </c>
      <c r="L319" s="1">
        <v>1.3</v>
      </c>
      <c r="M319" s="1">
        <f t="shared" si="4"/>
        <v>152.50000000000006</v>
      </c>
      <c r="N319" s="1">
        <v>1.9000000000000001</v>
      </c>
      <c r="O319" s="1">
        <f t="shared" si="9"/>
        <v>62.600000000000009</v>
      </c>
      <c r="P319" s="6">
        <v>64</v>
      </c>
      <c r="Q319" s="1">
        <f t="shared" si="7"/>
        <v>0.87928571428571423</v>
      </c>
      <c r="R319" s="14">
        <f t="shared" si="0"/>
        <v>1.1430714285714285</v>
      </c>
      <c r="S319" s="14">
        <f t="shared" si="1"/>
        <v>2.0569285714285717</v>
      </c>
      <c r="T319" s="15">
        <f t="shared" si="5"/>
        <v>80.80621428571429</v>
      </c>
      <c r="V319" s="1">
        <v>241.3</v>
      </c>
      <c r="X319" s="1">
        <f t="shared" si="6"/>
        <v>65940.900000000023</v>
      </c>
      <c r="AA319" s="1">
        <v>9.9085300825343392</v>
      </c>
    </row>
    <row r="320" spans="1:27" s="1" customFormat="1" x14ac:dyDescent="0.25">
      <c r="A320" s="68"/>
      <c r="B320" s="3"/>
      <c r="C320" s="8">
        <v>40493</v>
      </c>
      <c r="D320" s="1">
        <v>10.1</v>
      </c>
      <c r="E320" s="1">
        <v>4.0999999999999996</v>
      </c>
      <c r="F320" s="1">
        <v>14.3</v>
      </c>
      <c r="G320" s="1">
        <f t="shared" si="2"/>
        <v>940.49999999999989</v>
      </c>
      <c r="J320" s="1">
        <v>1.7</v>
      </c>
      <c r="K320" s="1">
        <f t="shared" si="3"/>
        <v>153.49999999999997</v>
      </c>
      <c r="L320" s="1">
        <v>0.9</v>
      </c>
      <c r="M320" s="1">
        <f t="shared" si="4"/>
        <v>153.40000000000006</v>
      </c>
      <c r="N320" s="1">
        <v>0.79999999999999993</v>
      </c>
      <c r="O320" s="1">
        <f t="shared" si="9"/>
        <v>63.400000000000006</v>
      </c>
      <c r="P320" s="6">
        <v>65</v>
      </c>
      <c r="Q320" s="1">
        <f t="shared" si="7"/>
        <v>0.88857142857142857</v>
      </c>
      <c r="R320" s="14">
        <f t="shared" ref="R320:R383" si="10">Q320*L320</f>
        <v>0.79971428571428571</v>
      </c>
      <c r="S320" s="14">
        <f t="shared" si="1"/>
        <v>0.90028571428571424</v>
      </c>
      <c r="T320" s="15">
        <f t="shared" si="5"/>
        <v>81.706500000000005</v>
      </c>
      <c r="V320" s="1">
        <v>562.9</v>
      </c>
      <c r="X320" s="1">
        <f t="shared" si="6"/>
        <v>66503.800000000017</v>
      </c>
      <c r="AA320" s="1">
        <v>9.8676944494053895</v>
      </c>
    </row>
    <row r="321" spans="1:27" s="1" customFormat="1" x14ac:dyDescent="0.25">
      <c r="A321" s="68"/>
      <c r="B321" s="3"/>
      <c r="C321" s="8">
        <v>40494</v>
      </c>
      <c r="D321" s="1">
        <v>14.1</v>
      </c>
      <c r="E321" s="1">
        <v>12.3</v>
      </c>
      <c r="F321" s="1">
        <v>18.100000000000001</v>
      </c>
      <c r="G321" s="1">
        <f t="shared" si="2"/>
        <v>954.59999999999991</v>
      </c>
      <c r="J321" s="1">
        <v>0.7</v>
      </c>
      <c r="K321" s="1">
        <f t="shared" si="3"/>
        <v>154.19999999999996</v>
      </c>
      <c r="L321" s="1">
        <v>1.8</v>
      </c>
      <c r="M321" s="1">
        <f t="shared" si="4"/>
        <v>155.20000000000007</v>
      </c>
      <c r="N321" s="1">
        <v>-1.1000000000000001</v>
      </c>
      <c r="O321" s="1">
        <f t="shared" si="9"/>
        <v>62.300000000000004</v>
      </c>
      <c r="P321" s="6">
        <v>66</v>
      </c>
      <c r="Q321" s="1">
        <f t="shared" si="7"/>
        <v>0.89785714285714291</v>
      </c>
      <c r="R321" s="14">
        <f t="shared" si="10"/>
        <v>1.6161428571428573</v>
      </c>
      <c r="S321" s="14">
        <f t="shared" ref="S321:S384" si="11">J321-R321</f>
        <v>-0.91614285714285737</v>
      </c>
      <c r="T321" s="15">
        <f t="shared" si="5"/>
        <v>80.790357142857147</v>
      </c>
      <c r="V321" s="1">
        <v>322.60000000000002</v>
      </c>
      <c r="X321" s="1">
        <f t="shared" si="6"/>
        <v>66826.400000000023</v>
      </c>
      <c r="AA321" s="1">
        <v>9.8273878711190008</v>
      </c>
    </row>
    <row r="322" spans="1:27" s="1" customFormat="1" x14ac:dyDescent="0.25">
      <c r="A322" s="68"/>
      <c r="B322" s="3"/>
      <c r="C322" s="8">
        <v>40495</v>
      </c>
      <c r="D322" s="1">
        <v>12</v>
      </c>
      <c r="E322" s="1">
        <v>5.7</v>
      </c>
      <c r="F322" s="1">
        <v>18.7</v>
      </c>
      <c r="G322" s="1">
        <f t="shared" ref="G322:G385" si="12">G321+D322</f>
        <v>966.59999999999991</v>
      </c>
      <c r="J322" s="1">
        <v>0.1</v>
      </c>
      <c r="K322" s="1">
        <f t="shared" ref="K322:K385" si="13">K321+J322</f>
        <v>154.29999999999995</v>
      </c>
      <c r="L322" s="1">
        <v>1.8</v>
      </c>
      <c r="M322" s="1">
        <f t="shared" ref="M322:M385" si="14">M321+L322</f>
        <v>157.00000000000009</v>
      </c>
      <c r="N322" s="1">
        <v>-1.7</v>
      </c>
      <c r="O322" s="1">
        <f t="shared" si="9"/>
        <v>60.6</v>
      </c>
      <c r="P322" s="6">
        <v>67</v>
      </c>
      <c r="Q322" s="1">
        <f t="shared" si="7"/>
        <v>0.90714285714285714</v>
      </c>
      <c r="R322" s="14">
        <f t="shared" si="10"/>
        <v>1.6328571428571428</v>
      </c>
      <c r="S322" s="14">
        <f t="shared" si="11"/>
        <v>-1.5328571428571427</v>
      </c>
      <c r="T322" s="15">
        <f t="shared" ref="T322:T385" si="15">T321+S322</f>
        <v>79.257500000000007</v>
      </c>
      <c r="V322" s="1">
        <v>900.8</v>
      </c>
      <c r="X322" s="1">
        <f t="shared" ref="X322:X385" si="16">X321+V322</f>
        <v>67727.200000000026</v>
      </c>
      <c r="AA322" s="1">
        <v>9.7876316596586008</v>
      </c>
    </row>
    <row r="323" spans="1:27" s="1" customFormat="1" x14ac:dyDescent="0.25">
      <c r="A323" s="68"/>
      <c r="B323" s="3"/>
      <c r="C323" s="8">
        <v>40496</v>
      </c>
      <c r="D323" s="1">
        <v>13.4</v>
      </c>
      <c r="E323" s="1">
        <v>11.9</v>
      </c>
      <c r="F323" s="1">
        <v>18.3</v>
      </c>
      <c r="G323" s="1">
        <f t="shared" si="12"/>
        <v>979.99999999999989</v>
      </c>
      <c r="J323" s="1">
        <v>8.6</v>
      </c>
      <c r="K323" s="1">
        <f t="shared" si="13"/>
        <v>162.89999999999995</v>
      </c>
      <c r="L323" s="1">
        <v>1.5</v>
      </c>
      <c r="M323" s="1">
        <f t="shared" si="14"/>
        <v>158.50000000000009</v>
      </c>
      <c r="N323" s="1">
        <v>7.1</v>
      </c>
      <c r="O323" s="1">
        <f t="shared" si="9"/>
        <v>67.7</v>
      </c>
      <c r="P323" s="6">
        <v>68</v>
      </c>
      <c r="Q323" s="1">
        <f t="shared" si="7"/>
        <v>0.91642857142857148</v>
      </c>
      <c r="R323" s="14">
        <f t="shared" si="10"/>
        <v>1.3746428571428573</v>
      </c>
      <c r="S323" s="14">
        <f t="shared" si="11"/>
        <v>7.2253571428571419</v>
      </c>
      <c r="T323" s="15">
        <f t="shared" si="15"/>
        <v>86.482857142857142</v>
      </c>
      <c r="V323" s="1">
        <v>556.79999999999995</v>
      </c>
      <c r="X323" s="1">
        <f t="shared" si="16"/>
        <v>68284.000000000029</v>
      </c>
      <c r="AA323" s="1">
        <v>9.7484475352214695</v>
      </c>
    </row>
    <row r="324" spans="1:27" s="1" customFormat="1" x14ac:dyDescent="0.25">
      <c r="A324" s="68"/>
      <c r="B324" s="3"/>
      <c r="C324" s="8">
        <v>40497</v>
      </c>
      <c r="D324" s="1">
        <v>9.9</v>
      </c>
      <c r="E324" s="1">
        <v>9.1</v>
      </c>
      <c r="F324" s="1">
        <v>11.4</v>
      </c>
      <c r="G324" s="1">
        <f t="shared" si="12"/>
        <v>989.89999999999986</v>
      </c>
      <c r="J324" s="1">
        <v>2.2999999999999998</v>
      </c>
      <c r="K324" s="1">
        <f t="shared" si="13"/>
        <v>165.19999999999996</v>
      </c>
      <c r="L324" s="1">
        <v>1.1000000000000001</v>
      </c>
      <c r="M324" s="1">
        <f t="shared" si="14"/>
        <v>159.60000000000008</v>
      </c>
      <c r="N324" s="1">
        <v>1.1999999999999997</v>
      </c>
      <c r="O324" s="1">
        <f t="shared" si="9"/>
        <v>68.900000000000006</v>
      </c>
      <c r="P324" s="6">
        <v>69</v>
      </c>
      <c r="Q324" s="1">
        <f t="shared" si="7"/>
        <v>0.92571428571428571</v>
      </c>
      <c r="R324" s="14">
        <f t="shared" si="10"/>
        <v>1.0182857142857145</v>
      </c>
      <c r="S324" s="14">
        <f t="shared" si="11"/>
        <v>1.2817142857142854</v>
      </c>
      <c r="T324" s="15">
        <f t="shared" si="15"/>
        <v>87.764571428571429</v>
      </c>
      <c r="V324" s="1">
        <v>493.9</v>
      </c>
      <c r="X324" s="1">
        <f t="shared" si="16"/>
        <v>68777.900000000023</v>
      </c>
      <c r="AA324" s="1">
        <v>9.7098576054304893</v>
      </c>
    </row>
    <row r="325" spans="1:27" s="1" customFormat="1" x14ac:dyDescent="0.25">
      <c r="A325" s="68"/>
      <c r="B325" s="3"/>
      <c r="C325" s="8">
        <v>40498</v>
      </c>
      <c r="D325" s="1">
        <v>7.9</v>
      </c>
      <c r="E325" s="1">
        <v>6.5</v>
      </c>
      <c r="F325" s="1">
        <v>11.7</v>
      </c>
      <c r="G325" s="1">
        <f t="shared" si="12"/>
        <v>997.79999999999984</v>
      </c>
      <c r="J325" s="1">
        <v>0.1</v>
      </c>
      <c r="K325" s="1">
        <f t="shared" si="13"/>
        <v>165.29999999999995</v>
      </c>
      <c r="L325" s="1">
        <v>1.7</v>
      </c>
      <c r="M325" s="1">
        <f t="shared" si="14"/>
        <v>161.30000000000007</v>
      </c>
      <c r="N325" s="1">
        <v>-1.5999999999999999</v>
      </c>
      <c r="O325" s="1">
        <f t="shared" si="9"/>
        <v>67.300000000000011</v>
      </c>
      <c r="P325" s="6">
        <v>70</v>
      </c>
      <c r="Q325" s="1">
        <f t="shared" si="7"/>
        <v>0.93500000000000005</v>
      </c>
      <c r="R325" s="14">
        <f t="shared" si="10"/>
        <v>1.5895000000000001</v>
      </c>
      <c r="S325" s="14">
        <f t="shared" si="11"/>
        <v>-1.4895</v>
      </c>
      <c r="T325" s="15">
        <f t="shared" si="15"/>
        <v>86.275071428571422</v>
      </c>
      <c r="V325" s="1">
        <v>822.2</v>
      </c>
      <c r="X325" s="1">
        <f t="shared" si="16"/>
        <v>69600.10000000002</v>
      </c>
      <c r="AA325" s="1">
        <v>9.6718843419651996</v>
      </c>
    </row>
    <row r="326" spans="1:27" s="1" customFormat="1" x14ac:dyDescent="0.25">
      <c r="A326" s="68"/>
      <c r="B326" s="3"/>
      <c r="C326" s="8">
        <v>40499</v>
      </c>
      <c r="D326" s="1">
        <v>5.4</v>
      </c>
      <c r="E326" s="1">
        <v>0</v>
      </c>
      <c r="F326" s="1">
        <v>10</v>
      </c>
      <c r="G326" s="1">
        <f t="shared" si="12"/>
        <v>1003.1999999999998</v>
      </c>
      <c r="J326" s="1">
        <v>8.5</v>
      </c>
      <c r="K326" s="1">
        <f t="shared" si="13"/>
        <v>173.79999999999995</v>
      </c>
      <c r="L326" s="1">
        <v>0.3</v>
      </c>
      <c r="M326" s="1">
        <f t="shared" si="14"/>
        <v>161.60000000000008</v>
      </c>
      <c r="N326" s="1">
        <v>8.1999999999999993</v>
      </c>
      <c r="O326" s="1">
        <f t="shared" si="9"/>
        <v>75.500000000000014</v>
      </c>
      <c r="P326" s="6">
        <v>71</v>
      </c>
      <c r="Q326" s="1">
        <f t="shared" si="7"/>
        <v>0.94428571428571428</v>
      </c>
      <c r="R326" s="14">
        <f t="shared" si="10"/>
        <v>0.28328571428571425</v>
      </c>
      <c r="S326" s="14">
        <f t="shared" si="11"/>
        <v>8.2167142857142856</v>
      </c>
      <c r="T326" s="15">
        <f t="shared" si="15"/>
        <v>94.491785714285712</v>
      </c>
      <c r="V326" s="1">
        <v>120.3</v>
      </c>
      <c r="X326" s="1">
        <f t="shared" si="16"/>
        <v>69720.400000000023</v>
      </c>
      <c r="AA326" s="1">
        <v>9.6345505545468395</v>
      </c>
    </row>
    <row r="327" spans="1:27" s="1" customFormat="1" x14ac:dyDescent="0.25">
      <c r="A327" s="68"/>
      <c r="B327" s="3"/>
      <c r="C327" s="8">
        <v>40500</v>
      </c>
      <c r="D327" s="1">
        <v>9.4</v>
      </c>
      <c r="E327" s="1">
        <v>7.4</v>
      </c>
      <c r="F327" s="1">
        <v>13.1</v>
      </c>
      <c r="G327" s="1">
        <f t="shared" si="12"/>
        <v>1012.5999999999998</v>
      </c>
      <c r="J327" s="1">
        <v>0.2</v>
      </c>
      <c r="K327" s="1">
        <f t="shared" si="13"/>
        <v>173.99999999999994</v>
      </c>
      <c r="L327" s="1">
        <v>1.7</v>
      </c>
      <c r="M327" s="1">
        <f t="shared" si="14"/>
        <v>163.30000000000007</v>
      </c>
      <c r="N327" s="1">
        <v>-1.5</v>
      </c>
      <c r="O327" s="1">
        <f t="shared" si="9"/>
        <v>74.000000000000014</v>
      </c>
      <c r="P327" s="6">
        <v>72</v>
      </c>
      <c r="Q327" s="1">
        <f t="shared" si="7"/>
        <v>0.95357142857142863</v>
      </c>
      <c r="R327" s="14">
        <f t="shared" si="10"/>
        <v>1.6210714285714287</v>
      </c>
      <c r="S327" s="14">
        <f t="shared" si="11"/>
        <v>-1.4210714285714288</v>
      </c>
      <c r="T327" s="15">
        <f t="shared" si="15"/>
        <v>93.070714285714288</v>
      </c>
      <c r="V327" s="1">
        <v>706.8</v>
      </c>
      <c r="X327" s="1">
        <f t="shared" si="16"/>
        <v>70427.200000000026</v>
      </c>
      <c r="AA327" s="1">
        <v>9.5978793622234999</v>
      </c>
    </row>
    <row r="328" spans="1:27" s="1" customFormat="1" x14ac:dyDescent="0.25">
      <c r="A328" s="68"/>
      <c r="B328" s="3"/>
      <c r="C328" s="8">
        <v>40501</v>
      </c>
      <c r="D328" s="1">
        <v>8.1999999999999993</v>
      </c>
      <c r="E328" s="1">
        <v>3.7</v>
      </c>
      <c r="F328" s="1">
        <v>11.1</v>
      </c>
      <c r="G328" s="1">
        <f t="shared" si="12"/>
        <v>1020.7999999999998</v>
      </c>
      <c r="J328" s="1">
        <v>0.2</v>
      </c>
      <c r="K328" s="1">
        <f t="shared" si="13"/>
        <v>174.19999999999993</v>
      </c>
      <c r="L328" s="1">
        <v>0.4</v>
      </c>
      <c r="M328" s="1">
        <f t="shared" si="14"/>
        <v>163.70000000000007</v>
      </c>
      <c r="N328" s="1">
        <v>-0.2</v>
      </c>
      <c r="O328" s="1">
        <f t="shared" si="9"/>
        <v>73.800000000000011</v>
      </c>
      <c r="P328" s="6">
        <v>73</v>
      </c>
      <c r="Q328" s="1">
        <f t="shared" ref="Q328:Q332" si="17">0.35+((P328-7)/70)*(1-0.35)</f>
        <v>0.96285714285714286</v>
      </c>
      <c r="R328" s="14">
        <f t="shared" si="10"/>
        <v>0.38514285714285718</v>
      </c>
      <c r="S328" s="14">
        <f t="shared" si="11"/>
        <v>-0.18514285714285716</v>
      </c>
      <c r="T328" s="15">
        <f t="shared" si="15"/>
        <v>92.885571428571424</v>
      </c>
      <c r="V328" s="1">
        <v>436.1</v>
      </c>
      <c r="X328" s="1">
        <f t="shared" si="16"/>
        <v>70863.300000000032</v>
      </c>
      <c r="AA328" s="1">
        <v>9.5618941619146405</v>
      </c>
    </row>
    <row r="329" spans="1:27" s="1" customFormat="1" x14ac:dyDescent="0.25">
      <c r="A329" s="68"/>
      <c r="B329" s="3"/>
      <c r="C329" s="8">
        <v>40502</v>
      </c>
      <c r="D329" s="1">
        <v>8.8000000000000007</v>
      </c>
      <c r="E329" s="1">
        <v>7.6</v>
      </c>
      <c r="F329" s="1">
        <v>11.8</v>
      </c>
      <c r="G329" s="1">
        <f t="shared" si="12"/>
        <v>1029.5999999999999</v>
      </c>
      <c r="J329" s="1">
        <v>1.7</v>
      </c>
      <c r="K329" s="1">
        <f t="shared" si="13"/>
        <v>175.89999999999992</v>
      </c>
      <c r="L329" s="1">
        <v>0.6</v>
      </c>
      <c r="M329" s="1">
        <f t="shared" si="14"/>
        <v>164.30000000000007</v>
      </c>
      <c r="N329" s="1">
        <v>1.1000000000000001</v>
      </c>
      <c r="O329" s="1">
        <f t="shared" si="9"/>
        <v>74.900000000000006</v>
      </c>
      <c r="P329" s="6">
        <v>74</v>
      </c>
      <c r="Q329" s="1">
        <f t="shared" si="17"/>
        <v>0.9721428571428572</v>
      </c>
      <c r="R329" s="14">
        <f t="shared" si="10"/>
        <v>0.5832857142857143</v>
      </c>
      <c r="S329" s="14">
        <f t="shared" si="11"/>
        <v>1.1167142857142855</v>
      </c>
      <c r="T329" s="15">
        <f t="shared" si="15"/>
        <v>94.002285714285705</v>
      </c>
      <c r="V329" s="1">
        <v>389.4</v>
      </c>
      <c r="X329" s="1">
        <f t="shared" si="16"/>
        <v>71252.700000000026</v>
      </c>
      <c r="AA329" s="1">
        <v>9.5266185941885198</v>
      </c>
    </row>
    <row r="330" spans="1:27" s="1" customFormat="1" x14ac:dyDescent="0.25">
      <c r="A330" s="68"/>
      <c r="B330" s="3"/>
      <c r="C330" s="8">
        <v>40503</v>
      </c>
      <c r="D330" s="1">
        <v>8.4</v>
      </c>
      <c r="E330" s="1">
        <v>5.5</v>
      </c>
      <c r="F330" s="1">
        <v>11.8</v>
      </c>
      <c r="G330" s="1">
        <f t="shared" si="12"/>
        <v>1038</v>
      </c>
      <c r="J330" s="1">
        <v>9.3000000000000007</v>
      </c>
      <c r="K330" s="1">
        <f t="shared" si="13"/>
        <v>185.19999999999993</v>
      </c>
      <c r="L330" s="1">
        <v>0.4</v>
      </c>
      <c r="M330" s="1">
        <f t="shared" si="14"/>
        <v>164.70000000000007</v>
      </c>
      <c r="N330" s="1">
        <v>8.9</v>
      </c>
      <c r="O330" s="1">
        <f t="shared" si="9"/>
        <v>83.800000000000011</v>
      </c>
      <c r="P330" s="6">
        <v>75</v>
      </c>
      <c r="Q330" s="1">
        <f t="shared" si="17"/>
        <v>0.98142857142857143</v>
      </c>
      <c r="R330" s="14">
        <f t="shared" si="10"/>
        <v>0.39257142857142857</v>
      </c>
      <c r="S330" s="14">
        <f t="shared" si="11"/>
        <v>8.9074285714285715</v>
      </c>
      <c r="T330" s="15">
        <f t="shared" si="15"/>
        <v>102.90971428571427</v>
      </c>
      <c r="V330" s="1">
        <v>131.1</v>
      </c>
      <c r="X330" s="1">
        <f t="shared" si="16"/>
        <v>71383.800000000032</v>
      </c>
      <c r="AA330" s="1">
        <v>9.4920765062624106</v>
      </c>
    </row>
    <row r="331" spans="1:27" s="1" customFormat="1" x14ac:dyDescent="0.25">
      <c r="A331" s="68"/>
      <c r="B331" s="3"/>
      <c r="C331" s="8">
        <v>40504</v>
      </c>
      <c r="D331" s="1">
        <v>8</v>
      </c>
      <c r="E331" s="1">
        <v>7.5</v>
      </c>
      <c r="F331" s="1">
        <v>9</v>
      </c>
      <c r="G331" s="1">
        <f t="shared" si="12"/>
        <v>1046</v>
      </c>
      <c r="J331" s="1">
        <v>0.6</v>
      </c>
      <c r="K331" s="1">
        <f t="shared" si="13"/>
        <v>185.79999999999993</v>
      </c>
      <c r="L331" s="1">
        <v>0.8</v>
      </c>
      <c r="M331" s="1">
        <f t="shared" si="14"/>
        <v>165.50000000000009</v>
      </c>
      <c r="N331" s="1">
        <v>-0.20000000000000007</v>
      </c>
      <c r="O331" s="1">
        <f t="shared" si="9"/>
        <v>83.600000000000009</v>
      </c>
      <c r="P331" s="6">
        <v>76</v>
      </c>
      <c r="Q331" s="1">
        <f t="shared" si="17"/>
        <v>0.99071428571428577</v>
      </c>
      <c r="R331" s="14">
        <f t="shared" si="10"/>
        <v>0.7925714285714287</v>
      </c>
      <c r="S331" s="14">
        <f t="shared" si="11"/>
        <v>-0.19257142857142873</v>
      </c>
      <c r="T331" s="15">
        <f t="shared" si="15"/>
        <v>102.71714285714285</v>
      </c>
      <c r="V331" s="1">
        <v>302.10000000000002</v>
      </c>
      <c r="X331" s="1">
        <f t="shared" si="16"/>
        <v>71685.900000000038</v>
      </c>
      <c r="AA331" s="1">
        <v>9.4582919122330207</v>
      </c>
    </row>
    <row r="332" spans="1:27" s="19" customFormat="1" x14ac:dyDescent="0.25">
      <c r="A332" s="68"/>
      <c r="B332" s="17"/>
      <c r="C332" s="18">
        <v>40505</v>
      </c>
      <c r="D332" s="19">
        <v>6.2</v>
      </c>
      <c r="E332" s="19">
        <v>5.2</v>
      </c>
      <c r="F332" s="19">
        <v>9.4</v>
      </c>
      <c r="G332" s="19">
        <f t="shared" si="12"/>
        <v>1052.2</v>
      </c>
      <c r="J332" s="19">
        <v>0.1</v>
      </c>
      <c r="K332" s="19">
        <f t="shared" si="13"/>
        <v>185.89999999999992</v>
      </c>
      <c r="L332" s="19">
        <v>0.9</v>
      </c>
      <c r="M332" s="19">
        <f t="shared" si="14"/>
        <v>166.40000000000009</v>
      </c>
      <c r="N332" s="19">
        <v>-0.8</v>
      </c>
      <c r="O332" s="19">
        <f t="shared" si="9"/>
        <v>82.800000000000011</v>
      </c>
      <c r="P332" s="20">
        <v>77</v>
      </c>
      <c r="Q332" s="19">
        <f t="shared" si="17"/>
        <v>1</v>
      </c>
      <c r="R332" s="21">
        <f t="shared" si="10"/>
        <v>0.9</v>
      </c>
      <c r="S332" s="21">
        <f t="shared" si="11"/>
        <v>-0.8</v>
      </c>
      <c r="T332" s="15">
        <f t="shared" si="15"/>
        <v>101.91714285714285</v>
      </c>
      <c r="V332" s="19">
        <v>393.9</v>
      </c>
      <c r="X332" s="19">
        <f t="shared" si="16"/>
        <v>72079.800000000032</v>
      </c>
      <c r="AA332" s="19">
        <v>9.4252889505638695</v>
      </c>
    </row>
    <row r="333" spans="1:27" s="1" customFormat="1" x14ac:dyDescent="0.25">
      <c r="A333" s="69" t="s">
        <v>46</v>
      </c>
      <c r="B333" s="22"/>
      <c r="C333" s="8">
        <v>40506</v>
      </c>
      <c r="D333" s="1">
        <v>2.7</v>
      </c>
      <c r="E333" s="1">
        <v>-0.5</v>
      </c>
      <c r="F333" s="1">
        <v>5.3</v>
      </c>
      <c r="G333" s="1">
        <f t="shared" si="12"/>
        <v>1054.9000000000001</v>
      </c>
      <c r="H333" s="1">
        <f>D333</f>
        <v>2.7</v>
      </c>
      <c r="I333" s="23" t="s">
        <v>30</v>
      </c>
      <c r="J333" s="1">
        <v>0.2</v>
      </c>
      <c r="K333" s="1">
        <f t="shared" si="13"/>
        <v>186.09999999999991</v>
      </c>
      <c r="L333" s="1">
        <v>0.5</v>
      </c>
      <c r="M333" s="1">
        <f t="shared" si="14"/>
        <v>166.90000000000009</v>
      </c>
      <c r="N333" s="1">
        <v>-0.3</v>
      </c>
      <c r="O333" s="1">
        <f t="shared" si="9"/>
        <v>82.500000000000014</v>
      </c>
      <c r="P333" s="6">
        <v>78</v>
      </c>
      <c r="Q333" s="1">
        <v>1</v>
      </c>
      <c r="R333" s="14">
        <f t="shared" si="10"/>
        <v>0.5</v>
      </c>
      <c r="S333" s="14">
        <f t="shared" si="11"/>
        <v>-0.3</v>
      </c>
      <c r="T333" s="15">
        <f t="shared" si="15"/>
        <v>101.61714285714285</v>
      </c>
      <c r="U333" s="23" t="s">
        <v>31</v>
      </c>
      <c r="V333" s="1">
        <v>443.6</v>
      </c>
      <c r="X333" s="1">
        <f t="shared" si="16"/>
        <v>72523.400000000038</v>
      </c>
      <c r="Y333" s="1">
        <f>V333</f>
        <v>443.6</v>
      </c>
      <c r="Z333" s="23" t="s">
        <v>32</v>
      </c>
      <c r="AA333" s="1">
        <v>9.3930918388768099</v>
      </c>
    </row>
    <row r="334" spans="1:27" s="1" customFormat="1" x14ac:dyDescent="0.25">
      <c r="A334" s="69"/>
      <c r="B334" s="3"/>
      <c r="C334" s="8">
        <v>40507</v>
      </c>
      <c r="D334" s="1">
        <v>5</v>
      </c>
      <c r="E334" s="1">
        <v>2.2000000000000002</v>
      </c>
      <c r="F334" s="1">
        <v>9.1</v>
      </c>
      <c r="G334" s="1">
        <f t="shared" si="12"/>
        <v>1059.9000000000001</v>
      </c>
      <c r="H334" s="1">
        <f>H333+D334</f>
        <v>7.7</v>
      </c>
      <c r="I334" s="1">
        <f>MIN(E333:E375)</f>
        <v>-5.5</v>
      </c>
      <c r="J334" s="1">
        <v>2.2999999999999998</v>
      </c>
      <c r="K334" s="1">
        <f t="shared" si="13"/>
        <v>188.39999999999992</v>
      </c>
      <c r="L334" s="1">
        <v>0.7</v>
      </c>
      <c r="M334" s="1">
        <f t="shared" si="14"/>
        <v>167.60000000000008</v>
      </c>
      <c r="N334" s="1">
        <v>1.5999999999999999</v>
      </c>
      <c r="O334" s="1">
        <f t="shared" si="9"/>
        <v>84.100000000000009</v>
      </c>
      <c r="P334" s="6">
        <v>79</v>
      </c>
      <c r="Q334" s="1">
        <v>1</v>
      </c>
      <c r="R334" s="14">
        <f t="shared" si="10"/>
        <v>0.7</v>
      </c>
      <c r="S334" s="14">
        <f t="shared" si="11"/>
        <v>1.5999999999999999</v>
      </c>
      <c r="T334" s="15">
        <f t="shared" si="15"/>
        <v>103.21714285714285</v>
      </c>
      <c r="U334" s="1">
        <v>36</v>
      </c>
      <c r="V334" s="1">
        <v>159.6</v>
      </c>
      <c r="X334" s="1">
        <f t="shared" si="16"/>
        <v>72683.000000000044</v>
      </c>
      <c r="Y334" s="1">
        <f>Y333+V334</f>
        <v>603.20000000000005</v>
      </c>
      <c r="Z334" s="1">
        <v>18424.7</v>
      </c>
      <c r="AA334" s="1">
        <v>9.3617248261170491</v>
      </c>
    </row>
    <row r="335" spans="1:27" s="1" customFormat="1" x14ac:dyDescent="0.25">
      <c r="A335" s="69"/>
      <c r="B335" s="3"/>
      <c r="C335" s="8">
        <v>40508</v>
      </c>
      <c r="D335" s="1">
        <v>2.9</v>
      </c>
      <c r="E335" s="1">
        <v>2.4</v>
      </c>
      <c r="F335" s="1">
        <v>6.3</v>
      </c>
      <c r="G335" s="1">
        <f t="shared" si="12"/>
        <v>1062.8000000000002</v>
      </c>
      <c r="H335" s="1">
        <f t="shared" ref="H335:H398" si="18">H334+D335</f>
        <v>10.6</v>
      </c>
      <c r="I335" s="23" t="s">
        <v>33</v>
      </c>
      <c r="J335" s="1">
        <v>0</v>
      </c>
      <c r="K335" s="1">
        <f t="shared" si="13"/>
        <v>188.39999999999992</v>
      </c>
      <c r="L335" s="1">
        <v>1.2</v>
      </c>
      <c r="M335" s="1">
        <f t="shared" si="14"/>
        <v>168.80000000000007</v>
      </c>
      <c r="N335" s="1">
        <v>-1.2</v>
      </c>
      <c r="O335" s="1">
        <f t="shared" si="9"/>
        <v>82.9</v>
      </c>
      <c r="P335" s="6">
        <v>80</v>
      </c>
      <c r="Q335" s="1">
        <v>1</v>
      </c>
      <c r="R335" s="14">
        <f t="shared" si="10"/>
        <v>1.2</v>
      </c>
      <c r="S335" s="14">
        <f t="shared" si="11"/>
        <v>-1.2</v>
      </c>
      <c r="T335" s="15">
        <f t="shared" si="15"/>
        <v>102.01714285714284</v>
      </c>
      <c r="U335" s="23" t="s">
        <v>34</v>
      </c>
      <c r="V335" s="1">
        <v>761.9</v>
      </c>
      <c r="X335" s="1">
        <f t="shared" si="16"/>
        <v>73444.900000000038</v>
      </c>
      <c r="Y335" s="1">
        <f t="shared" ref="Y335:Y398" si="19">Y334+V335</f>
        <v>1365.1</v>
      </c>
      <c r="Z335" s="23" t="s">
        <v>35</v>
      </c>
      <c r="AA335" s="1">
        <v>9.3312121421840395</v>
      </c>
    </row>
    <row r="336" spans="1:27" s="1" customFormat="1" x14ac:dyDescent="0.25">
      <c r="A336" s="69"/>
      <c r="B336" s="3"/>
      <c r="C336" s="8">
        <v>40509</v>
      </c>
      <c r="D336" s="1">
        <v>3.1</v>
      </c>
      <c r="E336" s="1">
        <v>-1.3</v>
      </c>
      <c r="F336" s="1">
        <v>6.7</v>
      </c>
      <c r="G336" s="1">
        <f t="shared" si="12"/>
        <v>1065.9000000000001</v>
      </c>
      <c r="H336" s="1">
        <f t="shared" si="18"/>
        <v>13.7</v>
      </c>
      <c r="I336" s="1">
        <f>MAX(F333:F375)</f>
        <v>19.3</v>
      </c>
      <c r="J336" s="1">
        <v>1.8</v>
      </c>
      <c r="K336" s="1">
        <f t="shared" si="13"/>
        <v>190.19999999999993</v>
      </c>
      <c r="L336" s="1">
        <v>0.7</v>
      </c>
      <c r="M336" s="1">
        <f t="shared" si="14"/>
        <v>169.50000000000006</v>
      </c>
      <c r="N336" s="1">
        <v>1.1000000000000001</v>
      </c>
      <c r="O336" s="1">
        <f t="shared" si="9"/>
        <v>84</v>
      </c>
      <c r="P336" s="6">
        <v>81</v>
      </c>
      <c r="Q336" s="1">
        <v>1</v>
      </c>
      <c r="R336" s="14">
        <f t="shared" si="10"/>
        <v>0.7</v>
      </c>
      <c r="S336" s="14">
        <f t="shared" si="11"/>
        <v>1.1000000000000001</v>
      </c>
      <c r="T336" s="15">
        <f t="shared" si="15"/>
        <v>103.11714285714284</v>
      </c>
      <c r="U336" s="1">
        <v>0</v>
      </c>
      <c r="V336" s="1">
        <v>432.3</v>
      </c>
      <c r="X336" s="1">
        <f t="shared" si="16"/>
        <v>73877.200000000041</v>
      </c>
      <c r="Y336" s="1">
        <f t="shared" si="19"/>
        <v>1797.3999999999999</v>
      </c>
      <c r="Z336" s="16">
        <f>(Z334/100)/I346</f>
        <v>1.0029776810016333</v>
      </c>
      <c r="AA336" s="1">
        <v>9.3015779451449401</v>
      </c>
    </row>
    <row r="337" spans="1:27" s="1" customFormat="1" x14ac:dyDescent="0.25">
      <c r="A337" s="69"/>
      <c r="B337" s="3"/>
      <c r="C337" s="8">
        <v>40510</v>
      </c>
      <c r="D337" s="1">
        <v>3</v>
      </c>
      <c r="E337" s="1">
        <v>-1.6</v>
      </c>
      <c r="F337" s="1">
        <v>9</v>
      </c>
      <c r="G337" s="1">
        <f t="shared" si="12"/>
        <v>1068.9000000000001</v>
      </c>
      <c r="H337" s="1">
        <f t="shared" si="18"/>
        <v>16.7</v>
      </c>
      <c r="I337" s="23" t="s">
        <v>36</v>
      </c>
      <c r="J337" s="1">
        <v>0.1</v>
      </c>
      <c r="K337" s="1">
        <f t="shared" si="13"/>
        <v>190.29999999999993</v>
      </c>
      <c r="L337" s="1">
        <v>0.9</v>
      </c>
      <c r="M337" s="1">
        <f t="shared" si="14"/>
        <v>170.40000000000006</v>
      </c>
      <c r="N337" s="1">
        <v>-0.8</v>
      </c>
      <c r="O337" s="1">
        <f t="shared" si="9"/>
        <v>83.2</v>
      </c>
      <c r="P337" s="6">
        <v>82</v>
      </c>
      <c r="Q337" s="1">
        <v>1</v>
      </c>
      <c r="R337" s="14">
        <f t="shared" si="10"/>
        <v>0.9</v>
      </c>
      <c r="S337" s="14">
        <f t="shared" si="11"/>
        <v>-0.8</v>
      </c>
      <c r="T337" s="15">
        <f t="shared" si="15"/>
        <v>102.31714285714284</v>
      </c>
      <c r="U337" s="23" t="s">
        <v>37</v>
      </c>
      <c r="V337" s="1">
        <v>526.29999999999995</v>
      </c>
      <c r="X337" s="1">
        <f t="shared" si="16"/>
        <v>74403.500000000044</v>
      </c>
      <c r="Y337" s="1">
        <f t="shared" si="19"/>
        <v>2323.6999999999998</v>
      </c>
      <c r="Z337" s="23" t="s">
        <v>38</v>
      </c>
      <c r="AA337" s="1">
        <v>9.2728462661720794</v>
      </c>
    </row>
    <row r="338" spans="1:27" s="1" customFormat="1" x14ac:dyDescent="0.25">
      <c r="A338" s="69"/>
      <c r="B338" s="3"/>
      <c r="C338" s="8">
        <v>40511</v>
      </c>
      <c r="D338" s="1">
        <v>2.5</v>
      </c>
      <c r="E338" s="1">
        <v>-1.9</v>
      </c>
      <c r="F338" s="1">
        <v>6.8</v>
      </c>
      <c r="G338" s="1">
        <f t="shared" si="12"/>
        <v>1071.4000000000001</v>
      </c>
      <c r="H338" s="1">
        <f t="shared" si="18"/>
        <v>19.2</v>
      </c>
      <c r="I338" s="14">
        <f>AVERAGE(D333:D375)</f>
        <v>4.1744186046511649</v>
      </c>
      <c r="J338" s="1">
        <v>0.9</v>
      </c>
      <c r="K338" s="1">
        <f t="shared" si="13"/>
        <v>191.19999999999993</v>
      </c>
      <c r="L338" s="1">
        <v>0.6</v>
      </c>
      <c r="M338" s="1">
        <f t="shared" si="14"/>
        <v>171.00000000000006</v>
      </c>
      <c r="N338" s="1">
        <v>0.30000000000000004</v>
      </c>
      <c r="O338" s="1">
        <f t="shared" si="9"/>
        <v>83.5</v>
      </c>
      <c r="P338" s="6">
        <v>83</v>
      </c>
      <c r="Q338" s="1">
        <v>1</v>
      </c>
      <c r="R338" s="14">
        <f t="shared" si="10"/>
        <v>0.6</v>
      </c>
      <c r="S338" s="14">
        <f t="shared" si="11"/>
        <v>0.30000000000000004</v>
      </c>
      <c r="T338" s="15">
        <f t="shared" si="15"/>
        <v>102.61714285714284</v>
      </c>
      <c r="U338" s="1">
        <v>0</v>
      </c>
      <c r="V338" s="1">
        <v>720.6</v>
      </c>
      <c r="X338" s="1">
        <f t="shared" si="16"/>
        <v>75124.100000000049</v>
      </c>
      <c r="Y338" s="1">
        <f t="shared" si="19"/>
        <v>3044.2999999999997</v>
      </c>
      <c r="Z338" s="1">
        <v>43</v>
      </c>
      <c r="AA338" s="1">
        <v>9.2450409523719106</v>
      </c>
    </row>
    <row r="339" spans="1:27" s="1" customFormat="1" x14ac:dyDescent="0.25">
      <c r="A339" s="69"/>
      <c r="B339" s="3"/>
      <c r="C339" s="8">
        <v>40512</v>
      </c>
      <c r="D339" s="1">
        <v>4.5</v>
      </c>
      <c r="E339" s="1">
        <v>1.7</v>
      </c>
      <c r="F339" s="1">
        <v>8.6</v>
      </c>
      <c r="G339" s="1">
        <f t="shared" si="12"/>
        <v>1075.9000000000001</v>
      </c>
      <c r="H339" s="1">
        <f t="shared" si="18"/>
        <v>23.7</v>
      </c>
      <c r="I339" s="23" t="s">
        <v>39</v>
      </c>
      <c r="J339" s="1">
        <v>0</v>
      </c>
      <c r="K339" s="1">
        <f t="shared" si="13"/>
        <v>191.19999999999993</v>
      </c>
      <c r="L339" s="1">
        <v>0.9</v>
      </c>
      <c r="M339" s="1">
        <f t="shared" si="14"/>
        <v>171.90000000000006</v>
      </c>
      <c r="N339" s="1">
        <v>-0.9</v>
      </c>
      <c r="O339" s="1">
        <f t="shared" si="9"/>
        <v>82.6</v>
      </c>
      <c r="P339" s="6">
        <v>84</v>
      </c>
      <c r="Q339" s="1">
        <v>1</v>
      </c>
      <c r="R339" s="14">
        <f t="shared" si="10"/>
        <v>0.9</v>
      </c>
      <c r="S339" s="14">
        <f t="shared" si="11"/>
        <v>-0.9</v>
      </c>
      <c r="T339" s="15">
        <f t="shared" si="15"/>
        <v>101.71714285714283</v>
      </c>
      <c r="U339" s="23" t="s">
        <v>40</v>
      </c>
      <c r="V339" s="1">
        <v>209.9</v>
      </c>
      <c r="X339" s="1">
        <f t="shared" si="16"/>
        <v>75334.000000000044</v>
      </c>
      <c r="Y339" s="1">
        <f t="shared" si="19"/>
        <v>3254.2</v>
      </c>
      <c r="AA339" s="1">
        <v>9.2181856076983308</v>
      </c>
    </row>
    <row r="340" spans="1:27" s="1" customFormat="1" x14ac:dyDescent="0.25">
      <c r="A340" s="69"/>
      <c r="B340" s="3"/>
      <c r="C340" s="8">
        <v>40513</v>
      </c>
      <c r="D340" s="1">
        <v>1.6</v>
      </c>
      <c r="E340" s="1">
        <v>0.6</v>
      </c>
      <c r="F340" s="1">
        <v>4.4000000000000004</v>
      </c>
      <c r="G340" s="1">
        <f t="shared" si="12"/>
        <v>1077.5</v>
      </c>
      <c r="H340" s="1">
        <f t="shared" si="18"/>
        <v>25.3</v>
      </c>
      <c r="I340" s="1">
        <v>18</v>
      </c>
      <c r="J340" s="1">
        <v>0.2</v>
      </c>
      <c r="K340" s="1">
        <f t="shared" si="13"/>
        <v>191.39999999999992</v>
      </c>
      <c r="L340" s="1">
        <v>0.4</v>
      </c>
      <c r="M340" s="1">
        <f t="shared" si="14"/>
        <v>172.30000000000007</v>
      </c>
      <c r="N340" s="1">
        <v>-0.2</v>
      </c>
      <c r="O340" s="1">
        <f t="shared" si="9"/>
        <v>82.399999999999991</v>
      </c>
      <c r="P340" s="6">
        <v>85</v>
      </c>
      <c r="Q340" s="1">
        <v>1</v>
      </c>
      <c r="R340" s="14">
        <f t="shared" si="10"/>
        <v>0.4</v>
      </c>
      <c r="S340" s="14">
        <f t="shared" si="11"/>
        <v>-0.2</v>
      </c>
      <c r="T340" s="15">
        <f t="shared" si="15"/>
        <v>101.51714285714283</v>
      </c>
      <c r="U340" s="14">
        <f>MIN(T333:T375)</f>
        <v>89.817142857142798</v>
      </c>
      <c r="V340" s="1">
        <v>238.4</v>
      </c>
      <c r="X340" s="1">
        <f t="shared" si="16"/>
        <v>75572.400000000038</v>
      </c>
      <c r="Y340" s="1">
        <f t="shared" si="19"/>
        <v>3492.6</v>
      </c>
      <c r="AA340" s="1">
        <v>9.1923035321696798</v>
      </c>
    </row>
    <row r="341" spans="1:27" s="1" customFormat="1" x14ac:dyDescent="0.25">
      <c r="A341" s="69"/>
      <c r="B341" s="3"/>
      <c r="C341" s="8">
        <v>40514</v>
      </c>
      <c r="D341" s="1">
        <v>2</v>
      </c>
      <c r="E341" s="1">
        <v>-1.7</v>
      </c>
      <c r="F341" s="1">
        <v>5.8</v>
      </c>
      <c r="G341" s="1">
        <f t="shared" si="12"/>
        <v>1079.5</v>
      </c>
      <c r="H341" s="1">
        <f t="shared" si="18"/>
        <v>27.3</v>
      </c>
      <c r="I341" s="23" t="s">
        <v>41</v>
      </c>
      <c r="J341" s="1">
        <v>0.5</v>
      </c>
      <c r="K341" s="1">
        <f t="shared" si="13"/>
        <v>191.89999999999992</v>
      </c>
      <c r="L341" s="1">
        <v>0.7</v>
      </c>
      <c r="M341" s="1">
        <f t="shared" si="14"/>
        <v>173.00000000000006</v>
      </c>
      <c r="N341" s="1">
        <v>-0.19999999999999996</v>
      </c>
      <c r="O341" s="1">
        <f t="shared" si="9"/>
        <v>82.199999999999989</v>
      </c>
      <c r="P341" s="6">
        <v>86</v>
      </c>
      <c r="Q341" s="1">
        <v>1</v>
      </c>
      <c r="R341" s="14">
        <f t="shared" si="10"/>
        <v>0.7</v>
      </c>
      <c r="S341" s="14">
        <f t="shared" si="11"/>
        <v>-0.19999999999999996</v>
      </c>
      <c r="T341" s="15">
        <f t="shared" si="15"/>
        <v>101.31714285714283</v>
      </c>
      <c r="U341" s="23" t="s">
        <v>42</v>
      </c>
      <c r="V341" s="1">
        <v>571.29999999999995</v>
      </c>
      <c r="X341" s="1">
        <f t="shared" si="16"/>
        <v>76143.700000000041</v>
      </c>
      <c r="Y341" s="1">
        <f t="shared" si="19"/>
        <v>4063.8999999999996</v>
      </c>
      <c r="AA341" s="1">
        <v>9.1674176596340509</v>
      </c>
    </row>
    <row r="342" spans="1:27" s="1" customFormat="1" x14ac:dyDescent="0.25">
      <c r="A342" s="69"/>
      <c r="B342" s="3"/>
      <c r="C342" s="8">
        <v>40515</v>
      </c>
      <c r="D342" s="1">
        <v>2</v>
      </c>
      <c r="E342" s="1">
        <v>-0.4</v>
      </c>
      <c r="F342" s="1">
        <v>3.5</v>
      </c>
      <c r="G342" s="1">
        <f t="shared" si="12"/>
        <v>1081.5</v>
      </c>
      <c r="H342" s="1">
        <f t="shared" si="18"/>
        <v>29.3</v>
      </c>
      <c r="I342" s="1">
        <v>0</v>
      </c>
      <c r="J342" s="1">
        <v>0.1</v>
      </c>
      <c r="K342" s="1">
        <f t="shared" si="13"/>
        <v>191.99999999999991</v>
      </c>
      <c r="L342" s="1">
        <v>0.5</v>
      </c>
      <c r="M342" s="1">
        <f t="shared" si="14"/>
        <v>173.50000000000006</v>
      </c>
      <c r="N342" s="1">
        <v>-0.4</v>
      </c>
      <c r="O342" s="1">
        <f t="shared" si="9"/>
        <v>81.799999999999983</v>
      </c>
      <c r="P342" s="6">
        <v>87</v>
      </c>
      <c r="Q342" s="1">
        <v>1</v>
      </c>
      <c r="R342" s="14">
        <f t="shared" si="10"/>
        <v>0.5</v>
      </c>
      <c r="S342" s="14">
        <f t="shared" si="11"/>
        <v>-0.4</v>
      </c>
      <c r="T342" s="15">
        <f t="shared" si="15"/>
        <v>100.91714285714282</v>
      </c>
      <c r="U342" s="14">
        <f>MAX(T333:T375)</f>
        <v>105.6171428571428</v>
      </c>
      <c r="V342" s="1">
        <v>360.5</v>
      </c>
      <c r="X342" s="1">
        <f t="shared" si="16"/>
        <v>76504.200000000041</v>
      </c>
      <c r="Y342" s="1">
        <f t="shared" si="19"/>
        <v>4424.3999999999996</v>
      </c>
      <c r="AA342" s="1">
        <v>9.1435504943525494</v>
      </c>
    </row>
    <row r="343" spans="1:27" s="1" customFormat="1" x14ac:dyDescent="0.25">
      <c r="A343" s="69"/>
      <c r="B343" s="3"/>
      <c r="C343" s="8">
        <v>40516</v>
      </c>
      <c r="D343" s="1">
        <v>3.1</v>
      </c>
      <c r="E343" s="1">
        <v>0.2</v>
      </c>
      <c r="F343" s="1">
        <v>6.5</v>
      </c>
      <c r="G343" s="1">
        <f t="shared" si="12"/>
        <v>1084.5999999999999</v>
      </c>
      <c r="H343" s="1">
        <f t="shared" si="18"/>
        <v>32.4</v>
      </c>
      <c r="I343" s="23" t="s">
        <v>43</v>
      </c>
      <c r="J343" s="1">
        <v>0</v>
      </c>
      <c r="K343" s="1">
        <f t="shared" si="13"/>
        <v>191.99999999999991</v>
      </c>
      <c r="L343" s="1">
        <v>0.9</v>
      </c>
      <c r="M343" s="1">
        <f t="shared" si="14"/>
        <v>174.40000000000006</v>
      </c>
      <c r="N343" s="1">
        <v>-0.9</v>
      </c>
      <c r="O343" s="1">
        <f t="shared" si="9"/>
        <v>80.899999999999977</v>
      </c>
      <c r="P343" s="6">
        <v>88</v>
      </c>
      <c r="Q343" s="1">
        <v>1</v>
      </c>
      <c r="R343" s="14">
        <f t="shared" si="10"/>
        <v>0.9</v>
      </c>
      <c r="S343" s="14">
        <f t="shared" si="11"/>
        <v>-0.9</v>
      </c>
      <c r="T343" s="15">
        <f t="shared" si="15"/>
        <v>100.01714285714282</v>
      </c>
      <c r="U343" s="23" t="s">
        <v>44</v>
      </c>
      <c r="V343" s="1">
        <v>791</v>
      </c>
      <c r="X343" s="1">
        <f t="shared" si="16"/>
        <v>77295.200000000041</v>
      </c>
      <c r="Y343" s="1">
        <f t="shared" si="19"/>
        <v>5215.3999999999996</v>
      </c>
      <c r="AA343" s="1">
        <v>9.1207240466944004</v>
      </c>
    </row>
    <row r="344" spans="1:27" s="1" customFormat="1" x14ac:dyDescent="0.25">
      <c r="A344" s="69"/>
      <c r="B344" s="3"/>
      <c r="C344" s="8">
        <v>40517</v>
      </c>
      <c r="D344" s="1">
        <v>7.8</v>
      </c>
      <c r="E344" s="1">
        <v>2.9</v>
      </c>
      <c r="F344" s="1">
        <v>10.9</v>
      </c>
      <c r="G344" s="1">
        <f t="shared" si="12"/>
        <v>1092.3999999999999</v>
      </c>
      <c r="H344" s="1">
        <f t="shared" si="18"/>
        <v>40.199999999999996</v>
      </c>
      <c r="I344" s="1">
        <v>16</v>
      </c>
      <c r="J344" s="1">
        <v>0.4</v>
      </c>
      <c r="K344" s="1">
        <f t="shared" si="13"/>
        <v>192.39999999999992</v>
      </c>
      <c r="L344" s="1">
        <v>1.2</v>
      </c>
      <c r="M344" s="1">
        <f t="shared" si="14"/>
        <v>175.60000000000005</v>
      </c>
      <c r="N344" s="1">
        <v>-0.79999999999999993</v>
      </c>
      <c r="O344" s="1">
        <f t="shared" si="9"/>
        <v>80.09999999999998</v>
      </c>
      <c r="P344" s="6">
        <v>89</v>
      </c>
      <c r="Q344" s="1">
        <v>1</v>
      </c>
      <c r="R344" s="14">
        <f t="shared" si="10"/>
        <v>1.2</v>
      </c>
      <c r="S344" s="14">
        <f t="shared" si="11"/>
        <v>-0.79999999999999993</v>
      </c>
      <c r="T344" s="15">
        <f t="shared" si="15"/>
        <v>99.217142857142818</v>
      </c>
      <c r="U344" s="14">
        <f>AVERAGE(T333:T375)</f>
        <v>98.321794019933506</v>
      </c>
      <c r="V344" s="1">
        <v>209.7</v>
      </c>
      <c r="X344" s="1">
        <f t="shared" si="16"/>
        <v>77504.900000000038</v>
      </c>
      <c r="Y344" s="1">
        <f t="shared" si="19"/>
        <v>5425.0999999999995</v>
      </c>
      <c r="AA344" s="1">
        <v>9.0989597682599204</v>
      </c>
    </row>
    <row r="345" spans="1:27" s="1" customFormat="1" x14ac:dyDescent="0.25">
      <c r="A345" s="69"/>
      <c r="B345" s="3"/>
      <c r="C345" s="8">
        <v>40518</v>
      </c>
      <c r="D345" s="1">
        <v>11.1</v>
      </c>
      <c r="E345" s="1">
        <v>9</v>
      </c>
      <c r="F345" s="1">
        <v>13.1</v>
      </c>
      <c r="G345" s="1">
        <f t="shared" si="12"/>
        <v>1103.4999999999998</v>
      </c>
      <c r="H345" s="1">
        <f t="shared" si="18"/>
        <v>51.3</v>
      </c>
      <c r="I345" s="23" t="s">
        <v>45</v>
      </c>
      <c r="J345" s="1">
        <v>1</v>
      </c>
      <c r="K345" s="1">
        <f t="shared" si="13"/>
        <v>193.39999999999992</v>
      </c>
      <c r="L345" s="1">
        <v>0.9</v>
      </c>
      <c r="M345" s="1">
        <f t="shared" si="14"/>
        <v>176.50000000000006</v>
      </c>
      <c r="N345" s="1">
        <v>9.9999999999999978E-2</v>
      </c>
      <c r="O345" s="1">
        <f t="shared" si="9"/>
        <v>80.199999999999974</v>
      </c>
      <c r="P345" s="6">
        <v>90</v>
      </c>
      <c r="Q345" s="1">
        <v>1</v>
      </c>
      <c r="R345" s="14">
        <f t="shared" si="10"/>
        <v>0.9</v>
      </c>
      <c r="S345" s="14">
        <f t="shared" si="11"/>
        <v>9.9999999999999978E-2</v>
      </c>
      <c r="T345" s="15">
        <f t="shared" si="15"/>
        <v>99.317142857142812</v>
      </c>
      <c r="U345" s="23" t="s">
        <v>47</v>
      </c>
      <c r="V345" s="1">
        <v>128.19999999999999</v>
      </c>
      <c r="X345" s="1">
        <f t="shared" si="16"/>
        <v>77633.100000000035</v>
      </c>
      <c r="Y345" s="1">
        <f t="shared" si="19"/>
        <v>5553.2999999999993</v>
      </c>
      <c r="AA345" s="1">
        <v>9.0782784867684505</v>
      </c>
    </row>
    <row r="346" spans="1:27" s="1" customFormat="1" x14ac:dyDescent="0.25">
      <c r="A346" s="69"/>
      <c r="B346" s="3"/>
      <c r="C346" s="8">
        <v>40519</v>
      </c>
      <c r="D346" s="1">
        <v>12.2</v>
      </c>
      <c r="E346" s="1">
        <v>8.5</v>
      </c>
      <c r="F346" s="1">
        <v>15.8</v>
      </c>
      <c r="G346" s="1">
        <f t="shared" si="12"/>
        <v>1115.6999999999998</v>
      </c>
      <c r="H346" s="1">
        <f t="shared" si="18"/>
        <v>63.5</v>
      </c>
      <c r="I346" s="1">
        <v>183.7</v>
      </c>
      <c r="J346" s="1">
        <v>0.7</v>
      </c>
      <c r="K346" s="1">
        <f t="shared" si="13"/>
        <v>194.09999999999991</v>
      </c>
      <c r="L346" s="1">
        <v>1.1000000000000001</v>
      </c>
      <c r="M346" s="1">
        <f t="shared" si="14"/>
        <v>177.60000000000005</v>
      </c>
      <c r="N346" s="1">
        <v>-0.40000000000000013</v>
      </c>
      <c r="O346" s="1">
        <f t="shared" si="9"/>
        <v>79.799999999999969</v>
      </c>
      <c r="P346" s="6">
        <v>91</v>
      </c>
      <c r="Q346" s="1">
        <v>1</v>
      </c>
      <c r="R346" s="14">
        <f t="shared" si="10"/>
        <v>1.1000000000000001</v>
      </c>
      <c r="S346" s="14">
        <f t="shared" si="11"/>
        <v>-0.40000000000000013</v>
      </c>
      <c r="T346" s="15">
        <f t="shared" si="15"/>
        <v>98.917142857142807</v>
      </c>
      <c r="U346" s="14">
        <v>15</v>
      </c>
      <c r="V346" s="1">
        <v>504.1</v>
      </c>
      <c r="X346" s="1">
        <f t="shared" si="16"/>
        <v>78137.200000000041</v>
      </c>
      <c r="Y346" s="1">
        <f t="shared" si="19"/>
        <v>6057.4</v>
      </c>
      <c r="AA346" s="1">
        <v>9.0587003410666203</v>
      </c>
    </row>
    <row r="347" spans="1:27" s="1" customFormat="1" x14ac:dyDescent="0.25">
      <c r="A347" s="69"/>
      <c r="B347" s="3"/>
      <c r="C347" s="8">
        <v>40520</v>
      </c>
      <c r="D347" s="1">
        <v>14</v>
      </c>
      <c r="E347" s="1">
        <v>11.8</v>
      </c>
      <c r="F347" s="1">
        <v>19.3</v>
      </c>
      <c r="G347" s="1">
        <f t="shared" si="12"/>
        <v>1129.6999999999998</v>
      </c>
      <c r="H347" s="1">
        <f t="shared" si="18"/>
        <v>77.5</v>
      </c>
      <c r="J347" s="1">
        <v>0</v>
      </c>
      <c r="K347" s="1">
        <f t="shared" si="13"/>
        <v>194.09999999999991</v>
      </c>
      <c r="L347" s="1">
        <v>1.7</v>
      </c>
      <c r="M347" s="1">
        <f t="shared" si="14"/>
        <v>179.30000000000004</v>
      </c>
      <c r="N347" s="1">
        <v>-1.7</v>
      </c>
      <c r="O347" s="1">
        <f t="shared" si="9"/>
        <v>78.099999999999966</v>
      </c>
      <c r="P347" s="6">
        <v>92</v>
      </c>
      <c r="Q347" s="1">
        <v>1</v>
      </c>
      <c r="R347" s="14">
        <f t="shared" si="10"/>
        <v>1.7</v>
      </c>
      <c r="S347" s="14">
        <f t="shared" si="11"/>
        <v>-1.7</v>
      </c>
      <c r="T347" s="15">
        <f t="shared" si="15"/>
        <v>97.217142857142804</v>
      </c>
      <c r="V347" s="1">
        <v>703.1</v>
      </c>
      <c r="X347" s="1">
        <f t="shared" si="16"/>
        <v>78840.300000000047</v>
      </c>
      <c r="Y347" s="1">
        <f t="shared" si="19"/>
        <v>6760.5</v>
      </c>
      <c r="AA347" s="1">
        <v>9.0402447166284698</v>
      </c>
    </row>
    <row r="348" spans="1:27" s="1" customFormat="1" x14ac:dyDescent="0.25">
      <c r="A348" s="69"/>
      <c r="B348" s="3"/>
      <c r="C348" s="8">
        <v>40521</v>
      </c>
      <c r="D348" s="1">
        <v>4.8</v>
      </c>
      <c r="E348" s="1">
        <v>3.4</v>
      </c>
      <c r="F348" s="1">
        <v>6.4</v>
      </c>
      <c r="G348" s="1">
        <f t="shared" si="12"/>
        <v>1134.4999999999998</v>
      </c>
      <c r="H348" s="1">
        <f t="shared" si="18"/>
        <v>82.3</v>
      </c>
      <c r="J348" s="1">
        <v>0</v>
      </c>
      <c r="K348" s="1">
        <f t="shared" si="13"/>
        <v>194.09999999999991</v>
      </c>
      <c r="L348" s="1">
        <v>0.7</v>
      </c>
      <c r="M348" s="1">
        <f t="shared" si="14"/>
        <v>180.00000000000003</v>
      </c>
      <c r="N348" s="1">
        <v>-0.7</v>
      </c>
      <c r="O348" s="1">
        <f t="shared" si="9"/>
        <v>77.399999999999963</v>
      </c>
      <c r="P348" s="6">
        <v>93</v>
      </c>
      <c r="Q348" s="1">
        <v>1</v>
      </c>
      <c r="R348" s="14">
        <f t="shared" si="10"/>
        <v>0.7</v>
      </c>
      <c r="S348" s="14">
        <f t="shared" si="11"/>
        <v>-0.7</v>
      </c>
      <c r="T348" s="15">
        <f t="shared" si="15"/>
        <v>96.517142857142801</v>
      </c>
      <c r="V348" s="1">
        <v>230.3</v>
      </c>
      <c r="X348" s="1">
        <f t="shared" si="16"/>
        <v>79070.600000000049</v>
      </c>
      <c r="Y348" s="1">
        <f t="shared" si="19"/>
        <v>6990.8</v>
      </c>
      <c r="AA348" s="1">
        <v>9.0229301819317502</v>
      </c>
    </row>
    <row r="349" spans="1:27" s="1" customFormat="1" x14ac:dyDescent="0.25">
      <c r="A349" s="69"/>
      <c r="B349" s="3"/>
      <c r="C349" s="8">
        <v>40522</v>
      </c>
      <c r="D349" s="1">
        <v>0.4</v>
      </c>
      <c r="E349" s="1">
        <v>-2.4</v>
      </c>
      <c r="F349" s="1">
        <v>4</v>
      </c>
      <c r="G349" s="1">
        <f t="shared" si="12"/>
        <v>1134.8999999999999</v>
      </c>
      <c r="H349" s="1">
        <f t="shared" si="18"/>
        <v>82.7</v>
      </c>
      <c r="J349" s="1">
        <v>0</v>
      </c>
      <c r="K349" s="1">
        <f t="shared" si="13"/>
        <v>194.09999999999991</v>
      </c>
      <c r="L349" s="1">
        <v>0.9</v>
      </c>
      <c r="M349" s="1">
        <f t="shared" si="14"/>
        <v>180.90000000000003</v>
      </c>
      <c r="N349" s="1">
        <v>-0.9</v>
      </c>
      <c r="O349" s="1">
        <f t="shared" si="9"/>
        <v>76.499999999999957</v>
      </c>
      <c r="P349" s="6">
        <v>94</v>
      </c>
      <c r="Q349" s="1">
        <v>1</v>
      </c>
      <c r="R349" s="14">
        <f t="shared" si="10"/>
        <v>0.9</v>
      </c>
      <c r="S349" s="14">
        <f t="shared" si="11"/>
        <v>-0.9</v>
      </c>
      <c r="T349" s="15">
        <f t="shared" si="15"/>
        <v>95.617142857142795</v>
      </c>
      <c r="V349" s="1">
        <v>882.2</v>
      </c>
      <c r="X349" s="1">
        <f t="shared" si="16"/>
        <v>79952.800000000047</v>
      </c>
      <c r="Y349" s="1">
        <f t="shared" si="19"/>
        <v>7873</v>
      </c>
      <c r="AA349" s="1">
        <v>9.0067744261043305</v>
      </c>
    </row>
    <row r="350" spans="1:27" s="1" customFormat="1" x14ac:dyDescent="0.25">
      <c r="A350" s="69"/>
      <c r="B350" s="24"/>
      <c r="C350" s="8">
        <v>40523</v>
      </c>
      <c r="D350" s="1">
        <v>1.2</v>
      </c>
      <c r="E350" s="1">
        <v>-3.3</v>
      </c>
      <c r="F350" s="1">
        <v>7.6</v>
      </c>
      <c r="G350" s="1">
        <f t="shared" si="12"/>
        <v>1136.0999999999999</v>
      </c>
      <c r="H350" s="1">
        <f t="shared" si="18"/>
        <v>83.9</v>
      </c>
      <c r="J350" s="1">
        <v>0</v>
      </c>
      <c r="K350" s="1">
        <f t="shared" si="13"/>
        <v>194.09999999999991</v>
      </c>
      <c r="L350" s="1">
        <v>1.2</v>
      </c>
      <c r="M350" s="1">
        <f t="shared" si="14"/>
        <v>182.10000000000002</v>
      </c>
      <c r="N350" s="1">
        <v>-1.2</v>
      </c>
      <c r="O350" s="1">
        <f t="shared" si="9"/>
        <v>75.299999999999955</v>
      </c>
      <c r="P350" s="6">
        <v>95</v>
      </c>
      <c r="Q350" s="1">
        <v>1</v>
      </c>
      <c r="R350" s="14">
        <f t="shared" si="10"/>
        <v>1.2</v>
      </c>
      <c r="S350" s="14">
        <f t="shared" si="11"/>
        <v>-1.2</v>
      </c>
      <c r="T350" s="15">
        <f t="shared" si="15"/>
        <v>94.417142857142792</v>
      </c>
      <c r="V350" s="1">
        <v>822</v>
      </c>
      <c r="X350" s="1">
        <f t="shared" si="16"/>
        <v>80774.800000000047</v>
      </c>
      <c r="Y350" s="1">
        <f t="shared" si="19"/>
        <v>8695</v>
      </c>
      <c r="AA350" s="25">
        <v>8.9917941982407594</v>
      </c>
    </row>
    <row r="351" spans="1:27" s="1" customFormat="1" x14ac:dyDescent="0.25">
      <c r="A351" s="69"/>
      <c r="B351" s="24"/>
      <c r="C351" s="8">
        <v>40524</v>
      </c>
      <c r="D351" s="1">
        <v>2.7</v>
      </c>
      <c r="E351" s="1">
        <v>-2.2999999999999998</v>
      </c>
      <c r="F351" s="1">
        <v>9.5</v>
      </c>
      <c r="G351" s="1">
        <f t="shared" si="12"/>
        <v>1138.8</v>
      </c>
      <c r="H351" s="1">
        <f t="shared" si="18"/>
        <v>86.600000000000009</v>
      </c>
      <c r="J351" s="1">
        <v>0</v>
      </c>
      <c r="K351" s="1">
        <f t="shared" si="13"/>
        <v>194.09999999999991</v>
      </c>
      <c r="L351" s="1">
        <v>0.9</v>
      </c>
      <c r="M351" s="1">
        <f t="shared" si="14"/>
        <v>183.00000000000003</v>
      </c>
      <c r="N351" s="1">
        <v>-0.9</v>
      </c>
      <c r="O351" s="1">
        <f t="shared" ref="O351:O414" si="20">O350+N351</f>
        <v>74.399999999999949</v>
      </c>
      <c r="P351" s="6">
        <v>96</v>
      </c>
      <c r="Q351" s="1">
        <v>1</v>
      </c>
      <c r="R351" s="14">
        <f t="shared" si="10"/>
        <v>0.9</v>
      </c>
      <c r="S351" s="14">
        <f t="shared" si="11"/>
        <v>-0.9</v>
      </c>
      <c r="T351" s="15">
        <f t="shared" si="15"/>
        <v>93.517142857142787</v>
      </c>
      <c r="V351" s="1">
        <v>539.5</v>
      </c>
      <c r="X351" s="1">
        <f t="shared" si="16"/>
        <v>81314.300000000047</v>
      </c>
      <c r="Y351" s="1">
        <f t="shared" si="19"/>
        <v>9234.5</v>
      </c>
      <c r="AA351" s="25">
        <v>8.9780052487909998</v>
      </c>
    </row>
    <row r="352" spans="1:27" s="1" customFormat="1" x14ac:dyDescent="0.25">
      <c r="A352" s="69"/>
      <c r="B352" s="24"/>
      <c r="C352" s="8">
        <v>40525</v>
      </c>
      <c r="D352" s="1">
        <v>0.4</v>
      </c>
      <c r="E352" s="1">
        <v>-3.4</v>
      </c>
      <c r="F352" s="1">
        <v>5.9</v>
      </c>
      <c r="G352" s="1">
        <f t="shared" si="12"/>
        <v>1139.2</v>
      </c>
      <c r="H352" s="1">
        <f t="shared" si="18"/>
        <v>87.000000000000014</v>
      </c>
      <c r="J352" s="1">
        <v>0</v>
      </c>
      <c r="K352" s="1">
        <f t="shared" si="13"/>
        <v>194.09999999999991</v>
      </c>
      <c r="L352" s="1">
        <v>0.8</v>
      </c>
      <c r="M352" s="1">
        <f t="shared" si="14"/>
        <v>183.80000000000004</v>
      </c>
      <c r="N352" s="1">
        <v>-0.8</v>
      </c>
      <c r="O352" s="1">
        <f t="shared" si="20"/>
        <v>73.599999999999952</v>
      </c>
      <c r="P352" s="6">
        <v>97</v>
      </c>
      <c r="Q352" s="1">
        <v>1</v>
      </c>
      <c r="R352" s="14">
        <f t="shared" si="10"/>
        <v>0.8</v>
      </c>
      <c r="S352" s="14">
        <f t="shared" si="11"/>
        <v>-0.8</v>
      </c>
      <c r="T352" s="15">
        <f t="shared" si="15"/>
        <v>92.71714285714279</v>
      </c>
      <c r="V352" s="1">
        <v>709.8</v>
      </c>
      <c r="X352" s="1">
        <f t="shared" si="16"/>
        <v>82024.100000000049</v>
      </c>
      <c r="Y352" s="1">
        <f t="shared" si="19"/>
        <v>9944.2999999999993</v>
      </c>
      <c r="AA352" s="25">
        <v>8.9654222734210904</v>
      </c>
    </row>
    <row r="353" spans="1:27" s="1" customFormat="1" x14ac:dyDescent="0.25">
      <c r="A353" s="69"/>
      <c r="B353" s="24"/>
      <c r="C353" s="8">
        <v>40526</v>
      </c>
      <c r="D353" s="1">
        <v>0</v>
      </c>
      <c r="E353" s="1">
        <v>-4</v>
      </c>
      <c r="F353" s="1">
        <v>5.6</v>
      </c>
      <c r="G353" s="1">
        <f t="shared" si="12"/>
        <v>1139.2</v>
      </c>
      <c r="H353" s="1">
        <f t="shared" si="18"/>
        <v>87.000000000000014</v>
      </c>
      <c r="J353" s="1">
        <v>0</v>
      </c>
      <c r="K353" s="1">
        <f t="shared" si="13"/>
        <v>194.09999999999991</v>
      </c>
      <c r="L353" s="1">
        <v>1</v>
      </c>
      <c r="M353" s="1">
        <f t="shared" si="14"/>
        <v>184.80000000000004</v>
      </c>
      <c r="N353" s="1">
        <v>-1</v>
      </c>
      <c r="O353" s="1">
        <f t="shared" si="20"/>
        <v>72.599999999999952</v>
      </c>
      <c r="P353" s="6">
        <v>98</v>
      </c>
      <c r="Q353" s="1">
        <v>1</v>
      </c>
      <c r="R353" s="14">
        <f t="shared" si="10"/>
        <v>1</v>
      </c>
      <c r="S353" s="14">
        <f t="shared" si="11"/>
        <v>-1</v>
      </c>
      <c r="T353" s="15">
        <f t="shared" si="15"/>
        <v>91.71714285714279</v>
      </c>
      <c r="V353" s="1">
        <v>874.6</v>
      </c>
      <c r="X353" s="1">
        <f t="shared" si="16"/>
        <v>82898.700000000055</v>
      </c>
      <c r="Y353" s="1">
        <f t="shared" si="19"/>
        <v>10818.9</v>
      </c>
      <c r="AA353" s="25">
        <v>8.9540588597394901</v>
      </c>
    </row>
    <row r="354" spans="1:27" s="1" customFormat="1" x14ac:dyDescent="0.25">
      <c r="A354" s="69"/>
      <c r="B354" s="24"/>
      <c r="C354" s="8">
        <v>40527</v>
      </c>
      <c r="D354" s="1">
        <v>-1.7</v>
      </c>
      <c r="E354" s="1">
        <v>-2.4</v>
      </c>
      <c r="F354" s="1">
        <v>-0.3</v>
      </c>
      <c r="G354" s="1">
        <v>1139.2</v>
      </c>
      <c r="H354" s="1">
        <v>87</v>
      </c>
      <c r="J354" s="1">
        <v>0</v>
      </c>
      <c r="K354" s="1">
        <f t="shared" si="13"/>
        <v>194.09999999999991</v>
      </c>
      <c r="L354" s="1">
        <v>0.8</v>
      </c>
      <c r="M354" s="1">
        <f t="shared" si="14"/>
        <v>185.60000000000005</v>
      </c>
      <c r="N354" s="1">
        <v>-0.8</v>
      </c>
      <c r="O354" s="1">
        <f t="shared" si="20"/>
        <v>71.799999999999955</v>
      </c>
      <c r="P354" s="6">
        <v>99</v>
      </c>
      <c r="Q354" s="1">
        <v>1</v>
      </c>
      <c r="R354" s="14">
        <f t="shared" si="10"/>
        <v>0.8</v>
      </c>
      <c r="S354" s="14">
        <f t="shared" si="11"/>
        <v>-0.8</v>
      </c>
      <c r="T354" s="15">
        <f t="shared" si="15"/>
        <v>90.917142857142792</v>
      </c>
      <c r="V354" s="1">
        <v>610.20000000000005</v>
      </c>
      <c r="X354" s="1">
        <f t="shared" si="16"/>
        <v>83508.900000000052</v>
      </c>
      <c r="Y354" s="1">
        <f t="shared" si="19"/>
        <v>11429.1</v>
      </c>
      <c r="AA354" s="25">
        <v>8.9439274372714106</v>
      </c>
    </row>
    <row r="355" spans="1:27" s="1" customFormat="1" x14ac:dyDescent="0.25">
      <c r="A355" s="69"/>
      <c r="B355" s="24"/>
      <c r="C355" s="8">
        <v>40528</v>
      </c>
      <c r="D355" s="1">
        <v>1.8</v>
      </c>
      <c r="E355" s="1">
        <v>-2.4</v>
      </c>
      <c r="F355" s="1">
        <v>6.9</v>
      </c>
      <c r="G355" s="1">
        <f t="shared" si="12"/>
        <v>1141</v>
      </c>
      <c r="H355" s="1">
        <f t="shared" si="18"/>
        <v>88.8</v>
      </c>
      <c r="J355" s="1">
        <v>0.1</v>
      </c>
      <c r="K355" s="1">
        <f t="shared" si="13"/>
        <v>194.1999999999999</v>
      </c>
      <c r="L355" s="1">
        <v>1.2</v>
      </c>
      <c r="M355" s="1">
        <f t="shared" si="14"/>
        <v>186.80000000000004</v>
      </c>
      <c r="N355" s="1">
        <v>-1.0999999999999999</v>
      </c>
      <c r="O355" s="1">
        <f t="shared" si="20"/>
        <v>70.69999999999996</v>
      </c>
      <c r="P355" s="6">
        <v>100</v>
      </c>
      <c r="Q355" s="1">
        <v>1</v>
      </c>
      <c r="R355" s="14">
        <f t="shared" si="10"/>
        <v>1.2</v>
      </c>
      <c r="S355" s="14">
        <f t="shared" si="11"/>
        <v>-1.0999999999999999</v>
      </c>
      <c r="T355" s="15">
        <f t="shared" si="15"/>
        <v>89.817142857142798</v>
      </c>
      <c r="V355" s="1">
        <v>105.4</v>
      </c>
      <c r="X355" s="1">
        <f t="shared" si="16"/>
        <v>83614.300000000047</v>
      </c>
      <c r="Y355" s="1">
        <f t="shared" si="19"/>
        <v>11534.5</v>
      </c>
      <c r="AA355" s="25">
        <v>8.9350392310487798</v>
      </c>
    </row>
    <row r="356" spans="1:27" s="1" customFormat="1" x14ac:dyDescent="0.25">
      <c r="A356" s="69"/>
      <c r="B356" s="24"/>
      <c r="C356" s="8">
        <v>40529</v>
      </c>
      <c r="D356" s="1">
        <v>3.7</v>
      </c>
      <c r="E356" s="1">
        <v>2</v>
      </c>
      <c r="F356" s="1">
        <v>6.4</v>
      </c>
      <c r="G356" s="1">
        <f t="shared" si="12"/>
        <v>1144.7</v>
      </c>
      <c r="H356" s="1">
        <f t="shared" si="18"/>
        <v>92.5</v>
      </c>
      <c r="J356" s="1">
        <v>5</v>
      </c>
      <c r="K356" s="1">
        <f t="shared" si="13"/>
        <v>199.1999999999999</v>
      </c>
      <c r="L356" s="1">
        <v>0.8</v>
      </c>
      <c r="M356" s="1">
        <f t="shared" si="14"/>
        <v>187.60000000000005</v>
      </c>
      <c r="N356" s="1">
        <v>4.2</v>
      </c>
      <c r="O356" s="1">
        <f t="shared" si="20"/>
        <v>74.899999999999963</v>
      </c>
      <c r="P356" s="6">
        <v>101</v>
      </c>
      <c r="Q356" s="1">
        <v>1</v>
      </c>
      <c r="R356" s="14">
        <f t="shared" si="10"/>
        <v>0.8</v>
      </c>
      <c r="S356" s="14">
        <f t="shared" si="11"/>
        <v>4.2</v>
      </c>
      <c r="T356" s="15">
        <f t="shared" si="15"/>
        <v>94.017142857142801</v>
      </c>
      <c r="V356" s="1">
        <v>99.9</v>
      </c>
      <c r="X356" s="1">
        <f t="shared" si="16"/>
        <v>83714.200000000041</v>
      </c>
      <c r="Y356" s="1">
        <f t="shared" si="19"/>
        <v>11634.4</v>
      </c>
      <c r="AA356" s="25">
        <v>8.9274042191631295</v>
      </c>
    </row>
    <row r="357" spans="1:27" s="1" customFormat="1" x14ac:dyDescent="0.25">
      <c r="A357" s="69"/>
      <c r="B357" s="24"/>
      <c r="C357" s="8">
        <v>40530</v>
      </c>
      <c r="D357" s="1">
        <v>0.8</v>
      </c>
      <c r="E357" s="1">
        <v>-2.7</v>
      </c>
      <c r="F357" s="1">
        <v>4.2</v>
      </c>
      <c r="G357" s="1">
        <f t="shared" si="12"/>
        <v>1145.5</v>
      </c>
      <c r="H357" s="1">
        <f t="shared" si="18"/>
        <v>93.3</v>
      </c>
      <c r="J357" s="1">
        <v>0</v>
      </c>
      <c r="K357" s="1">
        <f t="shared" si="13"/>
        <v>199.1999999999999</v>
      </c>
      <c r="L357" s="1">
        <v>0.7</v>
      </c>
      <c r="M357" s="1">
        <f t="shared" si="14"/>
        <v>188.30000000000004</v>
      </c>
      <c r="N357" s="1">
        <v>-0.7</v>
      </c>
      <c r="O357" s="1">
        <f t="shared" si="20"/>
        <v>74.19999999999996</v>
      </c>
      <c r="P357" s="6">
        <v>102</v>
      </c>
      <c r="Q357" s="1">
        <v>1</v>
      </c>
      <c r="R357" s="14">
        <f t="shared" si="10"/>
        <v>0.7</v>
      </c>
      <c r="S357" s="14">
        <f t="shared" si="11"/>
        <v>-0.7</v>
      </c>
      <c r="T357" s="15">
        <f t="shared" si="15"/>
        <v>93.317142857142798</v>
      </c>
      <c r="V357" s="1">
        <v>645.29999999999995</v>
      </c>
      <c r="X357" s="1">
        <f t="shared" si="16"/>
        <v>84359.500000000044</v>
      </c>
      <c r="Y357" s="1">
        <f t="shared" si="19"/>
        <v>12279.699999999999</v>
      </c>
      <c r="AA357" s="25">
        <v>8.9210310946051994</v>
      </c>
    </row>
    <row r="358" spans="1:27" s="1" customFormat="1" x14ac:dyDescent="0.25">
      <c r="A358" s="69"/>
      <c r="B358" s="24"/>
      <c r="C358" s="8">
        <v>40531</v>
      </c>
      <c r="D358" s="1">
        <v>3.5</v>
      </c>
      <c r="E358" s="1">
        <v>-0.1</v>
      </c>
      <c r="F358" s="1">
        <v>8</v>
      </c>
      <c r="G358" s="1">
        <f t="shared" si="12"/>
        <v>1149</v>
      </c>
      <c r="H358" s="1">
        <f t="shared" si="18"/>
        <v>96.8</v>
      </c>
      <c r="J358" s="1">
        <v>0</v>
      </c>
      <c r="K358" s="1">
        <f t="shared" si="13"/>
        <v>199.1999999999999</v>
      </c>
      <c r="L358" s="1">
        <v>0.7</v>
      </c>
      <c r="M358" s="1">
        <f t="shared" si="14"/>
        <v>189.00000000000003</v>
      </c>
      <c r="N358" s="1">
        <v>-0.7</v>
      </c>
      <c r="O358" s="1">
        <f t="shared" si="20"/>
        <v>73.499999999999957</v>
      </c>
      <c r="P358" s="6">
        <v>103</v>
      </c>
      <c r="Q358" s="1">
        <v>1</v>
      </c>
      <c r="R358" s="14">
        <f t="shared" si="10"/>
        <v>0.7</v>
      </c>
      <c r="S358" s="14">
        <f t="shared" si="11"/>
        <v>-0.7</v>
      </c>
      <c r="T358" s="15">
        <f t="shared" si="15"/>
        <v>92.617142857142795</v>
      </c>
      <c r="V358" s="1">
        <v>315.8</v>
      </c>
      <c r="X358" s="1">
        <f t="shared" si="16"/>
        <v>84675.300000000047</v>
      </c>
      <c r="Y358" s="1">
        <f t="shared" si="19"/>
        <v>12595.499999999998</v>
      </c>
      <c r="AA358" s="25">
        <v>8.9159272316865401</v>
      </c>
    </row>
    <row r="359" spans="1:27" s="1" customFormat="1" x14ac:dyDescent="0.25">
      <c r="A359" s="69"/>
      <c r="B359" s="3"/>
      <c r="C359" s="8">
        <v>40532</v>
      </c>
      <c r="D359" s="1">
        <v>5.7</v>
      </c>
      <c r="E359" s="1">
        <v>1.7</v>
      </c>
      <c r="F359" s="1">
        <v>9.6999999999999993</v>
      </c>
      <c r="G359" s="1">
        <f t="shared" si="12"/>
        <v>1154.7</v>
      </c>
      <c r="H359" s="1">
        <f t="shared" si="18"/>
        <v>102.5</v>
      </c>
      <c r="J359" s="1">
        <v>0.2</v>
      </c>
      <c r="K359" s="1">
        <f t="shared" si="13"/>
        <v>199.39999999999989</v>
      </c>
      <c r="L359" s="1">
        <v>0.7</v>
      </c>
      <c r="M359" s="1">
        <f t="shared" si="14"/>
        <v>189.70000000000002</v>
      </c>
      <c r="N359" s="1">
        <v>-0.49999999999999994</v>
      </c>
      <c r="O359" s="1">
        <f t="shared" si="20"/>
        <v>72.999999999999957</v>
      </c>
      <c r="P359" s="6">
        <v>104</v>
      </c>
      <c r="Q359" s="1">
        <v>1</v>
      </c>
      <c r="R359" s="14">
        <f t="shared" si="10"/>
        <v>0.7</v>
      </c>
      <c r="S359" s="14">
        <f t="shared" si="11"/>
        <v>-0.49999999999999994</v>
      </c>
      <c r="T359" s="15">
        <f t="shared" si="15"/>
        <v>92.117142857142795</v>
      </c>
      <c r="V359" s="1">
        <v>579.9</v>
      </c>
      <c r="X359" s="1">
        <f t="shared" si="16"/>
        <v>85255.200000000041</v>
      </c>
      <c r="Y359" s="1">
        <f t="shared" si="19"/>
        <v>13175.399999999998</v>
      </c>
      <c r="AA359" s="25">
        <v>8.9120986573066894</v>
      </c>
    </row>
    <row r="360" spans="1:27" s="1" customFormat="1" x14ac:dyDescent="0.25">
      <c r="A360" s="69"/>
      <c r="B360" s="3"/>
      <c r="C360" s="8">
        <v>40533</v>
      </c>
      <c r="D360" s="1">
        <v>7.8</v>
      </c>
      <c r="E360" s="1">
        <v>5.4</v>
      </c>
      <c r="F360" s="1">
        <v>9.1999999999999993</v>
      </c>
      <c r="G360" s="1">
        <f t="shared" si="12"/>
        <v>1162.5</v>
      </c>
      <c r="H360" s="1">
        <f t="shared" si="18"/>
        <v>110.3</v>
      </c>
      <c r="J360" s="1">
        <v>0.2</v>
      </c>
      <c r="K360" s="1">
        <f t="shared" si="13"/>
        <v>199.59999999999988</v>
      </c>
      <c r="L360" s="1">
        <v>0.3</v>
      </c>
      <c r="M360" s="1">
        <f t="shared" si="14"/>
        <v>190.00000000000003</v>
      </c>
      <c r="N360" s="1">
        <v>-9.9999999999999978E-2</v>
      </c>
      <c r="O360" s="1">
        <f t="shared" si="20"/>
        <v>72.899999999999963</v>
      </c>
      <c r="P360" s="6">
        <v>105</v>
      </c>
      <c r="Q360" s="1">
        <v>1</v>
      </c>
      <c r="R360" s="14">
        <f t="shared" si="10"/>
        <v>0.3</v>
      </c>
      <c r="S360" s="14">
        <f t="shared" si="11"/>
        <v>-9.9999999999999978E-2</v>
      </c>
      <c r="T360" s="15">
        <f t="shared" si="15"/>
        <v>92.017142857142801</v>
      </c>
      <c r="V360" s="1">
        <v>166.6</v>
      </c>
      <c r="X360" s="1">
        <f t="shared" si="16"/>
        <v>85421.800000000047</v>
      </c>
      <c r="Y360" s="1">
        <f t="shared" si="19"/>
        <v>13341.999999999998</v>
      </c>
      <c r="AA360" s="25">
        <v>8.9095500272939407</v>
      </c>
    </row>
    <row r="361" spans="1:27" s="1" customFormat="1" x14ac:dyDescent="0.25">
      <c r="A361" s="69"/>
      <c r="B361" s="3"/>
      <c r="C361" s="8">
        <v>40534</v>
      </c>
      <c r="D361" s="1">
        <v>9.4</v>
      </c>
      <c r="E361" s="1">
        <v>6.6</v>
      </c>
      <c r="F361" s="1">
        <v>12</v>
      </c>
      <c r="G361" s="1">
        <f t="shared" si="12"/>
        <v>1171.9000000000001</v>
      </c>
      <c r="H361" s="1">
        <f t="shared" si="18"/>
        <v>119.7</v>
      </c>
      <c r="J361" s="1">
        <v>0.5</v>
      </c>
      <c r="K361" s="1">
        <f t="shared" si="13"/>
        <v>200.09999999999988</v>
      </c>
      <c r="L361" s="1">
        <v>0.3</v>
      </c>
      <c r="M361" s="1">
        <f t="shared" si="14"/>
        <v>190.30000000000004</v>
      </c>
      <c r="N361" s="1">
        <v>0.2</v>
      </c>
      <c r="O361" s="1">
        <f t="shared" si="20"/>
        <v>73.099999999999966</v>
      </c>
      <c r="P361" s="6">
        <v>106</v>
      </c>
      <c r="Q361" s="1">
        <v>1</v>
      </c>
      <c r="R361" s="14">
        <f t="shared" si="10"/>
        <v>0.3</v>
      </c>
      <c r="S361" s="14">
        <f t="shared" si="11"/>
        <v>0.2</v>
      </c>
      <c r="T361" s="15">
        <f t="shared" si="15"/>
        <v>92.217142857142804</v>
      </c>
      <c r="V361" s="1">
        <v>234.4</v>
      </c>
      <c r="X361" s="1">
        <f t="shared" si="16"/>
        <v>85656.200000000041</v>
      </c>
      <c r="Y361" s="1">
        <f t="shared" si="19"/>
        <v>13576.399999999998</v>
      </c>
      <c r="AA361" s="25">
        <v>8.9082846080093994</v>
      </c>
    </row>
    <row r="362" spans="1:27" s="1" customFormat="1" x14ac:dyDescent="0.25">
      <c r="A362" s="69"/>
      <c r="B362" s="3"/>
      <c r="C362" s="8">
        <v>40535</v>
      </c>
      <c r="D362" s="1">
        <v>6.8</v>
      </c>
      <c r="E362" s="1">
        <v>5.5</v>
      </c>
      <c r="F362" s="1">
        <v>8.9</v>
      </c>
      <c r="G362" s="1">
        <f t="shared" si="12"/>
        <v>1178.7</v>
      </c>
      <c r="H362" s="1">
        <f t="shared" si="18"/>
        <v>126.5</v>
      </c>
      <c r="J362" s="1">
        <v>13.7</v>
      </c>
      <c r="K362" s="1">
        <f t="shared" si="13"/>
        <v>213.79999999999987</v>
      </c>
      <c r="L362" s="1">
        <v>0.3</v>
      </c>
      <c r="M362" s="1">
        <f t="shared" si="14"/>
        <v>190.60000000000005</v>
      </c>
      <c r="N362" s="1">
        <v>13.399999999999999</v>
      </c>
      <c r="O362" s="1">
        <f t="shared" si="20"/>
        <v>86.499999999999972</v>
      </c>
      <c r="P362" s="6">
        <v>107</v>
      </c>
      <c r="Q362" s="1">
        <v>1</v>
      </c>
      <c r="R362" s="14">
        <f t="shared" si="10"/>
        <v>0.3</v>
      </c>
      <c r="S362" s="14">
        <f t="shared" si="11"/>
        <v>13.399999999999999</v>
      </c>
      <c r="T362" s="15">
        <f t="shared" si="15"/>
        <v>105.6171428571428</v>
      </c>
      <c r="V362" s="1">
        <v>96.3</v>
      </c>
      <c r="X362" s="1">
        <f t="shared" si="16"/>
        <v>85752.500000000044</v>
      </c>
      <c r="Y362" s="1">
        <f t="shared" si="19"/>
        <v>13672.699999999997</v>
      </c>
      <c r="AA362" s="25">
        <v>8.90830426336281</v>
      </c>
    </row>
    <row r="363" spans="1:27" s="1" customFormat="1" x14ac:dyDescent="0.25">
      <c r="A363" s="69"/>
      <c r="B363" s="24"/>
      <c r="C363" s="8">
        <v>40536</v>
      </c>
      <c r="D363" s="1">
        <v>2.8</v>
      </c>
      <c r="E363" s="1">
        <v>1.6</v>
      </c>
      <c r="F363" s="1">
        <v>4.0999999999999996</v>
      </c>
      <c r="G363" s="1">
        <f t="shared" si="12"/>
        <v>1181.5</v>
      </c>
      <c r="H363" s="1">
        <f t="shared" si="18"/>
        <v>129.30000000000001</v>
      </c>
      <c r="J363" s="1">
        <v>0.1</v>
      </c>
      <c r="K363" s="1">
        <f t="shared" si="13"/>
        <v>213.89999999999986</v>
      </c>
      <c r="L363" s="1">
        <v>0.6</v>
      </c>
      <c r="M363" s="1">
        <f t="shared" si="14"/>
        <v>191.20000000000005</v>
      </c>
      <c r="N363" s="1">
        <v>-0.5</v>
      </c>
      <c r="O363" s="1">
        <f t="shared" si="20"/>
        <v>85.999999999999972</v>
      </c>
      <c r="P363" s="6">
        <v>108</v>
      </c>
      <c r="Q363" s="1">
        <v>1</v>
      </c>
      <c r="R363" s="14">
        <f t="shared" si="10"/>
        <v>0.6</v>
      </c>
      <c r="S363" s="14">
        <f t="shared" si="11"/>
        <v>-0.5</v>
      </c>
      <c r="T363" s="15">
        <f t="shared" si="15"/>
        <v>105.1171428571428</v>
      </c>
      <c r="V363" s="1">
        <v>142.5</v>
      </c>
      <c r="X363" s="1">
        <f t="shared" si="16"/>
        <v>85895.000000000044</v>
      </c>
      <c r="Y363" s="1">
        <f t="shared" si="19"/>
        <v>13815.199999999997</v>
      </c>
      <c r="AA363" s="25">
        <v>8.9096094473457796</v>
      </c>
    </row>
    <row r="364" spans="1:27" s="1" customFormat="1" x14ac:dyDescent="0.25">
      <c r="A364" s="69"/>
      <c r="B364" s="24"/>
      <c r="C364" s="8">
        <v>40537</v>
      </c>
      <c r="D364" s="1">
        <v>0.1</v>
      </c>
      <c r="E364" s="1">
        <v>-0.2</v>
      </c>
      <c r="F364" s="1">
        <v>0.7</v>
      </c>
      <c r="G364" s="1">
        <f t="shared" si="12"/>
        <v>1181.5999999999999</v>
      </c>
      <c r="H364" s="1">
        <f t="shared" si="18"/>
        <v>129.4</v>
      </c>
      <c r="J364" s="1">
        <v>0.1</v>
      </c>
      <c r="K364" s="1">
        <f t="shared" si="13"/>
        <v>213.99999999999986</v>
      </c>
      <c r="L364" s="1">
        <v>0.9</v>
      </c>
      <c r="M364" s="1">
        <f t="shared" si="14"/>
        <v>192.10000000000005</v>
      </c>
      <c r="N364" s="1">
        <v>-0.8</v>
      </c>
      <c r="O364" s="1">
        <f t="shared" si="20"/>
        <v>85.199999999999974</v>
      </c>
      <c r="P364" s="6">
        <v>109</v>
      </c>
      <c r="Q364" s="1">
        <v>1</v>
      </c>
      <c r="R364" s="14">
        <f t="shared" si="10"/>
        <v>0.9</v>
      </c>
      <c r="S364" s="14">
        <f t="shared" si="11"/>
        <v>-0.8</v>
      </c>
      <c r="T364" s="15">
        <f t="shared" si="15"/>
        <v>104.3171428571428</v>
      </c>
      <c r="V364" s="1">
        <v>272.7</v>
      </c>
      <c r="X364" s="1">
        <f t="shared" si="16"/>
        <v>86167.700000000041</v>
      </c>
      <c r="Y364" s="1">
        <f t="shared" si="19"/>
        <v>14087.899999999998</v>
      </c>
      <c r="AA364" s="25">
        <v>8.9121992021433307</v>
      </c>
    </row>
    <row r="365" spans="1:27" s="1" customFormat="1" x14ac:dyDescent="0.25">
      <c r="A365" s="69"/>
      <c r="B365" s="24"/>
      <c r="C365" s="8">
        <v>40538</v>
      </c>
      <c r="D365" s="1">
        <v>-2.5</v>
      </c>
      <c r="E365" s="1">
        <v>-4.7</v>
      </c>
      <c r="F365" s="1">
        <v>0.5</v>
      </c>
      <c r="G365" s="1">
        <v>1181.5999999999999</v>
      </c>
      <c r="H365" s="1">
        <v>129.4</v>
      </c>
      <c r="J365" s="1">
        <v>0</v>
      </c>
      <c r="K365" s="1">
        <f t="shared" si="13"/>
        <v>213.99999999999986</v>
      </c>
      <c r="L365" s="1">
        <v>0.8</v>
      </c>
      <c r="M365" s="1">
        <f t="shared" si="14"/>
        <v>192.90000000000006</v>
      </c>
      <c r="N365" s="1">
        <v>-0.8</v>
      </c>
      <c r="O365" s="1">
        <f t="shared" si="20"/>
        <v>84.399999999999977</v>
      </c>
      <c r="P365" s="6">
        <v>110</v>
      </c>
      <c r="Q365" s="1">
        <v>1</v>
      </c>
      <c r="R365" s="14">
        <f t="shared" si="10"/>
        <v>0.8</v>
      </c>
      <c r="S365" s="14">
        <f t="shared" si="11"/>
        <v>-0.8</v>
      </c>
      <c r="T365" s="15">
        <f t="shared" si="15"/>
        <v>103.5171428571428</v>
      </c>
      <c r="V365" s="1">
        <v>821</v>
      </c>
      <c r="X365" s="1">
        <f t="shared" si="16"/>
        <v>86988.700000000041</v>
      </c>
      <c r="Y365" s="1">
        <f t="shared" si="19"/>
        <v>14908.899999999998</v>
      </c>
      <c r="AA365" s="25">
        <v>8.9160711618395396</v>
      </c>
    </row>
    <row r="366" spans="1:27" s="1" customFormat="1" x14ac:dyDescent="0.25">
      <c r="A366" s="69"/>
      <c r="B366" s="24"/>
      <c r="C366" s="8">
        <v>40539</v>
      </c>
      <c r="D366" s="1">
        <v>0.9</v>
      </c>
      <c r="E366" s="1">
        <v>-5.5</v>
      </c>
      <c r="F366" s="1">
        <v>6.4</v>
      </c>
      <c r="G366" s="1">
        <f t="shared" si="12"/>
        <v>1182.5</v>
      </c>
      <c r="H366" s="1">
        <f t="shared" si="18"/>
        <v>130.30000000000001</v>
      </c>
      <c r="J366" s="1">
        <v>0</v>
      </c>
      <c r="K366" s="1">
        <f t="shared" si="13"/>
        <v>213.99999999999986</v>
      </c>
      <c r="L366" s="1">
        <v>1.1000000000000001</v>
      </c>
      <c r="M366" s="1">
        <f t="shared" si="14"/>
        <v>194.00000000000006</v>
      </c>
      <c r="N366" s="1">
        <v>-1.1000000000000001</v>
      </c>
      <c r="O366" s="1">
        <f t="shared" si="20"/>
        <v>83.299999999999983</v>
      </c>
      <c r="P366" s="6">
        <v>111</v>
      </c>
      <c r="Q366" s="1">
        <v>1</v>
      </c>
      <c r="R366" s="14">
        <f t="shared" si="10"/>
        <v>1.1000000000000001</v>
      </c>
      <c r="S366" s="14">
        <f t="shared" si="11"/>
        <v>-1.1000000000000001</v>
      </c>
      <c r="T366" s="15">
        <f t="shared" si="15"/>
        <v>102.41714285714281</v>
      </c>
      <c r="V366" s="1">
        <v>465.8</v>
      </c>
      <c r="X366" s="1">
        <f t="shared" si="16"/>
        <v>87454.500000000044</v>
      </c>
      <c r="Y366" s="1">
        <f t="shared" si="19"/>
        <v>15374.699999999997</v>
      </c>
      <c r="AA366" s="25">
        <v>8.9212215616872008</v>
      </c>
    </row>
    <row r="367" spans="1:27" s="1" customFormat="1" x14ac:dyDescent="0.25">
      <c r="A367" s="69"/>
      <c r="B367" s="3"/>
      <c r="C367" s="8">
        <v>40540</v>
      </c>
      <c r="D367" s="1">
        <v>6.1</v>
      </c>
      <c r="E367" s="1">
        <v>2.7</v>
      </c>
      <c r="F367" s="1">
        <v>10.3</v>
      </c>
      <c r="G367" s="1">
        <f t="shared" si="12"/>
        <v>1188.5999999999999</v>
      </c>
      <c r="H367" s="1">
        <f t="shared" si="18"/>
        <v>136.4</v>
      </c>
      <c r="J367" s="1">
        <v>0</v>
      </c>
      <c r="K367" s="1">
        <f t="shared" si="13"/>
        <v>213.99999999999986</v>
      </c>
      <c r="L367" s="1">
        <v>0.9</v>
      </c>
      <c r="M367" s="1">
        <f t="shared" si="14"/>
        <v>194.90000000000006</v>
      </c>
      <c r="N367" s="1">
        <v>-0.9</v>
      </c>
      <c r="O367" s="1">
        <f t="shared" si="20"/>
        <v>82.399999999999977</v>
      </c>
      <c r="P367" s="6">
        <v>112</v>
      </c>
      <c r="Q367" s="1">
        <v>1</v>
      </c>
      <c r="R367" s="14">
        <f t="shared" si="10"/>
        <v>0.9</v>
      </c>
      <c r="S367" s="14">
        <f t="shared" si="11"/>
        <v>-0.9</v>
      </c>
      <c r="T367" s="15">
        <f t="shared" si="15"/>
        <v>101.5171428571428</v>
      </c>
      <c r="V367" s="1">
        <v>370.2</v>
      </c>
      <c r="X367" s="1">
        <f t="shared" si="16"/>
        <v>87824.700000000041</v>
      </c>
      <c r="Y367" s="1">
        <f t="shared" si="19"/>
        <v>15744.899999999998</v>
      </c>
      <c r="AA367" s="25">
        <v>8.9276452528666006</v>
      </c>
    </row>
    <row r="368" spans="1:27" s="1" customFormat="1" x14ac:dyDescent="0.25">
      <c r="A368" s="69"/>
      <c r="B368" s="3"/>
      <c r="C368" s="8">
        <v>40541</v>
      </c>
      <c r="D368" s="1">
        <v>7.8</v>
      </c>
      <c r="E368" s="1">
        <v>5.2</v>
      </c>
      <c r="F368" s="1">
        <v>11.4</v>
      </c>
      <c r="G368" s="1">
        <f t="shared" si="12"/>
        <v>1196.3999999999999</v>
      </c>
      <c r="H368" s="1">
        <f t="shared" si="18"/>
        <v>144.20000000000002</v>
      </c>
      <c r="J368" s="1">
        <v>0.2</v>
      </c>
      <c r="K368" s="1">
        <f t="shared" si="13"/>
        <v>214.19999999999985</v>
      </c>
      <c r="L368" s="1">
        <v>0.9</v>
      </c>
      <c r="M368" s="1">
        <f t="shared" si="14"/>
        <v>195.80000000000007</v>
      </c>
      <c r="N368" s="1">
        <v>-0.7</v>
      </c>
      <c r="O368" s="1">
        <f t="shared" si="20"/>
        <v>81.699999999999974</v>
      </c>
      <c r="P368" s="6">
        <v>113</v>
      </c>
      <c r="Q368" s="1">
        <v>1</v>
      </c>
      <c r="R368" s="14">
        <f t="shared" si="10"/>
        <v>0.9</v>
      </c>
      <c r="S368" s="14">
        <f t="shared" si="11"/>
        <v>-0.7</v>
      </c>
      <c r="T368" s="15">
        <f t="shared" si="15"/>
        <v>100.8171428571428</v>
      </c>
      <c r="V368" s="1">
        <v>146.6</v>
      </c>
      <c r="X368" s="1">
        <f t="shared" si="16"/>
        <v>87971.300000000047</v>
      </c>
      <c r="Y368" s="1">
        <f t="shared" si="19"/>
        <v>15891.499999999998</v>
      </c>
      <c r="AA368" s="25">
        <v>8.9353357226140204</v>
      </c>
    </row>
    <row r="369" spans="1:27" s="1" customFormat="1" x14ac:dyDescent="0.25">
      <c r="A369" s="69"/>
      <c r="B369" s="3"/>
      <c r="C369" s="8">
        <v>40542</v>
      </c>
      <c r="D369" s="1">
        <v>9.3000000000000007</v>
      </c>
      <c r="E369" s="1">
        <v>5.5</v>
      </c>
      <c r="F369" s="1">
        <v>11.3</v>
      </c>
      <c r="G369" s="1">
        <f t="shared" si="12"/>
        <v>1205.6999999999998</v>
      </c>
      <c r="H369" s="1">
        <f t="shared" si="18"/>
        <v>153.50000000000003</v>
      </c>
      <c r="J369" s="1">
        <v>0.4</v>
      </c>
      <c r="K369" s="1">
        <f t="shared" si="13"/>
        <v>214.59999999999985</v>
      </c>
      <c r="L369" s="1">
        <v>0.6</v>
      </c>
      <c r="M369" s="1">
        <f t="shared" si="14"/>
        <v>196.40000000000006</v>
      </c>
      <c r="N369" s="1">
        <v>-0.19999999999999996</v>
      </c>
      <c r="O369" s="1">
        <f t="shared" si="20"/>
        <v>81.499999999999972</v>
      </c>
      <c r="P369" s="6">
        <v>114</v>
      </c>
      <c r="Q369" s="1">
        <v>1</v>
      </c>
      <c r="R369" s="14">
        <f t="shared" si="10"/>
        <v>0.6</v>
      </c>
      <c r="S369" s="14">
        <f t="shared" si="11"/>
        <v>-0.19999999999999996</v>
      </c>
      <c r="T369" s="15">
        <f t="shared" si="15"/>
        <v>100.6171428571428</v>
      </c>
      <c r="V369" s="1">
        <v>329.6</v>
      </c>
      <c r="X369" s="1">
        <f t="shared" si="16"/>
        <v>88300.900000000052</v>
      </c>
      <c r="Y369" s="1">
        <f t="shared" si="19"/>
        <v>16221.099999999999</v>
      </c>
      <c r="AA369" s="25">
        <v>8.9442851195584403</v>
      </c>
    </row>
    <row r="370" spans="1:27" s="1" customFormat="1" x14ac:dyDescent="0.25">
      <c r="A370" s="69"/>
      <c r="B370" s="3"/>
      <c r="C370" s="8">
        <v>40543</v>
      </c>
      <c r="D370" s="1">
        <v>10.3</v>
      </c>
      <c r="E370" s="1">
        <v>9</v>
      </c>
      <c r="F370" s="1">
        <v>15.3</v>
      </c>
      <c r="G370" s="1">
        <f t="shared" si="12"/>
        <v>1215.9999999999998</v>
      </c>
      <c r="H370" s="1">
        <f t="shared" si="18"/>
        <v>163.80000000000004</v>
      </c>
      <c r="J370" s="1">
        <v>0</v>
      </c>
      <c r="K370" s="1">
        <f t="shared" si="13"/>
        <v>214.59999999999985</v>
      </c>
      <c r="L370" s="1">
        <v>1.7</v>
      </c>
      <c r="M370" s="1">
        <f t="shared" si="14"/>
        <v>198.10000000000005</v>
      </c>
      <c r="N370" s="1">
        <v>-1.7</v>
      </c>
      <c r="O370" s="1">
        <f t="shared" si="20"/>
        <v>79.799999999999969</v>
      </c>
      <c r="P370" s="6">
        <v>115</v>
      </c>
      <c r="Q370" s="1">
        <v>1</v>
      </c>
      <c r="R370" s="14">
        <f t="shared" si="10"/>
        <v>1.7</v>
      </c>
      <c r="S370" s="14">
        <f t="shared" si="11"/>
        <v>-1.7</v>
      </c>
      <c r="T370" s="15">
        <f t="shared" si="15"/>
        <v>98.917142857142792</v>
      </c>
      <c r="V370" s="1">
        <v>279.89999999999998</v>
      </c>
      <c r="X370" s="1">
        <f t="shared" si="16"/>
        <v>88580.800000000047</v>
      </c>
      <c r="Y370" s="1">
        <f t="shared" si="19"/>
        <v>16501</v>
      </c>
      <c r="AA370" s="25">
        <v>8.95448428406422</v>
      </c>
    </row>
    <row r="371" spans="1:27" s="1" customFormat="1" x14ac:dyDescent="0.25">
      <c r="A371" s="69"/>
      <c r="B371" s="3"/>
      <c r="C371" s="8">
        <v>40544</v>
      </c>
      <c r="D371" s="1">
        <v>6.8</v>
      </c>
      <c r="E371" s="1">
        <v>3.7</v>
      </c>
      <c r="F371" s="1">
        <v>10.199999999999999</v>
      </c>
      <c r="G371" s="1">
        <f t="shared" si="12"/>
        <v>1222.7999999999997</v>
      </c>
      <c r="H371" s="1">
        <f t="shared" si="18"/>
        <v>170.60000000000005</v>
      </c>
      <c r="J371" s="1">
        <v>0</v>
      </c>
      <c r="K371" s="1">
        <f t="shared" si="13"/>
        <v>214.59999999999985</v>
      </c>
      <c r="L371" s="1">
        <v>0.4</v>
      </c>
      <c r="M371" s="1">
        <f t="shared" si="14"/>
        <v>198.50000000000006</v>
      </c>
      <c r="N371" s="1">
        <v>-0.4</v>
      </c>
      <c r="O371" s="1">
        <f t="shared" si="20"/>
        <v>79.399999999999963</v>
      </c>
      <c r="P371" s="6">
        <v>116</v>
      </c>
      <c r="Q371" s="1">
        <v>1</v>
      </c>
      <c r="R371" s="14">
        <f t="shared" si="10"/>
        <v>0.4</v>
      </c>
      <c r="S371" s="14">
        <f t="shared" si="11"/>
        <v>-0.4</v>
      </c>
      <c r="T371" s="15">
        <f t="shared" si="15"/>
        <v>98.517142857142787</v>
      </c>
      <c r="V371" s="1">
        <v>242.5</v>
      </c>
      <c r="X371" s="1">
        <f t="shared" si="16"/>
        <v>88823.300000000047</v>
      </c>
      <c r="Y371" s="1">
        <f t="shared" si="19"/>
        <v>16743.5</v>
      </c>
      <c r="AA371" s="25">
        <v>8.9696125694491506</v>
      </c>
    </row>
    <row r="372" spans="1:27" s="1" customFormat="1" x14ac:dyDescent="0.25">
      <c r="A372" s="69"/>
      <c r="B372" s="24"/>
      <c r="C372" s="8">
        <v>40545</v>
      </c>
      <c r="D372" s="1">
        <v>2.5</v>
      </c>
      <c r="E372" s="1">
        <v>1.3</v>
      </c>
      <c r="F372" s="1">
        <v>3</v>
      </c>
      <c r="G372" s="1">
        <f t="shared" si="12"/>
        <v>1225.2999999999997</v>
      </c>
      <c r="H372" s="1">
        <f t="shared" si="18"/>
        <v>173.10000000000005</v>
      </c>
      <c r="J372" s="1">
        <v>0</v>
      </c>
      <c r="K372" s="1">
        <f t="shared" si="13"/>
        <v>214.59999999999985</v>
      </c>
      <c r="L372" s="1">
        <v>0.2</v>
      </c>
      <c r="M372" s="1">
        <f t="shared" si="14"/>
        <v>198.70000000000005</v>
      </c>
      <c r="N372" s="1">
        <v>-0.2</v>
      </c>
      <c r="O372" s="1">
        <f t="shared" si="20"/>
        <v>79.19999999999996</v>
      </c>
      <c r="P372" s="6">
        <v>117</v>
      </c>
      <c r="Q372" s="1">
        <v>1</v>
      </c>
      <c r="R372" s="14">
        <f t="shared" si="10"/>
        <v>0.2</v>
      </c>
      <c r="S372" s="14">
        <f t="shared" si="11"/>
        <v>-0.2</v>
      </c>
      <c r="T372" s="15">
        <f t="shared" si="15"/>
        <v>98.317142857142784</v>
      </c>
      <c r="V372" s="1">
        <v>222.9</v>
      </c>
      <c r="X372" s="1">
        <f t="shared" si="16"/>
        <v>89046.200000000041</v>
      </c>
      <c r="Y372" s="1">
        <f t="shared" si="19"/>
        <v>16966.400000000001</v>
      </c>
      <c r="AA372" s="25">
        <v>8.98264637504559</v>
      </c>
    </row>
    <row r="373" spans="1:27" s="1" customFormat="1" x14ac:dyDescent="0.25">
      <c r="A373" s="69"/>
      <c r="B373" s="24"/>
      <c r="C373" s="8">
        <v>40546</v>
      </c>
      <c r="D373" s="1">
        <v>2.4</v>
      </c>
      <c r="E373" s="1">
        <v>1.6</v>
      </c>
      <c r="F373" s="1">
        <v>3</v>
      </c>
      <c r="G373" s="1">
        <f t="shared" si="12"/>
        <v>1227.6999999999998</v>
      </c>
      <c r="H373" s="1">
        <f t="shared" si="18"/>
        <v>175.50000000000006</v>
      </c>
      <c r="J373" s="1">
        <v>0</v>
      </c>
      <c r="K373" s="1">
        <f t="shared" si="13"/>
        <v>214.59999999999985</v>
      </c>
      <c r="L373" s="1">
        <v>0.7</v>
      </c>
      <c r="M373" s="1">
        <f t="shared" si="14"/>
        <v>199.40000000000003</v>
      </c>
      <c r="N373" s="1">
        <v>-0.7</v>
      </c>
      <c r="O373" s="1">
        <f t="shared" si="20"/>
        <v>78.499999999999957</v>
      </c>
      <c r="P373" s="6">
        <v>118</v>
      </c>
      <c r="Q373" s="1">
        <v>1</v>
      </c>
      <c r="R373" s="14">
        <f t="shared" si="10"/>
        <v>0.7</v>
      </c>
      <c r="S373" s="14">
        <f t="shared" si="11"/>
        <v>-0.7</v>
      </c>
      <c r="T373" s="15">
        <f t="shared" si="15"/>
        <v>97.617142857142781</v>
      </c>
      <c r="V373" s="1">
        <v>323.10000000000002</v>
      </c>
      <c r="X373" s="1">
        <f t="shared" si="16"/>
        <v>89369.300000000047</v>
      </c>
      <c r="Y373" s="1">
        <f t="shared" si="19"/>
        <v>17289.5</v>
      </c>
      <c r="AA373" s="25">
        <v>8.9968908908804792</v>
      </c>
    </row>
    <row r="374" spans="1:27" s="1" customFormat="1" x14ac:dyDescent="0.25">
      <c r="A374" s="69"/>
      <c r="B374" s="3"/>
      <c r="C374" s="8">
        <v>40547</v>
      </c>
      <c r="D374" s="1">
        <v>2.4</v>
      </c>
      <c r="E374" s="1">
        <v>0.1</v>
      </c>
      <c r="F374" s="1">
        <v>4.0999999999999996</v>
      </c>
      <c r="G374" s="1">
        <f t="shared" si="12"/>
        <v>1230.0999999999999</v>
      </c>
      <c r="H374" s="1">
        <f t="shared" si="18"/>
        <v>177.90000000000006</v>
      </c>
      <c r="J374" s="1">
        <v>0.6</v>
      </c>
      <c r="K374" s="1">
        <f t="shared" si="13"/>
        <v>215.19999999999985</v>
      </c>
      <c r="L374" s="1">
        <v>0.7</v>
      </c>
      <c r="M374" s="1">
        <f t="shared" si="14"/>
        <v>200.10000000000002</v>
      </c>
      <c r="N374" s="1">
        <v>-9.9999999999999978E-2</v>
      </c>
      <c r="O374" s="1">
        <f t="shared" si="20"/>
        <v>78.399999999999963</v>
      </c>
      <c r="P374" s="6">
        <v>119</v>
      </c>
      <c r="Q374" s="1">
        <v>1</v>
      </c>
      <c r="R374" s="14">
        <f t="shared" si="10"/>
        <v>0.7</v>
      </c>
      <c r="S374" s="14">
        <f t="shared" si="11"/>
        <v>-9.9999999999999978E-2</v>
      </c>
      <c r="T374" s="15">
        <f t="shared" si="15"/>
        <v>97.517142857142787</v>
      </c>
      <c r="V374" s="1">
        <v>598.70000000000005</v>
      </c>
      <c r="X374" s="1">
        <f t="shared" si="16"/>
        <v>89968.000000000044</v>
      </c>
      <c r="Y374" s="1">
        <f t="shared" si="19"/>
        <v>17888.2</v>
      </c>
      <c r="AA374" s="1">
        <v>9.0123317842943393</v>
      </c>
    </row>
    <row r="375" spans="1:27" s="45" customFormat="1" ht="15.75" thickBot="1" x14ac:dyDescent="0.3">
      <c r="A375" s="69"/>
      <c r="B375" s="43"/>
      <c r="C375" s="44">
        <v>40548</v>
      </c>
      <c r="D375" s="45">
        <v>5.8</v>
      </c>
      <c r="E375" s="45">
        <v>2.1</v>
      </c>
      <c r="F375" s="45">
        <v>9.6999999999999993</v>
      </c>
      <c r="G375" s="45">
        <f t="shared" si="12"/>
        <v>1235.8999999999999</v>
      </c>
      <c r="H375" s="45">
        <f t="shared" si="18"/>
        <v>183.70000000000007</v>
      </c>
      <c r="J375" s="45">
        <v>0</v>
      </c>
      <c r="K375" s="45">
        <f t="shared" si="13"/>
        <v>215.19999999999985</v>
      </c>
      <c r="L375" s="45">
        <v>1.1000000000000001</v>
      </c>
      <c r="M375" s="45">
        <f t="shared" si="14"/>
        <v>201.20000000000002</v>
      </c>
      <c r="N375" s="45">
        <v>-1.1000000000000001</v>
      </c>
      <c r="O375" s="45">
        <f t="shared" si="20"/>
        <v>77.299999999999969</v>
      </c>
      <c r="P375" s="46">
        <v>120</v>
      </c>
      <c r="Q375" s="45">
        <v>1</v>
      </c>
      <c r="R375" s="48">
        <f t="shared" si="10"/>
        <v>1.1000000000000001</v>
      </c>
      <c r="S375" s="48">
        <f t="shared" si="11"/>
        <v>-1.1000000000000001</v>
      </c>
      <c r="T375" s="49">
        <f t="shared" si="15"/>
        <v>96.417142857142792</v>
      </c>
      <c r="V375" s="45">
        <v>536.5</v>
      </c>
      <c r="X375" s="45">
        <f t="shared" si="16"/>
        <v>90504.500000000044</v>
      </c>
      <c r="Y375" s="45">
        <f t="shared" si="19"/>
        <v>18424.7</v>
      </c>
      <c r="AA375" s="45">
        <v>9.0289536477070094</v>
      </c>
    </row>
    <row r="376" spans="1:27" s="1" customFormat="1" ht="15" customHeight="1" x14ac:dyDescent="0.25">
      <c r="A376" s="70" t="s">
        <v>48</v>
      </c>
      <c r="B376" s="3"/>
      <c r="C376" s="8">
        <v>40549</v>
      </c>
      <c r="D376" s="1">
        <v>10.6</v>
      </c>
      <c r="E376" s="1">
        <v>6.8</v>
      </c>
      <c r="F376" s="1">
        <v>12.4</v>
      </c>
      <c r="G376" s="1">
        <f t="shared" si="12"/>
        <v>1246.4999999999998</v>
      </c>
      <c r="H376" s="1">
        <v>10.6</v>
      </c>
      <c r="I376" s="26" t="s">
        <v>30</v>
      </c>
      <c r="J376" s="1">
        <v>0</v>
      </c>
      <c r="K376" s="1">
        <f t="shared" si="13"/>
        <v>215.19999999999985</v>
      </c>
      <c r="L376" s="1">
        <v>0.5</v>
      </c>
      <c r="M376" s="1">
        <f t="shared" si="14"/>
        <v>201.70000000000002</v>
      </c>
      <c r="N376" s="1">
        <v>-0.5</v>
      </c>
      <c r="O376" s="1">
        <f t="shared" si="20"/>
        <v>76.799999999999969</v>
      </c>
      <c r="P376" s="6">
        <v>121</v>
      </c>
      <c r="Q376" s="16">
        <f>1+((P376-120)/74)*(1.15-1)</f>
        <v>1.0020270270270271</v>
      </c>
      <c r="R376" s="14">
        <f t="shared" si="10"/>
        <v>0.50101351351351353</v>
      </c>
      <c r="S376" s="14">
        <f t="shared" si="11"/>
        <v>-0.50101351351351353</v>
      </c>
      <c r="T376" s="15">
        <f t="shared" si="15"/>
        <v>95.916129343629279</v>
      </c>
      <c r="U376" s="26" t="s">
        <v>31</v>
      </c>
      <c r="V376" s="1">
        <v>270.3</v>
      </c>
      <c r="X376" s="1">
        <f t="shared" si="16"/>
        <v>90774.800000000047</v>
      </c>
      <c r="Y376" s="1">
        <v>270.3</v>
      </c>
      <c r="Z376" s="26" t="s">
        <v>32</v>
      </c>
      <c r="AA376" s="1">
        <v>9.0467400537614999</v>
      </c>
    </row>
    <row r="377" spans="1:27" s="1" customFormat="1" x14ac:dyDescent="0.25">
      <c r="A377" s="70"/>
      <c r="B377" s="3">
        <v>6</v>
      </c>
      <c r="C377" s="8">
        <v>40550</v>
      </c>
      <c r="D377" s="1">
        <v>11.1</v>
      </c>
      <c r="E377" s="1">
        <v>10.1</v>
      </c>
      <c r="F377" s="1">
        <v>13.6</v>
      </c>
      <c r="G377" s="1">
        <f t="shared" si="12"/>
        <v>1257.5999999999997</v>
      </c>
      <c r="H377" s="1">
        <f t="shared" si="18"/>
        <v>21.7</v>
      </c>
      <c r="I377" s="1">
        <f>MIN(E376:E449)</f>
        <v>-4.5999999999999996</v>
      </c>
      <c r="J377" s="1">
        <v>0</v>
      </c>
      <c r="K377" s="1">
        <f t="shared" si="13"/>
        <v>215.19999999999985</v>
      </c>
      <c r="L377" s="1">
        <v>1</v>
      </c>
      <c r="M377" s="1">
        <f t="shared" si="14"/>
        <v>202.70000000000002</v>
      </c>
      <c r="N377" s="1">
        <v>-1</v>
      </c>
      <c r="O377" s="1">
        <f t="shared" si="20"/>
        <v>75.799999999999969</v>
      </c>
      <c r="P377" s="6">
        <v>122</v>
      </c>
      <c r="Q377" s="16">
        <f t="shared" ref="Q377:Q440" si="21">1+((P377-120)/74)*(1.15-1)</f>
        <v>1.0040540540540541</v>
      </c>
      <c r="R377" s="14">
        <f t="shared" si="10"/>
        <v>1.0040540540540541</v>
      </c>
      <c r="S377" s="14">
        <f t="shared" si="11"/>
        <v>-1.0040540540540541</v>
      </c>
      <c r="T377" s="15">
        <f t="shared" si="15"/>
        <v>94.912075289575228</v>
      </c>
      <c r="U377" s="1">
        <v>57</v>
      </c>
      <c r="V377" s="1">
        <v>342.5</v>
      </c>
      <c r="X377" s="1">
        <f t="shared" si="16"/>
        <v>91117.300000000047</v>
      </c>
      <c r="Y377" s="1">
        <f t="shared" si="19"/>
        <v>612.79999999999995</v>
      </c>
      <c r="Z377" s="1">
        <v>57394.2</v>
      </c>
      <c r="AA377" s="1">
        <v>9.0656736130913007</v>
      </c>
    </row>
    <row r="378" spans="1:27" s="1" customFormat="1" x14ac:dyDescent="0.25">
      <c r="A378" s="70"/>
      <c r="B378" s="3"/>
      <c r="C378" s="8">
        <v>40551</v>
      </c>
      <c r="D378" s="1">
        <v>11.3</v>
      </c>
      <c r="E378" s="1">
        <v>8.1</v>
      </c>
      <c r="F378" s="1">
        <v>15.4</v>
      </c>
      <c r="G378" s="1">
        <f t="shared" si="12"/>
        <v>1268.8999999999996</v>
      </c>
      <c r="H378" s="1">
        <f t="shared" si="18"/>
        <v>33</v>
      </c>
      <c r="I378" s="26" t="s">
        <v>33</v>
      </c>
      <c r="J378" s="1">
        <v>0.5</v>
      </c>
      <c r="K378" s="1">
        <f t="shared" si="13"/>
        <v>215.69999999999985</v>
      </c>
      <c r="L378" s="1">
        <v>0.9</v>
      </c>
      <c r="M378" s="1">
        <f t="shared" si="14"/>
        <v>203.60000000000002</v>
      </c>
      <c r="N378" s="1">
        <v>-0.4</v>
      </c>
      <c r="O378" s="1">
        <f t="shared" si="20"/>
        <v>75.399999999999963</v>
      </c>
      <c r="P378" s="6">
        <v>123</v>
      </c>
      <c r="Q378" s="16">
        <f t="shared" si="21"/>
        <v>1.0060810810810812</v>
      </c>
      <c r="R378" s="14">
        <f t="shared" si="10"/>
        <v>0.90547297297297313</v>
      </c>
      <c r="S378" s="14">
        <f t="shared" si="11"/>
        <v>-0.40547297297297313</v>
      </c>
      <c r="T378" s="15">
        <f t="shared" si="15"/>
        <v>94.506602316602255</v>
      </c>
      <c r="U378" s="26" t="s">
        <v>34</v>
      </c>
      <c r="V378" s="1">
        <v>328.5</v>
      </c>
      <c r="X378" s="1">
        <f t="shared" si="16"/>
        <v>91445.800000000047</v>
      </c>
      <c r="Y378" s="1">
        <f t="shared" si="19"/>
        <v>941.3</v>
      </c>
      <c r="Z378" s="26" t="s">
        <v>35</v>
      </c>
      <c r="AA378" s="1">
        <v>9.0857360343126992</v>
      </c>
    </row>
    <row r="379" spans="1:27" s="1" customFormat="1" x14ac:dyDescent="0.25">
      <c r="A379" s="70"/>
      <c r="B379" s="3"/>
      <c r="C379" s="8">
        <v>40552</v>
      </c>
      <c r="D379" s="1">
        <v>7.2</v>
      </c>
      <c r="E379" s="1">
        <v>5.5</v>
      </c>
      <c r="F379" s="1">
        <v>9.3000000000000007</v>
      </c>
      <c r="G379" s="1">
        <f t="shared" si="12"/>
        <v>1276.0999999999997</v>
      </c>
      <c r="H379" s="1">
        <f t="shared" si="18"/>
        <v>40.200000000000003</v>
      </c>
      <c r="I379" s="1">
        <f>MAX(F376:F449)</f>
        <v>16.600000000000001</v>
      </c>
      <c r="J379" s="1">
        <v>4.4000000000000004</v>
      </c>
      <c r="K379" s="1">
        <f t="shared" si="13"/>
        <v>220.09999999999985</v>
      </c>
      <c r="L379" s="1">
        <v>0.3</v>
      </c>
      <c r="M379" s="1">
        <f t="shared" si="14"/>
        <v>203.90000000000003</v>
      </c>
      <c r="N379" s="1">
        <v>4.1000000000000005</v>
      </c>
      <c r="O379" s="1">
        <f t="shared" si="20"/>
        <v>79.499999999999957</v>
      </c>
      <c r="P379" s="6">
        <v>124</v>
      </c>
      <c r="Q379" s="16">
        <f t="shared" si="21"/>
        <v>1.008108108108108</v>
      </c>
      <c r="R379" s="14">
        <f t="shared" si="10"/>
        <v>0.3024324324324324</v>
      </c>
      <c r="S379" s="14">
        <f t="shared" si="11"/>
        <v>4.0975675675675678</v>
      </c>
      <c r="T379" s="15">
        <f t="shared" si="15"/>
        <v>98.604169884169821</v>
      </c>
      <c r="U379" s="1">
        <v>0</v>
      </c>
      <c r="V379" s="1">
        <v>168.8</v>
      </c>
      <c r="X379" s="1">
        <f t="shared" si="16"/>
        <v>91614.600000000049</v>
      </c>
      <c r="Y379" s="1">
        <f t="shared" si="19"/>
        <v>1110.0999999999999</v>
      </c>
      <c r="Z379" s="16">
        <f>(Z377/100)/I389</f>
        <v>1.0606948807983736</v>
      </c>
      <c r="AA379" s="1">
        <v>9.1069081858402594</v>
      </c>
    </row>
    <row r="380" spans="1:27" s="1" customFormat="1" x14ac:dyDescent="0.25">
      <c r="A380" s="70"/>
      <c r="B380" s="3"/>
      <c r="C380" s="8">
        <v>40553</v>
      </c>
      <c r="D380" s="1">
        <v>3.6</v>
      </c>
      <c r="E380" s="1">
        <v>-0.7</v>
      </c>
      <c r="F380" s="1">
        <v>7.9</v>
      </c>
      <c r="G380" s="1">
        <f t="shared" si="12"/>
        <v>1279.6999999999996</v>
      </c>
      <c r="H380" s="1">
        <f t="shared" si="18"/>
        <v>43.800000000000004</v>
      </c>
      <c r="I380" s="26" t="s">
        <v>36</v>
      </c>
      <c r="J380" s="1">
        <v>5.9</v>
      </c>
      <c r="K380" s="1">
        <f t="shared" si="13"/>
        <v>225.99999999999986</v>
      </c>
      <c r="L380" s="1">
        <v>0.8</v>
      </c>
      <c r="M380" s="1">
        <f t="shared" si="14"/>
        <v>204.70000000000005</v>
      </c>
      <c r="N380" s="1">
        <v>5.1000000000000005</v>
      </c>
      <c r="O380" s="1">
        <f t="shared" si="20"/>
        <v>84.599999999999952</v>
      </c>
      <c r="P380" s="6">
        <v>125</v>
      </c>
      <c r="Q380" s="16">
        <f t="shared" si="21"/>
        <v>1.0101351351351351</v>
      </c>
      <c r="R380" s="14">
        <f t="shared" si="10"/>
        <v>0.80810810810810807</v>
      </c>
      <c r="S380" s="14">
        <f t="shared" si="11"/>
        <v>5.0918918918918923</v>
      </c>
      <c r="T380" s="15">
        <f t="shared" si="15"/>
        <v>103.69606177606171</v>
      </c>
      <c r="U380" s="26" t="s">
        <v>37</v>
      </c>
      <c r="V380" s="1">
        <v>722.3</v>
      </c>
      <c r="X380" s="1">
        <f t="shared" si="16"/>
        <v>92336.900000000052</v>
      </c>
      <c r="Y380" s="1">
        <f t="shared" si="19"/>
        <v>1832.3999999999999</v>
      </c>
      <c r="Z380" s="26" t="s">
        <v>38</v>
      </c>
      <c r="AA380" s="1">
        <v>9.1291701591237508</v>
      </c>
    </row>
    <row r="381" spans="1:27" s="1" customFormat="1" x14ac:dyDescent="0.25">
      <c r="A381" s="70"/>
      <c r="B381" s="3"/>
      <c r="C381" s="8">
        <v>40554</v>
      </c>
      <c r="D381" s="1">
        <v>8.9</v>
      </c>
      <c r="E381" s="1">
        <v>3.2</v>
      </c>
      <c r="F381" s="1">
        <v>14.2</v>
      </c>
      <c r="G381" s="1">
        <f t="shared" si="12"/>
        <v>1288.5999999999997</v>
      </c>
      <c r="H381" s="1">
        <f t="shared" si="18"/>
        <v>52.7</v>
      </c>
      <c r="I381" s="14">
        <f>AVERAGE(D376:D449)</f>
        <v>7.2770270270270254</v>
      </c>
      <c r="J381" s="1">
        <v>5.6</v>
      </c>
      <c r="K381" s="1">
        <f t="shared" si="13"/>
        <v>231.59999999999985</v>
      </c>
      <c r="L381" s="1">
        <v>0.7</v>
      </c>
      <c r="M381" s="1">
        <f t="shared" si="14"/>
        <v>205.40000000000003</v>
      </c>
      <c r="N381" s="1">
        <v>4.8999999999999995</v>
      </c>
      <c r="O381" s="1">
        <f t="shared" si="20"/>
        <v>89.499999999999957</v>
      </c>
      <c r="P381" s="6">
        <v>126</v>
      </c>
      <c r="Q381" s="16">
        <f t="shared" si="21"/>
        <v>1.0121621621621621</v>
      </c>
      <c r="R381" s="14">
        <f t="shared" si="10"/>
        <v>0.70851351351351344</v>
      </c>
      <c r="S381" s="14">
        <f t="shared" si="11"/>
        <v>4.8914864864864862</v>
      </c>
      <c r="T381" s="15">
        <f t="shared" si="15"/>
        <v>108.5875482625482</v>
      </c>
      <c r="U381" s="1">
        <v>0</v>
      </c>
      <c r="V381" s="1">
        <v>164</v>
      </c>
      <c r="X381" s="1">
        <f t="shared" si="16"/>
        <v>92500.900000000052</v>
      </c>
      <c r="Y381" s="1">
        <f t="shared" si="19"/>
        <v>1996.3999999999999</v>
      </c>
      <c r="Z381" s="1">
        <v>47</v>
      </c>
      <c r="AA381" s="1">
        <v>9.1525013329092904</v>
      </c>
    </row>
    <row r="382" spans="1:27" s="1" customFormat="1" x14ac:dyDescent="0.25">
      <c r="A382" s="70"/>
      <c r="B382" s="3"/>
      <c r="C382" s="8">
        <v>40555</v>
      </c>
      <c r="D382" s="1">
        <v>10.1</v>
      </c>
      <c r="E382" s="1">
        <v>8</v>
      </c>
      <c r="F382" s="1">
        <v>12.8</v>
      </c>
      <c r="G382" s="1">
        <f t="shared" si="12"/>
        <v>1298.6999999999996</v>
      </c>
      <c r="H382" s="1">
        <f t="shared" si="18"/>
        <v>62.800000000000004</v>
      </c>
      <c r="I382" s="26" t="s">
        <v>39</v>
      </c>
      <c r="J382" s="1">
        <v>1.9</v>
      </c>
      <c r="K382" s="1">
        <f t="shared" si="13"/>
        <v>233.49999999999986</v>
      </c>
      <c r="L382" s="1">
        <v>0.5</v>
      </c>
      <c r="M382" s="1">
        <f t="shared" si="14"/>
        <v>205.90000000000003</v>
      </c>
      <c r="N382" s="1">
        <v>1.4</v>
      </c>
      <c r="O382" s="1">
        <f t="shared" si="20"/>
        <v>90.899999999999963</v>
      </c>
      <c r="P382" s="6">
        <v>127</v>
      </c>
      <c r="Q382" s="16">
        <f t="shared" si="21"/>
        <v>1.0141891891891892</v>
      </c>
      <c r="R382" s="14">
        <f t="shared" si="10"/>
        <v>0.50709459459459461</v>
      </c>
      <c r="S382" s="14">
        <f t="shared" si="11"/>
        <v>1.3929054054054053</v>
      </c>
      <c r="T382" s="15">
        <f t="shared" si="15"/>
        <v>109.9804536679536</v>
      </c>
      <c r="U382" s="26" t="s">
        <v>40</v>
      </c>
      <c r="V382" s="1">
        <v>150.5</v>
      </c>
      <c r="X382" s="1">
        <f t="shared" si="16"/>
        <v>92651.400000000052</v>
      </c>
      <c r="Y382" s="1">
        <f t="shared" si="19"/>
        <v>2146.8999999999996</v>
      </c>
      <c r="AA382" s="1">
        <v>9.1768804381359708</v>
      </c>
    </row>
    <row r="383" spans="1:27" s="1" customFormat="1" x14ac:dyDescent="0.25">
      <c r="A383" s="70"/>
      <c r="B383" s="3"/>
      <c r="C383" s="8">
        <v>40556</v>
      </c>
      <c r="D383" s="1">
        <v>11.8</v>
      </c>
      <c r="E383" s="1">
        <v>11.5</v>
      </c>
      <c r="F383" s="1">
        <v>16.100000000000001</v>
      </c>
      <c r="G383" s="1">
        <f t="shared" si="12"/>
        <v>1310.4999999999995</v>
      </c>
      <c r="H383" s="1">
        <f t="shared" si="18"/>
        <v>74.600000000000009</v>
      </c>
      <c r="I383" s="1">
        <v>13</v>
      </c>
      <c r="J383" s="1">
        <v>0.2</v>
      </c>
      <c r="K383" s="1">
        <f t="shared" si="13"/>
        <v>233.69999999999985</v>
      </c>
      <c r="L383" s="1">
        <v>1.2</v>
      </c>
      <c r="M383" s="1">
        <f t="shared" si="14"/>
        <v>207.10000000000002</v>
      </c>
      <c r="N383" s="1">
        <v>-1</v>
      </c>
      <c r="O383" s="1">
        <f t="shared" si="20"/>
        <v>89.899999999999963</v>
      </c>
      <c r="P383" s="6">
        <v>128</v>
      </c>
      <c r="Q383" s="16">
        <f t="shared" si="21"/>
        <v>1.0162162162162163</v>
      </c>
      <c r="R383" s="14">
        <f t="shared" si="10"/>
        <v>1.2194594594594594</v>
      </c>
      <c r="S383" s="14">
        <f t="shared" si="11"/>
        <v>-1.0194594594594595</v>
      </c>
      <c r="T383" s="15">
        <f t="shared" si="15"/>
        <v>108.96099420849414</v>
      </c>
      <c r="U383" s="14">
        <f>MIN(T376:T449)</f>
        <v>71.161196911196882</v>
      </c>
      <c r="V383" s="1">
        <v>412.3</v>
      </c>
      <c r="X383" s="1">
        <f t="shared" si="16"/>
        <v>93063.700000000055</v>
      </c>
      <c r="Y383" s="1">
        <f t="shared" si="19"/>
        <v>2559.1999999999998</v>
      </c>
      <c r="AA383" s="1">
        <v>9.2022856230905408</v>
      </c>
    </row>
    <row r="384" spans="1:27" s="1" customFormat="1" x14ac:dyDescent="0.25">
      <c r="A384" s="70"/>
      <c r="B384" s="3">
        <v>7</v>
      </c>
      <c r="C384" s="8">
        <v>40557</v>
      </c>
      <c r="D384" s="1">
        <v>6.4</v>
      </c>
      <c r="E384" s="1">
        <v>5</v>
      </c>
      <c r="F384" s="1">
        <v>8.3000000000000007</v>
      </c>
      <c r="G384" s="1">
        <f t="shared" si="12"/>
        <v>1316.8999999999996</v>
      </c>
      <c r="H384" s="1">
        <f t="shared" si="18"/>
        <v>81.000000000000014</v>
      </c>
      <c r="I384" s="26" t="s">
        <v>41</v>
      </c>
      <c r="J384" s="1">
        <v>0.2</v>
      </c>
      <c r="K384" s="1">
        <f t="shared" si="13"/>
        <v>233.89999999999984</v>
      </c>
      <c r="L384" s="1">
        <v>0.8</v>
      </c>
      <c r="M384" s="1">
        <f t="shared" si="14"/>
        <v>207.90000000000003</v>
      </c>
      <c r="N384" s="1">
        <v>-0.60000000000000009</v>
      </c>
      <c r="O384" s="1">
        <f t="shared" si="20"/>
        <v>89.299999999999969</v>
      </c>
      <c r="P384" s="6">
        <v>129</v>
      </c>
      <c r="Q384" s="16">
        <f t="shared" si="21"/>
        <v>1.0182432432432433</v>
      </c>
      <c r="R384" s="14">
        <f t="shared" ref="R384:R447" si="22">Q384*L384</f>
        <v>0.81459459459459471</v>
      </c>
      <c r="S384" s="14">
        <f t="shared" si="11"/>
        <v>-0.61459459459459476</v>
      </c>
      <c r="T384" s="15">
        <f t="shared" si="15"/>
        <v>108.34639961389955</v>
      </c>
      <c r="U384" s="26" t="s">
        <v>42</v>
      </c>
      <c r="V384" s="1">
        <v>340.4</v>
      </c>
      <c r="X384" s="1">
        <f t="shared" si="16"/>
        <v>93404.100000000049</v>
      </c>
      <c r="Y384" s="1">
        <f t="shared" si="19"/>
        <v>2899.6</v>
      </c>
      <c r="AA384" s="1">
        <v>9.2286945184577291</v>
      </c>
    </row>
    <row r="385" spans="1:27" s="1" customFormat="1" x14ac:dyDescent="0.25">
      <c r="A385" s="70"/>
      <c r="B385" s="3"/>
      <c r="C385" s="8">
        <v>40558</v>
      </c>
      <c r="D385" s="1">
        <v>6.8</v>
      </c>
      <c r="E385" s="1">
        <v>5.2</v>
      </c>
      <c r="F385" s="1">
        <v>9.1</v>
      </c>
      <c r="G385" s="1">
        <f t="shared" si="12"/>
        <v>1323.6999999999996</v>
      </c>
      <c r="H385" s="1">
        <f t="shared" si="18"/>
        <v>87.800000000000011</v>
      </c>
      <c r="I385" s="1">
        <v>0</v>
      </c>
      <c r="J385" s="1">
        <v>0.2</v>
      </c>
      <c r="K385" s="1">
        <f t="shared" si="13"/>
        <v>234.09999999999982</v>
      </c>
      <c r="L385" s="1">
        <v>0.9</v>
      </c>
      <c r="M385" s="1">
        <f t="shared" si="14"/>
        <v>208.80000000000004</v>
      </c>
      <c r="N385" s="1">
        <v>-0.7</v>
      </c>
      <c r="O385" s="1">
        <f t="shared" si="20"/>
        <v>88.599999999999966</v>
      </c>
      <c r="P385" s="6">
        <v>130</v>
      </c>
      <c r="Q385" s="16">
        <f t="shared" si="21"/>
        <v>1.0202702702702702</v>
      </c>
      <c r="R385" s="14">
        <f t="shared" si="22"/>
        <v>0.91824324324324313</v>
      </c>
      <c r="S385" s="14">
        <f t="shared" ref="S385:S448" si="23">J385-R385</f>
        <v>-0.71824324324324307</v>
      </c>
      <c r="T385" s="15">
        <f t="shared" si="15"/>
        <v>107.62815637065631</v>
      </c>
      <c r="U385" s="14">
        <f>MAX(T376:T449)</f>
        <v>109.9804536679536</v>
      </c>
      <c r="V385" s="1">
        <v>476.3</v>
      </c>
      <c r="X385" s="1">
        <f t="shared" si="16"/>
        <v>93880.400000000052</v>
      </c>
      <c r="Y385" s="1">
        <f t="shared" si="19"/>
        <v>3375.9</v>
      </c>
      <c r="AA385" s="1">
        <v>9.2560843019213195</v>
      </c>
    </row>
    <row r="386" spans="1:27" s="1" customFormat="1" x14ac:dyDescent="0.25">
      <c r="A386" s="70"/>
      <c r="B386" s="3"/>
      <c r="C386" s="8">
        <v>40559</v>
      </c>
      <c r="D386" s="1">
        <v>8.1999999999999993</v>
      </c>
      <c r="E386" s="1">
        <v>3.1</v>
      </c>
      <c r="F386" s="1">
        <v>12.5</v>
      </c>
      <c r="G386" s="1">
        <f t="shared" ref="G386:G449" si="24">G385+D386</f>
        <v>1331.8999999999996</v>
      </c>
      <c r="H386" s="1">
        <f t="shared" si="18"/>
        <v>96.000000000000014</v>
      </c>
      <c r="I386" s="26" t="s">
        <v>43</v>
      </c>
      <c r="J386" s="1">
        <v>0.1</v>
      </c>
      <c r="K386" s="1">
        <f t="shared" ref="K386:K449" si="25">K385+J386</f>
        <v>234.19999999999982</v>
      </c>
      <c r="L386" s="1">
        <v>1.1000000000000001</v>
      </c>
      <c r="M386" s="1">
        <f t="shared" ref="M386:M449" si="26">M385+L386</f>
        <v>209.90000000000003</v>
      </c>
      <c r="N386" s="1">
        <v>-1</v>
      </c>
      <c r="O386" s="1">
        <f t="shared" si="20"/>
        <v>87.599999999999966</v>
      </c>
      <c r="P386" s="6">
        <v>131</v>
      </c>
      <c r="Q386" s="16">
        <f t="shared" si="21"/>
        <v>1.0222972972972972</v>
      </c>
      <c r="R386" s="14">
        <f t="shared" si="22"/>
        <v>1.1245270270270271</v>
      </c>
      <c r="S386" s="14">
        <f t="shared" si="23"/>
        <v>-1.024527027027027</v>
      </c>
      <c r="T386" s="15">
        <f t="shared" ref="T386:T449" si="27">T385+S386</f>
        <v>106.60362934362928</v>
      </c>
      <c r="U386" s="26" t="s">
        <v>44</v>
      </c>
      <c r="V386" s="1">
        <v>886.1</v>
      </c>
      <c r="X386" s="1">
        <f t="shared" ref="X386:X449" si="28">X385+V386</f>
        <v>94766.500000000058</v>
      </c>
      <c r="Y386" s="1">
        <f t="shared" si="19"/>
        <v>4262</v>
      </c>
      <c r="AA386" s="1">
        <v>9.2844317619909909</v>
      </c>
    </row>
    <row r="387" spans="1:27" s="1" customFormat="1" x14ac:dyDescent="0.25">
      <c r="A387" s="70"/>
      <c r="B387" s="3"/>
      <c r="C387" s="8">
        <v>40560</v>
      </c>
      <c r="D387" s="1">
        <v>9.5</v>
      </c>
      <c r="E387" s="1">
        <v>4.9000000000000004</v>
      </c>
      <c r="F387" s="1">
        <v>15.9</v>
      </c>
      <c r="G387" s="1">
        <f t="shared" si="24"/>
        <v>1341.3999999999996</v>
      </c>
      <c r="H387" s="1">
        <f t="shared" si="18"/>
        <v>105.50000000000001</v>
      </c>
      <c r="I387" s="1">
        <v>28</v>
      </c>
      <c r="J387" s="1">
        <v>0</v>
      </c>
      <c r="K387" s="1">
        <f t="shared" si="25"/>
        <v>234.19999999999982</v>
      </c>
      <c r="L387" s="1">
        <v>1.2</v>
      </c>
      <c r="M387" s="1">
        <f t="shared" si="26"/>
        <v>211.10000000000002</v>
      </c>
      <c r="N387" s="1">
        <v>-1.2</v>
      </c>
      <c r="O387" s="1">
        <f t="shared" si="20"/>
        <v>86.399999999999963</v>
      </c>
      <c r="P387" s="6">
        <v>132</v>
      </c>
      <c r="Q387" s="16">
        <f t="shared" si="21"/>
        <v>1.0243243243243243</v>
      </c>
      <c r="R387" s="14">
        <f t="shared" si="22"/>
        <v>1.2291891891891891</v>
      </c>
      <c r="S387" s="14">
        <f t="shared" si="23"/>
        <v>-1.2291891891891891</v>
      </c>
      <c r="T387" s="15">
        <f t="shared" si="27"/>
        <v>105.37444015444009</v>
      </c>
      <c r="U387" s="16">
        <f>AVERAGE(T376:T449)</f>
        <v>92.110605238443028</v>
      </c>
      <c r="V387" s="1">
        <v>488.4</v>
      </c>
      <c r="X387" s="1">
        <f t="shared" si="28"/>
        <v>95254.900000000052</v>
      </c>
      <c r="Y387" s="1">
        <f t="shared" si="19"/>
        <v>4750.3999999999996</v>
      </c>
      <c r="AA387" s="1">
        <v>9.3137133607517306</v>
      </c>
    </row>
    <row r="388" spans="1:27" s="1" customFormat="1" x14ac:dyDescent="0.25">
      <c r="A388" s="70"/>
      <c r="B388" s="3"/>
      <c r="C388" s="8">
        <v>40561</v>
      </c>
      <c r="D388" s="1">
        <v>8.5</v>
      </c>
      <c r="E388" s="1">
        <v>5.8</v>
      </c>
      <c r="F388" s="1">
        <v>13.9</v>
      </c>
      <c r="G388" s="1">
        <f t="shared" si="24"/>
        <v>1349.8999999999996</v>
      </c>
      <c r="H388" s="1">
        <f t="shared" si="18"/>
        <v>114.00000000000001</v>
      </c>
      <c r="I388" s="26" t="s">
        <v>45</v>
      </c>
      <c r="J388" s="1">
        <v>0</v>
      </c>
      <c r="K388" s="1">
        <f t="shared" si="25"/>
        <v>234.19999999999982</v>
      </c>
      <c r="L388" s="1">
        <v>1</v>
      </c>
      <c r="M388" s="1">
        <f t="shared" si="26"/>
        <v>212.10000000000002</v>
      </c>
      <c r="N388" s="1">
        <v>-1</v>
      </c>
      <c r="O388" s="1">
        <f t="shared" si="20"/>
        <v>85.399999999999963</v>
      </c>
      <c r="P388" s="6">
        <v>133</v>
      </c>
      <c r="Q388" s="16">
        <f t="shared" si="21"/>
        <v>1.0263513513513514</v>
      </c>
      <c r="R388" s="14">
        <f t="shared" si="22"/>
        <v>1.0263513513513514</v>
      </c>
      <c r="S388" s="14">
        <f t="shared" si="23"/>
        <v>-1.0263513513513514</v>
      </c>
      <c r="T388" s="15">
        <f t="shared" si="27"/>
        <v>104.34808880308874</v>
      </c>
      <c r="V388" s="1">
        <v>565.70000000000005</v>
      </c>
      <c r="X388" s="1">
        <f t="shared" si="28"/>
        <v>95820.600000000049</v>
      </c>
      <c r="Y388" s="1">
        <f t="shared" si="19"/>
        <v>5316.0999999999995</v>
      </c>
      <c r="AA388" s="1">
        <v>9.3439052952562403</v>
      </c>
    </row>
    <row r="389" spans="1:27" s="1" customFormat="1" x14ac:dyDescent="0.25">
      <c r="A389" s="70"/>
      <c r="B389" s="3"/>
      <c r="C389" s="8">
        <v>40562</v>
      </c>
      <c r="D389" s="1">
        <v>6.3</v>
      </c>
      <c r="E389" s="1">
        <v>5.6</v>
      </c>
      <c r="F389" s="1">
        <v>10.4</v>
      </c>
      <c r="G389" s="1">
        <f t="shared" si="24"/>
        <v>1356.1999999999996</v>
      </c>
      <c r="H389" s="1">
        <f t="shared" si="18"/>
        <v>120.30000000000001</v>
      </c>
      <c r="I389" s="1">
        <v>541.1</v>
      </c>
      <c r="J389" s="1">
        <v>0</v>
      </c>
      <c r="K389" s="1">
        <f t="shared" si="25"/>
        <v>234.19999999999982</v>
      </c>
      <c r="L389" s="1">
        <v>1</v>
      </c>
      <c r="M389" s="1">
        <f t="shared" si="26"/>
        <v>213.10000000000002</v>
      </c>
      <c r="N389" s="1">
        <v>-1</v>
      </c>
      <c r="O389" s="1">
        <f t="shared" si="20"/>
        <v>84.399999999999963</v>
      </c>
      <c r="P389" s="6">
        <v>134</v>
      </c>
      <c r="Q389" s="16">
        <f t="shared" si="21"/>
        <v>1.0283783783783784</v>
      </c>
      <c r="R389" s="14">
        <f t="shared" si="22"/>
        <v>1.0283783783783784</v>
      </c>
      <c r="S389" s="14">
        <f t="shared" si="23"/>
        <v>-1.0283783783783784</v>
      </c>
      <c r="T389" s="15">
        <f t="shared" si="27"/>
        <v>103.31971042471037</v>
      </c>
      <c r="U389" s="14">
        <f>(U387*100)/122.1</f>
        <v>75.438661128945967</v>
      </c>
      <c r="V389" s="1">
        <v>627.79999999999995</v>
      </c>
      <c r="X389" s="1">
        <f t="shared" si="28"/>
        <v>96448.400000000052</v>
      </c>
      <c r="Y389" s="1">
        <f t="shared" si="19"/>
        <v>5943.9</v>
      </c>
      <c r="AA389" s="1">
        <v>9.3749835573052707</v>
      </c>
    </row>
    <row r="390" spans="1:27" s="1" customFormat="1" x14ac:dyDescent="0.25">
      <c r="A390" s="70"/>
      <c r="B390" s="3"/>
      <c r="C390" s="8">
        <v>40563</v>
      </c>
      <c r="D390" s="1">
        <v>2.1</v>
      </c>
      <c r="E390" s="1">
        <v>-1.4</v>
      </c>
      <c r="F390" s="1">
        <v>5.0999999999999996</v>
      </c>
      <c r="G390" s="1">
        <f t="shared" si="24"/>
        <v>1358.2999999999995</v>
      </c>
      <c r="H390" s="1">
        <f t="shared" si="18"/>
        <v>122.4</v>
      </c>
      <c r="J390" s="1">
        <v>0</v>
      </c>
      <c r="K390" s="1">
        <f t="shared" si="25"/>
        <v>234.19999999999982</v>
      </c>
      <c r="L390" s="1">
        <v>1.1000000000000001</v>
      </c>
      <c r="M390" s="1">
        <f t="shared" si="26"/>
        <v>214.20000000000002</v>
      </c>
      <c r="N390" s="1">
        <v>-1.1000000000000001</v>
      </c>
      <c r="O390" s="1">
        <f t="shared" si="20"/>
        <v>83.299999999999969</v>
      </c>
      <c r="P390" s="6">
        <v>135</v>
      </c>
      <c r="Q390" s="16">
        <f t="shared" si="21"/>
        <v>1.0304054054054055</v>
      </c>
      <c r="R390" s="14">
        <f t="shared" si="22"/>
        <v>1.1334459459459461</v>
      </c>
      <c r="S390" s="14">
        <f t="shared" si="23"/>
        <v>-1.1334459459459461</v>
      </c>
      <c r="T390" s="15">
        <f t="shared" si="27"/>
        <v>102.18626447876441</v>
      </c>
      <c r="V390" s="1">
        <v>1057.5999999999999</v>
      </c>
      <c r="X390" s="1">
        <f t="shared" si="28"/>
        <v>97506.000000000058</v>
      </c>
      <c r="Y390" s="1">
        <f t="shared" si="19"/>
        <v>7001.5</v>
      </c>
      <c r="AA390" s="1">
        <v>9.4069239913861793</v>
      </c>
    </row>
    <row r="391" spans="1:27" s="1" customFormat="1" x14ac:dyDescent="0.25">
      <c r="A391" s="70"/>
      <c r="B391" s="3">
        <v>8</v>
      </c>
      <c r="C391" s="8">
        <v>40564</v>
      </c>
      <c r="D391" s="1">
        <v>0.7</v>
      </c>
      <c r="E391" s="1">
        <v>-0.9</v>
      </c>
      <c r="F391" s="1">
        <v>4.2</v>
      </c>
      <c r="G391" s="1">
        <f t="shared" si="24"/>
        <v>1358.9999999999995</v>
      </c>
      <c r="H391" s="1">
        <f t="shared" si="18"/>
        <v>123.10000000000001</v>
      </c>
      <c r="J391" s="1">
        <v>0</v>
      </c>
      <c r="K391" s="1">
        <f t="shared" si="25"/>
        <v>234.19999999999982</v>
      </c>
      <c r="L391" s="1">
        <v>1.2</v>
      </c>
      <c r="M391" s="1">
        <f t="shared" si="26"/>
        <v>215.4</v>
      </c>
      <c r="N391" s="1">
        <v>-1.2</v>
      </c>
      <c r="O391" s="1">
        <f t="shared" si="20"/>
        <v>82.099999999999966</v>
      </c>
      <c r="P391" s="6">
        <v>136</v>
      </c>
      <c r="Q391" s="16">
        <f t="shared" si="21"/>
        <v>1.0324324324324323</v>
      </c>
      <c r="R391" s="14">
        <f t="shared" si="22"/>
        <v>1.2389189189189187</v>
      </c>
      <c r="S391" s="14">
        <f t="shared" si="23"/>
        <v>-1.2389189189189187</v>
      </c>
      <c r="T391" s="15">
        <f t="shared" si="27"/>
        <v>100.9473455598455</v>
      </c>
      <c r="V391" s="1">
        <v>811.2</v>
      </c>
      <c r="X391" s="1">
        <f t="shared" si="28"/>
        <v>98317.200000000055</v>
      </c>
      <c r="Y391" s="1">
        <f t="shared" si="19"/>
        <v>7812.7</v>
      </c>
      <c r="AA391" s="1">
        <v>9.4397023505662503</v>
      </c>
    </row>
    <row r="392" spans="1:27" s="1" customFormat="1" x14ac:dyDescent="0.25">
      <c r="A392" s="70"/>
      <c r="B392" s="3"/>
      <c r="C392" s="8">
        <v>40565</v>
      </c>
      <c r="D392" s="1">
        <v>-1.3</v>
      </c>
      <c r="E392" s="1">
        <v>-3.3</v>
      </c>
      <c r="F392" s="1">
        <v>-0.1</v>
      </c>
      <c r="G392" s="1">
        <v>1359</v>
      </c>
      <c r="H392" s="1">
        <v>123.1</v>
      </c>
      <c r="J392" s="1">
        <v>0</v>
      </c>
      <c r="K392" s="1">
        <f t="shared" si="25"/>
        <v>234.19999999999982</v>
      </c>
      <c r="L392" s="1">
        <v>0.7</v>
      </c>
      <c r="M392" s="1">
        <f t="shared" si="26"/>
        <v>216.1</v>
      </c>
      <c r="N392" s="1">
        <v>-0.7</v>
      </c>
      <c r="O392" s="1">
        <f t="shared" si="20"/>
        <v>81.399999999999963</v>
      </c>
      <c r="P392" s="6">
        <v>137</v>
      </c>
      <c r="Q392" s="16">
        <f t="shared" si="21"/>
        <v>1.0344594594594594</v>
      </c>
      <c r="R392" s="14">
        <f t="shared" si="22"/>
        <v>0.72412162162162153</v>
      </c>
      <c r="S392" s="14">
        <f t="shared" si="23"/>
        <v>-0.72412162162162153</v>
      </c>
      <c r="T392" s="15">
        <f t="shared" si="27"/>
        <v>100.22322393822388</v>
      </c>
      <c r="V392" s="1">
        <v>561.79999999999995</v>
      </c>
      <c r="X392" s="1">
        <f t="shared" si="28"/>
        <v>98879.000000000058</v>
      </c>
      <c r="Y392" s="1">
        <f t="shared" si="19"/>
        <v>8374.5</v>
      </c>
      <c r="AA392" s="1">
        <v>9.4732943501627194</v>
      </c>
    </row>
    <row r="393" spans="1:27" s="1" customFormat="1" x14ac:dyDescent="0.25">
      <c r="A393" s="70"/>
      <c r="B393" s="3"/>
      <c r="C393" s="8">
        <v>40566</v>
      </c>
      <c r="D393" s="1">
        <v>-0.2</v>
      </c>
      <c r="E393" s="1">
        <v>-1.6</v>
      </c>
      <c r="F393" s="1">
        <v>3.4</v>
      </c>
      <c r="G393" s="1">
        <v>1359</v>
      </c>
      <c r="H393" s="1">
        <v>123.1</v>
      </c>
      <c r="J393" s="1">
        <v>0</v>
      </c>
      <c r="K393" s="1">
        <f t="shared" si="25"/>
        <v>234.19999999999982</v>
      </c>
      <c r="L393" s="1">
        <v>1.1000000000000001</v>
      </c>
      <c r="M393" s="1">
        <f t="shared" si="26"/>
        <v>217.2</v>
      </c>
      <c r="N393" s="1">
        <v>-1.1000000000000001</v>
      </c>
      <c r="O393" s="1">
        <f t="shared" si="20"/>
        <v>80.299999999999969</v>
      </c>
      <c r="P393" s="6">
        <v>138</v>
      </c>
      <c r="Q393" s="16">
        <f t="shared" si="21"/>
        <v>1.0364864864864864</v>
      </c>
      <c r="R393" s="14">
        <f t="shared" si="22"/>
        <v>1.1401351351351352</v>
      </c>
      <c r="S393" s="14">
        <f t="shared" si="23"/>
        <v>-1.1401351351351352</v>
      </c>
      <c r="T393" s="15">
        <f t="shared" si="27"/>
        <v>99.083088803088742</v>
      </c>
      <c r="V393" s="1">
        <v>984.1</v>
      </c>
      <c r="X393" s="1">
        <f t="shared" si="28"/>
        <v>99863.100000000064</v>
      </c>
      <c r="Y393" s="1">
        <f t="shared" si="19"/>
        <v>9358.6</v>
      </c>
      <c r="AA393" s="1">
        <v>9.5076757190377794</v>
      </c>
    </row>
    <row r="394" spans="1:27" s="1" customFormat="1" x14ac:dyDescent="0.25">
      <c r="A394" s="70"/>
      <c r="B394" s="3"/>
      <c r="C394" s="8">
        <v>40567</v>
      </c>
      <c r="D394" s="1">
        <v>-1</v>
      </c>
      <c r="E394" s="1">
        <v>-4.5999999999999996</v>
      </c>
      <c r="F394" s="1">
        <v>4.2</v>
      </c>
      <c r="G394" s="1">
        <v>1359</v>
      </c>
      <c r="H394" s="1">
        <v>123.1</v>
      </c>
      <c r="J394" s="1">
        <v>0</v>
      </c>
      <c r="K394" s="1">
        <f t="shared" si="25"/>
        <v>234.19999999999982</v>
      </c>
      <c r="L394" s="1">
        <v>1</v>
      </c>
      <c r="M394" s="1">
        <f t="shared" si="26"/>
        <v>218.2</v>
      </c>
      <c r="N394" s="1">
        <v>-1</v>
      </c>
      <c r="O394" s="1">
        <f t="shared" si="20"/>
        <v>79.299999999999969</v>
      </c>
      <c r="P394" s="6">
        <v>139</v>
      </c>
      <c r="Q394" s="16">
        <f t="shared" si="21"/>
        <v>1.0385135135135135</v>
      </c>
      <c r="R394" s="14">
        <f t="shared" si="22"/>
        <v>1.0385135135135135</v>
      </c>
      <c r="S394" s="14">
        <f t="shared" si="23"/>
        <v>-1.0385135135135135</v>
      </c>
      <c r="T394" s="15">
        <f t="shared" si="27"/>
        <v>98.044575289575235</v>
      </c>
      <c r="V394" s="1">
        <v>1104.9000000000001</v>
      </c>
      <c r="X394" s="1">
        <f t="shared" si="28"/>
        <v>100968.00000000006</v>
      </c>
      <c r="Y394" s="1">
        <f t="shared" si="19"/>
        <v>10463.5</v>
      </c>
      <c r="AA394" s="1">
        <v>9.5428222483918006</v>
      </c>
    </row>
    <row r="395" spans="1:27" s="1" customFormat="1" x14ac:dyDescent="0.25">
      <c r="A395" s="70"/>
      <c r="B395" s="3"/>
      <c r="C395" s="8">
        <v>40568</v>
      </c>
      <c r="D395" s="1">
        <v>0.5</v>
      </c>
      <c r="E395" s="1">
        <v>-3.3</v>
      </c>
      <c r="F395" s="1">
        <v>5</v>
      </c>
      <c r="G395" s="1">
        <f t="shared" si="24"/>
        <v>1359.5</v>
      </c>
      <c r="H395" s="1">
        <f t="shared" si="18"/>
        <v>123.6</v>
      </c>
      <c r="J395" s="1">
        <v>0</v>
      </c>
      <c r="K395" s="1">
        <f t="shared" si="25"/>
        <v>234.19999999999982</v>
      </c>
      <c r="L395" s="1">
        <v>0.7</v>
      </c>
      <c r="M395" s="1">
        <f t="shared" si="26"/>
        <v>218.89999999999998</v>
      </c>
      <c r="N395" s="1">
        <v>-0.7</v>
      </c>
      <c r="O395" s="1">
        <f t="shared" si="20"/>
        <v>78.599999999999966</v>
      </c>
      <c r="P395" s="6">
        <v>140</v>
      </c>
      <c r="Q395" s="16">
        <f t="shared" si="21"/>
        <v>1.0405405405405406</v>
      </c>
      <c r="R395" s="14">
        <f t="shared" si="22"/>
        <v>0.72837837837837838</v>
      </c>
      <c r="S395" s="14">
        <f t="shared" si="23"/>
        <v>-0.72837837837837838</v>
      </c>
      <c r="T395" s="15">
        <f t="shared" si="27"/>
        <v>97.316196911196855</v>
      </c>
      <c r="V395" s="1">
        <v>556.5</v>
      </c>
      <c r="X395" s="1">
        <f t="shared" si="28"/>
        <v>101524.50000000006</v>
      </c>
      <c r="Y395" s="1">
        <f t="shared" si="19"/>
        <v>11020</v>
      </c>
      <c r="AA395" s="1">
        <v>9.5787098379526103</v>
      </c>
    </row>
    <row r="396" spans="1:27" s="1" customFormat="1" x14ac:dyDescent="0.25">
      <c r="A396" s="70"/>
      <c r="B396" s="3"/>
      <c r="C396" s="8">
        <v>40569</v>
      </c>
      <c r="D396" s="1">
        <v>1.7</v>
      </c>
      <c r="E396" s="1">
        <v>-1.5</v>
      </c>
      <c r="F396" s="1">
        <v>6.8</v>
      </c>
      <c r="G396" s="1">
        <f t="shared" si="24"/>
        <v>1361.2</v>
      </c>
      <c r="H396" s="1">
        <f t="shared" si="18"/>
        <v>125.3</v>
      </c>
      <c r="J396" s="1">
        <v>0</v>
      </c>
      <c r="K396" s="1">
        <f t="shared" si="25"/>
        <v>234.19999999999982</v>
      </c>
      <c r="L396" s="1">
        <v>0.8</v>
      </c>
      <c r="M396" s="1">
        <f t="shared" si="26"/>
        <v>219.7</v>
      </c>
      <c r="N396" s="1">
        <v>-0.8</v>
      </c>
      <c r="O396" s="1">
        <f t="shared" si="20"/>
        <v>77.799999999999969</v>
      </c>
      <c r="P396" s="6">
        <v>141</v>
      </c>
      <c r="Q396" s="16">
        <f t="shared" si="21"/>
        <v>1.0425675675675676</v>
      </c>
      <c r="R396" s="14">
        <f t="shared" si="22"/>
        <v>0.83405405405405419</v>
      </c>
      <c r="S396" s="14">
        <f t="shared" si="23"/>
        <v>-0.83405405405405419</v>
      </c>
      <c r="T396" s="15">
        <f t="shared" si="27"/>
        <v>96.482142857142804</v>
      </c>
      <c r="V396" s="1">
        <v>395.5</v>
      </c>
      <c r="X396" s="1">
        <f t="shared" si="28"/>
        <v>101920.00000000006</v>
      </c>
      <c r="Y396" s="1">
        <f t="shared" si="19"/>
        <v>11415.5</v>
      </c>
      <c r="AA396" s="1">
        <v>9.6153145394824406</v>
      </c>
    </row>
    <row r="397" spans="1:27" s="1" customFormat="1" x14ac:dyDescent="0.25">
      <c r="A397" s="70"/>
      <c r="B397" s="3"/>
      <c r="C397" s="8">
        <v>40570</v>
      </c>
      <c r="D397" s="1">
        <v>3.2</v>
      </c>
      <c r="E397" s="1">
        <v>-3.2</v>
      </c>
      <c r="F397" s="1">
        <v>9.8000000000000007</v>
      </c>
      <c r="G397" s="1">
        <f t="shared" si="24"/>
        <v>1364.4</v>
      </c>
      <c r="H397" s="1">
        <f t="shared" si="18"/>
        <v>128.5</v>
      </c>
      <c r="J397" s="1">
        <v>0</v>
      </c>
      <c r="K397" s="1">
        <f t="shared" si="25"/>
        <v>234.19999999999982</v>
      </c>
      <c r="L397" s="1">
        <v>0.7</v>
      </c>
      <c r="M397" s="1">
        <f t="shared" si="26"/>
        <v>220.39999999999998</v>
      </c>
      <c r="N397" s="1">
        <v>-0.7</v>
      </c>
      <c r="O397" s="1">
        <f t="shared" si="20"/>
        <v>77.099999999999966</v>
      </c>
      <c r="P397" s="6">
        <v>142</v>
      </c>
      <c r="Q397" s="16">
        <f t="shared" si="21"/>
        <v>1.0445945945945945</v>
      </c>
      <c r="R397" s="14">
        <f t="shared" si="22"/>
        <v>0.73121621621621613</v>
      </c>
      <c r="S397" s="14">
        <f t="shared" si="23"/>
        <v>-0.73121621621621613</v>
      </c>
      <c r="T397" s="15">
        <f t="shared" si="27"/>
        <v>95.750926640926593</v>
      </c>
      <c r="V397" s="1">
        <v>533.29999999999995</v>
      </c>
      <c r="X397" s="1">
        <f t="shared" si="28"/>
        <v>102453.30000000006</v>
      </c>
      <c r="Y397" s="1">
        <f t="shared" si="19"/>
        <v>11948.8</v>
      </c>
      <c r="AA397" s="1">
        <v>9.6526125975464208</v>
      </c>
    </row>
    <row r="398" spans="1:27" s="1" customFormat="1" x14ac:dyDescent="0.25">
      <c r="A398" s="70"/>
      <c r="B398" s="3">
        <v>9</v>
      </c>
      <c r="C398" s="8">
        <v>40571</v>
      </c>
      <c r="D398" s="1">
        <v>7</v>
      </c>
      <c r="E398" s="1">
        <v>3.1</v>
      </c>
      <c r="F398" s="1">
        <v>11.8</v>
      </c>
      <c r="G398" s="1">
        <f t="shared" si="24"/>
        <v>1371.4</v>
      </c>
      <c r="H398" s="1">
        <f t="shared" si="18"/>
        <v>135.5</v>
      </c>
      <c r="J398" s="1">
        <v>0</v>
      </c>
      <c r="K398" s="1">
        <f t="shared" si="25"/>
        <v>234.19999999999982</v>
      </c>
      <c r="L398" s="1">
        <v>1.6</v>
      </c>
      <c r="M398" s="1">
        <f t="shared" si="26"/>
        <v>221.99999999999997</v>
      </c>
      <c r="N398" s="1">
        <v>-1.6</v>
      </c>
      <c r="O398" s="1">
        <f t="shared" si="20"/>
        <v>75.499999999999972</v>
      </c>
      <c r="P398" s="6">
        <v>143</v>
      </c>
      <c r="Q398" s="16">
        <f t="shared" si="21"/>
        <v>1.0466216216216215</v>
      </c>
      <c r="R398" s="14">
        <f t="shared" si="22"/>
        <v>1.6745945945945946</v>
      </c>
      <c r="S398" s="14">
        <f t="shared" si="23"/>
        <v>-1.6745945945945946</v>
      </c>
      <c r="T398" s="15">
        <f t="shared" si="27"/>
        <v>94.076332046331999</v>
      </c>
      <c r="V398" s="1">
        <v>694.2</v>
      </c>
      <c r="X398" s="1">
        <f t="shared" si="28"/>
        <v>103147.50000000006</v>
      </c>
      <c r="Y398" s="1">
        <f t="shared" si="19"/>
        <v>12643</v>
      </c>
      <c r="AA398" s="1">
        <v>9.6905804875077397</v>
      </c>
    </row>
    <row r="399" spans="1:27" s="1" customFormat="1" x14ac:dyDescent="0.25">
      <c r="A399" s="70"/>
      <c r="B399" s="3"/>
      <c r="C399" s="8">
        <v>40572</v>
      </c>
      <c r="D399" s="1">
        <v>5.2</v>
      </c>
      <c r="E399" s="1">
        <v>3.5</v>
      </c>
      <c r="F399" s="1">
        <v>6.5</v>
      </c>
      <c r="G399" s="1">
        <f t="shared" si="24"/>
        <v>1376.6000000000001</v>
      </c>
      <c r="H399" s="1">
        <f t="shared" ref="H399:H462" si="29">H398+D399</f>
        <v>140.69999999999999</v>
      </c>
      <c r="J399" s="1">
        <v>9.6999999999999993</v>
      </c>
      <c r="K399" s="1">
        <f t="shared" si="25"/>
        <v>243.89999999999981</v>
      </c>
      <c r="L399" s="1">
        <v>0.4</v>
      </c>
      <c r="M399" s="1">
        <f t="shared" si="26"/>
        <v>222.39999999999998</v>
      </c>
      <c r="N399" s="1">
        <v>9.2999999999999989</v>
      </c>
      <c r="O399" s="1">
        <f t="shared" si="20"/>
        <v>84.799999999999969</v>
      </c>
      <c r="P399" s="6">
        <v>144</v>
      </c>
      <c r="Q399" s="16">
        <f t="shared" si="21"/>
        <v>1.0486486486486486</v>
      </c>
      <c r="R399" s="14">
        <f t="shared" si="22"/>
        <v>0.41945945945945945</v>
      </c>
      <c r="S399" s="14">
        <f t="shared" si="23"/>
        <v>9.2805405405405406</v>
      </c>
      <c r="T399" s="15">
        <f t="shared" si="27"/>
        <v>103.35687258687254</v>
      </c>
      <c r="V399" s="1">
        <v>124.2</v>
      </c>
      <c r="X399" s="1">
        <f t="shared" si="28"/>
        <v>103271.70000000006</v>
      </c>
      <c r="Y399" s="1">
        <f t="shared" ref="Y399:Y462" si="30">Y398+V399</f>
        <v>12767.2</v>
      </c>
      <c r="AA399" s="1">
        <v>9.7291949507346693</v>
      </c>
    </row>
    <row r="400" spans="1:27" s="1" customFormat="1" x14ac:dyDescent="0.25">
      <c r="A400" s="70"/>
      <c r="B400" s="3"/>
      <c r="C400" s="8">
        <v>40573</v>
      </c>
      <c r="D400" s="1">
        <v>4.0999999999999996</v>
      </c>
      <c r="E400" s="1">
        <v>3.4</v>
      </c>
      <c r="F400" s="1">
        <v>5.0999999999999996</v>
      </c>
      <c r="G400" s="1">
        <f t="shared" si="24"/>
        <v>1380.7</v>
      </c>
      <c r="H400" s="1">
        <f t="shared" si="29"/>
        <v>144.79999999999998</v>
      </c>
      <c r="J400" s="1">
        <v>0</v>
      </c>
      <c r="K400" s="1">
        <f t="shared" si="25"/>
        <v>243.89999999999981</v>
      </c>
      <c r="L400" s="1">
        <v>0.2</v>
      </c>
      <c r="M400" s="1">
        <f t="shared" si="26"/>
        <v>222.59999999999997</v>
      </c>
      <c r="N400" s="1">
        <v>-0.2</v>
      </c>
      <c r="O400" s="1">
        <f t="shared" si="20"/>
        <v>84.599999999999966</v>
      </c>
      <c r="P400" s="6">
        <v>145</v>
      </c>
      <c r="Q400" s="16">
        <f t="shared" si="21"/>
        <v>1.0506756756756757</v>
      </c>
      <c r="R400" s="14">
        <f t="shared" si="22"/>
        <v>0.21013513513513515</v>
      </c>
      <c r="S400" s="14">
        <f t="shared" si="23"/>
        <v>-0.21013513513513515</v>
      </c>
      <c r="T400" s="15">
        <f t="shared" si="27"/>
        <v>103.14673745173741</v>
      </c>
      <c r="V400" s="1">
        <v>66.5</v>
      </c>
      <c r="X400" s="1">
        <f t="shared" si="28"/>
        <v>103338.20000000006</v>
      </c>
      <c r="Y400" s="1">
        <f t="shared" si="30"/>
        <v>12833.7</v>
      </c>
      <c r="AA400" s="1">
        <v>9.7684330270224002</v>
      </c>
    </row>
    <row r="401" spans="1:30" s="1" customFormat="1" x14ac:dyDescent="0.25">
      <c r="A401" s="70"/>
      <c r="B401" s="3"/>
      <c r="C401" s="8">
        <v>40574</v>
      </c>
      <c r="D401" s="1">
        <v>1.1000000000000001</v>
      </c>
      <c r="E401" s="1">
        <v>0.1</v>
      </c>
      <c r="F401" s="1">
        <v>2.2999999999999998</v>
      </c>
      <c r="G401" s="1">
        <f t="shared" si="24"/>
        <v>1381.8</v>
      </c>
      <c r="H401" s="1">
        <f t="shared" si="29"/>
        <v>145.89999999999998</v>
      </c>
      <c r="J401" s="1">
        <v>0</v>
      </c>
      <c r="K401" s="1">
        <f t="shared" si="25"/>
        <v>243.89999999999981</v>
      </c>
      <c r="L401" s="1">
        <v>0.5</v>
      </c>
      <c r="M401" s="1">
        <f t="shared" si="26"/>
        <v>223.09999999999997</v>
      </c>
      <c r="N401" s="1">
        <v>-0.5</v>
      </c>
      <c r="O401" s="1">
        <f t="shared" si="20"/>
        <v>84.099999999999966</v>
      </c>
      <c r="P401" s="6">
        <v>146</v>
      </c>
      <c r="Q401" s="16">
        <f t="shared" si="21"/>
        <v>1.0527027027027027</v>
      </c>
      <c r="R401" s="14">
        <f t="shared" si="22"/>
        <v>0.52635135135135136</v>
      </c>
      <c r="S401" s="14">
        <f t="shared" si="23"/>
        <v>-0.52635135135135136</v>
      </c>
      <c r="T401" s="15">
        <f t="shared" si="27"/>
        <v>102.62038610038606</v>
      </c>
      <c r="V401" s="1">
        <v>270.2</v>
      </c>
      <c r="X401" s="1">
        <f t="shared" si="28"/>
        <v>103608.40000000005</v>
      </c>
      <c r="Y401" s="1">
        <f t="shared" si="30"/>
        <v>13103.900000000001</v>
      </c>
      <c r="AA401" s="1">
        <v>9.8082720842499906</v>
      </c>
    </row>
    <row r="402" spans="1:30" s="1" customFormat="1" x14ac:dyDescent="0.25">
      <c r="A402" s="70"/>
      <c r="B402" s="3"/>
      <c r="C402" s="8">
        <v>40575</v>
      </c>
      <c r="D402" s="1">
        <v>-0.1</v>
      </c>
      <c r="E402" s="1">
        <v>-1.1000000000000001</v>
      </c>
      <c r="F402" s="1">
        <v>0.6</v>
      </c>
      <c r="G402" s="1">
        <v>1381.8</v>
      </c>
      <c r="H402" s="1">
        <v>145.9</v>
      </c>
      <c r="J402" s="1">
        <v>0</v>
      </c>
      <c r="K402" s="1">
        <f t="shared" si="25"/>
        <v>243.89999999999981</v>
      </c>
      <c r="L402" s="1">
        <v>0.6</v>
      </c>
      <c r="M402" s="1">
        <f t="shared" si="26"/>
        <v>223.69999999999996</v>
      </c>
      <c r="N402" s="1">
        <v>-0.6</v>
      </c>
      <c r="O402" s="1">
        <f t="shared" si="20"/>
        <v>83.499999999999972</v>
      </c>
      <c r="P402" s="6">
        <v>147</v>
      </c>
      <c r="Q402" s="16">
        <f t="shared" si="21"/>
        <v>1.0547297297297298</v>
      </c>
      <c r="R402" s="14">
        <f t="shared" si="22"/>
        <v>0.63283783783783787</v>
      </c>
      <c r="S402" s="14">
        <f t="shared" si="23"/>
        <v>-0.63283783783783787</v>
      </c>
      <c r="T402" s="15">
        <f t="shared" si="27"/>
        <v>101.98754826254822</v>
      </c>
      <c r="V402" s="1">
        <v>454.2</v>
      </c>
      <c r="X402" s="1">
        <f t="shared" si="28"/>
        <v>104062.60000000005</v>
      </c>
      <c r="Y402" s="1">
        <f t="shared" si="30"/>
        <v>13558.100000000002</v>
      </c>
      <c r="AA402" s="1">
        <v>9.8486898453075806</v>
      </c>
    </row>
    <row r="403" spans="1:30" s="1" customFormat="1" x14ac:dyDescent="0.25">
      <c r="A403" s="70"/>
      <c r="B403" s="3"/>
      <c r="C403" s="8">
        <v>40576</v>
      </c>
      <c r="D403" s="1">
        <v>2.7</v>
      </c>
      <c r="E403" s="1">
        <v>-0.4</v>
      </c>
      <c r="F403" s="1">
        <v>5.9</v>
      </c>
      <c r="G403" s="1">
        <f t="shared" si="24"/>
        <v>1384.5</v>
      </c>
      <c r="H403" s="1">
        <f t="shared" si="29"/>
        <v>148.6</v>
      </c>
      <c r="J403" s="1">
        <v>0</v>
      </c>
      <c r="K403" s="1">
        <f t="shared" si="25"/>
        <v>243.89999999999981</v>
      </c>
      <c r="L403" s="1">
        <v>1.1000000000000001</v>
      </c>
      <c r="M403" s="1">
        <f t="shared" si="26"/>
        <v>224.79999999999995</v>
      </c>
      <c r="N403" s="1">
        <v>-1.1000000000000001</v>
      </c>
      <c r="O403" s="1">
        <f t="shared" si="20"/>
        <v>82.399999999999977</v>
      </c>
      <c r="P403" s="6">
        <v>148</v>
      </c>
      <c r="Q403" s="16">
        <f t="shared" si="21"/>
        <v>1.0567567567567566</v>
      </c>
      <c r="R403" s="14">
        <f t="shared" si="22"/>
        <v>1.1624324324324324</v>
      </c>
      <c r="S403" s="14">
        <f t="shared" si="23"/>
        <v>-1.1624324324324324</v>
      </c>
      <c r="T403" s="15">
        <f t="shared" si="27"/>
        <v>100.82511583011578</v>
      </c>
      <c r="V403" s="1">
        <v>681.6</v>
      </c>
      <c r="X403" s="1">
        <f t="shared" si="28"/>
        <v>104744.20000000006</v>
      </c>
      <c r="Y403" s="1">
        <f t="shared" si="30"/>
        <v>14239.700000000003</v>
      </c>
      <c r="AA403" s="1">
        <v>9.8896644123426807</v>
      </c>
    </row>
    <row r="404" spans="1:30" s="1" customFormat="1" x14ac:dyDescent="0.25">
      <c r="A404" s="70"/>
      <c r="B404" s="3"/>
      <c r="C404" s="8">
        <v>40577</v>
      </c>
      <c r="D404" s="1">
        <v>8.1999999999999993</v>
      </c>
      <c r="E404" s="1">
        <v>5.0999999999999996</v>
      </c>
      <c r="F404" s="1">
        <v>11.7</v>
      </c>
      <c r="G404" s="1">
        <f t="shared" si="24"/>
        <v>1392.7</v>
      </c>
      <c r="H404" s="1">
        <f t="shared" si="29"/>
        <v>156.79999999999998</v>
      </c>
      <c r="J404" s="1">
        <v>0</v>
      </c>
      <c r="K404" s="1">
        <f t="shared" si="25"/>
        <v>243.89999999999981</v>
      </c>
      <c r="L404" s="1">
        <v>1</v>
      </c>
      <c r="M404" s="1">
        <f t="shared" si="26"/>
        <v>225.79999999999995</v>
      </c>
      <c r="N404" s="1">
        <v>-1</v>
      </c>
      <c r="O404" s="1">
        <f t="shared" si="20"/>
        <v>81.399999999999977</v>
      </c>
      <c r="P404" s="6">
        <v>149</v>
      </c>
      <c r="Q404" s="16">
        <f t="shared" si="21"/>
        <v>1.0587837837837837</v>
      </c>
      <c r="R404" s="14">
        <f t="shared" si="22"/>
        <v>1.0587837837837837</v>
      </c>
      <c r="S404" s="14">
        <f t="shared" si="23"/>
        <v>-1.0587837837837837</v>
      </c>
      <c r="T404" s="15">
        <f t="shared" si="27"/>
        <v>99.766332046331996</v>
      </c>
      <c r="V404" s="1">
        <v>271.7</v>
      </c>
      <c r="X404" s="1">
        <f t="shared" si="28"/>
        <v>105015.90000000005</v>
      </c>
      <c r="Y404" s="1">
        <f t="shared" si="30"/>
        <v>14511.400000000003</v>
      </c>
      <c r="AA404" s="1">
        <v>9.93117428838646</v>
      </c>
      <c r="AB404" s="93" t="s">
        <v>59</v>
      </c>
    </row>
    <row r="405" spans="1:30" s="1" customFormat="1" x14ac:dyDescent="0.25">
      <c r="A405" s="70"/>
      <c r="B405" s="3">
        <v>10</v>
      </c>
      <c r="C405" s="8">
        <v>40578</v>
      </c>
      <c r="D405" s="1">
        <v>9.5</v>
      </c>
      <c r="E405" s="1">
        <v>7.4</v>
      </c>
      <c r="F405" s="1">
        <v>13.9</v>
      </c>
      <c r="G405" s="1">
        <f t="shared" si="24"/>
        <v>1402.2</v>
      </c>
      <c r="H405" s="1">
        <f t="shared" si="29"/>
        <v>166.29999999999998</v>
      </c>
      <c r="J405" s="1">
        <v>0</v>
      </c>
      <c r="K405" s="1">
        <f t="shared" si="25"/>
        <v>243.89999999999981</v>
      </c>
      <c r="L405" s="1">
        <v>1.6</v>
      </c>
      <c r="M405" s="1">
        <f t="shared" si="26"/>
        <v>227.39999999999995</v>
      </c>
      <c r="N405" s="1">
        <v>-1.6</v>
      </c>
      <c r="O405" s="1">
        <f t="shared" si="20"/>
        <v>79.799999999999983</v>
      </c>
      <c r="P405" s="6">
        <v>150</v>
      </c>
      <c r="Q405" s="16">
        <f t="shared" si="21"/>
        <v>1.0608108108108107</v>
      </c>
      <c r="R405" s="14">
        <f t="shared" si="22"/>
        <v>1.6972972972972973</v>
      </c>
      <c r="S405" s="14">
        <f t="shared" si="23"/>
        <v>-1.6972972972972973</v>
      </c>
      <c r="T405" s="15">
        <f t="shared" si="27"/>
        <v>98.069034749034699</v>
      </c>
      <c r="V405" s="1">
        <v>512.20000000000005</v>
      </c>
      <c r="X405" s="1">
        <f t="shared" si="28"/>
        <v>105528.10000000005</v>
      </c>
      <c r="Y405" s="1">
        <f t="shared" si="30"/>
        <v>15023.600000000004</v>
      </c>
      <c r="AA405" s="1">
        <v>9.9731983964313997</v>
      </c>
      <c r="AB405" s="14">
        <f>AVERAGE(T414:T427)</f>
        <v>89.364536679536641</v>
      </c>
      <c r="AD405" s="1" t="s">
        <v>54</v>
      </c>
    </row>
    <row r="406" spans="1:30" s="1" customFormat="1" x14ac:dyDescent="0.25">
      <c r="A406" s="70"/>
      <c r="B406" s="3"/>
      <c r="C406" s="8">
        <v>40579</v>
      </c>
      <c r="D406" s="1">
        <v>6.7</v>
      </c>
      <c r="E406" s="1">
        <v>1.8</v>
      </c>
      <c r="F406" s="1">
        <v>14.1</v>
      </c>
      <c r="G406" s="1">
        <f t="shared" si="24"/>
        <v>1408.9</v>
      </c>
      <c r="H406" s="1">
        <f t="shared" si="29"/>
        <v>172.99999999999997</v>
      </c>
      <c r="J406" s="1">
        <v>0.1</v>
      </c>
      <c r="K406" s="1">
        <f t="shared" si="25"/>
        <v>243.9999999999998</v>
      </c>
      <c r="L406" s="1">
        <v>1.6</v>
      </c>
      <c r="M406" s="1">
        <f t="shared" si="26"/>
        <v>228.99999999999994</v>
      </c>
      <c r="N406" s="1">
        <v>-1.5</v>
      </c>
      <c r="O406" s="1">
        <f t="shared" si="20"/>
        <v>78.299999999999983</v>
      </c>
      <c r="P406" s="6">
        <v>151</v>
      </c>
      <c r="Q406" s="16">
        <f t="shared" si="21"/>
        <v>1.0628378378378378</v>
      </c>
      <c r="R406" s="14">
        <f t="shared" si="22"/>
        <v>1.7005405405405405</v>
      </c>
      <c r="S406" s="14">
        <f t="shared" si="23"/>
        <v>-1.6005405405405404</v>
      </c>
      <c r="T406" s="15">
        <f t="shared" si="27"/>
        <v>96.468494208494164</v>
      </c>
      <c r="V406" s="1">
        <v>1011.1</v>
      </c>
      <c r="X406" s="1">
        <f t="shared" si="28"/>
        <v>106539.20000000006</v>
      </c>
      <c r="Y406" s="1">
        <f t="shared" si="30"/>
        <v>16034.700000000004</v>
      </c>
      <c r="AA406" s="1">
        <v>10.015716096040601</v>
      </c>
      <c r="AB406" s="93" t="s">
        <v>60</v>
      </c>
      <c r="AD406" s="16">
        <f>(AB405*(40/120))+(AB428*(80/120))</f>
        <v>80.386628056628027</v>
      </c>
    </row>
    <row r="407" spans="1:30" s="1" customFormat="1" x14ac:dyDescent="0.25">
      <c r="A407" s="70"/>
      <c r="B407" s="3"/>
      <c r="C407" s="8">
        <v>40580</v>
      </c>
      <c r="D407" s="1">
        <v>2.1</v>
      </c>
      <c r="E407" s="1">
        <v>-1</v>
      </c>
      <c r="F407" s="1">
        <v>6.9</v>
      </c>
      <c r="G407" s="1">
        <f t="shared" si="24"/>
        <v>1411</v>
      </c>
      <c r="H407" s="1">
        <f t="shared" si="29"/>
        <v>175.09999999999997</v>
      </c>
      <c r="J407" s="1">
        <v>0</v>
      </c>
      <c r="K407" s="1">
        <f t="shared" si="25"/>
        <v>243.9999999999998</v>
      </c>
      <c r="L407" s="1">
        <v>1.4</v>
      </c>
      <c r="M407" s="1">
        <f t="shared" si="26"/>
        <v>230.39999999999995</v>
      </c>
      <c r="N407" s="1">
        <v>-1.4</v>
      </c>
      <c r="O407" s="1">
        <f t="shared" si="20"/>
        <v>76.899999999999977</v>
      </c>
      <c r="P407" s="6">
        <v>152</v>
      </c>
      <c r="Q407" s="16">
        <f t="shared" si="21"/>
        <v>1.0648648648648649</v>
      </c>
      <c r="R407" s="14">
        <f t="shared" si="22"/>
        <v>1.4908108108108107</v>
      </c>
      <c r="S407" s="14">
        <f t="shared" si="23"/>
        <v>-1.4908108108108107</v>
      </c>
      <c r="T407" s="15">
        <f t="shared" si="27"/>
        <v>94.97768339768335</v>
      </c>
      <c r="V407" s="1">
        <v>898.7</v>
      </c>
      <c r="X407" s="1">
        <f t="shared" si="28"/>
        <v>107437.90000000005</v>
      </c>
      <c r="Y407" s="1">
        <f t="shared" si="30"/>
        <v>16933.400000000005</v>
      </c>
      <c r="AA407" s="1">
        <v>10.058707197576799</v>
      </c>
      <c r="AB407" s="1">
        <v>1</v>
      </c>
      <c r="AD407" s="1" t="s">
        <v>55</v>
      </c>
    </row>
    <row r="408" spans="1:30" s="1" customFormat="1" x14ac:dyDescent="0.25">
      <c r="A408" s="70"/>
      <c r="B408" s="3"/>
      <c r="C408" s="8">
        <v>40581</v>
      </c>
      <c r="D408" s="1">
        <v>5.7</v>
      </c>
      <c r="E408" s="1">
        <v>-1.3</v>
      </c>
      <c r="F408" s="1">
        <v>15.2</v>
      </c>
      <c r="G408" s="1">
        <f t="shared" si="24"/>
        <v>1416.7</v>
      </c>
      <c r="H408" s="1">
        <f t="shared" si="29"/>
        <v>180.79999999999995</v>
      </c>
      <c r="J408" s="1">
        <v>0.1</v>
      </c>
      <c r="K408" s="1">
        <f t="shared" si="25"/>
        <v>244.0999999999998</v>
      </c>
      <c r="L408" s="1">
        <v>2</v>
      </c>
      <c r="M408" s="1">
        <f t="shared" si="26"/>
        <v>232.39999999999995</v>
      </c>
      <c r="N408" s="1">
        <v>-1.9</v>
      </c>
      <c r="O408" s="1">
        <f t="shared" si="20"/>
        <v>74.999999999999972</v>
      </c>
      <c r="P408" s="6">
        <v>153</v>
      </c>
      <c r="Q408" s="16">
        <f t="shared" si="21"/>
        <v>1.0668918918918919</v>
      </c>
      <c r="R408" s="14">
        <f t="shared" si="22"/>
        <v>2.1337837837837839</v>
      </c>
      <c r="S408" s="14">
        <f t="shared" si="23"/>
        <v>-2.0337837837837838</v>
      </c>
      <c r="T408" s="15">
        <f t="shared" si="27"/>
        <v>92.943899613899561</v>
      </c>
      <c r="V408" s="1">
        <v>1230.8</v>
      </c>
      <c r="X408" s="1">
        <f t="shared" si="28"/>
        <v>108668.70000000006</v>
      </c>
      <c r="Y408" s="1">
        <f t="shared" si="30"/>
        <v>18164.200000000004</v>
      </c>
      <c r="AA408" s="1">
        <v>10.1021519741451</v>
      </c>
      <c r="AB408" s="93"/>
      <c r="AD408" s="14">
        <f>(AB407*(40/120))+(AB430*(80/120))</f>
        <v>4.333333333333333</v>
      </c>
    </row>
    <row r="409" spans="1:30" s="1" customFormat="1" x14ac:dyDescent="0.25">
      <c r="A409" s="70"/>
      <c r="B409" s="3"/>
      <c r="C409" s="8">
        <v>40582</v>
      </c>
      <c r="D409" s="1">
        <v>6.4</v>
      </c>
      <c r="E409" s="1">
        <v>0.6</v>
      </c>
      <c r="F409" s="1">
        <v>13.5</v>
      </c>
      <c r="G409" s="1">
        <f t="shared" si="24"/>
        <v>1423.1000000000001</v>
      </c>
      <c r="H409" s="1">
        <f t="shared" si="29"/>
        <v>187.19999999999996</v>
      </c>
      <c r="J409" s="1">
        <v>0.1</v>
      </c>
      <c r="K409" s="1">
        <f t="shared" si="25"/>
        <v>244.19999999999979</v>
      </c>
      <c r="L409" s="1">
        <v>1.3</v>
      </c>
      <c r="M409" s="1">
        <f t="shared" si="26"/>
        <v>233.69999999999996</v>
      </c>
      <c r="N409" s="1">
        <v>-1.2</v>
      </c>
      <c r="O409" s="1">
        <f t="shared" si="20"/>
        <v>73.799999999999969</v>
      </c>
      <c r="P409" s="6">
        <v>154</v>
      </c>
      <c r="Q409" s="16">
        <f t="shared" si="21"/>
        <v>1.0689189189189188</v>
      </c>
      <c r="R409" s="14">
        <f t="shared" si="22"/>
        <v>1.3895945945945944</v>
      </c>
      <c r="S409" s="14">
        <f t="shared" si="23"/>
        <v>-1.2895945945945944</v>
      </c>
      <c r="T409" s="15">
        <f t="shared" si="27"/>
        <v>91.654305019304971</v>
      </c>
      <c r="V409" s="1">
        <v>861.2</v>
      </c>
      <c r="X409" s="1">
        <f t="shared" si="28"/>
        <v>109529.90000000005</v>
      </c>
      <c r="Y409" s="1">
        <f t="shared" si="30"/>
        <v>19025.400000000005</v>
      </c>
      <c r="AA409" s="1">
        <v>10.146031171348</v>
      </c>
      <c r="AB409" s="14"/>
    </row>
    <row r="410" spans="1:30" s="1" customFormat="1" x14ac:dyDescent="0.25">
      <c r="A410" s="70"/>
      <c r="B410" s="3"/>
      <c r="C410" s="8">
        <v>40583</v>
      </c>
      <c r="D410" s="1">
        <v>6.7</v>
      </c>
      <c r="E410" s="1">
        <v>0.7</v>
      </c>
      <c r="F410" s="1">
        <v>14.8</v>
      </c>
      <c r="G410" s="1">
        <f t="shared" si="24"/>
        <v>1429.8000000000002</v>
      </c>
      <c r="H410" s="1">
        <f t="shared" si="29"/>
        <v>193.89999999999995</v>
      </c>
      <c r="J410" s="1">
        <v>0.1</v>
      </c>
      <c r="K410" s="1">
        <f t="shared" si="25"/>
        <v>244.29999999999978</v>
      </c>
      <c r="L410" s="1">
        <v>2.2999999999999998</v>
      </c>
      <c r="M410" s="1">
        <f t="shared" si="26"/>
        <v>235.99999999999997</v>
      </c>
      <c r="N410" s="1">
        <v>-2.1999999999999997</v>
      </c>
      <c r="O410" s="1">
        <f t="shared" si="20"/>
        <v>71.599999999999966</v>
      </c>
      <c r="P410" s="6">
        <v>155</v>
      </c>
      <c r="Q410" s="16">
        <f t="shared" si="21"/>
        <v>1.0709459459459458</v>
      </c>
      <c r="R410" s="14">
        <f t="shared" si="22"/>
        <v>2.4631756756756751</v>
      </c>
      <c r="S410" s="14">
        <f t="shared" si="23"/>
        <v>-2.363175675675675</v>
      </c>
      <c r="T410" s="15">
        <f t="shared" si="27"/>
        <v>89.291129343629294</v>
      </c>
      <c r="V410" s="1">
        <v>1278.5</v>
      </c>
      <c r="X410" s="1">
        <f t="shared" si="28"/>
        <v>110808.40000000005</v>
      </c>
      <c r="Y410" s="1">
        <f t="shared" si="30"/>
        <v>20303.900000000005</v>
      </c>
      <c r="AA410" s="1">
        <v>10.1903260149566</v>
      </c>
      <c r="AB410" s="93" t="s">
        <v>61</v>
      </c>
    </row>
    <row r="411" spans="1:30" s="1" customFormat="1" x14ac:dyDescent="0.25">
      <c r="A411" s="70"/>
      <c r="B411" s="3"/>
      <c r="C411" s="8">
        <v>40584</v>
      </c>
      <c r="D411" s="1">
        <v>5.7</v>
      </c>
      <c r="E411" s="1">
        <v>0.9</v>
      </c>
      <c r="F411" s="1">
        <v>9.1</v>
      </c>
      <c r="G411" s="1">
        <f t="shared" si="24"/>
        <v>1435.5000000000002</v>
      </c>
      <c r="H411" s="1">
        <f t="shared" si="29"/>
        <v>199.59999999999994</v>
      </c>
      <c r="J411" s="1">
        <v>0.2</v>
      </c>
      <c r="K411" s="1">
        <f t="shared" si="25"/>
        <v>244.49999999999977</v>
      </c>
      <c r="L411" s="1">
        <v>1.1000000000000001</v>
      </c>
      <c r="M411" s="1">
        <f t="shared" si="26"/>
        <v>237.09999999999997</v>
      </c>
      <c r="N411" s="1">
        <v>-0.90000000000000013</v>
      </c>
      <c r="O411" s="1">
        <f t="shared" si="20"/>
        <v>70.69999999999996</v>
      </c>
      <c r="P411" s="6">
        <v>156</v>
      </c>
      <c r="Q411" s="16">
        <f t="shared" si="21"/>
        <v>1.0729729729729729</v>
      </c>
      <c r="R411" s="14">
        <f t="shared" si="22"/>
        <v>1.1802702702702703</v>
      </c>
      <c r="S411" s="14">
        <f t="shared" si="23"/>
        <v>-0.98027027027027036</v>
      </c>
      <c r="T411" s="15">
        <f t="shared" si="27"/>
        <v>88.310859073359026</v>
      </c>
      <c r="V411" s="1">
        <v>942.2</v>
      </c>
      <c r="X411" s="1">
        <f t="shared" si="28"/>
        <v>111750.60000000005</v>
      </c>
      <c r="Y411" s="1">
        <f t="shared" si="30"/>
        <v>21246.100000000006</v>
      </c>
      <c r="AA411" s="1">
        <v>10.235018216601899</v>
      </c>
      <c r="AB411" s="1">
        <v>3</v>
      </c>
      <c r="AD411" s="1" t="s">
        <v>56</v>
      </c>
    </row>
    <row r="412" spans="1:30" s="1" customFormat="1" x14ac:dyDescent="0.25">
      <c r="A412" s="70"/>
      <c r="B412" s="3"/>
      <c r="C412" s="8">
        <v>40585</v>
      </c>
      <c r="D412" s="1">
        <v>8</v>
      </c>
      <c r="E412" s="1">
        <v>5.2</v>
      </c>
      <c r="F412" s="1">
        <v>13.9</v>
      </c>
      <c r="G412" s="1">
        <f t="shared" si="24"/>
        <v>1443.5000000000002</v>
      </c>
      <c r="H412" s="1">
        <f t="shared" si="29"/>
        <v>207.59999999999994</v>
      </c>
      <c r="J412" s="1">
        <v>0</v>
      </c>
      <c r="K412" s="1">
        <f t="shared" si="25"/>
        <v>244.49999999999977</v>
      </c>
      <c r="L412" s="1">
        <v>1.9</v>
      </c>
      <c r="M412" s="1">
        <f t="shared" si="26"/>
        <v>238.99999999999997</v>
      </c>
      <c r="N412" s="1">
        <v>-1.9</v>
      </c>
      <c r="O412" s="1">
        <f t="shared" si="20"/>
        <v>68.799999999999955</v>
      </c>
      <c r="P412" s="6">
        <v>157</v>
      </c>
      <c r="Q412" s="16">
        <f t="shared" si="21"/>
        <v>1.075</v>
      </c>
      <c r="R412" s="14">
        <f t="shared" si="22"/>
        <v>2.0425</v>
      </c>
      <c r="S412" s="14">
        <f t="shared" si="23"/>
        <v>-2.0425</v>
      </c>
      <c r="T412" s="15">
        <f t="shared" si="27"/>
        <v>86.268359073359022</v>
      </c>
      <c r="V412" s="1">
        <v>974.4</v>
      </c>
      <c r="X412" s="1">
        <f t="shared" si="28"/>
        <v>112725.00000000004</v>
      </c>
      <c r="Y412" s="1">
        <f t="shared" si="30"/>
        <v>22220.500000000007</v>
      </c>
      <c r="AA412" s="1">
        <v>10.2800899775938</v>
      </c>
      <c r="AB412" s="93" t="s">
        <v>62</v>
      </c>
      <c r="AD412" s="14">
        <f>(AB411*(40/120))+(AB434*(80/120))</f>
        <v>3.6666666666666665</v>
      </c>
    </row>
    <row r="413" spans="1:30" s="1" customFormat="1" x14ac:dyDescent="0.25">
      <c r="A413" s="70"/>
      <c r="B413" s="3"/>
      <c r="C413" s="8">
        <v>40586</v>
      </c>
      <c r="D413" s="1">
        <v>7.4</v>
      </c>
      <c r="E413" s="1">
        <v>2.2000000000000002</v>
      </c>
      <c r="F413" s="1">
        <v>14.4</v>
      </c>
      <c r="G413" s="1">
        <f t="shared" si="24"/>
        <v>1450.9000000000003</v>
      </c>
      <c r="H413" s="1">
        <f t="shared" si="29"/>
        <v>214.99999999999994</v>
      </c>
      <c r="J413" s="1">
        <v>1.6</v>
      </c>
      <c r="K413" s="1">
        <f t="shared" si="25"/>
        <v>246.09999999999977</v>
      </c>
      <c r="L413" s="1">
        <v>1.5</v>
      </c>
      <c r="M413" s="1">
        <f t="shared" si="26"/>
        <v>240.49999999999997</v>
      </c>
      <c r="N413" s="1">
        <v>0.10000000000000009</v>
      </c>
      <c r="O413" s="1">
        <f t="shared" si="20"/>
        <v>68.899999999999949</v>
      </c>
      <c r="P413" s="6">
        <v>158</v>
      </c>
      <c r="Q413" s="16">
        <f t="shared" si="21"/>
        <v>1.077027027027027</v>
      </c>
      <c r="R413" s="14">
        <f t="shared" si="22"/>
        <v>1.6155405405405405</v>
      </c>
      <c r="S413" s="14">
        <f t="shared" si="23"/>
        <v>-1.5540540540540437E-2</v>
      </c>
      <c r="T413" s="15">
        <f t="shared" si="27"/>
        <v>86.25281853281848</v>
      </c>
      <c r="V413" s="1">
        <v>934.8</v>
      </c>
      <c r="X413" s="1">
        <f t="shared" si="28"/>
        <v>113659.80000000005</v>
      </c>
      <c r="Y413" s="1">
        <f t="shared" si="30"/>
        <v>23155.300000000007</v>
      </c>
      <c r="AA413" s="1">
        <v>10.325523990975</v>
      </c>
      <c r="AB413" s="1">
        <v>0</v>
      </c>
      <c r="AD413" s="1" t="s">
        <v>57</v>
      </c>
    </row>
    <row r="414" spans="1:30" s="1" customFormat="1" x14ac:dyDescent="0.25">
      <c r="A414" s="70"/>
      <c r="B414" s="3"/>
      <c r="C414" s="8">
        <v>40587</v>
      </c>
      <c r="D414" s="1">
        <v>7.1</v>
      </c>
      <c r="E414" s="1">
        <v>3</v>
      </c>
      <c r="F414" s="1">
        <v>11.3</v>
      </c>
      <c r="G414" s="1">
        <f t="shared" si="24"/>
        <v>1458.0000000000002</v>
      </c>
      <c r="H414" s="1">
        <f t="shared" si="29"/>
        <v>222.09999999999994</v>
      </c>
      <c r="J414" s="88">
        <v>1.2</v>
      </c>
      <c r="K414" s="1">
        <f t="shared" si="25"/>
        <v>247.29999999999976</v>
      </c>
      <c r="L414" s="1">
        <v>0.9</v>
      </c>
      <c r="M414" s="1">
        <f t="shared" si="26"/>
        <v>241.39999999999998</v>
      </c>
      <c r="N414" s="1">
        <v>0.29999999999999993</v>
      </c>
      <c r="O414" s="1">
        <f t="shared" si="20"/>
        <v>69.199999999999946</v>
      </c>
      <c r="P414" s="6">
        <v>159</v>
      </c>
      <c r="Q414" s="16">
        <f t="shared" si="21"/>
        <v>1.0790540540540541</v>
      </c>
      <c r="R414" s="14">
        <f t="shared" si="22"/>
        <v>0.97114864864864869</v>
      </c>
      <c r="S414" s="14">
        <f t="shared" si="23"/>
        <v>0.22885135135135126</v>
      </c>
      <c r="T414" s="91">
        <f t="shared" si="27"/>
        <v>86.481669884169833</v>
      </c>
      <c r="V414" s="1">
        <v>655.29999999999995</v>
      </c>
      <c r="X414" s="1">
        <f t="shared" si="28"/>
        <v>114315.10000000005</v>
      </c>
      <c r="Y414" s="1">
        <f t="shared" si="30"/>
        <v>23810.600000000006</v>
      </c>
      <c r="AA414" s="1">
        <v>10.3713034419173</v>
      </c>
      <c r="AB414" s="93" t="s">
        <v>63</v>
      </c>
      <c r="AD414" s="1">
        <f>(AB413*(40/120))+(AB436*(80/120))</f>
        <v>0</v>
      </c>
    </row>
    <row r="415" spans="1:30" s="1" customFormat="1" x14ac:dyDescent="0.25">
      <c r="A415" s="70"/>
      <c r="B415" s="3"/>
      <c r="C415" s="8">
        <v>40588</v>
      </c>
      <c r="D415" s="1">
        <v>7.5</v>
      </c>
      <c r="E415" s="1">
        <v>6.5</v>
      </c>
      <c r="F415" s="1">
        <v>9.4</v>
      </c>
      <c r="G415" s="1">
        <f t="shared" si="24"/>
        <v>1465.5000000000002</v>
      </c>
      <c r="H415" s="1">
        <f t="shared" si="29"/>
        <v>229.59999999999994</v>
      </c>
      <c r="J415" s="88">
        <v>0.9</v>
      </c>
      <c r="K415" s="1">
        <f t="shared" si="25"/>
        <v>248.19999999999976</v>
      </c>
      <c r="L415" s="1">
        <v>0.8</v>
      </c>
      <c r="M415" s="1">
        <f t="shared" si="26"/>
        <v>242.2</v>
      </c>
      <c r="N415" s="1">
        <v>9.9999999999999978E-2</v>
      </c>
      <c r="O415" s="1">
        <f t="shared" ref="O415:O474" si="31">O414+N415</f>
        <v>69.29999999999994</v>
      </c>
      <c r="P415" s="6">
        <v>160</v>
      </c>
      <c r="Q415" s="16">
        <f t="shared" si="21"/>
        <v>1.0810810810810811</v>
      </c>
      <c r="R415" s="14">
        <f t="shared" si="22"/>
        <v>0.86486486486486491</v>
      </c>
      <c r="S415" s="14">
        <f t="shared" si="23"/>
        <v>3.5135135135135109E-2</v>
      </c>
      <c r="T415" s="91">
        <f t="shared" si="27"/>
        <v>86.516805019304968</v>
      </c>
      <c r="V415" s="1">
        <v>430.4</v>
      </c>
      <c r="X415" s="1">
        <f t="shared" si="28"/>
        <v>114745.50000000004</v>
      </c>
      <c r="Y415" s="1">
        <f t="shared" si="30"/>
        <v>24241.000000000007</v>
      </c>
      <c r="AA415" s="1">
        <v>10.417412006566201</v>
      </c>
      <c r="AB415" s="1">
        <f>SUM(J418:J427)</f>
        <v>23.2</v>
      </c>
      <c r="AD415" s="1" t="s">
        <v>58</v>
      </c>
    </row>
    <row r="416" spans="1:30" s="1" customFormat="1" x14ac:dyDescent="0.25">
      <c r="A416" s="70"/>
      <c r="B416" s="3"/>
      <c r="C416" s="8">
        <v>40589</v>
      </c>
      <c r="D416" s="1">
        <v>9.5</v>
      </c>
      <c r="E416" s="1">
        <v>4.3</v>
      </c>
      <c r="F416" s="1">
        <v>16.2</v>
      </c>
      <c r="G416" s="1">
        <f t="shared" si="24"/>
        <v>1475.0000000000002</v>
      </c>
      <c r="H416" s="1">
        <f t="shared" si="29"/>
        <v>239.09999999999994</v>
      </c>
      <c r="J416" s="88">
        <v>2.9</v>
      </c>
      <c r="K416" s="1">
        <f t="shared" si="25"/>
        <v>251.09999999999977</v>
      </c>
      <c r="L416" s="1">
        <v>1.9</v>
      </c>
      <c r="M416" s="1">
        <f t="shared" si="26"/>
        <v>244.1</v>
      </c>
      <c r="N416" s="1">
        <v>1</v>
      </c>
      <c r="O416" s="1">
        <f t="shared" si="31"/>
        <v>70.29999999999994</v>
      </c>
      <c r="P416" s="6">
        <v>161</v>
      </c>
      <c r="Q416" s="16">
        <f t="shared" si="21"/>
        <v>1.083108108108108</v>
      </c>
      <c r="R416" s="14">
        <f t="shared" si="22"/>
        <v>2.0579054054054051</v>
      </c>
      <c r="S416" s="14">
        <f t="shared" si="23"/>
        <v>0.84209459459459479</v>
      </c>
      <c r="T416" s="91">
        <f t="shared" si="27"/>
        <v>87.358899613899567</v>
      </c>
      <c r="V416" s="1">
        <v>1086</v>
      </c>
      <c r="X416" s="1">
        <f t="shared" si="28"/>
        <v>115831.50000000004</v>
      </c>
      <c r="Y416" s="1">
        <f t="shared" si="30"/>
        <v>25327.000000000007</v>
      </c>
      <c r="AA416" s="1">
        <v>10.4638338494391</v>
      </c>
      <c r="AD416" s="14">
        <f>(AB415*(40/120))+(AB438*(80/120))</f>
        <v>21.200000000000003</v>
      </c>
    </row>
    <row r="417" spans="1:28" s="83" customFormat="1" x14ac:dyDescent="0.25">
      <c r="A417" s="70"/>
      <c r="B417" s="81"/>
      <c r="C417" s="82">
        <v>40590</v>
      </c>
      <c r="D417" s="83">
        <v>8.6999999999999993</v>
      </c>
      <c r="E417" s="83">
        <v>5.0999999999999996</v>
      </c>
      <c r="F417" s="83">
        <v>13.5</v>
      </c>
      <c r="G417" s="83">
        <f t="shared" si="24"/>
        <v>1483.7000000000003</v>
      </c>
      <c r="H417" s="83">
        <f t="shared" si="29"/>
        <v>247.79999999999993</v>
      </c>
      <c r="J417" s="83">
        <v>0</v>
      </c>
      <c r="K417" s="83">
        <f t="shared" si="25"/>
        <v>251.09999999999977</v>
      </c>
      <c r="L417" s="83">
        <v>1.8</v>
      </c>
      <c r="M417" s="83">
        <f t="shared" si="26"/>
        <v>245.9</v>
      </c>
      <c r="N417" s="83">
        <v>-1.8</v>
      </c>
      <c r="O417" s="83">
        <f t="shared" si="31"/>
        <v>68.499999999999943</v>
      </c>
      <c r="P417" s="84">
        <v>162</v>
      </c>
      <c r="Q417" s="85">
        <f t="shared" si="21"/>
        <v>1.085135135135135</v>
      </c>
      <c r="R417" s="86">
        <f t="shared" si="22"/>
        <v>1.9532432432432432</v>
      </c>
      <c r="S417" s="86">
        <f t="shared" si="23"/>
        <v>-1.9532432432432432</v>
      </c>
      <c r="T417" s="87">
        <f t="shared" si="27"/>
        <v>85.405656370656317</v>
      </c>
      <c r="V417" s="83">
        <v>1155.3</v>
      </c>
      <c r="X417" s="83">
        <f t="shared" si="28"/>
        <v>116986.80000000005</v>
      </c>
      <c r="Y417" s="83">
        <f t="shared" si="30"/>
        <v>26482.300000000007</v>
      </c>
      <c r="AA417" s="83">
        <v>10.5105536194789</v>
      </c>
    </row>
    <row r="418" spans="1:28" s="1" customFormat="1" x14ac:dyDescent="0.25">
      <c r="A418" s="70"/>
      <c r="B418" s="3"/>
      <c r="C418" s="8">
        <v>40591</v>
      </c>
      <c r="D418" s="1">
        <v>7.7</v>
      </c>
      <c r="E418" s="1">
        <v>4.5</v>
      </c>
      <c r="F418" s="1">
        <v>11.2</v>
      </c>
      <c r="G418" s="1">
        <f t="shared" si="24"/>
        <v>1491.4000000000003</v>
      </c>
      <c r="H418" s="1">
        <f t="shared" si="29"/>
        <v>255.49999999999991</v>
      </c>
      <c r="J418" s="88">
        <v>0</v>
      </c>
      <c r="K418" s="1">
        <f t="shared" si="25"/>
        <v>251.09999999999977</v>
      </c>
      <c r="L418" s="1">
        <v>1</v>
      </c>
      <c r="M418" s="1">
        <f t="shared" si="26"/>
        <v>246.9</v>
      </c>
      <c r="N418" s="1">
        <v>-1</v>
      </c>
      <c r="O418" s="1">
        <f t="shared" si="31"/>
        <v>67.499999999999943</v>
      </c>
      <c r="P418" s="6">
        <v>163</v>
      </c>
      <c r="Q418" s="16">
        <f t="shared" si="21"/>
        <v>1.0871621621621621</v>
      </c>
      <c r="R418" s="14">
        <f t="shared" si="22"/>
        <v>1.0871621621621621</v>
      </c>
      <c r="S418" s="14">
        <f t="shared" si="23"/>
        <v>-1.0871621621621621</v>
      </c>
      <c r="T418" s="91">
        <f t="shared" si="27"/>
        <v>84.318494208494158</v>
      </c>
      <c r="V418" s="1">
        <v>636.70000000000005</v>
      </c>
      <c r="X418" s="1">
        <f t="shared" si="28"/>
        <v>117623.50000000004</v>
      </c>
      <c r="Y418" s="1">
        <f t="shared" si="30"/>
        <v>27119.000000000007</v>
      </c>
      <c r="AA418" s="1">
        <v>10.557556444863501</v>
      </c>
    </row>
    <row r="419" spans="1:28" s="1" customFormat="1" x14ac:dyDescent="0.25">
      <c r="A419" s="70"/>
      <c r="B419" s="3"/>
      <c r="C419" s="8">
        <v>40592</v>
      </c>
      <c r="D419" s="1">
        <v>9.1999999999999993</v>
      </c>
      <c r="E419" s="1">
        <v>7.8</v>
      </c>
      <c r="F419" s="1">
        <v>13.8</v>
      </c>
      <c r="G419" s="1">
        <f t="shared" si="24"/>
        <v>1500.6000000000004</v>
      </c>
      <c r="H419" s="1">
        <f t="shared" si="29"/>
        <v>264.69999999999993</v>
      </c>
      <c r="J419" s="88">
        <v>0</v>
      </c>
      <c r="K419" s="1">
        <f t="shared" si="25"/>
        <v>251.09999999999977</v>
      </c>
      <c r="L419" s="1">
        <v>2.2999999999999998</v>
      </c>
      <c r="M419" s="1">
        <f t="shared" si="26"/>
        <v>249.20000000000002</v>
      </c>
      <c r="N419" s="1">
        <v>-2.2999999999999998</v>
      </c>
      <c r="O419" s="1">
        <f t="shared" si="31"/>
        <v>65.199999999999946</v>
      </c>
      <c r="P419" s="6">
        <v>164</v>
      </c>
      <c r="Q419" s="16">
        <f t="shared" si="21"/>
        <v>1.0891891891891892</v>
      </c>
      <c r="R419" s="14">
        <f t="shared" si="22"/>
        <v>2.5051351351351347</v>
      </c>
      <c r="S419" s="14">
        <f t="shared" si="23"/>
        <v>-2.5051351351351347</v>
      </c>
      <c r="T419" s="91">
        <f t="shared" si="27"/>
        <v>81.813359073359024</v>
      </c>
      <c r="V419" s="1">
        <v>1084.7</v>
      </c>
      <c r="X419" s="1">
        <f t="shared" si="28"/>
        <v>118708.20000000004</v>
      </c>
      <c r="Y419" s="1">
        <f t="shared" si="30"/>
        <v>28203.700000000008</v>
      </c>
      <c r="AA419" s="1">
        <v>10.604827926667101</v>
      </c>
    </row>
    <row r="420" spans="1:28" s="1" customFormat="1" x14ac:dyDescent="0.25">
      <c r="A420" s="70"/>
      <c r="B420" s="3"/>
      <c r="C420" s="8">
        <v>40593</v>
      </c>
      <c r="D420" s="1">
        <v>7.7</v>
      </c>
      <c r="E420" s="1">
        <v>2.2000000000000002</v>
      </c>
      <c r="F420" s="1">
        <v>13.5</v>
      </c>
      <c r="G420" s="1">
        <f t="shared" si="24"/>
        <v>1508.3000000000004</v>
      </c>
      <c r="H420" s="1">
        <f t="shared" si="29"/>
        <v>272.39999999999992</v>
      </c>
      <c r="J420" s="88">
        <v>3.2</v>
      </c>
      <c r="K420" s="1">
        <f t="shared" si="25"/>
        <v>254.29999999999976</v>
      </c>
      <c r="L420" s="1">
        <v>0.7</v>
      </c>
      <c r="M420" s="1">
        <f t="shared" si="26"/>
        <v>249.9</v>
      </c>
      <c r="N420" s="1">
        <v>2.5</v>
      </c>
      <c r="O420" s="1">
        <f t="shared" si="31"/>
        <v>67.699999999999946</v>
      </c>
      <c r="P420" s="6">
        <v>165</v>
      </c>
      <c r="Q420" s="16">
        <f t="shared" si="21"/>
        <v>1.0912162162162162</v>
      </c>
      <c r="R420" s="14">
        <f t="shared" si="22"/>
        <v>0.76385135135135129</v>
      </c>
      <c r="S420" s="14">
        <f t="shared" si="23"/>
        <v>2.4361486486486488</v>
      </c>
      <c r="T420" s="91">
        <f t="shared" si="27"/>
        <v>84.249507722007678</v>
      </c>
      <c r="V420" s="1">
        <v>382.3</v>
      </c>
      <c r="X420" s="1">
        <f t="shared" si="28"/>
        <v>119090.50000000004</v>
      </c>
      <c r="Y420" s="1">
        <f t="shared" si="30"/>
        <v>28586.000000000007</v>
      </c>
      <c r="AA420" s="1">
        <v>10.652354131468099</v>
      </c>
    </row>
    <row r="421" spans="1:28" s="1" customFormat="1" x14ac:dyDescent="0.25">
      <c r="A421" s="70"/>
      <c r="B421" s="3"/>
      <c r="C421" s="8">
        <v>40594</v>
      </c>
      <c r="D421" s="1">
        <v>9</v>
      </c>
      <c r="E421" s="1">
        <v>8.1999999999999993</v>
      </c>
      <c r="F421" s="1">
        <v>11.4</v>
      </c>
      <c r="G421" s="1">
        <f t="shared" si="24"/>
        <v>1517.3000000000004</v>
      </c>
      <c r="H421" s="1">
        <f t="shared" si="29"/>
        <v>281.39999999999992</v>
      </c>
      <c r="J421" s="88">
        <v>0.3</v>
      </c>
      <c r="K421" s="1">
        <f t="shared" si="25"/>
        <v>254.59999999999977</v>
      </c>
      <c r="L421" s="1">
        <v>1.5</v>
      </c>
      <c r="M421" s="1">
        <f t="shared" si="26"/>
        <v>251.4</v>
      </c>
      <c r="N421" s="1">
        <v>-1.2</v>
      </c>
      <c r="O421" s="1">
        <f t="shared" si="31"/>
        <v>66.499999999999943</v>
      </c>
      <c r="P421" s="6">
        <v>166</v>
      </c>
      <c r="Q421" s="16">
        <f t="shared" si="21"/>
        <v>1.0932432432432431</v>
      </c>
      <c r="R421" s="14">
        <f t="shared" si="22"/>
        <v>1.6398648648648646</v>
      </c>
      <c r="S421" s="14">
        <f t="shared" si="23"/>
        <v>-1.3398648648648646</v>
      </c>
      <c r="T421" s="91">
        <f t="shared" si="27"/>
        <v>82.909642857142813</v>
      </c>
      <c r="V421" s="1">
        <v>1020.1</v>
      </c>
      <c r="X421" s="1">
        <f t="shared" si="28"/>
        <v>120110.60000000005</v>
      </c>
      <c r="Y421" s="1">
        <f t="shared" si="30"/>
        <v>29606.100000000006</v>
      </c>
      <c r="AA421" s="1">
        <v>10.7001215829912</v>
      </c>
    </row>
    <row r="422" spans="1:28" s="1" customFormat="1" x14ac:dyDescent="0.25">
      <c r="A422" s="70"/>
      <c r="B422" s="3"/>
      <c r="C422" s="8">
        <v>40595</v>
      </c>
      <c r="D422" s="1">
        <v>9</v>
      </c>
      <c r="E422" s="1">
        <v>4.2</v>
      </c>
      <c r="F422" s="1">
        <v>11.5</v>
      </c>
      <c r="G422" s="1">
        <f t="shared" si="24"/>
        <v>1526.3000000000004</v>
      </c>
      <c r="H422" s="1">
        <f t="shared" si="29"/>
        <v>290.39999999999992</v>
      </c>
      <c r="J422" s="88">
        <v>12.6</v>
      </c>
      <c r="K422" s="1">
        <f t="shared" si="25"/>
        <v>267.19999999999976</v>
      </c>
      <c r="L422" s="1">
        <v>0.8</v>
      </c>
      <c r="M422" s="1">
        <f t="shared" si="26"/>
        <v>252.20000000000002</v>
      </c>
      <c r="N422" s="1">
        <v>11.799999999999999</v>
      </c>
      <c r="O422" s="1">
        <f t="shared" si="31"/>
        <v>78.29999999999994</v>
      </c>
      <c r="P422" s="6">
        <v>167</v>
      </c>
      <c r="Q422" s="16">
        <f t="shared" si="21"/>
        <v>1.0952702702702701</v>
      </c>
      <c r="R422" s="14">
        <f t="shared" si="22"/>
        <v>0.87621621621621615</v>
      </c>
      <c r="S422" s="14">
        <f t="shared" si="23"/>
        <v>11.723783783783784</v>
      </c>
      <c r="T422" s="91">
        <f t="shared" si="27"/>
        <v>94.633426640926601</v>
      </c>
      <c r="V422" s="1">
        <v>523.70000000000005</v>
      </c>
      <c r="X422" s="1">
        <f t="shared" si="28"/>
        <v>120634.30000000005</v>
      </c>
      <c r="Y422" s="1">
        <f t="shared" si="30"/>
        <v>30129.800000000007</v>
      </c>
      <c r="AA422" s="1">
        <v>10.7481172528709</v>
      </c>
    </row>
    <row r="423" spans="1:28" s="1" customFormat="1" x14ac:dyDescent="0.25">
      <c r="A423" s="70"/>
      <c r="B423" s="3"/>
      <c r="C423" s="8">
        <v>40596</v>
      </c>
      <c r="D423" s="1">
        <v>8.9</v>
      </c>
      <c r="E423" s="1">
        <v>7.7</v>
      </c>
      <c r="F423" s="1">
        <v>10</v>
      </c>
      <c r="G423" s="1">
        <f t="shared" si="24"/>
        <v>1535.2000000000005</v>
      </c>
      <c r="H423" s="1">
        <f t="shared" si="29"/>
        <v>299.2999999999999</v>
      </c>
      <c r="J423" s="88">
        <v>2.5</v>
      </c>
      <c r="K423" s="1">
        <f t="shared" si="25"/>
        <v>269.69999999999976</v>
      </c>
      <c r="L423" s="1">
        <v>0.6</v>
      </c>
      <c r="M423" s="1">
        <f t="shared" si="26"/>
        <v>252.8</v>
      </c>
      <c r="N423" s="1">
        <v>1.9</v>
      </c>
      <c r="O423" s="1">
        <f t="shared" si="31"/>
        <v>80.199999999999946</v>
      </c>
      <c r="P423" s="6">
        <v>168</v>
      </c>
      <c r="Q423" s="16">
        <f t="shared" si="21"/>
        <v>1.0972972972972972</v>
      </c>
      <c r="R423" s="14">
        <f t="shared" si="22"/>
        <v>0.65837837837837832</v>
      </c>
      <c r="S423" s="14">
        <f t="shared" si="23"/>
        <v>1.8416216216216217</v>
      </c>
      <c r="T423" s="91">
        <f t="shared" si="27"/>
        <v>96.475048262548228</v>
      </c>
      <c r="V423" s="1">
        <v>167.6</v>
      </c>
      <c r="X423" s="1">
        <f t="shared" si="28"/>
        <v>120801.90000000005</v>
      </c>
      <c r="Y423" s="1">
        <f t="shared" si="30"/>
        <v>30297.400000000005</v>
      </c>
      <c r="AA423" s="1">
        <v>10.796328550617201</v>
      </c>
    </row>
    <row r="424" spans="1:28" s="1" customFormat="1" x14ac:dyDescent="0.25">
      <c r="A424" s="70"/>
      <c r="B424" s="3"/>
      <c r="C424" s="8">
        <v>40597</v>
      </c>
      <c r="D424" s="1">
        <v>9.4</v>
      </c>
      <c r="E424" s="1">
        <v>6.6</v>
      </c>
      <c r="F424" s="1">
        <v>11.1</v>
      </c>
      <c r="G424" s="1">
        <f t="shared" si="24"/>
        <v>1544.6000000000006</v>
      </c>
      <c r="H424" s="1">
        <f t="shared" si="29"/>
        <v>308.69999999999987</v>
      </c>
      <c r="J424" s="88">
        <v>0.9</v>
      </c>
      <c r="K424" s="1">
        <f t="shared" si="25"/>
        <v>270.59999999999974</v>
      </c>
      <c r="L424" s="1">
        <v>1</v>
      </c>
      <c r="M424" s="1">
        <f t="shared" si="26"/>
        <v>253.8</v>
      </c>
      <c r="N424" s="1">
        <v>-9.9999999999999978E-2</v>
      </c>
      <c r="O424" s="1">
        <f t="shared" si="31"/>
        <v>80.099999999999952</v>
      </c>
      <c r="P424" s="6">
        <v>169</v>
      </c>
      <c r="Q424" s="16">
        <f t="shared" si="21"/>
        <v>1.0993243243243243</v>
      </c>
      <c r="R424" s="14">
        <f t="shared" si="22"/>
        <v>1.0993243243243243</v>
      </c>
      <c r="S424" s="14">
        <f t="shared" si="23"/>
        <v>-0.19932432432432423</v>
      </c>
      <c r="T424" s="91">
        <f t="shared" si="27"/>
        <v>96.275723938223905</v>
      </c>
      <c r="V424" s="1">
        <v>681.3</v>
      </c>
      <c r="X424" s="1">
        <f t="shared" si="28"/>
        <v>121483.20000000006</v>
      </c>
      <c r="Y424" s="1">
        <f t="shared" si="30"/>
        <v>30978.700000000004</v>
      </c>
      <c r="AA424" s="1">
        <v>10.844743312861301</v>
      </c>
    </row>
    <row r="425" spans="1:28" s="1" customFormat="1" x14ac:dyDescent="0.25">
      <c r="A425" s="70"/>
      <c r="B425" s="3"/>
      <c r="C425" s="8">
        <v>40598</v>
      </c>
      <c r="D425" s="1">
        <v>11.8</v>
      </c>
      <c r="E425" s="1">
        <v>10.199999999999999</v>
      </c>
      <c r="F425" s="1">
        <v>14.3</v>
      </c>
      <c r="G425" s="1">
        <f t="shared" si="24"/>
        <v>1556.4000000000005</v>
      </c>
      <c r="H425" s="1">
        <f t="shared" si="29"/>
        <v>320.49999999999989</v>
      </c>
      <c r="J425" s="88">
        <v>0.7</v>
      </c>
      <c r="K425" s="1">
        <f t="shared" si="25"/>
        <v>271.29999999999973</v>
      </c>
      <c r="L425" s="1">
        <v>1.4</v>
      </c>
      <c r="M425" s="1">
        <f t="shared" si="26"/>
        <v>255.20000000000002</v>
      </c>
      <c r="N425" s="1">
        <v>-0.7</v>
      </c>
      <c r="O425" s="1">
        <f t="shared" si="31"/>
        <v>79.399999999999949</v>
      </c>
      <c r="P425" s="6">
        <v>170</v>
      </c>
      <c r="Q425" s="16">
        <f t="shared" si="21"/>
        <v>1.1013513513513513</v>
      </c>
      <c r="R425" s="14">
        <f t="shared" si="22"/>
        <v>1.5418918918918918</v>
      </c>
      <c r="S425" s="14">
        <f t="shared" si="23"/>
        <v>-0.84189189189189184</v>
      </c>
      <c r="T425" s="91">
        <f t="shared" si="27"/>
        <v>95.433832046332014</v>
      </c>
      <c r="V425" s="1">
        <v>682.6</v>
      </c>
      <c r="X425" s="1">
        <f t="shared" si="28"/>
        <v>122165.80000000006</v>
      </c>
      <c r="Y425" s="1">
        <f t="shared" si="30"/>
        <v>31661.300000000003</v>
      </c>
      <c r="AA425" s="1">
        <v>10.8933497919536</v>
      </c>
    </row>
    <row r="426" spans="1:28" s="1" customFormat="1" x14ac:dyDescent="0.25">
      <c r="A426" s="70"/>
      <c r="B426" s="3"/>
      <c r="C426" s="8">
        <v>40599</v>
      </c>
      <c r="D426" s="1">
        <v>11.2</v>
      </c>
      <c r="E426" s="1">
        <v>10.6</v>
      </c>
      <c r="F426" s="1">
        <v>13.7</v>
      </c>
      <c r="G426" s="1">
        <f t="shared" si="24"/>
        <v>1567.6000000000006</v>
      </c>
      <c r="H426" s="1">
        <f t="shared" si="29"/>
        <v>331.69999999999987</v>
      </c>
      <c r="J426" s="88">
        <v>0</v>
      </c>
      <c r="K426" s="1">
        <f t="shared" si="25"/>
        <v>271.29999999999973</v>
      </c>
      <c r="L426" s="1">
        <v>1.6</v>
      </c>
      <c r="M426" s="1">
        <f t="shared" si="26"/>
        <v>256.8</v>
      </c>
      <c r="N426" s="1">
        <v>-1.6</v>
      </c>
      <c r="O426" s="1">
        <f t="shared" si="31"/>
        <v>77.799999999999955</v>
      </c>
      <c r="P426" s="6">
        <v>171</v>
      </c>
      <c r="Q426" s="16">
        <f t="shared" si="21"/>
        <v>1.1033783783783784</v>
      </c>
      <c r="R426" s="14">
        <f t="shared" si="22"/>
        <v>1.7654054054054056</v>
      </c>
      <c r="S426" s="14">
        <f t="shared" si="23"/>
        <v>-1.7654054054054056</v>
      </c>
      <c r="T426" s="91">
        <f t="shared" si="27"/>
        <v>93.668426640926612</v>
      </c>
      <c r="V426" s="1">
        <v>658.3</v>
      </c>
      <c r="X426" s="1">
        <f t="shared" si="28"/>
        <v>122824.10000000006</v>
      </c>
      <c r="Y426" s="1">
        <f t="shared" si="30"/>
        <v>32319.600000000002</v>
      </c>
      <c r="AA426" s="1">
        <v>10.942136643984</v>
      </c>
    </row>
    <row r="427" spans="1:28" s="1" customFormat="1" x14ac:dyDescent="0.25">
      <c r="A427" s="70"/>
      <c r="B427" s="3"/>
      <c r="C427" s="8">
        <v>40600</v>
      </c>
      <c r="D427" s="1">
        <v>9.5</v>
      </c>
      <c r="E427" s="1">
        <v>5.6</v>
      </c>
      <c r="F427" s="1">
        <v>13.8</v>
      </c>
      <c r="G427" s="1">
        <f t="shared" si="24"/>
        <v>1577.1000000000006</v>
      </c>
      <c r="H427" s="1">
        <f t="shared" si="29"/>
        <v>341.19999999999987</v>
      </c>
      <c r="J427" s="88">
        <v>3</v>
      </c>
      <c r="K427" s="1">
        <f t="shared" si="25"/>
        <v>274.29999999999973</v>
      </c>
      <c r="L427" s="1">
        <v>1</v>
      </c>
      <c r="M427" s="1">
        <f t="shared" si="26"/>
        <v>257.8</v>
      </c>
      <c r="N427" s="1">
        <v>2</v>
      </c>
      <c r="O427" s="1">
        <f t="shared" si="31"/>
        <v>79.799999999999955</v>
      </c>
      <c r="P427" s="6">
        <v>172</v>
      </c>
      <c r="Q427" s="16">
        <f t="shared" si="21"/>
        <v>1.1054054054054054</v>
      </c>
      <c r="R427" s="14">
        <f t="shared" si="22"/>
        <v>1.1054054054054054</v>
      </c>
      <c r="S427" s="14">
        <f t="shared" si="23"/>
        <v>1.8945945945945946</v>
      </c>
      <c r="T427" s="91">
        <f t="shared" si="27"/>
        <v>95.563021235521205</v>
      </c>
      <c r="V427" s="1">
        <v>298.8</v>
      </c>
      <c r="X427" s="1">
        <f t="shared" si="28"/>
        <v>123122.90000000007</v>
      </c>
      <c r="Y427" s="1">
        <f t="shared" si="30"/>
        <v>32618.400000000001</v>
      </c>
      <c r="AA427" s="1">
        <v>10.9910929162871</v>
      </c>
      <c r="AB427" s="93" t="s">
        <v>64</v>
      </c>
    </row>
    <row r="428" spans="1:28" s="1" customFormat="1" x14ac:dyDescent="0.25">
      <c r="A428" s="70"/>
      <c r="B428" s="3"/>
      <c r="C428" s="8">
        <v>40601</v>
      </c>
      <c r="D428" s="1">
        <v>7.4</v>
      </c>
      <c r="E428" s="1">
        <v>6.6</v>
      </c>
      <c r="F428" s="1">
        <v>9.6</v>
      </c>
      <c r="G428" s="1">
        <f t="shared" si="24"/>
        <v>1584.5000000000007</v>
      </c>
      <c r="H428" s="1">
        <f t="shared" si="29"/>
        <v>348.59999999999985</v>
      </c>
      <c r="J428" s="1">
        <v>2.6</v>
      </c>
      <c r="K428" s="1">
        <f t="shared" si="25"/>
        <v>276.89999999999975</v>
      </c>
      <c r="L428" s="1">
        <v>1.7</v>
      </c>
      <c r="M428" s="1">
        <f t="shared" si="26"/>
        <v>259.5</v>
      </c>
      <c r="N428" s="1">
        <v>0.90000000000000013</v>
      </c>
      <c r="O428" s="1">
        <f t="shared" si="31"/>
        <v>80.69999999999996</v>
      </c>
      <c r="P428" s="6">
        <v>173</v>
      </c>
      <c r="Q428" s="16">
        <f t="shared" si="21"/>
        <v>1.1074324324324323</v>
      </c>
      <c r="R428" s="14">
        <f t="shared" si="22"/>
        <v>1.8826351351351349</v>
      </c>
      <c r="S428" s="14">
        <f t="shared" si="23"/>
        <v>0.71736486486486517</v>
      </c>
      <c r="T428" s="15">
        <f t="shared" si="27"/>
        <v>96.280386100386067</v>
      </c>
      <c r="V428" s="1">
        <v>1030.9000000000001</v>
      </c>
      <c r="X428" s="1">
        <f t="shared" si="28"/>
        <v>124153.80000000006</v>
      </c>
      <c r="Y428" s="1">
        <f t="shared" si="30"/>
        <v>33649.300000000003</v>
      </c>
      <c r="AA428" s="1">
        <v>11.040208034494601</v>
      </c>
      <c r="AB428" s="14">
        <f>AVERAGE(T436:T449)</f>
        <v>75.897673745173719</v>
      </c>
    </row>
    <row r="429" spans="1:28" s="1" customFormat="1" x14ac:dyDescent="0.25">
      <c r="A429" s="70"/>
      <c r="B429" s="3"/>
      <c r="C429" s="8">
        <v>40602</v>
      </c>
      <c r="D429" s="1">
        <v>6.4</v>
      </c>
      <c r="E429" s="1">
        <v>4.0999999999999996</v>
      </c>
      <c r="F429" s="1">
        <v>9</v>
      </c>
      <c r="G429" s="1">
        <f t="shared" si="24"/>
        <v>1590.9000000000008</v>
      </c>
      <c r="H429" s="1">
        <f t="shared" si="29"/>
        <v>354.99999999999983</v>
      </c>
      <c r="J429" s="1">
        <v>0.1</v>
      </c>
      <c r="K429" s="1">
        <f t="shared" si="25"/>
        <v>276.99999999999977</v>
      </c>
      <c r="L429" s="1">
        <v>1.2</v>
      </c>
      <c r="M429" s="1">
        <f t="shared" si="26"/>
        <v>260.7</v>
      </c>
      <c r="N429" s="1">
        <v>-1.0999999999999999</v>
      </c>
      <c r="O429" s="1">
        <f t="shared" si="31"/>
        <v>79.599999999999966</v>
      </c>
      <c r="P429" s="6">
        <v>174</v>
      </c>
      <c r="Q429" s="16">
        <f t="shared" si="21"/>
        <v>1.1094594594594593</v>
      </c>
      <c r="R429" s="14">
        <f t="shared" si="22"/>
        <v>1.3313513513513511</v>
      </c>
      <c r="S429" s="14">
        <f t="shared" si="23"/>
        <v>-1.231351351351351</v>
      </c>
      <c r="T429" s="15">
        <f t="shared" si="27"/>
        <v>95.049034749034718</v>
      </c>
      <c r="V429" s="1">
        <v>641.5</v>
      </c>
      <c r="X429" s="1">
        <f t="shared" si="28"/>
        <v>124795.30000000006</v>
      </c>
      <c r="Y429" s="1">
        <f t="shared" si="30"/>
        <v>34290.800000000003</v>
      </c>
      <c r="AA429" s="1">
        <v>11.089471789189499</v>
      </c>
      <c r="AB429" s="93" t="s">
        <v>65</v>
      </c>
    </row>
    <row r="430" spans="1:28" s="1" customFormat="1" x14ac:dyDescent="0.25">
      <c r="A430" s="70"/>
      <c r="B430" s="3"/>
      <c r="C430" s="8">
        <v>40603</v>
      </c>
      <c r="D430" s="1">
        <v>5</v>
      </c>
      <c r="E430" s="1">
        <v>3.8</v>
      </c>
      <c r="F430" s="1">
        <v>5.4</v>
      </c>
      <c r="G430" s="1">
        <f t="shared" si="24"/>
        <v>1595.9000000000008</v>
      </c>
      <c r="H430" s="1">
        <f t="shared" si="29"/>
        <v>359.99999999999983</v>
      </c>
      <c r="J430" s="1">
        <v>0.2</v>
      </c>
      <c r="K430" s="1">
        <f t="shared" si="25"/>
        <v>277.19999999999976</v>
      </c>
      <c r="L430" s="1">
        <v>0.9</v>
      </c>
      <c r="M430" s="1">
        <f t="shared" si="26"/>
        <v>261.59999999999997</v>
      </c>
      <c r="N430" s="1">
        <v>-0.7</v>
      </c>
      <c r="O430" s="1">
        <f t="shared" si="31"/>
        <v>78.899999999999963</v>
      </c>
      <c r="P430" s="6">
        <v>175</v>
      </c>
      <c r="Q430" s="16">
        <f t="shared" si="21"/>
        <v>1.1114864864864864</v>
      </c>
      <c r="R430" s="14">
        <f t="shared" si="22"/>
        <v>1.0003378378378378</v>
      </c>
      <c r="S430" s="14">
        <f t="shared" si="23"/>
        <v>-0.80033783783783785</v>
      </c>
      <c r="T430" s="15">
        <f t="shared" si="27"/>
        <v>94.248696911196873</v>
      </c>
      <c r="V430" s="1">
        <v>636.70000000000005</v>
      </c>
      <c r="X430" s="1">
        <f t="shared" si="28"/>
        <v>125432.00000000006</v>
      </c>
      <c r="Y430" s="1">
        <f t="shared" si="30"/>
        <v>34927.5</v>
      </c>
      <c r="AA430" s="1">
        <v>11.1388743222142</v>
      </c>
      <c r="AB430" s="1">
        <v>6</v>
      </c>
    </row>
    <row r="431" spans="1:28" s="1" customFormat="1" x14ac:dyDescent="0.25">
      <c r="A431" s="70"/>
      <c r="B431" s="3"/>
      <c r="C431" s="8">
        <v>40604</v>
      </c>
      <c r="D431" s="1">
        <v>5.2</v>
      </c>
      <c r="E431" s="1">
        <v>5</v>
      </c>
      <c r="F431" s="1">
        <v>6</v>
      </c>
      <c r="G431" s="1">
        <f t="shared" si="24"/>
        <v>1601.1000000000008</v>
      </c>
      <c r="H431" s="1">
        <f t="shared" si="29"/>
        <v>365.19999999999982</v>
      </c>
      <c r="J431" s="1">
        <v>0</v>
      </c>
      <c r="K431" s="1">
        <f t="shared" si="25"/>
        <v>277.19999999999976</v>
      </c>
      <c r="L431" s="1">
        <v>1.1000000000000001</v>
      </c>
      <c r="M431" s="1">
        <f t="shared" si="26"/>
        <v>262.7</v>
      </c>
      <c r="N431" s="1">
        <v>-1.1000000000000001</v>
      </c>
      <c r="O431" s="1">
        <f t="shared" si="31"/>
        <v>77.799999999999969</v>
      </c>
      <c r="P431" s="6">
        <v>176</v>
      </c>
      <c r="Q431" s="16">
        <f t="shared" si="21"/>
        <v>1.1135135135135135</v>
      </c>
      <c r="R431" s="14">
        <f t="shared" si="22"/>
        <v>1.224864864864865</v>
      </c>
      <c r="S431" s="14">
        <f t="shared" si="23"/>
        <v>-1.224864864864865</v>
      </c>
      <c r="T431" s="15">
        <f t="shared" si="27"/>
        <v>93.023832046332004</v>
      </c>
      <c r="V431" s="1">
        <v>868.9</v>
      </c>
      <c r="X431" s="1">
        <f t="shared" si="28"/>
        <v>126300.90000000005</v>
      </c>
      <c r="Y431" s="1">
        <f t="shared" si="30"/>
        <v>35796.400000000001</v>
      </c>
      <c r="AA431" s="1">
        <v>11.188406112681101</v>
      </c>
      <c r="AB431" s="93"/>
    </row>
    <row r="432" spans="1:28" s="1" customFormat="1" x14ac:dyDescent="0.25">
      <c r="A432" s="70"/>
      <c r="B432" s="3"/>
      <c r="C432" s="8">
        <v>40605</v>
      </c>
      <c r="D432" s="1">
        <v>4.2</v>
      </c>
      <c r="E432" s="1">
        <v>3</v>
      </c>
      <c r="F432" s="1">
        <v>6.1</v>
      </c>
      <c r="G432" s="1">
        <f t="shared" si="24"/>
        <v>1605.3000000000009</v>
      </c>
      <c r="H432" s="1">
        <f t="shared" si="29"/>
        <v>369.39999999999981</v>
      </c>
      <c r="J432" s="1">
        <v>0.5</v>
      </c>
      <c r="K432" s="1">
        <f t="shared" si="25"/>
        <v>277.69999999999976</v>
      </c>
      <c r="L432" s="1">
        <v>1.4</v>
      </c>
      <c r="M432" s="1">
        <f t="shared" si="26"/>
        <v>264.09999999999997</v>
      </c>
      <c r="N432" s="1">
        <v>-0.89999999999999991</v>
      </c>
      <c r="O432" s="1">
        <f t="shared" si="31"/>
        <v>76.899999999999963</v>
      </c>
      <c r="P432" s="6">
        <v>177</v>
      </c>
      <c r="Q432" s="16">
        <f t="shared" si="21"/>
        <v>1.1155405405405405</v>
      </c>
      <c r="R432" s="14">
        <f t="shared" si="22"/>
        <v>1.5617567567567567</v>
      </c>
      <c r="S432" s="14">
        <f t="shared" si="23"/>
        <v>-1.0617567567567567</v>
      </c>
      <c r="T432" s="15">
        <f t="shared" si="27"/>
        <v>91.962075289575253</v>
      </c>
      <c r="V432" s="1">
        <v>1036.9000000000001</v>
      </c>
      <c r="X432" s="1">
        <f t="shared" si="28"/>
        <v>127337.80000000005</v>
      </c>
      <c r="Y432" s="1">
        <f t="shared" si="30"/>
        <v>36833.300000000003</v>
      </c>
      <c r="AA432" s="1">
        <v>11.2380579627293</v>
      </c>
      <c r="AB432" s="14"/>
    </row>
    <row r="433" spans="1:105" s="1" customFormat="1" x14ac:dyDescent="0.25">
      <c r="A433" s="70"/>
      <c r="B433" s="3"/>
      <c r="C433" s="8">
        <v>40606</v>
      </c>
      <c r="D433" s="1">
        <v>6.2</v>
      </c>
      <c r="E433" s="1">
        <v>0</v>
      </c>
      <c r="F433" s="1">
        <v>13.4</v>
      </c>
      <c r="G433" s="1">
        <f t="shared" si="24"/>
        <v>1611.5000000000009</v>
      </c>
      <c r="H433" s="1">
        <f t="shared" si="29"/>
        <v>375.5999999999998</v>
      </c>
      <c r="J433" s="1">
        <v>0</v>
      </c>
      <c r="K433" s="1">
        <f t="shared" si="25"/>
        <v>277.69999999999976</v>
      </c>
      <c r="L433" s="1">
        <v>2.1</v>
      </c>
      <c r="M433" s="1">
        <f t="shared" si="26"/>
        <v>266.2</v>
      </c>
      <c r="N433" s="1">
        <v>-2.1</v>
      </c>
      <c r="O433" s="1">
        <f t="shared" si="31"/>
        <v>74.799999999999969</v>
      </c>
      <c r="P433" s="6">
        <v>178</v>
      </c>
      <c r="Q433" s="16">
        <f t="shared" si="21"/>
        <v>1.1175675675675676</v>
      </c>
      <c r="R433" s="14">
        <f t="shared" si="22"/>
        <v>2.3468918918918922</v>
      </c>
      <c r="S433" s="14">
        <f t="shared" si="23"/>
        <v>-2.3468918918918922</v>
      </c>
      <c r="T433" s="15">
        <f t="shared" si="27"/>
        <v>89.615183397683367</v>
      </c>
      <c r="V433" s="1">
        <v>1458.2</v>
      </c>
      <c r="X433" s="1">
        <f t="shared" si="28"/>
        <v>128796.00000000004</v>
      </c>
      <c r="Y433" s="1">
        <f t="shared" si="30"/>
        <v>38291.5</v>
      </c>
      <c r="AA433" s="1">
        <v>11.287820983067601</v>
      </c>
      <c r="AB433" s="93" t="s">
        <v>66</v>
      </c>
    </row>
    <row r="434" spans="1:105" s="1" customFormat="1" x14ac:dyDescent="0.25">
      <c r="A434" s="70"/>
      <c r="B434" s="3"/>
      <c r="C434" s="8">
        <v>40607</v>
      </c>
      <c r="D434" s="1">
        <v>7.3</v>
      </c>
      <c r="E434" s="1">
        <v>0.8</v>
      </c>
      <c r="F434" s="1">
        <v>14.9</v>
      </c>
      <c r="G434" s="1">
        <f t="shared" si="24"/>
        <v>1618.8000000000009</v>
      </c>
      <c r="H434" s="1">
        <f t="shared" si="29"/>
        <v>382.89999999999981</v>
      </c>
      <c r="J434" s="1">
        <v>0</v>
      </c>
      <c r="K434" s="1">
        <f t="shared" si="25"/>
        <v>277.69999999999976</v>
      </c>
      <c r="L434" s="1">
        <v>2.2999999999999998</v>
      </c>
      <c r="M434" s="1">
        <f t="shared" si="26"/>
        <v>268.5</v>
      </c>
      <c r="N434" s="1">
        <v>-2.2999999999999998</v>
      </c>
      <c r="O434" s="1">
        <f t="shared" si="31"/>
        <v>72.499999999999972</v>
      </c>
      <c r="P434" s="6">
        <v>179</v>
      </c>
      <c r="Q434" s="16">
        <f t="shared" si="21"/>
        <v>1.1195945945945944</v>
      </c>
      <c r="R434" s="14">
        <f t="shared" si="22"/>
        <v>2.5750675675675669</v>
      </c>
      <c r="S434" s="14">
        <f t="shared" si="23"/>
        <v>-2.5750675675675669</v>
      </c>
      <c r="T434" s="15">
        <f t="shared" si="27"/>
        <v>87.040115830115795</v>
      </c>
      <c r="V434" s="1">
        <v>1735.3</v>
      </c>
      <c r="X434" s="1">
        <f t="shared" si="28"/>
        <v>130531.30000000005</v>
      </c>
      <c r="Y434" s="1">
        <f t="shared" si="30"/>
        <v>40026.800000000003</v>
      </c>
      <c r="AA434" s="1">
        <v>11.3376865783416</v>
      </c>
      <c r="AB434" s="1">
        <v>4</v>
      </c>
    </row>
    <row r="435" spans="1:105" s="1" customFormat="1" x14ac:dyDescent="0.25">
      <c r="A435" s="70"/>
      <c r="B435" s="3"/>
      <c r="C435" s="8">
        <v>40608</v>
      </c>
      <c r="D435" s="1">
        <v>7.1</v>
      </c>
      <c r="E435" s="1">
        <v>1.2</v>
      </c>
      <c r="F435" s="1">
        <v>14.4</v>
      </c>
      <c r="G435" s="1">
        <f t="shared" si="24"/>
        <v>1625.9000000000008</v>
      </c>
      <c r="H435" s="1">
        <f t="shared" si="29"/>
        <v>389.99999999999983</v>
      </c>
      <c r="J435" s="1">
        <v>0</v>
      </c>
      <c r="K435" s="1">
        <f t="shared" si="25"/>
        <v>277.69999999999976</v>
      </c>
      <c r="L435" s="1">
        <v>2.2999999999999998</v>
      </c>
      <c r="M435" s="1">
        <f t="shared" si="26"/>
        <v>270.8</v>
      </c>
      <c r="N435" s="1">
        <v>-2.2999999999999998</v>
      </c>
      <c r="O435" s="1">
        <f t="shared" si="31"/>
        <v>70.199999999999974</v>
      </c>
      <c r="P435" s="6">
        <v>180</v>
      </c>
      <c r="Q435" s="16">
        <f t="shared" si="21"/>
        <v>1.1216216216216215</v>
      </c>
      <c r="R435" s="14">
        <f t="shared" si="22"/>
        <v>2.579729729729729</v>
      </c>
      <c r="S435" s="14">
        <f t="shared" si="23"/>
        <v>-2.579729729729729</v>
      </c>
      <c r="T435" s="15">
        <f t="shared" si="27"/>
        <v>84.46038610038606</v>
      </c>
      <c r="V435" s="1">
        <v>1768.1</v>
      </c>
      <c r="X435" s="1">
        <f t="shared" si="28"/>
        <v>132299.40000000005</v>
      </c>
      <c r="Y435" s="1">
        <f t="shared" si="30"/>
        <v>41794.9</v>
      </c>
      <c r="AA435" s="1">
        <v>11.387646432357201</v>
      </c>
      <c r="AB435" s="93" t="s">
        <v>67</v>
      </c>
    </row>
    <row r="436" spans="1:105" s="1" customFormat="1" x14ac:dyDescent="0.25">
      <c r="A436" s="70"/>
      <c r="B436" s="3"/>
      <c r="C436" s="8">
        <v>40609</v>
      </c>
      <c r="D436" s="1">
        <v>8.5</v>
      </c>
      <c r="E436" s="1">
        <v>0.4</v>
      </c>
      <c r="F436" s="1">
        <v>16.3</v>
      </c>
      <c r="G436" s="1">
        <f t="shared" si="24"/>
        <v>1634.4000000000008</v>
      </c>
      <c r="H436" s="1">
        <f t="shared" si="29"/>
        <v>398.49999999999983</v>
      </c>
      <c r="J436" s="88">
        <v>0</v>
      </c>
      <c r="K436" s="1">
        <f t="shared" si="25"/>
        <v>277.69999999999976</v>
      </c>
      <c r="L436" s="1">
        <v>2.8</v>
      </c>
      <c r="M436" s="1">
        <f t="shared" si="26"/>
        <v>273.60000000000002</v>
      </c>
      <c r="N436" s="1">
        <v>-2.8</v>
      </c>
      <c r="O436" s="1">
        <f t="shared" si="31"/>
        <v>67.399999999999977</v>
      </c>
      <c r="P436" s="6">
        <v>181</v>
      </c>
      <c r="Q436" s="16">
        <f t="shared" si="21"/>
        <v>1.1236486486486486</v>
      </c>
      <c r="R436" s="14">
        <f t="shared" si="22"/>
        <v>3.1462162162162159</v>
      </c>
      <c r="S436" s="14">
        <f t="shared" si="23"/>
        <v>-3.1462162162162159</v>
      </c>
      <c r="T436" s="91">
        <f t="shared" si="27"/>
        <v>81.314169884169843</v>
      </c>
      <c r="V436" s="1">
        <v>1810.9</v>
      </c>
      <c r="X436" s="1">
        <f t="shared" si="28"/>
        <v>134110.30000000005</v>
      </c>
      <c r="Y436" s="1">
        <f t="shared" si="30"/>
        <v>43605.8</v>
      </c>
      <c r="AA436" s="1">
        <v>11.4376924931915</v>
      </c>
      <c r="AB436" s="1">
        <v>0</v>
      </c>
    </row>
    <row r="437" spans="1:105" s="1" customFormat="1" x14ac:dyDescent="0.25">
      <c r="A437" s="70"/>
      <c r="B437" s="3"/>
      <c r="C437" s="8">
        <v>40610</v>
      </c>
      <c r="D437" s="1">
        <v>10.5</v>
      </c>
      <c r="E437" s="1">
        <v>9.4</v>
      </c>
      <c r="F437" s="1">
        <v>13.6</v>
      </c>
      <c r="G437" s="1">
        <f t="shared" si="24"/>
        <v>1644.9000000000008</v>
      </c>
      <c r="H437" s="1">
        <f t="shared" si="29"/>
        <v>408.99999999999983</v>
      </c>
      <c r="J437" s="88">
        <v>0</v>
      </c>
      <c r="K437" s="1">
        <f t="shared" si="25"/>
        <v>277.69999999999976</v>
      </c>
      <c r="L437" s="1">
        <v>3.4</v>
      </c>
      <c r="M437" s="1">
        <f t="shared" si="26"/>
        <v>277</v>
      </c>
      <c r="N437" s="1">
        <v>-3.4</v>
      </c>
      <c r="O437" s="1">
        <f t="shared" si="31"/>
        <v>63.999999999999979</v>
      </c>
      <c r="P437" s="6">
        <v>182</v>
      </c>
      <c r="Q437" s="16">
        <f t="shared" si="21"/>
        <v>1.1256756756756756</v>
      </c>
      <c r="R437" s="14">
        <f t="shared" si="22"/>
        <v>3.8272972972972972</v>
      </c>
      <c r="S437" s="14">
        <f t="shared" si="23"/>
        <v>-3.8272972972972972</v>
      </c>
      <c r="T437" s="91">
        <f t="shared" si="27"/>
        <v>77.486872586872551</v>
      </c>
      <c r="V437" s="1">
        <v>1667.6</v>
      </c>
      <c r="X437" s="1">
        <f t="shared" si="28"/>
        <v>135777.90000000005</v>
      </c>
      <c r="Y437" s="1">
        <f t="shared" si="30"/>
        <v>45273.4</v>
      </c>
      <c r="AA437" s="1">
        <v>11.4878169582182</v>
      </c>
      <c r="AB437" s="93" t="s">
        <v>68</v>
      </c>
    </row>
    <row r="438" spans="1:105" s="1" customFormat="1" x14ac:dyDescent="0.25">
      <c r="A438" s="70"/>
      <c r="B438" s="3"/>
      <c r="C438" s="8">
        <v>40611</v>
      </c>
      <c r="D438" s="1">
        <v>10.199999999999999</v>
      </c>
      <c r="E438" s="1">
        <v>7</v>
      </c>
      <c r="F438" s="1">
        <v>14.7</v>
      </c>
      <c r="G438" s="1">
        <f t="shared" si="24"/>
        <v>1655.1000000000008</v>
      </c>
      <c r="H438" s="1">
        <f t="shared" si="29"/>
        <v>419.19999999999982</v>
      </c>
      <c r="J438" s="88">
        <v>0</v>
      </c>
      <c r="K438" s="1">
        <f t="shared" si="25"/>
        <v>277.69999999999976</v>
      </c>
      <c r="L438" s="1">
        <v>2.4</v>
      </c>
      <c r="M438" s="1">
        <f t="shared" si="26"/>
        <v>279.39999999999998</v>
      </c>
      <c r="N438" s="1">
        <v>-2.4</v>
      </c>
      <c r="O438" s="1">
        <f t="shared" si="31"/>
        <v>61.59999999999998</v>
      </c>
      <c r="P438" s="6">
        <v>183</v>
      </c>
      <c r="Q438" s="16">
        <f t="shared" si="21"/>
        <v>1.1277027027027027</v>
      </c>
      <c r="R438" s="14">
        <f t="shared" si="22"/>
        <v>2.7064864864864862</v>
      </c>
      <c r="S438" s="14">
        <f t="shared" si="23"/>
        <v>-2.7064864864864862</v>
      </c>
      <c r="T438" s="91">
        <f t="shared" si="27"/>
        <v>74.780386100386067</v>
      </c>
      <c r="V438" s="1">
        <v>1512.7</v>
      </c>
      <c r="X438" s="1">
        <f t="shared" si="28"/>
        <v>137290.60000000006</v>
      </c>
      <c r="Y438" s="1">
        <f t="shared" si="30"/>
        <v>46786.1</v>
      </c>
      <c r="AA438" s="1">
        <v>11.5380122590723</v>
      </c>
      <c r="AB438" s="1">
        <f>SUM(J440:J449)</f>
        <v>20.200000000000003</v>
      </c>
    </row>
    <row r="439" spans="1:105" s="83" customFormat="1" x14ac:dyDescent="0.25">
      <c r="A439" s="70"/>
      <c r="B439" s="81"/>
      <c r="C439" s="82">
        <v>40612</v>
      </c>
      <c r="D439" s="83">
        <v>7.5</v>
      </c>
      <c r="E439" s="83">
        <v>3.5</v>
      </c>
      <c r="F439" s="83">
        <v>11.6</v>
      </c>
      <c r="G439" s="83">
        <f t="shared" si="24"/>
        <v>1662.6000000000008</v>
      </c>
      <c r="H439" s="83">
        <f t="shared" si="29"/>
        <v>426.69999999999982</v>
      </c>
      <c r="J439" s="83">
        <v>0</v>
      </c>
      <c r="K439" s="83">
        <f t="shared" si="25"/>
        <v>277.69999999999976</v>
      </c>
      <c r="L439" s="83">
        <v>1.2</v>
      </c>
      <c r="M439" s="83">
        <f t="shared" si="26"/>
        <v>280.59999999999997</v>
      </c>
      <c r="N439" s="83">
        <v>-1.2</v>
      </c>
      <c r="O439" s="83">
        <f t="shared" si="31"/>
        <v>60.399999999999977</v>
      </c>
      <c r="P439" s="84">
        <v>184</v>
      </c>
      <c r="Q439" s="85">
        <f t="shared" si="21"/>
        <v>1.1297297297297297</v>
      </c>
      <c r="R439" s="86">
        <f t="shared" si="22"/>
        <v>1.3556756756756756</v>
      </c>
      <c r="S439" s="86">
        <f t="shared" si="23"/>
        <v>-1.3556756756756756</v>
      </c>
      <c r="T439" s="87">
        <f t="shared" si="27"/>
        <v>73.424710424710398</v>
      </c>
      <c r="V439" s="83">
        <v>830.5</v>
      </c>
      <c r="X439" s="83">
        <f t="shared" si="28"/>
        <v>138121.10000000006</v>
      </c>
      <c r="Y439" s="83">
        <f t="shared" si="30"/>
        <v>47616.6</v>
      </c>
      <c r="AA439" s="83">
        <v>11.588271046574199</v>
      </c>
    </row>
    <row r="440" spans="1:105" s="1" customFormat="1" x14ac:dyDescent="0.25">
      <c r="A440" s="70"/>
      <c r="B440" s="3"/>
      <c r="C440" s="8">
        <v>40613</v>
      </c>
      <c r="D440" s="1">
        <v>8.6</v>
      </c>
      <c r="E440" s="1">
        <v>1.6</v>
      </c>
      <c r="F440" s="1">
        <v>14</v>
      </c>
      <c r="G440" s="1">
        <f t="shared" si="24"/>
        <v>1671.2000000000007</v>
      </c>
      <c r="H440" s="1">
        <f t="shared" si="29"/>
        <v>435.29999999999984</v>
      </c>
      <c r="J440" s="88">
        <v>0</v>
      </c>
      <c r="K440" s="1">
        <f t="shared" si="25"/>
        <v>277.69999999999976</v>
      </c>
      <c r="L440" s="1">
        <v>2</v>
      </c>
      <c r="M440" s="1">
        <f t="shared" si="26"/>
        <v>282.59999999999997</v>
      </c>
      <c r="N440" s="1">
        <v>-2</v>
      </c>
      <c r="O440" s="1">
        <f t="shared" si="31"/>
        <v>58.399999999999977</v>
      </c>
      <c r="P440" s="6">
        <v>185</v>
      </c>
      <c r="Q440" s="16">
        <f t="shared" si="21"/>
        <v>1.1317567567567566</v>
      </c>
      <c r="R440" s="14">
        <f t="shared" si="22"/>
        <v>2.2635135135135132</v>
      </c>
      <c r="S440" s="14">
        <f t="shared" si="23"/>
        <v>-2.2635135135135132</v>
      </c>
      <c r="T440" s="91">
        <f t="shared" si="27"/>
        <v>71.161196911196882</v>
      </c>
      <c r="V440" s="1">
        <v>1736.6</v>
      </c>
      <c r="X440" s="1">
        <f t="shared" si="28"/>
        <v>139857.70000000007</v>
      </c>
      <c r="Y440" s="1">
        <f t="shared" si="30"/>
        <v>49353.2</v>
      </c>
      <c r="AA440" s="1">
        <v>11.638586175635</v>
      </c>
    </row>
    <row r="441" spans="1:105" s="1" customFormat="1" x14ac:dyDescent="0.25">
      <c r="A441" s="70"/>
      <c r="B441" s="3"/>
      <c r="C441" s="8">
        <v>40614</v>
      </c>
      <c r="D441" s="1">
        <v>11.1</v>
      </c>
      <c r="E441" s="1">
        <v>9</v>
      </c>
      <c r="F441" s="1">
        <v>11.5</v>
      </c>
      <c r="G441" s="1">
        <f t="shared" si="24"/>
        <v>1682.3000000000006</v>
      </c>
      <c r="H441" s="1">
        <f t="shared" si="29"/>
        <v>446.39999999999986</v>
      </c>
      <c r="J441" s="88">
        <v>6</v>
      </c>
      <c r="K441" s="1">
        <f t="shared" si="25"/>
        <v>283.69999999999976</v>
      </c>
      <c r="L441" s="1">
        <v>1.1000000000000001</v>
      </c>
      <c r="M441" s="1">
        <f t="shared" si="26"/>
        <v>283.7</v>
      </c>
      <c r="N441" s="1">
        <v>4.9000000000000004</v>
      </c>
      <c r="O441" s="1">
        <f t="shared" si="31"/>
        <v>63.299999999999976</v>
      </c>
      <c r="P441" s="6">
        <v>186</v>
      </c>
      <c r="Q441" s="16">
        <f t="shared" ref="Q441:Q449" si="32">1+((P441-120)/74)*(1.15-1)</f>
        <v>1.1337837837837836</v>
      </c>
      <c r="R441" s="14">
        <f t="shared" si="22"/>
        <v>1.247162162162162</v>
      </c>
      <c r="S441" s="14">
        <f t="shared" si="23"/>
        <v>4.7528378378378378</v>
      </c>
      <c r="T441" s="91">
        <f t="shared" si="27"/>
        <v>75.914034749034727</v>
      </c>
      <c r="V441" s="1">
        <v>309.60000000000002</v>
      </c>
      <c r="X441" s="1">
        <f t="shared" si="28"/>
        <v>140167.30000000008</v>
      </c>
      <c r="Y441" s="1">
        <f t="shared" si="30"/>
        <v>49662.799999999996</v>
      </c>
      <c r="AA441" s="1">
        <v>11.6889506901574</v>
      </c>
    </row>
    <row r="442" spans="1:105" s="1" customFormat="1" x14ac:dyDescent="0.25">
      <c r="A442" s="70"/>
      <c r="B442" s="3"/>
      <c r="C442" s="8">
        <v>40615</v>
      </c>
      <c r="D442" s="1">
        <v>12</v>
      </c>
      <c r="E442" s="1">
        <v>8.5</v>
      </c>
      <c r="F442" s="1">
        <v>15.8</v>
      </c>
      <c r="G442" s="1">
        <f t="shared" si="24"/>
        <v>1694.3000000000006</v>
      </c>
      <c r="H442" s="1">
        <f t="shared" si="29"/>
        <v>458.39999999999986</v>
      </c>
      <c r="J442" s="88">
        <v>0.1</v>
      </c>
      <c r="K442" s="1">
        <f t="shared" si="25"/>
        <v>283.79999999999978</v>
      </c>
      <c r="L442" s="1">
        <v>2</v>
      </c>
      <c r="M442" s="1">
        <f t="shared" si="26"/>
        <v>285.7</v>
      </c>
      <c r="N442" s="1">
        <v>-1.9</v>
      </c>
      <c r="O442" s="1">
        <f t="shared" si="31"/>
        <v>61.399999999999977</v>
      </c>
      <c r="P442" s="6">
        <v>187</v>
      </c>
      <c r="Q442" s="16">
        <f t="shared" si="32"/>
        <v>1.1358108108108107</v>
      </c>
      <c r="R442" s="14">
        <f t="shared" si="22"/>
        <v>2.2716216216216214</v>
      </c>
      <c r="S442" s="14">
        <f t="shared" si="23"/>
        <v>-2.1716216216216213</v>
      </c>
      <c r="T442" s="91">
        <f t="shared" si="27"/>
        <v>73.742413127413101</v>
      </c>
      <c r="V442" s="1">
        <v>1177.5</v>
      </c>
      <c r="X442" s="1">
        <f t="shared" si="28"/>
        <v>141344.80000000008</v>
      </c>
      <c r="Y442" s="1">
        <f t="shared" si="30"/>
        <v>50840.299999999996</v>
      </c>
      <c r="AA442" s="1">
        <v>11.7393578079484</v>
      </c>
    </row>
    <row r="443" spans="1:105" s="1" customFormat="1" x14ac:dyDescent="0.25">
      <c r="A443" s="70"/>
      <c r="B443" s="3"/>
      <c r="C443" s="8">
        <v>40616</v>
      </c>
      <c r="D443" s="1">
        <v>13.1</v>
      </c>
      <c r="E443" s="1">
        <v>9.6999999999999993</v>
      </c>
      <c r="F443" s="1">
        <v>16.600000000000001</v>
      </c>
      <c r="G443" s="1">
        <f t="shared" si="24"/>
        <v>1707.4000000000005</v>
      </c>
      <c r="H443" s="1">
        <f t="shared" si="29"/>
        <v>471.49999999999989</v>
      </c>
      <c r="J443" s="88">
        <v>0.2</v>
      </c>
      <c r="K443" s="1">
        <f t="shared" si="25"/>
        <v>283.99999999999977</v>
      </c>
      <c r="L443" s="1">
        <v>2.2000000000000002</v>
      </c>
      <c r="M443" s="1">
        <f t="shared" si="26"/>
        <v>287.89999999999998</v>
      </c>
      <c r="N443" s="1">
        <v>-2</v>
      </c>
      <c r="O443" s="1">
        <f t="shared" si="31"/>
        <v>59.399999999999977</v>
      </c>
      <c r="P443" s="6">
        <v>188</v>
      </c>
      <c r="Q443" s="16">
        <f t="shared" si="32"/>
        <v>1.1378378378378378</v>
      </c>
      <c r="R443" s="14">
        <f t="shared" si="22"/>
        <v>2.5032432432432432</v>
      </c>
      <c r="S443" s="14">
        <f t="shared" si="23"/>
        <v>-2.303243243243243</v>
      </c>
      <c r="T443" s="91">
        <f t="shared" si="27"/>
        <v>71.439169884169857</v>
      </c>
      <c r="V443" s="1">
        <v>805.3</v>
      </c>
      <c r="X443" s="1">
        <f t="shared" si="28"/>
        <v>142150.10000000006</v>
      </c>
      <c r="Y443" s="1">
        <f t="shared" si="30"/>
        <v>51645.599999999999</v>
      </c>
      <c r="AA443" s="1">
        <v>11.7898009056566</v>
      </c>
    </row>
    <row r="444" spans="1:105" s="1" customFormat="1" x14ac:dyDescent="0.25">
      <c r="A444" s="70"/>
      <c r="B444" s="3"/>
      <c r="C444" s="8">
        <v>40617</v>
      </c>
      <c r="D444" s="1">
        <v>13.2</v>
      </c>
      <c r="E444" s="1">
        <v>12.8</v>
      </c>
      <c r="F444" s="1">
        <v>14.7</v>
      </c>
      <c r="G444" s="1">
        <f t="shared" si="24"/>
        <v>1720.6000000000006</v>
      </c>
      <c r="H444" s="1">
        <f t="shared" si="29"/>
        <v>484.69999999999987</v>
      </c>
      <c r="J444" s="88">
        <v>9.3000000000000007</v>
      </c>
      <c r="K444" s="1">
        <f t="shared" si="25"/>
        <v>293.29999999999978</v>
      </c>
      <c r="L444" s="1">
        <v>1.6</v>
      </c>
      <c r="M444" s="1">
        <f t="shared" si="26"/>
        <v>289.5</v>
      </c>
      <c r="N444" s="1">
        <v>7.7000000000000011</v>
      </c>
      <c r="O444" s="1">
        <f t="shared" si="31"/>
        <v>67.09999999999998</v>
      </c>
      <c r="P444" s="6">
        <v>189</v>
      </c>
      <c r="Q444" s="16">
        <f t="shared" si="32"/>
        <v>1.1398648648648648</v>
      </c>
      <c r="R444" s="14">
        <f t="shared" si="22"/>
        <v>1.8237837837837838</v>
      </c>
      <c r="S444" s="14">
        <f t="shared" si="23"/>
        <v>7.4762162162162173</v>
      </c>
      <c r="T444" s="91">
        <f t="shared" si="27"/>
        <v>78.915386100386073</v>
      </c>
      <c r="V444" s="1">
        <v>330.5</v>
      </c>
      <c r="X444" s="1">
        <f t="shared" si="28"/>
        <v>142480.60000000006</v>
      </c>
      <c r="Y444" s="1">
        <f t="shared" si="30"/>
        <v>51976.1</v>
      </c>
      <c r="AA444" s="1">
        <v>11.840273503743701</v>
      </c>
    </row>
    <row r="445" spans="1:105" s="1" customFormat="1" x14ac:dyDescent="0.25">
      <c r="A445" s="70"/>
      <c r="B445" s="3"/>
      <c r="C445" s="8">
        <v>40618</v>
      </c>
      <c r="D445" s="1">
        <v>11.8</v>
      </c>
      <c r="E445" s="1">
        <v>10.5</v>
      </c>
      <c r="F445" s="1">
        <v>13.2</v>
      </c>
      <c r="G445" s="1">
        <f t="shared" si="24"/>
        <v>1732.4000000000005</v>
      </c>
      <c r="H445" s="1">
        <f t="shared" si="29"/>
        <v>496.49999999999989</v>
      </c>
      <c r="J445" s="88">
        <v>4.5</v>
      </c>
      <c r="K445" s="1">
        <f t="shared" si="25"/>
        <v>297.79999999999978</v>
      </c>
      <c r="L445" s="1">
        <v>0.8</v>
      </c>
      <c r="M445" s="1">
        <f t="shared" si="26"/>
        <v>290.3</v>
      </c>
      <c r="N445" s="1">
        <v>3.7</v>
      </c>
      <c r="O445" s="1">
        <f t="shared" si="31"/>
        <v>70.799999999999983</v>
      </c>
      <c r="P445" s="6">
        <v>190</v>
      </c>
      <c r="Q445" s="16">
        <f t="shared" si="32"/>
        <v>1.1418918918918919</v>
      </c>
      <c r="R445" s="14">
        <f t="shared" si="22"/>
        <v>0.91351351351351351</v>
      </c>
      <c r="S445" s="14">
        <f t="shared" si="23"/>
        <v>3.5864864864864865</v>
      </c>
      <c r="T445" s="91">
        <f t="shared" si="27"/>
        <v>82.501872586872565</v>
      </c>
      <c r="V445" s="1">
        <v>351.2</v>
      </c>
      <c r="X445" s="1">
        <f t="shared" si="28"/>
        <v>142831.80000000008</v>
      </c>
      <c r="Y445" s="1">
        <f t="shared" si="30"/>
        <v>52327.299999999996</v>
      </c>
      <c r="AA445" s="1">
        <v>11.890769251502199</v>
      </c>
    </row>
    <row r="446" spans="1:105" s="29" customFormat="1" x14ac:dyDescent="0.25">
      <c r="A446" s="70"/>
      <c r="B446" s="27"/>
      <c r="C446" s="28">
        <v>40619</v>
      </c>
      <c r="D446" s="29">
        <v>11.2</v>
      </c>
      <c r="E446" s="29">
        <v>11.1</v>
      </c>
      <c r="F446" s="29">
        <v>12</v>
      </c>
      <c r="G446" s="29">
        <f t="shared" si="24"/>
        <v>1743.6000000000006</v>
      </c>
      <c r="H446" s="29">
        <f t="shared" si="29"/>
        <v>507.69999999999987</v>
      </c>
      <c r="J446" s="89">
        <v>0</v>
      </c>
      <c r="K446" s="29">
        <f t="shared" si="25"/>
        <v>297.79999999999978</v>
      </c>
      <c r="L446" s="29">
        <v>2.2999999999999998</v>
      </c>
      <c r="M446" s="29">
        <f t="shared" si="26"/>
        <v>292.60000000000002</v>
      </c>
      <c r="N446" s="29">
        <v>-2.2999999999999998</v>
      </c>
      <c r="O446" s="29">
        <f t="shared" si="31"/>
        <v>68.499999999999986</v>
      </c>
      <c r="P446" s="30">
        <v>191</v>
      </c>
      <c r="Q446" s="16">
        <f t="shared" si="32"/>
        <v>1.1439189189189189</v>
      </c>
      <c r="R446" s="31">
        <f t="shared" si="22"/>
        <v>2.6310135135135133</v>
      </c>
      <c r="S446" s="14">
        <f t="shared" si="23"/>
        <v>-2.6310135135135133</v>
      </c>
      <c r="T446" s="91">
        <f t="shared" si="27"/>
        <v>79.870859073359057</v>
      </c>
      <c r="V446" s="29">
        <v>1040.2</v>
      </c>
      <c r="X446" s="29">
        <f t="shared" si="28"/>
        <v>143872.00000000009</v>
      </c>
      <c r="Y446" s="1">
        <f t="shared" si="30"/>
        <v>53367.499999999993</v>
      </c>
      <c r="AA446" s="29">
        <v>11.9412819121242</v>
      </c>
    </row>
    <row r="447" spans="1:105" s="33" customFormat="1" ht="15" customHeight="1" x14ac:dyDescent="0.25">
      <c r="A447" s="70"/>
      <c r="B447" s="32"/>
      <c r="C447" s="28">
        <v>40620</v>
      </c>
      <c r="D447" s="29">
        <v>11.4</v>
      </c>
      <c r="E447" s="29">
        <v>7.5</v>
      </c>
      <c r="F447" s="29">
        <v>15.9</v>
      </c>
      <c r="G447" s="29">
        <f t="shared" si="24"/>
        <v>1755.0000000000007</v>
      </c>
      <c r="H447" s="1">
        <f t="shared" si="29"/>
        <v>519.09999999999991</v>
      </c>
      <c r="I447" s="29"/>
      <c r="J447" s="89">
        <v>0.1</v>
      </c>
      <c r="K447" s="1">
        <f t="shared" si="25"/>
        <v>297.89999999999981</v>
      </c>
      <c r="L447" s="29">
        <v>2.7</v>
      </c>
      <c r="M447" s="1">
        <f t="shared" si="26"/>
        <v>295.3</v>
      </c>
      <c r="N447" s="29">
        <v>-2.6</v>
      </c>
      <c r="O447" s="1">
        <f t="shared" si="31"/>
        <v>65.899999999999991</v>
      </c>
      <c r="P447" s="6">
        <v>192</v>
      </c>
      <c r="Q447" s="16">
        <f t="shared" si="32"/>
        <v>1.1459459459459458</v>
      </c>
      <c r="R447" s="14">
        <f t="shared" si="22"/>
        <v>3.094054054054054</v>
      </c>
      <c r="S447" s="14">
        <f t="shared" si="23"/>
        <v>-2.9940540540540539</v>
      </c>
      <c r="T447" s="91">
        <f t="shared" si="27"/>
        <v>76.87680501930501</v>
      </c>
      <c r="U447" s="29"/>
      <c r="V447" s="29">
        <v>1375.9</v>
      </c>
      <c r="W447" s="29"/>
      <c r="X447" s="1">
        <f t="shared" si="28"/>
        <v>145247.90000000008</v>
      </c>
      <c r="Y447" s="1">
        <f t="shared" si="30"/>
        <v>54743.399999999994</v>
      </c>
      <c r="Z447" s="29"/>
      <c r="AA447" s="1">
        <v>11.9918053478304</v>
      </c>
      <c r="AB447" s="29"/>
      <c r="AC447" s="29"/>
      <c r="AD447" s="29"/>
      <c r="AE447" s="29"/>
      <c r="AF447" s="29"/>
      <c r="AG447" s="29"/>
      <c r="AH447" s="29"/>
      <c r="AI447" s="29"/>
      <c r="AJ447" s="29"/>
      <c r="AK447" s="29"/>
      <c r="AL447" s="29"/>
      <c r="AM447" s="29"/>
      <c r="AN447" s="29"/>
      <c r="AO447" s="29"/>
      <c r="AP447" s="29"/>
      <c r="AQ447" s="29"/>
      <c r="AR447" s="29"/>
      <c r="AS447" s="29"/>
      <c r="AT447" s="29"/>
      <c r="AU447" s="29"/>
      <c r="AV447" s="29"/>
      <c r="AW447" s="29"/>
      <c r="AX447" s="29"/>
      <c r="AY447" s="29"/>
      <c r="AZ447" s="29"/>
      <c r="BA447" s="29"/>
      <c r="BB447" s="29"/>
      <c r="BC447" s="29"/>
      <c r="BD447" s="29"/>
      <c r="BE447" s="29"/>
      <c r="BF447" s="29"/>
      <c r="BG447" s="29"/>
      <c r="BH447" s="29"/>
      <c r="BI447" s="29"/>
      <c r="BJ447" s="29"/>
      <c r="BK447" s="29"/>
      <c r="BL447" s="29"/>
      <c r="BM447" s="29"/>
      <c r="BN447" s="29"/>
      <c r="BO447" s="29"/>
      <c r="BP447" s="29"/>
      <c r="BQ447" s="29"/>
      <c r="BR447" s="29"/>
      <c r="BS447" s="29"/>
      <c r="BT447" s="29"/>
      <c r="BU447" s="29"/>
      <c r="BV447" s="29"/>
      <c r="BW447" s="29"/>
      <c r="BX447" s="29"/>
      <c r="BY447" s="29"/>
      <c r="BZ447" s="29"/>
      <c r="CA447" s="29"/>
      <c r="CB447" s="29"/>
      <c r="CC447" s="29"/>
      <c r="CD447" s="29"/>
      <c r="CE447" s="29"/>
      <c r="CF447" s="29"/>
      <c r="CG447" s="29"/>
      <c r="CH447" s="29"/>
      <c r="CI447" s="29"/>
      <c r="CJ447" s="29"/>
      <c r="CK447" s="29"/>
      <c r="CL447" s="29"/>
      <c r="CM447" s="29"/>
      <c r="CN447" s="29"/>
      <c r="CO447" s="29"/>
      <c r="CP447" s="29"/>
      <c r="CQ447" s="29"/>
      <c r="CR447" s="29"/>
      <c r="CS447" s="29"/>
      <c r="CT447" s="29"/>
      <c r="CU447" s="29"/>
      <c r="CV447" s="29"/>
      <c r="CW447" s="29"/>
      <c r="CX447" s="29"/>
      <c r="CY447" s="29"/>
      <c r="CZ447" s="29"/>
      <c r="DA447" s="29"/>
    </row>
    <row r="448" spans="1:105" s="29" customFormat="1" x14ac:dyDescent="0.25">
      <c r="A448" s="70"/>
      <c r="B448" s="27"/>
      <c r="C448" s="28">
        <v>40621</v>
      </c>
      <c r="D448" s="29">
        <v>12</v>
      </c>
      <c r="E448" s="29">
        <v>10</v>
      </c>
      <c r="F448" s="29">
        <v>15.9</v>
      </c>
      <c r="G448" s="29">
        <f t="shared" si="24"/>
        <v>1767.0000000000007</v>
      </c>
      <c r="H448" s="29">
        <f t="shared" si="29"/>
        <v>531.09999999999991</v>
      </c>
      <c r="J448" s="89">
        <v>0</v>
      </c>
      <c r="K448" s="29">
        <f t="shared" si="25"/>
        <v>297.89999999999981</v>
      </c>
      <c r="L448" s="29">
        <v>2.7</v>
      </c>
      <c r="M448" s="29">
        <f t="shared" si="26"/>
        <v>298</v>
      </c>
      <c r="N448" s="29">
        <v>-2.7</v>
      </c>
      <c r="O448" s="29">
        <f t="shared" si="31"/>
        <v>63.199999999999989</v>
      </c>
      <c r="P448" s="30">
        <v>193</v>
      </c>
      <c r="Q448" s="16">
        <f t="shared" si="32"/>
        <v>1.1479729729729728</v>
      </c>
      <c r="R448" s="31">
        <f t="shared" ref="R448:R511" si="33">Q448*L448</f>
        <v>3.099527027027027</v>
      </c>
      <c r="S448" s="31">
        <f t="shared" si="23"/>
        <v>-3.099527027027027</v>
      </c>
      <c r="T448" s="95">
        <f t="shared" si="27"/>
        <v>73.777277992277988</v>
      </c>
      <c r="V448" s="29">
        <v>1415.9</v>
      </c>
      <c r="X448" s="29">
        <f t="shared" si="28"/>
        <v>146663.80000000008</v>
      </c>
      <c r="Y448" s="29">
        <f t="shared" si="30"/>
        <v>56159.299999999996</v>
      </c>
      <c r="AA448" s="29">
        <v>12.042333505063899</v>
      </c>
    </row>
    <row r="449" spans="1:106" s="51" customFormat="1" ht="15.75" thickBot="1" x14ac:dyDescent="0.3">
      <c r="A449" s="70"/>
      <c r="B449" s="56"/>
      <c r="C449" s="57">
        <v>40622</v>
      </c>
      <c r="D449" s="51">
        <v>10</v>
      </c>
      <c r="E449" s="51">
        <v>7.2</v>
      </c>
      <c r="F449" s="51">
        <v>14.9</v>
      </c>
      <c r="G449" s="51">
        <f t="shared" si="24"/>
        <v>1777.0000000000007</v>
      </c>
      <c r="H449" s="45">
        <f t="shared" si="29"/>
        <v>541.09999999999991</v>
      </c>
      <c r="J449" s="94">
        <v>0</v>
      </c>
      <c r="K449" s="51">
        <f t="shared" si="25"/>
        <v>297.89999999999981</v>
      </c>
      <c r="L449" s="51">
        <v>2.1</v>
      </c>
      <c r="M449" s="51">
        <f t="shared" si="26"/>
        <v>300.10000000000002</v>
      </c>
      <c r="N449" s="51">
        <v>-2.1</v>
      </c>
      <c r="O449" s="51">
        <f t="shared" si="31"/>
        <v>61.099999999999987</v>
      </c>
      <c r="P449" s="58">
        <v>194</v>
      </c>
      <c r="Q449" s="60">
        <f t="shared" si="32"/>
        <v>1.1499999999999999</v>
      </c>
      <c r="R449" s="59">
        <f t="shared" si="33"/>
        <v>2.415</v>
      </c>
      <c r="S449" s="59">
        <f t="shared" ref="S449:S512" si="34">J449-R449</f>
        <v>-2.415</v>
      </c>
      <c r="T449" s="96">
        <f t="shared" si="27"/>
        <v>71.362277992277981</v>
      </c>
      <c r="V449" s="51">
        <v>1234.9000000000001</v>
      </c>
      <c r="X449" s="51">
        <f t="shared" si="28"/>
        <v>147898.70000000007</v>
      </c>
      <c r="Y449" s="45">
        <f t="shared" si="30"/>
        <v>57394.2</v>
      </c>
      <c r="AA449" s="51">
        <v>12.092860399753</v>
      </c>
    </row>
    <row r="450" spans="1:106" s="1" customFormat="1" x14ac:dyDescent="0.25">
      <c r="A450" s="34" t="s">
        <v>49</v>
      </c>
      <c r="B450" s="2"/>
      <c r="C450" s="8">
        <v>40623</v>
      </c>
      <c r="D450" s="1">
        <v>9.5</v>
      </c>
      <c r="E450" s="1">
        <v>3.6</v>
      </c>
      <c r="F450" s="1">
        <v>15.6</v>
      </c>
      <c r="G450" s="1">
        <f t="shared" ref="G450:G513" si="35">G449+D450</f>
        <v>1786.5000000000007</v>
      </c>
      <c r="H450" s="29">
        <f>D450</f>
        <v>9.5</v>
      </c>
      <c r="I450" s="35" t="s">
        <v>30</v>
      </c>
      <c r="J450" s="1">
        <v>0</v>
      </c>
      <c r="K450" s="1">
        <f t="shared" ref="K450:K513" si="36">K449+J450</f>
        <v>297.89999999999981</v>
      </c>
      <c r="L450" s="1">
        <v>2.6</v>
      </c>
      <c r="M450" s="1">
        <f t="shared" ref="M450:M513" si="37">M449+L450</f>
        <v>302.70000000000005</v>
      </c>
      <c r="N450" s="1">
        <v>-2.6</v>
      </c>
      <c r="O450" s="1">
        <f t="shared" si="31"/>
        <v>58.499999999999986</v>
      </c>
      <c r="P450" s="6">
        <v>195</v>
      </c>
      <c r="Q450" s="29">
        <v>1.1499999999999999</v>
      </c>
      <c r="R450" s="14">
        <f t="shared" si="33"/>
        <v>2.9899999999999998</v>
      </c>
      <c r="S450" s="14">
        <f t="shared" si="34"/>
        <v>-2.9899999999999998</v>
      </c>
      <c r="T450" s="15">
        <f t="shared" ref="T450:T506" si="38">T449+S450</f>
        <v>68.372277992277986</v>
      </c>
      <c r="U450" s="35" t="s">
        <v>31</v>
      </c>
      <c r="V450" s="1">
        <v>1808.3</v>
      </c>
      <c r="X450" s="1">
        <f t="shared" ref="X450:X513" si="39">X449+V450</f>
        <v>149707.00000000006</v>
      </c>
      <c r="Y450" s="29">
        <f>V450</f>
        <v>1808.3</v>
      </c>
      <c r="Z450" s="35" t="s">
        <v>32</v>
      </c>
      <c r="AA450" s="1">
        <v>12.1433801026478</v>
      </c>
    </row>
    <row r="451" spans="1:106" s="1" customFormat="1" x14ac:dyDescent="0.25">
      <c r="A451" s="34"/>
      <c r="B451" s="2"/>
      <c r="C451" s="8">
        <v>40624</v>
      </c>
      <c r="D451" s="1">
        <v>10.5</v>
      </c>
      <c r="E451" s="1">
        <v>6.3</v>
      </c>
      <c r="F451" s="1">
        <v>17</v>
      </c>
      <c r="G451" s="1">
        <f t="shared" si="35"/>
        <v>1797.0000000000007</v>
      </c>
      <c r="H451" s="29">
        <f t="shared" si="29"/>
        <v>20</v>
      </c>
      <c r="I451" s="1">
        <f>MIN(E450:E470)</f>
        <v>3.5</v>
      </c>
      <c r="J451" s="1">
        <v>0</v>
      </c>
      <c r="K451" s="1">
        <f t="shared" si="36"/>
        <v>297.89999999999981</v>
      </c>
      <c r="L451" s="1">
        <v>3.8</v>
      </c>
      <c r="M451" s="1">
        <f t="shared" si="37"/>
        <v>306.50000000000006</v>
      </c>
      <c r="N451" s="1">
        <v>-3.8</v>
      </c>
      <c r="O451" s="1">
        <f t="shared" si="31"/>
        <v>54.699999999999989</v>
      </c>
      <c r="P451" s="6">
        <v>196</v>
      </c>
      <c r="Q451" s="29">
        <v>1.1499999999999999</v>
      </c>
      <c r="R451" s="14">
        <f t="shared" si="33"/>
        <v>4.3699999999999992</v>
      </c>
      <c r="S451" s="14">
        <f t="shared" si="34"/>
        <v>-4.3699999999999992</v>
      </c>
      <c r="T451" s="15">
        <f t="shared" si="38"/>
        <v>64.002277992277982</v>
      </c>
      <c r="U451" s="1">
        <v>17</v>
      </c>
      <c r="V451" s="1">
        <v>1818.1</v>
      </c>
      <c r="X451" s="1">
        <f t="shared" si="39"/>
        <v>151525.10000000006</v>
      </c>
      <c r="Y451" s="29">
        <f t="shared" si="30"/>
        <v>3626.3999999999996</v>
      </c>
      <c r="Z451" s="1">
        <v>33044.300000000003</v>
      </c>
      <c r="AA451" s="1">
        <v>12.193886724733</v>
      </c>
    </row>
    <row r="452" spans="1:106" s="1" customFormat="1" x14ac:dyDescent="0.25">
      <c r="A452" s="34"/>
      <c r="B452" s="2"/>
      <c r="C452" s="8">
        <v>40625</v>
      </c>
      <c r="D452" s="1">
        <v>11.2</v>
      </c>
      <c r="E452" s="1">
        <v>3.5</v>
      </c>
      <c r="F452" s="1">
        <v>18.8</v>
      </c>
      <c r="G452" s="1">
        <f t="shared" si="35"/>
        <v>1808.2000000000007</v>
      </c>
      <c r="H452" s="29">
        <f t="shared" si="29"/>
        <v>31.2</v>
      </c>
      <c r="I452" s="35" t="s">
        <v>33</v>
      </c>
      <c r="J452" s="1">
        <v>0</v>
      </c>
      <c r="K452" s="1">
        <f t="shared" si="36"/>
        <v>297.89999999999981</v>
      </c>
      <c r="L452" s="1">
        <v>4.2</v>
      </c>
      <c r="M452" s="1">
        <f t="shared" si="37"/>
        <v>310.70000000000005</v>
      </c>
      <c r="N452" s="1">
        <v>-4.2</v>
      </c>
      <c r="O452" s="1">
        <f t="shared" si="31"/>
        <v>50.499999999999986</v>
      </c>
      <c r="P452" s="6">
        <v>197</v>
      </c>
      <c r="Q452" s="29">
        <v>1.1499999999999999</v>
      </c>
      <c r="R452" s="14">
        <f t="shared" si="33"/>
        <v>4.83</v>
      </c>
      <c r="S452" s="14">
        <f t="shared" si="34"/>
        <v>-4.83</v>
      </c>
      <c r="T452" s="15">
        <f t="shared" si="38"/>
        <v>59.172277992277984</v>
      </c>
      <c r="U452" s="35" t="s">
        <v>34</v>
      </c>
      <c r="V452" s="1">
        <v>2130.6</v>
      </c>
      <c r="X452" s="1">
        <f t="shared" si="39"/>
        <v>153655.70000000007</v>
      </c>
      <c r="Y452" s="29">
        <f t="shared" si="30"/>
        <v>5757</v>
      </c>
      <c r="Z452" s="35" t="s">
        <v>35</v>
      </c>
      <c r="AA452" s="1">
        <v>12.244374402719799</v>
      </c>
    </row>
    <row r="453" spans="1:106" s="1" customFormat="1" x14ac:dyDescent="0.25">
      <c r="A453" s="34"/>
      <c r="B453" s="2"/>
      <c r="C453" s="8">
        <v>40626</v>
      </c>
      <c r="D453" s="1">
        <v>11.8</v>
      </c>
      <c r="E453" s="1">
        <v>5.4</v>
      </c>
      <c r="F453" s="1">
        <v>19.5</v>
      </c>
      <c r="G453" s="1">
        <f t="shared" si="35"/>
        <v>1820.0000000000007</v>
      </c>
      <c r="H453" s="29">
        <f t="shared" si="29"/>
        <v>43</v>
      </c>
      <c r="I453" s="1">
        <f>MAX(F450:F470)</f>
        <v>28.1</v>
      </c>
      <c r="J453" s="1">
        <v>0</v>
      </c>
      <c r="K453" s="1">
        <f t="shared" si="36"/>
        <v>297.89999999999981</v>
      </c>
      <c r="L453" s="1">
        <v>4.2</v>
      </c>
      <c r="M453" s="1">
        <f t="shared" si="37"/>
        <v>314.90000000000003</v>
      </c>
      <c r="N453" s="1">
        <v>-4.2</v>
      </c>
      <c r="O453" s="1">
        <f t="shared" si="31"/>
        <v>46.299999999999983</v>
      </c>
      <c r="P453" s="6">
        <v>198</v>
      </c>
      <c r="Q453" s="29">
        <v>1.1499999999999999</v>
      </c>
      <c r="R453" s="14">
        <f t="shared" si="33"/>
        <v>4.83</v>
      </c>
      <c r="S453" s="14">
        <f t="shared" si="34"/>
        <v>-4.83</v>
      </c>
      <c r="T453" s="15">
        <f t="shared" si="38"/>
        <v>54.342277992277985</v>
      </c>
      <c r="U453" s="1">
        <v>0</v>
      </c>
      <c r="V453" s="1">
        <v>2107.8000000000002</v>
      </c>
      <c r="X453" s="1">
        <f t="shared" si="39"/>
        <v>155763.50000000006</v>
      </c>
      <c r="Y453" s="29">
        <f t="shared" si="30"/>
        <v>7864.8</v>
      </c>
      <c r="Z453" s="16">
        <f>(Z451/100)/I463</f>
        <v>1.1651727785613541</v>
      </c>
      <c r="AA453" s="1">
        <v>12.294837284619099</v>
      </c>
    </row>
    <row r="454" spans="1:106" s="1" customFormat="1" x14ac:dyDescent="0.25">
      <c r="A454" s="34"/>
      <c r="B454" s="2"/>
      <c r="C454" s="8">
        <v>40627</v>
      </c>
      <c r="D454" s="1">
        <v>11.4</v>
      </c>
      <c r="E454" s="1">
        <v>6.7</v>
      </c>
      <c r="F454" s="1">
        <v>17.899999999999999</v>
      </c>
      <c r="G454" s="1">
        <f t="shared" si="35"/>
        <v>1831.4000000000008</v>
      </c>
      <c r="H454" s="29">
        <f t="shared" si="29"/>
        <v>54.4</v>
      </c>
      <c r="I454" s="35" t="s">
        <v>36</v>
      </c>
      <c r="J454" s="1">
        <v>0</v>
      </c>
      <c r="K454" s="1">
        <f t="shared" si="36"/>
        <v>297.89999999999981</v>
      </c>
      <c r="L454" s="1">
        <v>3.2</v>
      </c>
      <c r="M454" s="1">
        <f t="shared" si="37"/>
        <v>318.10000000000002</v>
      </c>
      <c r="N454" s="1">
        <v>-3.2</v>
      </c>
      <c r="O454" s="1">
        <f t="shared" si="31"/>
        <v>43.09999999999998</v>
      </c>
      <c r="P454" s="6">
        <v>199</v>
      </c>
      <c r="Q454" s="29">
        <v>1.1499999999999999</v>
      </c>
      <c r="R454" s="14">
        <f t="shared" si="33"/>
        <v>3.6799999999999997</v>
      </c>
      <c r="S454" s="14">
        <f t="shared" si="34"/>
        <v>-3.6799999999999997</v>
      </c>
      <c r="T454" s="15">
        <f t="shared" si="38"/>
        <v>50.662277992277986</v>
      </c>
      <c r="U454" s="35" t="s">
        <v>37</v>
      </c>
      <c r="V454" s="1">
        <v>1895.4</v>
      </c>
      <c r="X454" s="1">
        <f t="shared" si="39"/>
        <v>157658.90000000005</v>
      </c>
      <c r="Y454" s="29">
        <f t="shared" si="30"/>
        <v>9760.2000000000007</v>
      </c>
      <c r="Z454" s="35" t="s">
        <v>38</v>
      </c>
      <c r="AA454" s="1">
        <v>12.345269515398</v>
      </c>
    </row>
    <row r="455" spans="1:106" s="1" customFormat="1" x14ac:dyDescent="0.25">
      <c r="A455" s="34" t="s">
        <v>50</v>
      </c>
      <c r="B455" s="2"/>
      <c r="C455" s="8">
        <v>40628</v>
      </c>
      <c r="D455" s="1">
        <v>13.1</v>
      </c>
      <c r="E455" s="1">
        <v>6.1</v>
      </c>
      <c r="F455" s="1">
        <v>20.7</v>
      </c>
      <c r="G455" s="1">
        <f t="shared" si="35"/>
        <v>1844.5000000000007</v>
      </c>
      <c r="H455" s="29">
        <f t="shared" si="29"/>
        <v>67.5</v>
      </c>
      <c r="I455" s="14">
        <f>AVERAGE(D450:D470)</f>
        <v>13.504761904761903</v>
      </c>
      <c r="J455" s="1">
        <v>0.2</v>
      </c>
      <c r="K455" s="1">
        <f t="shared" si="36"/>
        <v>298.0999999999998</v>
      </c>
      <c r="L455" s="1">
        <v>2.8</v>
      </c>
      <c r="M455" s="1">
        <f t="shared" si="37"/>
        <v>320.90000000000003</v>
      </c>
      <c r="N455" s="1">
        <v>-2.5999999999999996</v>
      </c>
      <c r="O455" s="1">
        <f t="shared" si="31"/>
        <v>40.499999999999979</v>
      </c>
      <c r="P455" s="6">
        <v>200</v>
      </c>
      <c r="Q455" s="29">
        <v>1.1499999999999999</v>
      </c>
      <c r="R455" s="14">
        <f t="shared" si="33"/>
        <v>3.2199999999999998</v>
      </c>
      <c r="S455" s="14">
        <f t="shared" si="34"/>
        <v>-3.0199999999999996</v>
      </c>
      <c r="T455" s="15">
        <f t="shared" si="38"/>
        <v>47.642277992277982</v>
      </c>
      <c r="U455" s="1">
        <v>5</v>
      </c>
      <c r="V455" s="1">
        <v>1629.9</v>
      </c>
      <c r="X455" s="1">
        <f t="shared" si="39"/>
        <v>159288.80000000005</v>
      </c>
      <c r="Y455" s="29">
        <f t="shared" si="30"/>
        <v>11390.1</v>
      </c>
      <c r="Z455" s="1">
        <v>5</v>
      </c>
      <c r="AA455" s="1">
        <v>12.395665222721901</v>
      </c>
    </row>
    <row r="456" spans="1:106" s="1" customFormat="1" x14ac:dyDescent="0.25">
      <c r="A456" s="34"/>
      <c r="B456" s="2"/>
      <c r="C456" s="8">
        <v>40629</v>
      </c>
      <c r="D456" s="1">
        <v>12.8</v>
      </c>
      <c r="E456" s="1">
        <v>9.6999999999999993</v>
      </c>
      <c r="F456" s="1">
        <v>17.2</v>
      </c>
      <c r="G456" s="1">
        <f t="shared" si="35"/>
        <v>1857.3000000000006</v>
      </c>
      <c r="H456" s="29">
        <f t="shared" si="29"/>
        <v>80.3</v>
      </c>
      <c r="I456" s="35" t="s">
        <v>39</v>
      </c>
      <c r="J456" s="1">
        <v>6.7</v>
      </c>
      <c r="K456" s="1">
        <f t="shared" si="36"/>
        <v>304.79999999999978</v>
      </c>
      <c r="L456" s="1">
        <v>1.7</v>
      </c>
      <c r="M456" s="1">
        <f t="shared" si="37"/>
        <v>322.60000000000002</v>
      </c>
      <c r="N456" s="1">
        <v>5</v>
      </c>
      <c r="O456" s="1">
        <f t="shared" si="31"/>
        <v>45.499999999999979</v>
      </c>
      <c r="P456" s="6">
        <v>201</v>
      </c>
      <c r="Q456" s="29">
        <v>1.1499999999999999</v>
      </c>
      <c r="R456" s="14">
        <f t="shared" si="33"/>
        <v>1.9549999999999998</v>
      </c>
      <c r="S456" s="14">
        <f t="shared" si="34"/>
        <v>4.7450000000000001</v>
      </c>
      <c r="T456" s="15">
        <f t="shared" si="38"/>
        <v>52.38727799227798</v>
      </c>
      <c r="U456" s="33" t="s">
        <v>40</v>
      </c>
      <c r="V456" s="1">
        <v>992.4</v>
      </c>
      <c r="X456" s="1">
        <f t="shared" si="39"/>
        <v>160281.20000000004</v>
      </c>
      <c r="Y456" s="29">
        <f t="shared" si="30"/>
        <v>12382.5</v>
      </c>
      <c r="AA456" s="1">
        <v>12.446018502784201</v>
      </c>
    </row>
    <row r="457" spans="1:106" s="33" customFormat="1" x14ac:dyDescent="0.25">
      <c r="A457" s="34"/>
      <c r="B457" s="29"/>
      <c r="C457" s="28">
        <v>40630</v>
      </c>
      <c r="D457" s="29">
        <v>11.2</v>
      </c>
      <c r="E457" s="29">
        <v>10.1</v>
      </c>
      <c r="F457" s="29">
        <v>12.6</v>
      </c>
      <c r="G457" s="29">
        <f t="shared" si="35"/>
        <v>1868.5000000000007</v>
      </c>
      <c r="H457" s="29">
        <f t="shared" si="29"/>
        <v>91.5</v>
      </c>
      <c r="I457" s="1">
        <v>0</v>
      </c>
      <c r="J457" s="29">
        <v>3.4</v>
      </c>
      <c r="K457" s="29">
        <f t="shared" si="36"/>
        <v>308.19999999999976</v>
      </c>
      <c r="L457" s="29">
        <v>1</v>
      </c>
      <c r="M457" s="29">
        <f t="shared" si="37"/>
        <v>323.60000000000002</v>
      </c>
      <c r="N457" s="29">
        <v>2.4</v>
      </c>
      <c r="O457" s="29">
        <f t="shared" si="31"/>
        <v>47.899999999999977</v>
      </c>
      <c r="P457" s="30">
        <v>202</v>
      </c>
      <c r="Q457" s="29">
        <v>1.1499999999999999</v>
      </c>
      <c r="R457" s="31">
        <f t="shared" si="33"/>
        <v>1.1499999999999999</v>
      </c>
      <c r="S457" s="14">
        <f t="shared" si="34"/>
        <v>2.25</v>
      </c>
      <c r="T457" s="15">
        <f t="shared" si="38"/>
        <v>54.63727799227798</v>
      </c>
      <c r="U457" s="14">
        <f>MIN(T450:T470)</f>
        <v>15.172277992277982</v>
      </c>
      <c r="V457" s="29">
        <v>429.3</v>
      </c>
      <c r="W457" s="29"/>
      <c r="X457" s="29">
        <f t="shared" si="39"/>
        <v>160710.50000000003</v>
      </c>
      <c r="Y457" s="29">
        <f t="shared" si="30"/>
        <v>12811.8</v>
      </c>
      <c r="Z457" s="29"/>
      <c r="AA457" s="29">
        <v>12.4963234062244</v>
      </c>
      <c r="AB457" s="29"/>
      <c r="AC457" s="29"/>
      <c r="AD457" s="29"/>
      <c r="AE457" s="29"/>
      <c r="AF457" s="29"/>
      <c r="AG457" s="29"/>
      <c r="AH457" s="29"/>
      <c r="AI457" s="29"/>
      <c r="AJ457" s="29"/>
      <c r="AK457" s="29"/>
      <c r="AL457" s="29"/>
      <c r="AM457" s="29"/>
      <c r="AN457" s="29"/>
      <c r="AO457" s="29"/>
      <c r="AP457" s="29"/>
      <c r="AQ457" s="29"/>
      <c r="AR457" s="29"/>
      <c r="AS457" s="29"/>
      <c r="AT457" s="29"/>
      <c r="AU457" s="29"/>
      <c r="AV457" s="29"/>
      <c r="AW457" s="29"/>
      <c r="AX457" s="29"/>
      <c r="AY457" s="29"/>
      <c r="AZ457" s="29"/>
      <c r="BA457" s="29"/>
      <c r="BB457" s="29"/>
      <c r="BC457" s="29"/>
      <c r="BD457" s="29"/>
      <c r="BE457" s="29"/>
      <c r="BF457" s="29"/>
      <c r="BG457" s="29"/>
      <c r="BH457" s="29"/>
      <c r="BI457" s="29"/>
      <c r="BJ457" s="29"/>
      <c r="BK457" s="29"/>
      <c r="BL457" s="29"/>
      <c r="BM457" s="29"/>
      <c r="BN457" s="29"/>
      <c r="BO457" s="29"/>
      <c r="BP457" s="29"/>
      <c r="BQ457" s="29"/>
      <c r="BR457" s="29"/>
      <c r="BS457" s="29"/>
      <c r="BT457" s="29"/>
      <c r="BU457" s="29"/>
      <c r="BV457" s="29"/>
      <c r="BW457" s="29"/>
      <c r="BX457" s="29"/>
      <c r="BY457" s="29"/>
      <c r="BZ457" s="29"/>
      <c r="CA457" s="29"/>
      <c r="CB457" s="29"/>
      <c r="CC457" s="29"/>
      <c r="CD457" s="29"/>
      <c r="CE457" s="29"/>
      <c r="CF457" s="29"/>
      <c r="CG457" s="29"/>
      <c r="CH457" s="29"/>
      <c r="CI457" s="29"/>
      <c r="CJ457" s="29"/>
      <c r="CK457" s="29"/>
      <c r="CL457" s="29"/>
      <c r="CM457" s="29"/>
      <c r="CN457" s="29"/>
      <c r="CO457" s="29"/>
      <c r="CP457" s="29"/>
      <c r="CQ457" s="29"/>
      <c r="CR457" s="29"/>
      <c r="CS457" s="29"/>
      <c r="CT457" s="29"/>
      <c r="CU457" s="29"/>
      <c r="CV457" s="29"/>
      <c r="CW457" s="29"/>
      <c r="CX457" s="29"/>
      <c r="CY457" s="29"/>
      <c r="CZ457" s="29"/>
      <c r="DA457" s="29"/>
      <c r="DB457" s="29"/>
    </row>
    <row r="458" spans="1:106" s="1" customFormat="1" ht="15" customHeight="1" x14ac:dyDescent="0.25">
      <c r="A458" s="36"/>
      <c r="B458" s="2"/>
      <c r="C458" s="8">
        <v>40631</v>
      </c>
      <c r="D458" s="1">
        <v>11.5</v>
      </c>
      <c r="E458" s="1">
        <v>8.1999999999999993</v>
      </c>
      <c r="F458" s="1">
        <v>16</v>
      </c>
      <c r="G458" s="1">
        <f t="shared" si="35"/>
        <v>1880.0000000000007</v>
      </c>
      <c r="H458" s="29">
        <f t="shared" si="29"/>
        <v>103</v>
      </c>
      <c r="I458" s="33" t="s">
        <v>41</v>
      </c>
      <c r="J458" s="1">
        <v>4.5999999999999996</v>
      </c>
      <c r="K458" s="1">
        <f t="shared" si="36"/>
        <v>312.79999999999978</v>
      </c>
      <c r="L458" s="1">
        <v>2.2000000000000002</v>
      </c>
      <c r="M458" s="1">
        <f t="shared" si="37"/>
        <v>325.8</v>
      </c>
      <c r="N458" s="1">
        <v>2.3999999999999995</v>
      </c>
      <c r="O458" s="1">
        <f t="shared" si="31"/>
        <v>50.299999999999976</v>
      </c>
      <c r="P458" s="6">
        <v>203</v>
      </c>
      <c r="Q458" s="29">
        <v>1.1499999999999999</v>
      </c>
      <c r="R458" s="14">
        <f t="shared" si="33"/>
        <v>2.5299999999999998</v>
      </c>
      <c r="S458" s="14">
        <f t="shared" si="34"/>
        <v>2.0699999999999998</v>
      </c>
      <c r="T458" s="15">
        <f t="shared" si="38"/>
        <v>56.70727799227798</v>
      </c>
      <c r="U458" s="35" t="s">
        <v>42</v>
      </c>
      <c r="V458" s="1">
        <v>1253.2</v>
      </c>
      <c r="X458" s="1">
        <f t="shared" si="39"/>
        <v>161963.70000000004</v>
      </c>
      <c r="Y458" s="29">
        <f t="shared" si="30"/>
        <v>14065</v>
      </c>
      <c r="AA458" s="1">
        <v>12.546573924140199</v>
      </c>
    </row>
    <row r="459" spans="1:106" s="1" customFormat="1" x14ac:dyDescent="0.25">
      <c r="A459" s="37"/>
      <c r="B459" s="2"/>
      <c r="C459" s="8">
        <v>40632</v>
      </c>
      <c r="D459" s="1">
        <v>11.7</v>
      </c>
      <c r="E459" s="1">
        <v>8.5</v>
      </c>
      <c r="F459" s="1">
        <v>13.6</v>
      </c>
      <c r="G459" s="1">
        <f t="shared" si="35"/>
        <v>1891.7000000000007</v>
      </c>
      <c r="H459" s="29">
        <f t="shared" si="29"/>
        <v>114.7</v>
      </c>
      <c r="I459" s="1">
        <v>4</v>
      </c>
      <c r="J459" s="1">
        <v>3</v>
      </c>
      <c r="K459" s="1">
        <f t="shared" si="36"/>
        <v>315.79999999999978</v>
      </c>
      <c r="L459" s="1">
        <v>1.2</v>
      </c>
      <c r="M459" s="1">
        <f t="shared" si="37"/>
        <v>327</v>
      </c>
      <c r="N459" s="1">
        <v>1.8</v>
      </c>
      <c r="O459" s="1">
        <f t="shared" si="31"/>
        <v>52.099999999999973</v>
      </c>
      <c r="P459" s="6">
        <v>204</v>
      </c>
      <c r="Q459" s="29">
        <v>1.1499999999999999</v>
      </c>
      <c r="R459" s="14">
        <f t="shared" si="33"/>
        <v>1.38</v>
      </c>
      <c r="S459" s="14">
        <f t="shared" si="34"/>
        <v>1.62</v>
      </c>
      <c r="T459" s="15">
        <f t="shared" si="38"/>
        <v>58.327277992277978</v>
      </c>
      <c r="U459" s="14">
        <f>MAX(T450:T470)</f>
        <v>68.372277992277986</v>
      </c>
      <c r="V459" s="1">
        <v>648.79999999999995</v>
      </c>
      <c r="X459" s="1">
        <f t="shared" si="39"/>
        <v>162612.50000000003</v>
      </c>
      <c r="Y459" s="29">
        <f t="shared" si="30"/>
        <v>14713.8</v>
      </c>
      <c r="AA459" s="1">
        <v>12.5967639741929</v>
      </c>
    </row>
    <row r="460" spans="1:106" s="1" customFormat="1" x14ac:dyDescent="0.25">
      <c r="A460" s="37"/>
      <c r="B460" s="2"/>
      <c r="C460" s="8">
        <v>40633</v>
      </c>
      <c r="D460" s="1">
        <v>14</v>
      </c>
      <c r="E460" s="1">
        <v>13.1</v>
      </c>
      <c r="F460" s="1">
        <v>16.3</v>
      </c>
      <c r="G460" s="1">
        <f t="shared" si="35"/>
        <v>1905.7000000000007</v>
      </c>
      <c r="H460" s="29">
        <f t="shared" si="29"/>
        <v>128.69999999999999</v>
      </c>
      <c r="I460" s="35" t="s">
        <v>43</v>
      </c>
      <c r="J460" s="1">
        <v>0.2</v>
      </c>
      <c r="K460" s="1">
        <f t="shared" si="36"/>
        <v>315.99999999999977</v>
      </c>
      <c r="L460" s="1">
        <v>1.4</v>
      </c>
      <c r="M460" s="1">
        <f t="shared" si="37"/>
        <v>328.4</v>
      </c>
      <c r="N460" s="1">
        <v>-1.2</v>
      </c>
      <c r="O460" s="1">
        <f t="shared" si="31"/>
        <v>50.89999999999997</v>
      </c>
      <c r="P460" s="6">
        <v>205</v>
      </c>
      <c r="Q460" s="29">
        <v>1.1499999999999999</v>
      </c>
      <c r="R460" s="14">
        <f t="shared" si="33"/>
        <v>1.6099999999999999</v>
      </c>
      <c r="S460" s="14">
        <f t="shared" si="34"/>
        <v>-1.41</v>
      </c>
      <c r="T460" s="15">
        <f t="shared" si="38"/>
        <v>56.917277992277981</v>
      </c>
      <c r="U460" s="35" t="s">
        <v>44</v>
      </c>
      <c r="V460" s="1">
        <v>496.1</v>
      </c>
      <c r="X460" s="1">
        <f t="shared" si="39"/>
        <v>163108.60000000003</v>
      </c>
      <c r="Y460" s="29">
        <f t="shared" si="30"/>
        <v>15209.9</v>
      </c>
      <c r="AA460" s="1">
        <v>12.646887386812599</v>
      </c>
    </row>
    <row r="461" spans="1:106" s="1" customFormat="1" x14ac:dyDescent="0.25">
      <c r="A461" s="37"/>
      <c r="B461" s="2"/>
      <c r="C461" s="8">
        <v>40634</v>
      </c>
      <c r="D461" s="1">
        <v>15.1</v>
      </c>
      <c r="E461" s="1">
        <v>5.7</v>
      </c>
      <c r="F461" s="1">
        <v>21.7</v>
      </c>
      <c r="G461" s="1">
        <f t="shared" si="35"/>
        <v>1920.8000000000006</v>
      </c>
      <c r="H461" s="29">
        <f t="shared" si="29"/>
        <v>143.79999999999998</v>
      </c>
      <c r="I461" s="1">
        <v>3</v>
      </c>
      <c r="J461" s="1">
        <v>0</v>
      </c>
      <c r="K461" s="1">
        <f t="shared" si="36"/>
        <v>315.99999999999977</v>
      </c>
      <c r="L461" s="1">
        <v>2.9</v>
      </c>
      <c r="M461" s="1">
        <f t="shared" si="37"/>
        <v>331.29999999999995</v>
      </c>
      <c r="N461" s="1">
        <v>-2.9</v>
      </c>
      <c r="O461" s="1">
        <f t="shared" si="31"/>
        <v>47.999999999999972</v>
      </c>
      <c r="P461" s="6">
        <v>206</v>
      </c>
      <c r="Q461" s="29">
        <v>1.1499999999999999</v>
      </c>
      <c r="R461" s="14">
        <f t="shared" si="33"/>
        <v>3.3349999999999995</v>
      </c>
      <c r="S461" s="14">
        <f t="shared" si="34"/>
        <v>-3.3349999999999995</v>
      </c>
      <c r="T461" s="15">
        <f t="shared" si="38"/>
        <v>53.58227799227798</v>
      </c>
      <c r="U461" s="16">
        <f>AVERAGE(T450:T470)</f>
        <v>46.729420849420833</v>
      </c>
      <c r="V461" s="1">
        <v>1883.3</v>
      </c>
      <c r="X461" s="1">
        <f t="shared" si="39"/>
        <v>164991.90000000002</v>
      </c>
      <c r="Y461" s="29">
        <f t="shared" si="30"/>
        <v>17093.2</v>
      </c>
      <c r="AA461" s="1">
        <v>12.6969378915059</v>
      </c>
    </row>
    <row r="462" spans="1:106" s="1" customFormat="1" x14ac:dyDescent="0.25">
      <c r="A462" s="37"/>
      <c r="B462" s="2"/>
      <c r="C462" s="8">
        <v>40635</v>
      </c>
      <c r="D462" s="1">
        <v>15.1</v>
      </c>
      <c r="E462" s="1">
        <v>11.6</v>
      </c>
      <c r="F462" s="1">
        <v>19.7</v>
      </c>
      <c r="G462" s="1">
        <f t="shared" si="35"/>
        <v>1935.9000000000005</v>
      </c>
      <c r="H462" s="29">
        <f t="shared" si="29"/>
        <v>158.89999999999998</v>
      </c>
      <c r="I462" s="35" t="s">
        <v>45</v>
      </c>
      <c r="J462" s="1">
        <v>0</v>
      </c>
      <c r="K462" s="1">
        <f t="shared" si="36"/>
        <v>315.99999999999977</v>
      </c>
      <c r="L462" s="1">
        <v>3.5</v>
      </c>
      <c r="M462" s="1">
        <f t="shared" si="37"/>
        <v>334.79999999999995</v>
      </c>
      <c r="N462" s="1">
        <v>-3.5</v>
      </c>
      <c r="O462" s="1">
        <f t="shared" si="31"/>
        <v>44.499999999999972</v>
      </c>
      <c r="P462" s="6">
        <v>207</v>
      </c>
      <c r="Q462" s="29">
        <v>1.1499999999999999</v>
      </c>
      <c r="R462" s="14">
        <f t="shared" si="33"/>
        <v>4.0249999999999995</v>
      </c>
      <c r="S462" s="14">
        <f t="shared" si="34"/>
        <v>-4.0249999999999995</v>
      </c>
      <c r="T462" s="15">
        <f t="shared" si="38"/>
        <v>49.557277992277982</v>
      </c>
      <c r="V462" s="1">
        <v>1622.1</v>
      </c>
      <c r="X462" s="1">
        <f t="shared" si="39"/>
        <v>166614.00000000003</v>
      </c>
      <c r="Y462" s="29">
        <f t="shared" si="30"/>
        <v>18715.3</v>
      </c>
      <c r="AA462" s="1">
        <v>12.7469091032715</v>
      </c>
    </row>
    <row r="463" spans="1:106" s="1" customFormat="1" x14ac:dyDescent="0.25">
      <c r="A463" s="37"/>
      <c r="B463" s="2"/>
      <c r="C463" s="8">
        <v>40636</v>
      </c>
      <c r="D463" s="1">
        <v>13.3</v>
      </c>
      <c r="E463" s="1">
        <v>12.7</v>
      </c>
      <c r="F463" s="1">
        <v>14.7</v>
      </c>
      <c r="G463" s="1">
        <f t="shared" si="35"/>
        <v>1949.2000000000005</v>
      </c>
      <c r="H463" s="29">
        <f t="shared" ref="H463:H526" si="40">H462+D463</f>
        <v>172.2</v>
      </c>
      <c r="I463" s="1">
        <v>283.60000000000002</v>
      </c>
      <c r="J463" s="1">
        <v>0</v>
      </c>
      <c r="K463" s="1">
        <f t="shared" si="36"/>
        <v>315.99999999999977</v>
      </c>
      <c r="L463" s="1">
        <v>1</v>
      </c>
      <c r="M463" s="1">
        <f t="shared" si="37"/>
        <v>335.79999999999995</v>
      </c>
      <c r="N463" s="1">
        <v>-1</v>
      </c>
      <c r="O463" s="1">
        <f t="shared" si="31"/>
        <v>43.499999999999972</v>
      </c>
      <c r="P463" s="6">
        <v>208</v>
      </c>
      <c r="Q463" s="29">
        <v>1.1499999999999999</v>
      </c>
      <c r="R463" s="14">
        <f t="shared" si="33"/>
        <v>1.1499999999999999</v>
      </c>
      <c r="S463" s="14">
        <f t="shared" si="34"/>
        <v>-1.1499999999999999</v>
      </c>
      <c r="T463" s="15">
        <f t="shared" si="38"/>
        <v>48.407277992277983</v>
      </c>
      <c r="U463" s="14">
        <f>(U461*100)/122.1</f>
        <v>38.271433947109607</v>
      </c>
      <c r="V463" s="1">
        <v>334</v>
      </c>
      <c r="X463" s="1">
        <f t="shared" si="39"/>
        <v>166948.00000000003</v>
      </c>
      <c r="Y463" s="29">
        <f t="shared" ref="Y463:Y526" si="41">Y462+V463</f>
        <v>19049.3</v>
      </c>
      <c r="AA463" s="1">
        <v>12.7967945091298</v>
      </c>
    </row>
    <row r="464" spans="1:106" s="1" customFormat="1" x14ac:dyDescent="0.25">
      <c r="A464" s="37"/>
      <c r="B464" s="2"/>
      <c r="C464" s="8">
        <v>40637</v>
      </c>
      <c r="D464" s="1">
        <v>12.7</v>
      </c>
      <c r="E464" s="1">
        <v>10.4</v>
      </c>
      <c r="F464" s="1">
        <v>17.7</v>
      </c>
      <c r="G464" s="1">
        <f t="shared" si="35"/>
        <v>1961.9000000000005</v>
      </c>
      <c r="H464" s="29">
        <f t="shared" si="40"/>
        <v>184.89999999999998</v>
      </c>
      <c r="J464" s="1">
        <v>0</v>
      </c>
      <c r="K464" s="1">
        <f t="shared" si="36"/>
        <v>315.99999999999977</v>
      </c>
      <c r="L464" s="1">
        <v>3</v>
      </c>
      <c r="M464" s="1">
        <f t="shared" si="37"/>
        <v>338.79999999999995</v>
      </c>
      <c r="N464" s="1">
        <v>-3</v>
      </c>
      <c r="O464" s="1">
        <f t="shared" si="31"/>
        <v>40.499999999999972</v>
      </c>
      <c r="P464" s="6">
        <v>209</v>
      </c>
      <c r="Q464" s="29">
        <v>1.1499999999999999</v>
      </c>
      <c r="R464" s="14">
        <f t="shared" si="33"/>
        <v>3.4499999999999997</v>
      </c>
      <c r="S464" s="14">
        <f t="shared" si="34"/>
        <v>-3.4499999999999997</v>
      </c>
      <c r="T464" s="15">
        <f t="shared" si="38"/>
        <v>44.95727799227798</v>
      </c>
      <c r="V464" s="1">
        <v>1501.8</v>
      </c>
      <c r="X464" s="1">
        <f t="shared" si="39"/>
        <v>168449.80000000002</v>
      </c>
      <c r="Y464" s="29">
        <f t="shared" si="41"/>
        <v>20551.099999999999</v>
      </c>
      <c r="AA464" s="1">
        <v>12.8465874547739</v>
      </c>
    </row>
    <row r="465" spans="1:27" s="1" customFormat="1" x14ac:dyDescent="0.25">
      <c r="A465" s="37"/>
      <c r="B465" s="2"/>
      <c r="C465" s="8">
        <v>40638</v>
      </c>
      <c r="D465" s="1">
        <v>13.2</v>
      </c>
      <c r="E465" s="1">
        <v>5</v>
      </c>
      <c r="F465" s="1">
        <v>20.5</v>
      </c>
      <c r="G465" s="1">
        <f t="shared" si="35"/>
        <v>1975.1000000000006</v>
      </c>
      <c r="H465" s="29">
        <f t="shared" si="40"/>
        <v>198.09999999999997</v>
      </c>
      <c r="J465" s="1">
        <v>0</v>
      </c>
      <c r="K465" s="1">
        <f t="shared" si="36"/>
        <v>315.99999999999977</v>
      </c>
      <c r="L465" s="1">
        <v>3.6</v>
      </c>
      <c r="M465" s="1">
        <f t="shared" si="37"/>
        <v>342.4</v>
      </c>
      <c r="N465" s="1">
        <v>-3.6</v>
      </c>
      <c r="O465" s="1">
        <f t="shared" si="31"/>
        <v>36.89999999999997</v>
      </c>
      <c r="P465" s="6">
        <v>210</v>
      </c>
      <c r="Q465" s="29">
        <v>1.1499999999999999</v>
      </c>
      <c r="R465" s="14">
        <f t="shared" si="33"/>
        <v>4.1399999999999997</v>
      </c>
      <c r="S465" s="14">
        <f t="shared" si="34"/>
        <v>-4.1399999999999997</v>
      </c>
      <c r="T465" s="15">
        <f t="shared" si="38"/>
        <v>40.81727799227798</v>
      </c>
      <c r="V465" s="1">
        <v>2163.9</v>
      </c>
      <c r="X465" s="1">
        <f t="shared" si="39"/>
        <v>170613.7</v>
      </c>
      <c r="Y465" s="29">
        <f t="shared" si="41"/>
        <v>22715</v>
      </c>
      <c r="AA465" s="1">
        <v>12.896281131349699</v>
      </c>
    </row>
    <row r="466" spans="1:27" s="1" customFormat="1" x14ac:dyDescent="0.25">
      <c r="A466" s="37"/>
      <c r="B466" s="2"/>
      <c r="C466" s="8">
        <v>40639</v>
      </c>
      <c r="D466" s="1">
        <v>15.3</v>
      </c>
      <c r="E466" s="1">
        <v>6.1</v>
      </c>
      <c r="F466" s="1">
        <v>25.6</v>
      </c>
      <c r="G466" s="1">
        <f t="shared" si="35"/>
        <v>1990.4000000000005</v>
      </c>
      <c r="H466" s="29">
        <f t="shared" si="40"/>
        <v>213.39999999999998</v>
      </c>
      <c r="J466" s="1">
        <v>0</v>
      </c>
      <c r="K466" s="1">
        <f t="shared" si="36"/>
        <v>315.99999999999977</v>
      </c>
      <c r="L466" s="1">
        <v>5</v>
      </c>
      <c r="M466" s="1">
        <f t="shared" si="37"/>
        <v>347.4</v>
      </c>
      <c r="N466" s="1">
        <v>-5</v>
      </c>
      <c r="O466" s="1">
        <f t="shared" si="31"/>
        <v>31.89999999999997</v>
      </c>
      <c r="P466" s="6">
        <v>211</v>
      </c>
      <c r="Q466" s="29">
        <v>1.1499999999999999</v>
      </c>
      <c r="R466" s="14">
        <f t="shared" si="33"/>
        <v>5.75</v>
      </c>
      <c r="S466" s="14">
        <f t="shared" si="34"/>
        <v>-5.75</v>
      </c>
      <c r="T466" s="15">
        <f t="shared" si="38"/>
        <v>35.06727799227798</v>
      </c>
      <c r="V466" s="1">
        <v>2268.1999999999998</v>
      </c>
      <c r="X466" s="1">
        <f t="shared" si="39"/>
        <v>172881.90000000002</v>
      </c>
      <c r="Y466" s="29">
        <f t="shared" si="41"/>
        <v>24983.200000000001</v>
      </c>
      <c r="AA466" s="1">
        <v>12.9458685623751</v>
      </c>
    </row>
    <row r="467" spans="1:27" s="1" customFormat="1" x14ac:dyDescent="0.25">
      <c r="A467" s="37"/>
      <c r="B467" s="2"/>
      <c r="C467" s="8">
        <v>40640</v>
      </c>
      <c r="D467" s="1">
        <v>18</v>
      </c>
      <c r="E467" s="1">
        <v>9.1999999999999993</v>
      </c>
      <c r="F467" s="1">
        <v>25.5</v>
      </c>
      <c r="G467" s="1">
        <f t="shared" si="35"/>
        <v>2008.4000000000005</v>
      </c>
      <c r="H467" s="29">
        <f t="shared" si="40"/>
        <v>231.39999999999998</v>
      </c>
      <c r="J467" s="1">
        <v>0</v>
      </c>
      <c r="K467" s="1">
        <f t="shared" si="36"/>
        <v>315.99999999999977</v>
      </c>
      <c r="L467" s="1">
        <v>4.9000000000000004</v>
      </c>
      <c r="M467" s="1">
        <f t="shared" si="37"/>
        <v>352.29999999999995</v>
      </c>
      <c r="N467" s="1">
        <v>-4.9000000000000004</v>
      </c>
      <c r="O467" s="1">
        <f t="shared" si="31"/>
        <v>26.999999999999972</v>
      </c>
      <c r="P467" s="6">
        <v>212</v>
      </c>
      <c r="Q467" s="29">
        <v>1.1499999999999999</v>
      </c>
      <c r="R467" s="14">
        <f t="shared" si="33"/>
        <v>5.6349999999999998</v>
      </c>
      <c r="S467" s="14">
        <f t="shared" si="34"/>
        <v>-5.6349999999999998</v>
      </c>
      <c r="T467" s="15">
        <f t="shared" si="38"/>
        <v>29.432277992277982</v>
      </c>
      <c r="V467" s="1">
        <v>2452.6999999999998</v>
      </c>
      <c r="X467" s="1">
        <f t="shared" si="39"/>
        <v>175334.60000000003</v>
      </c>
      <c r="Y467" s="29">
        <f t="shared" si="41"/>
        <v>27435.9</v>
      </c>
      <c r="AA467" s="1">
        <v>12.9953425908089</v>
      </c>
    </row>
    <row r="468" spans="1:27" s="1" customFormat="1" x14ac:dyDescent="0.25">
      <c r="A468" s="37"/>
      <c r="B468" s="2"/>
      <c r="C468" s="8">
        <v>40641</v>
      </c>
      <c r="D468" s="1">
        <v>18.5</v>
      </c>
      <c r="E468" s="1">
        <v>9.8000000000000007</v>
      </c>
      <c r="F468" s="1">
        <v>28.1</v>
      </c>
      <c r="G468" s="1">
        <f t="shared" si="35"/>
        <v>2026.9000000000005</v>
      </c>
      <c r="H468" s="29">
        <f t="shared" si="40"/>
        <v>249.89999999999998</v>
      </c>
      <c r="J468" s="1">
        <v>0</v>
      </c>
      <c r="K468" s="1">
        <f t="shared" si="36"/>
        <v>315.99999999999977</v>
      </c>
      <c r="L468" s="1">
        <v>5.2</v>
      </c>
      <c r="M468" s="1">
        <f t="shared" si="37"/>
        <v>357.49999999999994</v>
      </c>
      <c r="N468" s="1">
        <v>-5.2</v>
      </c>
      <c r="O468" s="1">
        <f t="shared" si="31"/>
        <v>21.799999999999972</v>
      </c>
      <c r="P468" s="6">
        <v>213</v>
      </c>
      <c r="Q468" s="29">
        <v>1.1499999999999999</v>
      </c>
      <c r="R468" s="14">
        <f t="shared" si="33"/>
        <v>5.9799999999999995</v>
      </c>
      <c r="S468" s="14">
        <f t="shared" si="34"/>
        <v>-5.9799999999999995</v>
      </c>
      <c r="T468" s="15">
        <f t="shared" si="38"/>
        <v>23.452277992277981</v>
      </c>
      <c r="V468" s="1">
        <v>2455.4</v>
      </c>
      <c r="X468" s="1">
        <f t="shared" si="39"/>
        <v>177790.00000000003</v>
      </c>
      <c r="Y468" s="29">
        <f t="shared" si="41"/>
        <v>29891.300000000003</v>
      </c>
      <c r="AA468" s="1">
        <v>13.044695866283099</v>
      </c>
    </row>
    <row r="469" spans="1:27" s="29" customFormat="1" x14ac:dyDescent="0.25">
      <c r="A469" s="36"/>
      <c r="B469" s="62"/>
      <c r="C469" s="28">
        <v>40642</v>
      </c>
      <c r="D469" s="29">
        <v>18.399999999999999</v>
      </c>
      <c r="E469" s="29">
        <v>8.6</v>
      </c>
      <c r="F469" s="29">
        <v>27.7</v>
      </c>
      <c r="G469" s="29">
        <f t="shared" si="35"/>
        <v>2045.3000000000006</v>
      </c>
      <c r="H469" s="29">
        <f t="shared" si="40"/>
        <v>268.29999999999995</v>
      </c>
      <c r="J469" s="29">
        <v>0</v>
      </c>
      <c r="K469" s="29">
        <f t="shared" si="36"/>
        <v>315.99999999999977</v>
      </c>
      <c r="L469" s="29">
        <v>5</v>
      </c>
      <c r="M469" s="29">
        <f t="shared" si="37"/>
        <v>362.49999999999994</v>
      </c>
      <c r="N469" s="29">
        <v>-5</v>
      </c>
      <c r="O469" s="29">
        <f t="shared" si="31"/>
        <v>16.799999999999972</v>
      </c>
      <c r="P469" s="30">
        <v>214</v>
      </c>
      <c r="Q469" s="29">
        <v>1.1499999999999999</v>
      </c>
      <c r="R469" s="31">
        <f t="shared" si="33"/>
        <v>5.75</v>
      </c>
      <c r="S469" s="31">
        <f t="shared" si="34"/>
        <v>-5.75</v>
      </c>
      <c r="T469" s="15">
        <f t="shared" si="38"/>
        <v>17.702277992277981</v>
      </c>
      <c r="V469" s="29">
        <v>2335.9</v>
      </c>
      <c r="X469" s="29">
        <f t="shared" si="39"/>
        <v>180125.90000000002</v>
      </c>
      <c r="Y469" s="29">
        <f t="shared" si="41"/>
        <v>32227.200000000004</v>
      </c>
      <c r="AA469" s="29">
        <v>13.0939208325112</v>
      </c>
    </row>
    <row r="470" spans="1:27" s="45" customFormat="1" ht="15" customHeight="1" thickBot="1" x14ac:dyDescent="0.3">
      <c r="A470" s="52" t="s">
        <v>51</v>
      </c>
      <c r="B470" s="43"/>
      <c r="C470" s="44">
        <v>40643</v>
      </c>
      <c r="D470" s="45">
        <v>15.3</v>
      </c>
      <c r="E470" s="45">
        <v>13.7</v>
      </c>
      <c r="F470" s="45">
        <v>17.5</v>
      </c>
      <c r="G470" s="45">
        <f t="shared" si="35"/>
        <v>2060.6000000000008</v>
      </c>
      <c r="H470" s="45">
        <f t="shared" si="40"/>
        <v>283.59999999999997</v>
      </c>
      <c r="J470" s="45">
        <v>0</v>
      </c>
      <c r="K470" s="45">
        <f t="shared" si="36"/>
        <v>315.99999999999977</v>
      </c>
      <c r="L470" s="45">
        <v>2.2000000000000002</v>
      </c>
      <c r="M470" s="45">
        <f t="shared" si="37"/>
        <v>364.69999999999993</v>
      </c>
      <c r="N470" s="45">
        <v>-2.2000000000000002</v>
      </c>
      <c r="O470" s="45">
        <f t="shared" si="31"/>
        <v>14.599999999999973</v>
      </c>
      <c r="P470" s="46">
        <v>215</v>
      </c>
      <c r="Q470" s="45">
        <v>1.1499999999999999</v>
      </c>
      <c r="R470" s="48">
        <f t="shared" si="33"/>
        <v>2.5299999999999998</v>
      </c>
      <c r="S470" s="48">
        <f t="shared" si="34"/>
        <v>-2.5299999999999998</v>
      </c>
      <c r="T470" s="50">
        <f t="shared" si="38"/>
        <v>15.172277992277982</v>
      </c>
      <c r="V470" s="45">
        <v>817.1</v>
      </c>
      <c r="X470" s="45">
        <f t="shared" si="39"/>
        <v>180943.00000000003</v>
      </c>
      <c r="Y470" s="45">
        <f t="shared" si="41"/>
        <v>33044.300000000003</v>
      </c>
      <c r="AA470" s="45">
        <v>13.143009714889599</v>
      </c>
    </row>
    <row r="471" spans="1:27" s="1" customFormat="1" ht="15.75" thickBot="1" x14ac:dyDescent="0.3">
      <c r="A471" s="78">
        <v>300</v>
      </c>
      <c r="B471" s="3"/>
      <c r="C471" s="8">
        <v>40644</v>
      </c>
      <c r="D471" s="1">
        <v>15.7</v>
      </c>
      <c r="E471" s="1">
        <v>13.3</v>
      </c>
      <c r="F471" s="1">
        <v>19.899999999999999</v>
      </c>
      <c r="G471" s="1">
        <f t="shared" si="35"/>
        <v>2076.3000000000006</v>
      </c>
      <c r="H471" s="29">
        <f>D471</f>
        <v>15.7</v>
      </c>
      <c r="I471" s="61" t="s">
        <v>30</v>
      </c>
      <c r="J471" s="1">
        <v>0.3</v>
      </c>
      <c r="K471" s="1">
        <f t="shared" si="36"/>
        <v>316.29999999999978</v>
      </c>
      <c r="L471" s="1">
        <v>3.4</v>
      </c>
      <c r="M471" s="1">
        <f t="shared" si="37"/>
        <v>368.09999999999991</v>
      </c>
      <c r="N471" s="1">
        <v>-3.1</v>
      </c>
      <c r="O471" s="1">
        <f t="shared" si="31"/>
        <v>11.499999999999973</v>
      </c>
      <c r="P471" s="6">
        <v>216</v>
      </c>
      <c r="Q471" s="29">
        <v>1.1499999999999999</v>
      </c>
      <c r="R471" s="14">
        <f t="shared" si="33"/>
        <v>3.9099999999999997</v>
      </c>
      <c r="S471" s="14">
        <f t="shared" si="34"/>
        <v>-3.61</v>
      </c>
      <c r="T471" s="15">
        <f t="shared" si="38"/>
        <v>11.562277992277982</v>
      </c>
      <c r="U471" s="61" t="s">
        <v>31</v>
      </c>
      <c r="V471" s="1">
        <v>1493.6</v>
      </c>
      <c r="X471" s="1">
        <f t="shared" si="39"/>
        <v>182436.60000000003</v>
      </c>
      <c r="Y471" s="29">
        <f>V471</f>
        <v>1493.6</v>
      </c>
      <c r="Z471" s="61" t="s">
        <v>32</v>
      </c>
      <c r="AA471" s="1">
        <v>13.1919545083099</v>
      </c>
    </row>
    <row r="472" spans="1:27" s="1" customFormat="1" x14ac:dyDescent="0.25">
      <c r="A472" s="71"/>
      <c r="B472" s="3"/>
      <c r="C472" s="8">
        <v>40645</v>
      </c>
      <c r="D472" s="1">
        <v>13.2</v>
      </c>
      <c r="E472" s="1">
        <v>12.4</v>
      </c>
      <c r="F472" s="1">
        <v>15.9</v>
      </c>
      <c r="G472" s="1">
        <f t="shared" si="35"/>
        <v>2089.5000000000005</v>
      </c>
      <c r="H472" s="29">
        <f t="shared" si="40"/>
        <v>28.9</v>
      </c>
      <c r="I472" s="1">
        <f>MIN(E471:E491)</f>
        <v>4.3</v>
      </c>
      <c r="J472" s="1">
        <v>0.6</v>
      </c>
      <c r="K472" s="1">
        <f t="shared" si="36"/>
        <v>316.89999999999981</v>
      </c>
      <c r="L472" s="1">
        <v>2.2000000000000002</v>
      </c>
      <c r="M472" s="1">
        <f t="shared" si="37"/>
        <v>370.2999999999999</v>
      </c>
      <c r="N472" s="1">
        <v>-1.6</v>
      </c>
      <c r="O472" s="1">
        <f t="shared" si="31"/>
        <v>9.8999999999999737</v>
      </c>
      <c r="P472" s="6">
        <v>217</v>
      </c>
      <c r="Q472" s="29">
        <v>1.1499999999999999</v>
      </c>
      <c r="R472" s="14">
        <f t="shared" si="33"/>
        <v>2.5299999999999998</v>
      </c>
      <c r="S472" s="14">
        <f t="shared" si="34"/>
        <v>-1.9299999999999997</v>
      </c>
      <c r="T472" s="15">
        <f t="shared" si="38"/>
        <v>9.6322779922779826</v>
      </c>
      <c r="U472" s="1">
        <v>19</v>
      </c>
      <c r="V472" s="1">
        <v>990.5</v>
      </c>
      <c r="X472" s="1">
        <f t="shared" si="39"/>
        <v>183427.10000000003</v>
      </c>
      <c r="Y472" s="29">
        <f t="shared" si="41"/>
        <v>2484.1</v>
      </c>
      <c r="Z472" s="1">
        <v>40908</v>
      </c>
      <c r="AA472" s="1">
        <v>13.2407469652017</v>
      </c>
    </row>
    <row r="473" spans="1:27" s="1" customFormat="1" x14ac:dyDescent="0.25">
      <c r="A473" s="71"/>
      <c r="B473" s="3"/>
      <c r="C473" s="8">
        <v>40646</v>
      </c>
      <c r="D473" s="1">
        <v>11</v>
      </c>
      <c r="E473" s="1">
        <v>4.3</v>
      </c>
      <c r="F473" s="1">
        <v>18.2</v>
      </c>
      <c r="G473" s="1">
        <f t="shared" si="35"/>
        <v>2100.5000000000005</v>
      </c>
      <c r="H473" s="29">
        <f t="shared" si="40"/>
        <v>39.9</v>
      </c>
      <c r="I473" s="38" t="s">
        <v>33</v>
      </c>
      <c r="J473" s="1">
        <v>0</v>
      </c>
      <c r="K473" s="1">
        <f t="shared" si="36"/>
        <v>316.89999999999981</v>
      </c>
      <c r="L473" s="1">
        <v>3</v>
      </c>
      <c r="M473" s="1">
        <f t="shared" si="37"/>
        <v>373.2999999999999</v>
      </c>
      <c r="N473" s="1">
        <v>-3</v>
      </c>
      <c r="O473" s="1">
        <f t="shared" si="31"/>
        <v>6.8999999999999737</v>
      </c>
      <c r="P473" s="6">
        <v>218</v>
      </c>
      <c r="Q473" s="29">
        <v>1.1499999999999999</v>
      </c>
      <c r="R473" s="14">
        <f t="shared" si="33"/>
        <v>3.4499999999999997</v>
      </c>
      <c r="S473" s="14">
        <f t="shared" si="34"/>
        <v>-3.4499999999999997</v>
      </c>
      <c r="T473" s="15">
        <f t="shared" si="38"/>
        <v>6.1822779922779834</v>
      </c>
      <c r="U473" s="38" t="s">
        <v>34</v>
      </c>
      <c r="V473" s="1">
        <v>1960.7</v>
      </c>
      <c r="X473" s="1">
        <f t="shared" si="39"/>
        <v>185387.80000000005</v>
      </c>
      <c r="Y473" s="29">
        <f t="shared" si="41"/>
        <v>4444.8</v>
      </c>
      <c r="Z473" s="38" t="s">
        <v>35</v>
      </c>
      <c r="AA473" s="1">
        <v>13.289378583827499</v>
      </c>
    </row>
    <row r="474" spans="1:27" s="1" customFormat="1" x14ac:dyDescent="0.25">
      <c r="A474" s="71"/>
      <c r="B474" s="3"/>
      <c r="C474" s="8">
        <v>40647</v>
      </c>
      <c r="D474" s="1">
        <v>12.9</v>
      </c>
      <c r="E474" s="1">
        <v>5.7</v>
      </c>
      <c r="F474" s="1">
        <v>21</v>
      </c>
      <c r="G474" s="1">
        <f t="shared" si="35"/>
        <v>2113.4000000000005</v>
      </c>
      <c r="H474" s="29">
        <f t="shared" si="40"/>
        <v>52.8</v>
      </c>
      <c r="I474" s="1">
        <f>MAX(F471:F491)</f>
        <v>23</v>
      </c>
      <c r="J474" s="1">
        <v>0</v>
      </c>
      <c r="K474" s="1">
        <f t="shared" si="36"/>
        <v>316.89999999999981</v>
      </c>
      <c r="L474" s="1">
        <v>4.0999999999999996</v>
      </c>
      <c r="M474" s="1">
        <f t="shared" si="37"/>
        <v>377.39999999999992</v>
      </c>
      <c r="N474" s="1">
        <v>-4.0999999999999996</v>
      </c>
      <c r="O474" s="1">
        <f t="shared" si="31"/>
        <v>2.7999999999999741</v>
      </c>
      <c r="P474" s="6">
        <v>219</v>
      </c>
      <c r="Q474" s="29">
        <v>1.1499999999999999</v>
      </c>
      <c r="R474" s="14">
        <f t="shared" si="33"/>
        <v>4.714999999999999</v>
      </c>
      <c r="S474" s="14">
        <f t="shared" si="34"/>
        <v>-4.714999999999999</v>
      </c>
      <c r="T474" s="15">
        <f t="shared" si="38"/>
        <v>1.4672779922779844</v>
      </c>
      <c r="U474" s="1">
        <v>13</v>
      </c>
      <c r="V474" s="1">
        <v>2031.7</v>
      </c>
      <c r="X474" s="1">
        <f t="shared" si="39"/>
        <v>187419.50000000006</v>
      </c>
      <c r="Y474" s="29">
        <f t="shared" si="41"/>
        <v>6476.5</v>
      </c>
      <c r="Z474" s="16">
        <f>(Z472/100)/I484</f>
        <v>1.2990790727214989</v>
      </c>
      <c r="AA474" s="1">
        <v>13.3378405968548</v>
      </c>
    </row>
    <row r="475" spans="1:27" s="1" customFormat="1" x14ac:dyDescent="0.25">
      <c r="A475" s="71"/>
      <c r="B475" s="3"/>
      <c r="C475" s="8">
        <v>40648</v>
      </c>
      <c r="D475" s="1">
        <v>12.6</v>
      </c>
      <c r="E475" s="1">
        <v>7.6</v>
      </c>
      <c r="F475" s="1">
        <v>18.100000000000001</v>
      </c>
      <c r="G475" s="1">
        <f t="shared" si="35"/>
        <v>2126.0000000000005</v>
      </c>
      <c r="H475" s="29">
        <f t="shared" si="40"/>
        <v>65.399999999999991</v>
      </c>
      <c r="I475" s="38" t="s">
        <v>36</v>
      </c>
      <c r="J475" s="1">
        <v>0</v>
      </c>
      <c r="K475" s="1">
        <f t="shared" si="36"/>
        <v>316.89999999999981</v>
      </c>
      <c r="L475" s="1">
        <v>3.9</v>
      </c>
      <c r="M475" s="1">
        <f t="shared" si="37"/>
        <v>381.2999999999999</v>
      </c>
      <c r="N475" s="1">
        <v>-3.9</v>
      </c>
      <c r="O475" s="1">
        <v>0</v>
      </c>
      <c r="P475" s="6">
        <v>220</v>
      </c>
      <c r="Q475" s="29">
        <v>1.1499999999999999</v>
      </c>
      <c r="R475" s="14">
        <f t="shared" si="33"/>
        <v>4.4849999999999994</v>
      </c>
      <c r="S475" s="14">
        <f t="shared" si="34"/>
        <v>-4.4849999999999994</v>
      </c>
      <c r="T475" s="15">
        <v>0</v>
      </c>
      <c r="U475" s="38" t="s">
        <v>37</v>
      </c>
      <c r="V475" s="1">
        <v>2244.6999999999998</v>
      </c>
      <c r="X475" s="1">
        <f t="shared" si="39"/>
        <v>189664.20000000007</v>
      </c>
      <c r="Y475" s="29">
        <f t="shared" si="41"/>
        <v>8721.2000000000007</v>
      </c>
      <c r="Z475" s="38" t="s">
        <v>38</v>
      </c>
      <c r="AA475" s="1">
        <v>13.386123960230501</v>
      </c>
    </row>
    <row r="476" spans="1:27" s="1" customFormat="1" x14ac:dyDescent="0.25">
      <c r="A476" s="71"/>
      <c r="B476" s="3"/>
      <c r="C476" s="8">
        <v>40649</v>
      </c>
      <c r="D476" s="1">
        <v>12.6</v>
      </c>
      <c r="E476" s="1">
        <v>4.5</v>
      </c>
      <c r="F476" s="1">
        <v>20.2</v>
      </c>
      <c r="G476" s="1">
        <f t="shared" si="35"/>
        <v>2138.6000000000004</v>
      </c>
      <c r="H476" s="29">
        <f t="shared" si="40"/>
        <v>77.999999999999986</v>
      </c>
      <c r="I476" s="14">
        <f>AVERAGE(D471:D491)</f>
        <v>14.995238095238093</v>
      </c>
      <c r="J476" s="1">
        <v>0</v>
      </c>
      <c r="K476" s="1">
        <f t="shared" si="36"/>
        <v>316.89999999999981</v>
      </c>
      <c r="L476" s="1">
        <v>4.2</v>
      </c>
      <c r="M476" s="1">
        <f t="shared" si="37"/>
        <v>385.49999999999989</v>
      </c>
      <c r="N476" s="1">
        <v>-4.2</v>
      </c>
      <c r="O476" s="1">
        <v>0</v>
      </c>
      <c r="P476" s="6">
        <v>221</v>
      </c>
      <c r="Q476" s="29">
        <v>1.1499999999999999</v>
      </c>
      <c r="R476" s="14">
        <f t="shared" si="33"/>
        <v>4.83</v>
      </c>
      <c r="S476" s="14">
        <f t="shared" si="34"/>
        <v>-4.83</v>
      </c>
      <c r="T476" s="15">
        <v>0</v>
      </c>
      <c r="U476" s="1">
        <v>8</v>
      </c>
      <c r="V476" s="1">
        <v>2555.6999999999998</v>
      </c>
      <c r="X476" s="1">
        <f t="shared" si="39"/>
        <v>192219.90000000008</v>
      </c>
      <c r="Y476" s="29">
        <f t="shared" si="41"/>
        <v>11276.900000000001</v>
      </c>
      <c r="Z476" s="1">
        <v>2</v>
      </c>
      <c r="AA476" s="1">
        <v>13.4342193423876</v>
      </c>
    </row>
    <row r="477" spans="1:27" s="1" customFormat="1" x14ac:dyDescent="0.25">
      <c r="A477" s="71"/>
      <c r="B477" s="3"/>
      <c r="C477" s="8">
        <v>40650</v>
      </c>
      <c r="D477" s="1">
        <v>14.1</v>
      </c>
      <c r="E477" s="1">
        <v>6</v>
      </c>
      <c r="F477" s="1">
        <v>22.4</v>
      </c>
      <c r="G477" s="1">
        <f t="shared" si="35"/>
        <v>2152.7000000000003</v>
      </c>
      <c r="H477" s="29">
        <f t="shared" si="40"/>
        <v>92.09999999999998</v>
      </c>
      <c r="I477" s="38" t="s">
        <v>39</v>
      </c>
      <c r="J477" s="1">
        <v>0</v>
      </c>
      <c r="K477" s="1">
        <f t="shared" si="36"/>
        <v>316.89999999999981</v>
      </c>
      <c r="L477" s="1">
        <v>4.4000000000000004</v>
      </c>
      <c r="M477" s="1">
        <f t="shared" si="37"/>
        <v>389.89999999999986</v>
      </c>
      <c r="N477" s="1">
        <v>-4.4000000000000004</v>
      </c>
      <c r="O477" s="1">
        <v>0</v>
      </c>
      <c r="P477" s="6">
        <v>222</v>
      </c>
      <c r="Q477" s="29">
        <v>1.1499999999999999</v>
      </c>
      <c r="R477" s="14">
        <f t="shared" si="33"/>
        <v>5.0599999999999996</v>
      </c>
      <c r="S477" s="14">
        <f t="shared" si="34"/>
        <v>-5.0599999999999996</v>
      </c>
      <c r="T477" s="15">
        <v>0</v>
      </c>
      <c r="U477" s="38" t="s">
        <v>40</v>
      </c>
      <c r="V477" s="1">
        <v>2398.4</v>
      </c>
      <c r="X477" s="1">
        <f t="shared" si="39"/>
        <v>194618.30000000008</v>
      </c>
      <c r="Y477" s="29">
        <f t="shared" si="41"/>
        <v>13675.300000000001</v>
      </c>
      <c r="AA477" s="1">
        <v>13.4821171138138</v>
      </c>
    </row>
    <row r="478" spans="1:27" s="1" customFormat="1" x14ac:dyDescent="0.25">
      <c r="A478" s="71"/>
      <c r="B478" s="3"/>
      <c r="C478" s="8">
        <v>40651</v>
      </c>
      <c r="D478" s="1">
        <v>15.7</v>
      </c>
      <c r="E478" s="1">
        <v>10.4</v>
      </c>
      <c r="F478" s="1">
        <v>22.3</v>
      </c>
      <c r="G478" s="1">
        <f t="shared" si="35"/>
        <v>2168.4</v>
      </c>
      <c r="H478" s="29">
        <f t="shared" si="40"/>
        <v>107.79999999999998</v>
      </c>
      <c r="I478" s="1">
        <v>0</v>
      </c>
      <c r="J478" s="1">
        <v>0</v>
      </c>
      <c r="K478" s="1">
        <f t="shared" si="36"/>
        <v>316.89999999999981</v>
      </c>
      <c r="L478" s="1">
        <v>5.0999999999999996</v>
      </c>
      <c r="M478" s="1">
        <f t="shared" si="37"/>
        <v>394.99999999999989</v>
      </c>
      <c r="N478" s="1">
        <v>-5.0999999999999996</v>
      </c>
      <c r="O478" s="1">
        <v>0</v>
      </c>
      <c r="P478" s="6">
        <v>223</v>
      </c>
      <c r="Q478" s="29">
        <v>1.1499999999999999</v>
      </c>
      <c r="R478" s="14">
        <f t="shared" si="33"/>
        <v>5.8649999999999993</v>
      </c>
      <c r="S478" s="14">
        <f t="shared" si="34"/>
        <v>-5.8649999999999993</v>
      </c>
      <c r="T478" s="15">
        <v>0</v>
      </c>
      <c r="U478" s="31">
        <v>0</v>
      </c>
      <c r="V478" s="1">
        <v>2630.6</v>
      </c>
      <c r="X478" s="1">
        <f t="shared" si="39"/>
        <v>197248.90000000008</v>
      </c>
      <c r="Y478" s="29">
        <f t="shared" si="41"/>
        <v>16305.900000000001</v>
      </c>
      <c r="AA478" s="1">
        <v>13.529807337016999</v>
      </c>
    </row>
    <row r="479" spans="1:27" s="29" customFormat="1" x14ac:dyDescent="0.25">
      <c r="A479" s="71"/>
      <c r="B479" s="27"/>
      <c r="C479" s="28">
        <v>40652</v>
      </c>
      <c r="D479" s="29">
        <v>14.2</v>
      </c>
      <c r="E479" s="29">
        <v>8.9</v>
      </c>
      <c r="F479" s="29">
        <v>19.899999999999999</v>
      </c>
      <c r="G479" s="29">
        <f t="shared" si="35"/>
        <v>2182.6</v>
      </c>
      <c r="H479" s="29">
        <f t="shared" si="40"/>
        <v>121.99999999999999</v>
      </c>
      <c r="I479" s="38" t="s">
        <v>41</v>
      </c>
      <c r="J479" s="29">
        <v>0</v>
      </c>
      <c r="K479" s="29">
        <f t="shared" si="36"/>
        <v>316.89999999999981</v>
      </c>
      <c r="L479" s="29">
        <v>4.5999999999999996</v>
      </c>
      <c r="M479" s="29">
        <f t="shared" si="37"/>
        <v>399.59999999999991</v>
      </c>
      <c r="N479" s="29">
        <v>-4.5999999999999996</v>
      </c>
      <c r="O479" s="29">
        <v>0</v>
      </c>
      <c r="P479" s="30">
        <v>224</v>
      </c>
      <c r="Q479" s="29">
        <v>1.1499999999999999</v>
      </c>
      <c r="R479" s="31">
        <f t="shared" si="33"/>
        <v>5.2899999999999991</v>
      </c>
      <c r="S479" s="14">
        <f t="shared" si="34"/>
        <v>-5.2899999999999991</v>
      </c>
      <c r="T479" s="15">
        <v>0</v>
      </c>
      <c r="U479" s="38" t="s">
        <v>42</v>
      </c>
      <c r="V479" s="29">
        <v>2301.1999999999998</v>
      </c>
      <c r="X479" s="29">
        <f t="shared" si="39"/>
        <v>199550.10000000009</v>
      </c>
      <c r="Y479" s="29">
        <f t="shared" si="41"/>
        <v>18607.100000000002</v>
      </c>
      <c r="AA479" s="29">
        <v>13.577279756923399</v>
      </c>
    </row>
    <row r="480" spans="1:27" s="1" customFormat="1" ht="15" customHeight="1" x14ac:dyDescent="0.25">
      <c r="A480" s="71"/>
      <c r="B480" s="3"/>
      <c r="C480" s="8">
        <v>40653</v>
      </c>
      <c r="D480" s="1">
        <v>15.5</v>
      </c>
      <c r="E480" s="1">
        <v>11.4</v>
      </c>
      <c r="F480" s="1">
        <v>20.6</v>
      </c>
      <c r="G480" s="1">
        <f t="shared" si="35"/>
        <v>2198.1</v>
      </c>
      <c r="H480" s="29">
        <f t="shared" si="40"/>
        <v>137.5</v>
      </c>
      <c r="I480" s="29">
        <v>0</v>
      </c>
      <c r="J480" s="1">
        <v>0.2</v>
      </c>
      <c r="K480" s="1">
        <f t="shared" si="36"/>
        <v>317.0999999999998</v>
      </c>
      <c r="L480" s="1">
        <v>4.7</v>
      </c>
      <c r="M480" s="1">
        <f t="shared" si="37"/>
        <v>404.2999999999999</v>
      </c>
      <c r="N480" s="1">
        <v>-4.5</v>
      </c>
      <c r="O480" s="1">
        <v>0</v>
      </c>
      <c r="P480" s="6">
        <v>225</v>
      </c>
      <c r="Q480" s="29">
        <v>1.1499999999999999</v>
      </c>
      <c r="R480" s="14">
        <f t="shared" si="33"/>
        <v>5.4049999999999994</v>
      </c>
      <c r="S480" s="14">
        <f t="shared" si="34"/>
        <v>-5.2049999999999992</v>
      </c>
      <c r="T480" s="15">
        <v>0</v>
      </c>
      <c r="U480" s="14">
        <f>MAX(T470:T490)</f>
        <v>15.172277992277982</v>
      </c>
      <c r="V480" s="1">
        <v>2018.1</v>
      </c>
      <c r="X480" s="1">
        <f t="shared" si="39"/>
        <v>201568.2000000001</v>
      </c>
      <c r="Y480" s="29">
        <f t="shared" si="41"/>
        <v>20625.2</v>
      </c>
      <c r="AA480" s="1">
        <v>13.624523791745199</v>
      </c>
    </row>
    <row r="481" spans="1:27" s="1" customFormat="1" x14ac:dyDescent="0.25">
      <c r="A481" s="71"/>
      <c r="B481" s="3"/>
      <c r="C481" s="8">
        <v>40654</v>
      </c>
      <c r="D481" s="1">
        <v>16.5</v>
      </c>
      <c r="E481" s="1">
        <v>11.9</v>
      </c>
      <c r="F481" s="1">
        <v>22.2</v>
      </c>
      <c r="G481" s="1">
        <f t="shared" si="35"/>
        <v>2214.6</v>
      </c>
      <c r="H481" s="29">
        <f t="shared" si="40"/>
        <v>154</v>
      </c>
      <c r="I481" s="38" t="s">
        <v>43</v>
      </c>
      <c r="J481" s="1">
        <v>0</v>
      </c>
      <c r="K481" s="1">
        <f t="shared" si="36"/>
        <v>317.0999999999998</v>
      </c>
      <c r="L481" s="1">
        <v>5.5</v>
      </c>
      <c r="M481" s="1">
        <f t="shared" si="37"/>
        <v>409.7999999999999</v>
      </c>
      <c r="N481" s="1">
        <v>-5.5</v>
      </c>
      <c r="O481" s="1">
        <v>0</v>
      </c>
      <c r="P481" s="6">
        <v>226</v>
      </c>
      <c r="Q481" s="29">
        <v>1.1499999999999999</v>
      </c>
      <c r="R481" s="14">
        <f t="shared" si="33"/>
        <v>6.3249999999999993</v>
      </c>
      <c r="S481" s="14">
        <f t="shared" si="34"/>
        <v>-6.3249999999999993</v>
      </c>
      <c r="T481" s="15">
        <v>0</v>
      </c>
      <c r="U481" s="38" t="s">
        <v>44</v>
      </c>
      <c r="V481" s="1">
        <v>2298.6999999999998</v>
      </c>
      <c r="X481" s="1">
        <f t="shared" si="39"/>
        <v>203866.90000000011</v>
      </c>
      <c r="Y481" s="29">
        <f t="shared" si="41"/>
        <v>22923.9</v>
      </c>
      <c r="AA481" s="1">
        <v>13.6715285243625</v>
      </c>
    </row>
    <row r="482" spans="1:27" s="1" customFormat="1" x14ac:dyDescent="0.25">
      <c r="A482" s="71"/>
      <c r="B482" s="3"/>
      <c r="C482" s="8">
        <v>40655</v>
      </c>
      <c r="D482" s="1">
        <v>15.5</v>
      </c>
      <c r="E482" s="1">
        <v>11.7</v>
      </c>
      <c r="F482" s="1">
        <v>21.1</v>
      </c>
      <c r="G482" s="1">
        <f t="shared" si="35"/>
        <v>2230.1</v>
      </c>
      <c r="H482" s="29">
        <f t="shared" si="40"/>
        <v>169.5</v>
      </c>
      <c r="I482" s="1">
        <v>2</v>
      </c>
      <c r="J482" s="1">
        <v>0</v>
      </c>
      <c r="K482" s="1">
        <f t="shared" si="36"/>
        <v>317.0999999999998</v>
      </c>
      <c r="L482" s="1">
        <v>4.5999999999999996</v>
      </c>
      <c r="M482" s="1">
        <f t="shared" si="37"/>
        <v>414.39999999999992</v>
      </c>
      <c r="N482" s="1">
        <v>-4.5999999999999996</v>
      </c>
      <c r="O482" s="1">
        <v>0</v>
      </c>
      <c r="P482" s="6">
        <v>227</v>
      </c>
      <c r="Q482" s="29">
        <v>1.1499999999999999</v>
      </c>
      <c r="R482" s="14">
        <f t="shared" si="33"/>
        <v>5.2899999999999991</v>
      </c>
      <c r="S482" s="14">
        <f t="shared" si="34"/>
        <v>-5.2899999999999991</v>
      </c>
      <c r="T482" s="15">
        <v>0</v>
      </c>
      <c r="U482" s="14">
        <f>AVERAGE(T470:T490)</f>
        <v>2.8045899981614246</v>
      </c>
      <c r="V482" s="1">
        <v>1453.3</v>
      </c>
      <c r="X482" s="1">
        <f t="shared" si="39"/>
        <v>205320.2000000001</v>
      </c>
      <c r="Y482" s="29">
        <f t="shared" si="41"/>
        <v>24377.200000000001</v>
      </c>
      <c r="AA482" s="1">
        <v>13.7182826942591</v>
      </c>
    </row>
    <row r="483" spans="1:27" s="1" customFormat="1" x14ac:dyDescent="0.25">
      <c r="A483" s="71"/>
      <c r="B483" s="3"/>
      <c r="C483" s="8">
        <v>40656</v>
      </c>
      <c r="D483" s="1">
        <v>13.7</v>
      </c>
      <c r="E483" s="1">
        <v>12.1</v>
      </c>
      <c r="F483" s="1">
        <v>15.1</v>
      </c>
      <c r="G483" s="1">
        <f t="shared" si="35"/>
        <v>2243.7999999999997</v>
      </c>
      <c r="H483" s="29">
        <f t="shared" si="40"/>
        <v>183.2</v>
      </c>
      <c r="I483" s="38" t="s">
        <v>45</v>
      </c>
      <c r="J483" s="1">
        <v>5.6</v>
      </c>
      <c r="K483" s="1">
        <f t="shared" si="36"/>
        <v>322.69999999999982</v>
      </c>
      <c r="L483" s="1">
        <v>1.2</v>
      </c>
      <c r="M483" s="1">
        <f t="shared" si="37"/>
        <v>415.59999999999991</v>
      </c>
      <c r="N483" s="1">
        <v>4.3999999999999995</v>
      </c>
      <c r="O483" s="1">
        <f>O482+N483</f>
        <v>4.3999999999999995</v>
      </c>
      <c r="P483" s="6">
        <v>228</v>
      </c>
      <c r="Q483" s="29">
        <v>1.1499999999999999</v>
      </c>
      <c r="R483" s="14">
        <f t="shared" si="33"/>
        <v>1.38</v>
      </c>
      <c r="S483" s="14">
        <f t="shared" si="34"/>
        <v>4.22</v>
      </c>
      <c r="T483" s="15">
        <f t="shared" si="38"/>
        <v>4.22</v>
      </c>
      <c r="V483" s="1">
        <v>591.6</v>
      </c>
      <c r="X483" s="1">
        <f t="shared" si="39"/>
        <v>205911.8000000001</v>
      </c>
      <c r="Y483" s="29">
        <f t="shared" si="41"/>
        <v>24968.799999999999</v>
      </c>
      <c r="AA483" s="1">
        <v>13.7647746900623</v>
      </c>
    </row>
    <row r="484" spans="1:27" s="1" customFormat="1" x14ac:dyDescent="0.25">
      <c r="A484" s="71"/>
      <c r="B484" s="3"/>
      <c r="C484" s="8">
        <v>40657</v>
      </c>
      <c r="D484" s="1">
        <v>16.399999999999999</v>
      </c>
      <c r="E484" s="1">
        <v>13.3</v>
      </c>
      <c r="F484" s="1">
        <v>19.600000000000001</v>
      </c>
      <c r="G484" s="1">
        <f t="shared" si="35"/>
        <v>2260.1999999999998</v>
      </c>
      <c r="H484" s="29">
        <f t="shared" si="40"/>
        <v>199.6</v>
      </c>
      <c r="I484" s="1">
        <v>314.89999999999998</v>
      </c>
      <c r="J484" s="1">
        <v>0</v>
      </c>
      <c r="K484" s="1">
        <f t="shared" si="36"/>
        <v>322.69999999999982</v>
      </c>
      <c r="L484" s="1">
        <v>2.8</v>
      </c>
      <c r="M484" s="1">
        <f t="shared" si="37"/>
        <v>418.39999999999992</v>
      </c>
      <c r="N484" s="1">
        <v>-2.8</v>
      </c>
      <c r="O484" s="1">
        <f>O483+N484</f>
        <v>1.5999999999999996</v>
      </c>
      <c r="P484" s="6">
        <v>229</v>
      </c>
      <c r="Q484" s="29">
        <v>1.1499999999999999</v>
      </c>
      <c r="R484" s="14">
        <f t="shared" si="33"/>
        <v>3.2199999999999998</v>
      </c>
      <c r="S484" s="14">
        <f t="shared" si="34"/>
        <v>-3.2199999999999998</v>
      </c>
      <c r="T484" s="15">
        <f t="shared" si="38"/>
        <v>1</v>
      </c>
      <c r="U484" s="14">
        <f>(U482*100)/122.1</f>
        <v>2.2969615054557124</v>
      </c>
      <c r="V484" s="1">
        <v>1608.7</v>
      </c>
      <c r="X484" s="1">
        <f t="shared" si="39"/>
        <v>207520.50000000012</v>
      </c>
      <c r="Y484" s="29">
        <f t="shared" si="41"/>
        <v>26577.5</v>
      </c>
      <c r="AA484" s="1">
        <v>13.8109925427327</v>
      </c>
    </row>
    <row r="485" spans="1:27" s="1" customFormat="1" x14ac:dyDescent="0.25">
      <c r="A485" s="71"/>
      <c r="B485" s="3"/>
      <c r="C485" s="8">
        <v>40658</v>
      </c>
      <c r="D485" s="1">
        <v>16</v>
      </c>
      <c r="E485" s="1">
        <v>13.3</v>
      </c>
      <c r="F485" s="1">
        <v>20.2</v>
      </c>
      <c r="G485" s="1">
        <f t="shared" si="35"/>
        <v>2276.1999999999998</v>
      </c>
      <c r="H485" s="29">
        <f t="shared" si="40"/>
        <v>215.6</v>
      </c>
      <c r="J485" s="1">
        <v>9.3000000000000007</v>
      </c>
      <c r="K485" s="1">
        <f t="shared" si="36"/>
        <v>331.99999999999983</v>
      </c>
      <c r="L485" s="1">
        <v>2.5</v>
      </c>
      <c r="M485" s="1">
        <f t="shared" si="37"/>
        <v>420.89999999999992</v>
      </c>
      <c r="N485" s="1">
        <v>6.8000000000000007</v>
      </c>
      <c r="O485" s="1">
        <f>O484+N485</f>
        <v>8.4</v>
      </c>
      <c r="P485" s="6">
        <v>230</v>
      </c>
      <c r="Q485" s="29">
        <v>1.1499999999999999</v>
      </c>
      <c r="R485" s="14">
        <f t="shared" si="33"/>
        <v>2.875</v>
      </c>
      <c r="S485" s="14">
        <f t="shared" si="34"/>
        <v>6.4250000000000007</v>
      </c>
      <c r="T485" s="15">
        <f t="shared" si="38"/>
        <v>7.4250000000000007</v>
      </c>
      <c r="V485" s="1">
        <v>889.8</v>
      </c>
      <c r="X485" s="1">
        <f t="shared" si="39"/>
        <v>208410.3000000001</v>
      </c>
      <c r="Y485" s="29">
        <f t="shared" si="41"/>
        <v>27467.3</v>
      </c>
      <c r="AA485" s="1">
        <v>13.856923919457101</v>
      </c>
    </row>
    <row r="486" spans="1:27" s="1" customFormat="1" x14ac:dyDescent="0.25">
      <c r="A486" s="71"/>
      <c r="B486" s="3"/>
      <c r="C486" s="8">
        <v>40659</v>
      </c>
      <c r="D486" s="1">
        <v>17.7</v>
      </c>
      <c r="E486" s="1">
        <v>14.1</v>
      </c>
      <c r="F486" s="1">
        <v>22.1</v>
      </c>
      <c r="G486" s="1">
        <f t="shared" si="35"/>
        <v>2293.8999999999996</v>
      </c>
      <c r="H486" s="29">
        <f t="shared" si="40"/>
        <v>233.29999999999998</v>
      </c>
      <c r="J486" s="1">
        <v>0.1</v>
      </c>
      <c r="K486" s="1">
        <f t="shared" si="36"/>
        <v>332.09999999999985</v>
      </c>
      <c r="L486" s="1">
        <v>4.5999999999999996</v>
      </c>
      <c r="M486" s="1">
        <f t="shared" si="37"/>
        <v>425.49999999999994</v>
      </c>
      <c r="N486" s="1">
        <v>-4.5</v>
      </c>
      <c r="O486" s="1">
        <f>O485+N486</f>
        <v>3.9000000000000004</v>
      </c>
      <c r="P486" s="6">
        <v>231</v>
      </c>
      <c r="Q486" s="29">
        <v>1.1499999999999999</v>
      </c>
      <c r="R486" s="14">
        <f t="shared" si="33"/>
        <v>5.2899999999999991</v>
      </c>
      <c r="S486" s="14">
        <f t="shared" si="34"/>
        <v>-5.1899999999999995</v>
      </c>
      <c r="T486" s="15">
        <f t="shared" si="38"/>
        <v>2.2350000000000012</v>
      </c>
      <c r="V486" s="1">
        <v>2190</v>
      </c>
      <c r="X486" s="1">
        <f t="shared" si="39"/>
        <v>210600.3000000001</v>
      </c>
      <c r="Y486" s="29">
        <f t="shared" si="41"/>
        <v>29657.3</v>
      </c>
      <c r="AA486" s="1">
        <v>13.902556118297101</v>
      </c>
    </row>
    <row r="487" spans="1:27" s="1" customFormat="1" x14ac:dyDescent="0.25">
      <c r="A487" s="71"/>
      <c r="B487" s="3"/>
      <c r="C487" s="8">
        <v>40660</v>
      </c>
      <c r="D487" s="1">
        <v>16.899999999999999</v>
      </c>
      <c r="E487" s="1">
        <v>13.4</v>
      </c>
      <c r="F487" s="1">
        <v>21.8</v>
      </c>
      <c r="G487" s="1">
        <f t="shared" si="35"/>
        <v>2310.7999999999997</v>
      </c>
      <c r="H487" s="29">
        <f t="shared" si="40"/>
        <v>250.2</v>
      </c>
      <c r="J487" s="1">
        <v>0</v>
      </c>
      <c r="K487" s="1">
        <f t="shared" si="36"/>
        <v>332.09999999999985</v>
      </c>
      <c r="L487" s="1">
        <v>4.4000000000000004</v>
      </c>
      <c r="M487" s="1">
        <f t="shared" si="37"/>
        <v>429.89999999999992</v>
      </c>
      <c r="N487" s="1">
        <v>-4.4000000000000004</v>
      </c>
      <c r="O487" s="1">
        <v>0</v>
      </c>
      <c r="P487" s="6">
        <v>232</v>
      </c>
      <c r="Q487" s="29">
        <v>1.1499999999999999</v>
      </c>
      <c r="R487" s="14">
        <f t="shared" si="33"/>
        <v>5.0599999999999996</v>
      </c>
      <c r="S487" s="14">
        <f t="shared" si="34"/>
        <v>-5.0599999999999996</v>
      </c>
      <c r="T487" s="15">
        <v>0</v>
      </c>
      <c r="V487" s="1">
        <v>2167.8000000000002</v>
      </c>
      <c r="X487" s="1">
        <f t="shared" si="39"/>
        <v>212768.10000000009</v>
      </c>
      <c r="Y487" s="29">
        <f t="shared" si="41"/>
        <v>31825.1</v>
      </c>
      <c r="AA487" s="1">
        <v>13.9478760636504</v>
      </c>
    </row>
    <row r="488" spans="1:27" s="1" customFormat="1" x14ac:dyDescent="0.25">
      <c r="A488" s="71"/>
      <c r="B488" s="3"/>
      <c r="C488" s="8">
        <v>40661</v>
      </c>
      <c r="D488" s="1">
        <v>15.7</v>
      </c>
      <c r="E488" s="1">
        <v>9.6999999999999993</v>
      </c>
      <c r="F488" s="1">
        <v>21.3</v>
      </c>
      <c r="G488" s="1">
        <f t="shared" si="35"/>
        <v>2326.4999999999995</v>
      </c>
      <c r="H488" s="29">
        <f t="shared" si="40"/>
        <v>265.89999999999998</v>
      </c>
      <c r="J488" s="1">
        <v>0</v>
      </c>
      <c r="K488" s="1">
        <f t="shared" si="36"/>
        <v>332.09999999999985</v>
      </c>
      <c r="L488" s="1">
        <v>4.4000000000000004</v>
      </c>
      <c r="M488" s="1">
        <f t="shared" si="37"/>
        <v>434.2999999999999</v>
      </c>
      <c r="N488" s="1">
        <v>-4.4000000000000004</v>
      </c>
      <c r="O488" s="1">
        <v>0</v>
      </c>
      <c r="P488" s="6">
        <v>233</v>
      </c>
      <c r="Q488" s="29">
        <v>1.1499999999999999</v>
      </c>
      <c r="R488" s="14">
        <f t="shared" si="33"/>
        <v>5.0599999999999996</v>
      </c>
      <c r="S488" s="14">
        <f t="shared" si="34"/>
        <v>-5.0599999999999996</v>
      </c>
      <c r="T488" s="15">
        <v>0</v>
      </c>
      <c r="V488" s="1">
        <v>2498.3000000000002</v>
      </c>
      <c r="X488" s="1">
        <f t="shared" si="39"/>
        <v>215266.40000000008</v>
      </c>
      <c r="Y488" s="29">
        <f t="shared" si="41"/>
        <v>34323.4</v>
      </c>
      <c r="AA488" s="1">
        <v>13.992870302581499</v>
      </c>
    </row>
    <row r="489" spans="1:27" s="1" customFormat="1" x14ac:dyDescent="0.25">
      <c r="A489" s="71"/>
      <c r="B489" s="3"/>
      <c r="C489" s="8">
        <v>40662</v>
      </c>
      <c r="D489" s="1">
        <v>14.9</v>
      </c>
      <c r="E489" s="1">
        <v>7.8</v>
      </c>
      <c r="F489" s="1">
        <v>21</v>
      </c>
      <c r="G489" s="1">
        <f t="shared" si="35"/>
        <v>2341.3999999999996</v>
      </c>
      <c r="H489" s="29">
        <f t="shared" si="40"/>
        <v>280.79999999999995</v>
      </c>
      <c r="J489" s="1">
        <v>0</v>
      </c>
      <c r="K489" s="1">
        <f t="shared" si="36"/>
        <v>332.09999999999985</v>
      </c>
      <c r="L489" s="1">
        <v>4</v>
      </c>
      <c r="M489" s="1">
        <f t="shared" si="37"/>
        <v>438.2999999999999</v>
      </c>
      <c r="N489" s="1">
        <v>-4</v>
      </c>
      <c r="O489" s="1">
        <v>0</v>
      </c>
      <c r="P489" s="6">
        <v>234</v>
      </c>
      <c r="Q489" s="29">
        <v>1.1499999999999999</v>
      </c>
      <c r="R489" s="14">
        <f t="shared" si="33"/>
        <v>4.5999999999999996</v>
      </c>
      <c r="S489" s="14">
        <f t="shared" si="34"/>
        <v>-4.5999999999999996</v>
      </c>
      <c r="T489" s="15">
        <v>0</v>
      </c>
      <c r="V489" s="1">
        <v>2345.4</v>
      </c>
      <c r="X489" s="1">
        <f t="shared" si="39"/>
        <v>217611.80000000008</v>
      </c>
      <c r="Y489" s="29">
        <f t="shared" si="41"/>
        <v>36668.800000000003</v>
      </c>
      <c r="AA489" s="1">
        <v>14.0375250020838</v>
      </c>
    </row>
    <row r="490" spans="1:27" s="29" customFormat="1" x14ac:dyDescent="0.25">
      <c r="A490" s="71"/>
      <c r="B490" s="27">
        <v>300</v>
      </c>
      <c r="C490" s="28">
        <v>40663</v>
      </c>
      <c r="D490" s="29">
        <v>16.8</v>
      </c>
      <c r="E490" s="29">
        <v>11.8</v>
      </c>
      <c r="F490" s="29">
        <v>23</v>
      </c>
      <c r="G490" s="29">
        <f t="shared" si="35"/>
        <v>2358.1999999999998</v>
      </c>
      <c r="H490" s="29">
        <f t="shared" si="40"/>
        <v>297.59999999999997</v>
      </c>
      <c r="J490" s="29">
        <v>0</v>
      </c>
      <c r="K490" s="29">
        <f t="shared" si="36"/>
        <v>332.09999999999985</v>
      </c>
      <c r="L490" s="29">
        <v>5.2</v>
      </c>
      <c r="M490" s="29">
        <f t="shared" si="37"/>
        <v>443.49999999999989</v>
      </c>
      <c r="N490" s="29">
        <v>-5.2</v>
      </c>
      <c r="O490" s="29">
        <v>0</v>
      </c>
      <c r="P490" s="30">
        <v>235</v>
      </c>
      <c r="Q490" s="29">
        <v>1.1499999999999999</v>
      </c>
      <c r="R490" s="31">
        <f t="shared" si="33"/>
        <v>5.9799999999999995</v>
      </c>
      <c r="S490" s="31">
        <f t="shared" si="34"/>
        <v>-5.9799999999999995</v>
      </c>
      <c r="T490" s="15">
        <v>0</v>
      </c>
      <c r="V490" s="29">
        <v>2369.3000000000002</v>
      </c>
      <c r="X490" s="29">
        <f t="shared" si="39"/>
        <v>219981.10000000006</v>
      </c>
      <c r="Y490" s="29">
        <f t="shared" si="41"/>
        <v>39038.100000000006</v>
      </c>
      <c r="AA490" s="29">
        <v>14.0818259473327</v>
      </c>
    </row>
    <row r="491" spans="1:27" s="45" customFormat="1" ht="15" customHeight="1" thickBot="1" x14ac:dyDescent="0.3">
      <c r="A491" s="79"/>
      <c r="B491" s="43"/>
      <c r="C491" s="44">
        <v>40664</v>
      </c>
      <c r="D491" s="45">
        <v>17.3</v>
      </c>
      <c r="E491" s="45">
        <v>11.8</v>
      </c>
      <c r="F491" s="45">
        <v>22.5</v>
      </c>
      <c r="G491" s="45">
        <f t="shared" si="35"/>
        <v>2375.5</v>
      </c>
      <c r="H491" s="45">
        <f t="shared" si="40"/>
        <v>314.89999999999998</v>
      </c>
      <c r="J491" s="45">
        <v>0</v>
      </c>
      <c r="K491" s="45">
        <f t="shared" si="36"/>
        <v>332.09999999999985</v>
      </c>
      <c r="L491" s="45">
        <v>3.7</v>
      </c>
      <c r="M491" s="45">
        <f t="shared" si="37"/>
        <v>447.19999999999987</v>
      </c>
      <c r="N491" s="45">
        <v>-3.7</v>
      </c>
      <c r="O491" s="45">
        <v>0</v>
      </c>
      <c r="P491" s="46">
        <v>236</v>
      </c>
      <c r="Q491" s="45">
        <v>1.1499999999999999</v>
      </c>
      <c r="R491" s="48">
        <f t="shared" si="33"/>
        <v>4.2549999999999999</v>
      </c>
      <c r="S491" s="48">
        <f t="shared" si="34"/>
        <v>-4.2549999999999999</v>
      </c>
      <c r="T491" s="50">
        <v>0</v>
      </c>
      <c r="V491" s="45">
        <v>1869.9</v>
      </c>
      <c r="X491" s="45">
        <f t="shared" si="39"/>
        <v>221851.00000000006</v>
      </c>
      <c r="Y491" s="45">
        <f t="shared" si="41"/>
        <v>40908.000000000007</v>
      </c>
      <c r="AA491" s="45">
        <v>14.1257585409945</v>
      </c>
    </row>
    <row r="492" spans="1:27" s="1" customFormat="1" x14ac:dyDescent="0.25">
      <c r="A492" s="80">
        <v>600</v>
      </c>
      <c r="B492" s="3"/>
      <c r="C492" s="8">
        <v>40665</v>
      </c>
      <c r="D492" s="1">
        <v>17.5</v>
      </c>
      <c r="E492" s="1">
        <v>14.3</v>
      </c>
      <c r="F492" s="1">
        <v>21</v>
      </c>
      <c r="G492" s="1">
        <f t="shared" si="35"/>
        <v>2393</v>
      </c>
      <c r="H492" s="29">
        <f>D492</f>
        <v>17.5</v>
      </c>
      <c r="I492" s="39" t="s">
        <v>30</v>
      </c>
      <c r="J492" s="1">
        <v>1.4</v>
      </c>
      <c r="K492" s="1">
        <f t="shared" si="36"/>
        <v>333.49999999999983</v>
      </c>
      <c r="L492" s="1">
        <v>4.2</v>
      </c>
      <c r="M492" s="1">
        <f t="shared" si="37"/>
        <v>451.39999999999986</v>
      </c>
      <c r="N492" s="1">
        <v>-2.8000000000000003</v>
      </c>
      <c r="O492" s="1">
        <v>0</v>
      </c>
      <c r="P492" s="6">
        <v>237</v>
      </c>
      <c r="Q492" s="1">
        <f>1.15+((P492-235)/39)*(0.35-1.15)</f>
        <v>1.1089743589743588</v>
      </c>
      <c r="R492" s="14">
        <f t="shared" si="33"/>
        <v>4.6576923076923071</v>
      </c>
      <c r="S492" s="14">
        <f t="shared" si="34"/>
        <v>-3.2576923076923072</v>
      </c>
      <c r="T492" s="15">
        <v>0</v>
      </c>
      <c r="U492" s="39" t="s">
        <v>31</v>
      </c>
      <c r="V492" s="1">
        <v>2064.1999999999998</v>
      </c>
      <c r="X492" s="1">
        <f t="shared" si="39"/>
        <v>223915.20000000007</v>
      </c>
      <c r="Y492" s="29">
        <f>V492</f>
        <v>2064.1999999999998</v>
      </c>
      <c r="Z492" s="39" t="s">
        <v>32</v>
      </c>
      <c r="AA492" s="1">
        <v>14.169307803654799</v>
      </c>
    </row>
    <row r="493" spans="1:27" s="1" customFormat="1" x14ac:dyDescent="0.25">
      <c r="A493" s="72"/>
      <c r="B493" s="3"/>
      <c r="C493" s="8">
        <v>40666</v>
      </c>
      <c r="D493" s="1">
        <v>17.2</v>
      </c>
      <c r="E493" s="1">
        <v>14.7</v>
      </c>
      <c r="F493" s="1">
        <v>20.3</v>
      </c>
      <c r="G493" s="1">
        <f t="shared" si="35"/>
        <v>2410.1999999999998</v>
      </c>
      <c r="H493" s="29">
        <f t="shared" si="40"/>
        <v>34.700000000000003</v>
      </c>
      <c r="I493" s="1">
        <f>MIN(E492:E508)</f>
        <v>10</v>
      </c>
      <c r="J493" s="1">
        <v>5.7</v>
      </c>
      <c r="K493" s="1">
        <f t="shared" si="36"/>
        <v>339.19999999999982</v>
      </c>
      <c r="L493" s="1">
        <v>3</v>
      </c>
      <c r="M493" s="1">
        <f t="shared" si="37"/>
        <v>454.39999999999986</v>
      </c>
      <c r="N493" s="1">
        <v>2.7</v>
      </c>
      <c r="O493" s="1">
        <f>O492+N493</f>
        <v>2.7</v>
      </c>
      <c r="P493" s="6">
        <v>238</v>
      </c>
      <c r="Q493" s="1">
        <f t="shared" ref="Q493:Q530" si="42">1.15+((P493-235)/39)*(0.35-1.15)</f>
        <v>1.0884615384615384</v>
      </c>
      <c r="R493" s="14">
        <f t="shared" si="33"/>
        <v>3.2653846153846153</v>
      </c>
      <c r="S493" s="14">
        <f t="shared" si="34"/>
        <v>2.4346153846153848</v>
      </c>
      <c r="T493" s="15">
        <f t="shared" si="38"/>
        <v>2.4346153846153848</v>
      </c>
      <c r="U493" s="1">
        <v>15</v>
      </c>
      <c r="V493" s="1">
        <v>1311.3</v>
      </c>
      <c r="X493" s="1">
        <f t="shared" si="39"/>
        <v>225226.50000000006</v>
      </c>
      <c r="Y493" s="29">
        <f t="shared" si="41"/>
        <v>3375.5</v>
      </c>
      <c r="Z493" s="1">
        <v>35326.800000000003</v>
      </c>
      <c r="AA493" s="1">
        <v>14.212458375432499</v>
      </c>
    </row>
    <row r="494" spans="1:27" s="1" customFormat="1" x14ac:dyDescent="0.25">
      <c r="A494" s="72"/>
      <c r="B494" s="3"/>
      <c r="C494" s="8">
        <v>40667</v>
      </c>
      <c r="D494" s="1">
        <v>16.7</v>
      </c>
      <c r="E494" s="1">
        <v>12.8</v>
      </c>
      <c r="F494" s="1">
        <v>20.9</v>
      </c>
      <c r="G494" s="1">
        <f t="shared" si="35"/>
        <v>2426.8999999999996</v>
      </c>
      <c r="H494" s="29">
        <f t="shared" si="40"/>
        <v>51.400000000000006</v>
      </c>
      <c r="I494" s="39" t="s">
        <v>33</v>
      </c>
      <c r="J494" s="1">
        <v>0</v>
      </c>
      <c r="K494" s="1">
        <f t="shared" si="36"/>
        <v>339.19999999999982</v>
      </c>
      <c r="L494" s="1">
        <v>3.9</v>
      </c>
      <c r="M494" s="1">
        <f t="shared" si="37"/>
        <v>458.29999999999984</v>
      </c>
      <c r="N494" s="1">
        <v>-3.9</v>
      </c>
      <c r="O494" s="1">
        <v>0</v>
      </c>
      <c r="P494" s="6">
        <v>239</v>
      </c>
      <c r="Q494" s="1">
        <f t="shared" si="42"/>
        <v>1.0679487179487179</v>
      </c>
      <c r="R494" s="14">
        <f t="shared" si="33"/>
        <v>4.165</v>
      </c>
      <c r="S494" s="14">
        <f t="shared" si="34"/>
        <v>-4.165</v>
      </c>
      <c r="T494" s="15">
        <v>0</v>
      </c>
      <c r="U494" s="39" t="s">
        <v>34</v>
      </c>
      <c r="V494" s="1">
        <v>1985.8</v>
      </c>
      <c r="X494" s="1">
        <f t="shared" si="39"/>
        <v>227212.30000000005</v>
      </c>
      <c r="Y494" s="29">
        <f t="shared" si="41"/>
        <v>5361.3</v>
      </c>
      <c r="Z494" s="39" t="s">
        <v>35</v>
      </c>
      <c r="AA494" s="1">
        <v>14.255194518843499</v>
      </c>
    </row>
    <row r="495" spans="1:27" s="1" customFormat="1" x14ac:dyDescent="0.25">
      <c r="A495" s="72"/>
      <c r="B495" s="3"/>
      <c r="C495" s="8">
        <v>40668</v>
      </c>
      <c r="D495" s="1">
        <v>17.7</v>
      </c>
      <c r="E495" s="1">
        <v>10.5</v>
      </c>
      <c r="F495" s="1">
        <v>23.7</v>
      </c>
      <c r="G495" s="1">
        <f t="shared" si="35"/>
        <v>2444.5999999999995</v>
      </c>
      <c r="H495" s="29">
        <f t="shared" si="40"/>
        <v>69.100000000000009</v>
      </c>
      <c r="I495" s="1">
        <f>MAX(F492:F508)</f>
        <v>27.9</v>
      </c>
      <c r="J495" s="1">
        <v>0</v>
      </c>
      <c r="K495" s="1">
        <f t="shared" si="36"/>
        <v>339.19999999999982</v>
      </c>
      <c r="L495" s="1">
        <v>4.5999999999999996</v>
      </c>
      <c r="M495" s="1">
        <f t="shared" si="37"/>
        <v>462.89999999999986</v>
      </c>
      <c r="N495" s="1">
        <v>-4.5999999999999996</v>
      </c>
      <c r="O495" s="1">
        <v>0</v>
      </c>
      <c r="P495" s="6">
        <v>240</v>
      </c>
      <c r="Q495" s="1">
        <f t="shared" si="42"/>
        <v>1.0474358974358973</v>
      </c>
      <c r="R495" s="14">
        <f t="shared" si="33"/>
        <v>4.8182051282051273</v>
      </c>
      <c r="S495" s="14">
        <f t="shared" si="34"/>
        <v>-4.8182051282051273</v>
      </c>
      <c r="T495" s="15">
        <v>0</v>
      </c>
      <c r="U495" s="1">
        <v>13</v>
      </c>
      <c r="V495" s="1">
        <v>2298.3000000000002</v>
      </c>
      <c r="X495" s="1">
        <f t="shared" si="39"/>
        <v>229510.60000000003</v>
      </c>
      <c r="Y495" s="29">
        <f t="shared" si="41"/>
        <v>7659.6</v>
      </c>
      <c r="Z495" s="16">
        <f>(Z493/100)/I505</f>
        <v>1.142153249272551</v>
      </c>
      <c r="AA495" s="1">
        <v>14.297500122982701</v>
      </c>
    </row>
    <row r="496" spans="1:27" s="1" customFormat="1" x14ac:dyDescent="0.25">
      <c r="A496" s="72"/>
      <c r="B496" s="3"/>
      <c r="C496" s="8">
        <v>40669</v>
      </c>
      <c r="D496" s="1">
        <v>18.600000000000001</v>
      </c>
      <c r="E496" s="1">
        <v>15.7</v>
      </c>
      <c r="F496" s="1">
        <v>22.5</v>
      </c>
      <c r="G496" s="1">
        <f t="shared" si="35"/>
        <v>2463.1999999999994</v>
      </c>
      <c r="H496" s="29">
        <f t="shared" si="40"/>
        <v>87.700000000000017</v>
      </c>
      <c r="I496" s="39" t="s">
        <v>36</v>
      </c>
      <c r="J496" s="1">
        <v>0</v>
      </c>
      <c r="K496" s="1">
        <f t="shared" si="36"/>
        <v>339.19999999999982</v>
      </c>
      <c r="L496" s="1">
        <v>5.6</v>
      </c>
      <c r="M496" s="1">
        <f t="shared" si="37"/>
        <v>468.49999999999989</v>
      </c>
      <c r="N496" s="1">
        <v>-5.6</v>
      </c>
      <c r="O496" s="1">
        <v>0</v>
      </c>
      <c r="P496" s="6">
        <v>241</v>
      </c>
      <c r="Q496" s="1">
        <f t="shared" si="42"/>
        <v>1.0269230769230768</v>
      </c>
      <c r="R496" s="14">
        <f t="shared" si="33"/>
        <v>5.7507692307692295</v>
      </c>
      <c r="S496" s="14">
        <f t="shared" si="34"/>
        <v>-5.7507692307692295</v>
      </c>
      <c r="T496" s="15">
        <v>0</v>
      </c>
      <c r="U496" s="39" t="s">
        <v>37</v>
      </c>
      <c r="V496" s="1">
        <v>2426.6</v>
      </c>
      <c r="X496" s="1">
        <f t="shared" si="39"/>
        <v>231937.20000000004</v>
      </c>
      <c r="Y496" s="29">
        <f t="shared" si="41"/>
        <v>10086.200000000001</v>
      </c>
      <c r="Z496" s="39" t="s">
        <v>38</v>
      </c>
      <c r="AA496" s="1">
        <v>14.3393587090866</v>
      </c>
    </row>
    <row r="497" spans="1:27" s="1" customFormat="1" x14ac:dyDescent="0.25">
      <c r="A497" s="72"/>
      <c r="B497" s="3"/>
      <c r="C497" s="8">
        <v>40670</v>
      </c>
      <c r="D497" s="1">
        <v>16.899999999999999</v>
      </c>
      <c r="E497" s="1">
        <v>16.100000000000001</v>
      </c>
      <c r="F497" s="1">
        <v>17.7</v>
      </c>
      <c r="G497" s="1">
        <f t="shared" si="35"/>
        <v>2480.0999999999995</v>
      </c>
      <c r="H497" s="29">
        <f t="shared" si="40"/>
        <v>104.60000000000002</v>
      </c>
      <c r="I497" s="14">
        <f>AVERAGE(D492:D508)</f>
        <v>18.194117647058825</v>
      </c>
      <c r="J497" s="1">
        <v>0</v>
      </c>
      <c r="K497" s="1">
        <f t="shared" si="36"/>
        <v>339.19999999999982</v>
      </c>
      <c r="L497" s="1">
        <v>2.9</v>
      </c>
      <c r="M497" s="1">
        <f t="shared" si="37"/>
        <v>471.39999999999986</v>
      </c>
      <c r="N497" s="1">
        <v>-2.9</v>
      </c>
      <c r="O497" s="1">
        <v>0</v>
      </c>
      <c r="P497" s="6">
        <v>242</v>
      </c>
      <c r="Q497" s="1">
        <f t="shared" si="42"/>
        <v>1.0064102564102564</v>
      </c>
      <c r="R497" s="14">
        <f t="shared" si="33"/>
        <v>2.9185897435897434</v>
      </c>
      <c r="S497" s="14">
        <f t="shared" si="34"/>
        <v>-2.9185897435897434</v>
      </c>
      <c r="T497" s="15">
        <v>0</v>
      </c>
      <c r="U497" s="29">
        <v>4</v>
      </c>
      <c r="V497" s="1">
        <v>904.6</v>
      </c>
      <c r="X497" s="1">
        <f t="shared" si="39"/>
        <v>232841.80000000005</v>
      </c>
      <c r="Y497" s="29">
        <f t="shared" si="41"/>
        <v>10990.800000000001</v>
      </c>
      <c r="Z497" s="1">
        <v>1</v>
      </c>
      <c r="AA497" s="1">
        <v>14.380753437543699</v>
      </c>
    </row>
    <row r="498" spans="1:27" s="29" customFormat="1" x14ac:dyDescent="0.25">
      <c r="A498" s="72"/>
      <c r="B498" s="27"/>
      <c r="C498" s="28">
        <v>40671</v>
      </c>
      <c r="D498" s="29">
        <v>19.5</v>
      </c>
      <c r="E498" s="29">
        <v>15.8</v>
      </c>
      <c r="F498" s="29">
        <v>24</v>
      </c>
      <c r="G498" s="29">
        <f t="shared" si="35"/>
        <v>2499.5999999999995</v>
      </c>
      <c r="H498" s="29">
        <f t="shared" si="40"/>
        <v>124.10000000000002</v>
      </c>
      <c r="I498" s="39" t="s">
        <v>39</v>
      </c>
      <c r="J498" s="29">
        <v>0</v>
      </c>
      <c r="K498" s="29">
        <f t="shared" si="36"/>
        <v>339.19999999999982</v>
      </c>
      <c r="L498" s="29">
        <v>5.0999999999999996</v>
      </c>
      <c r="M498" s="29">
        <f t="shared" si="37"/>
        <v>476.49999999999989</v>
      </c>
      <c r="N498" s="29">
        <v>-5.0999999999999996</v>
      </c>
      <c r="O498" s="29">
        <v>0</v>
      </c>
      <c r="P498" s="30">
        <v>243</v>
      </c>
      <c r="Q498" s="1">
        <f t="shared" si="42"/>
        <v>0.98589743589743584</v>
      </c>
      <c r="R498" s="31">
        <f t="shared" si="33"/>
        <v>5.028076923076922</v>
      </c>
      <c r="S498" s="14">
        <f t="shared" si="34"/>
        <v>-5.028076923076922</v>
      </c>
      <c r="T498" s="15">
        <v>0</v>
      </c>
      <c r="U498" s="39" t="s">
        <v>40</v>
      </c>
      <c r="V498" s="29">
        <v>2496.4</v>
      </c>
      <c r="W498" s="29">
        <f>(Y498/100)/H498</f>
        <v>1.0868009669621272</v>
      </c>
      <c r="X498" s="29">
        <f t="shared" si="39"/>
        <v>235338.20000000004</v>
      </c>
      <c r="Y498" s="29">
        <f t="shared" si="41"/>
        <v>13487.2</v>
      </c>
      <c r="AA498" s="29">
        <v>14.421667116414101</v>
      </c>
    </row>
    <row r="499" spans="1:27" s="1" customFormat="1" ht="15" customHeight="1" x14ac:dyDescent="0.25">
      <c r="A499" s="72"/>
      <c r="B499" s="3"/>
      <c r="C499" s="8">
        <v>40672</v>
      </c>
      <c r="D499" s="1">
        <v>19.7</v>
      </c>
      <c r="E499" s="1">
        <v>13.6</v>
      </c>
      <c r="F499" s="1">
        <v>27.7</v>
      </c>
      <c r="G499" s="1">
        <f t="shared" si="35"/>
        <v>2519.2999999999993</v>
      </c>
      <c r="H499" s="29">
        <f t="shared" si="40"/>
        <v>143.80000000000001</v>
      </c>
      <c r="I499" s="29">
        <v>0</v>
      </c>
      <c r="J499" s="1">
        <v>0</v>
      </c>
      <c r="K499" s="1">
        <f t="shared" si="36"/>
        <v>339.19999999999982</v>
      </c>
      <c r="L499" s="1">
        <v>5.6</v>
      </c>
      <c r="M499" s="1">
        <f t="shared" si="37"/>
        <v>482.09999999999991</v>
      </c>
      <c r="N499" s="1">
        <v>-5.6</v>
      </c>
      <c r="O499" s="1">
        <v>0</v>
      </c>
      <c r="P499" s="6">
        <v>244</v>
      </c>
      <c r="Q499" s="1">
        <f t="shared" si="42"/>
        <v>0.96538461538461529</v>
      </c>
      <c r="R499" s="14">
        <f t="shared" si="33"/>
        <v>5.4061538461538454</v>
      </c>
      <c r="S499" s="14">
        <f t="shared" si="34"/>
        <v>-5.4061538461538454</v>
      </c>
      <c r="T499" s="15">
        <v>0</v>
      </c>
      <c r="U499" s="1">
        <v>0</v>
      </c>
      <c r="V499" s="1">
        <v>2480.6999999999998</v>
      </c>
      <c r="X499" s="1">
        <f t="shared" si="39"/>
        <v>237818.90000000005</v>
      </c>
      <c r="Y499" s="29">
        <f t="shared" si="41"/>
        <v>15967.900000000001</v>
      </c>
      <c r="AA499" s="1">
        <v>14.462082211520199</v>
      </c>
    </row>
    <row r="500" spans="1:27" s="1" customFormat="1" x14ac:dyDescent="0.25">
      <c r="A500" s="72"/>
      <c r="B500" s="3"/>
      <c r="C500" s="8">
        <v>40673</v>
      </c>
      <c r="D500" s="1">
        <v>19.399999999999999</v>
      </c>
      <c r="E500" s="1">
        <v>15</v>
      </c>
      <c r="F500" s="1">
        <v>23.4</v>
      </c>
      <c r="G500" s="1">
        <f t="shared" si="35"/>
        <v>2538.6999999999994</v>
      </c>
      <c r="H500" s="29">
        <f t="shared" si="40"/>
        <v>163.20000000000002</v>
      </c>
      <c r="I500" s="39" t="s">
        <v>41</v>
      </c>
      <c r="J500" s="1">
        <v>0</v>
      </c>
      <c r="K500" s="1">
        <f t="shared" si="36"/>
        <v>339.19999999999982</v>
      </c>
      <c r="L500" s="1">
        <v>4.7</v>
      </c>
      <c r="M500" s="1">
        <f t="shared" si="37"/>
        <v>486.7999999999999</v>
      </c>
      <c r="N500" s="1">
        <v>-4.7</v>
      </c>
      <c r="O500" s="1">
        <v>0</v>
      </c>
      <c r="P500" s="6">
        <v>245</v>
      </c>
      <c r="Q500" s="1">
        <f t="shared" si="42"/>
        <v>0.94487179487179485</v>
      </c>
      <c r="R500" s="14">
        <f t="shared" si="33"/>
        <v>4.440897435897436</v>
      </c>
      <c r="S500" s="14">
        <f t="shared" si="34"/>
        <v>-4.440897435897436</v>
      </c>
      <c r="T500" s="15">
        <v>0</v>
      </c>
      <c r="U500" s="39" t="s">
        <v>42</v>
      </c>
      <c r="V500" s="1">
        <v>2199.4</v>
      </c>
      <c r="X500" s="1">
        <f t="shared" si="39"/>
        <v>240018.30000000005</v>
      </c>
      <c r="Y500" s="29">
        <f t="shared" si="41"/>
        <v>18167.300000000003</v>
      </c>
      <c r="AA500" s="1">
        <v>14.5019808581661</v>
      </c>
    </row>
    <row r="501" spans="1:27" s="1" customFormat="1" x14ac:dyDescent="0.25">
      <c r="A501" s="72"/>
      <c r="B501" s="3"/>
      <c r="C501" s="8">
        <v>40674</v>
      </c>
      <c r="D501" s="1">
        <v>21.1</v>
      </c>
      <c r="E501" s="1">
        <v>13.8</v>
      </c>
      <c r="F501" s="1">
        <v>27.9</v>
      </c>
      <c r="G501" s="1">
        <f t="shared" si="35"/>
        <v>2559.7999999999993</v>
      </c>
      <c r="H501" s="29">
        <f t="shared" si="40"/>
        <v>184.3</v>
      </c>
      <c r="I501" s="1">
        <v>5</v>
      </c>
      <c r="J501" s="1">
        <v>0</v>
      </c>
      <c r="K501" s="1">
        <f t="shared" si="36"/>
        <v>339.19999999999982</v>
      </c>
      <c r="L501" s="1">
        <v>4.9000000000000004</v>
      </c>
      <c r="M501" s="1">
        <f t="shared" si="37"/>
        <v>491.69999999999987</v>
      </c>
      <c r="N501" s="1">
        <v>-4.9000000000000004</v>
      </c>
      <c r="O501" s="1">
        <v>0</v>
      </c>
      <c r="P501" s="6">
        <v>246</v>
      </c>
      <c r="Q501" s="1">
        <f t="shared" si="42"/>
        <v>0.92435897435897429</v>
      </c>
      <c r="R501" s="14">
        <f t="shared" si="33"/>
        <v>4.5293589743589742</v>
      </c>
      <c r="S501" s="14">
        <f t="shared" si="34"/>
        <v>-4.5293589743589742</v>
      </c>
      <c r="T501" s="15">
        <v>0</v>
      </c>
      <c r="U501" s="14">
        <f>MAX(T492:T508)</f>
        <v>8.960641025641026</v>
      </c>
      <c r="V501" s="1">
        <v>2249.9</v>
      </c>
      <c r="X501" s="1">
        <f t="shared" si="39"/>
        <v>242268.20000000004</v>
      </c>
      <c r="Y501" s="29">
        <f t="shared" si="41"/>
        <v>20417.200000000004</v>
      </c>
      <c r="AA501" s="1">
        <v>14.541344874540799</v>
      </c>
    </row>
    <row r="502" spans="1:27" s="1" customFormat="1" x14ac:dyDescent="0.25">
      <c r="A502" s="72"/>
      <c r="B502" s="3"/>
      <c r="C502" s="8">
        <v>40675</v>
      </c>
      <c r="D502" s="1">
        <v>19</v>
      </c>
      <c r="E502" s="1">
        <v>17.399999999999999</v>
      </c>
      <c r="F502" s="1">
        <v>20.8</v>
      </c>
      <c r="G502" s="1">
        <f t="shared" si="35"/>
        <v>2578.7999999999993</v>
      </c>
      <c r="H502" s="29">
        <f t="shared" si="40"/>
        <v>203.3</v>
      </c>
      <c r="I502" s="39" t="s">
        <v>43</v>
      </c>
      <c r="J502" s="1">
        <v>0.1</v>
      </c>
      <c r="K502" s="1">
        <f t="shared" si="36"/>
        <v>339.29999999999984</v>
      </c>
      <c r="L502" s="1">
        <v>2.5</v>
      </c>
      <c r="M502" s="1">
        <f t="shared" si="37"/>
        <v>494.19999999999987</v>
      </c>
      <c r="N502" s="1">
        <v>-2.4</v>
      </c>
      <c r="O502" s="1">
        <v>0</v>
      </c>
      <c r="P502" s="6">
        <v>247</v>
      </c>
      <c r="Q502" s="1">
        <f t="shared" si="42"/>
        <v>0.90384615384615374</v>
      </c>
      <c r="R502" s="14">
        <f t="shared" si="33"/>
        <v>2.2596153846153841</v>
      </c>
      <c r="S502" s="14">
        <f t="shared" si="34"/>
        <v>-2.159615384615384</v>
      </c>
      <c r="T502" s="15">
        <v>0</v>
      </c>
      <c r="U502" s="39" t="s">
        <v>44</v>
      </c>
      <c r="V502" s="1">
        <v>991.4</v>
      </c>
      <c r="X502" s="1">
        <f t="shared" si="39"/>
        <v>243259.60000000003</v>
      </c>
      <c r="Y502" s="29">
        <f t="shared" si="41"/>
        <v>21408.600000000006</v>
      </c>
      <c r="AA502" s="1">
        <v>14.580155776856</v>
      </c>
    </row>
    <row r="503" spans="1:27" s="1" customFormat="1" x14ac:dyDescent="0.25">
      <c r="A503" s="72"/>
      <c r="B503" s="3"/>
      <c r="C503" s="8">
        <v>40676</v>
      </c>
      <c r="D503" s="1">
        <v>21.3</v>
      </c>
      <c r="E503" s="1">
        <v>17.399999999999999</v>
      </c>
      <c r="F503" s="1">
        <v>26.2</v>
      </c>
      <c r="G503" s="1">
        <f t="shared" si="35"/>
        <v>2600.0999999999995</v>
      </c>
      <c r="H503" s="29">
        <f t="shared" si="40"/>
        <v>224.60000000000002</v>
      </c>
      <c r="I503" s="1">
        <v>0</v>
      </c>
      <c r="J503" s="1">
        <v>0</v>
      </c>
      <c r="K503" s="1">
        <f t="shared" si="36"/>
        <v>339.29999999999984</v>
      </c>
      <c r="L503" s="1">
        <v>4.2</v>
      </c>
      <c r="M503" s="1">
        <f t="shared" si="37"/>
        <v>498.39999999999986</v>
      </c>
      <c r="N503" s="1">
        <v>-4.2</v>
      </c>
      <c r="O503" s="1">
        <v>0</v>
      </c>
      <c r="P503" s="6">
        <v>248</v>
      </c>
      <c r="Q503" s="1">
        <f t="shared" si="42"/>
        <v>0.8833333333333333</v>
      </c>
      <c r="R503" s="14">
        <f t="shared" si="33"/>
        <v>3.71</v>
      </c>
      <c r="S503" s="14">
        <f t="shared" si="34"/>
        <v>-3.71</v>
      </c>
      <c r="T503" s="15">
        <v>0</v>
      </c>
      <c r="U503" s="16">
        <f>AVERAGE(T492:T508)</f>
        <v>0.96798642533936674</v>
      </c>
      <c r="V503" s="1">
        <v>1876.9</v>
      </c>
      <c r="X503" s="1">
        <f t="shared" si="39"/>
        <v>245136.50000000003</v>
      </c>
      <c r="Y503" s="29">
        <f t="shared" si="41"/>
        <v>23285.500000000007</v>
      </c>
      <c r="AA503" s="1">
        <v>14.6183947962635</v>
      </c>
    </row>
    <row r="504" spans="1:27" s="1" customFormat="1" x14ac:dyDescent="0.25">
      <c r="A504" s="72"/>
      <c r="B504" s="3"/>
      <c r="C504" s="8">
        <v>40677</v>
      </c>
      <c r="D504" s="1">
        <v>15.2</v>
      </c>
      <c r="E504" s="1">
        <v>14.8</v>
      </c>
      <c r="F504" s="1">
        <v>16.8</v>
      </c>
      <c r="G504" s="1">
        <f t="shared" si="35"/>
        <v>2615.2999999999993</v>
      </c>
      <c r="H504" s="29">
        <f t="shared" si="40"/>
        <v>239.8</v>
      </c>
      <c r="I504" s="39" t="s">
        <v>45</v>
      </c>
      <c r="J504" s="1">
        <v>10.6</v>
      </c>
      <c r="K504" s="1">
        <f t="shared" si="36"/>
        <v>349.89999999999986</v>
      </c>
      <c r="L504" s="1">
        <v>1.9</v>
      </c>
      <c r="M504" s="1">
        <f t="shared" si="37"/>
        <v>500.29999999999984</v>
      </c>
      <c r="N504" s="1">
        <v>8.6999999999999993</v>
      </c>
      <c r="O504" s="1">
        <f>O503+N504</f>
        <v>8.6999999999999993</v>
      </c>
      <c r="P504" s="6">
        <v>249</v>
      </c>
      <c r="Q504" s="1">
        <f t="shared" si="42"/>
        <v>0.86282051282051275</v>
      </c>
      <c r="R504" s="14">
        <f t="shared" si="33"/>
        <v>1.6393589743589743</v>
      </c>
      <c r="S504" s="14">
        <f t="shared" si="34"/>
        <v>8.960641025641026</v>
      </c>
      <c r="T504" s="15">
        <f t="shared" si="38"/>
        <v>8.960641025641026</v>
      </c>
      <c r="V504" s="1">
        <v>723.5</v>
      </c>
      <c r="X504" s="1">
        <f t="shared" si="39"/>
        <v>245860.00000000003</v>
      </c>
      <c r="Y504" s="29">
        <f t="shared" si="41"/>
        <v>24009.000000000007</v>
      </c>
      <c r="AA504" s="1">
        <v>14.6560428975923</v>
      </c>
    </row>
    <row r="505" spans="1:27" s="1" customFormat="1" x14ac:dyDescent="0.25">
      <c r="A505" s="72"/>
      <c r="B505" s="3"/>
      <c r="C505" s="8">
        <v>40678</v>
      </c>
      <c r="D505" s="1">
        <v>14.7</v>
      </c>
      <c r="E505" s="1">
        <v>11.5</v>
      </c>
      <c r="F505" s="1">
        <v>18.399999999999999</v>
      </c>
      <c r="G505" s="1">
        <f t="shared" si="35"/>
        <v>2629.9999999999991</v>
      </c>
      <c r="H505" s="29">
        <f t="shared" si="40"/>
        <v>254.5</v>
      </c>
      <c r="I505" s="1">
        <v>309.3</v>
      </c>
      <c r="J505" s="1">
        <v>0</v>
      </c>
      <c r="K505" s="1">
        <f t="shared" si="36"/>
        <v>349.89999999999986</v>
      </c>
      <c r="L505" s="1">
        <v>5</v>
      </c>
      <c r="M505" s="1">
        <f t="shared" si="37"/>
        <v>505.29999999999984</v>
      </c>
      <c r="N505" s="1">
        <v>-5</v>
      </c>
      <c r="O505" s="1">
        <f>O504+N505</f>
        <v>3.6999999999999993</v>
      </c>
      <c r="P505" s="6">
        <v>250</v>
      </c>
      <c r="Q505" s="1">
        <f t="shared" si="42"/>
        <v>0.8423076923076922</v>
      </c>
      <c r="R505" s="14">
        <f t="shared" si="33"/>
        <v>4.2115384615384608</v>
      </c>
      <c r="S505" s="14">
        <f t="shared" si="34"/>
        <v>-4.2115384615384608</v>
      </c>
      <c r="T505" s="15">
        <f t="shared" si="38"/>
        <v>4.7491025641025653</v>
      </c>
      <c r="U505" s="14">
        <f>(U503*100)/122.1</f>
        <v>0.7927816751346165</v>
      </c>
      <c r="V505" s="1">
        <v>2464.1999999999998</v>
      </c>
      <c r="X505" s="1">
        <f t="shared" si="39"/>
        <v>248324.20000000004</v>
      </c>
      <c r="Y505" s="29">
        <f t="shared" si="41"/>
        <v>26473.200000000008</v>
      </c>
      <c r="AA505" s="1">
        <v>14.693080799939301</v>
      </c>
    </row>
    <row r="506" spans="1:27" s="1" customFormat="1" x14ac:dyDescent="0.25">
      <c r="A506" s="72"/>
      <c r="B506" s="3"/>
      <c r="C506" s="8">
        <v>40679</v>
      </c>
      <c r="D506" s="1">
        <v>15.9</v>
      </c>
      <c r="E506" s="1">
        <v>10</v>
      </c>
      <c r="F506" s="1">
        <v>21.7</v>
      </c>
      <c r="G506" s="1">
        <f t="shared" si="35"/>
        <v>2645.8999999999992</v>
      </c>
      <c r="H506" s="29">
        <f t="shared" si="40"/>
        <v>270.39999999999998</v>
      </c>
      <c r="J506" s="1">
        <v>0</v>
      </c>
      <c r="K506" s="1">
        <f t="shared" si="36"/>
        <v>349.89999999999986</v>
      </c>
      <c r="L506" s="1">
        <v>5.4</v>
      </c>
      <c r="M506" s="1">
        <f t="shared" si="37"/>
        <v>510.69999999999982</v>
      </c>
      <c r="N506" s="1">
        <v>-5.4</v>
      </c>
      <c r="O506" s="1">
        <v>0</v>
      </c>
      <c r="P506" s="6">
        <v>251</v>
      </c>
      <c r="Q506" s="1">
        <f t="shared" si="42"/>
        <v>0.82179487179487176</v>
      </c>
      <c r="R506" s="14">
        <f t="shared" si="33"/>
        <v>4.4376923076923074</v>
      </c>
      <c r="S506" s="14">
        <f t="shared" si="34"/>
        <v>-4.4376923076923074</v>
      </c>
      <c r="T506" s="15">
        <f t="shared" si="38"/>
        <v>0.31141025641025788</v>
      </c>
      <c r="V506" s="1">
        <v>3100.2</v>
      </c>
      <c r="X506" s="1">
        <f t="shared" si="39"/>
        <v>251424.40000000005</v>
      </c>
      <c r="Y506" s="29">
        <f t="shared" si="41"/>
        <v>29573.400000000009</v>
      </c>
      <c r="AA506" s="1">
        <v>14.7294889991378</v>
      </c>
    </row>
    <row r="507" spans="1:27" s="29" customFormat="1" x14ac:dyDescent="0.25">
      <c r="A507" s="72"/>
      <c r="B507" s="27">
        <v>600</v>
      </c>
      <c r="C507" s="28">
        <v>40680</v>
      </c>
      <c r="D507" s="29">
        <v>18.8</v>
      </c>
      <c r="E507" s="29">
        <v>11.5</v>
      </c>
      <c r="F507" s="29">
        <v>25.8</v>
      </c>
      <c r="G507" s="29">
        <f t="shared" si="35"/>
        <v>2664.6999999999994</v>
      </c>
      <c r="H507" s="29">
        <f t="shared" si="40"/>
        <v>289.2</v>
      </c>
      <c r="J507" s="29">
        <v>0</v>
      </c>
      <c r="K507" s="29">
        <f t="shared" si="36"/>
        <v>349.89999999999986</v>
      </c>
      <c r="L507" s="29">
        <v>5.9</v>
      </c>
      <c r="M507" s="29">
        <f t="shared" si="37"/>
        <v>516.5999999999998</v>
      </c>
      <c r="N507" s="29">
        <v>-5.9</v>
      </c>
      <c r="O507" s="29">
        <v>0</v>
      </c>
      <c r="P507" s="30">
        <v>252</v>
      </c>
      <c r="Q507" s="1">
        <f t="shared" si="42"/>
        <v>0.80128205128205121</v>
      </c>
      <c r="R507" s="31">
        <f t="shared" si="33"/>
        <v>4.7275641025641022</v>
      </c>
      <c r="S507" s="31">
        <f t="shared" si="34"/>
        <v>-4.7275641025641022</v>
      </c>
      <c r="T507" s="15">
        <v>0</v>
      </c>
      <c r="V507" s="29">
        <v>3090.4</v>
      </c>
      <c r="X507" s="29">
        <f t="shared" si="39"/>
        <v>254514.80000000005</v>
      </c>
      <c r="Y507" s="29">
        <f t="shared" si="41"/>
        <v>32663.80000000001</v>
      </c>
      <c r="AA507" s="29">
        <v>14.765247792122301</v>
      </c>
    </row>
    <row r="508" spans="1:27" s="45" customFormat="1" ht="15" customHeight="1" thickBot="1" x14ac:dyDescent="0.3">
      <c r="A508" s="72"/>
      <c r="B508" s="43"/>
      <c r="C508" s="44">
        <v>40681</v>
      </c>
      <c r="D508" s="45">
        <v>20.100000000000001</v>
      </c>
      <c r="E508" s="45">
        <v>13.6</v>
      </c>
      <c r="F508" s="45">
        <v>27.4</v>
      </c>
      <c r="G508" s="45">
        <f t="shared" si="35"/>
        <v>2684.7999999999993</v>
      </c>
      <c r="H508" s="45">
        <f t="shared" si="40"/>
        <v>309.3</v>
      </c>
      <c r="J508" s="45">
        <v>0</v>
      </c>
      <c r="K508" s="45">
        <f t="shared" si="36"/>
        <v>349.89999999999986</v>
      </c>
      <c r="L508" s="45">
        <v>6.4</v>
      </c>
      <c r="M508" s="45">
        <f t="shared" si="37"/>
        <v>522.99999999999977</v>
      </c>
      <c r="N508" s="45">
        <v>-6.4</v>
      </c>
      <c r="O508" s="45">
        <v>0</v>
      </c>
      <c r="P508" s="46">
        <v>253</v>
      </c>
      <c r="Q508" s="1">
        <f t="shared" si="42"/>
        <v>0.78076923076923066</v>
      </c>
      <c r="R508" s="48">
        <f t="shared" si="33"/>
        <v>4.9969230769230766</v>
      </c>
      <c r="S508" s="48">
        <f t="shared" si="34"/>
        <v>-4.9969230769230766</v>
      </c>
      <c r="T508" s="50">
        <v>0</v>
      </c>
      <c r="V508" s="45">
        <v>2663</v>
      </c>
      <c r="X508" s="45">
        <f t="shared" si="39"/>
        <v>257177.80000000005</v>
      </c>
      <c r="Y508" s="45">
        <f t="shared" si="41"/>
        <v>35326.80000000001</v>
      </c>
      <c r="AA508" s="45">
        <v>14.800337303197701</v>
      </c>
    </row>
    <row r="509" spans="1:27" s="1" customFormat="1" x14ac:dyDescent="0.25">
      <c r="A509" s="65">
        <v>1000</v>
      </c>
      <c r="B509" s="3"/>
      <c r="C509" s="8">
        <v>40682</v>
      </c>
      <c r="D509" s="1">
        <v>19.3</v>
      </c>
      <c r="E509" s="1">
        <v>14.8</v>
      </c>
      <c r="F509" s="1">
        <v>26.3</v>
      </c>
      <c r="G509" s="1">
        <f t="shared" si="35"/>
        <v>2704.0999999999995</v>
      </c>
      <c r="H509" s="29">
        <f>D509</f>
        <v>19.3</v>
      </c>
      <c r="I509" s="40" t="s">
        <v>30</v>
      </c>
      <c r="J509" s="1">
        <v>0</v>
      </c>
      <c r="K509" s="1">
        <f t="shared" si="36"/>
        <v>349.89999999999986</v>
      </c>
      <c r="L509" s="1">
        <v>4.3</v>
      </c>
      <c r="M509" s="1">
        <f t="shared" si="37"/>
        <v>527.29999999999973</v>
      </c>
      <c r="N509" s="1">
        <v>-4.3</v>
      </c>
      <c r="O509" s="1">
        <v>0</v>
      </c>
      <c r="P509" s="6">
        <v>254</v>
      </c>
      <c r="Q509" s="1">
        <f t="shared" si="42"/>
        <v>0.76025641025641022</v>
      </c>
      <c r="R509" s="14">
        <f t="shared" si="33"/>
        <v>3.2691025641025639</v>
      </c>
      <c r="S509" s="14">
        <f t="shared" si="34"/>
        <v>-3.2691025641025639</v>
      </c>
      <c r="T509" s="15">
        <v>0</v>
      </c>
      <c r="U509" s="40" t="s">
        <v>31</v>
      </c>
      <c r="V509" s="1">
        <v>1779.3</v>
      </c>
      <c r="X509" s="1">
        <f t="shared" si="39"/>
        <v>258957.10000000003</v>
      </c>
      <c r="Y509" s="29">
        <f>V509</f>
        <v>1779.3</v>
      </c>
      <c r="Z509" s="40" t="s">
        <v>32</v>
      </c>
      <c r="AA509" s="1">
        <v>14.834737512209999</v>
      </c>
    </row>
    <row r="510" spans="1:27" s="1" customFormat="1" x14ac:dyDescent="0.25">
      <c r="A510" s="65"/>
      <c r="B510" s="3"/>
      <c r="C510" s="8">
        <v>40683</v>
      </c>
      <c r="D510" s="1">
        <v>20.3</v>
      </c>
      <c r="E510" s="1">
        <v>13.3</v>
      </c>
      <c r="F510" s="1">
        <v>25.9</v>
      </c>
      <c r="G510" s="1">
        <f t="shared" si="35"/>
        <v>2724.3999999999996</v>
      </c>
      <c r="H510" s="29">
        <f t="shared" si="40"/>
        <v>39.6</v>
      </c>
      <c r="I510" s="1">
        <f>MIN(E509:E530)</f>
        <v>11.1</v>
      </c>
      <c r="J510" s="1">
        <v>0</v>
      </c>
      <c r="K510" s="1">
        <f t="shared" si="36"/>
        <v>349.89999999999986</v>
      </c>
      <c r="L510" s="1">
        <v>4.7</v>
      </c>
      <c r="M510" s="1">
        <f t="shared" si="37"/>
        <v>531.99999999999977</v>
      </c>
      <c r="N510" s="1">
        <v>-4.7</v>
      </c>
      <c r="O510" s="1">
        <v>0</v>
      </c>
      <c r="P510" s="6">
        <v>255</v>
      </c>
      <c r="Q510" s="1">
        <f t="shared" si="42"/>
        <v>0.73974358974358978</v>
      </c>
      <c r="R510" s="14">
        <f t="shared" si="33"/>
        <v>3.4767948717948722</v>
      </c>
      <c r="S510" s="14">
        <f t="shared" si="34"/>
        <v>-3.4767948717948722</v>
      </c>
      <c r="T510" s="15">
        <v>0</v>
      </c>
      <c r="U510" s="1">
        <v>16</v>
      </c>
      <c r="V510" s="1">
        <v>2336.6</v>
      </c>
      <c r="X510" s="1">
        <f t="shared" si="39"/>
        <v>261293.70000000004</v>
      </c>
      <c r="Y510" s="29">
        <f t="shared" si="41"/>
        <v>4115.8999999999996</v>
      </c>
      <c r="Z510" s="1">
        <v>40432.5</v>
      </c>
      <c r="AA510" s="1">
        <v>14.868428284606299</v>
      </c>
    </row>
    <row r="511" spans="1:27" s="1" customFormat="1" x14ac:dyDescent="0.25">
      <c r="A511" s="65"/>
      <c r="B511" s="3"/>
      <c r="C511" s="8">
        <v>40684</v>
      </c>
      <c r="D511" s="1">
        <v>21.6</v>
      </c>
      <c r="E511" s="1">
        <v>15.7</v>
      </c>
      <c r="F511" s="1">
        <v>26.7</v>
      </c>
      <c r="G511" s="1">
        <f t="shared" si="35"/>
        <v>2745.9999999999995</v>
      </c>
      <c r="H511" s="29">
        <f t="shared" si="40"/>
        <v>61.2</v>
      </c>
      <c r="I511" s="40" t="s">
        <v>33</v>
      </c>
      <c r="J511" s="1">
        <v>0</v>
      </c>
      <c r="K511" s="1">
        <f t="shared" si="36"/>
        <v>349.89999999999986</v>
      </c>
      <c r="L511" s="1">
        <v>5.2</v>
      </c>
      <c r="M511" s="1">
        <f t="shared" si="37"/>
        <v>537.19999999999982</v>
      </c>
      <c r="N511" s="1">
        <v>-5.2</v>
      </c>
      <c r="O511" s="1">
        <v>0</v>
      </c>
      <c r="P511" s="6">
        <v>256</v>
      </c>
      <c r="Q511" s="1">
        <f t="shared" si="42"/>
        <v>0.71923076923076912</v>
      </c>
      <c r="R511" s="14">
        <f t="shared" si="33"/>
        <v>3.7399999999999993</v>
      </c>
      <c r="S511" s="14">
        <f t="shared" si="34"/>
        <v>-3.7399999999999993</v>
      </c>
      <c r="T511" s="15">
        <v>0</v>
      </c>
      <c r="U511" s="40" t="s">
        <v>34</v>
      </c>
      <c r="V511" s="1">
        <v>2418.5</v>
      </c>
      <c r="X511" s="1">
        <f t="shared" si="39"/>
        <v>263712.20000000007</v>
      </c>
      <c r="Y511" s="29">
        <f t="shared" si="41"/>
        <v>6534.4</v>
      </c>
      <c r="Z511" s="40" t="s">
        <v>35</v>
      </c>
      <c r="AA511" s="1">
        <v>14.9013894033589</v>
      </c>
    </row>
    <row r="512" spans="1:27" s="1" customFormat="1" x14ac:dyDescent="0.25">
      <c r="A512" s="65"/>
      <c r="B512" s="3"/>
      <c r="C512" s="8">
        <v>40685</v>
      </c>
      <c r="D512" s="1">
        <v>18.3</v>
      </c>
      <c r="E512" s="1">
        <v>16.7</v>
      </c>
      <c r="F512" s="1">
        <v>20.6</v>
      </c>
      <c r="G512" s="1">
        <f t="shared" si="35"/>
        <v>2764.2999999999997</v>
      </c>
      <c r="H512" s="29">
        <f t="shared" si="40"/>
        <v>79.5</v>
      </c>
      <c r="I512" s="1">
        <f>MAX(F509:F530)</f>
        <v>30.8</v>
      </c>
      <c r="J512" s="1">
        <v>0</v>
      </c>
      <c r="K512" s="1">
        <f t="shared" si="36"/>
        <v>349.89999999999986</v>
      </c>
      <c r="L512" s="1">
        <v>3</v>
      </c>
      <c r="M512" s="1">
        <f t="shared" si="37"/>
        <v>540.19999999999982</v>
      </c>
      <c r="N512" s="1">
        <v>-3</v>
      </c>
      <c r="O512" s="1">
        <v>0</v>
      </c>
      <c r="P512" s="6">
        <v>257</v>
      </c>
      <c r="Q512" s="1">
        <f t="shared" si="42"/>
        <v>0.69871794871794868</v>
      </c>
      <c r="R512" s="14">
        <f t="shared" ref="R512:R530" si="43">Q512*L512</f>
        <v>2.0961538461538458</v>
      </c>
      <c r="S512" s="14">
        <f t="shared" si="34"/>
        <v>-2.0961538461538458</v>
      </c>
      <c r="T512" s="15">
        <v>0</v>
      </c>
      <c r="U512" s="1">
        <v>11</v>
      </c>
      <c r="V512" s="1">
        <v>1009.4</v>
      </c>
      <c r="X512" s="1">
        <f t="shared" si="39"/>
        <v>264721.60000000009</v>
      </c>
      <c r="Y512" s="29">
        <f t="shared" si="41"/>
        <v>7543.7999999999993</v>
      </c>
      <c r="Z512" s="16">
        <f>(Z510/100)/I522</f>
        <v>1.0000618352708384</v>
      </c>
      <c r="AA512" s="1">
        <v>14.933600602715901</v>
      </c>
    </row>
    <row r="513" spans="1:27" s="1" customFormat="1" x14ac:dyDescent="0.25">
      <c r="A513" s="65"/>
      <c r="B513" s="3"/>
      <c r="C513" s="8">
        <v>40686</v>
      </c>
      <c r="D513" s="1">
        <v>20.8</v>
      </c>
      <c r="E513" s="1">
        <v>14</v>
      </c>
      <c r="F513" s="1">
        <v>28.3</v>
      </c>
      <c r="G513" s="1">
        <f t="shared" si="35"/>
        <v>2785.1</v>
      </c>
      <c r="H513" s="29">
        <f t="shared" si="40"/>
        <v>100.3</v>
      </c>
      <c r="I513" s="40" t="s">
        <v>36</v>
      </c>
      <c r="J513" s="1">
        <v>0</v>
      </c>
      <c r="K513" s="1">
        <f t="shared" si="36"/>
        <v>349.89999999999986</v>
      </c>
      <c r="L513" s="1">
        <v>6.3</v>
      </c>
      <c r="M513" s="1">
        <f t="shared" si="37"/>
        <v>546.49999999999977</v>
      </c>
      <c r="N513" s="1">
        <v>-6.3</v>
      </c>
      <c r="O513" s="1">
        <v>0</v>
      </c>
      <c r="P513" s="6">
        <v>258</v>
      </c>
      <c r="Q513" s="1">
        <f t="shared" si="42"/>
        <v>0.67820512820512813</v>
      </c>
      <c r="R513" s="14">
        <f t="shared" si="43"/>
        <v>4.2726923076923073</v>
      </c>
      <c r="S513" s="14">
        <f t="shared" ref="S513:S530" si="44">J513-R513</f>
        <v>-4.2726923076923073</v>
      </c>
      <c r="T513" s="15">
        <v>0</v>
      </c>
      <c r="U513" s="40" t="s">
        <v>37</v>
      </c>
      <c r="V513" s="1">
        <v>3001.2</v>
      </c>
      <c r="X513" s="1">
        <f t="shared" si="39"/>
        <v>267722.8000000001</v>
      </c>
      <c r="Y513" s="29">
        <f t="shared" si="41"/>
        <v>10545</v>
      </c>
      <c r="Z513" s="40" t="s">
        <v>38</v>
      </c>
      <c r="AA513" s="1">
        <v>14.965041603728499</v>
      </c>
    </row>
    <row r="514" spans="1:27" s="1" customFormat="1" x14ac:dyDescent="0.25">
      <c r="A514" s="65"/>
      <c r="B514" s="3"/>
      <c r="C514" s="8">
        <v>40687</v>
      </c>
      <c r="D514" s="1">
        <v>21</v>
      </c>
      <c r="E514" s="1">
        <v>16</v>
      </c>
      <c r="F514" s="1">
        <v>25.7</v>
      </c>
      <c r="G514" s="1">
        <f t="shared" ref="G514:G530" si="45">G513+D514</f>
        <v>2806.1</v>
      </c>
      <c r="H514" s="29">
        <f t="shared" si="40"/>
        <v>121.3</v>
      </c>
      <c r="I514" s="14">
        <f>AVERAGE(D509:D530)</f>
        <v>18.377272727272725</v>
      </c>
      <c r="J514" s="1">
        <v>0</v>
      </c>
      <c r="K514" s="1">
        <f t="shared" ref="K514:K530" si="46">K513+J514</f>
        <v>349.89999999999986</v>
      </c>
      <c r="L514" s="1">
        <v>6.9</v>
      </c>
      <c r="M514" s="1">
        <f t="shared" ref="M514:M530" si="47">M513+L514</f>
        <v>553.39999999999975</v>
      </c>
      <c r="N514" s="1">
        <v>-6.9</v>
      </c>
      <c r="O514" s="1">
        <v>0</v>
      </c>
      <c r="P514" s="6">
        <v>259</v>
      </c>
      <c r="Q514" s="1">
        <f t="shared" si="42"/>
        <v>0.65769230769230758</v>
      </c>
      <c r="R514" s="14">
        <f t="shared" si="43"/>
        <v>4.5380769230769227</v>
      </c>
      <c r="S514" s="14">
        <f t="shared" si="44"/>
        <v>-4.5380769230769227</v>
      </c>
      <c r="T514" s="15">
        <v>0</v>
      </c>
      <c r="U514" s="1">
        <v>11</v>
      </c>
      <c r="V514" s="1">
        <v>3104.3</v>
      </c>
      <c r="X514" s="1">
        <f t="shared" ref="X514:X530" si="48">X513+V514</f>
        <v>270827.10000000009</v>
      </c>
      <c r="Y514" s="29">
        <f t="shared" si="41"/>
        <v>13649.3</v>
      </c>
      <c r="Z514" s="1">
        <v>1</v>
      </c>
      <c r="AA514" s="1">
        <v>14.995692151489401</v>
      </c>
    </row>
    <row r="515" spans="1:27" s="1" customFormat="1" x14ac:dyDescent="0.25">
      <c r="A515" s="65"/>
      <c r="B515" s="3"/>
      <c r="C515" s="8">
        <v>40688</v>
      </c>
      <c r="D515" s="1">
        <v>23</v>
      </c>
      <c r="E515" s="1">
        <v>16.3</v>
      </c>
      <c r="F515" s="1">
        <v>30.8</v>
      </c>
      <c r="G515" s="1">
        <f t="shared" si="45"/>
        <v>2829.1</v>
      </c>
      <c r="H515" s="29">
        <f t="shared" si="40"/>
        <v>144.30000000000001</v>
      </c>
      <c r="I515" s="40" t="s">
        <v>39</v>
      </c>
      <c r="J515" s="1">
        <v>0</v>
      </c>
      <c r="K515" s="1">
        <f t="shared" si="46"/>
        <v>349.89999999999986</v>
      </c>
      <c r="L515" s="1">
        <v>6.7</v>
      </c>
      <c r="M515" s="1">
        <f t="shared" si="47"/>
        <v>560.0999999999998</v>
      </c>
      <c r="N515" s="1">
        <v>-6.7</v>
      </c>
      <c r="O515" s="1">
        <v>0</v>
      </c>
      <c r="P515" s="6">
        <v>260</v>
      </c>
      <c r="Q515" s="1">
        <f t="shared" si="42"/>
        <v>0.63717948717948714</v>
      </c>
      <c r="R515" s="14">
        <f t="shared" si="43"/>
        <v>4.2691025641025639</v>
      </c>
      <c r="S515" s="14">
        <f t="shared" si="44"/>
        <v>-4.2691025641025639</v>
      </c>
      <c r="T515" s="15">
        <v>0</v>
      </c>
      <c r="U515" s="40" t="s">
        <v>40</v>
      </c>
      <c r="V515" s="1">
        <v>2982.7</v>
      </c>
      <c r="X515" s="1">
        <f t="shared" si="48"/>
        <v>273809.8000000001</v>
      </c>
      <c r="Y515" s="29">
        <f t="shared" si="41"/>
        <v>16632</v>
      </c>
      <c r="AA515" s="1">
        <v>15.0255320540036</v>
      </c>
    </row>
    <row r="516" spans="1:27" s="1" customFormat="1" x14ac:dyDescent="0.25">
      <c r="A516" s="65"/>
      <c r="B516" s="3"/>
      <c r="C516" s="8">
        <v>40689</v>
      </c>
      <c r="D516" s="1">
        <v>19.5</v>
      </c>
      <c r="E516" s="1">
        <v>16.8</v>
      </c>
      <c r="F516" s="1">
        <v>21.6</v>
      </c>
      <c r="G516" s="1">
        <f t="shared" si="45"/>
        <v>2848.6</v>
      </c>
      <c r="H516" s="29">
        <f t="shared" si="40"/>
        <v>163.80000000000001</v>
      </c>
      <c r="I516" s="1">
        <v>0</v>
      </c>
      <c r="J516" s="1">
        <v>0.1</v>
      </c>
      <c r="K516" s="1">
        <f t="shared" si="46"/>
        <v>349.99999999999989</v>
      </c>
      <c r="L516" s="1">
        <v>3.2</v>
      </c>
      <c r="M516" s="1">
        <f t="shared" si="47"/>
        <v>563.29999999999984</v>
      </c>
      <c r="N516" s="1">
        <v>-3.1</v>
      </c>
      <c r="O516" s="1">
        <v>0</v>
      </c>
      <c r="P516" s="6">
        <v>261</v>
      </c>
      <c r="Q516" s="1">
        <f t="shared" si="42"/>
        <v>0.6166666666666667</v>
      </c>
      <c r="R516" s="14">
        <f t="shared" si="43"/>
        <v>1.9733333333333336</v>
      </c>
      <c r="S516" s="14">
        <f t="shared" si="44"/>
        <v>-1.8733333333333335</v>
      </c>
      <c r="T516" s="15">
        <v>0</v>
      </c>
      <c r="U516" s="14">
        <v>0</v>
      </c>
      <c r="V516" s="1">
        <v>1034.9000000000001</v>
      </c>
      <c r="X516" s="1">
        <f t="shared" si="48"/>
        <v>274844.70000000013</v>
      </c>
      <c r="Y516" s="29">
        <f t="shared" si="41"/>
        <v>17666.900000000001</v>
      </c>
      <c r="AA516" s="1">
        <v>15.0545412225981</v>
      </c>
    </row>
    <row r="517" spans="1:27" s="1" customFormat="1" x14ac:dyDescent="0.25">
      <c r="A517" s="65"/>
      <c r="B517" s="3"/>
      <c r="C517" s="8">
        <v>40690</v>
      </c>
      <c r="D517" s="1">
        <v>16.8</v>
      </c>
      <c r="E517" s="1">
        <v>11.8</v>
      </c>
      <c r="F517" s="1">
        <v>19.7</v>
      </c>
      <c r="G517" s="1">
        <f t="shared" si="45"/>
        <v>2865.4</v>
      </c>
      <c r="H517" s="29">
        <f t="shared" si="40"/>
        <v>180.60000000000002</v>
      </c>
      <c r="I517" s="40" t="s">
        <v>41</v>
      </c>
      <c r="J517" s="1">
        <v>0</v>
      </c>
      <c r="K517" s="1">
        <f t="shared" si="46"/>
        <v>349.99999999999989</v>
      </c>
      <c r="L517" s="1">
        <v>3.6</v>
      </c>
      <c r="M517" s="1">
        <f t="shared" si="47"/>
        <v>566.89999999999986</v>
      </c>
      <c r="N517" s="1">
        <v>-3.6</v>
      </c>
      <c r="O517" s="1">
        <v>0</v>
      </c>
      <c r="P517" s="6">
        <v>262</v>
      </c>
      <c r="Q517" s="1">
        <f t="shared" si="42"/>
        <v>0.59615384615384615</v>
      </c>
      <c r="R517" s="14">
        <f t="shared" si="43"/>
        <v>2.1461538461538461</v>
      </c>
      <c r="S517" s="14">
        <f t="shared" si="44"/>
        <v>-2.1461538461538461</v>
      </c>
      <c r="T517" s="15">
        <v>0</v>
      </c>
      <c r="U517" s="40" t="s">
        <v>42</v>
      </c>
      <c r="V517" s="1">
        <v>1447.4</v>
      </c>
      <c r="X517" s="1">
        <f t="shared" si="48"/>
        <v>276292.10000000015</v>
      </c>
      <c r="Y517" s="29">
        <f t="shared" si="41"/>
        <v>19114.300000000003</v>
      </c>
      <c r="AA517" s="1">
        <v>15.082699713760499</v>
      </c>
    </row>
    <row r="518" spans="1:27" s="1" customFormat="1" x14ac:dyDescent="0.25">
      <c r="A518" s="65"/>
      <c r="B518" s="3"/>
      <c r="C518" s="8">
        <v>40691</v>
      </c>
      <c r="D518" s="1">
        <v>17.7</v>
      </c>
      <c r="E518" s="1">
        <v>12.2</v>
      </c>
      <c r="F518" s="1">
        <v>23.7</v>
      </c>
      <c r="G518" s="1">
        <f t="shared" si="45"/>
        <v>2883.1</v>
      </c>
      <c r="H518" s="29">
        <f t="shared" si="40"/>
        <v>198.3</v>
      </c>
      <c r="I518" s="1">
        <v>8</v>
      </c>
      <c r="J518" s="1">
        <v>0</v>
      </c>
      <c r="K518" s="1">
        <f t="shared" si="46"/>
        <v>349.99999999999989</v>
      </c>
      <c r="L518" s="1">
        <v>6.1</v>
      </c>
      <c r="M518" s="1">
        <f t="shared" si="47"/>
        <v>572.99999999999989</v>
      </c>
      <c r="N518" s="1">
        <v>-6.1</v>
      </c>
      <c r="O518" s="1">
        <v>0</v>
      </c>
      <c r="P518" s="6">
        <v>263</v>
      </c>
      <c r="Q518" s="1">
        <f t="shared" si="42"/>
        <v>0.57564102564102559</v>
      </c>
      <c r="R518" s="14">
        <f t="shared" si="43"/>
        <v>3.5114102564102558</v>
      </c>
      <c r="S518" s="14">
        <f t="shared" si="44"/>
        <v>-3.5114102564102558</v>
      </c>
      <c r="T518" s="15">
        <v>0</v>
      </c>
      <c r="U518" s="31">
        <f>MAX(T509:T530)</f>
        <v>33.024615384615387</v>
      </c>
      <c r="V518" s="1">
        <v>3177.4</v>
      </c>
      <c r="X518" s="1">
        <f t="shared" si="48"/>
        <v>279469.50000000017</v>
      </c>
      <c r="Y518" s="29">
        <f t="shared" si="41"/>
        <v>22291.700000000004</v>
      </c>
      <c r="AA518" s="1">
        <v>15.109987772282</v>
      </c>
    </row>
    <row r="519" spans="1:27" s="29" customFormat="1" x14ac:dyDescent="0.25">
      <c r="A519" s="65"/>
      <c r="B519" s="27"/>
      <c r="C519" s="28">
        <v>40692</v>
      </c>
      <c r="D519" s="29">
        <v>21.2</v>
      </c>
      <c r="E519" s="29">
        <v>12.6</v>
      </c>
      <c r="F519" s="29">
        <v>29.4</v>
      </c>
      <c r="G519" s="29">
        <f t="shared" si="45"/>
        <v>2904.2999999999997</v>
      </c>
      <c r="H519" s="29">
        <f t="shared" si="40"/>
        <v>219.5</v>
      </c>
      <c r="I519" s="40" t="s">
        <v>43</v>
      </c>
      <c r="J519" s="29">
        <v>0.3</v>
      </c>
      <c r="K519" s="29">
        <f t="shared" si="46"/>
        <v>350.2999999999999</v>
      </c>
      <c r="L519" s="29">
        <v>6.5</v>
      </c>
      <c r="M519" s="29">
        <f t="shared" si="47"/>
        <v>579.49999999999989</v>
      </c>
      <c r="N519" s="29">
        <v>-6.2</v>
      </c>
      <c r="O519" s="29">
        <v>0</v>
      </c>
      <c r="P519" s="30">
        <v>264</v>
      </c>
      <c r="Q519" s="1">
        <f t="shared" si="42"/>
        <v>0.55512820512820504</v>
      </c>
      <c r="R519" s="31">
        <f t="shared" si="43"/>
        <v>3.6083333333333329</v>
      </c>
      <c r="S519" s="14">
        <f t="shared" si="44"/>
        <v>-3.3083333333333331</v>
      </c>
      <c r="T519" s="15">
        <v>0</v>
      </c>
      <c r="U519" s="40" t="s">
        <v>44</v>
      </c>
      <c r="V519" s="29">
        <v>2884.4</v>
      </c>
      <c r="X519" s="29">
        <f t="shared" si="48"/>
        <v>282353.9000000002</v>
      </c>
      <c r="Y519" s="29">
        <f t="shared" si="41"/>
        <v>25176.100000000006</v>
      </c>
      <c r="AA519" s="29">
        <v>15.136385875566001</v>
      </c>
    </row>
    <row r="520" spans="1:27" s="1" customFormat="1" ht="15" customHeight="1" x14ac:dyDescent="0.25">
      <c r="A520" s="65"/>
      <c r="B520" s="41"/>
      <c r="C520" s="8">
        <v>40693</v>
      </c>
      <c r="D520" s="1">
        <v>20.7</v>
      </c>
      <c r="E520" s="1">
        <v>18.2</v>
      </c>
      <c r="F520" s="1">
        <v>25.3</v>
      </c>
      <c r="G520" s="1">
        <f t="shared" si="45"/>
        <v>2924.9999999999995</v>
      </c>
      <c r="H520" s="29">
        <f t="shared" si="40"/>
        <v>240.2</v>
      </c>
      <c r="I520" s="29">
        <v>0</v>
      </c>
      <c r="J520" s="1">
        <v>13.4</v>
      </c>
      <c r="K520" s="1">
        <f t="shared" si="46"/>
        <v>363.69999999999987</v>
      </c>
      <c r="L520" s="1">
        <v>4.0999999999999996</v>
      </c>
      <c r="M520" s="1">
        <f t="shared" si="47"/>
        <v>583.59999999999991</v>
      </c>
      <c r="N520" s="1">
        <v>9.3000000000000007</v>
      </c>
      <c r="O520" s="1">
        <f t="shared" ref="O520:O530" si="49">O519+N520</f>
        <v>9.3000000000000007</v>
      </c>
      <c r="P520" s="6">
        <v>265</v>
      </c>
      <c r="Q520" s="1">
        <f t="shared" si="42"/>
        <v>0.53461538461538449</v>
      </c>
      <c r="R520" s="14">
        <f t="shared" si="43"/>
        <v>2.1919230769230764</v>
      </c>
      <c r="S520" s="14">
        <f t="shared" si="44"/>
        <v>11.208076923076923</v>
      </c>
      <c r="T520" s="15">
        <f t="shared" ref="T520:T530" si="50">T519+S520</f>
        <v>11.208076923076923</v>
      </c>
      <c r="U520" s="55">
        <f>AVERAGE(T509:T530)</f>
        <v>10.452768065268065</v>
      </c>
      <c r="V520" s="1">
        <v>1465.7</v>
      </c>
      <c r="X520" s="1">
        <f t="shared" si="48"/>
        <v>283819.60000000021</v>
      </c>
      <c r="Y520" s="29">
        <f t="shared" si="41"/>
        <v>26641.800000000007</v>
      </c>
      <c r="AA520" s="1">
        <v>15.1618747789451</v>
      </c>
    </row>
    <row r="521" spans="1:27" s="1" customFormat="1" x14ac:dyDescent="0.25">
      <c r="A521" s="65"/>
      <c r="B521" s="41"/>
      <c r="C521" s="8">
        <v>40694</v>
      </c>
      <c r="D521" s="1">
        <v>15.3</v>
      </c>
      <c r="E521" s="1">
        <v>12.6</v>
      </c>
      <c r="F521" s="1">
        <v>17.399999999999999</v>
      </c>
      <c r="G521" s="1">
        <f t="shared" si="45"/>
        <v>2940.2999999999997</v>
      </c>
      <c r="H521" s="29">
        <f t="shared" si="40"/>
        <v>255.5</v>
      </c>
      <c r="I521" s="40" t="s">
        <v>45</v>
      </c>
      <c r="J521" s="1">
        <v>2.6</v>
      </c>
      <c r="K521" s="1">
        <f t="shared" si="46"/>
        <v>366.2999999999999</v>
      </c>
      <c r="L521" s="1">
        <v>2.2999999999999998</v>
      </c>
      <c r="M521" s="1">
        <f t="shared" si="47"/>
        <v>585.89999999999986</v>
      </c>
      <c r="N521" s="1">
        <v>0.30000000000000027</v>
      </c>
      <c r="O521" s="1">
        <f t="shared" si="49"/>
        <v>9.6000000000000014</v>
      </c>
      <c r="P521" s="6">
        <v>266</v>
      </c>
      <c r="Q521" s="1">
        <f t="shared" si="42"/>
        <v>0.51410256410256405</v>
      </c>
      <c r="R521" s="14">
        <f t="shared" si="43"/>
        <v>1.1824358974358973</v>
      </c>
      <c r="S521" s="14">
        <f t="shared" si="44"/>
        <v>1.4175641025641028</v>
      </c>
      <c r="T521" s="15">
        <f t="shared" si="50"/>
        <v>12.625641025641027</v>
      </c>
      <c r="V521" s="1">
        <v>908.5</v>
      </c>
      <c r="X521" s="1">
        <f t="shared" si="48"/>
        <v>284728.10000000021</v>
      </c>
      <c r="Y521" s="29">
        <f t="shared" si="41"/>
        <v>27550.300000000007</v>
      </c>
      <c r="AA521" s="1">
        <v>15.186435561837699</v>
      </c>
    </row>
    <row r="522" spans="1:27" s="1" customFormat="1" x14ac:dyDescent="0.25">
      <c r="A522" s="65"/>
      <c r="B522" s="41"/>
      <c r="C522" s="8">
        <v>40695</v>
      </c>
      <c r="D522" s="1">
        <v>13</v>
      </c>
      <c r="E522" s="1">
        <v>11.1</v>
      </c>
      <c r="F522" s="1">
        <v>17.2</v>
      </c>
      <c r="G522" s="1">
        <f t="shared" si="45"/>
        <v>2953.2999999999997</v>
      </c>
      <c r="H522" s="29">
        <f t="shared" si="40"/>
        <v>268.5</v>
      </c>
      <c r="I522" s="1">
        <v>404.3</v>
      </c>
      <c r="J522" s="1">
        <v>9.5</v>
      </c>
      <c r="K522" s="1">
        <f t="shared" si="46"/>
        <v>375.7999999999999</v>
      </c>
      <c r="L522" s="1">
        <v>3.6</v>
      </c>
      <c r="M522" s="1">
        <f t="shared" si="47"/>
        <v>589.49999999999989</v>
      </c>
      <c r="N522" s="1">
        <v>5.9</v>
      </c>
      <c r="O522" s="1">
        <f t="shared" si="49"/>
        <v>15.500000000000002</v>
      </c>
      <c r="P522" s="6">
        <v>267</v>
      </c>
      <c r="Q522" s="1">
        <f t="shared" si="42"/>
        <v>0.49358974358974361</v>
      </c>
      <c r="R522" s="14">
        <f t="shared" si="43"/>
        <v>1.776923076923077</v>
      </c>
      <c r="S522" s="14">
        <f t="shared" si="44"/>
        <v>7.7230769230769232</v>
      </c>
      <c r="T522" s="15">
        <f t="shared" si="50"/>
        <v>20.348717948717951</v>
      </c>
      <c r="U522" s="14">
        <f>(U520*100)/122.1</f>
        <v>8.5608256062801509</v>
      </c>
      <c r="V522" s="1">
        <v>1387</v>
      </c>
      <c r="X522" s="1">
        <f t="shared" si="48"/>
        <v>286115.10000000021</v>
      </c>
      <c r="Y522" s="29">
        <f t="shared" si="41"/>
        <v>28937.300000000007</v>
      </c>
      <c r="AA522" s="1">
        <v>15.2100496745591</v>
      </c>
    </row>
    <row r="523" spans="1:27" s="1" customFormat="1" x14ac:dyDescent="0.25">
      <c r="A523" s="65"/>
      <c r="B523" s="41"/>
      <c r="C523" s="8">
        <v>40696</v>
      </c>
      <c r="D523" s="1">
        <v>14.2</v>
      </c>
      <c r="E523" s="1">
        <v>11.3</v>
      </c>
      <c r="F523" s="1">
        <v>17.2</v>
      </c>
      <c r="G523" s="1">
        <f t="shared" si="45"/>
        <v>2967.4999999999995</v>
      </c>
      <c r="H523" s="29">
        <f t="shared" si="40"/>
        <v>282.7</v>
      </c>
      <c r="J523" s="1">
        <v>0.2</v>
      </c>
      <c r="K523" s="1">
        <f t="shared" si="46"/>
        <v>375.99999999999989</v>
      </c>
      <c r="L523" s="1">
        <v>1.9</v>
      </c>
      <c r="M523" s="1">
        <f t="shared" si="47"/>
        <v>591.39999999999986</v>
      </c>
      <c r="N523" s="1">
        <v>-1.7</v>
      </c>
      <c r="O523" s="1">
        <f t="shared" si="49"/>
        <v>13.800000000000002</v>
      </c>
      <c r="P523" s="6">
        <v>268</v>
      </c>
      <c r="Q523" s="1">
        <f t="shared" si="42"/>
        <v>0.47307692307692306</v>
      </c>
      <c r="R523" s="14">
        <f t="shared" si="43"/>
        <v>0.89884615384615374</v>
      </c>
      <c r="S523" s="14">
        <f t="shared" si="44"/>
        <v>-0.69884615384615367</v>
      </c>
      <c r="T523" s="15">
        <f t="shared" si="50"/>
        <v>19.649871794871796</v>
      </c>
      <c r="V523" s="1">
        <v>988.7</v>
      </c>
      <c r="X523" s="1">
        <f t="shared" si="48"/>
        <v>287103.80000000022</v>
      </c>
      <c r="Y523" s="29">
        <f t="shared" si="41"/>
        <v>29926.000000000007</v>
      </c>
      <c r="AA523" s="1">
        <v>15.232698985588801</v>
      </c>
    </row>
    <row r="524" spans="1:27" s="1" customFormat="1" x14ac:dyDescent="0.25">
      <c r="A524" s="65"/>
      <c r="B524" s="41"/>
      <c r="C524" s="8">
        <v>40697</v>
      </c>
      <c r="D524" s="1">
        <v>17.899999999999999</v>
      </c>
      <c r="E524" s="1">
        <v>12.4</v>
      </c>
      <c r="F524" s="1">
        <v>24.5</v>
      </c>
      <c r="G524" s="1">
        <f t="shared" si="45"/>
        <v>2985.3999999999996</v>
      </c>
      <c r="H524" s="29">
        <f t="shared" si="40"/>
        <v>300.59999999999997</v>
      </c>
      <c r="J524" s="1">
        <v>0</v>
      </c>
      <c r="K524" s="1">
        <f t="shared" si="46"/>
        <v>375.99999999999989</v>
      </c>
      <c r="L524" s="1">
        <v>3.7</v>
      </c>
      <c r="M524" s="1">
        <f t="shared" si="47"/>
        <v>595.09999999999991</v>
      </c>
      <c r="N524" s="1">
        <v>-3.7</v>
      </c>
      <c r="O524" s="1">
        <f t="shared" si="49"/>
        <v>10.100000000000001</v>
      </c>
      <c r="P524" s="6">
        <v>269</v>
      </c>
      <c r="Q524" s="1">
        <f t="shared" si="42"/>
        <v>0.45256410256410251</v>
      </c>
      <c r="R524" s="14">
        <f t="shared" si="43"/>
        <v>1.6744871794871794</v>
      </c>
      <c r="S524" s="14">
        <f t="shared" si="44"/>
        <v>-1.6744871794871794</v>
      </c>
      <c r="T524" s="15">
        <f t="shared" si="50"/>
        <v>17.975384615384616</v>
      </c>
      <c r="V524" s="1">
        <v>1864.5</v>
      </c>
      <c r="X524" s="1">
        <f t="shared" si="48"/>
        <v>288968.30000000022</v>
      </c>
      <c r="Y524" s="29">
        <f t="shared" si="41"/>
        <v>31790.500000000007</v>
      </c>
      <c r="AA524" s="1">
        <v>15.254365829083101</v>
      </c>
    </row>
    <row r="525" spans="1:27" s="1" customFormat="1" x14ac:dyDescent="0.25">
      <c r="A525" s="65"/>
      <c r="B525" s="41"/>
      <c r="C525" s="8">
        <v>40698</v>
      </c>
      <c r="D525" s="1">
        <v>17.7</v>
      </c>
      <c r="E525" s="1">
        <v>13.8</v>
      </c>
      <c r="F525" s="1">
        <v>21.4</v>
      </c>
      <c r="G525" s="1">
        <f t="shared" si="45"/>
        <v>3003.0999999999995</v>
      </c>
      <c r="H525" s="29">
        <f t="shared" si="40"/>
        <v>318.29999999999995</v>
      </c>
      <c r="J525" s="1">
        <v>0.9</v>
      </c>
      <c r="K525" s="1">
        <f t="shared" si="46"/>
        <v>376.89999999999986</v>
      </c>
      <c r="L525" s="1">
        <v>1.9</v>
      </c>
      <c r="M525" s="1">
        <f t="shared" si="47"/>
        <v>596.99999999999989</v>
      </c>
      <c r="N525" s="1">
        <v>-0.99999999999999989</v>
      </c>
      <c r="O525" s="1">
        <f t="shared" si="49"/>
        <v>9.1000000000000014</v>
      </c>
      <c r="P525" s="6">
        <v>270</v>
      </c>
      <c r="Q525" s="1">
        <f t="shared" si="42"/>
        <v>0.43205128205128196</v>
      </c>
      <c r="R525" s="14">
        <f t="shared" si="43"/>
        <v>0.82089743589743569</v>
      </c>
      <c r="S525" s="14">
        <f t="shared" si="44"/>
        <v>7.9102564102564332E-2</v>
      </c>
      <c r="T525" s="15">
        <f t="shared" si="50"/>
        <v>18.054487179487179</v>
      </c>
      <c r="V525" s="1">
        <v>1136.4000000000001</v>
      </c>
      <c r="X525" s="1">
        <f t="shared" si="48"/>
        <v>290104.70000000024</v>
      </c>
      <c r="Y525" s="29">
        <f t="shared" si="41"/>
        <v>32926.900000000009</v>
      </c>
      <c r="AA525" s="1">
        <v>15.2750330524105</v>
      </c>
    </row>
    <row r="526" spans="1:27" s="1" customFormat="1" x14ac:dyDescent="0.25">
      <c r="A526" s="65"/>
      <c r="B526" s="41"/>
      <c r="C526" s="8">
        <v>40699</v>
      </c>
      <c r="D526" s="1">
        <v>18.899999999999999</v>
      </c>
      <c r="E526" s="1">
        <v>15</v>
      </c>
      <c r="F526" s="1">
        <v>22.8</v>
      </c>
      <c r="G526" s="1">
        <f t="shared" si="45"/>
        <v>3021.9999999999995</v>
      </c>
      <c r="H526" s="29">
        <f t="shared" si="40"/>
        <v>337.19999999999993</v>
      </c>
      <c r="J526" s="1">
        <v>0.1</v>
      </c>
      <c r="K526" s="1">
        <f t="shared" si="46"/>
        <v>376.99999999999989</v>
      </c>
      <c r="L526" s="1">
        <v>3.8</v>
      </c>
      <c r="M526" s="1">
        <f t="shared" si="47"/>
        <v>600.79999999999984</v>
      </c>
      <c r="N526" s="1">
        <v>-3.6999999999999997</v>
      </c>
      <c r="O526" s="1">
        <f t="shared" si="49"/>
        <v>5.4000000000000021</v>
      </c>
      <c r="P526" s="6">
        <v>271</v>
      </c>
      <c r="Q526" s="1">
        <f t="shared" si="42"/>
        <v>0.41153846153846152</v>
      </c>
      <c r="R526" s="14">
        <f t="shared" si="43"/>
        <v>1.5638461538461537</v>
      </c>
      <c r="S526" s="14">
        <f t="shared" si="44"/>
        <v>-1.4638461538461536</v>
      </c>
      <c r="T526" s="15">
        <f t="shared" si="50"/>
        <v>16.590641025641027</v>
      </c>
      <c r="V526" s="1">
        <v>1913.3</v>
      </c>
      <c r="X526" s="1">
        <f t="shared" si="48"/>
        <v>292018.00000000023</v>
      </c>
      <c r="Y526" s="29">
        <f t="shared" si="41"/>
        <v>34840.200000000012</v>
      </c>
      <c r="AA526" s="1">
        <v>15.2946840634769</v>
      </c>
    </row>
    <row r="527" spans="1:27" s="1" customFormat="1" x14ac:dyDescent="0.25">
      <c r="A527" s="65"/>
      <c r="B527" s="41"/>
      <c r="C527" s="8">
        <v>40700</v>
      </c>
      <c r="D527" s="1">
        <v>20</v>
      </c>
      <c r="E527" s="1">
        <v>16.2</v>
      </c>
      <c r="F527" s="1">
        <v>24.6</v>
      </c>
      <c r="G527" s="1">
        <f t="shared" si="45"/>
        <v>3041.9999999999995</v>
      </c>
      <c r="H527" s="29">
        <f t="shared" ref="H527:H530" si="51">H526+D527</f>
        <v>357.19999999999993</v>
      </c>
      <c r="J527" s="1">
        <v>0.4</v>
      </c>
      <c r="K527" s="1">
        <f t="shared" si="46"/>
        <v>377.39999999999986</v>
      </c>
      <c r="L527" s="1">
        <v>4.2</v>
      </c>
      <c r="M527" s="1">
        <f t="shared" si="47"/>
        <v>604.99999999999989</v>
      </c>
      <c r="N527" s="1">
        <v>-3.8000000000000003</v>
      </c>
      <c r="O527" s="1">
        <f t="shared" si="49"/>
        <v>1.6000000000000019</v>
      </c>
      <c r="P527" s="6">
        <v>272</v>
      </c>
      <c r="Q527" s="1">
        <f t="shared" si="42"/>
        <v>0.39102564102564108</v>
      </c>
      <c r="R527" s="14">
        <f t="shared" si="43"/>
        <v>1.6423076923076927</v>
      </c>
      <c r="S527" s="14">
        <f t="shared" si="44"/>
        <v>-1.2423076923076928</v>
      </c>
      <c r="T527" s="15">
        <f t="shared" si="50"/>
        <v>15.348333333333334</v>
      </c>
      <c r="V527" s="1">
        <v>1864.9</v>
      </c>
      <c r="X527" s="1">
        <f t="shared" si="48"/>
        <v>293882.90000000026</v>
      </c>
      <c r="Y527" s="29">
        <f t="shared" ref="Y527:Y530" si="52">Y526+V527</f>
        <v>36705.100000000013</v>
      </c>
      <c r="AA527" s="1">
        <v>15.313302877599099</v>
      </c>
    </row>
    <row r="528" spans="1:27" s="1" customFormat="1" x14ac:dyDescent="0.25">
      <c r="A528" s="65"/>
      <c r="B528" s="41"/>
      <c r="C528" s="8">
        <v>40701</v>
      </c>
      <c r="D528" s="1">
        <v>15.6</v>
      </c>
      <c r="E528" s="1">
        <v>14.7</v>
      </c>
      <c r="F528" s="1">
        <v>17</v>
      </c>
      <c r="G528" s="1">
        <f t="shared" si="45"/>
        <v>3057.5999999999995</v>
      </c>
      <c r="H528" s="29">
        <f t="shared" si="51"/>
        <v>372.79999999999995</v>
      </c>
      <c r="J528" s="1">
        <v>18</v>
      </c>
      <c r="K528" s="1">
        <f t="shared" si="46"/>
        <v>395.39999999999986</v>
      </c>
      <c r="L528" s="1">
        <v>1.4</v>
      </c>
      <c r="M528" s="1">
        <f t="shared" si="47"/>
        <v>606.39999999999986</v>
      </c>
      <c r="N528" s="1">
        <v>16.600000000000001</v>
      </c>
      <c r="O528" s="1">
        <f t="shared" si="49"/>
        <v>18.200000000000003</v>
      </c>
      <c r="P528" s="6">
        <v>273</v>
      </c>
      <c r="Q528" s="1">
        <f t="shared" si="42"/>
        <v>0.37051282051282053</v>
      </c>
      <c r="R528" s="14">
        <f t="shared" si="43"/>
        <v>0.51871794871794874</v>
      </c>
      <c r="S528" s="14">
        <f t="shared" si="44"/>
        <v>17.481282051282051</v>
      </c>
      <c r="T528" s="15">
        <f t="shared" si="50"/>
        <v>32.829615384615387</v>
      </c>
      <c r="V528" s="1">
        <v>589.20000000000005</v>
      </c>
      <c r="X528" s="1">
        <f t="shared" si="48"/>
        <v>294472.10000000027</v>
      </c>
      <c r="Y528" s="29">
        <f t="shared" si="52"/>
        <v>37294.30000000001</v>
      </c>
      <c r="AA528" s="1">
        <v>15.3308741636784</v>
      </c>
    </row>
    <row r="529" spans="1:27" s="29" customFormat="1" x14ac:dyDescent="0.25">
      <c r="A529" s="65"/>
      <c r="B529" s="64">
        <v>1000</v>
      </c>
      <c r="C529" s="28">
        <v>40702</v>
      </c>
      <c r="D529" s="29">
        <v>14.7</v>
      </c>
      <c r="E529" s="29">
        <v>13.9</v>
      </c>
      <c r="F529" s="29">
        <v>16.3</v>
      </c>
      <c r="G529" s="29">
        <f t="shared" si="45"/>
        <v>3072.2999999999993</v>
      </c>
      <c r="H529" s="29">
        <f t="shared" si="51"/>
        <v>387.49999999999994</v>
      </c>
      <c r="J529" s="29">
        <v>1</v>
      </c>
      <c r="K529" s="29">
        <f t="shared" si="46"/>
        <v>396.39999999999986</v>
      </c>
      <c r="L529" s="29">
        <v>2.2999999999999998</v>
      </c>
      <c r="M529" s="29">
        <f t="shared" si="47"/>
        <v>608.69999999999982</v>
      </c>
      <c r="N529" s="29">
        <v>-1.2999999999999998</v>
      </c>
      <c r="O529" s="29">
        <f t="shared" si="49"/>
        <v>16.900000000000002</v>
      </c>
      <c r="P529" s="30">
        <v>274</v>
      </c>
      <c r="Q529" s="1">
        <f t="shared" si="42"/>
        <v>0.35</v>
      </c>
      <c r="R529" s="31">
        <f t="shared" si="43"/>
        <v>0.80499999999999994</v>
      </c>
      <c r="S529" s="31">
        <f t="shared" si="44"/>
        <v>0.19500000000000006</v>
      </c>
      <c r="T529" s="15">
        <f t="shared" si="50"/>
        <v>33.024615384615387</v>
      </c>
      <c r="V529" s="29">
        <v>1172</v>
      </c>
      <c r="X529" s="29">
        <f t="shared" si="48"/>
        <v>295644.10000000027</v>
      </c>
      <c r="Y529" s="29">
        <f t="shared" si="52"/>
        <v>38466.30000000001</v>
      </c>
      <c r="AA529" s="29">
        <v>15.3473832894206</v>
      </c>
    </row>
    <row r="530" spans="1:27" s="51" customFormat="1" ht="15.75" thickBot="1" x14ac:dyDescent="0.3">
      <c r="A530" s="65"/>
      <c r="B530" s="63"/>
      <c r="C530" s="57">
        <v>40703</v>
      </c>
      <c r="D530" s="51">
        <v>16.8</v>
      </c>
      <c r="E530" s="51">
        <v>12.7</v>
      </c>
      <c r="F530" s="51">
        <v>20</v>
      </c>
      <c r="G530" s="51">
        <f t="shared" si="45"/>
        <v>3089.0999999999995</v>
      </c>
      <c r="H530" s="45">
        <f t="shared" si="51"/>
        <v>404.29999999999995</v>
      </c>
      <c r="J530" s="51">
        <v>0.5</v>
      </c>
      <c r="K530" s="51">
        <f t="shared" si="46"/>
        <v>396.89999999999986</v>
      </c>
      <c r="L530" s="51">
        <v>3.7</v>
      </c>
      <c r="M530" s="51">
        <f t="shared" si="47"/>
        <v>612.39999999999986</v>
      </c>
      <c r="N530" s="51">
        <v>-3.2</v>
      </c>
      <c r="O530" s="51">
        <f t="shared" si="49"/>
        <v>13.700000000000003</v>
      </c>
      <c r="P530" s="58">
        <v>275</v>
      </c>
      <c r="Q530" s="1">
        <f t="shared" si="42"/>
        <v>0.32948717948717954</v>
      </c>
      <c r="R530" s="59">
        <f t="shared" si="43"/>
        <v>1.2191025641025643</v>
      </c>
      <c r="S530" s="59">
        <f t="shared" si="44"/>
        <v>-0.71910256410256435</v>
      </c>
      <c r="T530" s="15">
        <f t="shared" si="50"/>
        <v>32.305512820512824</v>
      </c>
      <c r="V530" s="51">
        <v>1966.2</v>
      </c>
      <c r="X530" s="51">
        <f t="shared" si="48"/>
        <v>297610.30000000028</v>
      </c>
      <c r="Y530" s="45">
        <f t="shared" si="52"/>
        <v>40432.500000000007</v>
      </c>
      <c r="AA530" s="51">
        <v>15.3628163653462</v>
      </c>
    </row>
    <row r="531" spans="1:27" s="1" customFormat="1" x14ac:dyDescent="0.25">
      <c r="A531" s="66" t="s">
        <v>52</v>
      </c>
      <c r="B531" s="66"/>
      <c r="C531" s="66"/>
      <c r="D531" s="66"/>
      <c r="E531" s="66"/>
      <c r="F531" s="66"/>
      <c r="G531" s="66"/>
      <c r="H531" s="66"/>
      <c r="I531" s="66"/>
      <c r="J531" s="66"/>
      <c r="K531" s="66"/>
      <c r="L531" s="66"/>
      <c r="M531" s="66"/>
      <c r="N531" s="66"/>
      <c r="O531" s="66"/>
      <c r="P531" s="66"/>
      <c r="Q531" s="66"/>
      <c r="R531" s="66"/>
      <c r="S531" s="66"/>
      <c r="T531" s="66"/>
      <c r="U531" s="66"/>
      <c r="V531" s="66"/>
      <c r="W531" s="66"/>
      <c r="X531" s="66"/>
      <c r="Y531" s="66"/>
      <c r="Z531" s="66"/>
    </row>
  </sheetData>
  <mergeCells count="15">
    <mergeCell ref="A255:Z255"/>
    <mergeCell ref="A256:A332"/>
    <mergeCell ref="A333:A375"/>
    <mergeCell ref="D1:I2"/>
    <mergeCell ref="J1:U2"/>
    <mergeCell ref="V1:Z2"/>
    <mergeCell ref="J3:O3"/>
    <mergeCell ref="P3:T3"/>
    <mergeCell ref="G4:H4"/>
    <mergeCell ref="X4:Y4"/>
    <mergeCell ref="A531:Z531"/>
    <mergeCell ref="A376:A449"/>
    <mergeCell ref="A471:A491"/>
    <mergeCell ref="A492:A508"/>
    <mergeCell ref="A509:A530"/>
  </mergeCells>
  <conditionalFormatting sqref="D5:F254 D256:F530 I263 I265 I267 I269 I346 I340 I342 I344 I389 I383 I385 I387 I451 I453 I457 I459 I461 I463 I478 I480 I482 I484 I505 I503 I501 I499 I516 I518 I520 I522">
    <cfRule type="cellIs" dxfId="7" priority="6" operator="between">
      <formula>25</formula>
      <formula>40</formula>
    </cfRule>
    <cfRule type="cellIs" dxfId="6" priority="7" operator="between">
      <formula>0.1</formula>
      <formula>5</formula>
    </cfRule>
    <cfRule type="cellIs" dxfId="5" priority="8" operator="between">
      <formula>0</formula>
      <formula>-20</formula>
    </cfRule>
  </conditionalFormatting>
  <conditionalFormatting sqref="N5:N254 N256:N530">
    <cfRule type="cellIs" dxfId="4" priority="5" operator="between">
      <formula>0.0001</formula>
      <formula>-50</formula>
    </cfRule>
  </conditionalFormatting>
  <conditionalFormatting sqref="V1:V531">
    <cfRule type="cellIs" dxfId="3" priority="4" operator="between">
      <formula>899.99</formula>
      <formula>0</formula>
    </cfRule>
  </conditionalFormatting>
  <conditionalFormatting sqref="S256:S530">
    <cfRule type="cellIs" dxfId="2" priority="3" operator="lessThanOrEqual">
      <formula>0</formula>
    </cfRule>
  </conditionalFormatting>
  <conditionalFormatting sqref="T1:T531">
    <cfRule type="cellIs" dxfId="1" priority="1" operator="equal">
      <formula>0</formula>
    </cfRule>
    <cfRule type="cellIs" dxfId="0" priority="2" operator="lessThanOrEqual">
      <formula>40.7</formula>
    </cfRule>
  </conditionalFormatting>
  <pageMargins left="0.7" right="0.7" top="0.75" bottom="0.75" header="0.3" footer="0.3"/>
  <pageSetup paperSize="9" orientation="portrait" verticalDpi="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N-</vt:lpstr>
      <vt:lpstr>N+</vt:lpstr>
    </vt:vector>
  </TitlesOfParts>
  <Company>INRA - RENNES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adminigepp</dc:creator>
  <cp:lastModifiedBy>adminigepp</cp:lastModifiedBy>
  <dcterms:created xsi:type="dcterms:W3CDTF">2019-11-19T08:08:43Z</dcterms:created>
  <dcterms:modified xsi:type="dcterms:W3CDTF">2019-11-26T10:03:19Z</dcterms:modified>
</cp:coreProperties>
</file>