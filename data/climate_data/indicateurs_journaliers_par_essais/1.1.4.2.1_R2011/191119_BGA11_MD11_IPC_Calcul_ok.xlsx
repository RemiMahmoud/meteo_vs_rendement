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 sheetId="1" state="visible" r:id="rId3"/>
    <sheet name="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<sst xmlns="http://schemas.openxmlformats.org/spreadsheetml/2006/main" count="323" uniqueCount="73">
  <si>
    <t xml:space="preserve">TEMPERATURE</t>
  </si>
  <si>
    <t xml:space="preserve">ETAT HYDRIQUE</t>
  </si>
  <si>
    <t xml:space="preserve">RAYONNEMENT</t>
  </si>
  <si>
    <t xml:space="preserve">BILAN HYDRIQUE</t>
  </si>
  <si>
    <t xml:space="preserve">Période</t>
  </si>
  <si>
    <t xml:space="preserve">DATE</t>
  </si>
  <si>
    <t xml:space="preserve">T_Q</t>
  </si>
  <si>
    <t xml:space="preserve">TINF_H_Q</t>
  </si>
  <si>
    <t xml:space="preserve">TSUP_H_Q</t>
  </si>
  <si>
    <t xml:space="preserve">GDD base 0°</t>
  </si>
  <si>
    <t xml:space="preserve">VAR</t>
  </si>
  <si>
    <t xml:space="preserve">PRELIQ_Q</t>
  </si>
  <si>
    <t xml:space="preserve">Cumul_P</t>
  </si>
  <si>
    <t xml:space="preserve">ETP_Q</t>
  </si>
  <si>
    <t xml:space="preserve">Cumul_ETP</t>
  </si>
  <si>
    <t xml:space="preserve">P-ETP</t>
  </si>
  <si>
    <t xml:space="preserve">ETAT RU_1</t>
  </si>
  <si>
    <t xml:space="preserve">i</t>
  </si>
  <si>
    <t xml:space="preserve">kc</t>
  </si>
  <si>
    <t xml:space="preserve">ETM</t>
  </si>
  <si>
    <t xml:space="preserve">P-ETM</t>
  </si>
  <si>
    <t xml:space="preserve">WSC</t>
  </si>
  <si>
    <t xml:space="preserve">SSI_Q</t>
  </si>
  <si>
    <t xml:space="preserve">QPT_Q</t>
  </si>
  <si>
    <t xml:space="preserve">Cumul_RG</t>
  </si>
  <si>
    <t xml:space="preserve">Photoperiode</t>
  </si>
  <si>
    <t xml:space="preserve">RU</t>
  </si>
  <si>
    <t xml:space="preserve">Pts de conv</t>
  </si>
  <si>
    <t xml:space="preserve">SEMIS BGA11</t>
  </si>
  <si>
    <t xml:space="preserve">AUTOMNE</t>
  </si>
  <si>
    <t xml:space="preserve">Tmin</t>
  </si>
  <si>
    <t xml:space="preserve">nbj_sec</t>
  </si>
  <si>
    <t xml:space="preserve">crg</t>
  </si>
  <si>
    <t xml:space="preserve">Tmax</t>
  </si>
  <si>
    <t xml:space="preserve">nbj_water_deficit</t>
  </si>
  <si>
    <t xml:space="preserve">qpt_p</t>
  </si>
  <si>
    <t xml:space="preserve">Tmoy</t>
  </si>
  <si>
    <t xml:space="preserve">nbj_stress_hydro</t>
  </si>
  <si>
    <t xml:space="preserve">nbj_radinf_900</t>
  </si>
  <si>
    <t xml:space="preserve">nbj_tgel</t>
  </si>
  <si>
    <t xml:space="preserve">water_soil_content_min</t>
  </si>
  <si>
    <t xml:space="preserve">nbj_tsup25</t>
  </si>
  <si>
    <t xml:space="preserve">water_soil_content_max</t>
  </si>
  <si>
    <t xml:space="preserve">nbj_tinf5</t>
  </si>
  <si>
    <t xml:space="preserve">water_soil_content_moy</t>
  </si>
  <si>
    <t xml:space="preserve">gdd_p</t>
  </si>
  <si>
    <t xml:space="preserve">HIVER</t>
  </si>
  <si>
    <t xml:space="preserve">nbj_vern_opti</t>
  </si>
  <si>
    <t xml:space="preserve">MONTAISON</t>
  </si>
  <si>
    <t xml:space="preserve">WSC_BI_1</t>
  </si>
  <si>
    <t xml:space="preserve">WSC_BI</t>
  </si>
  <si>
    <t xml:space="preserve">BI_DRY_1</t>
  </si>
  <si>
    <t xml:space="preserve">BI_DRY</t>
  </si>
  <si>
    <t xml:space="preserve">DRF_1</t>
  </si>
  <si>
    <t xml:space="preserve">DRF</t>
  </si>
  <si>
    <t xml:space="preserve">TS_1</t>
  </si>
  <si>
    <t xml:space="preserve">TS</t>
  </si>
  <si>
    <t xml:space="preserve">IRF_1</t>
  </si>
  <si>
    <t xml:space="preserve">IRF</t>
  </si>
  <si>
    <t xml:space="preserve">WSC_BI_2</t>
  </si>
  <si>
    <t xml:space="preserve">BI_DRY_2</t>
  </si>
  <si>
    <t xml:space="preserve">DRF_2</t>
  </si>
  <si>
    <t xml:space="preserve">TS_2</t>
  </si>
  <si>
    <t xml:space="preserve">IRF_2</t>
  </si>
  <si>
    <t xml:space="preserve">Montego</t>
  </si>
  <si>
    <t xml:space="preserve">Aviso</t>
  </si>
  <si>
    <t xml:space="preserve">Fin FLO</t>
  </si>
  <si>
    <t xml:space="preserve">RECOLTE BGA11</t>
  </si>
  <si>
    <t xml:space="preserve">Cumul ETP</t>
  </si>
  <si>
    <t xml:space="preserve">Cumul RG</t>
  </si>
  <si>
    <t xml:space="preserve">Photopériode</t>
  </si>
  <si>
    <t xml:space="preserve">WSC_I</t>
  </si>
  <si>
    <t xml:space="preserve">FERTI</t>
  </si>
</sst>
</file>

<file path=xl/styles.xml><?xml version="1.0" encoding="utf-8"?>
<styleSheet xmlns="http://schemas.openxmlformats.org/spreadsheetml/2006/main">
  <numFmts count="4">
    <numFmt numFmtId="164" formatCode="General"/>
    <numFmt numFmtId="165" formatCode="dd/mm/yyyy"/>
    <numFmt numFmtId="166" formatCode="0.0"/>
    <numFmt numFmtId="167" formatCode="0.00"/>
  </numFmts>
  <fonts count="11">
    <font>
      <sz val="11"/>
      <color theme="1"/>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i val="true"/>
      <u val="single"/>
      <sz val="11"/>
      <color rgb="FF000000"/>
      <name val="Calibri"/>
      <family val="2"/>
      <charset val="1"/>
    </font>
    <font>
      <b val="true"/>
      <sz val="11"/>
      <color rgb="FFFF0000"/>
      <name val="Calibri"/>
      <family val="2"/>
      <charset val="1"/>
    </font>
    <font>
      <b val="true"/>
      <sz val="11"/>
      <name val="Calibri"/>
      <family val="2"/>
      <charset val="1"/>
    </font>
    <font>
      <b val="true"/>
      <sz val="11"/>
      <color theme="1"/>
      <name val="Calibri"/>
      <family val="2"/>
      <charset val="1"/>
    </font>
    <font>
      <sz val="11"/>
      <name val="Calibri"/>
      <family val="2"/>
      <charset val="1"/>
    </font>
    <font>
      <b val="true"/>
      <i val="true"/>
      <u val="single"/>
      <sz val="11"/>
      <color rgb="FFFFC000"/>
      <name val="Calibri"/>
      <family val="2"/>
      <charset val="1"/>
    </font>
  </fonts>
  <fills count="15">
    <fill>
      <patternFill patternType="none"/>
    </fill>
    <fill>
      <patternFill patternType="gray125"/>
    </fill>
    <fill>
      <patternFill patternType="solid">
        <fgColor rgb="FFFFC000"/>
        <bgColor rgb="FFFF9900"/>
      </patternFill>
    </fill>
    <fill>
      <patternFill patternType="solid">
        <fgColor rgb="FF00B050"/>
        <bgColor rgb="FF008080"/>
      </patternFill>
    </fill>
    <fill>
      <patternFill patternType="solid">
        <fgColor rgb="FFFDE9D9"/>
        <bgColor rgb="FFF2DCDB"/>
      </patternFill>
    </fill>
    <fill>
      <patternFill patternType="solid">
        <fgColor rgb="FF0070C0"/>
        <bgColor rgb="FF008080"/>
      </patternFill>
    </fill>
    <fill>
      <patternFill patternType="solid">
        <fgColor rgb="FFC0C0C0"/>
        <bgColor rgb="FFCCC0DA"/>
      </patternFill>
    </fill>
    <fill>
      <patternFill patternType="solid">
        <fgColor rgb="FFDDD9C4"/>
        <bgColor rgb="FFD9D9D9"/>
      </patternFill>
    </fill>
    <fill>
      <patternFill patternType="solid">
        <fgColor rgb="FF92D050"/>
        <bgColor rgb="FFC0C0C0"/>
      </patternFill>
    </fill>
    <fill>
      <patternFill patternType="solid">
        <fgColor theme="0" tint="-0.15"/>
        <bgColor rgb="FFDDD9C4"/>
      </patternFill>
    </fill>
    <fill>
      <patternFill patternType="solid">
        <fgColor theme="3"/>
        <bgColor rgb="FF333399"/>
      </patternFill>
    </fill>
    <fill>
      <patternFill patternType="solid">
        <fgColor rgb="FFFFFF00"/>
        <bgColor rgb="FFFFFF00"/>
      </patternFill>
    </fill>
    <fill>
      <patternFill patternType="solid">
        <fgColor rgb="FFE26B0A"/>
        <bgColor rgb="FFC0504D"/>
      </patternFill>
    </fill>
    <fill>
      <patternFill patternType="solid">
        <fgColor rgb="FFFF0000"/>
        <bgColor rgb="FFC00000"/>
      </patternFill>
    </fill>
    <fill>
      <patternFill patternType="solid">
        <fgColor rgb="FFC00000"/>
        <bgColor rgb="FFFF0000"/>
      </patternFill>
    </fill>
  </fills>
  <borders count="9">
    <border diagonalUp="false" diagonalDown="false">
      <left/>
      <right/>
      <top/>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right/>
      <top/>
      <bottom style="medium"/>
      <diagonal/>
    </border>
    <border diagonalUp="false" diagonalDown="false">
      <left style="medium"/>
      <right/>
      <top/>
      <bottom style="medium"/>
      <diagonal/>
    </border>
    <border diagonalUp="false" diagonalDown="false">
      <left/>
      <right style="medium"/>
      <top/>
      <bottom style="medium"/>
      <diagonal/>
    </border>
    <border diagonalUp="false" diagonalDown="false">
      <left/>
      <right/>
      <top style="medium"/>
      <bottom style="medium"/>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5" fontId="0"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5" fontId="0"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center" vertical="bottom" textRotation="0" wrapText="false" indent="0" shrinkToFit="false"/>
      <protection locked="true" hidden="false"/>
    </xf>
    <xf numFmtId="164" fontId="4" fillId="4" borderId="0" xfId="0" applyFont="true" applyBorder="true" applyAlignment="true" applyProtection="true">
      <alignment horizontal="center" vertical="center" textRotation="255" wrapText="false" indent="0" shrinkToFit="false"/>
      <protection locked="true" hidden="false"/>
    </xf>
    <xf numFmtId="164" fontId="4" fillId="4" borderId="0" xfId="0" applyFont="true" applyBorder="true" applyAlignment="true" applyProtection="true">
      <alignment horizontal="general" vertical="bottom" textRotation="0" wrapText="false" indent="0" shrinkToFit="false"/>
      <protection locked="true" hidden="false"/>
    </xf>
    <xf numFmtId="166" fontId="0" fillId="0" borderId="0" xfId="0" applyFont="true" applyBorder="true" applyAlignment="true" applyProtection="true">
      <alignment horizontal="general" vertical="bottom" textRotation="0" wrapText="false" indent="0" shrinkToFit="false"/>
      <protection locked="true" hidden="false"/>
    </xf>
    <xf numFmtId="166" fontId="0" fillId="0" borderId="3" xfId="0" applyFont="true" applyBorder="true" applyAlignment="true" applyProtection="true">
      <alignment horizontal="general" vertical="bottom" textRotation="0" wrapText="false" indent="0" shrinkToFit="false"/>
      <protection locked="true" hidden="false"/>
    </xf>
    <xf numFmtId="167" fontId="0"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5"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6" fontId="6" fillId="0" borderId="0" xfId="0" applyFont="true" applyBorder="true" applyAlignment="true" applyProtection="true">
      <alignment horizontal="general" vertical="bottom" textRotation="0" wrapText="false" indent="0" shrinkToFit="false"/>
      <protection locked="true" hidden="false"/>
    </xf>
    <xf numFmtId="164" fontId="4" fillId="5" borderId="0" xfId="0" applyFont="true" applyBorder="true" applyAlignment="true" applyProtection="true">
      <alignment horizontal="center" vertical="center" textRotation="255" wrapText="false" indent="0" shrinkToFit="false"/>
      <protection locked="true" hidden="false"/>
    </xf>
    <xf numFmtId="164" fontId="4" fillId="5" borderId="0" xfId="0" applyFont="true" applyBorder="true" applyAlignment="true" applyProtection="true">
      <alignment horizontal="center" vertical="center" textRotation="0" wrapText="false" indent="0" shrinkToFit="false"/>
      <protection locked="true" hidden="false"/>
    </xf>
    <xf numFmtId="164" fontId="4" fillId="5" borderId="0" xfId="0" applyFont="true" applyBorder="true" applyAlignment="true" applyProtection="true">
      <alignment horizontal="general" vertical="bottom" textRotation="0" wrapText="false" indent="0" shrinkToFit="false"/>
      <protection locked="true" hidden="false"/>
    </xf>
    <xf numFmtId="164" fontId="4" fillId="6" borderId="0" xfId="0" applyFont="true" applyBorder="true" applyAlignment="true" applyProtection="true">
      <alignment horizontal="center" vertical="center" textRotation="0" wrapText="false" indent="0" shrinkToFit="false"/>
      <protection locked="true" hidden="false"/>
    </xf>
    <xf numFmtId="164" fontId="0" fillId="7" borderId="0" xfId="0" applyFont="true" applyBorder="true" applyAlignment="true" applyProtection="true">
      <alignment horizontal="general" vertical="bottom" textRotation="0" wrapText="false" indent="0" shrinkToFit="false"/>
      <protection locked="true" hidden="false"/>
    </xf>
    <xf numFmtId="164" fontId="7" fillId="0" borderId="4" xfId="0" applyFont="true" applyBorder="true" applyAlignment="true" applyProtection="true">
      <alignment horizontal="center" vertical="center" textRotation="0" wrapText="false" indent="0" shrinkToFit="false"/>
      <protection locked="true" hidden="false"/>
    </xf>
    <xf numFmtId="165" fontId="7" fillId="0" borderId="4" xfId="0" applyFont="true" applyBorder="true" applyAlignment="true" applyProtection="true">
      <alignment horizontal="general" vertical="bottom" textRotation="0" wrapText="false" indent="0" shrinkToFit="false"/>
      <protection locked="true" hidden="false"/>
    </xf>
    <xf numFmtId="164" fontId="7" fillId="0" borderId="4" xfId="0" applyFont="true" applyBorder="true" applyAlignment="true" applyProtection="true">
      <alignment horizontal="general" vertical="bottom" textRotation="0" wrapText="false" indent="0" shrinkToFit="false"/>
      <protection locked="true" hidden="false"/>
    </xf>
    <xf numFmtId="164" fontId="7" fillId="0" borderId="5" xfId="0" applyFont="true" applyBorder="true" applyAlignment="true" applyProtection="true">
      <alignment horizontal="general" vertical="bottom" textRotation="0" wrapText="false" indent="0" shrinkToFit="false"/>
      <protection locked="true" hidden="false"/>
    </xf>
    <xf numFmtId="166" fontId="7" fillId="0" borderId="4" xfId="0" applyFont="true" applyBorder="true" applyAlignment="true" applyProtection="true">
      <alignment horizontal="general" vertical="bottom" textRotation="0" wrapText="false" indent="0" shrinkToFit="false"/>
      <protection locked="true" hidden="false"/>
    </xf>
    <xf numFmtId="166" fontId="7" fillId="0" borderId="6" xfId="0" applyFont="true" applyBorder="true" applyAlignment="true" applyProtection="true">
      <alignment horizontal="general" vertical="bottom" textRotation="0" wrapText="false" indent="0" shrinkToFit="false"/>
      <protection locked="true" hidden="false"/>
    </xf>
    <xf numFmtId="164" fontId="4" fillId="8" borderId="0" xfId="0" applyFont="true" applyBorder="true" applyAlignment="true" applyProtection="true">
      <alignment horizontal="center" vertical="center" textRotation="255" wrapText="false" indent="0" shrinkToFit="false"/>
      <protection locked="true" hidden="false"/>
    </xf>
    <xf numFmtId="164" fontId="4" fillId="8"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9" borderId="0" xfId="0" applyFont="true" applyBorder="true" applyAlignment="true" applyProtection="true">
      <alignment horizontal="general" vertical="bottom" textRotation="0" wrapText="false" indent="0" shrinkToFit="false"/>
      <protection locked="true" hidden="false"/>
    </xf>
    <xf numFmtId="166" fontId="0" fillId="9" borderId="3" xfId="0" applyFont="true" applyBorder="true" applyAlignment="true" applyProtection="true">
      <alignment horizontal="general" vertical="bottom" textRotation="0" wrapText="false" indent="0" shrinkToFit="false"/>
      <protection locked="true" hidden="false"/>
    </xf>
    <xf numFmtId="164" fontId="4" fillId="10" borderId="0" xfId="0" applyFont="true" applyBorder="true" applyAlignment="true" applyProtection="true">
      <alignment horizontal="center" vertical="center" textRotation="0" wrapText="false" indent="0" shrinkToFit="false"/>
      <protection locked="true" hidden="false"/>
    </xf>
    <xf numFmtId="165" fontId="0" fillId="10" borderId="0" xfId="0" applyFont="true" applyBorder="true" applyAlignment="true" applyProtection="true">
      <alignment horizontal="general" vertical="bottom" textRotation="0" wrapText="false" indent="0" shrinkToFit="false"/>
      <protection locked="true" hidden="false"/>
    </xf>
    <xf numFmtId="164" fontId="0" fillId="10" borderId="0" xfId="0" applyFont="true" applyBorder="true" applyAlignment="true" applyProtection="true">
      <alignment horizontal="general" vertical="bottom" textRotation="0" wrapText="false" indent="0" shrinkToFit="false"/>
      <protection locked="true" hidden="false"/>
    </xf>
    <xf numFmtId="164" fontId="0" fillId="10" borderId="2" xfId="0" applyFont="true" applyBorder="true" applyAlignment="true" applyProtection="true">
      <alignment horizontal="general" vertical="bottom" textRotation="0" wrapText="false" indent="0" shrinkToFit="false"/>
      <protection locked="true" hidden="false"/>
    </xf>
    <xf numFmtId="167" fontId="0" fillId="10" borderId="0" xfId="0" applyFont="true" applyBorder="true" applyAlignment="true" applyProtection="true">
      <alignment horizontal="general" vertical="bottom" textRotation="0" wrapText="false" indent="0" shrinkToFit="false"/>
      <protection locked="true" hidden="false"/>
    </xf>
    <xf numFmtId="166" fontId="0" fillId="10" borderId="0" xfId="0" applyFont="true" applyBorder="true" applyAlignment="true" applyProtection="true">
      <alignment horizontal="general" vertical="bottom" textRotation="0" wrapText="false" indent="0" shrinkToFit="false"/>
      <protection locked="true" hidden="false"/>
    </xf>
    <xf numFmtId="166" fontId="0" fillId="10" borderId="3"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65"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9" borderId="0" xfId="0" applyFont="true" applyBorder="true" applyAlignment="true" applyProtection="true">
      <alignment horizontal="general"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6" fontId="9"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9" fillId="11" borderId="0" xfId="0" applyFont="true" applyBorder="true" applyAlignment="true" applyProtection="true">
      <alignment horizontal="general" vertical="bottom" textRotation="0" wrapText="false" indent="0" shrinkToFit="false"/>
      <protection locked="true" hidden="false"/>
    </xf>
    <xf numFmtId="166" fontId="9" fillId="9" borderId="3" xfId="0" applyFont="true" applyBorder="true" applyAlignment="true" applyProtection="true">
      <alignment horizontal="general" vertical="bottom" textRotation="0" wrapText="false" indent="0" shrinkToFit="false"/>
      <protection locked="true" hidden="false"/>
    </xf>
    <xf numFmtId="164" fontId="8" fillId="0" borderId="4" xfId="0" applyFont="true" applyBorder="true" applyAlignment="true" applyProtection="true">
      <alignment horizontal="general" vertical="bottom" textRotation="0" wrapText="false" indent="0" shrinkToFit="false"/>
      <protection locked="true" hidden="false"/>
    </xf>
    <xf numFmtId="165" fontId="8" fillId="0" borderId="4" xfId="0" applyFont="true" applyBorder="true" applyAlignment="true" applyProtection="true">
      <alignment horizontal="general" vertical="bottom" textRotation="0" wrapText="false" indent="0" shrinkToFit="false"/>
      <protection locked="true" hidden="false"/>
    </xf>
    <xf numFmtId="164" fontId="8" fillId="9" borderId="4" xfId="0"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general" vertical="bottom" textRotation="0" wrapText="false" indent="0" shrinkToFit="false"/>
      <protection locked="true" hidden="false"/>
    </xf>
    <xf numFmtId="167" fontId="8" fillId="0" borderId="4" xfId="0" applyFont="true" applyBorder="true" applyAlignment="true" applyProtection="true">
      <alignment horizontal="general" vertical="bottom" textRotation="0" wrapText="false" indent="0" shrinkToFit="false"/>
      <protection locked="true" hidden="false"/>
    </xf>
    <xf numFmtId="166" fontId="8" fillId="0" borderId="4" xfId="0" applyFont="true" applyBorder="true" applyAlignment="true" applyProtection="true">
      <alignment horizontal="general" vertical="bottom" textRotation="0" wrapText="false" indent="0" shrinkToFit="false"/>
      <protection locked="true" hidden="false"/>
    </xf>
    <xf numFmtId="166" fontId="8" fillId="9" borderId="6" xfId="0" applyFont="true" applyBorder="true" applyAlignment="true" applyProtection="true">
      <alignment horizontal="general" vertical="bottom" textRotation="0" wrapText="false" indent="0" shrinkToFit="false"/>
      <protection locked="true" hidden="false"/>
    </xf>
    <xf numFmtId="164" fontId="7" fillId="11" borderId="0" xfId="0" applyFont="true" applyBorder="true" applyAlignment="true" applyProtection="true">
      <alignment horizontal="center" vertical="center" textRotation="0" wrapText="false" indent="0" shrinkToFit="false"/>
      <protection locked="true" hidden="false"/>
    </xf>
    <xf numFmtId="164" fontId="4" fillId="11" borderId="0" xfId="0" applyFont="true" applyBorder="true" applyAlignment="true" applyProtection="true">
      <alignment horizontal="general" vertical="bottom" textRotation="0" wrapText="false" indent="0" shrinkToFit="false"/>
      <protection locked="true" hidden="false"/>
    </xf>
    <xf numFmtId="164" fontId="9" fillId="11" borderId="0" xfId="0" applyFont="true" applyBorder="true" applyAlignment="true" applyProtection="true">
      <alignment horizontal="center" vertical="center" textRotation="0" wrapText="false" indent="0" shrinkToFit="false"/>
      <protection locked="true" hidden="false"/>
    </xf>
    <xf numFmtId="164" fontId="4" fillId="11" borderId="0" xfId="0" applyFont="true" applyBorder="true" applyAlignment="true" applyProtection="true">
      <alignment horizontal="center" vertical="center" textRotation="0" wrapText="false" indent="0" shrinkToFit="false"/>
      <protection locked="true" hidden="false"/>
    </xf>
    <xf numFmtId="164" fontId="7" fillId="11" borderId="4" xfId="0" applyFont="true" applyBorder="true" applyAlignment="true" applyProtection="true">
      <alignment horizontal="center" vertical="center" textRotation="0" wrapText="false" indent="0" shrinkToFit="false"/>
      <protection locked="true" hidden="false"/>
    </xf>
    <xf numFmtId="166" fontId="8" fillId="0" borderId="6" xfId="0" applyFont="true" applyBorder="true" applyAlignment="true" applyProtection="true">
      <alignment horizontal="general" vertical="bottom" textRotation="0" wrapText="false" indent="0" shrinkToFit="false"/>
      <protection locked="true" hidden="false"/>
    </xf>
    <xf numFmtId="164" fontId="4" fillId="2" borderId="7" xfId="0" applyFont="true" applyBorder="true" applyAlignment="true" applyProtection="true">
      <alignment horizontal="center" vertical="center" textRotation="255" wrapText="false" indent="0" shrinkToFit="false"/>
      <protection locked="true" hidden="false"/>
    </xf>
    <xf numFmtId="164" fontId="7" fillId="2" borderId="4"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4" fillId="12" borderId="8" xfId="0" applyFont="true" applyBorder="true" applyAlignment="true" applyProtection="true">
      <alignment horizontal="center" vertical="center" textRotation="255" wrapText="false" indent="0" shrinkToFit="false"/>
      <protection locked="true" hidden="false"/>
    </xf>
    <xf numFmtId="164" fontId="4" fillId="12" borderId="0" xfId="0" applyFont="true" applyBorder="true" applyAlignment="true" applyProtection="true">
      <alignment horizontal="general" vertical="bottom" textRotation="0" wrapText="false" indent="0" shrinkToFit="false"/>
      <protection locked="true" hidden="false"/>
    </xf>
    <xf numFmtId="164" fontId="4" fillId="13" borderId="0" xfId="0" applyFont="true" applyBorder="true" applyAlignment="true" applyProtection="true">
      <alignment horizontal="center" vertical="center" textRotation="255" wrapText="false" indent="0" shrinkToFit="false"/>
      <protection locked="true" hidden="false"/>
    </xf>
    <xf numFmtId="164" fontId="4" fillId="13"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7"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4" fontId="8" fillId="0" borderId="4" xfId="0" applyFont="true" applyBorder="true" applyAlignment="true" applyProtection="true">
      <alignment horizontal="center" vertical="center" textRotation="0" wrapText="true" indent="0" shrinkToFit="false"/>
      <protection locked="true" hidden="false"/>
    </xf>
    <xf numFmtId="164" fontId="10" fillId="14" borderId="0" xfId="0" applyFont="true" applyBorder="true" applyAlignment="true" applyProtection="true">
      <alignment horizontal="center" vertical="bottom" textRotation="0" wrapText="false" indent="0" shrinkToFit="false"/>
      <protection locked="true" hidden="false"/>
    </xf>
    <xf numFmtId="164" fontId="7" fillId="9" borderId="4" xfId="0" applyFont="true" applyBorder="true" applyAlignment="true" applyProtection="true">
      <alignment horizontal="general" vertical="bottom" textRotation="0" wrapText="false" indent="0" shrinkToFit="false"/>
      <protection locked="true" hidden="false"/>
    </xf>
    <xf numFmtId="167" fontId="7" fillId="0" borderId="4" xfId="0" applyFont="true" applyBorder="true" applyAlignment="true" applyProtection="true">
      <alignment horizontal="general" vertical="bottom" textRotation="0" wrapText="false" indent="0" shrinkToFit="false"/>
      <protection locked="true" hidden="false"/>
    </xf>
    <xf numFmtId="166" fontId="7" fillId="9" borderId="6"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255" wrapText="false" indent="0" shrinkToFit="false"/>
      <protection locked="true" hidden="false"/>
    </xf>
    <xf numFmtId="164" fontId="4" fillId="12" borderId="0" xfId="0" applyFont="true" applyBorder="true" applyAlignment="true" applyProtection="true">
      <alignment horizontal="center" vertical="center" textRotation="255" wrapText="false" indent="0" shrinkToFit="false"/>
      <protection locked="true" hidden="false"/>
    </xf>
    <xf numFmtId="164" fontId="7" fillId="0" borderId="4"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bgColor rgb="FFC0504D"/>
        </patternFill>
      </fill>
    </dxf>
    <dxf>
      <fill>
        <patternFill>
          <bgColor rgb="FFFABF8F"/>
        </patternFill>
      </fill>
    </dxf>
    <dxf>
      <fill>
        <patternFill>
          <bgColor rgb="FFF2DCDB"/>
        </patternFill>
      </fill>
    </dxf>
    <dxf>
      <fill>
        <patternFill>
          <bgColor rgb="FFCCC0DA"/>
        </patternFill>
      </fill>
    </dxf>
    <dxf>
      <fill>
        <patternFill>
          <bgColor rgb="FFF2DCDB"/>
        </patternFill>
      </fill>
    </dxf>
    <dxf>
      <fill>
        <patternFill>
          <bgColor rgb="FFFFC000"/>
        </patternFill>
      </fill>
    </dxf>
    <dxf>
      <fill>
        <patternFill>
          <bgColor rgb="FFDAEEF3"/>
        </patternFill>
      </fill>
    </dxf>
    <dxf>
      <fill>
        <patternFill>
          <bgColor rgb="FF00B0F0"/>
        </patternFill>
      </fill>
    </dxf>
    <dxf>
      <fill>
        <patternFill>
          <bgColor rgb="FFC0504D"/>
        </patternFill>
      </fill>
    </dxf>
    <dxf>
      <fill>
        <patternFill>
          <bgColor rgb="FFFABF8F"/>
        </patternFill>
      </fill>
    </dxf>
    <dxf>
      <fill>
        <patternFill>
          <bgColor rgb="FFF2DCDB"/>
        </patternFill>
      </fill>
    </dxf>
    <dxf>
      <fill>
        <patternFill>
          <bgColor rgb="FFCCC0DA"/>
        </patternFill>
      </fill>
    </dxf>
    <dxf>
      <fill>
        <patternFill>
          <bgColor rgb="FFF2DCDB"/>
        </patternFill>
      </fill>
    </dxf>
    <dxf>
      <fill>
        <patternFill>
          <bgColor rgb="FFFFC000"/>
        </patternFill>
      </fill>
    </dxf>
    <dxf>
      <fill>
        <patternFill>
          <bgColor rgb="FFDAEEF3"/>
        </patternFill>
      </fill>
    </dxf>
    <dxf>
      <fill>
        <patternFill>
          <bgColor rgb="FF00B0F0"/>
        </patternFill>
      </fill>
    </dxf>
  </dxfs>
  <colors>
    <indexedColors>
      <rgbColor rgb="FF000000"/>
      <rgbColor rgb="FFF2DCDB"/>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C0504D"/>
      <rgbColor rgb="FFFDE9D9"/>
      <rgbColor rgb="FFDAEEF3"/>
      <rgbColor rgb="FF660066"/>
      <rgbColor rgb="FFFF8080"/>
      <rgbColor rgb="FF0070C0"/>
      <rgbColor rgb="FFCCC0DA"/>
      <rgbColor rgb="FF000080"/>
      <rgbColor rgb="FFFF00FF"/>
      <rgbColor rgb="FFFFFF00"/>
      <rgbColor rgb="FF00FFFF"/>
      <rgbColor rgb="FF800080"/>
      <rgbColor rgb="FF800000"/>
      <rgbColor rgb="FF008080"/>
      <rgbColor rgb="FF0000FF"/>
      <rgbColor rgb="FF00B0F0"/>
      <rgbColor rgb="FFDDD9C4"/>
      <rgbColor rgb="FFD9D9D9"/>
      <rgbColor rgb="FFFFFF99"/>
      <rgbColor rgb="FF99CCFF"/>
      <rgbColor rgb="FFFF99CC"/>
      <rgbColor rgb="FFCC99FF"/>
      <rgbColor rgb="FFFABF8F"/>
      <rgbColor rgb="FF3366FF"/>
      <rgbColor rgb="FF33CCCC"/>
      <rgbColor rgb="FF92D050"/>
      <rgbColor rgb="FFFFC000"/>
      <rgbColor rgb="FFFF9900"/>
      <rgbColor rgb="FFE26B0A"/>
      <rgbColor rgb="FF44546A"/>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B531"/>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3" ySplit="4" topLeftCell="L400" activePane="bottomRight" state="frozen"/>
      <selection pane="topLeft" activeCell="A1" activeCellId="0" sqref="A1"/>
      <selection pane="topRight" activeCell="L1" activeCellId="0" sqref="L1"/>
      <selection pane="bottomLeft" activeCell="A400" activeCellId="0" sqref="A400"/>
      <selection pane="bottomRight" activeCell="M4" activeCellId="0" sqref="M4"/>
    </sheetView>
  </sheetViews>
  <sheetFormatPr defaultColWidth="10.54296875" defaultRowHeight="15" customHeight="true" zeroHeight="false" outlineLevelRow="0" outlineLevelCol="0"/>
  <sheetData>
    <row r="1" s="1" customFormat="true" ht="15" hidden="false" customHeight="false" outlineLevel="0" collapsed="false">
      <c r="D1" s="2" t="s">
        <v>0</v>
      </c>
      <c r="E1" s="2"/>
      <c r="F1" s="2"/>
      <c r="G1" s="2"/>
      <c r="H1" s="2"/>
      <c r="I1" s="2"/>
      <c r="J1" s="2" t="s">
        <v>1</v>
      </c>
      <c r="K1" s="2"/>
      <c r="L1" s="2"/>
      <c r="M1" s="2"/>
      <c r="N1" s="2"/>
      <c r="O1" s="2"/>
      <c r="P1" s="2"/>
      <c r="Q1" s="2"/>
      <c r="R1" s="2"/>
      <c r="S1" s="2"/>
      <c r="T1" s="2"/>
      <c r="U1" s="2"/>
      <c r="V1" s="2" t="s">
        <v>2</v>
      </c>
      <c r="W1" s="2"/>
      <c r="X1" s="2"/>
      <c r="Y1" s="2"/>
      <c r="Z1" s="2"/>
    </row>
    <row r="2" s="1" customFormat="true" ht="15" hidden="false" customHeight="false" outlineLevel="0" collapsed="false">
      <c r="D2" s="2"/>
      <c r="E2" s="2"/>
      <c r="F2" s="2"/>
      <c r="G2" s="2"/>
      <c r="H2" s="2"/>
      <c r="I2" s="2"/>
      <c r="J2" s="2"/>
      <c r="K2" s="2"/>
      <c r="L2" s="2"/>
      <c r="M2" s="2"/>
      <c r="N2" s="2"/>
      <c r="O2" s="2"/>
      <c r="P2" s="2"/>
      <c r="Q2" s="2"/>
      <c r="R2" s="2"/>
      <c r="S2" s="2"/>
      <c r="T2" s="2"/>
      <c r="U2" s="2"/>
      <c r="V2" s="2"/>
      <c r="W2" s="2"/>
      <c r="X2" s="2"/>
      <c r="Y2" s="2"/>
      <c r="Z2" s="2"/>
    </row>
    <row r="3" s="1" customFormat="true" ht="15" hidden="false" customHeight="false" outlineLevel="0" collapsed="false">
      <c r="D3" s="2"/>
      <c r="E3" s="2"/>
      <c r="F3" s="2"/>
      <c r="G3" s="2"/>
      <c r="H3" s="2"/>
      <c r="I3" s="2"/>
      <c r="J3" s="2"/>
      <c r="K3" s="2"/>
      <c r="L3" s="2"/>
      <c r="M3" s="2"/>
      <c r="N3" s="2"/>
      <c r="O3" s="2"/>
      <c r="P3" s="3" t="s">
        <v>3</v>
      </c>
      <c r="Q3" s="3"/>
      <c r="R3" s="3"/>
      <c r="S3" s="3"/>
      <c r="T3" s="3"/>
      <c r="U3" s="2"/>
      <c r="V3" s="4"/>
      <c r="W3" s="4"/>
      <c r="X3" s="4"/>
      <c r="Y3" s="4"/>
      <c r="Z3" s="4"/>
    </row>
    <row r="4" s="1" customFormat="true" ht="15" hidden="false" customHeight="false" outlineLevel="0" collapsed="false">
      <c r="A4" s="1" t="s">
        <v>4</v>
      </c>
      <c r="B4" s="1" t="n">
        <v>5</v>
      </c>
      <c r="C4" s="1" t="s">
        <v>5</v>
      </c>
      <c r="D4" s="1" t="s">
        <v>6</v>
      </c>
      <c r="E4" s="1" t="s">
        <v>7</v>
      </c>
      <c r="F4" s="1" t="s">
        <v>8</v>
      </c>
      <c r="G4" s="5" t="s">
        <v>9</v>
      </c>
      <c r="H4" s="5"/>
      <c r="I4" s="1" t="s">
        <v>10</v>
      </c>
      <c r="J4" s="1" t="s">
        <v>11</v>
      </c>
      <c r="K4" s="1" t="s">
        <v>12</v>
      </c>
      <c r="L4" s="1" t="s">
        <v>13</v>
      </c>
      <c r="M4" s="1" t="s">
        <v>14</v>
      </c>
      <c r="N4" s="1" t="s">
        <v>15</v>
      </c>
      <c r="O4" s="5" t="s">
        <v>16</v>
      </c>
      <c r="P4" s="6" t="s">
        <v>17</v>
      </c>
      <c r="Q4" s="1" t="s">
        <v>18</v>
      </c>
      <c r="R4" s="1" t="s">
        <v>19</v>
      </c>
      <c r="S4" s="1" t="s">
        <v>20</v>
      </c>
      <c r="T4" s="7" t="s">
        <v>21</v>
      </c>
      <c r="U4" s="1" t="s">
        <v>10</v>
      </c>
      <c r="V4" s="1" t="s">
        <v>22</v>
      </c>
      <c r="W4" s="1" t="s">
        <v>23</v>
      </c>
      <c r="X4" s="4" t="s">
        <v>24</v>
      </c>
      <c r="Y4" s="4"/>
      <c r="Z4" s="1" t="s">
        <v>10</v>
      </c>
      <c r="AA4" s="1" t="s">
        <v>25</v>
      </c>
    </row>
    <row r="5" s="1" customFormat="true" ht="15" hidden="false" customHeight="false" outlineLevel="0" collapsed="false">
      <c r="C5" s="8" t="n">
        <v>40179</v>
      </c>
      <c r="D5" s="1" t="n">
        <v>6.3</v>
      </c>
      <c r="E5" s="1" t="n">
        <v>5.9</v>
      </c>
      <c r="F5" s="1" t="n">
        <v>7.4</v>
      </c>
      <c r="J5" s="1" t="n">
        <v>0.6</v>
      </c>
      <c r="L5" s="1" t="n">
        <v>1</v>
      </c>
      <c r="N5" s="1" t="n">
        <v>-0.4</v>
      </c>
      <c r="P5" s="6"/>
      <c r="T5" s="7"/>
      <c r="U5" s="9" t="s">
        <v>26</v>
      </c>
      <c r="V5" s="1" t="n">
        <v>263.4</v>
      </c>
    </row>
    <row r="6" s="1" customFormat="true" ht="15" hidden="false" customHeight="false" outlineLevel="0" collapsed="false">
      <c r="C6" s="8" t="n">
        <v>40180</v>
      </c>
      <c r="D6" s="1" t="n">
        <v>1.9</v>
      </c>
      <c r="E6" s="1" t="n">
        <v>0.3</v>
      </c>
      <c r="F6" s="1" t="n">
        <v>2.7</v>
      </c>
      <c r="J6" s="1" t="n">
        <v>0.4</v>
      </c>
      <c r="L6" s="1" t="n">
        <v>0.3</v>
      </c>
      <c r="N6" s="1" t="n">
        <v>0.1</v>
      </c>
      <c r="P6" s="6"/>
      <c r="T6" s="7"/>
      <c r="U6" s="9" t="n">
        <v>122.1</v>
      </c>
      <c r="V6" s="1" t="n">
        <v>216.2</v>
      </c>
    </row>
    <row r="7" s="1" customFormat="true" ht="15" hidden="false" customHeight="false" outlineLevel="0" collapsed="false">
      <c r="C7" s="8" t="n">
        <v>40181</v>
      </c>
      <c r="D7" s="1" t="n">
        <v>3.6</v>
      </c>
      <c r="E7" s="1" t="n">
        <v>2.3</v>
      </c>
      <c r="F7" s="1" t="n">
        <v>5.8</v>
      </c>
      <c r="J7" s="1" t="n">
        <v>2.9</v>
      </c>
      <c r="L7" s="1" t="n">
        <v>1.2</v>
      </c>
      <c r="N7" s="1" t="n">
        <v>1.7</v>
      </c>
      <c r="P7" s="6"/>
      <c r="T7" s="7"/>
      <c r="V7" s="1" t="n">
        <v>94.2</v>
      </c>
    </row>
    <row r="8" s="1" customFormat="true" ht="15" hidden="false" customHeight="false" outlineLevel="0" collapsed="false">
      <c r="C8" s="8" t="n">
        <v>40182</v>
      </c>
      <c r="D8" s="1" t="n">
        <v>6</v>
      </c>
      <c r="E8" s="1" t="n">
        <v>2.6</v>
      </c>
      <c r="F8" s="1" t="n">
        <v>7.5</v>
      </c>
      <c r="J8" s="1" t="n">
        <v>0.2</v>
      </c>
      <c r="L8" s="1" t="n">
        <v>0.2</v>
      </c>
      <c r="N8" s="1" t="n">
        <v>0</v>
      </c>
      <c r="P8" s="6"/>
      <c r="T8" s="7"/>
      <c r="V8" s="1" t="n">
        <v>148.1</v>
      </c>
    </row>
    <row r="9" s="1" customFormat="true" ht="15" hidden="false" customHeight="false" outlineLevel="0" collapsed="false">
      <c r="C9" s="8" t="n">
        <v>40183</v>
      </c>
      <c r="D9" s="1" t="n">
        <v>3.7</v>
      </c>
      <c r="E9" s="1" t="n">
        <v>1.5</v>
      </c>
      <c r="F9" s="1" t="n">
        <v>5.7</v>
      </c>
      <c r="J9" s="1" t="n">
        <v>0.5</v>
      </c>
      <c r="L9" s="1" t="n">
        <v>0.2</v>
      </c>
      <c r="N9" s="1" t="n">
        <v>0.3</v>
      </c>
      <c r="P9" s="6"/>
      <c r="T9" s="7"/>
      <c r="V9" s="1" t="n">
        <v>105.1</v>
      </c>
    </row>
    <row r="10" s="1" customFormat="true" ht="15" hidden="false" customHeight="false" outlineLevel="0" collapsed="false">
      <c r="C10" s="8" t="n">
        <v>40184</v>
      </c>
      <c r="D10" s="1" t="n">
        <v>2.2</v>
      </c>
      <c r="E10" s="1" t="n">
        <v>-1.1</v>
      </c>
      <c r="F10" s="1" t="n">
        <v>8.5</v>
      </c>
      <c r="J10" s="1" t="n">
        <v>0</v>
      </c>
      <c r="L10" s="1" t="n">
        <v>0.9</v>
      </c>
      <c r="N10" s="1" t="n">
        <v>-0.9</v>
      </c>
      <c r="P10" s="6"/>
      <c r="T10" s="7"/>
      <c r="V10" s="1" t="n">
        <v>749.5</v>
      </c>
    </row>
    <row r="11" s="1" customFormat="true" ht="15" hidden="false" customHeight="false" outlineLevel="0" collapsed="false">
      <c r="C11" s="8" t="n">
        <v>40185</v>
      </c>
      <c r="D11" s="1" t="n">
        <v>1</v>
      </c>
      <c r="E11" s="1" t="n">
        <v>-1.3</v>
      </c>
      <c r="F11" s="1" t="n">
        <v>2.6</v>
      </c>
      <c r="J11" s="1" t="n">
        <v>0.2</v>
      </c>
      <c r="L11" s="1" t="n">
        <v>0.2</v>
      </c>
      <c r="N11" s="1" t="n">
        <v>0</v>
      </c>
      <c r="P11" s="6"/>
      <c r="T11" s="7"/>
      <c r="V11" s="1" t="n">
        <v>130.8</v>
      </c>
    </row>
    <row r="12" s="1" customFormat="true" ht="15" hidden="false" customHeight="false" outlineLevel="0" collapsed="false">
      <c r="C12" s="8" t="n">
        <v>40186</v>
      </c>
      <c r="D12" s="1" t="n">
        <v>-0.8</v>
      </c>
      <c r="E12" s="1" t="n">
        <v>-1.5</v>
      </c>
      <c r="F12" s="1" t="n">
        <v>0</v>
      </c>
      <c r="J12" s="1" t="n">
        <v>0</v>
      </c>
      <c r="L12" s="1" t="n">
        <v>0.6</v>
      </c>
      <c r="N12" s="1" t="n">
        <v>-0.6</v>
      </c>
      <c r="P12" s="6"/>
      <c r="T12" s="7"/>
      <c r="V12" s="1" t="n">
        <v>202.9</v>
      </c>
    </row>
    <row r="13" s="1" customFormat="true" ht="15" hidden="false" customHeight="false" outlineLevel="0" collapsed="false">
      <c r="C13" s="8" t="n">
        <v>40187</v>
      </c>
      <c r="D13" s="1" t="n">
        <v>-3.2</v>
      </c>
      <c r="E13" s="1" t="n">
        <v>-3.7</v>
      </c>
      <c r="F13" s="1" t="n">
        <v>-2.3</v>
      </c>
      <c r="J13" s="1" t="n">
        <v>0</v>
      </c>
      <c r="L13" s="1" t="n">
        <v>0.4</v>
      </c>
      <c r="N13" s="1" t="n">
        <v>-0.4</v>
      </c>
      <c r="P13" s="6"/>
      <c r="T13" s="7"/>
      <c r="V13" s="1" t="n">
        <v>111</v>
      </c>
    </row>
    <row r="14" s="1" customFormat="true" ht="15" hidden="false" customHeight="false" outlineLevel="0" collapsed="false">
      <c r="C14" s="8" t="n">
        <v>40188</v>
      </c>
      <c r="D14" s="1" t="n">
        <v>-2.7</v>
      </c>
      <c r="E14" s="1" t="n">
        <v>-3.4</v>
      </c>
      <c r="F14" s="1" t="n">
        <v>-0.5</v>
      </c>
      <c r="J14" s="1" t="n">
        <v>0</v>
      </c>
      <c r="L14" s="1" t="n">
        <v>0.5</v>
      </c>
      <c r="N14" s="1" t="n">
        <v>-0.5</v>
      </c>
      <c r="P14" s="6"/>
      <c r="T14" s="7"/>
      <c r="V14" s="1" t="n">
        <v>208.7</v>
      </c>
    </row>
    <row r="15" s="1" customFormat="true" ht="15" hidden="false" customHeight="false" outlineLevel="0" collapsed="false">
      <c r="C15" s="8" t="n">
        <v>40189</v>
      </c>
      <c r="D15" s="1" t="n">
        <v>-3.9</v>
      </c>
      <c r="E15" s="1" t="n">
        <v>-6.1</v>
      </c>
      <c r="F15" s="1" t="n">
        <v>0.1</v>
      </c>
      <c r="J15" s="1" t="n">
        <v>0</v>
      </c>
      <c r="L15" s="1" t="n">
        <v>0.6</v>
      </c>
      <c r="N15" s="1" t="n">
        <v>-0.6</v>
      </c>
      <c r="P15" s="6"/>
      <c r="T15" s="7"/>
      <c r="V15" s="1" t="n">
        <v>742.7</v>
      </c>
    </row>
    <row r="16" s="1" customFormat="true" ht="15" hidden="false" customHeight="false" outlineLevel="0" collapsed="false">
      <c r="C16" s="8" t="n">
        <v>40190</v>
      </c>
      <c r="D16" s="1" t="n">
        <v>-1.7</v>
      </c>
      <c r="E16" s="1" t="n">
        <v>-8.4</v>
      </c>
      <c r="F16" s="1" t="n">
        <v>5.6</v>
      </c>
      <c r="J16" s="1" t="n">
        <v>13.6</v>
      </c>
      <c r="L16" s="1" t="n">
        <v>0.5</v>
      </c>
      <c r="N16" s="1" t="n">
        <v>13.1</v>
      </c>
      <c r="P16" s="6"/>
      <c r="T16" s="7"/>
      <c r="V16" s="1" t="n">
        <v>208.1</v>
      </c>
    </row>
    <row r="17" s="1" customFormat="true" ht="15" hidden="false" customHeight="false" outlineLevel="0" collapsed="false">
      <c r="C17" s="8" t="n">
        <v>40191</v>
      </c>
      <c r="D17" s="1" t="n">
        <v>7.7</v>
      </c>
      <c r="E17" s="1" t="n">
        <v>2.3</v>
      </c>
      <c r="F17" s="1" t="n">
        <v>11.6</v>
      </c>
      <c r="J17" s="1" t="n">
        <v>0.8</v>
      </c>
      <c r="L17" s="1" t="n">
        <v>1</v>
      </c>
      <c r="N17" s="1" t="n">
        <v>-0.2</v>
      </c>
      <c r="P17" s="6"/>
      <c r="T17" s="7"/>
      <c r="V17" s="1" t="n">
        <v>671.2</v>
      </c>
    </row>
    <row r="18" s="1" customFormat="true" ht="15" hidden="false" customHeight="false" outlineLevel="0" collapsed="false">
      <c r="C18" s="8" t="n">
        <v>40192</v>
      </c>
      <c r="D18" s="1" t="n">
        <v>9</v>
      </c>
      <c r="E18" s="1" t="n">
        <v>7.4</v>
      </c>
      <c r="F18" s="1" t="n">
        <v>12.6</v>
      </c>
      <c r="J18" s="1" t="n">
        <v>8.8</v>
      </c>
      <c r="L18" s="1" t="n">
        <v>1.3</v>
      </c>
      <c r="N18" s="1" t="n">
        <v>7.5</v>
      </c>
      <c r="P18" s="6"/>
      <c r="T18" s="7"/>
      <c r="V18" s="1" t="n">
        <v>135.7</v>
      </c>
    </row>
    <row r="19" s="1" customFormat="true" ht="15" hidden="false" customHeight="false" outlineLevel="0" collapsed="false">
      <c r="C19" s="8" t="n">
        <v>40193</v>
      </c>
      <c r="D19" s="1" t="n">
        <v>5.6</v>
      </c>
      <c r="E19" s="1" t="n">
        <v>5.2</v>
      </c>
      <c r="F19" s="1" t="n">
        <v>7.2</v>
      </c>
      <c r="J19" s="1" t="n">
        <v>0.1</v>
      </c>
      <c r="L19" s="1" t="n">
        <v>0.9</v>
      </c>
      <c r="N19" s="1" t="n">
        <v>-0.8</v>
      </c>
      <c r="P19" s="6"/>
      <c r="T19" s="7"/>
      <c r="V19" s="1" t="n">
        <v>390.5</v>
      </c>
    </row>
    <row r="20" s="1" customFormat="true" ht="15" hidden="false" customHeight="false" outlineLevel="0" collapsed="false">
      <c r="C20" s="8" t="n">
        <v>40194</v>
      </c>
      <c r="D20" s="1" t="n">
        <v>6.4</v>
      </c>
      <c r="E20" s="1" t="n">
        <v>0.9</v>
      </c>
      <c r="F20" s="1" t="n">
        <v>9.4</v>
      </c>
      <c r="J20" s="1" t="n">
        <v>5.5</v>
      </c>
      <c r="L20" s="1" t="n">
        <v>0.4</v>
      </c>
      <c r="N20" s="1" t="n">
        <v>5.1</v>
      </c>
      <c r="P20" s="6"/>
      <c r="T20" s="7"/>
      <c r="V20" s="1" t="n">
        <v>220.1</v>
      </c>
    </row>
    <row r="21" s="1" customFormat="true" ht="15" hidden="false" customHeight="false" outlineLevel="0" collapsed="false">
      <c r="C21" s="8" t="n">
        <v>40195</v>
      </c>
      <c r="D21" s="1" t="n">
        <v>8.5</v>
      </c>
      <c r="E21" s="1" t="n">
        <v>7</v>
      </c>
      <c r="F21" s="1" t="n">
        <v>11.8</v>
      </c>
      <c r="J21" s="1" t="n">
        <v>0</v>
      </c>
      <c r="L21" s="1" t="n">
        <v>0.9</v>
      </c>
      <c r="N21" s="1" t="n">
        <v>-0.9</v>
      </c>
      <c r="P21" s="6"/>
      <c r="T21" s="7"/>
      <c r="V21" s="1" t="n">
        <v>403.9</v>
      </c>
    </row>
    <row r="22" s="1" customFormat="true" ht="15" hidden="false" customHeight="false" outlineLevel="0" collapsed="false">
      <c r="C22" s="8" t="n">
        <v>40196</v>
      </c>
      <c r="D22" s="1" t="n">
        <v>3.4</v>
      </c>
      <c r="E22" s="1" t="n">
        <v>-0.2</v>
      </c>
      <c r="F22" s="1" t="n">
        <v>5.9</v>
      </c>
      <c r="J22" s="1" t="n">
        <v>0.1</v>
      </c>
      <c r="L22" s="1" t="n">
        <v>0.5</v>
      </c>
      <c r="N22" s="1" t="n">
        <v>-0.4</v>
      </c>
      <c r="P22" s="6"/>
      <c r="T22" s="7"/>
      <c r="V22" s="1" t="n">
        <v>596</v>
      </c>
    </row>
    <row r="23" s="1" customFormat="true" ht="15" hidden="false" customHeight="false" outlineLevel="0" collapsed="false">
      <c r="C23" s="8" t="n">
        <v>40197</v>
      </c>
      <c r="D23" s="1" t="n">
        <v>6.6</v>
      </c>
      <c r="E23" s="1" t="n">
        <v>3.3</v>
      </c>
      <c r="F23" s="1" t="n">
        <v>8.9</v>
      </c>
      <c r="J23" s="1" t="n">
        <v>2.8</v>
      </c>
      <c r="L23" s="1" t="n">
        <v>0.7</v>
      </c>
      <c r="N23" s="1" t="n">
        <v>2.1</v>
      </c>
      <c r="P23" s="6"/>
      <c r="T23" s="7"/>
      <c r="V23" s="1" t="n">
        <v>269.4</v>
      </c>
    </row>
    <row r="24" s="1" customFormat="true" ht="15" hidden="false" customHeight="false" outlineLevel="0" collapsed="false">
      <c r="C24" s="8" t="n">
        <v>40198</v>
      </c>
      <c r="D24" s="1" t="n">
        <v>8.7</v>
      </c>
      <c r="E24" s="1" t="n">
        <v>7.3</v>
      </c>
      <c r="F24" s="1" t="n">
        <v>10.6</v>
      </c>
      <c r="J24" s="1" t="n">
        <v>8.4</v>
      </c>
      <c r="L24" s="1" t="n">
        <v>0.5</v>
      </c>
      <c r="N24" s="1" t="n">
        <v>7.9</v>
      </c>
      <c r="P24" s="6"/>
      <c r="T24" s="7"/>
      <c r="V24" s="1" t="n">
        <v>138.5</v>
      </c>
    </row>
    <row r="25" s="1" customFormat="true" ht="15" hidden="false" customHeight="false" outlineLevel="0" collapsed="false">
      <c r="C25" s="8" t="n">
        <v>40199</v>
      </c>
      <c r="D25" s="1" t="n">
        <v>7.1</v>
      </c>
      <c r="E25" s="1" t="n">
        <v>6.7</v>
      </c>
      <c r="F25" s="1" t="n">
        <v>8.8</v>
      </c>
      <c r="J25" s="1" t="n">
        <v>0</v>
      </c>
      <c r="L25" s="1" t="n">
        <v>1.1</v>
      </c>
      <c r="N25" s="1" t="n">
        <v>-1.1</v>
      </c>
      <c r="P25" s="6"/>
      <c r="T25" s="7"/>
      <c r="V25" s="1" t="n">
        <v>630.2</v>
      </c>
    </row>
    <row r="26" s="1" customFormat="true" ht="15" hidden="false" customHeight="false" outlineLevel="0" collapsed="false">
      <c r="C26" s="8" t="n">
        <v>40200</v>
      </c>
      <c r="D26" s="1" t="n">
        <v>4.6</v>
      </c>
      <c r="E26" s="1" t="n">
        <v>-0.1</v>
      </c>
      <c r="F26" s="1" t="n">
        <v>10</v>
      </c>
      <c r="J26" s="1" t="n">
        <v>0</v>
      </c>
      <c r="L26" s="1" t="n">
        <v>1.1</v>
      </c>
      <c r="N26" s="1" t="n">
        <v>-1.1</v>
      </c>
      <c r="P26" s="6"/>
      <c r="T26" s="7"/>
      <c r="V26" s="1" t="n">
        <v>757.2</v>
      </c>
    </row>
    <row r="27" s="1" customFormat="true" ht="15" hidden="false" customHeight="false" outlineLevel="0" collapsed="false">
      <c r="C27" s="8" t="n">
        <v>40201</v>
      </c>
      <c r="D27" s="1" t="n">
        <v>6.8</v>
      </c>
      <c r="E27" s="1" t="n">
        <v>3</v>
      </c>
      <c r="F27" s="1" t="n">
        <v>10.8</v>
      </c>
      <c r="J27" s="1" t="n">
        <v>0.1</v>
      </c>
      <c r="L27" s="1" t="n">
        <v>0.9</v>
      </c>
      <c r="N27" s="1" t="n">
        <v>-0.8</v>
      </c>
      <c r="P27" s="6"/>
      <c r="T27" s="7"/>
      <c r="V27" s="1" t="n">
        <v>420.8</v>
      </c>
    </row>
    <row r="28" s="1" customFormat="true" ht="15" hidden="false" customHeight="false" outlineLevel="0" collapsed="false">
      <c r="C28" s="8" t="n">
        <v>40202</v>
      </c>
      <c r="D28" s="1" t="n">
        <v>7.4</v>
      </c>
      <c r="E28" s="1" t="n">
        <v>5.8</v>
      </c>
      <c r="F28" s="1" t="n">
        <v>9.7</v>
      </c>
      <c r="J28" s="1" t="n">
        <v>0.8</v>
      </c>
      <c r="L28" s="1" t="n">
        <v>0.5</v>
      </c>
      <c r="N28" s="1" t="n">
        <v>0.3</v>
      </c>
      <c r="P28" s="6"/>
      <c r="T28" s="7"/>
      <c r="V28" s="1" t="n">
        <v>143.8</v>
      </c>
    </row>
    <row r="29" s="1" customFormat="true" ht="15" hidden="false" customHeight="false" outlineLevel="0" collapsed="false">
      <c r="C29" s="8" t="n">
        <v>40203</v>
      </c>
      <c r="D29" s="1" t="n">
        <v>4.6</v>
      </c>
      <c r="E29" s="1" t="n">
        <v>3.4</v>
      </c>
      <c r="F29" s="1" t="n">
        <v>7.6</v>
      </c>
      <c r="J29" s="1" t="n">
        <v>0</v>
      </c>
      <c r="L29" s="1" t="n">
        <v>0.8</v>
      </c>
      <c r="N29" s="1" t="n">
        <v>-0.8</v>
      </c>
      <c r="P29" s="6"/>
      <c r="T29" s="7"/>
      <c r="V29" s="1" t="n">
        <v>435.4</v>
      </c>
    </row>
    <row r="30" s="1" customFormat="true" ht="15" hidden="false" customHeight="false" outlineLevel="0" collapsed="false">
      <c r="C30" s="8" t="n">
        <v>40204</v>
      </c>
      <c r="D30" s="1" t="n">
        <v>2.7</v>
      </c>
      <c r="E30" s="1" t="n">
        <v>-1.1</v>
      </c>
      <c r="F30" s="1" t="n">
        <v>7.6</v>
      </c>
      <c r="J30" s="1" t="n">
        <v>0</v>
      </c>
      <c r="L30" s="1" t="n">
        <v>1.3</v>
      </c>
      <c r="N30" s="1" t="n">
        <v>-1.3</v>
      </c>
      <c r="P30" s="6"/>
      <c r="T30" s="7"/>
      <c r="V30" s="1" t="n">
        <v>957.1</v>
      </c>
    </row>
    <row r="31" s="1" customFormat="true" ht="15" hidden="false" customHeight="false" outlineLevel="0" collapsed="false">
      <c r="C31" s="8" t="n">
        <v>40205</v>
      </c>
      <c r="D31" s="1" t="n">
        <v>1.5</v>
      </c>
      <c r="E31" s="1" t="n">
        <v>1.2</v>
      </c>
      <c r="F31" s="1" t="n">
        <v>3.2</v>
      </c>
      <c r="J31" s="1" t="n">
        <v>0</v>
      </c>
      <c r="L31" s="1" t="n">
        <v>1.3</v>
      </c>
      <c r="N31" s="1" t="n">
        <v>-1.3</v>
      </c>
      <c r="P31" s="6"/>
      <c r="T31" s="7"/>
      <c r="V31" s="1" t="n">
        <v>907.7</v>
      </c>
    </row>
    <row r="32" s="1" customFormat="true" ht="15" hidden="false" customHeight="false" outlineLevel="0" collapsed="false">
      <c r="C32" s="8" t="n">
        <v>40206</v>
      </c>
      <c r="D32" s="1" t="n">
        <v>4.1</v>
      </c>
      <c r="E32" s="1" t="n">
        <v>-1.2</v>
      </c>
      <c r="F32" s="1" t="n">
        <v>6.6</v>
      </c>
      <c r="J32" s="1" t="n">
        <v>0.4</v>
      </c>
      <c r="L32" s="1" t="n">
        <v>0.6</v>
      </c>
      <c r="N32" s="1" t="n">
        <v>-0.2</v>
      </c>
      <c r="P32" s="6"/>
      <c r="T32" s="7"/>
      <c r="V32" s="1" t="n">
        <v>176.5</v>
      </c>
    </row>
    <row r="33" s="1" customFormat="true" ht="15" hidden="false" customHeight="false" outlineLevel="0" collapsed="false">
      <c r="C33" s="8" t="n">
        <v>40207</v>
      </c>
      <c r="D33" s="1" t="n">
        <v>7</v>
      </c>
      <c r="E33" s="1" t="n">
        <v>5.2</v>
      </c>
      <c r="F33" s="1" t="n">
        <v>9.8</v>
      </c>
      <c r="J33" s="1" t="n">
        <v>4</v>
      </c>
      <c r="L33" s="1" t="n">
        <v>1.2</v>
      </c>
      <c r="N33" s="1" t="n">
        <v>2.8</v>
      </c>
      <c r="P33" s="6"/>
      <c r="T33" s="7"/>
      <c r="V33" s="1" t="n">
        <v>282.6</v>
      </c>
    </row>
    <row r="34" s="1" customFormat="true" ht="15" hidden="false" customHeight="false" outlineLevel="0" collapsed="false">
      <c r="C34" s="8" t="n">
        <v>40208</v>
      </c>
      <c r="D34" s="1" t="n">
        <v>5.5</v>
      </c>
      <c r="E34" s="1" t="n">
        <v>3.1</v>
      </c>
      <c r="F34" s="1" t="n">
        <v>9.1</v>
      </c>
      <c r="J34" s="1" t="n">
        <v>0.2</v>
      </c>
      <c r="L34" s="1" t="n">
        <v>1.7</v>
      </c>
      <c r="N34" s="1" t="n">
        <v>-1.5</v>
      </c>
      <c r="P34" s="6"/>
      <c r="T34" s="7"/>
      <c r="V34" s="1" t="n">
        <v>468.9</v>
      </c>
    </row>
    <row r="35" s="1" customFormat="true" ht="15" hidden="false" customHeight="false" outlineLevel="0" collapsed="false">
      <c r="C35" s="8" t="n">
        <v>40209</v>
      </c>
      <c r="D35" s="1" t="n">
        <v>0.7</v>
      </c>
      <c r="E35" s="1" t="n">
        <v>-1.2</v>
      </c>
      <c r="F35" s="1" t="n">
        <v>4.5</v>
      </c>
      <c r="J35" s="1" t="n">
        <v>0</v>
      </c>
      <c r="L35" s="1" t="n">
        <v>1.1</v>
      </c>
      <c r="N35" s="1" t="n">
        <v>-1.1</v>
      </c>
      <c r="P35" s="6"/>
      <c r="T35" s="7"/>
      <c r="V35" s="1" t="n">
        <v>943.5</v>
      </c>
    </row>
    <row r="36" s="1" customFormat="true" ht="15" hidden="false" customHeight="false" outlineLevel="0" collapsed="false">
      <c r="C36" s="8" t="n">
        <v>40210</v>
      </c>
      <c r="D36" s="1" t="n">
        <v>0.4</v>
      </c>
      <c r="E36" s="1" t="n">
        <v>-4.5</v>
      </c>
      <c r="F36" s="1" t="n">
        <v>6.7</v>
      </c>
      <c r="J36" s="1" t="n">
        <v>0</v>
      </c>
      <c r="L36" s="1" t="n">
        <v>0.7</v>
      </c>
      <c r="N36" s="1" t="n">
        <v>-0.7</v>
      </c>
      <c r="P36" s="6"/>
      <c r="T36" s="7"/>
      <c r="V36" s="1" t="n">
        <v>855.3</v>
      </c>
    </row>
    <row r="37" s="1" customFormat="true" ht="15" hidden="false" customHeight="false" outlineLevel="0" collapsed="false">
      <c r="C37" s="8" t="n">
        <v>40211</v>
      </c>
      <c r="D37" s="1" t="n">
        <v>2.1</v>
      </c>
      <c r="E37" s="1" t="n">
        <v>-3</v>
      </c>
      <c r="F37" s="1" t="n">
        <v>9.1</v>
      </c>
      <c r="J37" s="1" t="n">
        <v>0</v>
      </c>
      <c r="L37" s="1" t="n">
        <v>1</v>
      </c>
      <c r="N37" s="1" t="n">
        <v>-1</v>
      </c>
      <c r="P37" s="6"/>
      <c r="T37" s="7"/>
      <c r="V37" s="1" t="n">
        <v>999.1</v>
      </c>
    </row>
    <row r="38" s="1" customFormat="true" ht="15" hidden="false" customHeight="false" outlineLevel="0" collapsed="false">
      <c r="C38" s="8" t="n">
        <v>40212</v>
      </c>
      <c r="D38" s="1" t="n">
        <v>3.3</v>
      </c>
      <c r="E38" s="1" t="n">
        <v>-3</v>
      </c>
      <c r="F38" s="1" t="n">
        <v>9.2</v>
      </c>
      <c r="J38" s="1" t="n">
        <v>0</v>
      </c>
      <c r="L38" s="1" t="n">
        <v>1.3</v>
      </c>
      <c r="N38" s="1" t="n">
        <v>-1.3</v>
      </c>
      <c r="P38" s="6"/>
      <c r="T38" s="7"/>
      <c r="V38" s="1" t="n">
        <v>1166.2</v>
      </c>
    </row>
    <row r="39" s="1" customFormat="true" ht="15" hidden="false" customHeight="false" outlineLevel="0" collapsed="false">
      <c r="C39" s="8" t="n">
        <v>40213</v>
      </c>
      <c r="D39" s="1" t="n">
        <v>8.4</v>
      </c>
      <c r="E39" s="1" t="n">
        <v>1.4</v>
      </c>
      <c r="F39" s="1" t="n">
        <v>12.7</v>
      </c>
      <c r="J39" s="1" t="n">
        <v>13.4</v>
      </c>
      <c r="L39" s="1" t="n">
        <v>0.7</v>
      </c>
      <c r="N39" s="1" t="n">
        <v>12.7</v>
      </c>
      <c r="P39" s="6"/>
      <c r="T39" s="7"/>
      <c r="V39" s="1" t="n">
        <v>447.2</v>
      </c>
    </row>
    <row r="40" s="1" customFormat="true" ht="15" hidden="false" customHeight="false" outlineLevel="0" collapsed="false">
      <c r="C40" s="8" t="n">
        <v>40214</v>
      </c>
      <c r="D40" s="1" t="n">
        <v>8.4</v>
      </c>
      <c r="E40" s="1" t="n">
        <v>6.4</v>
      </c>
      <c r="F40" s="1" t="n">
        <v>12.9</v>
      </c>
      <c r="J40" s="1" t="n">
        <v>7.2</v>
      </c>
      <c r="L40" s="1" t="n">
        <v>1.4</v>
      </c>
      <c r="N40" s="1" t="n">
        <v>5.8</v>
      </c>
      <c r="P40" s="6"/>
      <c r="T40" s="7"/>
      <c r="V40" s="1" t="n">
        <v>594.2</v>
      </c>
    </row>
    <row r="41" s="1" customFormat="true" ht="15" hidden="false" customHeight="false" outlineLevel="0" collapsed="false">
      <c r="C41" s="8" t="n">
        <v>40215</v>
      </c>
      <c r="D41" s="1" t="n">
        <v>9.6</v>
      </c>
      <c r="E41" s="1" t="n">
        <v>3.9</v>
      </c>
      <c r="F41" s="1" t="n">
        <v>13.6</v>
      </c>
      <c r="J41" s="1" t="n">
        <v>2.7</v>
      </c>
      <c r="L41" s="1" t="n">
        <v>1.3</v>
      </c>
      <c r="N41" s="1" t="n">
        <v>1.4</v>
      </c>
      <c r="P41" s="6"/>
      <c r="T41" s="7"/>
      <c r="V41" s="1" t="n">
        <v>526.2</v>
      </c>
    </row>
    <row r="42" s="1" customFormat="true" ht="15" hidden="false" customHeight="false" outlineLevel="0" collapsed="false">
      <c r="C42" s="8" t="n">
        <v>40216</v>
      </c>
      <c r="D42" s="1" t="n">
        <v>7.9</v>
      </c>
      <c r="E42" s="1" t="n">
        <v>7</v>
      </c>
      <c r="F42" s="1" t="n">
        <v>11.7</v>
      </c>
      <c r="J42" s="1" t="n">
        <v>0</v>
      </c>
      <c r="L42" s="1" t="n">
        <v>1.8</v>
      </c>
      <c r="N42" s="1" t="n">
        <v>-1.8</v>
      </c>
      <c r="P42" s="6"/>
      <c r="T42" s="7"/>
      <c r="V42" s="1" t="n">
        <v>1074.7</v>
      </c>
    </row>
    <row r="43" s="1" customFormat="true" ht="15" hidden="false" customHeight="false" outlineLevel="0" collapsed="false">
      <c r="C43" s="8" t="n">
        <v>40217</v>
      </c>
      <c r="D43" s="1" t="n">
        <v>4.2</v>
      </c>
      <c r="E43" s="1" t="n">
        <v>-1.2</v>
      </c>
      <c r="F43" s="1" t="n">
        <v>9.4</v>
      </c>
      <c r="J43" s="1" t="n">
        <v>1.1</v>
      </c>
      <c r="L43" s="1" t="n">
        <v>0.7</v>
      </c>
      <c r="N43" s="1" t="n">
        <v>0.4</v>
      </c>
      <c r="P43" s="6"/>
      <c r="T43" s="7"/>
      <c r="V43" s="1" t="n">
        <v>471.5</v>
      </c>
    </row>
    <row r="44" s="1" customFormat="true" ht="15" hidden="false" customHeight="false" outlineLevel="0" collapsed="false">
      <c r="C44" s="8" t="n">
        <v>40218</v>
      </c>
      <c r="D44" s="1" t="n">
        <v>4</v>
      </c>
      <c r="E44" s="1" t="n">
        <v>3.3</v>
      </c>
      <c r="F44" s="1" t="n">
        <v>4.9</v>
      </c>
      <c r="J44" s="1" t="n">
        <v>0.4</v>
      </c>
      <c r="L44" s="1" t="n">
        <v>1.2</v>
      </c>
      <c r="N44" s="1" t="n">
        <v>-0.8</v>
      </c>
      <c r="P44" s="6"/>
      <c r="T44" s="7"/>
      <c r="V44" s="1" t="n">
        <v>742.6</v>
      </c>
    </row>
    <row r="45" s="1" customFormat="true" ht="15" hidden="false" customHeight="false" outlineLevel="0" collapsed="false">
      <c r="C45" s="8" t="n">
        <v>40219</v>
      </c>
      <c r="D45" s="1" t="n">
        <v>1.3</v>
      </c>
      <c r="E45" s="1" t="n">
        <v>1.1</v>
      </c>
      <c r="F45" s="1" t="n">
        <v>1.7</v>
      </c>
      <c r="J45" s="1" t="n">
        <v>0.1</v>
      </c>
      <c r="L45" s="1" t="n">
        <v>1.1</v>
      </c>
      <c r="N45" s="1" t="n">
        <v>-1</v>
      </c>
      <c r="P45" s="6"/>
      <c r="T45" s="7"/>
      <c r="V45" s="1" t="n">
        <v>529.4</v>
      </c>
    </row>
    <row r="46" s="1" customFormat="true" ht="15" hidden="false" customHeight="false" outlineLevel="0" collapsed="false">
      <c r="C46" s="8" t="n">
        <v>40220</v>
      </c>
      <c r="D46" s="1" t="n">
        <v>-1.7</v>
      </c>
      <c r="E46" s="1" t="n">
        <v>-3.1</v>
      </c>
      <c r="F46" s="1" t="n">
        <v>-0.6</v>
      </c>
      <c r="J46" s="1" t="n">
        <v>0</v>
      </c>
      <c r="L46" s="1" t="n">
        <v>0.9</v>
      </c>
      <c r="N46" s="1" t="n">
        <v>-0.9</v>
      </c>
      <c r="P46" s="6"/>
      <c r="T46" s="7"/>
      <c r="V46" s="1" t="n">
        <v>472.2</v>
      </c>
    </row>
    <row r="47" s="1" customFormat="true" ht="15" hidden="false" customHeight="false" outlineLevel="0" collapsed="false">
      <c r="C47" s="8" t="n">
        <v>40221</v>
      </c>
      <c r="D47" s="1" t="n">
        <v>-1.5</v>
      </c>
      <c r="E47" s="1" t="n">
        <v>-3</v>
      </c>
      <c r="F47" s="1" t="n">
        <v>0</v>
      </c>
      <c r="J47" s="1" t="n">
        <v>0</v>
      </c>
      <c r="L47" s="1" t="n">
        <v>0.6</v>
      </c>
      <c r="N47" s="1" t="n">
        <v>-0.6</v>
      </c>
      <c r="P47" s="6"/>
      <c r="T47" s="7"/>
      <c r="V47" s="1" t="n">
        <v>154.8</v>
      </c>
    </row>
    <row r="48" s="1" customFormat="true" ht="15" hidden="false" customHeight="false" outlineLevel="0" collapsed="false">
      <c r="C48" s="8" t="n">
        <v>40222</v>
      </c>
      <c r="D48" s="1" t="n">
        <v>-0.6</v>
      </c>
      <c r="E48" s="1" t="n">
        <v>-2.1</v>
      </c>
      <c r="F48" s="1" t="n">
        <v>1.3</v>
      </c>
      <c r="J48" s="1" t="n">
        <v>0.1</v>
      </c>
      <c r="L48" s="1" t="n">
        <v>1.2</v>
      </c>
      <c r="N48" s="1" t="n">
        <v>-1.1</v>
      </c>
      <c r="P48" s="6"/>
      <c r="T48" s="7"/>
      <c r="V48" s="1" t="n">
        <v>801.2</v>
      </c>
    </row>
    <row r="49" s="1" customFormat="true" ht="15" hidden="false" customHeight="false" outlineLevel="0" collapsed="false">
      <c r="C49" s="8" t="n">
        <v>40223</v>
      </c>
      <c r="D49" s="1" t="n">
        <v>-0.1</v>
      </c>
      <c r="E49" s="1" t="n">
        <v>-0.8</v>
      </c>
      <c r="F49" s="1" t="n">
        <v>0.6</v>
      </c>
      <c r="J49" s="1" t="n">
        <v>0.1</v>
      </c>
      <c r="L49" s="1" t="n">
        <v>0.8</v>
      </c>
      <c r="N49" s="1" t="n">
        <v>-0.7</v>
      </c>
      <c r="P49" s="6"/>
      <c r="T49" s="7"/>
      <c r="V49" s="1" t="n">
        <v>563.9</v>
      </c>
    </row>
    <row r="50" s="1" customFormat="true" ht="15" hidden="false" customHeight="false" outlineLevel="0" collapsed="false">
      <c r="C50" s="8" t="n">
        <v>40224</v>
      </c>
      <c r="D50" s="1" t="n">
        <v>0.6</v>
      </c>
      <c r="E50" s="1" t="n">
        <v>-1.3</v>
      </c>
      <c r="F50" s="1" t="n">
        <v>2.2</v>
      </c>
      <c r="J50" s="1" t="n">
        <v>0</v>
      </c>
      <c r="L50" s="1" t="n">
        <v>1</v>
      </c>
      <c r="N50" s="1" t="n">
        <v>-1</v>
      </c>
      <c r="P50" s="6"/>
      <c r="T50" s="7"/>
      <c r="V50" s="1" t="n">
        <v>904.4</v>
      </c>
    </row>
    <row r="51" s="1" customFormat="true" ht="15" hidden="false" customHeight="false" outlineLevel="0" collapsed="false">
      <c r="C51" s="8" t="n">
        <v>40225</v>
      </c>
      <c r="D51" s="1" t="n">
        <v>5.5</v>
      </c>
      <c r="E51" s="1" t="n">
        <v>-0.4</v>
      </c>
      <c r="F51" s="1" t="n">
        <v>9</v>
      </c>
      <c r="J51" s="1" t="n">
        <v>0.1</v>
      </c>
      <c r="L51" s="1" t="n">
        <v>0.5</v>
      </c>
      <c r="N51" s="1" t="n">
        <v>-0.4</v>
      </c>
      <c r="P51" s="6"/>
      <c r="T51" s="7"/>
      <c r="V51" s="1" t="n">
        <v>253.1</v>
      </c>
    </row>
    <row r="52" s="1" customFormat="true" ht="15" hidden="false" customHeight="false" outlineLevel="0" collapsed="false">
      <c r="C52" s="8" t="n">
        <v>40226</v>
      </c>
      <c r="D52" s="1" t="n">
        <v>8.7</v>
      </c>
      <c r="E52" s="1" t="n">
        <v>6.3</v>
      </c>
      <c r="F52" s="1" t="n">
        <v>11.4</v>
      </c>
      <c r="J52" s="1" t="n">
        <v>2.1</v>
      </c>
      <c r="L52" s="1" t="n">
        <v>0.7</v>
      </c>
      <c r="N52" s="1" t="n">
        <v>1.4</v>
      </c>
      <c r="P52" s="6"/>
      <c r="T52" s="7"/>
      <c r="V52" s="1" t="n">
        <v>247.9</v>
      </c>
    </row>
    <row r="53" s="1" customFormat="true" ht="15" hidden="false" customHeight="false" outlineLevel="0" collapsed="false">
      <c r="C53" s="8" t="n">
        <v>40227</v>
      </c>
      <c r="D53" s="1" t="n">
        <v>9.2</v>
      </c>
      <c r="E53" s="1" t="n">
        <v>4.9</v>
      </c>
      <c r="F53" s="1" t="n">
        <v>13.5</v>
      </c>
      <c r="J53" s="1" t="n">
        <v>4.9</v>
      </c>
      <c r="L53" s="1" t="n">
        <v>1.7</v>
      </c>
      <c r="N53" s="1" t="n">
        <v>3.2</v>
      </c>
      <c r="P53" s="6"/>
      <c r="T53" s="7"/>
      <c r="V53" s="1" t="n">
        <v>1041.3</v>
      </c>
    </row>
    <row r="54" s="1" customFormat="true" ht="15" hidden="false" customHeight="false" outlineLevel="0" collapsed="false">
      <c r="C54" s="8" t="n">
        <v>40228</v>
      </c>
      <c r="D54" s="1" t="n">
        <v>6.7</v>
      </c>
      <c r="E54" s="1" t="n">
        <v>6.1</v>
      </c>
      <c r="F54" s="1" t="n">
        <v>8.2</v>
      </c>
      <c r="J54" s="1" t="n">
        <v>0.6</v>
      </c>
      <c r="L54" s="1" t="n">
        <v>1</v>
      </c>
      <c r="N54" s="1" t="n">
        <v>-0.4</v>
      </c>
      <c r="P54" s="6"/>
      <c r="T54" s="7"/>
      <c r="V54" s="1" t="n">
        <v>428.2</v>
      </c>
    </row>
    <row r="55" s="1" customFormat="true" ht="15" hidden="false" customHeight="false" outlineLevel="0" collapsed="false">
      <c r="C55" s="8" t="n">
        <v>40229</v>
      </c>
      <c r="D55" s="1" t="n">
        <v>5.7</v>
      </c>
      <c r="E55" s="1" t="n">
        <v>3.7</v>
      </c>
      <c r="F55" s="1" t="n">
        <v>9.7</v>
      </c>
      <c r="J55" s="1" t="n">
        <v>0.6</v>
      </c>
      <c r="L55" s="1" t="n">
        <v>1.3</v>
      </c>
      <c r="N55" s="1" t="n">
        <v>-0.7</v>
      </c>
      <c r="P55" s="6"/>
      <c r="T55" s="7"/>
      <c r="V55" s="1" t="n">
        <v>383.7</v>
      </c>
    </row>
    <row r="56" s="1" customFormat="true" ht="15" hidden="false" customHeight="false" outlineLevel="0" collapsed="false">
      <c r="C56" s="8" t="n">
        <v>40230</v>
      </c>
      <c r="D56" s="1" t="n">
        <v>5.8</v>
      </c>
      <c r="E56" s="1" t="n">
        <v>-0.1</v>
      </c>
      <c r="F56" s="1" t="n">
        <v>10.2</v>
      </c>
      <c r="J56" s="1" t="n">
        <v>0</v>
      </c>
      <c r="L56" s="1" t="n">
        <v>0.7</v>
      </c>
      <c r="N56" s="1" t="n">
        <v>-0.7</v>
      </c>
      <c r="P56" s="6"/>
      <c r="T56" s="7"/>
      <c r="V56" s="1" t="n">
        <v>496</v>
      </c>
    </row>
    <row r="57" s="1" customFormat="true" ht="15" hidden="false" customHeight="false" outlineLevel="0" collapsed="false">
      <c r="C57" s="8" t="n">
        <v>40231</v>
      </c>
      <c r="D57" s="1" t="n">
        <v>9.1</v>
      </c>
      <c r="E57" s="1" t="n">
        <v>4.6</v>
      </c>
      <c r="F57" s="1" t="n">
        <v>13</v>
      </c>
      <c r="J57" s="1" t="n">
        <v>0.3</v>
      </c>
      <c r="L57" s="1" t="n">
        <v>1.1</v>
      </c>
      <c r="N57" s="1" t="n">
        <v>-0.8</v>
      </c>
      <c r="P57" s="6"/>
      <c r="T57" s="7"/>
      <c r="V57" s="1" t="n">
        <v>420.9</v>
      </c>
    </row>
    <row r="58" s="1" customFormat="true" ht="15" hidden="false" customHeight="false" outlineLevel="0" collapsed="false">
      <c r="C58" s="8" t="n">
        <v>40232</v>
      </c>
      <c r="D58" s="1" t="n">
        <v>10.8</v>
      </c>
      <c r="E58" s="1" t="n">
        <v>6.5</v>
      </c>
      <c r="F58" s="1" t="n">
        <v>15.4</v>
      </c>
      <c r="J58" s="1" t="n">
        <v>0.8</v>
      </c>
      <c r="L58" s="1" t="n">
        <v>1</v>
      </c>
      <c r="N58" s="1" t="n">
        <v>-0.2</v>
      </c>
      <c r="P58" s="6"/>
      <c r="T58" s="7"/>
      <c r="V58" s="1" t="n">
        <v>478</v>
      </c>
    </row>
    <row r="59" s="1" customFormat="true" ht="15" hidden="false" customHeight="false" outlineLevel="0" collapsed="false">
      <c r="C59" s="8" t="n">
        <v>40233</v>
      </c>
      <c r="D59" s="1" t="n">
        <v>11.5</v>
      </c>
      <c r="E59" s="1" t="n">
        <v>8.2</v>
      </c>
      <c r="F59" s="1" t="n">
        <v>16.7</v>
      </c>
      <c r="J59" s="1" t="n">
        <v>2.7</v>
      </c>
      <c r="L59" s="1" t="n">
        <v>2.3</v>
      </c>
      <c r="N59" s="1" t="n">
        <v>0.4</v>
      </c>
      <c r="P59" s="6"/>
      <c r="T59" s="7"/>
      <c r="V59" s="1" t="n">
        <v>943.3</v>
      </c>
    </row>
    <row r="60" s="1" customFormat="true" ht="15" hidden="false" customHeight="false" outlineLevel="0" collapsed="false">
      <c r="C60" s="8" t="n">
        <v>40234</v>
      </c>
      <c r="D60" s="1" t="n">
        <v>10.4</v>
      </c>
      <c r="E60" s="1" t="n">
        <v>7.2</v>
      </c>
      <c r="F60" s="1" t="n">
        <v>13.5</v>
      </c>
      <c r="J60" s="1" t="n">
        <v>0.3</v>
      </c>
      <c r="L60" s="1" t="n">
        <v>1.3</v>
      </c>
      <c r="N60" s="1" t="n">
        <v>-1</v>
      </c>
      <c r="P60" s="6"/>
      <c r="T60" s="7"/>
      <c r="V60" s="1" t="n">
        <v>500.2</v>
      </c>
    </row>
    <row r="61" s="1" customFormat="true" ht="15" hidden="false" customHeight="false" outlineLevel="0" collapsed="false">
      <c r="C61" s="8" t="n">
        <v>40235</v>
      </c>
      <c r="D61" s="1" t="n">
        <v>9.8</v>
      </c>
      <c r="E61" s="1" t="n">
        <v>10.1</v>
      </c>
      <c r="F61" s="1" t="n">
        <v>12.9</v>
      </c>
      <c r="J61" s="1" t="n">
        <v>0.4</v>
      </c>
      <c r="L61" s="1" t="n">
        <v>3</v>
      </c>
      <c r="N61" s="1" t="n">
        <v>-2.6</v>
      </c>
      <c r="P61" s="6"/>
      <c r="T61" s="7"/>
      <c r="V61" s="1" t="n">
        <v>1237.9</v>
      </c>
    </row>
    <row r="62" s="1" customFormat="true" ht="15" hidden="false" customHeight="false" outlineLevel="0" collapsed="false">
      <c r="C62" s="8" t="n">
        <v>40236</v>
      </c>
      <c r="D62" s="1" t="n">
        <v>9.6</v>
      </c>
      <c r="E62" s="1" t="n">
        <v>2.7</v>
      </c>
      <c r="F62" s="1" t="n">
        <v>13.5</v>
      </c>
      <c r="J62" s="1" t="n">
        <v>0.6</v>
      </c>
      <c r="L62" s="1" t="n">
        <v>1</v>
      </c>
      <c r="N62" s="1" t="n">
        <v>-0.4</v>
      </c>
      <c r="P62" s="6"/>
      <c r="T62" s="7"/>
      <c r="V62" s="1" t="n">
        <v>561</v>
      </c>
    </row>
    <row r="63" s="1" customFormat="true" ht="15" hidden="false" customHeight="false" outlineLevel="0" collapsed="false">
      <c r="C63" s="8" t="n">
        <v>40237</v>
      </c>
      <c r="D63" s="1" t="n">
        <v>11.4</v>
      </c>
      <c r="E63" s="1" t="n">
        <v>10.6</v>
      </c>
      <c r="F63" s="1" t="n">
        <v>15.2</v>
      </c>
      <c r="J63" s="1" t="n">
        <v>0</v>
      </c>
      <c r="L63" s="1" t="n">
        <v>2.9</v>
      </c>
      <c r="N63" s="1" t="n">
        <v>-2.9</v>
      </c>
      <c r="P63" s="6"/>
      <c r="T63" s="7"/>
      <c r="V63" s="1" t="n">
        <v>1244.1</v>
      </c>
    </row>
    <row r="64" s="1" customFormat="true" ht="15" hidden="false" customHeight="false" outlineLevel="0" collapsed="false">
      <c r="C64" s="8" t="n">
        <v>40238</v>
      </c>
      <c r="D64" s="1" t="n">
        <v>8.1</v>
      </c>
      <c r="E64" s="1" t="n">
        <v>4.4</v>
      </c>
      <c r="F64" s="1" t="n">
        <v>11.9</v>
      </c>
      <c r="J64" s="1" t="n">
        <v>0.2</v>
      </c>
      <c r="L64" s="1" t="n">
        <v>1.1</v>
      </c>
      <c r="N64" s="1" t="n">
        <v>-0.9</v>
      </c>
      <c r="P64" s="6"/>
      <c r="T64" s="7"/>
      <c r="V64" s="1" t="n">
        <v>684</v>
      </c>
    </row>
    <row r="65" s="1" customFormat="true" ht="15" hidden="false" customHeight="false" outlineLevel="0" collapsed="false">
      <c r="C65" s="8" t="n">
        <v>40239</v>
      </c>
      <c r="D65" s="1" t="n">
        <v>9.1</v>
      </c>
      <c r="E65" s="1" t="n">
        <v>1.5</v>
      </c>
      <c r="F65" s="1" t="n">
        <v>16.1</v>
      </c>
      <c r="J65" s="1" t="n">
        <v>1.8</v>
      </c>
      <c r="L65" s="1" t="n">
        <v>1.6</v>
      </c>
      <c r="N65" s="1" t="n">
        <v>0.2</v>
      </c>
      <c r="P65" s="6"/>
      <c r="T65" s="7"/>
      <c r="V65" s="1" t="n">
        <v>1026.7</v>
      </c>
    </row>
    <row r="66" s="1" customFormat="true" ht="15" hidden="false" customHeight="false" outlineLevel="0" collapsed="false">
      <c r="C66" s="8" t="n">
        <v>40240</v>
      </c>
      <c r="D66" s="1" t="n">
        <v>9</v>
      </c>
      <c r="E66" s="1" t="n">
        <v>8.5</v>
      </c>
      <c r="F66" s="1" t="n">
        <v>10.4</v>
      </c>
      <c r="J66" s="1" t="n">
        <v>3.3</v>
      </c>
      <c r="L66" s="1" t="n">
        <v>1.2</v>
      </c>
      <c r="N66" s="1" t="n">
        <v>2.1</v>
      </c>
      <c r="P66" s="6"/>
      <c r="T66" s="7"/>
      <c r="V66" s="1" t="n">
        <v>248.3</v>
      </c>
    </row>
    <row r="67" s="1" customFormat="true" ht="15" hidden="false" customHeight="false" outlineLevel="0" collapsed="false">
      <c r="C67" s="8" t="n">
        <v>40241</v>
      </c>
      <c r="D67" s="1" t="n">
        <v>9.5</v>
      </c>
      <c r="E67" s="1" t="n">
        <v>8.2</v>
      </c>
      <c r="F67" s="1" t="n">
        <v>13.1</v>
      </c>
      <c r="J67" s="1" t="n">
        <v>0.4</v>
      </c>
      <c r="L67" s="1" t="n">
        <v>1.8</v>
      </c>
      <c r="N67" s="1" t="n">
        <v>-1.4</v>
      </c>
      <c r="P67" s="6"/>
      <c r="T67" s="7"/>
      <c r="V67" s="1" t="n">
        <v>679</v>
      </c>
    </row>
    <row r="68" s="1" customFormat="true" ht="15" hidden="false" customHeight="false" outlineLevel="0" collapsed="false">
      <c r="C68" s="8" t="n">
        <v>40242</v>
      </c>
      <c r="D68" s="1" t="n">
        <v>6</v>
      </c>
      <c r="E68" s="1" t="n">
        <v>3.7</v>
      </c>
      <c r="F68" s="1" t="n">
        <v>10.7</v>
      </c>
      <c r="J68" s="1" t="n">
        <v>0</v>
      </c>
      <c r="L68" s="1" t="n">
        <v>2.4</v>
      </c>
      <c r="N68" s="1" t="n">
        <v>-2.4</v>
      </c>
      <c r="P68" s="6"/>
      <c r="T68" s="7"/>
      <c r="V68" s="1" t="n">
        <v>1485</v>
      </c>
    </row>
    <row r="69" s="1" customFormat="true" ht="15" hidden="false" customHeight="false" outlineLevel="0" collapsed="false">
      <c r="C69" s="8" t="n">
        <v>40243</v>
      </c>
      <c r="D69" s="1" t="n">
        <v>4.1</v>
      </c>
      <c r="E69" s="1" t="n">
        <v>-2.5</v>
      </c>
      <c r="F69" s="1" t="n">
        <v>9</v>
      </c>
      <c r="J69" s="1" t="n">
        <v>0</v>
      </c>
      <c r="L69" s="1" t="n">
        <v>1.7</v>
      </c>
      <c r="N69" s="1" t="n">
        <v>-1.7</v>
      </c>
      <c r="P69" s="6"/>
      <c r="T69" s="7"/>
      <c r="V69" s="1" t="n">
        <v>1387.3</v>
      </c>
    </row>
    <row r="70" s="1" customFormat="true" ht="15" hidden="false" customHeight="false" outlineLevel="0" collapsed="false">
      <c r="C70" s="8" t="n">
        <v>40244</v>
      </c>
      <c r="D70" s="1" t="n">
        <v>2.7</v>
      </c>
      <c r="E70" s="1" t="n">
        <v>-1.8</v>
      </c>
      <c r="F70" s="1" t="n">
        <v>8.3</v>
      </c>
      <c r="J70" s="1" t="n">
        <v>0</v>
      </c>
      <c r="L70" s="1" t="n">
        <v>2.1</v>
      </c>
      <c r="N70" s="1" t="n">
        <v>-2.1</v>
      </c>
      <c r="P70" s="6"/>
      <c r="T70" s="7"/>
      <c r="V70" s="1" t="n">
        <v>1423.7</v>
      </c>
    </row>
    <row r="71" s="1" customFormat="true" ht="15" hidden="false" customHeight="false" outlineLevel="0" collapsed="false">
      <c r="C71" s="8" t="n">
        <v>40245</v>
      </c>
      <c r="D71" s="1" t="n">
        <v>-1.3</v>
      </c>
      <c r="E71" s="1" t="n">
        <v>-1.6</v>
      </c>
      <c r="F71" s="1" t="n">
        <v>-1.1</v>
      </c>
      <c r="J71" s="1" t="n">
        <v>0</v>
      </c>
      <c r="L71" s="1" t="n">
        <v>0.6</v>
      </c>
      <c r="N71" s="1" t="n">
        <v>-0.6</v>
      </c>
      <c r="P71" s="6"/>
      <c r="T71" s="7"/>
      <c r="V71" s="1" t="n">
        <v>296.6</v>
      </c>
    </row>
    <row r="72" s="1" customFormat="true" ht="15" hidden="false" customHeight="false" outlineLevel="0" collapsed="false">
      <c r="C72" s="8" t="n">
        <v>40246</v>
      </c>
      <c r="D72" s="1" t="n">
        <v>-0.1</v>
      </c>
      <c r="E72" s="1" t="n">
        <v>-4.1</v>
      </c>
      <c r="F72" s="1" t="n">
        <v>3.5</v>
      </c>
      <c r="J72" s="1" t="n">
        <v>0</v>
      </c>
      <c r="L72" s="1" t="n">
        <v>1.6</v>
      </c>
      <c r="N72" s="1" t="n">
        <v>-1.6</v>
      </c>
      <c r="P72" s="6"/>
      <c r="T72" s="7"/>
      <c r="V72" s="1" t="n">
        <v>1344.3</v>
      </c>
    </row>
    <row r="73" s="1" customFormat="true" ht="15" hidden="false" customHeight="false" outlineLevel="0" collapsed="false">
      <c r="C73" s="8" t="n">
        <v>40247</v>
      </c>
      <c r="D73" s="1" t="n">
        <v>-0.4</v>
      </c>
      <c r="E73" s="1" t="n">
        <v>-2.5</v>
      </c>
      <c r="F73" s="1" t="n">
        <v>1.7</v>
      </c>
      <c r="J73" s="1" t="n">
        <v>0</v>
      </c>
      <c r="L73" s="1" t="n">
        <v>1.6</v>
      </c>
      <c r="N73" s="1" t="n">
        <v>-1.6</v>
      </c>
      <c r="P73" s="6"/>
      <c r="T73" s="7"/>
      <c r="V73" s="1" t="n">
        <v>1303.7</v>
      </c>
    </row>
    <row r="74" s="1" customFormat="true" ht="15" hidden="false" customHeight="false" outlineLevel="0" collapsed="false">
      <c r="C74" s="8" t="n">
        <v>40248</v>
      </c>
      <c r="D74" s="1" t="n">
        <v>0.5</v>
      </c>
      <c r="E74" s="1" t="n">
        <v>-2.9</v>
      </c>
      <c r="F74" s="1" t="n">
        <v>2.1</v>
      </c>
      <c r="J74" s="1" t="n">
        <v>0</v>
      </c>
      <c r="L74" s="1" t="n">
        <v>0.8</v>
      </c>
      <c r="N74" s="1" t="n">
        <v>-0.8</v>
      </c>
      <c r="P74" s="6"/>
      <c r="T74" s="7"/>
      <c r="V74" s="1" t="n">
        <v>565.3</v>
      </c>
    </row>
    <row r="75" s="1" customFormat="true" ht="15" hidden="false" customHeight="false" outlineLevel="0" collapsed="false">
      <c r="C75" s="8" t="n">
        <v>40249</v>
      </c>
      <c r="D75" s="1" t="n">
        <v>3.7</v>
      </c>
      <c r="E75" s="1" t="n">
        <v>0.1</v>
      </c>
      <c r="F75" s="1" t="n">
        <v>8.3</v>
      </c>
      <c r="J75" s="1" t="n">
        <v>0</v>
      </c>
      <c r="L75" s="1" t="n">
        <v>1.9</v>
      </c>
      <c r="N75" s="1" t="n">
        <v>-1.9</v>
      </c>
      <c r="P75" s="6"/>
      <c r="T75" s="7"/>
      <c r="V75" s="1" t="n">
        <v>1185.1</v>
      </c>
    </row>
    <row r="76" s="1" customFormat="true" ht="15" hidden="false" customHeight="false" outlineLevel="0" collapsed="false">
      <c r="C76" s="8" t="n">
        <v>40250</v>
      </c>
      <c r="D76" s="1" t="n">
        <v>4.3</v>
      </c>
      <c r="E76" s="1" t="n">
        <v>1.5</v>
      </c>
      <c r="F76" s="1" t="n">
        <v>8.3</v>
      </c>
      <c r="J76" s="1" t="n">
        <v>0</v>
      </c>
      <c r="L76" s="1" t="n">
        <v>1.9</v>
      </c>
      <c r="N76" s="1" t="n">
        <v>-1.9</v>
      </c>
      <c r="P76" s="6"/>
      <c r="T76" s="7"/>
      <c r="V76" s="1" t="n">
        <v>1148</v>
      </c>
    </row>
    <row r="77" s="1" customFormat="true" ht="15" hidden="false" customHeight="false" outlineLevel="0" collapsed="false">
      <c r="C77" s="8" t="n">
        <v>40251</v>
      </c>
      <c r="D77" s="1" t="n">
        <v>4.7</v>
      </c>
      <c r="E77" s="1" t="n">
        <v>0.9</v>
      </c>
      <c r="F77" s="1" t="n">
        <v>6.9</v>
      </c>
      <c r="J77" s="1" t="n">
        <v>0</v>
      </c>
      <c r="L77" s="1" t="n">
        <v>1.5</v>
      </c>
      <c r="N77" s="1" t="n">
        <v>-1.5</v>
      </c>
      <c r="P77" s="6"/>
      <c r="T77" s="7"/>
      <c r="V77" s="1" t="n">
        <v>1015.8</v>
      </c>
    </row>
    <row r="78" s="1" customFormat="true" ht="15" hidden="false" customHeight="false" outlineLevel="0" collapsed="false">
      <c r="C78" s="8" t="n">
        <v>40252</v>
      </c>
      <c r="D78" s="1" t="n">
        <v>6.2</v>
      </c>
      <c r="E78" s="1" t="n">
        <v>1.6</v>
      </c>
      <c r="F78" s="1" t="n">
        <v>11</v>
      </c>
      <c r="J78" s="1" t="n">
        <v>0</v>
      </c>
      <c r="L78" s="1" t="n">
        <v>2.2</v>
      </c>
      <c r="N78" s="1" t="n">
        <v>-2.2</v>
      </c>
      <c r="P78" s="6"/>
      <c r="T78" s="7"/>
      <c r="V78" s="1" t="n">
        <v>1592.9</v>
      </c>
    </row>
    <row r="79" s="1" customFormat="true" ht="15" hidden="false" customHeight="false" outlineLevel="0" collapsed="false">
      <c r="C79" s="8" t="n">
        <v>40253</v>
      </c>
      <c r="D79" s="1" t="n">
        <v>7.1</v>
      </c>
      <c r="E79" s="1" t="n">
        <v>-1.4</v>
      </c>
      <c r="F79" s="1" t="n">
        <v>15.4</v>
      </c>
      <c r="J79" s="1" t="n">
        <v>0</v>
      </c>
      <c r="L79" s="1" t="n">
        <v>2.6</v>
      </c>
      <c r="N79" s="1" t="n">
        <v>-2.6</v>
      </c>
      <c r="P79" s="6"/>
      <c r="T79" s="7"/>
      <c r="V79" s="1" t="n">
        <v>1848.8</v>
      </c>
    </row>
    <row r="80" s="1" customFormat="true" ht="15" hidden="false" customHeight="false" outlineLevel="0" collapsed="false">
      <c r="C80" s="8" t="n">
        <v>40254</v>
      </c>
      <c r="D80" s="1" t="n">
        <v>9.4</v>
      </c>
      <c r="E80" s="1" t="n">
        <v>0.7</v>
      </c>
      <c r="F80" s="1" t="n">
        <v>18.8</v>
      </c>
      <c r="J80" s="1" t="n">
        <v>0</v>
      </c>
      <c r="L80" s="1" t="n">
        <v>3.3</v>
      </c>
      <c r="N80" s="1" t="n">
        <v>-3.3</v>
      </c>
      <c r="P80" s="6"/>
      <c r="T80" s="7"/>
      <c r="V80" s="1" t="n">
        <v>1779.1</v>
      </c>
    </row>
    <row r="81" s="1" customFormat="true" ht="15" hidden="false" customHeight="false" outlineLevel="0" collapsed="false">
      <c r="C81" s="8" t="n">
        <v>40255</v>
      </c>
      <c r="D81" s="1" t="n">
        <v>11.4</v>
      </c>
      <c r="E81" s="1" t="n">
        <v>9</v>
      </c>
      <c r="F81" s="1" t="n">
        <v>14</v>
      </c>
      <c r="J81" s="1" t="n">
        <v>0</v>
      </c>
      <c r="L81" s="1" t="n">
        <v>2.4</v>
      </c>
      <c r="N81" s="1" t="n">
        <v>-2.4</v>
      </c>
      <c r="P81" s="6"/>
      <c r="T81" s="7"/>
      <c r="V81" s="1" t="n">
        <v>1136.8</v>
      </c>
    </row>
    <row r="82" s="1" customFormat="true" ht="15" hidden="false" customHeight="false" outlineLevel="0" collapsed="false">
      <c r="C82" s="8" t="n">
        <v>40256</v>
      </c>
      <c r="D82" s="1" t="n">
        <v>12.6</v>
      </c>
      <c r="E82" s="1" t="n">
        <v>10.8</v>
      </c>
      <c r="F82" s="1" t="n">
        <v>15.6</v>
      </c>
      <c r="J82" s="1" t="n">
        <v>0</v>
      </c>
      <c r="L82" s="1" t="n">
        <v>2.8</v>
      </c>
      <c r="N82" s="1" t="n">
        <v>-2.8</v>
      </c>
      <c r="P82" s="6"/>
      <c r="T82" s="7"/>
      <c r="V82" s="1" t="n">
        <v>1204.3</v>
      </c>
    </row>
    <row r="83" s="1" customFormat="true" ht="15" hidden="false" customHeight="false" outlineLevel="0" collapsed="false">
      <c r="C83" s="8" t="n">
        <v>40257</v>
      </c>
      <c r="D83" s="1" t="n">
        <v>13.2</v>
      </c>
      <c r="E83" s="1" t="n">
        <v>11.7</v>
      </c>
      <c r="F83" s="1" t="n">
        <v>16.3</v>
      </c>
      <c r="J83" s="1" t="n">
        <v>0.2</v>
      </c>
      <c r="L83" s="1" t="n">
        <v>2.4</v>
      </c>
      <c r="N83" s="1" t="n">
        <v>-2.2</v>
      </c>
      <c r="P83" s="6"/>
      <c r="T83" s="7"/>
      <c r="V83" s="1" t="n">
        <v>772.6</v>
      </c>
    </row>
    <row r="84" s="1" customFormat="true" ht="15" hidden="false" customHeight="false" outlineLevel="0" collapsed="false">
      <c r="C84" s="8" t="n">
        <v>40258</v>
      </c>
      <c r="D84" s="1" t="n">
        <v>12.2</v>
      </c>
      <c r="E84" s="1" t="n">
        <v>11.1</v>
      </c>
      <c r="F84" s="1" t="n">
        <v>13.8</v>
      </c>
      <c r="J84" s="1" t="n">
        <v>3</v>
      </c>
      <c r="L84" s="1" t="n">
        <v>0.7</v>
      </c>
      <c r="N84" s="1" t="n">
        <v>2.3</v>
      </c>
      <c r="P84" s="6"/>
      <c r="T84" s="7"/>
      <c r="V84" s="1" t="n">
        <v>244.2</v>
      </c>
    </row>
    <row r="85" s="1" customFormat="true" ht="15" hidden="false" customHeight="false" outlineLevel="0" collapsed="false">
      <c r="C85" s="8" t="n">
        <v>40259</v>
      </c>
      <c r="D85" s="1" t="n">
        <v>11.8</v>
      </c>
      <c r="E85" s="1" t="n">
        <v>10.5</v>
      </c>
      <c r="F85" s="1" t="n">
        <v>13.8</v>
      </c>
      <c r="J85" s="1" t="n">
        <v>3.1</v>
      </c>
      <c r="L85" s="1" t="n">
        <v>0.9</v>
      </c>
      <c r="N85" s="1" t="n">
        <v>2.2</v>
      </c>
      <c r="P85" s="6"/>
      <c r="T85" s="7"/>
      <c r="V85" s="1" t="n">
        <v>437.3</v>
      </c>
    </row>
    <row r="86" s="1" customFormat="true" ht="15" hidden="false" customHeight="false" outlineLevel="0" collapsed="false">
      <c r="C86" s="8" t="n">
        <v>40260</v>
      </c>
      <c r="D86" s="1" t="n">
        <v>12.4</v>
      </c>
      <c r="E86" s="1" t="n">
        <v>4.1</v>
      </c>
      <c r="F86" s="1" t="n">
        <v>18</v>
      </c>
      <c r="J86" s="1" t="n">
        <v>0</v>
      </c>
      <c r="L86" s="1" t="n">
        <v>2.5</v>
      </c>
      <c r="N86" s="1" t="n">
        <v>-2.5</v>
      </c>
      <c r="P86" s="6"/>
      <c r="T86" s="7"/>
      <c r="V86" s="1" t="n">
        <v>1835.3</v>
      </c>
    </row>
    <row r="87" s="1" customFormat="true" ht="15" hidden="false" customHeight="false" outlineLevel="0" collapsed="false">
      <c r="C87" s="8" t="n">
        <v>40261</v>
      </c>
      <c r="D87" s="1" t="n">
        <v>14</v>
      </c>
      <c r="E87" s="1" t="n">
        <v>11.9</v>
      </c>
      <c r="F87" s="1" t="n">
        <v>17.9</v>
      </c>
      <c r="J87" s="1" t="n">
        <v>0.2</v>
      </c>
      <c r="L87" s="1" t="n">
        <v>2.7</v>
      </c>
      <c r="N87" s="1" t="n">
        <v>-2.5</v>
      </c>
      <c r="P87" s="6"/>
      <c r="T87" s="7"/>
      <c r="V87" s="1" t="n">
        <v>913.3</v>
      </c>
    </row>
    <row r="88" s="1" customFormat="true" ht="15" hidden="false" customHeight="false" outlineLevel="0" collapsed="false">
      <c r="C88" s="8" t="n">
        <v>40262</v>
      </c>
      <c r="D88" s="1" t="n">
        <v>13.7</v>
      </c>
      <c r="E88" s="1" t="n">
        <v>11.2</v>
      </c>
      <c r="F88" s="1" t="n">
        <v>18.2</v>
      </c>
      <c r="J88" s="1" t="n">
        <v>7.8</v>
      </c>
      <c r="L88" s="1" t="n">
        <v>2.7</v>
      </c>
      <c r="N88" s="1" t="n">
        <v>5.1</v>
      </c>
      <c r="P88" s="6"/>
      <c r="T88" s="7"/>
      <c r="V88" s="1" t="n">
        <v>1070.7</v>
      </c>
    </row>
    <row r="89" s="1" customFormat="true" ht="15" hidden="false" customHeight="false" outlineLevel="0" collapsed="false">
      <c r="C89" s="8" t="n">
        <v>40263</v>
      </c>
      <c r="D89" s="1" t="n">
        <v>12.8</v>
      </c>
      <c r="E89" s="1" t="n">
        <v>9.3</v>
      </c>
      <c r="F89" s="1" t="n">
        <v>17.8</v>
      </c>
      <c r="J89" s="1" t="n">
        <v>0.5</v>
      </c>
      <c r="L89" s="1" t="n">
        <v>3.6</v>
      </c>
      <c r="N89" s="1" t="n">
        <v>-3.1</v>
      </c>
      <c r="P89" s="6"/>
      <c r="T89" s="7"/>
      <c r="V89" s="1" t="n">
        <v>1827.9</v>
      </c>
    </row>
    <row r="90" s="1" customFormat="true" ht="15" hidden="false" customHeight="false" outlineLevel="0" collapsed="false">
      <c r="C90" s="8" t="n">
        <v>40264</v>
      </c>
      <c r="D90" s="1" t="n">
        <v>11.1</v>
      </c>
      <c r="E90" s="1" t="n">
        <v>9.2</v>
      </c>
      <c r="F90" s="1" t="n">
        <v>14.5</v>
      </c>
      <c r="J90" s="1" t="n">
        <v>4.5</v>
      </c>
      <c r="L90" s="1" t="n">
        <v>2.3</v>
      </c>
      <c r="N90" s="1" t="n">
        <v>2.2</v>
      </c>
      <c r="P90" s="6"/>
      <c r="T90" s="7"/>
      <c r="V90" s="1" t="n">
        <v>806.4</v>
      </c>
    </row>
    <row r="91" s="1" customFormat="true" ht="15" hidden="false" customHeight="false" outlineLevel="0" collapsed="false">
      <c r="C91" s="8" t="n">
        <v>40265</v>
      </c>
      <c r="D91" s="1" t="n">
        <v>13.2</v>
      </c>
      <c r="E91" s="1" t="n">
        <v>8.9</v>
      </c>
      <c r="F91" s="1" t="n">
        <v>16.9</v>
      </c>
      <c r="J91" s="1" t="n">
        <v>0</v>
      </c>
      <c r="L91" s="1" t="n">
        <v>2.3</v>
      </c>
      <c r="N91" s="1" t="n">
        <v>-2.3</v>
      </c>
      <c r="P91" s="6"/>
      <c r="T91" s="7"/>
      <c r="V91" s="1" t="n">
        <v>1297.5</v>
      </c>
    </row>
    <row r="92" s="1" customFormat="true" ht="15" hidden="false" customHeight="false" outlineLevel="0" collapsed="false">
      <c r="C92" s="8" t="n">
        <v>40266</v>
      </c>
      <c r="D92" s="1" t="n">
        <v>12.9</v>
      </c>
      <c r="E92" s="1" t="n">
        <v>9.5</v>
      </c>
      <c r="F92" s="1" t="n">
        <v>17.1</v>
      </c>
      <c r="J92" s="1" t="n">
        <v>2.5</v>
      </c>
      <c r="L92" s="1" t="n">
        <v>2.8</v>
      </c>
      <c r="N92" s="1" t="n">
        <v>-0.3</v>
      </c>
      <c r="P92" s="6"/>
      <c r="T92" s="7"/>
      <c r="V92" s="1" t="n">
        <v>1439.2</v>
      </c>
    </row>
    <row r="93" s="1" customFormat="true" ht="15" hidden="false" customHeight="false" outlineLevel="0" collapsed="false">
      <c r="C93" s="8" t="n">
        <v>40267</v>
      </c>
      <c r="D93" s="1" t="n">
        <v>9.4</v>
      </c>
      <c r="E93" s="1" t="n">
        <v>6.9</v>
      </c>
      <c r="F93" s="1" t="n">
        <v>10.8</v>
      </c>
      <c r="J93" s="1" t="n">
        <v>4.3</v>
      </c>
      <c r="L93" s="1" t="n">
        <v>1.6</v>
      </c>
      <c r="N93" s="1" t="n">
        <v>2.7</v>
      </c>
      <c r="P93" s="6"/>
      <c r="T93" s="7"/>
      <c r="V93" s="1" t="n">
        <v>1038.3</v>
      </c>
    </row>
    <row r="94" s="1" customFormat="true" ht="15" hidden="false" customHeight="false" outlineLevel="0" collapsed="false">
      <c r="C94" s="8" t="n">
        <v>40268</v>
      </c>
      <c r="D94" s="1" t="n">
        <v>10.7</v>
      </c>
      <c r="E94" s="1" t="n">
        <v>6.8</v>
      </c>
      <c r="F94" s="1" t="n">
        <v>15</v>
      </c>
      <c r="J94" s="1" t="n">
        <v>3.6</v>
      </c>
      <c r="L94" s="1" t="n">
        <v>2.8</v>
      </c>
      <c r="N94" s="1" t="n">
        <v>0.8</v>
      </c>
      <c r="P94" s="6"/>
      <c r="T94" s="7"/>
      <c r="V94" s="1" t="n">
        <v>1458.5</v>
      </c>
    </row>
    <row r="95" s="1" customFormat="true" ht="15" hidden="false" customHeight="false" outlineLevel="0" collapsed="false">
      <c r="C95" s="8" t="n">
        <v>40269</v>
      </c>
      <c r="D95" s="1" t="n">
        <v>8.6</v>
      </c>
      <c r="E95" s="1" t="n">
        <v>5.7</v>
      </c>
      <c r="F95" s="1" t="n">
        <v>13.1</v>
      </c>
      <c r="J95" s="1" t="n">
        <v>1.5</v>
      </c>
      <c r="L95" s="1" t="n">
        <v>2.1</v>
      </c>
      <c r="N95" s="1" t="n">
        <v>-0.6</v>
      </c>
      <c r="P95" s="6"/>
      <c r="T95" s="7"/>
      <c r="V95" s="1" t="n">
        <v>1041.9</v>
      </c>
    </row>
    <row r="96" s="1" customFormat="true" ht="15" hidden="false" customHeight="false" outlineLevel="0" collapsed="false">
      <c r="C96" s="8" t="n">
        <v>40270</v>
      </c>
      <c r="D96" s="1" t="n">
        <v>10.5</v>
      </c>
      <c r="E96" s="1" t="n">
        <v>2.4</v>
      </c>
      <c r="F96" s="1" t="n">
        <v>16.6</v>
      </c>
      <c r="J96" s="1" t="n">
        <v>0</v>
      </c>
      <c r="L96" s="1" t="n">
        <v>2.4</v>
      </c>
      <c r="N96" s="1" t="n">
        <v>-2.4</v>
      </c>
      <c r="P96" s="6"/>
      <c r="T96" s="7"/>
      <c r="V96" s="1" t="n">
        <v>1538.2</v>
      </c>
    </row>
    <row r="97" s="1" customFormat="true" ht="15" hidden="false" customHeight="false" outlineLevel="0" collapsed="false">
      <c r="C97" s="8" t="n">
        <v>40271</v>
      </c>
      <c r="D97" s="1" t="n">
        <v>11</v>
      </c>
      <c r="E97" s="1" t="n">
        <v>8.6</v>
      </c>
      <c r="F97" s="1" t="n">
        <v>15.3</v>
      </c>
      <c r="J97" s="1" t="n">
        <v>6.3</v>
      </c>
      <c r="L97" s="1" t="n">
        <v>1.2</v>
      </c>
      <c r="N97" s="1" t="n">
        <v>5.1</v>
      </c>
      <c r="P97" s="6"/>
      <c r="T97" s="7"/>
      <c r="V97" s="1" t="n">
        <v>781.8</v>
      </c>
    </row>
    <row r="98" s="1" customFormat="true" ht="15" hidden="false" customHeight="false" outlineLevel="0" collapsed="false">
      <c r="C98" s="8" t="n">
        <v>40272</v>
      </c>
      <c r="D98" s="1" t="n">
        <v>8.9</v>
      </c>
      <c r="E98" s="1" t="n">
        <v>7.6</v>
      </c>
      <c r="F98" s="1" t="n">
        <v>12.9</v>
      </c>
      <c r="J98" s="1" t="n">
        <v>6.5</v>
      </c>
      <c r="L98" s="1" t="n">
        <v>2.3</v>
      </c>
      <c r="N98" s="1" t="n">
        <v>4.2</v>
      </c>
      <c r="P98" s="6"/>
      <c r="T98" s="7"/>
      <c r="V98" s="1" t="n">
        <v>1217.4</v>
      </c>
    </row>
    <row r="99" s="1" customFormat="true" ht="15" hidden="false" customHeight="false" outlineLevel="0" collapsed="false">
      <c r="C99" s="8" t="n">
        <v>40273</v>
      </c>
      <c r="D99" s="1" t="n">
        <v>9.5</v>
      </c>
      <c r="E99" s="1" t="n">
        <v>3</v>
      </c>
      <c r="F99" s="1" t="n">
        <v>14.5</v>
      </c>
      <c r="J99" s="1" t="n">
        <v>0</v>
      </c>
      <c r="L99" s="1" t="n">
        <v>2.6</v>
      </c>
      <c r="N99" s="1" t="n">
        <v>-2.6</v>
      </c>
      <c r="P99" s="6"/>
      <c r="T99" s="7"/>
      <c r="V99" s="1" t="n">
        <v>2141.3</v>
      </c>
    </row>
    <row r="100" s="1" customFormat="true" ht="15" hidden="false" customHeight="false" outlineLevel="0" collapsed="false">
      <c r="C100" s="8" t="n">
        <v>40274</v>
      </c>
      <c r="D100" s="1" t="n">
        <v>11.3</v>
      </c>
      <c r="E100" s="1" t="n">
        <v>5.5</v>
      </c>
      <c r="F100" s="1" t="n">
        <v>16.4</v>
      </c>
      <c r="J100" s="1" t="n">
        <v>0.2</v>
      </c>
      <c r="L100" s="1" t="n">
        <v>2.5</v>
      </c>
      <c r="N100" s="1" t="n">
        <v>-2.3</v>
      </c>
      <c r="P100" s="6"/>
      <c r="T100" s="7"/>
      <c r="V100" s="1" t="n">
        <v>1234.8</v>
      </c>
    </row>
    <row r="101" s="1" customFormat="true" ht="15" hidden="false" customHeight="false" outlineLevel="0" collapsed="false">
      <c r="C101" s="8" t="n">
        <v>40275</v>
      </c>
      <c r="D101" s="1" t="n">
        <v>10.8</v>
      </c>
      <c r="E101" s="1" t="n">
        <v>10.5</v>
      </c>
      <c r="F101" s="1" t="n">
        <v>11.6</v>
      </c>
      <c r="J101" s="1" t="n">
        <v>2.5</v>
      </c>
      <c r="L101" s="1" t="n">
        <v>0.9</v>
      </c>
      <c r="N101" s="1" t="n">
        <v>1.6</v>
      </c>
      <c r="P101" s="6"/>
      <c r="T101" s="7"/>
      <c r="V101" s="1" t="n">
        <v>420.1</v>
      </c>
    </row>
    <row r="102" s="1" customFormat="true" ht="15" hidden="false" customHeight="false" outlineLevel="0" collapsed="false">
      <c r="C102" s="8" t="n">
        <v>40276</v>
      </c>
      <c r="D102" s="1" t="n">
        <v>10.3</v>
      </c>
      <c r="E102" s="1" t="n">
        <v>8</v>
      </c>
      <c r="F102" s="1" t="n">
        <v>12.9</v>
      </c>
      <c r="J102" s="1" t="n">
        <v>0</v>
      </c>
      <c r="L102" s="1" t="n">
        <v>2.3</v>
      </c>
      <c r="N102" s="1" t="n">
        <v>-2.3</v>
      </c>
      <c r="P102" s="6"/>
      <c r="T102" s="7"/>
      <c r="V102" s="1" t="n">
        <v>1481.6</v>
      </c>
    </row>
    <row r="103" s="1" customFormat="true" ht="15" hidden="false" customHeight="false" outlineLevel="0" collapsed="false">
      <c r="C103" s="8" t="n">
        <v>40277</v>
      </c>
      <c r="D103" s="1" t="n">
        <v>11.9</v>
      </c>
      <c r="E103" s="1" t="n">
        <v>6.2</v>
      </c>
      <c r="F103" s="1" t="n">
        <v>16.9</v>
      </c>
      <c r="J103" s="1" t="n">
        <v>0</v>
      </c>
      <c r="L103" s="1" t="n">
        <v>2.9</v>
      </c>
      <c r="N103" s="1" t="n">
        <v>-2.9</v>
      </c>
      <c r="P103" s="6"/>
      <c r="T103" s="7"/>
      <c r="V103" s="1" t="n">
        <v>1894.1</v>
      </c>
    </row>
    <row r="104" s="1" customFormat="true" ht="15" hidden="false" customHeight="false" outlineLevel="0" collapsed="false">
      <c r="C104" s="8" t="n">
        <v>40278</v>
      </c>
      <c r="D104" s="1" t="n">
        <v>13.3</v>
      </c>
      <c r="E104" s="1" t="n">
        <v>5.2</v>
      </c>
      <c r="F104" s="1" t="n">
        <v>21.5</v>
      </c>
      <c r="J104" s="1" t="n">
        <v>0</v>
      </c>
      <c r="L104" s="1" t="n">
        <v>3.5</v>
      </c>
      <c r="N104" s="1" t="n">
        <v>-3.5</v>
      </c>
      <c r="P104" s="6"/>
      <c r="T104" s="7"/>
      <c r="V104" s="1" t="n">
        <v>2188.9</v>
      </c>
    </row>
    <row r="105" s="1" customFormat="true" ht="15" hidden="false" customHeight="false" outlineLevel="0" collapsed="false">
      <c r="C105" s="8" t="n">
        <v>40279</v>
      </c>
      <c r="D105" s="1" t="n">
        <v>13.2</v>
      </c>
      <c r="E105" s="1" t="n">
        <v>6.6</v>
      </c>
      <c r="F105" s="1" t="n">
        <v>19.7</v>
      </c>
      <c r="J105" s="1" t="n">
        <v>0</v>
      </c>
      <c r="L105" s="1" t="n">
        <v>3.5</v>
      </c>
      <c r="N105" s="1" t="n">
        <v>-3.5</v>
      </c>
      <c r="P105" s="6"/>
      <c r="T105" s="7"/>
      <c r="V105" s="1" t="n">
        <v>2068.1</v>
      </c>
    </row>
    <row r="106" s="1" customFormat="true" ht="15" hidden="false" customHeight="false" outlineLevel="0" collapsed="false">
      <c r="C106" s="8" t="n">
        <v>40280</v>
      </c>
      <c r="D106" s="1" t="n">
        <v>10.1</v>
      </c>
      <c r="E106" s="1" t="n">
        <v>4.7</v>
      </c>
      <c r="F106" s="1" t="n">
        <v>14.9</v>
      </c>
      <c r="J106" s="1" t="n">
        <v>0</v>
      </c>
      <c r="L106" s="1" t="n">
        <v>2.8</v>
      </c>
      <c r="N106" s="1" t="n">
        <v>-2.8</v>
      </c>
      <c r="P106" s="6"/>
      <c r="T106" s="7"/>
      <c r="V106" s="1" t="n">
        <v>1265.8</v>
      </c>
    </row>
    <row r="107" s="1" customFormat="true" ht="15" hidden="false" customHeight="false" outlineLevel="0" collapsed="false">
      <c r="C107" s="8" t="n">
        <v>40281</v>
      </c>
      <c r="D107" s="1" t="n">
        <v>8.5</v>
      </c>
      <c r="E107" s="1" t="n">
        <v>2.2</v>
      </c>
      <c r="F107" s="1" t="n">
        <v>15.4</v>
      </c>
      <c r="J107" s="1" t="n">
        <v>0</v>
      </c>
      <c r="L107" s="1" t="n">
        <v>3.3</v>
      </c>
      <c r="N107" s="1" t="n">
        <v>-3.3</v>
      </c>
      <c r="P107" s="6"/>
      <c r="T107" s="7"/>
      <c r="V107" s="1" t="n">
        <v>2131.7</v>
      </c>
    </row>
    <row r="108" s="1" customFormat="true" ht="15" hidden="false" customHeight="false" outlineLevel="0" collapsed="false">
      <c r="C108" s="8" t="n">
        <v>40282</v>
      </c>
      <c r="D108" s="1" t="n">
        <v>9.5</v>
      </c>
      <c r="E108" s="1" t="n">
        <v>3</v>
      </c>
      <c r="F108" s="1" t="n">
        <v>15.5</v>
      </c>
      <c r="J108" s="1" t="n">
        <v>0</v>
      </c>
      <c r="L108" s="1" t="n">
        <v>2.8</v>
      </c>
      <c r="N108" s="1" t="n">
        <v>-2.8</v>
      </c>
      <c r="P108" s="6"/>
      <c r="T108" s="7"/>
      <c r="V108" s="1" t="n">
        <v>1889.9</v>
      </c>
    </row>
    <row r="109" s="1" customFormat="true" ht="15" hidden="false" customHeight="false" outlineLevel="0" collapsed="false">
      <c r="C109" s="8" t="n">
        <v>40283</v>
      </c>
      <c r="D109" s="1" t="n">
        <v>10.9</v>
      </c>
      <c r="E109" s="1" t="n">
        <v>2.2</v>
      </c>
      <c r="F109" s="1" t="n">
        <v>19.6</v>
      </c>
      <c r="J109" s="1" t="n">
        <v>0</v>
      </c>
      <c r="L109" s="1" t="n">
        <v>3.4</v>
      </c>
      <c r="N109" s="1" t="n">
        <v>-3.4</v>
      </c>
      <c r="P109" s="6"/>
      <c r="T109" s="7"/>
      <c r="V109" s="1" t="n">
        <v>2230.1</v>
      </c>
    </row>
    <row r="110" s="1" customFormat="true" ht="15" hidden="false" customHeight="false" outlineLevel="0" collapsed="false">
      <c r="C110" s="8" t="n">
        <v>40284</v>
      </c>
      <c r="D110" s="1" t="n">
        <v>11.3</v>
      </c>
      <c r="E110" s="1" t="n">
        <v>4.5</v>
      </c>
      <c r="F110" s="1" t="n">
        <v>17.1</v>
      </c>
      <c r="J110" s="1" t="n">
        <v>0</v>
      </c>
      <c r="L110" s="1" t="n">
        <v>3.4</v>
      </c>
      <c r="N110" s="1" t="n">
        <v>-3.4</v>
      </c>
      <c r="P110" s="6"/>
      <c r="T110" s="7"/>
      <c r="V110" s="1" t="n">
        <v>2357.7</v>
      </c>
    </row>
    <row r="111" s="1" customFormat="true" ht="15" hidden="false" customHeight="false" outlineLevel="0" collapsed="false">
      <c r="C111" s="8" t="n">
        <v>40285</v>
      </c>
      <c r="D111" s="1" t="n">
        <v>12.4</v>
      </c>
      <c r="E111" s="1" t="n">
        <v>3.6</v>
      </c>
      <c r="F111" s="1" t="n">
        <v>21.5</v>
      </c>
      <c r="J111" s="1" t="n">
        <v>0</v>
      </c>
      <c r="L111" s="1" t="n">
        <v>4.2</v>
      </c>
      <c r="N111" s="1" t="n">
        <v>-4.2</v>
      </c>
      <c r="P111" s="6"/>
      <c r="T111" s="7"/>
      <c r="V111" s="1" t="n">
        <v>2328.4</v>
      </c>
    </row>
    <row r="112" s="1" customFormat="true" ht="15" hidden="false" customHeight="false" outlineLevel="0" collapsed="false">
      <c r="C112" s="8" t="n">
        <v>40286</v>
      </c>
      <c r="D112" s="1" t="n">
        <v>12.8</v>
      </c>
      <c r="E112" s="1" t="n">
        <v>5.9</v>
      </c>
      <c r="F112" s="1" t="n">
        <v>20.6</v>
      </c>
      <c r="J112" s="1" t="n">
        <v>0</v>
      </c>
      <c r="L112" s="1" t="n">
        <v>3.8</v>
      </c>
      <c r="N112" s="1" t="n">
        <v>-3.8</v>
      </c>
      <c r="P112" s="6"/>
      <c r="T112" s="7"/>
      <c r="V112" s="1" t="n">
        <v>2369.5</v>
      </c>
    </row>
    <row r="113" s="1" customFormat="true" ht="15" hidden="false" customHeight="false" outlineLevel="0" collapsed="false">
      <c r="C113" s="8" t="n">
        <v>40287</v>
      </c>
      <c r="D113" s="1" t="n">
        <v>13.7</v>
      </c>
      <c r="E113" s="1" t="n">
        <v>7.2</v>
      </c>
      <c r="F113" s="1" t="n">
        <v>22.2</v>
      </c>
      <c r="J113" s="1" t="n">
        <v>2.1</v>
      </c>
      <c r="L113" s="1" t="n">
        <v>3.2</v>
      </c>
      <c r="N113" s="1" t="n">
        <v>-1.1</v>
      </c>
      <c r="P113" s="6"/>
      <c r="T113" s="7"/>
      <c r="V113" s="1" t="n">
        <v>1817.6</v>
      </c>
    </row>
    <row r="114" s="1" customFormat="true" ht="15" hidden="false" customHeight="false" outlineLevel="0" collapsed="false">
      <c r="C114" s="8" t="n">
        <v>40288</v>
      </c>
      <c r="D114" s="1" t="n">
        <v>14.3</v>
      </c>
      <c r="E114" s="1" t="n">
        <v>8.7</v>
      </c>
      <c r="F114" s="1" t="n">
        <v>19.6</v>
      </c>
      <c r="J114" s="1" t="n">
        <v>0</v>
      </c>
      <c r="L114" s="1" t="n">
        <v>3.7</v>
      </c>
      <c r="N114" s="1" t="n">
        <v>-3.7</v>
      </c>
      <c r="P114" s="6"/>
      <c r="T114" s="7"/>
      <c r="V114" s="1" t="n">
        <v>2390.9</v>
      </c>
    </row>
    <row r="115" s="1" customFormat="true" ht="15" hidden="false" customHeight="false" outlineLevel="0" collapsed="false">
      <c r="C115" s="8" t="n">
        <v>40289</v>
      </c>
      <c r="D115" s="1" t="n">
        <v>16.8</v>
      </c>
      <c r="E115" s="1" t="n">
        <v>8.3</v>
      </c>
      <c r="F115" s="1" t="n">
        <v>24.4</v>
      </c>
      <c r="J115" s="1" t="n">
        <v>0</v>
      </c>
      <c r="L115" s="1" t="n">
        <v>3.7</v>
      </c>
      <c r="N115" s="1" t="n">
        <v>-3.7</v>
      </c>
      <c r="P115" s="6"/>
      <c r="T115" s="7"/>
      <c r="V115" s="1" t="n">
        <v>2140.8</v>
      </c>
    </row>
    <row r="116" s="1" customFormat="true" ht="15" hidden="false" customHeight="false" outlineLevel="0" collapsed="false">
      <c r="C116" s="8" t="n">
        <v>40290</v>
      </c>
      <c r="D116" s="1" t="n">
        <v>16.4</v>
      </c>
      <c r="E116" s="1" t="n">
        <v>13.1</v>
      </c>
      <c r="F116" s="1" t="n">
        <v>21.1</v>
      </c>
      <c r="J116" s="1" t="n">
        <v>0</v>
      </c>
      <c r="L116" s="1" t="n">
        <v>2.3</v>
      </c>
      <c r="N116" s="1" t="n">
        <v>-2.3</v>
      </c>
      <c r="P116" s="6"/>
      <c r="T116" s="7"/>
      <c r="V116" s="1" t="n">
        <v>1157</v>
      </c>
    </row>
    <row r="117" s="1" customFormat="true" ht="15" hidden="false" customHeight="false" outlineLevel="0" collapsed="false">
      <c r="C117" s="8" t="n">
        <v>40291</v>
      </c>
      <c r="D117" s="1" t="n">
        <v>14.1</v>
      </c>
      <c r="E117" s="1" t="n">
        <v>13.4</v>
      </c>
      <c r="F117" s="1" t="n">
        <v>15.7</v>
      </c>
      <c r="J117" s="1" t="n">
        <v>1.1</v>
      </c>
      <c r="L117" s="1" t="n">
        <v>1</v>
      </c>
      <c r="N117" s="1" t="n">
        <v>0.1</v>
      </c>
      <c r="P117" s="6"/>
      <c r="T117" s="7"/>
      <c r="V117" s="1" t="n">
        <v>272.7</v>
      </c>
    </row>
    <row r="118" s="1" customFormat="true" ht="15" hidden="false" customHeight="false" outlineLevel="0" collapsed="false">
      <c r="C118" s="8" t="n">
        <v>40292</v>
      </c>
      <c r="D118" s="1" t="n">
        <v>15.5</v>
      </c>
      <c r="E118" s="1" t="n">
        <v>12.1</v>
      </c>
      <c r="F118" s="1" t="n">
        <v>19.8</v>
      </c>
      <c r="J118" s="1" t="n">
        <v>0</v>
      </c>
      <c r="L118" s="1" t="n">
        <v>1.9</v>
      </c>
      <c r="N118" s="1" t="n">
        <v>-1.9</v>
      </c>
      <c r="P118" s="6"/>
      <c r="T118" s="7"/>
      <c r="V118" s="1" t="n">
        <v>844.6</v>
      </c>
    </row>
    <row r="119" s="1" customFormat="true" ht="15" hidden="false" customHeight="false" outlineLevel="0" collapsed="false">
      <c r="C119" s="8" t="n">
        <v>40293</v>
      </c>
      <c r="D119" s="1" t="n">
        <v>16.7</v>
      </c>
      <c r="E119" s="1" t="n">
        <v>9.5</v>
      </c>
      <c r="F119" s="1" t="n">
        <v>23</v>
      </c>
      <c r="J119" s="1" t="n">
        <v>0</v>
      </c>
      <c r="L119" s="1" t="n">
        <v>3.7</v>
      </c>
      <c r="N119" s="1" t="n">
        <v>-3.7</v>
      </c>
      <c r="P119" s="6"/>
      <c r="T119" s="7"/>
      <c r="V119" s="1" t="n">
        <v>2020.2</v>
      </c>
    </row>
    <row r="120" s="1" customFormat="true" ht="15" hidden="false" customHeight="false" outlineLevel="0" collapsed="false">
      <c r="C120" s="8" t="n">
        <v>40294</v>
      </c>
      <c r="D120" s="1" t="n">
        <v>17.3</v>
      </c>
      <c r="E120" s="1" t="n">
        <v>13.1</v>
      </c>
      <c r="F120" s="1" t="n">
        <v>22.8</v>
      </c>
      <c r="J120" s="1" t="n">
        <v>0</v>
      </c>
      <c r="L120" s="1" t="n">
        <v>4</v>
      </c>
      <c r="N120" s="1" t="n">
        <v>-4</v>
      </c>
      <c r="P120" s="6"/>
      <c r="T120" s="7"/>
      <c r="V120" s="1" t="n">
        <v>1934</v>
      </c>
    </row>
    <row r="121" s="1" customFormat="true" ht="15" hidden="false" customHeight="false" outlineLevel="0" collapsed="false">
      <c r="C121" s="8" t="n">
        <v>40295</v>
      </c>
      <c r="D121" s="1" t="n">
        <v>16.7</v>
      </c>
      <c r="E121" s="1" t="n">
        <v>8.4</v>
      </c>
      <c r="F121" s="1" t="n">
        <v>24.6</v>
      </c>
      <c r="J121" s="1" t="n">
        <v>0</v>
      </c>
      <c r="L121" s="1" t="n">
        <v>4.8</v>
      </c>
      <c r="N121" s="1" t="n">
        <v>-4.8</v>
      </c>
      <c r="P121" s="6"/>
      <c r="T121" s="7"/>
      <c r="V121" s="1" t="n">
        <v>2526.3</v>
      </c>
    </row>
    <row r="122" s="1" customFormat="true" ht="15" hidden="false" customHeight="false" outlineLevel="0" collapsed="false">
      <c r="C122" s="8" t="n">
        <v>40296</v>
      </c>
      <c r="D122" s="1" t="n">
        <v>17.9</v>
      </c>
      <c r="E122" s="1" t="n">
        <v>7.7</v>
      </c>
      <c r="F122" s="1" t="n">
        <v>25.9</v>
      </c>
      <c r="J122" s="1" t="n">
        <v>0</v>
      </c>
      <c r="L122" s="1" t="n">
        <v>5.1</v>
      </c>
      <c r="N122" s="1" t="n">
        <v>-5.1</v>
      </c>
      <c r="P122" s="6"/>
      <c r="T122" s="7"/>
      <c r="V122" s="1" t="n">
        <v>2469.9</v>
      </c>
    </row>
    <row r="123" s="1" customFormat="true" ht="15" hidden="false" customHeight="false" outlineLevel="0" collapsed="false">
      <c r="C123" s="8" t="n">
        <v>40297</v>
      </c>
      <c r="D123" s="1" t="n">
        <v>18.9</v>
      </c>
      <c r="E123" s="1" t="n">
        <v>14</v>
      </c>
      <c r="F123" s="1" t="n">
        <v>24.4</v>
      </c>
      <c r="J123" s="1" t="n">
        <v>2.9</v>
      </c>
      <c r="L123" s="1" t="n">
        <v>3.8</v>
      </c>
      <c r="N123" s="1" t="n">
        <v>-0.9</v>
      </c>
      <c r="P123" s="6"/>
      <c r="T123" s="7"/>
      <c r="V123" s="1" t="n">
        <v>1566.6</v>
      </c>
    </row>
    <row r="124" s="1" customFormat="true" ht="15" hidden="false" customHeight="false" outlineLevel="0" collapsed="false">
      <c r="C124" s="8" t="n">
        <v>40298</v>
      </c>
      <c r="D124" s="1" t="n">
        <v>16.1</v>
      </c>
      <c r="E124" s="1" t="n">
        <v>12.7</v>
      </c>
      <c r="F124" s="1" t="n">
        <v>20.1</v>
      </c>
      <c r="J124" s="1" t="n">
        <v>18</v>
      </c>
      <c r="L124" s="1" t="n">
        <v>1.5</v>
      </c>
      <c r="N124" s="1" t="n">
        <v>16.5</v>
      </c>
      <c r="P124" s="6"/>
      <c r="T124" s="7"/>
      <c r="V124" s="1" t="n">
        <v>530.5</v>
      </c>
    </row>
    <row r="125" s="1" customFormat="true" ht="15" hidden="false" customHeight="false" outlineLevel="0" collapsed="false">
      <c r="C125" s="8" t="n">
        <v>40299</v>
      </c>
      <c r="D125" s="1" t="n">
        <v>14.3</v>
      </c>
      <c r="E125" s="1" t="n">
        <v>14.1</v>
      </c>
      <c r="F125" s="1" t="n">
        <v>14.9</v>
      </c>
      <c r="J125" s="1" t="n">
        <v>11.1</v>
      </c>
      <c r="L125" s="1" t="n">
        <v>1</v>
      </c>
      <c r="N125" s="1" t="n">
        <v>10.1</v>
      </c>
      <c r="P125" s="6"/>
      <c r="T125" s="7"/>
      <c r="V125" s="1" t="n">
        <v>442.2</v>
      </c>
    </row>
    <row r="126" s="1" customFormat="true" ht="15" hidden="false" customHeight="false" outlineLevel="0" collapsed="false">
      <c r="C126" s="8" t="n">
        <v>40300</v>
      </c>
      <c r="D126" s="1" t="n">
        <v>12.4</v>
      </c>
      <c r="E126" s="1" t="n">
        <v>10.4</v>
      </c>
      <c r="F126" s="1" t="n">
        <v>14.4</v>
      </c>
      <c r="J126" s="1" t="n">
        <v>1.2</v>
      </c>
      <c r="L126" s="1" t="n">
        <v>2</v>
      </c>
      <c r="N126" s="1" t="n">
        <v>-0.8</v>
      </c>
      <c r="P126" s="6"/>
      <c r="T126" s="7"/>
      <c r="V126" s="1" t="n">
        <v>1380.4</v>
      </c>
    </row>
    <row r="127" s="1" customFormat="true" ht="15" hidden="false" customHeight="false" outlineLevel="0" collapsed="false">
      <c r="C127" s="8" t="n">
        <v>40301</v>
      </c>
      <c r="D127" s="1" t="n">
        <v>11</v>
      </c>
      <c r="E127" s="1" t="n">
        <v>9.2</v>
      </c>
      <c r="F127" s="1" t="n">
        <v>14.9</v>
      </c>
      <c r="J127" s="1" t="n">
        <v>4.9</v>
      </c>
      <c r="L127" s="1" t="n">
        <v>1.4</v>
      </c>
      <c r="N127" s="1" t="n">
        <v>3.5</v>
      </c>
      <c r="P127" s="6"/>
      <c r="T127" s="7"/>
      <c r="V127" s="1" t="n">
        <v>536.1</v>
      </c>
    </row>
    <row r="128" s="1" customFormat="true" ht="15" hidden="false" customHeight="false" outlineLevel="0" collapsed="false">
      <c r="C128" s="8" t="n">
        <v>40302</v>
      </c>
      <c r="D128" s="1" t="n">
        <v>6.8</v>
      </c>
      <c r="E128" s="1" t="n">
        <v>6</v>
      </c>
      <c r="F128" s="1" t="n">
        <v>7.5</v>
      </c>
      <c r="J128" s="1" t="n">
        <v>30.7</v>
      </c>
      <c r="L128" s="1" t="n">
        <v>1</v>
      </c>
      <c r="N128" s="1" t="n">
        <v>29.7</v>
      </c>
      <c r="P128" s="6"/>
      <c r="T128" s="7"/>
      <c r="V128" s="1" t="n">
        <v>440.8</v>
      </c>
    </row>
    <row r="129" s="1" customFormat="true" ht="15" hidden="false" customHeight="false" outlineLevel="0" collapsed="false">
      <c r="C129" s="8" t="n">
        <v>40303</v>
      </c>
      <c r="D129" s="1" t="n">
        <v>5.8</v>
      </c>
      <c r="E129" s="1" t="n">
        <v>3.7</v>
      </c>
      <c r="F129" s="1" t="n">
        <v>6.9</v>
      </c>
      <c r="J129" s="1" t="n">
        <v>10.3</v>
      </c>
      <c r="L129" s="1" t="n">
        <v>0.5</v>
      </c>
      <c r="N129" s="1" t="n">
        <v>9.8</v>
      </c>
      <c r="P129" s="6"/>
      <c r="T129" s="7"/>
      <c r="V129" s="1" t="n">
        <v>371.1</v>
      </c>
    </row>
    <row r="130" s="1" customFormat="true" ht="15" hidden="false" customHeight="false" outlineLevel="0" collapsed="false">
      <c r="C130" s="8" t="n">
        <v>40304</v>
      </c>
      <c r="D130" s="1" t="n">
        <v>8.6</v>
      </c>
      <c r="E130" s="1" t="n">
        <v>3.9</v>
      </c>
      <c r="F130" s="1" t="n">
        <v>11</v>
      </c>
      <c r="J130" s="1" t="n">
        <v>0</v>
      </c>
      <c r="L130" s="1" t="n">
        <v>1</v>
      </c>
      <c r="N130" s="1" t="n">
        <v>-1</v>
      </c>
      <c r="P130" s="6"/>
      <c r="T130" s="7"/>
      <c r="V130" s="1" t="n">
        <v>789.4</v>
      </c>
    </row>
    <row r="131" s="1" customFormat="true" ht="15" hidden="false" customHeight="false" outlineLevel="0" collapsed="false">
      <c r="C131" s="8" t="n">
        <v>40305</v>
      </c>
      <c r="D131" s="1" t="n">
        <v>11.2</v>
      </c>
      <c r="E131" s="1" t="n">
        <v>4.8</v>
      </c>
      <c r="F131" s="1" t="n">
        <v>16</v>
      </c>
      <c r="J131" s="1" t="n">
        <v>0.3</v>
      </c>
      <c r="L131" s="1" t="n">
        <v>2.8</v>
      </c>
      <c r="N131" s="1" t="n">
        <v>-2.5</v>
      </c>
      <c r="P131" s="6"/>
      <c r="T131" s="7"/>
      <c r="V131" s="1" t="n">
        <v>2039.7</v>
      </c>
    </row>
    <row r="132" s="1" customFormat="true" ht="15" hidden="false" customHeight="false" outlineLevel="0" collapsed="false">
      <c r="C132" s="8" t="n">
        <v>40306</v>
      </c>
      <c r="D132" s="1" t="n">
        <v>14.1</v>
      </c>
      <c r="E132" s="1" t="n">
        <v>9.7</v>
      </c>
      <c r="F132" s="1" t="n">
        <v>20</v>
      </c>
      <c r="J132" s="1" t="n">
        <v>0.4</v>
      </c>
      <c r="L132" s="1" t="n">
        <v>3.2</v>
      </c>
      <c r="N132" s="1" t="n">
        <v>-2.8</v>
      </c>
      <c r="P132" s="6"/>
      <c r="T132" s="7"/>
      <c r="V132" s="1" t="n">
        <v>1723.5</v>
      </c>
    </row>
    <row r="133" s="1" customFormat="true" ht="15" hidden="false" customHeight="false" outlineLevel="0" collapsed="false">
      <c r="C133" s="8" t="n">
        <v>40307</v>
      </c>
      <c r="D133" s="1" t="n">
        <v>14.7</v>
      </c>
      <c r="E133" s="1" t="n">
        <v>12.3</v>
      </c>
      <c r="F133" s="1" t="n">
        <v>18.6</v>
      </c>
      <c r="J133" s="1" t="n">
        <v>2.9</v>
      </c>
      <c r="L133" s="1" t="n">
        <v>2.1</v>
      </c>
      <c r="N133" s="1" t="n">
        <v>0.8</v>
      </c>
      <c r="P133" s="6"/>
      <c r="T133" s="7"/>
      <c r="V133" s="1" t="n">
        <v>1102.8</v>
      </c>
    </row>
    <row r="134" s="1" customFormat="true" ht="15" hidden="false" customHeight="false" outlineLevel="0" collapsed="false">
      <c r="C134" s="8" t="n">
        <v>40308</v>
      </c>
      <c r="D134" s="1" t="n">
        <v>16</v>
      </c>
      <c r="E134" s="1" t="n">
        <v>11</v>
      </c>
      <c r="F134" s="1" t="n">
        <v>22.5</v>
      </c>
      <c r="J134" s="1" t="n">
        <v>9.3</v>
      </c>
      <c r="L134" s="1" t="n">
        <v>3.7</v>
      </c>
      <c r="N134" s="1" t="n">
        <v>5.6</v>
      </c>
      <c r="P134" s="6"/>
      <c r="T134" s="7"/>
      <c r="V134" s="1" t="n">
        <v>1874.8</v>
      </c>
    </row>
    <row r="135" s="1" customFormat="true" ht="15" hidden="false" customHeight="false" outlineLevel="0" collapsed="false">
      <c r="C135" s="8" t="n">
        <v>40309</v>
      </c>
      <c r="D135" s="1" t="n">
        <v>15</v>
      </c>
      <c r="E135" s="1" t="n">
        <v>11.1</v>
      </c>
      <c r="F135" s="1" t="n">
        <v>19.6</v>
      </c>
      <c r="J135" s="1" t="n">
        <v>0.4</v>
      </c>
      <c r="L135" s="1" t="n">
        <v>3.9</v>
      </c>
      <c r="N135" s="1" t="n">
        <v>-3.5</v>
      </c>
      <c r="P135" s="6"/>
      <c r="T135" s="7"/>
      <c r="V135" s="1" t="n">
        <v>2173.4</v>
      </c>
    </row>
    <row r="136" s="1" customFormat="true" ht="15" hidden="false" customHeight="false" outlineLevel="0" collapsed="false">
      <c r="C136" s="8" t="n">
        <v>40310</v>
      </c>
      <c r="D136" s="1" t="n">
        <v>13</v>
      </c>
      <c r="E136" s="1" t="n">
        <v>10.5</v>
      </c>
      <c r="F136" s="1" t="n">
        <v>17.6</v>
      </c>
      <c r="J136" s="1" t="n">
        <v>9.6</v>
      </c>
      <c r="L136" s="1" t="n">
        <v>2.3</v>
      </c>
      <c r="N136" s="1" t="n">
        <v>7.3</v>
      </c>
      <c r="P136" s="6"/>
      <c r="T136" s="7"/>
      <c r="V136" s="1" t="n">
        <v>1091.7</v>
      </c>
    </row>
    <row r="137" s="1" customFormat="true" ht="15" hidden="false" customHeight="false" outlineLevel="0" collapsed="false">
      <c r="C137" s="8" t="n">
        <v>40311</v>
      </c>
      <c r="D137" s="1" t="n">
        <v>10.4</v>
      </c>
      <c r="E137" s="1" t="n">
        <v>9.1</v>
      </c>
      <c r="F137" s="1" t="n">
        <v>12.8</v>
      </c>
      <c r="J137" s="1" t="n">
        <v>4.1</v>
      </c>
      <c r="L137" s="1" t="n">
        <v>1.3</v>
      </c>
      <c r="N137" s="1" t="n">
        <v>2.8</v>
      </c>
      <c r="P137" s="6"/>
      <c r="T137" s="7"/>
      <c r="V137" s="1" t="n">
        <v>564.7</v>
      </c>
    </row>
    <row r="138" s="1" customFormat="true" ht="15" hidden="false" customHeight="false" outlineLevel="0" collapsed="false">
      <c r="C138" s="8" t="n">
        <v>40312</v>
      </c>
      <c r="D138" s="1" t="n">
        <v>11.1</v>
      </c>
      <c r="E138" s="1" t="n">
        <v>7.2</v>
      </c>
      <c r="F138" s="1" t="n">
        <v>14.4</v>
      </c>
      <c r="J138" s="1" t="n">
        <v>0</v>
      </c>
      <c r="L138" s="1" t="n">
        <v>2.4</v>
      </c>
      <c r="N138" s="1" t="n">
        <v>-2.4</v>
      </c>
      <c r="P138" s="6"/>
      <c r="T138" s="7"/>
      <c r="V138" s="1" t="n">
        <v>1462.2</v>
      </c>
    </row>
    <row r="139" s="1" customFormat="true" ht="15" hidden="false" customHeight="false" outlineLevel="0" collapsed="false">
      <c r="C139" s="8" t="n">
        <v>40313</v>
      </c>
      <c r="D139" s="1" t="n">
        <v>11.6</v>
      </c>
      <c r="E139" s="1" t="n">
        <v>8.8</v>
      </c>
      <c r="F139" s="1" t="n">
        <v>14</v>
      </c>
      <c r="J139" s="1" t="n">
        <v>0</v>
      </c>
      <c r="L139" s="1" t="n">
        <v>3</v>
      </c>
      <c r="N139" s="1" t="n">
        <v>-3</v>
      </c>
      <c r="P139" s="6"/>
      <c r="T139" s="7"/>
      <c r="V139" s="1" t="n">
        <v>1732.8</v>
      </c>
    </row>
    <row r="140" s="1" customFormat="true" ht="15" hidden="false" customHeight="false" outlineLevel="0" collapsed="false">
      <c r="C140" s="8" t="n">
        <v>40314</v>
      </c>
      <c r="D140" s="1" t="n">
        <v>12.5</v>
      </c>
      <c r="E140" s="1" t="n">
        <v>9.5</v>
      </c>
      <c r="F140" s="1" t="n">
        <v>16.3</v>
      </c>
      <c r="J140" s="1" t="n">
        <v>0.3</v>
      </c>
      <c r="L140" s="1" t="n">
        <v>3.6</v>
      </c>
      <c r="N140" s="1" t="n">
        <v>-3.3</v>
      </c>
      <c r="P140" s="6"/>
      <c r="T140" s="7"/>
      <c r="V140" s="1" t="n">
        <v>2035.6</v>
      </c>
    </row>
    <row r="141" s="1" customFormat="true" ht="15" hidden="false" customHeight="false" outlineLevel="0" collapsed="false">
      <c r="C141" s="8" t="n">
        <v>40315</v>
      </c>
      <c r="D141" s="1" t="n">
        <v>13.8</v>
      </c>
      <c r="E141" s="1" t="n">
        <v>10.1</v>
      </c>
      <c r="F141" s="1" t="n">
        <v>17.6</v>
      </c>
      <c r="J141" s="1" t="n">
        <v>0.1</v>
      </c>
      <c r="L141" s="1" t="n">
        <v>3.3</v>
      </c>
      <c r="N141" s="1" t="n">
        <v>-3.2</v>
      </c>
      <c r="P141" s="6"/>
      <c r="T141" s="7"/>
      <c r="V141" s="1" t="n">
        <v>1884.9</v>
      </c>
    </row>
    <row r="142" s="1" customFormat="true" ht="15" hidden="false" customHeight="false" outlineLevel="0" collapsed="false">
      <c r="C142" s="8" t="n">
        <v>40316</v>
      </c>
      <c r="D142" s="1" t="n">
        <v>15.2</v>
      </c>
      <c r="E142" s="1" t="n">
        <v>10.4</v>
      </c>
      <c r="F142" s="1" t="n">
        <v>19.5</v>
      </c>
      <c r="J142" s="1" t="n">
        <v>0</v>
      </c>
      <c r="L142" s="1" t="n">
        <v>4.1</v>
      </c>
      <c r="N142" s="1" t="n">
        <v>-4.1</v>
      </c>
      <c r="P142" s="6"/>
      <c r="T142" s="7"/>
      <c r="V142" s="1" t="n">
        <v>2323.2</v>
      </c>
    </row>
    <row r="143" s="1" customFormat="true" ht="15" hidden="false" customHeight="false" outlineLevel="0" collapsed="false">
      <c r="C143" s="8" t="n">
        <v>40317</v>
      </c>
      <c r="D143" s="1" t="n">
        <v>15.6</v>
      </c>
      <c r="E143" s="1" t="n">
        <v>11.8</v>
      </c>
      <c r="F143" s="1" t="n">
        <v>19.7</v>
      </c>
      <c r="J143" s="1" t="n">
        <v>0</v>
      </c>
      <c r="L143" s="1" t="n">
        <v>4.5</v>
      </c>
      <c r="N143" s="1" t="n">
        <v>-4.5</v>
      </c>
      <c r="P143" s="6"/>
      <c r="T143" s="7"/>
      <c r="V143" s="1" t="n">
        <v>2120.2</v>
      </c>
    </row>
    <row r="144" s="1" customFormat="true" ht="15" hidden="false" customHeight="false" outlineLevel="0" collapsed="false">
      <c r="C144" s="8" t="n">
        <v>40318</v>
      </c>
      <c r="D144" s="1" t="n">
        <v>16.8</v>
      </c>
      <c r="E144" s="1" t="n">
        <v>11.3</v>
      </c>
      <c r="F144" s="1" t="n">
        <v>21.9</v>
      </c>
      <c r="J144" s="1" t="n">
        <v>0</v>
      </c>
      <c r="L144" s="1" t="n">
        <v>5.8</v>
      </c>
      <c r="N144" s="1" t="n">
        <v>-5.8</v>
      </c>
      <c r="P144" s="6"/>
      <c r="T144" s="7"/>
      <c r="V144" s="1" t="n">
        <v>3095.9</v>
      </c>
    </row>
    <row r="145" s="1" customFormat="true" ht="15" hidden="false" customHeight="false" outlineLevel="0" collapsed="false">
      <c r="C145" s="8" t="n">
        <v>40319</v>
      </c>
      <c r="D145" s="1" t="n">
        <v>18.9</v>
      </c>
      <c r="E145" s="1" t="n">
        <v>13</v>
      </c>
      <c r="F145" s="1" t="n">
        <v>24.9</v>
      </c>
      <c r="J145" s="1" t="n">
        <v>0</v>
      </c>
      <c r="L145" s="1" t="n">
        <v>5.3</v>
      </c>
      <c r="N145" s="1" t="n">
        <v>-5.3</v>
      </c>
      <c r="P145" s="6"/>
      <c r="T145" s="7"/>
      <c r="V145" s="1" t="n">
        <v>2736.3</v>
      </c>
    </row>
    <row r="146" s="1" customFormat="true" ht="15" hidden="false" customHeight="false" outlineLevel="0" collapsed="false">
      <c r="C146" s="8" t="n">
        <v>40320</v>
      </c>
      <c r="D146" s="1" t="n">
        <v>20</v>
      </c>
      <c r="E146" s="1" t="n">
        <v>14.2</v>
      </c>
      <c r="F146" s="1" t="n">
        <v>25.1</v>
      </c>
      <c r="J146" s="1" t="n">
        <v>0</v>
      </c>
      <c r="L146" s="1" t="n">
        <v>5.4</v>
      </c>
      <c r="N146" s="1" t="n">
        <v>-5.4</v>
      </c>
      <c r="P146" s="6"/>
      <c r="T146" s="7"/>
      <c r="V146" s="1" t="n">
        <v>2790.3</v>
      </c>
    </row>
    <row r="147" s="1" customFormat="true" ht="15" hidden="false" customHeight="false" outlineLevel="0" collapsed="false">
      <c r="C147" s="8" t="n">
        <v>40321</v>
      </c>
      <c r="D147" s="1" t="n">
        <v>20.8</v>
      </c>
      <c r="E147" s="1" t="n">
        <v>15.8</v>
      </c>
      <c r="F147" s="1" t="n">
        <v>25.9</v>
      </c>
      <c r="J147" s="1" t="n">
        <v>0</v>
      </c>
      <c r="L147" s="1" t="n">
        <v>6.8</v>
      </c>
      <c r="N147" s="1" t="n">
        <v>-6.8</v>
      </c>
      <c r="P147" s="6"/>
      <c r="T147" s="7"/>
      <c r="V147" s="1" t="n">
        <v>3162.1</v>
      </c>
    </row>
    <row r="148" s="1" customFormat="true" ht="15" hidden="false" customHeight="false" outlineLevel="0" collapsed="false">
      <c r="C148" s="8" t="n">
        <v>40322</v>
      </c>
      <c r="D148" s="1" t="n">
        <v>20.7</v>
      </c>
      <c r="E148" s="1" t="n">
        <v>14.1</v>
      </c>
      <c r="F148" s="1" t="n">
        <v>27.5</v>
      </c>
      <c r="J148" s="1" t="n">
        <v>0</v>
      </c>
      <c r="L148" s="1" t="n">
        <v>7.1</v>
      </c>
      <c r="N148" s="1" t="n">
        <v>-7.1</v>
      </c>
      <c r="P148" s="6"/>
      <c r="T148" s="7"/>
      <c r="V148" s="1" t="n">
        <v>3111.4</v>
      </c>
    </row>
    <row r="149" s="1" customFormat="true" ht="15" hidden="false" customHeight="false" outlineLevel="0" collapsed="false">
      <c r="C149" s="8" t="n">
        <v>40323</v>
      </c>
      <c r="D149" s="1" t="n">
        <v>21</v>
      </c>
      <c r="E149" s="1" t="n">
        <v>15.8</v>
      </c>
      <c r="F149" s="1" t="n">
        <v>28.2</v>
      </c>
      <c r="J149" s="1" t="n">
        <v>2.9</v>
      </c>
      <c r="L149" s="1" t="n">
        <v>5.5</v>
      </c>
      <c r="N149" s="1" t="n">
        <v>-2.6</v>
      </c>
      <c r="P149" s="6"/>
      <c r="T149" s="7"/>
      <c r="V149" s="1" t="n">
        <v>2172.1</v>
      </c>
    </row>
    <row r="150" s="1" customFormat="true" ht="15" hidden="false" customHeight="false" outlineLevel="0" collapsed="false">
      <c r="C150" s="8" t="n">
        <v>40324</v>
      </c>
      <c r="D150" s="1" t="n">
        <v>19.5</v>
      </c>
      <c r="E150" s="1" t="n">
        <v>14.8</v>
      </c>
      <c r="F150" s="1" t="n">
        <v>25.9</v>
      </c>
      <c r="J150" s="1" t="n">
        <v>2.6</v>
      </c>
      <c r="L150" s="1" t="n">
        <v>4.3</v>
      </c>
      <c r="N150" s="1" t="n">
        <v>-1.7</v>
      </c>
      <c r="P150" s="6"/>
      <c r="T150" s="7"/>
      <c r="V150" s="1" t="n">
        <v>1804</v>
      </c>
    </row>
    <row r="151" s="1" customFormat="true" ht="15" hidden="false" customHeight="false" outlineLevel="0" collapsed="false">
      <c r="C151" s="8" t="n">
        <v>40325</v>
      </c>
      <c r="D151" s="1" t="n">
        <v>17.8</v>
      </c>
      <c r="E151" s="1" t="n">
        <v>14.3</v>
      </c>
      <c r="F151" s="1" t="n">
        <v>21.7</v>
      </c>
      <c r="J151" s="1" t="n">
        <v>0.7</v>
      </c>
      <c r="L151" s="1" t="n">
        <v>4.2</v>
      </c>
      <c r="N151" s="1" t="n">
        <v>-3.5</v>
      </c>
      <c r="P151" s="6"/>
      <c r="T151" s="7"/>
      <c r="V151" s="1" t="n">
        <v>2299.6</v>
      </c>
    </row>
    <row r="152" s="1" customFormat="true" ht="15" hidden="false" customHeight="false" outlineLevel="0" collapsed="false">
      <c r="C152" s="8" t="n">
        <v>40326</v>
      </c>
      <c r="D152" s="1" t="n">
        <v>16.4</v>
      </c>
      <c r="E152" s="1" t="n">
        <v>13.7</v>
      </c>
      <c r="F152" s="1" t="n">
        <v>18.2</v>
      </c>
      <c r="J152" s="1" t="n">
        <v>0</v>
      </c>
      <c r="L152" s="1" t="n">
        <v>2.2</v>
      </c>
      <c r="N152" s="1" t="n">
        <v>-2.2</v>
      </c>
      <c r="P152" s="6"/>
      <c r="T152" s="7"/>
      <c r="V152" s="1" t="n">
        <v>1158.1</v>
      </c>
    </row>
    <row r="153" s="1" customFormat="true" ht="15" hidden="false" customHeight="false" outlineLevel="0" collapsed="false">
      <c r="C153" s="8" t="n">
        <v>40327</v>
      </c>
      <c r="D153" s="1" t="n">
        <v>17.9</v>
      </c>
      <c r="E153" s="1" t="n">
        <v>14.4</v>
      </c>
      <c r="F153" s="1" t="n">
        <v>20.6</v>
      </c>
      <c r="J153" s="1" t="n">
        <v>0</v>
      </c>
      <c r="L153" s="1" t="n">
        <v>3.5</v>
      </c>
      <c r="N153" s="1" t="n">
        <v>-3.5</v>
      </c>
      <c r="P153" s="6"/>
      <c r="T153" s="7"/>
      <c r="V153" s="1" t="n">
        <v>1661.1</v>
      </c>
    </row>
    <row r="154" s="1" customFormat="true" ht="15" hidden="false" customHeight="false" outlineLevel="0" collapsed="false">
      <c r="C154" s="8" t="n">
        <v>40328</v>
      </c>
      <c r="D154" s="1" t="n">
        <v>18.5</v>
      </c>
      <c r="E154" s="1" t="n">
        <v>17.3</v>
      </c>
      <c r="F154" s="1" t="n">
        <v>20.7</v>
      </c>
      <c r="J154" s="1" t="n">
        <v>1.9</v>
      </c>
      <c r="L154" s="1" t="n">
        <v>3</v>
      </c>
      <c r="N154" s="1" t="n">
        <v>-1.1</v>
      </c>
      <c r="P154" s="6"/>
      <c r="T154" s="7"/>
      <c r="V154" s="1" t="n">
        <v>862.6</v>
      </c>
    </row>
    <row r="155" s="1" customFormat="true" ht="15" hidden="false" customHeight="false" outlineLevel="0" collapsed="false">
      <c r="C155" s="8" t="n">
        <v>40329</v>
      </c>
      <c r="D155" s="1" t="n">
        <v>19.1</v>
      </c>
      <c r="E155" s="1" t="n">
        <v>16.5</v>
      </c>
      <c r="F155" s="1" t="n">
        <v>23.4</v>
      </c>
      <c r="J155" s="1" t="n">
        <v>0</v>
      </c>
      <c r="L155" s="1" t="n">
        <v>4.1</v>
      </c>
      <c r="N155" s="1" t="n">
        <v>-4.1</v>
      </c>
      <c r="P155" s="6"/>
      <c r="T155" s="7"/>
      <c r="V155" s="1" t="n">
        <v>1305.1</v>
      </c>
    </row>
    <row r="156" s="1" customFormat="true" ht="15" hidden="false" customHeight="false" outlineLevel="0" collapsed="false">
      <c r="C156" s="8" t="n">
        <v>40330</v>
      </c>
      <c r="D156" s="1" t="n">
        <v>18.1</v>
      </c>
      <c r="E156" s="1" t="n">
        <v>15.7</v>
      </c>
      <c r="F156" s="1" t="n">
        <v>20.5</v>
      </c>
      <c r="J156" s="1" t="n">
        <v>0.2</v>
      </c>
      <c r="L156" s="1" t="n">
        <v>2.1</v>
      </c>
      <c r="N156" s="1" t="n">
        <v>-1.9</v>
      </c>
      <c r="P156" s="6"/>
      <c r="T156" s="7"/>
      <c r="V156" s="1" t="n">
        <v>522.1</v>
      </c>
    </row>
    <row r="157" s="1" customFormat="true" ht="15" hidden="false" customHeight="false" outlineLevel="0" collapsed="false">
      <c r="C157" s="8" t="n">
        <v>40331</v>
      </c>
      <c r="D157" s="1" t="n">
        <v>19.1</v>
      </c>
      <c r="E157" s="1" t="n">
        <v>16.3</v>
      </c>
      <c r="F157" s="1" t="n">
        <v>22.8</v>
      </c>
      <c r="J157" s="1" t="n">
        <v>0</v>
      </c>
      <c r="L157" s="1" t="n">
        <v>4.4</v>
      </c>
      <c r="N157" s="1" t="n">
        <v>-4.4</v>
      </c>
      <c r="P157" s="6"/>
      <c r="T157" s="7"/>
      <c r="V157" s="1" t="n">
        <v>1690.5</v>
      </c>
    </row>
    <row r="158" s="1" customFormat="true" ht="15" hidden="false" customHeight="false" outlineLevel="0" collapsed="false">
      <c r="C158" s="8" t="n">
        <v>40332</v>
      </c>
      <c r="D158" s="1" t="n">
        <v>20</v>
      </c>
      <c r="E158" s="1" t="n">
        <v>13.3</v>
      </c>
      <c r="F158" s="1" t="n">
        <v>25.9</v>
      </c>
      <c r="J158" s="1" t="n">
        <v>0</v>
      </c>
      <c r="L158" s="1" t="n">
        <v>6.1</v>
      </c>
      <c r="N158" s="1" t="n">
        <v>-6.1</v>
      </c>
      <c r="P158" s="6"/>
      <c r="T158" s="7"/>
      <c r="V158" s="1" t="n">
        <v>3172.2</v>
      </c>
    </row>
    <row r="159" s="1" customFormat="true" ht="15" hidden="false" customHeight="false" outlineLevel="0" collapsed="false">
      <c r="C159" s="8" t="n">
        <v>40333</v>
      </c>
      <c r="D159" s="1" t="n">
        <v>22.6</v>
      </c>
      <c r="E159" s="1" t="n">
        <v>16.8</v>
      </c>
      <c r="F159" s="1" t="n">
        <v>27.9</v>
      </c>
      <c r="J159" s="1" t="n">
        <v>0</v>
      </c>
      <c r="L159" s="1" t="n">
        <v>6.3</v>
      </c>
      <c r="N159" s="1" t="n">
        <v>-6.3</v>
      </c>
      <c r="P159" s="6"/>
      <c r="T159" s="7"/>
      <c r="V159" s="1" t="n">
        <v>2760.1</v>
      </c>
    </row>
    <row r="160" s="1" customFormat="true" ht="15" hidden="false" customHeight="false" outlineLevel="0" collapsed="false">
      <c r="C160" s="8" t="n">
        <v>40334</v>
      </c>
      <c r="D160" s="1" t="n">
        <v>23.5</v>
      </c>
      <c r="E160" s="1" t="n">
        <v>17.5</v>
      </c>
      <c r="F160" s="1" t="n">
        <v>28.5</v>
      </c>
      <c r="J160" s="1" t="n">
        <v>0.8</v>
      </c>
      <c r="L160" s="1" t="n">
        <v>6</v>
      </c>
      <c r="N160" s="1" t="n">
        <v>-5.2</v>
      </c>
      <c r="P160" s="6"/>
      <c r="T160" s="7"/>
      <c r="V160" s="1" t="n">
        <v>2803.4</v>
      </c>
    </row>
    <row r="161" s="1" customFormat="true" ht="15" hidden="false" customHeight="false" outlineLevel="0" collapsed="false">
      <c r="C161" s="10" t="n">
        <v>40335</v>
      </c>
      <c r="D161" s="1" t="n">
        <v>17.7</v>
      </c>
      <c r="E161" s="1" t="n">
        <v>17</v>
      </c>
      <c r="F161" s="1" t="n">
        <v>18.2</v>
      </c>
      <c r="J161" s="1" t="n">
        <v>0.3</v>
      </c>
      <c r="L161" s="1" t="n">
        <v>1.6</v>
      </c>
      <c r="N161" s="1" t="n">
        <v>-1.3</v>
      </c>
      <c r="O161" s="11"/>
      <c r="P161" s="12"/>
      <c r="T161" s="7" t="n">
        <v>0</v>
      </c>
      <c r="U161" s="1" t="s">
        <v>27</v>
      </c>
      <c r="V161" s="1" t="n">
        <v>560.9</v>
      </c>
    </row>
    <row r="162" s="1" customFormat="true" ht="15" hidden="false" customHeight="false" outlineLevel="0" collapsed="false">
      <c r="C162" s="8" t="n">
        <v>40336</v>
      </c>
      <c r="D162" s="1" t="n">
        <v>20.7</v>
      </c>
      <c r="E162" s="1" t="n">
        <v>14.7</v>
      </c>
      <c r="F162" s="1" t="n">
        <v>25.8</v>
      </c>
      <c r="J162" s="1" t="n">
        <v>2.3</v>
      </c>
      <c r="L162" s="1" t="n">
        <v>4.9</v>
      </c>
      <c r="N162" s="1" t="n">
        <v>-2.6</v>
      </c>
      <c r="P162" s="6"/>
      <c r="T162" s="7" t="n">
        <v>0</v>
      </c>
      <c r="V162" s="1" t="n">
        <v>2437.3</v>
      </c>
    </row>
    <row r="163" s="1" customFormat="true" ht="15" hidden="false" customHeight="false" outlineLevel="0" collapsed="false">
      <c r="C163" s="8" t="n">
        <v>40337</v>
      </c>
      <c r="D163" s="1" t="n">
        <v>18.4</v>
      </c>
      <c r="E163" s="1" t="n">
        <v>15.2</v>
      </c>
      <c r="F163" s="1" t="n">
        <v>20.3</v>
      </c>
      <c r="J163" s="1" t="n">
        <v>32</v>
      </c>
      <c r="L163" s="1" t="n">
        <v>1.5</v>
      </c>
      <c r="N163" s="1" t="n">
        <v>30.5</v>
      </c>
      <c r="P163" s="6"/>
      <c r="T163" s="7" t="n">
        <v>30.5</v>
      </c>
      <c r="V163" s="1" t="n">
        <v>576.1</v>
      </c>
    </row>
    <row r="164" s="1" customFormat="true" ht="15" hidden="false" customHeight="false" outlineLevel="0" collapsed="false">
      <c r="C164" s="8" t="n">
        <v>40338</v>
      </c>
      <c r="D164" s="1" t="n">
        <v>18.5</v>
      </c>
      <c r="E164" s="1" t="n">
        <v>15.8</v>
      </c>
      <c r="F164" s="1" t="n">
        <v>20.4</v>
      </c>
      <c r="J164" s="1" t="n">
        <v>7.6</v>
      </c>
      <c r="L164" s="1" t="n">
        <v>0.8</v>
      </c>
      <c r="N164" s="1" t="n">
        <v>6.8</v>
      </c>
      <c r="P164" s="6"/>
      <c r="T164" s="7" t="n">
        <v>37.3</v>
      </c>
      <c r="V164" s="1" t="n">
        <v>384.1</v>
      </c>
    </row>
    <row r="165" s="1" customFormat="true" ht="15" hidden="false" customHeight="false" outlineLevel="0" collapsed="false">
      <c r="C165" s="8" t="n">
        <v>40339</v>
      </c>
      <c r="D165" s="1" t="n">
        <v>22</v>
      </c>
      <c r="E165" s="1" t="n">
        <v>18.8</v>
      </c>
      <c r="F165" s="1" t="n">
        <v>26.1</v>
      </c>
      <c r="J165" s="1" t="n">
        <v>1.7</v>
      </c>
      <c r="L165" s="1" t="n">
        <v>4.7</v>
      </c>
      <c r="N165" s="1" t="n">
        <v>-3</v>
      </c>
      <c r="P165" s="6"/>
      <c r="T165" s="7" t="n">
        <v>34.3</v>
      </c>
      <c r="V165" s="1" t="n">
        <v>1786.3</v>
      </c>
    </row>
    <row r="166" s="1" customFormat="true" ht="15" hidden="false" customHeight="false" outlineLevel="0" collapsed="false">
      <c r="C166" s="8" t="n">
        <v>40340</v>
      </c>
      <c r="D166" s="1" t="n">
        <v>18.1</v>
      </c>
      <c r="E166" s="1" t="n">
        <v>16.9</v>
      </c>
      <c r="F166" s="1" t="n">
        <v>22</v>
      </c>
      <c r="J166" s="1" t="n">
        <v>14.6</v>
      </c>
      <c r="L166" s="1" t="n">
        <v>3.2</v>
      </c>
      <c r="N166" s="1" t="n">
        <v>11.4</v>
      </c>
      <c r="P166" s="6"/>
      <c r="T166" s="7" t="n">
        <v>45.7</v>
      </c>
      <c r="V166" s="1" t="n">
        <v>1384.9</v>
      </c>
    </row>
    <row r="167" s="1" customFormat="true" ht="15" hidden="false" customHeight="false" outlineLevel="0" collapsed="false">
      <c r="C167" s="8" t="n">
        <v>40341</v>
      </c>
      <c r="D167" s="1" t="n">
        <v>19.1</v>
      </c>
      <c r="E167" s="1" t="n">
        <v>13.1</v>
      </c>
      <c r="F167" s="1" t="n">
        <v>23.4</v>
      </c>
      <c r="J167" s="1" t="n">
        <v>2.6</v>
      </c>
      <c r="L167" s="1" t="n">
        <v>4.1</v>
      </c>
      <c r="N167" s="1" t="n">
        <v>-1.5</v>
      </c>
      <c r="P167" s="6"/>
      <c r="T167" s="7" t="n">
        <v>44.2</v>
      </c>
      <c r="V167" s="1" t="n">
        <v>2091.8</v>
      </c>
    </row>
    <row r="168" s="1" customFormat="true" ht="15" hidden="false" customHeight="false" outlineLevel="0" collapsed="false">
      <c r="C168" s="8" t="n">
        <v>40342</v>
      </c>
      <c r="D168" s="1" t="n">
        <v>19.4</v>
      </c>
      <c r="E168" s="1" t="n">
        <v>16.6</v>
      </c>
      <c r="F168" s="1" t="n">
        <v>24.3</v>
      </c>
      <c r="J168" s="1" t="n">
        <v>5.1</v>
      </c>
      <c r="L168" s="1" t="n">
        <v>3.9</v>
      </c>
      <c r="N168" s="1" t="n">
        <v>1.2</v>
      </c>
      <c r="P168" s="6"/>
      <c r="T168" s="7" t="n">
        <v>45.4</v>
      </c>
      <c r="V168" s="1" t="n">
        <v>1674.6</v>
      </c>
    </row>
    <row r="169" s="1" customFormat="true" ht="15" hidden="false" customHeight="false" outlineLevel="0" collapsed="false">
      <c r="C169" s="8" t="n">
        <v>40343</v>
      </c>
      <c r="D169" s="1" t="n">
        <v>14.2</v>
      </c>
      <c r="E169" s="1" t="n">
        <v>13.5</v>
      </c>
      <c r="F169" s="1" t="n">
        <v>14.6</v>
      </c>
      <c r="J169" s="1" t="n">
        <v>6.2</v>
      </c>
      <c r="L169" s="1" t="n">
        <v>1</v>
      </c>
      <c r="N169" s="1" t="n">
        <v>5.2</v>
      </c>
      <c r="P169" s="6"/>
      <c r="T169" s="7" t="n">
        <v>50.6</v>
      </c>
      <c r="V169" s="1" t="n">
        <v>504.9</v>
      </c>
    </row>
    <row r="170" s="1" customFormat="true" ht="15" hidden="false" customHeight="false" outlineLevel="0" collapsed="false">
      <c r="C170" s="8" t="n">
        <v>40344</v>
      </c>
      <c r="D170" s="1" t="n">
        <v>16</v>
      </c>
      <c r="E170" s="1" t="n">
        <v>12.5</v>
      </c>
      <c r="F170" s="1" t="n">
        <v>18.9</v>
      </c>
      <c r="J170" s="1" t="n">
        <v>1.7</v>
      </c>
      <c r="L170" s="1" t="n">
        <v>2.1</v>
      </c>
      <c r="N170" s="1" t="n">
        <v>-0.4</v>
      </c>
      <c r="P170" s="6"/>
      <c r="T170" s="7" t="n">
        <v>50.2</v>
      </c>
      <c r="V170" s="1" t="n">
        <v>884.9</v>
      </c>
    </row>
    <row r="171" s="1" customFormat="true" ht="15" hidden="false" customHeight="false" outlineLevel="0" collapsed="false">
      <c r="C171" s="8" t="n">
        <v>40345</v>
      </c>
      <c r="D171" s="1" t="n">
        <v>14.9</v>
      </c>
      <c r="E171" s="1" t="n">
        <v>13.1</v>
      </c>
      <c r="F171" s="1" t="n">
        <v>18.4</v>
      </c>
      <c r="J171" s="1" t="n">
        <v>4</v>
      </c>
      <c r="L171" s="1" t="n">
        <v>2.5</v>
      </c>
      <c r="N171" s="1" t="n">
        <v>1.5</v>
      </c>
      <c r="P171" s="6"/>
      <c r="T171" s="7" t="n">
        <v>51.7</v>
      </c>
      <c r="V171" s="1" t="n">
        <v>1071.4</v>
      </c>
    </row>
    <row r="172" s="1" customFormat="true" ht="15" hidden="false" customHeight="false" outlineLevel="0" collapsed="false">
      <c r="C172" s="8" t="n">
        <v>40346</v>
      </c>
      <c r="D172" s="1" t="n">
        <v>15.6</v>
      </c>
      <c r="E172" s="1" t="n">
        <v>13.2</v>
      </c>
      <c r="F172" s="1" t="n">
        <v>18.9</v>
      </c>
      <c r="J172" s="1" t="n">
        <v>0</v>
      </c>
      <c r="L172" s="1" t="n">
        <v>3</v>
      </c>
      <c r="N172" s="1" t="n">
        <v>-3</v>
      </c>
      <c r="P172" s="6"/>
      <c r="T172" s="7" t="n">
        <v>48.7</v>
      </c>
      <c r="V172" s="1" t="n">
        <v>1455.7</v>
      </c>
    </row>
    <row r="173" s="1" customFormat="true" ht="15" hidden="false" customHeight="false" outlineLevel="0" collapsed="false">
      <c r="C173" s="8" t="n">
        <v>40347</v>
      </c>
      <c r="D173" s="1" t="n">
        <v>17.1</v>
      </c>
      <c r="E173" s="1" t="n">
        <v>13.9</v>
      </c>
      <c r="F173" s="1" t="n">
        <v>20.5</v>
      </c>
      <c r="J173" s="1" t="n">
        <v>2.1</v>
      </c>
      <c r="L173" s="1" t="n">
        <v>2.7</v>
      </c>
      <c r="N173" s="1" t="n">
        <v>-0.6</v>
      </c>
      <c r="P173" s="6"/>
      <c r="T173" s="7" t="n">
        <v>48.1</v>
      </c>
      <c r="V173" s="1" t="n">
        <v>1244.3</v>
      </c>
    </row>
    <row r="174" s="1" customFormat="true" ht="15" hidden="false" customHeight="false" outlineLevel="0" collapsed="false">
      <c r="C174" s="8" t="n">
        <v>40348</v>
      </c>
      <c r="D174" s="1" t="n">
        <v>15.3</v>
      </c>
      <c r="E174" s="1" t="n">
        <v>15.5</v>
      </c>
      <c r="F174" s="1" t="n">
        <v>16.4</v>
      </c>
      <c r="J174" s="1" t="n">
        <v>17.2</v>
      </c>
      <c r="L174" s="1" t="n">
        <v>1.5</v>
      </c>
      <c r="N174" s="1" t="n">
        <v>15.7</v>
      </c>
      <c r="P174" s="6"/>
      <c r="T174" s="7" t="n">
        <v>63.8</v>
      </c>
      <c r="V174" s="1" t="n">
        <v>629</v>
      </c>
    </row>
    <row r="175" s="1" customFormat="true" ht="15" hidden="false" customHeight="false" outlineLevel="0" collapsed="false">
      <c r="C175" s="8" t="n">
        <v>40349</v>
      </c>
      <c r="D175" s="1" t="n">
        <v>14.2</v>
      </c>
      <c r="E175" s="1" t="n">
        <v>11.7</v>
      </c>
      <c r="F175" s="1" t="n">
        <v>17.5</v>
      </c>
      <c r="J175" s="1" t="n">
        <v>0.5</v>
      </c>
      <c r="L175" s="1" t="n">
        <v>4.5</v>
      </c>
      <c r="N175" s="1" t="n">
        <v>-4</v>
      </c>
      <c r="P175" s="6"/>
      <c r="T175" s="7" t="n">
        <v>59.8</v>
      </c>
      <c r="V175" s="1" t="n">
        <v>2458.2</v>
      </c>
    </row>
    <row r="176" s="1" customFormat="true" ht="15" hidden="false" customHeight="false" outlineLevel="0" collapsed="false">
      <c r="C176" s="8" t="n">
        <v>40350</v>
      </c>
      <c r="D176" s="1" t="n">
        <v>15.5</v>
      </c>
      <c r="E176" s="1" t="n">
        <v>12.4</v>
      </c>
      <c r="F176" s="1" t="n">
        <v>18.9</v>
      </c>
      <c r="J176" s="1" t="n">
        <v>0</v>
      </c>
      <c r="L176" s="1" t="n">
        <v>4.5</v>
      </c>
      <c r="N176" s="1" t="n">
        <v>-4.5</v>
      </c>
      <c r="P176" s="6"/>
      <c r="T176" s="7" t="n">
        <v>55.3</v>
      </c>
      <c r="V176" s="1" t="n">
        <v>2085.6</v>
      </c>
    </row>
    <row r="177" s="1" customFormat="true" ht="15" hidden="false" customHeight="false" outlineLevel="0" collapsed="false">
      <c r="C177" s="8" t="n">
        <v>40351</v>
      </c>
      <c r="D177" s="1" t="n">
        <v>17.4</v>
      </c>
      <c r="E177" s="1" t="n">
        <v>12.7</v>
      </c>
      <c r="F177" s="1" t="n">
        <v>22.3</v>
      </c>
      <c r="J177" s="1" t="n">
        <v>0</v>
      </c>
      <c r="L177" s="1" t="n">
        <v>5.4</v>
      </c>
      <c r="N177" s="1" t="n">
        <v>-5.4</v>
      </c>
      <c r="P177" s="6"/>
      <c r="T177" s="7" t="n">
        <v>49.9</v>
      </c>
      <c r="V177" s="1" t="n">
        <v>2789.4</v>
      </c>
    </row>
    <row r="178" s="1" customFormat="true" ht="15" hidden="false" customHeight="false" outlineLevel="0" collapsed="false">
      <c r="C178" s="8" t="n">
        <v>40352</v>
      </c>
      <c r="D178" s="1" t="n">
        <v>19.1</v>
      </c>
      <c r="E178" s="1" t="n">
        <v>13.8</v>
      </c>
      <c r="F178" s="1" t="n">
        <v>24.8</v>
      </c>
      <c r="J178" s="1" t="n">
        <v>0</v>
      </c>
      <c r="L178" s="1" t="n">
        <v>6</v>
      </c>
      <c r="N178" s="1" t="n">
        <v>-6</v>
      </c>
      <c r="P178" s="6"/>
      <c r="T178" s="7" t="n">
        <v>43.9</v>
      </c>
      <c r="V178" s="1" t="n">
        <v>3100.2</v>
      </c>
    </row>
    <row r="179" s="1" customFormat="true" ht="15" hidden="false" customHeight="false" outlineLevel="0" collapsed="false">
      <c r="C179" s="8" t="n">
        <v>40353</v>
      </c>
      <c r="D179" s="1" t="n">
        <v>21.1</v>
      </c>
      <c r="E179" s="1" t="n">
        <v>14.3</v>
      </c>
      <c r="F179" s="1" t="n">
        <v>28.1</v>
      </c>
      <c r="J179" s="1" t="n">
        <v>0</v>
      </c>
      <c r="L179" s="1" t="n">
        <v>5.6</v>
      </c>
      <c r="N179" s="1" t="n">
        <v>-5.6</v>
      </c>
      <c r="P179" s="6"/>
      <c r="T179" s="7" t="n">
        <v>38.3</v>
      </c>
      <c r="V179" s="1" t="n">
        <v>2862.1</v>
      </c>
    </row>
    <row r="180" s="1" customFormat="true" ht="15" hidden="false" customHeight="false" outlineLevel="0" collapsed="false">
      <c r="C180" s="8" t="n">
        <v>40354</v>
      </c>
      <c r="D180" s="1" t="n">
        <v>22.8</v>
      </c>
      <c r="E180" s="1" t="n">
        <v>15.8</v>
      </c>
      <c r="F180" s="1" t="n">
        <v>29.5</v>
      </c>
      <c r="J180" s="1" t="n">
        <v>0</v>
      </c>
      <c r="L180" s="1" t="n">
        <v>5.9</v>
      </c>
      <c r="N180" s="1" t="n">
        <v>-5.9</v>
      </c>
      <c r="P180" s="6"/>
      <c r="T180" s="7" t="n">
        <v>32.4</v>
      </c>
      <c r="V180" s="1" t="n">
        <v>2833.5</v>
      </c>
    </row>
    <row r="181" s="1" customFormat="true" ht="15" hidden="false" customHeight="false" outlineLevel="0" collapsed="false">
      <c r="C181" s="8" t="n">
        <v>40355</v>
      </c>
      <c r="D181" s="1" t="n">
        <v>23.9</v>
      </c>
      <c r="E181" s="1" t="n">
        <v>17</v>
      </c>
      <c r="F181" s="1" t="n">
        <v>30.6</v>
      </c>
      <c r="J181" s="1" t="n">
        <v>0</v>
      </c>
      <c r="L181" s="1" t="n">
        <v>5.4</v>
      </c>
      <c r="N181" s="1" t="n">
        <v>-5.4</v>
      </c>
      <c r="P181" s="6"/>
      <c r="T181" s="7" t="n">
        <v>27</v>
      </c>
      <c r="V181" s="1" t="n">
        <v>2519</v>
      </c>
    </row>
    <row r="182" s="1" customFormat="true" ht="15" hidden="false" customHeight="false" outlineLevel="0" collapsed="false">
      <c r="C182" s="8" t="n">
        <v>40356</v>
      </c>
      <c r="D182" s="1" t="n">
        <v>23.7</v>
      </c>
      <c r="E182" s="1" t="n">
        <v>18.3</v>
      </c>
      <c r="F182" s="1" t="n">
        <v>30</v>
      </c>
      <c r="J182" s="1" t="n">
        <v>0.8</v>
      </c>
      <c r="L182" s="1" t="n">
        <v>5.3</v>
      </c>
      <c r="N182" s="1" t="n">
        <v>-4.5</v>
      </c>
      <c r="P182" s="6"/>
      <c r="T182" s="7" t="n">
        <v>22.5</v>
      </c>
      <c r="V182" s="1" t="n">
        <v>2342.8</v>
      </c>
    </row>
    <row r="183" s="1" customFormat="true" ht="15" hidden="false" customHeight="false" outlineLevel="0" collapsed="false">
      <c r="C183" s="8" t="n">
        <v>40357</v>
      </c>
      <c r="D183" s="1" t="n">
        <v>24.1</v>
      </c>
      <c r="E183" s="1" t="n">
        <v>18.5</v>
      </c>
      <c r="F183" s="1" t="n">
        <v>28.7</v>
      </c>
      <c r="J183" s="1" t="n">
        <v>0.9</v>
      </c>
      <c r="L183" s="1" t="n">
        <v>4.7</v>
      </c>
      <c r="N183" s="1" t="n">
        <v>-3.8</v>
      </c>
      <c r="P183" s="6"/>
      <c r="T183" s="7" t="n">
        <v>18.7</v>
      </c>
      <c r="V183" s="1" t="n">
        <v>2047.7</v>
      </c>
    </row>
    <row r="184" s="1" customFormat="true" ht="15" hidden="false" customHeight="false" outlineLevel="0" collapsed="false">
      <c r="C184" s="8" t="n">
        <v>40358</v>
      </c>
      <c r="D184" s="1" t="n">
        <v>24.1</v>
      </c>
      <c r="E184" s="1" t="n">
        <v>19.2</v>
      </c>
      <c r="F184" s="1" t="n">
        <v>27.9</v>
      </c>
      <c r="J184" s="1" t="n">
        <v>0</v>
      </c>
      <c r="L184" s="1" t="n">
        <v>4.5</v>
      </c>
      <c r="N184" s="1" t="n">
        <v>-4.5</v>
      </c>
      <c r="P184" s="6"/>
      <c r="T184" s="7" t="n">
        <v>14.2</v>
      </c>
      <c r="V184" s="1" t="n">
        <v>1906.8</v>
      </c>
    </row>
    <row r="185" s="1" customFormat="true" ht="15" hidden="false" customHeight="false" outlineLevel="0" collapsed="false">
      <c r="C185" s="8" t="n">
        <v>40359</v>
      </c>
      <c r="D185" s="1" t="n">
        <v>24.5</v>
      </c>
      <c r="E185" s="1" t="n">
        <v>19.7</v>
      </c>
      <c r="F185" s="1" t="n">
        <v>29.9</v>
      </c>
      <c r="J185" s="1" t="n">
        <v>0</v>
      </c>
      <c r="L185" s="1" t="n">
        <v>5.8</v>
      </c>
      <c r="N185" s="1" t="n">
        <v>-5.8</v>
      </c>
      <c r="P185" s="6"/>
      <c r="T185" s="7" t="n">
        <v>8.4</v>
      </c>
      <c r="V185" s="1" t="n">
        <v>2627.7</v>
      </c>
    </row>
    <row r="186" s="1" customFormat="true" ht="15" hidden="false" customHeight="false" outlineLevel="0" collapsed="false">
      <c r="C186" s="8" t="n">
        <v>40360</v>
      </c>
      <c r="D186" s="1" t="n">
        <v>27</v>
      </c>
      <c r="E186" s="1" t="n">
        <v>20</v>
      </c>
      <c r="F186" s="1" t="n">
        <v>33.8</v>
      </c>
      <c r="J186" s="1" t="n">
        <v>0</v>
      </c>
      <c r="L186" s="1" t="n">
        <v>7.4</v>
      </c>
      <c r="N186" s="1" t="n">
        <v>-7.4</v>
      </c>
      <c r="P186" s="6"/>
      <c r="T186" s="7" t="n">
        <v>0.999999999999998</v>
      </c>
      <c r="V186" s="1" t="n">
        <v>3152.3</v>
      </c>
    </row>
    <row r="187" s="1" customFormat="true" ht="15" hidden="false" customHeight="false" outlineLevel="0" collapsed="false">
      <c r="C187" s="8" t="n">
        <v>40361</v>
      </c>
      <c r="D187" s="1" t="n">
        <v>26</v>
      </c>
      <c r="E187" s="1" t="n">
        <v>21.2</v>
      </c>
      <c r="F187" s="1" t="n">
        <v>32.2</v>
      </c>
      <c r="J187" s="1" t="n">
        <v>0</v>
      </c>
      <c r="L187" s="1" t="n">
        <v>6.3</v>
      </c>
      <c r="N187" s="1" t="n">
        <v>-6.3</v>
      </c>
      <c r="P187" s="6"/>
      <c r="T187" s="7" t="n">
        <v>0</v>
      </c>
      <c r="V187" s="1" t="n">
        <v>2271.7</v>
      </c>
    </row>
    <row r="188" s="1" customFormat="true" ht="15" hidden="false" customHeight="false" outlineLevel="0" collapsed="false">
      <c r="C188" s="8" t="n">
        <v>40362</v>
      </c>
      <c r="D188" s="1" t="n">
        <v>23</v>
      </c>
      <c r="E188" s="1" t="n">
        <v>20.4</v>
      </c>
      <c r="F188" s="1" t="n">
        <v>25.5</v>
      </c>
      <c r="J188" s="1" t="n">
        <v>0</v>
      </c>
      <c r="L188" s="1" t="n">
        <v>2.5</v>
      </c>
      <c r="N188" s="1" t="n">
        <v>-2.5</v>
      </c>
      <c r="P188" s="6"/>
      <c r="T188" s="7" t="n">
        <v>0</v>
      </c>
      <c r="V188" s="1" t="n">
        <v>908.2</v>
      </c>
    </row>
    <row r="189" s="1" customFormat="true" ht="15" hidden="false" customHeight="false" outlineLevel="0" collapsed="false">
      <c r="C189" s="8" t="n">
        <v>40363</v>
      </c>
      <c r="D189" s="1" t="n">
        <v>24.3</v>
      </c>
      <c r="E189" s="1" t="n">
        <v>21.3</v>
      </c>
      <c r="F189" s="1" t="n">
        <v>28.2</v>
      </c>
      <c r="J189" s="1" t="n">
        <v>0</v>
      </c>
      <c r="L189" s="1" t="n">
        <v>4.6</v>
      </c>
      <c r="N189" s="1" t="n">
        <v>-4.6</v>
      </c>
      <c r="P189" s="6"/>
      <c r="T189" s="7" t="n">
        <v>0</v>
      </c>
      <c r="V189" s="1" t="n">
        <v>1760.5</v>
      </c>
    </row>
    <row r="190" s="1" customFormat="true" ht="15" hidden="false" customHeight="false" outlineLevel="0" collapsed="false">
      <c r="C190" s="8" t="n">
        <v>40364</v>
      </c>
      <c r="D190" s="1" t="n">
        <v>23.2</v>
      </c>
      <c r="E190" s="1" t="n">
        <v>18.9</v>
      </c>
      <c r="F190" s="1" t="n">
        <v>27</v>
      </c>
      <c r="J190" s="1" t="n">
        <v>0</v>
      </c>
      <c r="L190" s="1" t="n">
        <v>5.3</v>
      </c>
      <c r="N190" s="1" t="n">
        <v>-5.3</v>
      </c>
      <c r="P190" s="6"/>
      <c r="T190" s="7" t="n">
        <v>0</v>
      </c>
      <c r="V190" s="1" t="n">
        <v>1890.1</v>
      </c>
    </row>
    <row r="191" s="1" customFormat="true" ht="15" hidden="false" customHeight="false" outlineLevel="0" collapsed="false">
      <c r="C191" s="8" t="n">
        <v>40365</v>
      </c>
      <c r="D191" s="1" t="n">
        <v>22.9</v>
      </c>
      <c r="E191" s="1" t="n">
        <v>18.7</v>
      </c>
      <c r="F191" s="1" t="n">
        <v>27.4</v>
      </c>
      <c r="J191" s="1" t="n">
        <v>0</v>
      </c>
      <c r="L191" s="1" t="n">
        <v>6</v>
      </c>
      <c r="N191" s="1" t="n">
        <v>-6</v>
      </c>
      <c r="P191" s="6"/>
      <c r="T191" s="7" t="n">
        <v>0</v>
      </c>
      <c r="V191" s="1" t="n">
        <v>2356.4</v>
      </c>
    </row>
    <row r="192" s="1" customFormat="true" ht="15" hidden="false" customHeight="false" outlineLevel="0" collapsed="false">
      <c r="C192" s="8" t="n">
        <v>40366</v>
      </c>
      <c r="D192" s="1" t="n">
        <v>24</v>
      </c>
      <c r="E192" s="1" t="n">
        <v>17.6</v>
      </c>
      <c r="F192" s="1" t="n">
        <v>30.9</v>
      </c>
      <c r="J192" s="1" t="n">
        <v>0</v>
      </c>
      <c r="L192" s="1" t="n">
        <v>7.2</v>
      </c>
      <c r="N192" s="1" t="n">
        <v>-7.2</v>
      </c>
      <c r="P192" s="6"/>
      <c r="T192" s="7" t="n">
        <v>0</v>
      </c>
      <c r="V192" s="1" t="n">
        <v>3197.7</v>
      </c>
    </row>
    <row r="193" s="1" customFormat="true" ht="15" hidden="false" customHeight="false" outlineLevel="0" collapsed="false">
      <c r="C193" s="8" t="n">
        <v>40367</v>
      </c>
      <c r="D193" s="1" t="n">
        <v>27</v>
      </c>
      <c r="E193" s="1" t="n">
        <v>18.1</v>
      </c>
      <c r="F193" s="1" t="n">
        <v>36.2</v>
      </c>
      <c r="J193" s="1" t="n">
        <v>0</v>
      </c>
      <c r="L193" s="1" t="n">
        <v>8</v>
      </c>
      <c r="N193" s="1" t="n">
        <v>-8</v>
      </c>
      <c r="P193" s="6"/>
      <c r="T193" s="7" t="n">
        <v>0</v>
      </c>
      <c r="V193" s="1" t="n">
        <v>2648.2</v>
      </c>
    </row>
    <row r="194" s="1" customFormat="true" ht="15" hidden="false" customHeight="false" outlineLevel="0" collapsed="false">
      <c r="C194" s="8" t="n">
        <v>40368</v>
      </c>
      <c r="D194" s="1" t="n">
        <v>23.7</v>
      </c>
      <c r="E194" s="1" t="n">
        <v>22.6</v>
      </c>
      <c r="F194" s="1" t="n">
        <v>26.3</v>
      </c>
      <c r="J194" s="1" t="n">
        <v>5.9</v>
      </c>
      <c r="L194" s="1" t="n">
        <v>2.6</v>
      </c>
      <c r="N194" s="1" t="n">
        <v>3.3</v>
      </c>
      <c r="P194" s="6"/>
      <c r="T194" s="7" t="n">
        <v>3.3</v>
      </c>
      <c r="V194" s="1" t="n">
        <v>670.5</v>
      </c>
    </row>
    <row r="195" s="1" customFormat="true" ht="15" hidden="false" customHeight="false" outlineLevel="0" collapsed="false">
      <c r="C195" s="8" t="n">
        <v>40369</v>
      </c>
      <c r="D195" s="1" t="n">
        <v>24.4</v>
      </c>
      <c r="E195" s="1" t="n">
        <v>18.1</v>
      </c>
      <c r="F195" s="1" t="n">
        <v>30.4</v>
      </c>
      <c r="J195" s="1" t="n">
        <v>0</v>
      </c>
      <c r="L195" s="1" t="n">
        <v>5.7</v>
      </c>
      <c r="N195" s="1" t="n">
        <v>-5.7</v>
      </c>
      <c r="P195" s="6"/>
      <c r="T195" s="7" t="n">
        <v>0</v>
      </c>
      <c r="V195" s="1" t="n">
        <v>2437.3</v>
      </c>
    </row>
    <row r="196" s="1" customFormat="true" ht="15" hidden="false" customHeight="false" outlineLevel="0" collapsed="false">
      <c r="C196" s="8" t="n">
        <v>40370</v>
      </c>
      <c r="D196" s="1" t="n">
        <v>26.8</v>
      </c>
      <c r="E196" s="1" t="n">
        <v>20.7</v>
      </c>
      <c r="F196" s="1" t="n">
        <v>32.4</v>
      </c>
      <c r="J196" s="1" t="n">
        <v>0</v>
      </c>
      <c r="L196" s="1" t="n">
        <v>6.5</v>
      </c>
      <c r="N196" s="1" t="n">
        <v>-6.5</v>
      </c>
      <c r="P196" s="6"/>
      <c r="T196" s="7" t="n">
        <v>0</v>
      </c>
      <c r="V196" s="1" t="n">
        <v>2866.4</v>
      </c>
    </row>
    <row r="197" s="1" customFormat="true" ht="15" hidden="false" customHeight="false" outlineLevel="0" collapsed="false">
      <c r="C197" s="8" t="n">
        <v>40371</v>
      </c>
      <c r="D197" s="1" t="n">
        <v>24.8</v>
      </c>
      <c r="E197" s="1" t="n">
        <v>20.5</v>
      </c>
      <c r="F197" s="1" t="n">
        <v>28</v>
      </c>
      <c r="J197" s="1" t="n">
        <v>0</v>
      </c>
      <c r="L197" s="1" t="n">
        <v>3.4</v>
      </c>
      <c r="N197" s="1" t="n">
        <v>-3.4</v>
      </c>
      <c r="P197" s="6"/>
      <c r="T197" s="7" t="n">
        <v>0</v>
      </c>
      <c r="V197" s="1" t="n">
        <v>1314.8</v>
      </c>
    </row>
    <row r="198" s="1" customFormat="true" ht="15" hidden="false" customHeight="false" outlineLevel="0" collapsed="false">
      <c r="C198" s="8" t="n">
        <v>40372</v>
      </c>
      <c r="D198" s="1" t="n">
        <v>25.8</v>
      </c>
      <c r="E198" s="1" t="n">
        <v>20.1</v>
      </c>
      <c r="F198" s="1" t="n">
        <v>31.2</v>
      </c>
      <c r="J198" s="1" t="n">
        <v>0</v>
      </c>
      <c r="L198" s="1" t="n">
        <v>4.5</v>
      </c>
      <c r="N198" s="1" t="n">
        <v>-4.5</v>
      </c>
      <c r="P198" s="6"/>
      <c r="T198" s="7" t="n">
        <v>0</v>
      </c>
      <c r="V198" s="1" t="n">
        <v>1715.7</v>
      </c>
    </row>
    <row r="199" s="1" customFormat="true" ht="15" hidden="false" customHeight="false" outlineLevel="0" collapsed="false">
      <c r="C199" s="8" t="n">
        <v>40373</v>
      </c>
      <c r="D199" s="1" t="n">
        <v>23.7</v>
      </c>
      <c r="E199" s="1" t="n">
        <v>22.2</v>
      </c>
      <c r="F199" s="1" t="n">
        <v>28.8</v>
      </c>
      <c r="J199" s="1" t="n">
        <v>0</v>
      </c>
      <c r="L199" s="1" t="n">
        <v>4.8</v>
      </c>
      <c r="N199" s="1" t="n">
        <v>-4.8</v>
      </c>
      <c r="P199" s="6"/>
      <c r="T199" s="7" t="n">
        <v>0</v>
      </c>
      <c r="V199" s="1" t="n">
        <v>1660</v>
      </c>
    </row>
    <row r="200" s="1" customFormat="true" ht="15" hidden="false" customHeight="false" outlineLevel="0" collapsed="false">
      <c r="C200" s="8" t="n">
        <v>40374</v>
      </c>
      <c r="D200" s="1" t="n">
        <v>22.9</v>
      </c>
      <c r="E200" s="1" t="n">
        <v>18.6</v>
      </c>
      <c r="F200" s="1" t="n">
        <v>28</v>
      </c>
      <c r="J200" s="1" t="n">
        <v>0</v>
      </c>
      <c r="L200" s="1" t="n">
        <v>5.2</v>
      </c>
      <c r="N200" s="1" t="n">
        <v>-5.2</v>
      </c>
      <c r="P200" s="6"/>
      <c r="T200" s="7" t="n">
        <v>0</v>
      </c>
      <c r="V200" s="1" t="n">
        <v>2290.1</v>
      </c>
    </row>
    <row r="201" s="1" customFormat="true" ht="15" hidden="false" customHeight="false" outlineLevel="0" collapsed="false">
      <c r="C201" s="8" t="n">
        <v>40375</v>
      </c>
      <c r="D201" s="1" t="n">
        <v>24.4</v>
      </c>
      <c r="E201" s="1" t="n">
        <v>17.6</v>
      </c>
      <c r="F201" s="1" t="n">
        <v>31.6</v>
      </c>
      <c r="J201" s="1" t="n">
        <v>0</v>
      </c>
      <c r="L201" s="1" t="n">
        <v>7</v>
      </c>
      <c r="N201" s="1" t="n">
        <v>-7</v>
      </c>
      <c r="P201" s="6"/>
      <c r="T201" s="7" t="n">
        <v>0</v>
      </c>
      <c r="V201" s="1" t="n">
        <v>2632.2</v>
      </c>
    </row>
    <row r="202" s="1" customFormat="true" ht="15" hidden="false" customHeight="false" outlineLevel="0" collapsed="false">
      <c r="C202" s="8" t="n">
        <v>40376</v>
      </c>
      <c r="D202" s="1" t="n">
        <v>20.8</v>
      </c>
      <c r="E202" s="1" t="n">
        <v>18.3</v>
      </c>
      <c r="F202" s="1" t="n">
        <v>22.8</v>
      </c>
      <c r="J202" s="1" t="n">
        <v>0</v>
      </c>
      <c r="L202" s="1" t="n">
        <v>4.5</v>
      </c>
      <c r="N202" s="1" t="n">
        <v>-4.5</v>
      </c>
      <c r="P202" s="6"/>
      <c r="T202" s="7" t="n">
        <v>0</v>
      </c>
      <c r="V202" s="1" t="n">
        <v>1740.2</v>
      </c>
    </row>
    <row r="203" s="1" customFormat="true" ht="15" hidden="false" customHeight="false" outlineLevel="0" collapsed="false">
      <c r="C203" s="8" t="n">
        <v>40377</v>
      </c>
      <c r="D203" s="1" t="n">
        <v>22.3</v>
      </c>
      <c r="E203" s="1" t="n">
        <v>17</v>
      </c>
      <c r="F203" s="1" t="n">
        <v>28.6</v>
      </c>
      <c r="J203" s="1" t="n">
        <v>0</v>
      </c>
      <c r="L203" s="1" t="n">
        <v>7.5</v>
      </c>
      <c r="N203" s="1" t="n">
        <v>-7.5</v>
      </c>
      <c r="P203" s="6"/>
      <c r="T203" s="7" t="n">
        <v>0</v>
      </c>
      <c r="V203" s="1" t="n">
        <v>3159.6</v>
      </c>
    </row>
    <row r="204" s="1" customFormat="true" ht="15" hidden="false" customHeight="false" outlineLevel="0" collapsed="false">
      <c r="C204" s="8" t="n">
        <v>40378</v>
      </c>
      <c r="D204" s="1" t="n">
        <v>24.6</v>
      </c>
      <c r="E204" s="1" t="n">
        <v>16.6</v>
      </c>
      <c r="F204" s="1" t="n">
        <v>31</v>
      </c>
      <c r="J204" s="1" t="n">
        <v>0</v>
      </c>
      <c r="L204" s="1" t="n">
        <v>7.5</v>
      </c>
      <c r="N204" s="1" t="n">
        <v>-7.5</v>
      </c>
      <c r="P204" s="6"/>
      <c r="T204" s="7" t="n">
        <v>0</v>
      </c>
      <c r="V204" s="1" t="n">
        <v>2957.9</v>
      </c>
    </row>
    <row r="205" s="1" customFormat="true" ht="15" hidden="false" customHeight="false" outlineLevel="0" collapsed="false">
      <c r="C205" s="8" t="n">
        <v>40379</v>
      </c>
      <c r="D205" s="1" t="n">
        <v>25.4</v>
      </c>
      <c r="E205" s="1" t="n">
        <v>18.6</v>
      </c>
      <c r="F205" s="1" t="n">
        <v>31.3</v>
      </c>
      <c r="J205" s="1" t="n">
        <v>4.5</v>
      </c>
      <c r="L205" s="1" t="n">
        <v>6.3</v>
      </c>
      <c r="N205" s="1" t="n">
        <v>-1.8</v>
      </c>
      <c r="P205" s="6"/>
      <c r="T205" s="7" t="n">
        <v>0</v>
      </c>
      <c r="V205" s="1" t="n">
        <v>2496.3</v>
      </c>
    </row>
    <row r="206" s="1" customFormat="true" ht="15" hidden="false" customHeight="false" outlineLevel="0" collapsed="false">
      <c r="C206" s="8" t="n">
        <v>40380</v>
      </c>
      <c r="D206" s="1" t="n">
        <v>20.6</v>
      </c>
      <c r="E206" s="1" t="n">
        <v>18.4</v>
      </c>
      <c r="F206" s="1" t="n">
        <v>22.6</v>
      </c>
      <c r="J206" s="1" t="n">
        <v>14.6</v>
      </c>
      <c r="L206" s="1" t="n">
        <v>2</v>
      </c>
      <c r="N206" s="1" t="n">
        <v>12.6</v>
      </c>
      <c r="P206" s="6"/>
      <c r="T206" s="7" t="n">
        <v>12.6</v>
      </c>
      <c r="V206" s="1" t="n">
        <v>621.2</v>
      </c>
    </row>
    <row r="207" s="1" customFormat="true" ht="15" hidden="false" customHeight="false" outlineLevel="0" collapsed="false">
      <c r="C207" s="8" t="n">
        <v>40381</v>
      </c>
      <c r="D207" s="1" t="n">
        <v>18</v>
      </c>
      <c r="E207" s="1" t="n">
        <v>15.1</v>
      </c>
      <c r="F207" s="1" t="n">
        <v>20.3</v>
      </c>
      <c r="J207" s="1" t="n">
        <v>7.8</v>
      </c>
      <c r="L207" s="1" t="n">
        <v>1.3</v>
      </c>
      <c r="N207" s="1" t="n">
        <v>6.5</v>
      </c>
      <c r="P207" s="6"/>
      <c r="T207" s="7" t="n">
        <v>19.1</v>
      </c>
      <c r="V207" s="1" t="n">
        <v>493.4</v>
      </c>
    </row>
    <row r="208" s="1" customFormat="true" ht="15" hidden="false" customHeight="false" outlineLevel="0" collapsed="false">
      <c r="C208" s="8" t="n">
        <v>40382</v>
      </c>
      <c r="D208" s="1" t="n">
        <v>19.7</v>
      </c>
      <c r="E208" s="1" t="n">
        <v>16.9</v>
      </c>
      <c r="F208" s="1" t="n">
        <v>23.5</v>
      </c>
      <c r="J208" s="1" t="n">
        <v>0</v>
      </c>
      <c r="L208" s="1" t="n">
        <v>4.9</v>
      </c>
      <c r="N208" s="1" t="n">
        <v>-4.9</v>
      </c>
      <c r="P208" s="6"/>
      <c r="T208" s="7" t="n">
        <v>14.2</v>
      </c>
      <c r="V208" s="1" t="n">
        <v>2053.2</v>
      </c>
    </row>
    <row r="209" s="1" customFormat="true" ht="15" hidden="false" customHeight="false" outlineLevel="0" collapsed="false">
      <c r="C209" s="8" t="n">
        <v>40383</v>
      </c>
      <c r="D209" s="1" t="n">
        <v>19.9</v>
      </c>
      <c r="E209" s="1" t="n">
        <v>15.7</v>
      </c>
      <c r="F209" s="1" t="n">
        <v>23.8</v>
      </c>
      <c r="J209" s="1" t="n">
        <v>0</v>
      </c>
      <c r="L209" s="1" t="n">
        <v>4.3</v>
      </c>
      <c r="N209" s="1" t="n">
        <v>-4.3</v>
      </c>
      <c r="P209" s="6"/>
      <c r="T209" s="7" t="n">
        <v>9.9</v>
      </c>
      <c r="V209" s="1" t="n">
        <v>2024</v>
      </c>
    </row>
    <row r="210" s="1" customFormat="true" ht="15" hidden="false" customHeight="false" outlineLevel="0" collapsed="false">
      <c r="C210" s="8" t="n">
        <v>40384</v>
      </c>
      <c r="D210" s="1" t="n">
        <v>20.1</v>
      </c>
      <c r="E210" s="1" t="n">
        <v>16.3</v>
      </c>
      <c r="F210" s="1" t="n">
        <v>25</v>
      </c>
      <c r="J210" s="1" t="n">
        <v>1.7</v>
      </c>
      <c r="L210" s="1" t="n">
        <v>4.6</v>
      </c>
      <c r="N210" s="1" t="n">
        <v>-2.9</v>
      </c>
      <c r="P210" s="6"/>
      <c r="T210" s="7" t="n">
        <v>7</v>
      </c>
      <c r="V210" s="1" t="n">
        <v>1738.4</v>
      </c>
    </row>
    <row r="211" s="1" customFormat="true" ht="15" hidden="false" customHeight="false" outlineLevel="0" collapsed="false">
      <c r="C211" s="8" t="n">
        <v>40385</v>
      </c>
      <c r="D211" s="1" t="n">
        <v>21.2</v>
      </c>
      <c r="E211" s="1" t="n">
        <v>17.8</v>
      </c>
      <c r="F211" s="1" t="n">
        <v>25</v>
      </c>
      <c r="J211" s="1" t="n">
        <v>0</v>
      </c>
      <c r="L211" s="1" t="n">
        <v>4.5</v>
      </c>
      <c r="N211" s="1" t="n">
        <v>-4.5</v>
      </c>
      <c r="P211" s="6"/>
      <c r="T211" s="7" t="n">
        <v>2.5</v>
      </c>
      <c r="V211" s="1" t="n">
        <v>1993.8</v>
      </c>
    </row>
    <row r="212" s="1" customFormat="true" ht="15" hidden="false" customHeight="false" outlineLevel="0" collapsed="false">
      <c r="C212" s="8" t="n">
        <v>40386</v>
      </c>
      <c r="D212" s="1" t="n">
        <v>23</v>
      </c>
      <c r="E212" s="1" t="n">
        <v>17.5</v>
      </c>
      <c r="F212" s="1" t="n">
        <v>28.1</v>
      </c>
      <c r="J212" s="1" t="n">
        <v>0</v>
      </c>
      <c r="L212" s="1" t="n">
        <v>5.2</v>
      </c>
      <c r="N212" s="1" t="n">
        <v>-5.2</v>
      </c>
      <c r="P212" s="6"/>
      <c r="T212" s="7" t="n">
        <v>0</v>
      </c>
      <c r="V212" s="1" t="n">
        <v>2329.3</v>
      </c>
    </row>
    <row r="213" s="1" customFormat="true" ht="15" hidden="false" customHeight="false" outlineLevel="0" collapsed="false">
      <c r="C213" s="8" t="n">
        <v>40387</v>
      </c>
      <c r="D213" s="1" t="n">
        <v>24.6</v>
      </c>
      <c r="E213" s="1" t="n">
        <v>18.1</v>
      </c>
      <c r="F213" s="1" t="n">
        <v>30.1</v>
      </c>
      <c r="J213" s="1" t="n">
        <v>0</v>
      </c>
      <c r="L213" s="1" t="n">
        <v>5.5</v>
      </c>
      <c r="N213" s="1" t="n">
        <v>-5.5</v>
      </c>
      <c r="P213" s="6"/>
      <c r="T213" s="7" t="n">
        <v>0</v>
      </c>
      <c r="V213" s="1" t="n">
        <v>2377.2</v>
      </c>
    </row>
    <row r="214" s="1" customFormat="true" ht="15" hidden="false" customHeight="false" outlineLevel="0" collapsed="false">
      <c r="C214" s="8" t="n">
        <v>40388</v>
      </c>
      <c r="D214" s="1" t="n">
        <v>22</v>
      </c>
      <c r="E214" s="1" t="n">
        <v>18.7</v>
      </c>
      <c r="F214" s="1" t="n">
        <v>26.6</v>
      </c>
      <c r="J214" s="1" t="n">
        <v>0</v>
      </c>
      <c r="L214" s="1" t="n">
        <v>5.2</v>
      </c>
      <c r="N214" s="1" t="n">
        <v>-5.2</v>
      </c>
      <c r="P214" s="6"/>
      <c r="T214" s="7" t="n">
        <v>0</v>
      </c>
      <c r="V214" s="1" t="n">
        <v>1802.7</v>
      </c>
    </row>
    <row r="215" s="1" customFormat="true" ht="15" hidden="false" customHeight="false" outlineLevel="0" collapsed="false">
      <c r="C215" s="8" t="n">
        <v>40389</v>
      </c>
      <c r="D215" s="1" t="n">
        <v>21.3</v>
      </c>
      <c r="E215" s="1" t="n">
        <v>16.2</v>
      </c>
      <c r="F215" s="1" t="n">
        <v>26.3</v>
      </c>
      <c r="J215" s="1" t="n">
        <v>0</v>
      </c>
      <c r="L215" s="1" t="n">
        <v>5.6</v>
      </c>
      <c r="N215" s="1" t="n">
        <v>-5.6</v>
      </c>
      <c r="P215" s="6"/>
      <c r="T215" s="7" t="n">
        <v>0</v>
      </c>
      <c r="V215" s="1" t="n">
        <v>2561.9</v>
      </c>
    </row>
    <row r="216" s="1" customFormat="true" ht="15" hidden="false" customHeight="false" outlineLevel="0" collapsed="false">
      <c r="C216" s="8" t="n">
        <v>40390</v>
      </c>
      <c r="D216" s="1" t="n">
        <v>24.2</v>
      </c>
      <c r="E216" s="1" t="n">
        <v>16.9</v>
      </c>
      <c r="F216" s="1" t="n">
        <v>31</v>
      </c>
      <c r="J216" s="1" t="n">
        <v>0</v>
      </c>
      <c r="L216" s="1" t="n">
        <v>6.7</v>
      </c>
      <c r="N216" s="1" t="n">
        <v>-6.7</v>
      </c>
      <c r="P216" s="6"/>
      <c r="T216" s="7" t="n">
        <v>0</v>
      </c>
      <c r="V216" s="1" t="n">
        <v>2952.8</v>
      </c>
    </row>
    <row r="217" s="1" customFormat="true" ht="15" hidden="false" customHeight="false" outlineLevel="0" collapsed="false">
      <c r="C217" s="8" t="n">
        <v>40391</v>
      </c>
      <c r="D217" s="1" t="n">
        <v>20.7</v>
      </c>
      <c r="E217" s="1" t="n">
        <v>14.2</v>
      </c>
      <c r="F217" s="1" t="n">
        <v>22.8</v>
      </c>
      <c r="J217" s="1" t="n">
        <v>6.7</v>
      </c>
      <c r="L217" s="1" t="n">
        <v>2</v>
      </c>
      <c r="N217" s="1" t="n">
        <v>4.7</v>
      </c>
      <c r="O217" s="1" t="n">
        <f aca="false">N217</f>
        <v>4.7</v>
      </c>
      <c r="P217" s="6"/>
      <c r="T217" s="7" t="n">
        <v>4.7</v>
      </c>
      <c r="V217" s="1" t="n">
        <v>1121.9</v>
      </c>
    </row>
    <row r="218" s="1" customFormat="true" ht="15" hidden="false" customHeight="false" outlineLevel="0" collapsed="false">
      <c r="C218" s="8" t="n">
        <v>40392</v>
      </c>
      <c r="D218" s="1" t="n">
        <v>18.2</v>
      </c>
      <c r="E218" s="1" t="n">
        <v>16.9</v>
      </c>
      <c r="F218" s="1" t="n">
        <v>18.3</v>
      </c>
      <c r="J218" s="1" t="n">
        <v>6.9</v>
      </c>
      <c r="L218" s="1" t="n">
        <v>0.9</v>
      </c>
      <c r="N218" s="1" t="n">
        <v>6</v>
      </c>
      <c r="O218" s="1" t="n">
        <f aca="false">O217+N218</f>
        <v>10.7</v>
      </c>
      <c r="P218" s="6"/>
      <c r="T218" s="7" t="n">
        <v>10.7</v>
      </c>
      <c r="V218" s="1" t="n">
        <v>433</v>
      </c>
    </row>
    <row r="219" s="1" customFormat="true" ht="15" hidden="false" customHeight="false" outlineLevel="0" collapsed="false">
      <c r="C219" s="8" t="n">
        <v>40393</v>
      </c>
      <c r="D219" s="1" t="n">
        <v>20.4</v>
      </c>
      <c r="E219" s="1" t="n">
        <v>17</v>
      </c>
      <c r="F219" s="1" t="n">
        <v>24</v>
      </c>
      <c r="J219" s="1" t="n">
        <v>0</v>
      </c>
      <c r="L219" s="1" t="n">
        <v>4.7</v>
      </c>
      <c r="N219" s="1" t="n">
        <v>-4.7</v>
      </c>
      <c r="O219" s="1" t="n">
        <f aca="false">O218+N219</f>
        <v>6</v>
      </c>
      <c r="P219" s="6"/>
      <c r="T219" s="7" t="n">
        <v>6</v>
      </c>
      <c r="V219" s="1" t="n">
        <v>2241.7</v>
      </c>
    </row>
    <row r="220" s="1" customFormat="true" ht="15" hidden="false" customHeight="false" outlineLevel="0" collapsed="false">
      <c r="C220" s="8" t="n">
        <v>40394</v>
      </c>
      <c r="D220" s="1" t="n">
        <v>20.1</v>
      </c>
      <c r="E220" s="1" t="n">
        <v>17.1</v>
      </c>
      <c r="F220" s="1" t="n">
        <v>23.6</v>
      </c>
      <c r="J220" s="1" t="n">
        <v>1.2</v>
      </c>
      <c r="L220" s="1" t="n">
        <v>3.4</v>
      </c>
      <c r="N220" s="1" t="n">
        <v>-2.2</v>
      </c>
      <c r="O220" s="1" t="n">
        <f aca="false">O219+N220</f>
        <v>3.8</v>
      </c>
      <c r="P220" s="6"/>
      <c r="T220" s="7" t="n">
        <v>3.8</v>
      </c>
      <c r="V220" s="1" t="n">
        <v>1226.3</v>
      </c>
    </row>
    <row r="221" s="1" customFormat="true" ht="15" hidden="false" customHeight="false" outlineLevel="0" collapsed="false">
      <c r="C221" s="8" t="n">
        <v>40395</v>
      </c>
      <c r="D221" s="1" t="n">
        <v>19.9</v>
      </c>
      <c r="E221" s="1" t="n">
        <v>17.3</v>
      </c>
      <c r="F221" s="1" t="n">
        <v>22.9</v>
      </c>
      <c r="J221" s="1" t="n">
        <v>0</v>
      </c>
      <c r="L221" s="1" t="n">
        <v>4.8</v>
      </c>
      <c r="N221" s="1" t="n">
        <v>-4.8</v>
      </c>
      <c r="O221" s="1" t="n">
        <v>0</v>
      </c>
      <c r="P221" s="6"/>
      <c r="T221" s="7" t="n">
        <v>0</v>
      </c>
      <c r="V221" s="1" t="n">
        <v>1908.5</v>
      </c>
    </row>
    <row r="222" s="1" customFormat="true" ht="15" hidden="false" customHeight="false" outlineLevel="0" collapsed="false">
      <c r="C222" s="8" t="n">
        <v>40396</v>
      </c>
      <c r="D222" s="1" t="n">
        <v>19.5</v>
      </c>
      <c r="E222" s="1" t="n">
        <v>14.3</v>
      </c>
      <c r="F222" s="1" t="n">
        <v>24.4</v>
      </c>
      <c r="J222" s="1" t="n">
        <v>0</v>
      </c>
      <c r="L222" s="1" t="n">
        <v>5.5</v>
      </c>
      <c r="N222" s="1" t="n">
        <v>-5.5</v>
      </c>
      <c r="O222" s="1" t="n">
        <v>0</v>
      </c>
      <c r="P222" s="6"/>
      <c r="T222" s="7" t="n">
        <v>0</v>
      </c>
      <c r="V222" s="1" t="n">
        <v>2753.4</v>
      </c>
    </row>
    <row r="223" s="1" customFormat="true" ht="15" hidden="false" customHeight="false" outlineLevel="0" collapsed="false">
      <c r="C223" s="8" t="n">
        <v>40397</v>
      </c>
      <c r="D223" s="1" t="n">
        <v>21.9</v>
      </c>
      <c r="E223" s="1" t="n">
        <v>14.1</v>
      </c>
      <c r="F223" s="1" t="n">
        <v>28.9</v>
      </c>
      <c r="J223" s="1" t="n">
        <v>0</v>
      </c>
      <c r="L223" s="1" t="n">
        <v>6.2</v>
      </c>
      <c r="N223" s="1" t="n">
        <v>-6.2</v>
      </c>
      <c r="O223" s="1" t="n">
        <v>0</v>
      </c>
      <c r="P223" s="6"/>
      <c r="T223" s="7" t="n">
        <v>0</v>
      </c>
      <c r="V223" s="1" t="n">
        <v>2890.1</v>
      </c>
    </row>
    <row r="224" s="1" customFormat="true" ht="15" hidden="false" customHeight="false" outlineLevel="0" collapsed="false">
      <c r="C224" s="8" t="n">
        <v>40398</v>
      </c>
      <c r="D224" s="1" t="n">
        <v>22.5</v>
      </c>
      <c r="E224" s="1" t="n">
        <v>17.3</v>
      </c>
      <c r="F224" s="1" t="n">
        <v>27.7</v>
      </c>
      <c r="J224" s="1" t="n">
        <v>0</v>
      </c>
      <c r="L224" s="1" t="n">
        <v>5.7</v>
      </c>
      <c r="N224" s="1" t="n">
        <v>-5.7</v>
      </c>
      <c r="O224" s="1" t="n">
        <v>0</v>
      </c>
      <c r="P224" s="6"/>
      <c r="T224" s="7" t="n">
        <v>0</v>
      </c>
      <c r="V224" s="1" t="n">
        <v>2577.9</v>
      </c>
    </row>
    <row r="225" s="1" customFormat="true" ht="15" hidden="false" customHeight="false" outlineLevel="0" collapsed="false">
      <c r="C225" s="8" t="n">
        <v>40399</v>
      </c>
      <c r="D225" s="1" t="n">
        <v>21.7</v>
      </c>
      <c r="E225" s="1" t="n">
        <v>18.6</v>
      </c>
      <c r="F225" s="1" t="n">
        <v>26.9</v>
      </c>
      <c r="J225" s="1" t="n">
        <v>0</v>
      </c>
      <c r="L225" s="1" t="n">
        <v>3.5</v>
      </c>
      <c r="N225" s="1" t="n">
        <v>-3.5</v>
      </c>
      <c r="O225" s="1" t="n">
        <v>0</v>
      </c>
      <c r="P225" s="6"/>
      <c r="T225" s="7" t="n">
        <v>0</v>
      </c>
      <c r="V225" s="1" t="n">
        <v>1133.2</v>
      </c>
    </row>
    <row r="226" s="1" customFormat="true" ht="15" hidden="false" customHeight="false" outlineLevel="0" collapsed="false">
      <c r="C226" s="8" t="n">
        <v>40400</v>
      </c>
      <c r="D226" s="1" t="n">
        <v>22.1</v>
      </c>
      <c r="E226" s="1" t="n">
        <v>15.4</v>
      </c>
      <c r="F226" s="1" t="n">
        <v>27.6</v>
      </c>
      <c r="J226" s="1" t="n">
        <v>0</v>
      </c>
      <c r="L226" s="1" t="n">
        <v>4.5</v>
      </c>
      <c r="N226" s="1" t="n">
        <v>-4.5</v>
      </c>
      <c r="O226" s="1" t="n">
        <v>0</v>
      </c>
      <c r="P226" s="6"/>
      <c r="T226" s="7" t="n">
        <v>0</v>
      </c>
      <c r="V226" s="1" t="n">
        <v>2302.7</v>
      </c>
    </row>
    <row r="227" s="1" customFormat="true" ht="15" hidden="false" customHeight="false" outlineLevel="0" collapsed="false">
      <c r="C227" s="8" t="n">
        <v>40401</v>
      </c>
      <c r="D227" s="1" t="n">
        <v>22.2</v>
      </c>
      <c r="E227" s="1" t="n">
        <v>17</v>
      </c>
      <c r="F227" s="1" t="n">
        <v>26.2</v>
      </c>
      <c r="J227" s="1" t="n">
        <v>1.1</v>
      </c>
      <c r="L227" s="1" t="n">
        <v>3.6</v>
      </c>
      <c r="N227" s="1" t="n">
        <v>-2.5</v>
      </c>
      <c r="O227" s="1" t="n">
        <v>0</v>
      </c>
      <c r="P227" s="6"/>
      <c r="T227" s="7" t="n">
        <v>0</v>
      </c>
      <c r="V227" s="1" t="n">
        <v>1313.5</v>
      </c>
    </row>
    <row r="228" s="1" customFormat="true" ht="15" hidden="false" customHeight="false" outlineLevel="0" collapsed="false">
      <c r="C228" s="8" t="n">
        <v>40402</v>
      </c>
      <c r="D228" s="1" t="n">
        <v>21.1</v>
      </c>
      <c r="E228" s="1" t="n">
        <v>18.9</v>
      </c>
      <c r="F228" s="1" t="n">
        <v>25.1</v>
      </c>
      <c r="J228" s="1" t="n">
        <v>0.1</v>
      </c>
      <c r="L228" s="1" t="n">
        <v>4</v>
      </c>
      <c r="N228" s="1" t="n">
        <v>-3.9</v>
      </c>
      <c r="O228" s="1" t="n">
        <v>0</v>
      </c>
      <c r="P228" s="6"/>
      <c r="T228" s="7" t="n">
        <v>0</v>
      </c>
      <c r="V228" s="1" t="n">
        <v>1173.9</v>
      </c>
    </row>
    <row r="229" s="1" customFormat="true" ht="15" hidden="false" customHeight="false" outlineLevel="0" collapsed="false">
      <c r="C229" s="8" t="n">
        <v>40403</v>
      </c>
      <c r="D229" s="1" t="n">
        <v>19.4</v>
      </c>
      <c r="E229" s="1" t="n">
        <v>15.1</v>
      </c>
      <c r="F229" s="1" t="n">
        <v>22.4</v>
      </c>
      <c r="J229" s="1" t="n">
        <v>0</v>
      </c>
      <c r="L229" s="1" t="n">
        <v>4</v>
      </c>
      <c r="N229" s="1" t="n">
        <v>-4</v>
      </c>
      <c r="O229" s="1" t="n">
        <v>0</v>
      </c>
      <c r="P229" s="6"/>
      <c r="T229" s="7" t="n">
        <v>0</v>
      </c>
      <c r="V229" s="1" t="n">
        <v>1465.3</v>
      </c>
    </row>
    <row r="230" s="1" customFormat="true" ht="15" hidden="false" customHeight="false" outlineLevel="0" collapsed="false">
      <c r="C230" s="8" t="n">
        <v>40404</v>
      </c>
      <c r="D230" s="1" t="n">
        <v>19.2</v>
      </c>
      <c r="E230" s="1" t="n">
        <v>15.4</v>
      </c>
      <c r="F230" s="1" t="n">
        <v>24.1</v>
      </c>
      <c r="J230" s="1" t="n">
        <v>0</v>
      </c>
      <c r="L230" s="1" t="n">
        <v>5.2</v>
      </c>
      <c r="N230" s="1" t="n">
        <v>-5.2</v>
      </c>
      <c r="O230" s="1" t="n">
        <v>0</v>
      </c>
      <c r="P230" s="6"/>
      <c r="T230" s="7" t="n">
        <v>0</v>
      </c>
      <c r="V230" s="1" t="n">
        <v>1959.8</v>
      </c>
    </row>
    <row r="231" s="1" customFormat="true" ht="15" hidden="false" customHeight="false" outlineLevel="0" collapsed="false">
      <c r="C231" s="8" t="n">
        <v>40405</v>
      </c>
      <c r="D231" s="1" t="n">
        <v>18</v>
      </c>
      <c r="E231" s="1" t="n">
        <v>15.3</v>
      </c>
      <c r="F231" s="1" t="n">
        <v>22.6</v>
      </c>
      <c r="J231" s="1" t="n">
        <v>1.5</v>
      </c>
      <c r="L231" s="1" t="n">
        <v>4.4</v>
      </c>
      <c r="N231" s="1" t="n">
        <v>-2.9</v>
      </c>
      <c r="O231" s="1" t="n">
        <v>0</v>
      </c>
      <c r="P231" s="6"/>
      <c r="T231" s="7" t="n">
        <v>0</v>
      </c>
      <c r="V231" s="1" t="n">
        <v>2046.2</v>
      </c>
    </row>
    <row r="232" s="1" customFormat="true" ht="15" hidden="false" customHeight="false" outlineLevel="0" collapsed="false">
      <c r="C232" s="8" t="n">
        <v>40406</v>
      </c>
      <c r="D232" s="1" t="n">
        <v>18.5</v>
      </c>
      <c r="E232" s="1" t="n">
        <v>12.9</v>
      </c>
      <c r="F232" s="1" t="n">
        <v>23.9</v>
      </c>
      <c r="J232" s="1" t="n">
        <v>0</v>
      </c>
      <c r="L232" s="1" t="n">
        <v>4.6</v>
      </c>
      <c r="N232" s="1" t="n">
        <v>-4.6</v>
      </c>
      <c r="O232" s="1" t="n">
        <v>0</v>
      </c>
      <c r="P232" s="6"/>
      <c r="T232" s="7" t="n">
        <v>0</v>
      </c>
      <c r="V232" s="1" t="n">
        <v>2306.1</v>
      </c>
    </row>
    <row r="233" s="1" customFormat="true" ht="15" hidden="false" customHeight="false" outlineLevel="0" collapsed="false">
      <c r="C233" s="8" t="n">
        <v>40407</v>
      </c>
      <c r="D233" s="1" t="n">
        <v>21.1</v>
      </c>
      <c r="E233" s="1" t="n">
        <v>12.7</v>
      </c>
      <c r="F233" s="1" t="n">
        <v>28</v>
      </c>
      <c r="J233" s="1" t="n">
        <v>0</v>
      </c>
      <c r="L233" s="1" t="n">
        <v>4.8</v>
      </c>
      <c r="N233" s="1" t="n">
        <v>-4.8</v>
      </c>
      <c r="O233" s="1" t="n">
        <v>0</v>
      </c>
      <c r="P233" s="6"/>
      <c r="T233" s="7" t="n">
        <v>0</v>
      </c>
      <c r="V233" s="1" t="n">
        <v>2352.3</v>
      </c>
    </row>
    <row r="234" s="1" customFormat="true" ht="15" hidden="false" customHeight="false" outlineLevel="0" collapsed="false">
      <c r="C234" s="8" t="n">
        <v>40408</v>
      </c>
      <c r="D234" s="1" t="n">
        <v>21.1</v>
      </c>
      <c r="E234" s="1" t="n">
        <v>16.2</v>
      </c>
      <c r="F234" s="1" t="n">
        <v>27.2</v>
      </c>
      <c r="J234" s="1" t="n">
        <v>0</v>
      </c>
      <c r="L234" s="1" t="n">
        <v>4.3</v>
      </c>
      <c r="N234" s="1" t="n">
        <v>-4.3</v>
      </c>
      <c r="O234" s="1" t="n">
        <v>0</v>
      </c>
      <c r="P234" s="6"/>
      <c r="T234" s="7" t="n">
        <v>0</v>
      </c>
      <c r="V234" s="1" t="n">
        <v>1734.8</v>
      </c>
    </row>
    <row r="235" s="1" customFormat="true" ht="15" hidden="false" customHeight="false" outlineLevel="0" collapsed="false">
      <c r="C235" s="8" t="n">
        <v>40409</v>
      </c>
      <c r="D235" s="1" t="n">
        <v>22.5</v>
      </c>
      <c r="E235" s="1" t="n">
        <v>15.3</v>
      </c>
      <c r="F235" s="1" t="n">
        <v>28.3</v>
      </c>
      <c r="J235" s="1" t="n">
        <v>0</v>
      </c>
      <c r="L235" s="1" t="n">
        <v>2.8</v>
      </c>
      <c r="N235" s="1" t="n">
        <v>-2.8</v>
      </c>
      <c r="O235" s="1" t="n">
        <v>0</v>
      </c>
      <c r="P235" s="6"/>
      <c r="T235" s="7" t="n">
        <v>0</v>
      </c>
      <c r="V235" s="1" t="n">
        <v>1301.5</v>
      </c>
    </row>
    <row r="236" s="1" customFormat="true" ht="15" hidden="false" customHeight="false" outlineLevel="0" collapsed="false">
      <c r="C236" s="8" t="n">
        <v>40410</v>
      </c>
      <c r="D236" s="1" t="n">
        <v>26.2</v>
      </c>
      <c r="E236" s="1" t="n">
        <v>20</v>
      </c>
      <c r="F236" s="1" t="n">
        <v>32.3</v>
      </c>
      <c r="J236" s="1" t="n">
        <v>0</v>
      </c>
      <c r="L236" s="1" t="n">
        <v>4.5</v>
      </c>
      <c r="N236" s="1" t="n">
        <v>-4.5</v>
      </c>
      <c r="O236" s="1" t="n">
        <v>0</v>
      </c>
      <c r="P236" s="6"/>
      <c r="T236" s="7" t="n">
        <v>0</v>
      </c>
      <c r="V236" s="1" t="n">
        <v>1838</v>
      </c>
    </row>
    <row r="237" s="1" customFormat="true" ht="15" hidden="false" customHeight="false" outlineLevel="0" collapsed="false">
      <c r="C237" s="8" t="n">
        <v>40411</v>
      </c>
      <c r="D237" s="1" t="n">
        <v>27.2</v>
      </c>
      <c r="E237" s="1" t="n">
        <v>19.3</v>
      </c>
      <c r="F237" s="1" t="n">
        <v>34.8</v>
      </c>
      <c r="J237" s="1" t="n">
        <v>0</v>
      </c>
      <c r="L237" s="1" t="n">
        <v>6.5</v>
      </c>
      <c r="N237" s="1" t="n">
        <v>-6.5</v>
      </c>
      <c r="O237" s="1" t="n">
        <v>0</v>
      </c>
      <c r="P237" s="6"/>
      <c r="T237" s="7" t="n">
        <v>0</v>
      </c>
      <c r="V237" s="1" t="n">
        <v>2651.6</v>
      </c>
    </row>
    <row r="238" s="1" customFormat="true" ht="15" hidden="false" customHeight="false" outlineLevel="0" collapsed="false">
      <c r="C238" s="8" t="n">
        <v>40412</v>
      </c>
      <c r="D238" s="1" t="n">
        <v>27.1</v>
      </c>
      <c r="E238" s="1" t="n">
        <v>18.5</v>
      </c>
      <c r="F238" s="1" t="n">
        <v>34</v>
      </c>
      <c r="J238" s="1" t="n">
        <v>0</v>
      </c>
      <c r="L238" s="1" t="n">
        <v>5.3</v>
      </c>
      <c r="N238" s="1" t="n">
        <v>-5.3</v>
      </c>
      <c r="O238" s="1" t="n">
        <v>0</v>
      </c>
      <c r="P238" s="6"/>
      <c r="T238" s="7" t="n">
        <v>0</v>
      </c>
      <c r="V238" s="1" t="n">
        <v>2148.5</v>
      </c>
    </row>
    <row r="239" s="1" customFormat="true" ht="15" hidden="false" customHeight="false" outlineLevel="0" collapsed="false">
      <c r="C239" s="8" t="n">
        <v>40413</v>
      </c>
      <c r="D239" s="1" t="n">
        <v>24.1</v>
      </c>
      <c r="E239" s="1" t="n">
        <v>20.1</v>
      </c>
      <c r="F239" s="1" t="n">
        <v>28</v>
      </c>
      <c r="J239" s="1" t="n">
        <v>0</v>
      </c>
      <c r="L239" s="1" t="n">
        <v>2.7</v>
      </c>
      <c r="N239" s="1" t="n">
        <v>-2.7</v>
      </c>
      <c r="O239" s="1" t="n">
        <v>0</v>
      </c>
      <c r="P239" s="6"/>
      <c r="T239" s="7" t="n">
        <v>0</v>
      </c>
      <c r="V239" s="1" t="n">
        <v>912.7</v>
      </c>
    </row>
    <row r="240" s="1" customFormat="true" ht="15" hidden="false" customHeight="false" outlineLevel="0" collapsed="false">
      <c r="C240" s="8" t="n">
        <v>40414</v>
      </c>
      <c r="D240" s="1" t="n">
        <v>21.9</v>
      </c>
      <c r="E240" s="1" t="n">
        <v>21.7</v>
      </c>
      <c r="F240" s="1" t="n">
        <v>24.6</v>
      </c>
      <c r="J240" s="1" t="n">
        <v>0</v>
      </c>
      <c r="L240" s="1" t="n">
        <v>4.2</v>
      </c>
      <c r="N240" s="1" t="n">
        <v>-4.2</v>
      </c>
      <c r="O240" s="1" t="n">
        <v>0</v>
      </c>
      <c r="P240" s="6"/>
      <c r="T240" s="7" t="n">
        <v>0</v>
      </c>
      <c r="V240" s="1" t="n">
        <v>1579.9</v>
      </c>
    </row>
    <row r="241" s="1" customFormat="true" ht="15" hidden="false" customHeight="false" outlineLevel="0" collapsed="false">
      <c r="C241" s="8" t="n">
        <v>40415</v>
      </c>
      <c r="D241" s="1" t="n">
        <v>23.6</v>
      </c>
      <c r="E241" s="1" t="n">
        <v>14.9</v>
      </c>
      <c r="F241" s="1" t="n">
        <v>31.4</v>
      </c>
      <c r="J241" s="1" t="n">
        <v>0</v>
      </c>
      <c r="L241" s="1" t="n">
        <v>5.6</v>
      </c>
      <c r="N241" s="1" t="n">
        <v>-5.6</v>
      </c>
      <c r="O241" s="1" t="n">
        <v>0</v>
      </c>
      <c r="P241" s="6"/>
      <c r="T241" s="7" t="n">
        <v>0</v>
      </c>
      <c r="V241" s="1" t="n">
        <v>2462.4</v>
      </c>
    </row>
    <row r="242" s="1" customFormat="true" ht="15" hidden="false" customHeight="false" outlineLevel="0" collapsed="false">
      <c r="C242" s="8" t="n">
        <v>40416</v>
      </c>
      <c r="D242" s="1" t="n">
        <v>28.3</v>
      </c>
      <c r="E242" s="1" t="n">
        <v>19.1</v>
      </c>
      <c r="F242" s="1" t="n">
        <v>39.1</v>
      </c>
      <c r="J242" s="1" t="n">
        <v>0</v>
      </c>
      <c r="L242" s="1" t="n">
        <v>6.4</v>
      </c>
      <c r="N242" s="1" t="n">
        <v>-6.4</v>
      </c>
      <c r="O242" s="1" t="n">
        <v>0</v>
      </c>
      <c r="P242" s="6"/>
      <c r="T242" s="7" t="n">
        <v>0</v>
      </c>
      <c r="V242" s="1" t="n">
        <v>1982.5</v>
      </c>
    </row>
    <row r="243" s="1" customFormat="true" ht="15" hidden="false" customHeight="false" outlineLevel="0" collapsed="false">
      <c r="C243" s="8" t="n">
        <v>40417</v>
      </c>
      <c r="D243" s="1" t="n">
        <v>25</v>
      </c>
      <c r="E243" s="1" t="n">
        <v>20.9</v>
      </c>
      <c r="F243" s="1" t="n">
        <v>33.3</v>
      </c>
      <c r="J243" s="1" t="n">
        <v>0</v>
      </c>
      <c r="L243" s="1" t="n">
        <v>7.2</v>
      </c>
      <c r="N243" s="1" t="n">
        <v>-7.2</v>
      </c>
      <c r="O243" s="1" t="n">
        <v>0</v>
      </c>
      <c r="P243" s="6"/>
      <c r="T243" s="7" t="n">
        <v>0</v>
      </c>
      <c r="V243" s="1" t="n">
        <v>1505.5</v>
      </c>
    </row>
    <row r="244" s="1" customFormat="true" ht="15" hidden="false" customHeight="false" outlineLevel="0" collapsed="false">
      <c r="C244" s="8" t="n">
        <v>40418</v>
      </c>
      <c r="D244" s="1" t="n">
        <v>21.1</v>
      </c>
      <c r="E244" s="1" t="n">
        <v>18.9</v>
      </c>
      <c r="F244" s="1" t="n">
        <v>25.5</v>
      </c>
      <c r="J244" s="1" t="n">
        <v>0</v>
      </c>
      <c r="L244" s="1" t="n">
        <v>5.6</v>
      </c>
      <c r="N244" s="1" t="n">
        <v>-5.6</v>
      </c>
      <c r="O244" s="1" t="n">
        <v>0</v>
      </c>
      <c r="P244" s="6"/>
      <c r="T244" s="7" t="n">
        <v>0</v>
      </c>
      <c r="V244" s="1" t="n">
        <v>1794.8</v>
      </c>
    </row>
    <row r="245" s="1" customFormat="true" ht="15" hidden="false" customHeight="false" outlineLevel="0" collapsed="false">
      <c r="C245" s="8" t="n">
        <v>40419</v>
      </c>
      <c r="D245" s="1" t="n">
        <v>19.6</v>
      </c>
      <c r="E245" s="1" t="n">
        <v>13</v>
      </c>
      <c r="F245" s="1" t="n">
        <v>26.3</v>
      </c>
      <c r="J245" s="1" t="n">
        <v>0</v>
      </c>
      <c r="L245" s="1" t="n">
        <v>6.1</v>
      </c>
      <c r="N245" s="1" t="n">
        <v>-6.1</v>
      </c>
      <c r="O245" s="1" t="n">
        <v>0</v>
      </c>
      <c r="P245" s="6"/>
      <c r="T245" s="7" t="n">
        <v>0</v>
      </c>
      <c r="V245" s="1" t="n">
        <v>2536.8</v>
      </c>
    </row>
    <row r="246" s="1" customFormat="true" ht="15" hidden="false" customHeight="false" outlineLevel="0" collapsed="false">
      <c r="C246" s="8" t="n">
        <v>40420</v>
      </c>
      <c r="D246" s="1" t="n">
        <v>18</v>
      </c>
      <c r="E246" s="1" t="n">
        <v>13.1</v>
      </c>
      <c r="F246" s="1" t="n">
        <v>22.4</v>
      </c>
      <c r="J246" s="1" t="n">
        <v>0</v>
      </c>
      <c r="L246" s="1" t="n">
        <v>4.7</v>
      </c>
      <c r="N246" s="1" t="n">
        <v>-4.7</v>
      </c>
      <c r="O246" s="1" t="n">
        <v>0</v>
      </c>
      <c r="P246" s="6"/>
      <c r="T246" s="7" t="n">
        <v>0</v>
      </c>
      <c r="V246" s="1" t="n">
        <v>1868.3</v>
      </c>
    </row>
    <row r="247" s="1" customFormat="true" ht="15" hidden="false" customHeight="false" outlineLevel="0" collapsed="false">
      <c r="C247" s="8" t="n">
        <v>40421</v>
      </c>
      <c r="D247" s="1" t="n">
        <v>17.7</v>
      </c>
      <c r="E247" s="1" t="n">
        <v>9.1</v>
      </c>
      <c r="F247" s="1" t="n">
        <v>25.5</v>
      </c>
      <c r="J247" s="1" t="n">
        <v>0</v>
      </c>
      <c r="L247" s="1" t="n">
        <v>4.9</v>
      </c>
      <c r="N247" s="1" t="n">
        <v>-4.9</v>
      </c>
      <c r="O247" s="1" t="n">
        <v>0</v>
      </c>
      <c r="P247" s="6"/>
      <c r="T247" s="7" t="n">
        <v>0</v>
      </c>
      <c r="V247" s="1" t="n">
        <v>2414.2</v>
      </c>
    </row>
    <row r="248" s="1" customFormat="true" ht="15" hidden="false" customHeight="false" outlineLevel="0" collapsed="false">
      <c r="C248" s="8" t="n">
        <v>40422</v>
      </c>
      <c r="D248" s="1" t="n">
        <v>20.3</v>
      </c>
      <c r="E248" s="1" t="n">
        <v>13.3</v>
      </c>
      <c r="F248" s="1" t="n">
        <v>28.5</v>
      </c>
      <c r="J248" s="1" t="n">
        <v>0</v>
      </c>
      <c r="L248" s="1" t="n">
        <v>5.5</v>
      </c>
      <c r="N248" s="1" t="n">
        <v>-5.5</v>
      </c>
      <c r="O248" s="1" t="n">
        <v>0</v>
      </c>
      <c r="P248" s="6"/>
      <c r="T248" s="7" t="n">
        <v>0</v>
      </c>
      <c r="V248" s="1" t="n">
        <v>2112.5</v>
      </c>
    </row>
    <row r="249" s="1" customFormat="true" ht="15" hidden="false" customHeight="false" outlineLevel="0" collapsed="false">
      <c r="C249" s="8" t="n">
        <v>40423</v>
      </c>
      <c r="D249" s="1" t="n">
        <v>21.3</v>
      </c>
      <c r="E249" s="1" t="n">
        <v>15.6</v>
      </c>
      <c r="F249" s="1" t="n">
        <v>27.6</v>
      </c>
      <c r="J249" s="1" t="n">
        <v>0</v>
      </c>
      <c r="L249" s="1" t="n">
        <v>3.5</v>
      </c>
      <c r="N249" s="1" t="n">
        <v>-3.5</v>
      </c>
      <c r="O249" s="1" t="n">
        <v>0</v>
      </c>
      <c r="P249" s="6"/>
      <c r="T249" s="7" t="n">
        <v>0</v>
      </c>
      <c r="V249" s="1" t="n">
        <v>1550.7</v>
      </c>
    </row>
    <row r="250" s="1" customFormat="true" ht="15" hidden="false" customHeight="false" outlineLevel="0" collapsed="false">
      <c r="C250" s="8" t="n">
        <v>40424</v>
      </c>
      <c r="D250" s="1" t="n">
        <v>22.3</v>
      </c>
      <c r="E250" s="1" t="n">
        <v>15.8</v>
      </c>
      <c r="F250" s="1" t="n">
        <v>27.6</v>
      </c>
      <c r="J250" s="1" t="n">
        <v>0</v>
      </c>
      <c r="L250" s="1" t="n">
        <v>5.1</v>
      </c>
      <c r="N250" s="1" t="n">
        <v>-5.1</v>
      </c>
      <c r="O250" s="1" t="n">
        <v>0</v>
      </c>
      <c r="P250" s="6"/>
      <c r="T250" s="7" t="n">
        <v>0</v>
      </c>
      <c r="V250" s="1" t="n">
        <v>2312.6</v>
      </c>
    </row>
    <row r="251" s="1" customFormat="true" ht="15" hidden="false" customHeight="false" outlineLevel="0" collapsed="false">
      <c r="C251" s="8" t="n">
        <v>40425</v>
      </c>
      <c r="D251" s="1" t="n">
        <v>20.7</v>
      </c>
      <c r="E251" s="1" t="n">
        <v>14.6</v>
      </c>
      <c r="F251" s="1" t="n">
        <v>28.3</v>
      </c>
      <c r="J251" s="1" t="n">
        <v>0</v>
      </c>
      <c r="L251" s="1" t="n">
        <v>3.5</v>
      </c>
      <c r="N251" s="1" t="n">
        <v>-3.5</v>
      </c>
      <c r="O251" s="1" t="n">
        <v>0</v>
      </c>
      <c r="P251" s="6"/>
      <c r="T251" s="7" t="n">
        <v>0</v>
      </c>
      <c r="V251" s="1" t="n">
        <v>1697.5</v>
      </c>
    </row>
    <row r="252" s="1" customFormat="true" ht="15" hidden="false" customHeight="false" outlineLevel="0" collapsed="false">
      <c r="C252" s="8" t="n">
        <v>40426</v>
      </c>
      <c r="D252" s="1" t="n">
        <v>22.5</v>
      </c>
      <c r="E252" s="1" t="n">
        <v>11.5</v>
      </c>
      <c r="F252" s="1" t="n">
        <v>30.9</v>
      </c>
      <c r="J252" s="1" t="n">
        <v>0</v>
      </c>
      <c r="L252" s="1" t="n">
        <v>5.4</v>
      </c>
      <c r="N252" s="1" t="n">
        <v>-5.4</v>
      </c>
      <c r="O252" s="1" t="n">
        <v>0</v>
      </c>
      <c r="P252" s="6"/>
      <c r="T252" s="7" t="n">
        <v>0</v>
      </c>
      <c r="V252" s="1" t="n">
        <v>2262.8</v>
      </c>
    </row>
    <row r="253" s="1" customFormat="true" ht="15" hidden="false" customHeight="false" outlineLevel="0" collapsed="false">
      <c r="C253" s="8" t="n">
        <v>40427</v>
      </c>
      <c r="D253" s="1" t="n">
        <v>21.3</v>
      </c>
      <c r="E253" s="1" t="n">
        <v>16.3</v>
      </c>
      <c r="F253" s="1" t="n">
        <v>26.8</v>
      </c>
      <c r="J253" s="1" t="n">
        <v>6.5</v>
      </c>
      <c r="L253" s="1" t="n">
        <v>2.3</v>
      </c>
      <c r="N253" s="1" t="n">
        <v>4.2</v>
      </c>
      <c r="O253" s="1" t="n">
        <f aca="false">O252+N253</f>
        <v>4.2</v>
      </c>
      <c r="P253" s="6"/>
      <c r="T253" s="7" t="n">
        <v>4.2</v>
      </c>
      <c r="V253" s="1" t="n">
        <v>849.5</v>
      </c>
    </row>
    <row r="254" s="1" customFormat="true" ht="15" hidden="false" customHeight="false" outlineLevel="0" collapsed="false">
      <c r="C254" s="8" t="n">
        <v>40428</v>
      </c>
      <c r="D254" s="1" t="n">
        <v>19.9</v>
      </c>
      <c r="E254" s="1" t="n">
        <v>17.2</v>
      </c>
      <c r="F254" s="1" t="n">
        <v>22.4</v>
      </c>
      <c r="J254" s="1" t="n">
        <v>3.9</v>
      </c>
      <c r="L254" s="1" t="n">
        <v>2</v>
      </c>
      <c r="N254" s="1" t="n">
        <v>1.9</v>
      </c>
      <c r="O254" s="1" t="n">
        <f aca="false">O253+N254</f>
        <v>6.1</v>
      </c>
      <c r="P254" s="6"/>
      <c r="T254" s="7" t="n">
        <v>6.1</v>
      </c>
      <c r="V254" s="1" t="n">
        <v>696.6</v>
      </c>
    </row>
    <row r="255" s="1" customFormat="true" ht="15" hidden="false" customHeight="false" outlineLevel="0" collapsed="false">
      <c r="A255" s="13" t="s">
        <v>28</v>
      </c>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1" customFormat="true" ht="15" hidden="false" customHeight="false" outlineLevel="0" collapsed="false">
      <c r="A256" s="14" t="s">
        <v>29</v>
      </c>
      <c r="B256" s="2"/>
      <c r="C256" s="8" t="n">
        <v>40429</v>
      </c>
      <c r="D256" s="1" t="n">
        <v>18.2</v>
      </c>
      <c r="E256" s="1" t="n">
        <v>14.7</v>
      </c>
      <c r="F256" s="1" t="n">
        <v>23.3</v>
      </c>
      <c r="G256" s="1" t="n">
        <f aca="false">D256</f>
        <v>18.2</v>
      </c>
      <c r="I256" s="15" t="s">
        <v>30</v>
      </c>
      <c r="J256" s="1" t="n">
        <v>1.6</v>
      </c>
      <c r="K256" s="1" t="n">
        <f aca="false">J256</f>
        <v>1.6</v>
      </c>
      <c r="L256" s="1" t="n">
        <v>4.3</v>
      </c>
      <c r="M256" s="1" t="n">
        <f aca="false">L256</f>
        <v>4.3</v>
      </c>
      <c r="N256" s="1" t="n">
        <v>-2.7</v>
      </c>
      <c r="O256" s="1" t="n">
        <f aca="false">O254+N256</f>
        <v>3.4</v>
      </c>
      <c r="P256" s="6" t="n">
        <v>1</v>
      </c>
      <c r="Q256" s="1" t="n">
        <v>0.35</v>
      </c>
      <c r="R256" s="16" t="n">
        <f aca="false">Q256*L256</f>
        <v>1.505</v>
      </c>
      <c r="S256" s="16" t="n">
        <f aca="false">J256-R256</f>
        <v>0.0950000000000002</v>
      </c>
      <c r="T256" s="17" t="n">
        <f aca="false">T254+S256</f>
        <v>6.195</v>
      </c>
      <c r="U256" s="15" t="s">
        <v>31</v>
      </c>
      <c r="V256" s="1" t="n">
        <v>1662.7</v>
      </c>
      <c r="X256" s="1" t="n">
        <f aca="false">V256</f>
        <v>1662.7</v>
      </c>
      <c r="Z256" s="15" t="s">
        <v>32</v>
      </c>
      <c r="AA256" s="1" t="n">
        <v>12.9280310846554</v>
      </c>
    </row>
    <row r="257" s="1" customFormat="true" ht="15" hidden="false" customHeight="false" outlineLevel="0" collapsed="false">
      <c r="A257" s="14"/>
      <c r="B257" s="2"/>
      <c r="C257" s="8" t="n">
        <v>40430</v>
      </c>
      <c r="D257" s="1" t="n">
        <v>18.4</v>
      </c>
      <c r="E257" s="1" t="n">
        <v>15</v>
      </c>
      <c r="F257" s="1" t="n">
        <v>21.1</v>
      </c>
      <c r="G257" s="1" t="n">
        <f aca="false">G256+D257</f>
        <v>36.6</v>
      </c>
      <c r="I257" s="1" t="n">
        <f aca="false">MIN(E256:E332)</f>
        <v>0</v>
      </c>
      <c r="J257" s="1" t="n">
        <v>0.1</v>
      </c>
      <c r="K257" s="1" t="n">
        <f aca="false">K256+J257</f>
        <v>1.7</v>
      </c>
      <c r="L257" s="1" t="n">
        <v>3.2</v>
      </c>
      <c r="M257" s="1" t="n">
        <f aca="false">M256+L257</f>
        <v>7.5</v>
      </c>
      <c r="N257" s="1" t="n">
        <v>-3.1</v>
      </c>
      <c r="O257" s="1" t="n">
        <f aca="false">O256+N257</f>
        <v>0.3</v>
      </c>
      <c r="P257" s="6" t="n">
        <v>2</v>
      </c>
      <c r="Q257" s="1" t="n">
        <v>0.35</v>
      </c>
      <c r="R257" s="16" t="n">
        <f aca="false">Q257*L257</f>
        <v>1.12</v>
      </c>
      <c r="S257" s="16" t="n">
        <f aca="false">J257-R257</f>
        <v>-1.02</v>
      </c>
      <c r="T257" s="17" t="n">
        <f aca="false">T256+S257</f>
        <v>5.175</v>
      </c>
      <c r="U257" s="1" t="n">
        <v>53</v>
      </c>
      <c r="V257" s="1" t="n">
        <v>1503.9</v>
      </c>
      <c r="X257" s="1" t="n">
        <f aca="false">X256+V257</f>
        <v>3166.6</v>
      </c>
      <c r="Z257" s="1" t="n">
        <v>72079.8</v>
      </c>
      <c r="AA257" s="1" t="n">
        <v>12.8790942490585</v>
      </c>
    </row>
    <row r="258" s="1" customFormat="true" ht="15" hidden="false" customHeight="false" outlineLevel="0" collapsed="false">
      <c r="A258" s="14"/>
      <c r="B258" s="2"/>
      <c r="C258" s="8" t="n">
        <v>40431</v>
      </c>
      <c r="D258" s="1" t="n">
        <v>18.9</v>
      </c>
      <c r="E258" s="1" t="n">
        <v>15</v>
      </c>
      <c r="F258" s="1" t="n">
        <v>23.6</v>
      </c>
      <c r="G258" s="1" t="n">
        <f aca="false">G257+D258</f>
        <v>55.5</v>
      </c>
      <c r="I258" s="15" t="s">
        <v>33</v>
      </c>
      <c r="J258" s="1" t="n">
        <v>0</v>
      </c>
      <c r="K258" s="1" t="n">
        <f aca="false">K257+J258</f>
        <v>1.7</v>
      </c>
      <c r="L258" s="1" t="n">
        <v>3.7</v>
      </c>
      <c r="M258" s="1" t="n">
        <f aca="false">M257+L258</f>
        <v>11.2</v>
      </c>
      <c r="N258" s="1" t="n">
        <v>-3.7</v>
      </c>
      <c r="O258" s="1" t="n">
        <v>0</v>
      </c>
      <c r="P258" s="6" t="n">
        <v>3</v>
      </c>
      <c r="Q258" s="1" t="n">
        <v>0.35</v>
      </c>
      <c r="R258" s="16" t="n">
        <f aca="false">Q258*L258</f>
        <v>1.295</v>
      </c>
      <c r="S258" s="16" t="n">
        <f aca="false">J258-R258</f>
        <v>-1.295</v>
      </c>
      <c r="T258" s="17" t="n">
        <f aca="false">T257+S258</f>
        <v>3.88</v>
      </c>
      <c r="U258" s="15" t="s">
        <v>34</v>
      </c>
      <c r="V258" s="1" t="n">
        <v>1703.1</v>
      </c>
      <c r="X258" s="1" t="n">
        <f aca="false">X257+V258</f>
        <v>4869.7</v>
      </c>
      <c r="Z258" s="15" t="s">
        <v>35</v>
      </c>
      <c r="AA258" s="1" t="n">
        <v>12.8300590613851</v>
      </c>
    </row>
    <row r="259" s="1" customFormat="true" ht="15" hidden="false" customHeight="false" outlineLevel="0" collapsed="false">
      <c r="A259" s="14"/>
      <c r="B259" s="2"/>
      <c r="C259" s="8" t="n">
        <v>40432</v>
      </c>
      <c r="D259" s="1" t="n">
        <v>19.8</v>
      </c>
      <c r="E259" s="1" t="n">
        <v>10.2</v>
      </c>
      <c r="F259" s="1" t="n">
        <v>27.8</v>
      </c>
      <c r="G259" s="1" t="n">
        <f aca="false">G258+D259</f>
        <v>75.3</v>
      </c>
      <c r="I259" s="1" t="n">
        <f aca="false">MAX(F256:F332)</f>
        <v>28.3</v>
      </c>
      <c r="J259" s="1" t="n">
        <v>0</v>
      </c>
      <c r="K259" s="1" t="n">
        <f aca="false">K258+J259</f>
        <v>1.7</v>
      </c>
      <c r="L259" s="1" t="n">
        <v>4.3</v>
      </c>
      <c r="M259" s="1" t="n">
        <f aca="false">M258+L259</f>
        <v>15.5</v>
      </c>
      <c r="N259" s="1" t="n">
        <v>-4.3</v>
      </c>
      <c r="O259" s="1" t="n">
        <v>0</v>
      </c>
      <c r="P259" s="6" t="n">
        <v>4</v>
      </c>
      <c r="Q259" s="1" t="n">
        <v>0.35</v>
      </c>
      <c r="R259" s="16" t="n">
        <f aca="false">Q259*L259</f>
        <v>1.505</v>
      </c>
      <c r="S259" s="16" t="n">
        <f aca="false">J259-R259</f>
        <v>-1.505</v>
      </c>
      <c r="T259" s="17" t="n">
        <f aca="false">T258+S259</f>
        <v>2.375</v>
      </c>
      <c r="U259" s="1" t="n">
        <v>4</v>
      </c>
      <c r="V259" s="1" t="n">
        <v>2033.7</v>
      </c>
      <c r="X259" s="1" t="n">
        <f aca="false">X258+V259</f>
        <v>6903.4</v>
      </c>
      <c r="Z259" s="18" t="n">
        <f aca="false">(X332/100)/I269</f>
        <v>0.685038965976051</v>
      </c>
      <c r="AA259" s="1" t="n">
        <v>12.7809319685861</v>
      </c>
    </row>
    <row r="260" s="1" customFormat="true" ht="15" hidden="false" customHeight="false" outlineLevel="0" collapsed="false">
      <c r="A260" s="14"/>
      <c r="B260" s="2"/>
      <c r="C260" s="8" t="n">
        <v>40433</v>
      </c>
      <c r="D260" s="1" t="n">
        <v>21.1</v>
      </c>
      <c r="E260" s="1" t="n">
        <v>16.8</v>
      </c>
      <c r="F260" s="1" t="n">
        <v>26</v>
      </c>
      <c r="G260" s="1" t="n">
        <f aca="false">G259+D260</f>
        <v>96.4</v>
      </c>
      <c r="I260" s="15" t="s">
        <v>36</v>
      </c>
      <c r="J260" s="1" t="n">
        <v>0</v>
      </c>
      <c r="K260" s="1" t="n">
        <f aca="false">K259+J260</f>
        <v>1.7</v>
      </c>
      <c r="L260" s="1" t="n">
        <v>4.2</v>
      </c>
      <c r="M260" s="1" t="n">
        <f aca="false">M259+L260</f>
        <v>19.7</v>
      </c>
      <c r="N260" s="1" t="n">
        <v>-4.2</v>
      </c>
      <c r="O260" s="1" t="n">
        <v>0</v>
      </c>
      <c r="P260" s="6" t="n">
        <v>5</v>
      </c>
      <c r="Q260" s="1" t="n">
        <v>0.35</v>
      </c>
      <c r="R260" s="16" t="n">
        <f aca="false">Q260*L260</f>
        <v>1.47</v>
      </c>
      <c r="S260" s="16" t="n">
        <f aca="false">J260-R260</f>
        <v>-1.47</v>
      </c>
      <c r="T260" s="17" t="n">
        <f aca="false">T259+S260</f>
        <v>0.905000000000001</v>
      </c>
      <c r="U260" s="15" t="s">
        <v>37</v>
      </c>
      <c r="V260" s="1" t="n">
        <v>1432.8</v>
      </c>
      <c r="X260" s="1" t="n">
        <f aca="false">X259+V260</f>
        <v>8336.2</v>
      </c>
      <c r="Z260" s="15" t="s">
        <v>38</v>
      </c>
      <c r="AA260" s="1" t="n">
        <v>12.7317192591215</v>
      </c>
    </row>
    <row r="261" s="1" customFormat="true" ht="15" hidden="false" customHeight="false" outlineLevel="0" collapsed="false">
      <c r="A261" s="14"/>
      <c r="B261" s="2"/>
      <c r="C261" s="8" t="n">
        <v>40434</v>
      </c>
      <c r="D261" s="1" t="n">
        <v>19.4</v>
      </c>
      <c r="E261" s="1" t="n">
        <v>15</v>
      </c>
      <c r="F261" s="1" t="n">
        <v>24.6</v>
      </c>
      <c r="G261" s="1" t="n">
        <f aca="false">G260+D261</f>
        <v>115.8</v>
      </c>
      <c r="I261" s="16" t="n">
        <f aca="false">AVERAGE(D256:D332)</f>
        <v>13.6649350649351</v>
      </c>
      <c r="J261" s="1" t="n">
        <v>0</v>
      </c>
      <c r="K261" s="1" t="n">
        <f aca="false">K260+J261</f>
        <v>1.7</v>
      </c>
      <c r="L261" s="1" t="n">
        <v>4.4</v>
      </c>
      <c r="M261" s="1" t="n">
        <f aca="false">M260+L261</f>
        <v>24.1</v>
      </c>
      <c r="N261" s="1" t="n">
        <v>-4.4</v>
      </c>
      <c r="O261" s="1" t="n">
        <v>0</v>
      </c>
      <c r="P261" s="6" t="n">
        <v>6</v>
      </c>
      <c r="Q261" s="1" t="n">
        <v>0.35</v>
      </c>
      <c r="R261" s="16" t="n">
        <f aca="false">Q261*L261</f>
        <v>1.54</v>
      </c>
      <c r="S261" s="16" t="n">
        <f aca="false">J261-R261</f>
        <v>-1.54</v>
      </c>
      <c r="T261" s="17" t="n">
        <v>0</v>
      </c>
      <c r="U261" s="1" t="n">
        <v>28</v>
      </c>
      <c r="V261" s="1" t="n">
        <v>1559.4</v>
      </c>
      <c r="X261" s="1" t="n">
        <f aca="false">X260+V261</f>
        <v>9895.6</v>
      </c>
      <c r="Z261" s="1" t="n">
        <v>35</v>
      </c>
      <c r="AA261" s="1" t="n">
        <v>12.6824270755802</v>
      </c>
    </row>
    <row r="262" s="1" customFormat="true" ht="15" hidden="false" customHeight="false" outlineLevel="0" collapsed="false">
      <c r="A262" s="14"/>
      <c r="B262" s="2"/>
      <c r="C262" s="8" t="n">
        <v>40435</v>
      </c>
      <c r="D262" s="1" t="n">
        <v>18.6</v>
      </c>
      <c r="E262" s="1" t="n">
        <v>11</v>
      </c>
      <c r="F262" s="1" t="n">
        <v>25.1</v>
      </c>
      <c r="G262" s="1" t="n">
        <f aca="false">G261+D262</f>
        <v>134.4</v>
      </c>
      <c r="I262" s="15" t="s">
        <v>39</v>
      </c>
      <c r="J262" s="1" t="n">
        <v>0</v>
      </c>
      <c r="K262" s="1" t="n">
        <f aca="false">K261+J262</f>
        <v>1.7</v>
      </c>
      <c r="L262" s="1" t="n">
        <v>3.5</v>
      </c>
      <c r="M262" s="1" t="n">
        <f aca="false">M261+L262</f>
        <v>27.6</v>
      </c>
      <c r="N262" s="1" t="n">
        <v>-3.5</v>
      </c>
      <c r="O262" s="1" t="n">
        <v>0</v>
      </c>
      <c r="P262" s="6" t="n">
        <v>7</v>
      </c>
      <c r="Q262" s="1" t="n">
        <v>0.35</v>
      </c>
      <c r="R262" s="16" t="n">
        <f aca="false">Q262*L262</f>
        <v>1.225</v>
      </c>
      <c r="S262" s="16" t="n">
        <f aca="false">J262-R262</f>
        <v>-1.225</v>
      </c>
      <c r="T262" s="17" t="n">
        <v>0</v>
      </c>
      <c r="U262" s="15" t="s">
        <v>40</v>
      </c>
      <c r="V262" s="1" t="n">
        <v>1648.6</v>
      </c>
      <c r="X262" s="1" t="n">
        <f aca="false">X261+V262</f>
        <v>11544.2</v>
      </c>
      <c r="AA262" s="1" t="n">
        <v>12.6330614274066</v>
      </c>
    </row>
    <row r="263" s="1" customFormat="true" ht="15" hidden="false" customHeight="false" outlineLevel="0" collapsed="false">
      <c r="A263" s="14"/>
      <c r="B263" s="2"/>
      <c r="C263" s="8" t="n">
        <v>40436</v>
      </c>
      <c r="D263" s="1" t="n">
        <v>20.2</v>
      </c>
      <c r="E263" s="1" t="n">
        <v>11.6</v>
      </c>
      <c r="F263" s="1" t="n">
        <v>28.1</v>
      </c>
      <c r="G263" s="1" t="n">
        <f aca="false">G262+D263</f>
        <v>154.6</v>
      </c>
      <c r="I263" s="1" t="n">
        <v>0</v>
      </c>
      <c r="J263" s="1" t="n">
        <v>0</v>
      </c>
      <c r="K263" s="1" t="n">
        <f aca="false">K262+J263</f>
        <v>1.7</v>
      </c>
      <c r="L263" s="1" t="n">
        <v>4.1</v>
      </c>
      <c r="M263" s="1" t="n">
        <f aca="false">M262+L263</f>
        <v>31.7</v>
      </c>
      <c r="N263" s="1" t="n">
        <v>-4.1</v>
      </c>
      <c r="O263" s="1" t="n">
        <v>0</v>
      </c>
      <c r="P263" s="6" t="n">
        <v>8</v>
      </c>
      <c r="Q263" s="1" t="n">
        <f aca="false">0.35+((P263-7)/70)*(1-0.35)</f>
        <v>0.359285714285714</v>
      </c>
      <c r="R263" s="16" t="n">
        <f aca="false">Q263*L263</f>
        <v>1.47307142857143</v>
      </c>
      <c r="S263" s="16" t="n">
        <f aca="false">J263-R263</f>
        <v>-1.47307142857143</v>
      </c>
      <c r="T263" s="17" t="n">
        <v>0</v>
      </c>
      <c r="U263" s="16" t="n">
        <f aca="false">MIN(T256:T332)</f>
        <v>0</v>
      </c>
      <c r="V263" s="1" t="n">
        <v>1829.4</v>
      </c>
      <c r="X263" s="1" t="n">
        <f aca="false">X262+V263</f>
        <v>13373.6</v>
      </c>
      <c r="AA263" s="1" t="n">
        <v>12.5836282037275</v>
      </c>
    </row>
    <row r="264" s="1" customFormat="true" ht="15" hidden="false" customHeight="false" outlineLevel="0" collapsed="false">
      <c r="A264" s="14"/>
      <c r="B264" s="2"/>
      <c r="C264" s="8" t="n">
        <v>40437</v>
      </c>
      <c r="D264" s="1" t="n">
        <v>16.4</v>
      </c>
      <c r="E264" s="1" t="n">
        <v>15.2</v>
      </c>
      <c r="F264" s="1" t="n">
        <v>17.1</v>
      </c>
      <c r="G264" s="1" t="n">
        <f aca="false">G263+D264</f>
        <v>171</v>
      </c>
      <c r="I264" s="15" t="s">
        <v>41</v>
      </c>
      <c r="J264" s="1" t="n">
        <v>4.4</v>
      </c>
      <c r="K264" s="1" t="n">
        <f aca="false">K263+J264</f>
        <v>6.1</v>
      </c>
      <c r="L264" s="1" t="n">
        <v>1.1</v>
      </c>
      <c r="M264" s="1" t="n">
        <f aca="false">M263+L264</f>
        <v>32.8</v>
      </c>
      <c r="N264" s="1" t="n">
        <v>3.3</v>
      </c>
      <c r="O264" s="1" t="n">
        <f aca="false">O263+N264</f>
        <v>3.3</v>
      </c>
      <c r="P264" s="6" t="n">
        <v>9</v>
      </c>
      <c r="Q264" s="1" t="n">
        <f aca="false">0.35+((P264-7)/70)*(1-0.35)</f>
        <v>0.368571428571429</v>
      </c>
      <c r="R264" s="16" t="n">
        <f aca="false">Q264*L264</f>
        <v>0.405428571428571</v>
      </c>
      <c r="S264" s="16" t="n">
        <f aca="false">J264-R264</f>
        <v>3.99457142857143</v>
      </c>
      <c r="T264" s="17" t="n">
        <f aca="false">T263+S264</f>
        <v>3.99457142857143</v>
      </c>
      <c r="U264" s="15" t="s">
        <v>42</v>
      </c>
      <c r="V264" s="1" t="n">
        <v>378.2</v>
      </c>
      <c r="X264" s="1" t="n">
        <f aca="false">X263+V264</f>
        <v>13751.8</v>
      </c>
      <c r="AA264" s="1" t="n">
        <v>12.5341331862727</v>
      </c>
    </row>
    <row r="265" s="1" customFormat="true" ht="15" hidden="false" customHeight="false" outlineLevel="0" collapsed="false">
      <c r="A265" s="14"/>
      <c r="B265" s="2"/>
      <c r="C265" s="8" t="n">
        <v>40438</v>
      </c>
      <c r="D265" s="1" t="n">
        <v>17.7</v>
      </c>
      <c r="E265" s="1" t="n">
        <v>15.1</v>
      </c>
      <c r="F265" s="1" t="n">
        <v>21.2</v>
      </c>
      <c r="G265" s="1" t="n">
        <f aca="false">G264+D265</f>
        <v>188.7</v>
      </c>
      <c r="I265" s="1" t="n">
        <v>9</v>
      </c>
      <c r="J265" s="1" t="n">
        <v>2.3</v>
      </c>
      <c r="K265" s="1" t="n">
        <f aca="false">K264+J265</f>
        <v>8.4</v>
      </c>
      <c r="L265" s="1" t="n">
        <v>1.5</v>
      </c>
      <c r="M265" s="1" t="n">
        <f aca="false">M264+L265</f>
        <v>34.3</v>
      </c>
      <c r="N265" s="1" t="n">
        <v>0.8</v>
      </c>
      <c r="O265" s="1" t="n">
        <f aca="false">O264+N265</f>
        <v>4.1</v>
      </c>
      <c r="P265" s="6" t="n">
        <v>10</v>
      </c>
      <c r="Q265" s="1" t="n">
        <f aca="false">0.35+((P265-7)/70)*(1-0.35)</f>
        <v>0.377857142857143</v>
      </c>
      <c r="R265" s="16" t="n">
        <f aca="false">Q265*L265</f>
        <v>0.566785714285714</v>
      </c>
      <c r="S265" s="16" t="n">
        <f aca="false">J265-R265</f>
        <v>1.73321428571429</v>
      </c>
      <c r="T265" s="17" t="n">
        <f aca="false">T264+S265</f>
        <v>5.72778571428572</v>
      </c>
      <c r="U265" s="16" t="n">
        <f aca="false">MAX(T256:T332)</f>
        <v>102.909714285714</v>
      </c>
      <c r="V265" s="1" t="n">
        <v>403.4</v>
      </c>
      <c r="X265" s="1" t="n">
        <f aca="false">X264+V265</f>
        <v>14155.2</v>
      </c>
      <c r="AA265" s="1" t="n">
        <v>12.4845820623847</v>
      </c>
    </row>
    <row r="266" s="1" customFormat="true" ht="15" hidden="false" customHeight="false" outlineLevel="0" collapsed="false">
      <c r="A266" s="14"/>
      <c r="B266" s="2"/>
      <c r="C266" s="8" t="n">
        <v>40439</v>
      </c>
      <c r="D266" s="1" t="n">
        <v>16.6</v>
      </c>
      <c r="E266" s="1" t="n">
        <v>14.1</v>
      </c>
      <c r="F266" s="1" t="n">
        <v>19.6</v>
      </c>
      <c r="G266" s="1" t="n">
        <f aca="false">G265+D266</f>
        <v>205.3</v>
      </c>
      <c r="I266" s="15" t="s">
        <v>43</v>
      </c>
      <c r="J266" s="1" t="n">
        <v>0.2</v>
      </c>
      <c r="K266" s="1" t="n">
        <f aca="false">K265+J266</f>
        <v>8.6</v>
      </c>
      <c r="L266" s="1" t="n">
        <v>2.9</v>
      </c>
      <c r="M266" s="1" t="n">
        <f aca="false">M265+L266</f>
        <v>37.2</v>
      </c>
      <c r="N266" s="1" t="n">
        <v>-2.7</v>
      </c>
      <c r="O266" s="1" t="n">
        <f aca="false">O265+N266</f>
        <v>1.4</v>
      </c>
      <c r="P266" s="6" t="n">
        <v>11</v>
      </c>
      <c r="Q266" s="1" t="n">
        <f aca="false">0.35+((P266-7)/70)*(1-0.35)</f>
        <v>0.387142857142857</v>
      </c>
      <c r="R266" s="16" t="n">
        <f aca="false">Q266*L266</f>
        <v>1.12271428571429</v>
      </c>
      <c r="S266" s="16" t="n">
        <f aca="false">J266-R266</f>
        <v>-0.922714285714286</v>
      </c>
      <c r="T266" s="17" t="n">
        <f aca="false">T265+S266</f>
        <v>4.80507142857143</v>
      </c>
      <c r="U266" s="15" t="s">
        <v>44</v>
      </c>
      <c r="V266" s="1" t="n">
        <v>1268.4</v>
      </c>
      <c r="X266" s="1" t="n">
        <f aca="false">X265+V266</f>
        <v>15423.6</v>
      </c>
      <c r="AA266" s="1" t="n">
        <v>12.4349804381154</v>
      </c>
    </row>
    <row r="267" s="1" customFormat="true" ht="15" hidden="false" customHeight="false" outlineLevel="0" collapsed="false">
      <c r="A267" s="14"/>
      <c r="B267" s="2"/>
      <c r="C267" s="8" t="n">
        <v>40440</v>
      </c>
      <c r="D267" s="1" t="n">
        <v>14.2</v>
      </c>
      <c r="E267" s="1" t="n">
        <v>7.7</v>
      </c>
      <c r="F267" s="1" t="n">
        <v>22.1</v>
      </c>
      <c r="G267" s="1" t="n">
        <f aca="false">G266+D267</f>
        <v>219.5</v>
      </c>
      <c r="I267" s="1" t="n">
        <v>8</v>
      </c>
      <c r="J267" s="1" t="n">
        <v>0</v>
      </c>
      <c r="K267" s="1" t="n">
        <f aca="false">K266+J267</f>
        <v>8.6</v>
      </c>
      <c r="L267" s="1" t="n">
        <v>3.8</v>
      </c>
      <c r="M267" s="1" t="n">
        <f aca="false">M266+L267</f>
        <v>41</v>
      </c>
      <c r="N267" s="1" t="n">
        <v>-3.8</v>
      </c>
      <c r="O267" s="1" t="n">
        <v>0</v>
      </c>
      <c r="P267" s="6" t="n">
        <v>12</v>
      </c>
      <c r="Q267" s="1" t="n">
        <f aca="false">0.35+((P267-7)/70)*(1-0.35)</f>
        <v>0.396428571428571</v>
      </c>
      <c r="R267" s="16" t="n">
        <f aca="false">Q267*L267</f>
        <v>1.50642857142857</v>
      </c>
      <c r="S267" s="16" t="n">
        <f aca="false">J267-R267</f>
        <v>-1.50642857142857</v>
      </c>
      <c r="T267" s="17" t="n">
        <f aca="false">T266+S267</f>
        <v>3.29864285714286</v>
      </c>
      <c r="U267" s="16" t="n">
        <f aca="false">AVERAGE(T256:T332)</f>
        <v>42.6601447124304</v>
      </c>
      <c r="V267" s="1" t="n">
        <v>2002.4</v>
      </c>
      <c r="X267" s="1" t="n">
        <f aca="false">X266+V267</f>
        <v>17426</v>
      </c>
      <c r="AA267" s="1" t="n">
        <v>12.3853338514052</v>
      </c>
    </row>
    <row r="268" s="1" customFormat="true" ht="15" hidden="false" customHeight="false" outlineLevel="0" collapsed="false">
      <c r="A268" s="14"/>
      <c r="B268" s="2"/>
      <c r="C268" s="8" t="n">
        <v>40441</v>
      </c>
      <c r="D268" s="1" t="n">
        <v>17</v>
      </c>
      <c r="E268" s="1" t="n">
        <v>6.9</v>
      </c>
      <c r="F268" s="1" t="n">
        <v>25.8</v>
      </c>
      <c r="G268" s="1" t="n">
        <f aca="false">G267+D268</f>
        <v>236.5</v>
      </c>
      <c r="I268" s="15" t="s">
        <v>45</v>
      </c>
      <c r="J268" s="1" t="n">
        <v>0</v>
      </c>
      <c r="K268" s="1" t="n">
        <f aca="false">K267+J268</f>
        <v>8.6</v>
      </c>
      <c r="L268" s="1" t="n">
        <v>4</v>
      </c>
      <c r="M268" s="1" t="n">
        <f aca="false">M267+L268</f>
        <v>45</v>
      </c>
      <c r="N268" s="1" t="n">
        <v>-4</v>
      </c>
      <c r="O268" s="1" t="n">
        <v>0</v>
      </c>
      <c r="P268" s="6" t="n">
        <v>13</v>
      </c>
      <c r="Q268" s="1" t="n">
        <f aca="false">0.35+((P268-7)/70)*(1-0.35)</f>
        <v>0.405714285714286</v>
      </c>
      <c r="R268" s="16" t="n">
        <f aca="false">Q268*L268</f>
        <v>1.62285714285714</v>
      </c>
      <c r="S268" s="16" t="n">
        <f aca="false">J268-R268</f>
        <v>-1.62285714285714</v>
      </c>
      <c r="T268" s="17" t="n">
        <f aca="false">T267+S268</f>
        <v>1.67578571428571</v>
      </c>
      <c r="V268" s="1" t="n">
        <v>1819.3</v>
      </c>
      <c r="X268" s="1" t="n">
        <f aca="false">X267+V268</f>
        <v>19245.3</v>
      </c>
      <c r="AA268" s="1" t="n">
        <v>12.3356477853431</v>
      </c>
    </row>
    <row r="269" s="1" customFormat="true" ht="15" hidden="false" customHeight="false" outlineLevel="0" collapsed="false">
      <c r="A269" s="14"/>
      <c r="B269" s="2"/>
      <c r="C269" s="8" t="n">
        <v>40442</v>
      </c>
      <c r="D269" s="1" t="n">
        <v>18.8</v>
      </c>
      <c r="E269" s="1" t="n">
        <v>16.3</v>
      </c>
      <c r="F269" s="1" t="n">
        <v>22.2</v>
      </c>
      <c r="G269" s="1" t="n">
        <f aca="false">G268+D269</f>
        <v>255.3</v>
      </c>
      <c r="I269" s="1" t="n">
        <v>1052.2</v>
      </c>
      <c r="J269" s="1" t="n">
        <v>0</v>
      </c>
      <c r="K269" s="1" t="n">
        <f aca="false">K268+J269</f>
        <v>8.6</v>
      </c>
      <c r="L269" s="1" t="n">
        <v>1.7</v>
      </c>
      <c r="M269" s="1" t="n">
        <f aca="false">M268+L269</f>
        <v>46.7</v>
      </c>
      <c r="N269" s="1" t="n">
        <v>-1.7</v>
      </c>
      <c r="O269" s="1" t="n">
        <v>0</v>
      </c>
      <c r="P269" s="6" t="n">
        <v>14</v>
      </c>
      <c r="Q269" s="1" t="n">
        <f aca="false">0.35+((P269-7)/70)*(1-0.35)</f>
        <v>0.415</v>
      </c>
      <c r="R269" s="16" t="n">
        <f aca="false">Q269*L269</f>
        <v>0.7055</v>
      </c>
      <c r="S269" s="16" t="n">
        <f aca="false">J269-R269</f>
        <v>-0.7055</v>
      </c>
      <c r="T269" s="17" t="n">
        <f aca="false">T268+S269</f>
        <v>0.970285714285715</v>
      </c>
      <c r="U269" s="16"/>
      <c r="V269" s="1" t="n">
        <v>578.3</v>
      </c>
      <c r="X269" s="1" t="n">
        <f aca="false">X268+V269</f>
        <v>19823.6</v>
      </c>
      <c r="AA269" s="1" t="n">
        <v>12.2859276815076</v>
      </c>
    </row>
    <row r="270" s="1" customFormat="true" ht="15" hidden="false" customHeight="false" outlineLevel="0" collapsed="false">
      <c r="A270" s="14"/>
      <c r="B270" s="2"/>
      <c r="C270" s="8" t="n">
        <v>40443</v>
      </c>
      <c r="D270" s="1" t="n">
        <v>20.1</v>
      </c>
      <c r="E270" s="1" t="n">
        <v>12.6</v>
      </c>
      <c r="F270" s="1" t="n">
        <v>28.3</v>
      </c>
      <c r="G270" s="1" t="n">
        <f aca="false">G269+D270</f>
        <v>275.4</v>
      </c>
      <c r="J270" s="1" t="n">
        <v>0</v>
      </c>
      <c r="K270" s="1" t="n">
        <f aca="false">K269+J270</f>
        <v>8.6</v>
      </c>
      <c r="L270" s="1" t="n">
        <v>4.5</v>
      </c>
      <c r="M270" s="1" t="n">
        <f aca="false">M269+L270</f>
        <v>51.2</v>
      </c>
      <c r="N270" s="1" t="n">
        <v>-4.5</v>
      </c>
      <c r="O270" s="1" t="n">
        <v>0</v>
      </c>
      <c r="P270" s="6" t="n">
        <v>15</v>
      </c>
      <c r="Q270" s="1" t="n">
        <f aca="false">0.35+((P270-7)/70)*(1-0.35)</f>
        <v>0.424285714285714</v>
      </c>
      <c r="R270" s="16" t="n">
        <f aca="false">Q270*L270</f>
        <v>1.90928571428571</v>
      </c>
      <c r="S270" s="16" t="n">
        <f aca="false">J270-R270</f>
        <v>-1.90928571428571</v>
      </c>
      <c r="T270" s="17" t="n">
        <v>0</v>
      </c>
      <c r="V270" s="1" t="n">
        <v>1772.6</v>
      </c>
      <c r="X270" s="1" t="n">
        <f aca="false">X269+V270</f>
        <v>21596.2</v>
      </c>
      <c r="AA270" s="1" t="n">
        <v>12.2361789533854</v>
      </c>
    </row>
    <row r="271" s="1" customFormat="true" ht="15" hidden="false" customHeight="false" outlineLevel="0" collapsed="false">
      <c r="A271" s="14"/>
      <c r="B271" s="2"/>
      <c r="C271" s="8" t="n">
        <v>40444</v>
      </c>
      <c r="D271" s="1" t="n">
        <v>19.3</v>
      </c>
      <c r="E271" s="1" t="n">
        <v>14.4</v>
      </c>
      <c r="F271" s="1" t="n">
        <v>25.3</v>
      </c>
      <c r="G271" s="1" t="n">
        <f aca="false">G270+D271</f>
        <v>294.7</v>
      </c>
      <c r="J271" s="1" t="n">
        <v>17</v>
      </c>
      <c r="K271" s="1" t="n">
        <f aca="false">K270+J271</f>
        <v>25.6</v>
      </c>
      <c r="L271" s="1" t="n">
        <v>3.1</v>
      </c>
      <c r="M271" s="1" t="n">
        <f aca="false">M270+L271</f>
        <v>54.3</v>
      </c>
      <c r="N271" s="1" t="n">
        <v>13.9</v>
      </c>
      <c r="O271" s="1" t="n">
        <f aca="false">O270+N271</f>
        <v>13.9</v>
      </c>
      <c r="P271" s="6" t="n">
        <v>16</v>
      </c>
      <c r="Q271" s="1" t="n">
        <f aca="false">0.35+((P271-7)/70)*(1-0.35)</f>
        <v>0.433571428571429</v>
      </c>
      <c r="R271" s="16" t="n">
        <f aca="false">Q271*L271</f>
        <v>1.34407142857143</v>
      </c>
      <c r="S271" s="16" t="n">
        <f aca="false">J271-R271</f>
        <v>15.6559285714286</v>
      </c>
      <c r="T271" s="17" t="n">
        <f aca="false">T270+S271</f>
        <v>15.6559285714286</v>
      </c>
      <c r="V271" s="1" t="n">
        <v>1460.4</v>
      </c>
      <c r="X271" s="1" t="n">
        <f aca="false">X270+V271</f>
        <v>23056.6</v>
      </c>
      <c r="AA271" s="1" t="n">
        <v>12.1864069998693</v>
      </c>
    </row>
    <row r="272" s="1" customFormat="true" ht="15" hidden="false" customHeight="false" outlineLevel="0" collapsed="false">
      <c r="A272" s="14"/>
      <c r="B272" s="2"/>
      <c r="C272" s="8" t="n">
        <v>40445</v>
      </c>
      <c r="D272" s="1" t="n">
        <v>16.7</v>
      </c>
      <c r="E272" s="1" t="n">
        <v>14.9</v>
      </c>
      <c r="F272" s="1" t="n">
        <v>19.8</v>
      </c>
      <c r="G272" s="1" t="n">
        <f aca="false">G271+D272</f>
        <v>311.4</v>
      </c>
      <c r="J272" s="1" t="n">
        <v>4.6</v>
      </c>
      <c r="K272" s="1" t="n">
        <f aca="false">K271+J272</f>
        <v>30.2</v>
      </c>
      <c r="L272" s="1" t="n">
        <v>2.6</v>
      </c>
      <c r="M272" s="1" t="n">
        <f aca="false">M271+L272</f>
        <v>56.9</v>
      </c>
      <c r="N272" s="1" t="n">
        <v>2</v>
      </c>
      <c r="O272" s="1" t="n">
        <f aca="false">O271+N272</f>
        <v>15.9</v>
      </c>
      <c r="P272" s="6" t="n">
        <v>17</v>
      </c>
      <c r="Q272" s="1" t="n">
        <f aca="false">0.35+((P272-7)/70)*(1-0.35)</f>
        <v>0.442857142857143</v>
      </c>
      <c r="R272" s="16" t="n">
        <f aca="false">Q272*L272</f>
        <v>1.15142857142857</v>
      </c>
      <c r="S272" s="16" t="n">
        <f aca="false">J272-R272</f>
        <v>3.44857142857143</v>
      </c>
      <c r="T272" s="17" t="n">
        <f aca="false">T271+S272</f>
        <v>19.1045</v>
      </c>
      <c r="V272" s="1" t="n">
        <v>1070.6</v>
      </c>
      <c r="X272" s="1" t="n">
        <f aca="false">X271+V272</f>
        <v>24127.2</v>
      </c>
      <c r="AA272" s="1" t="n">
        <v>12.1366172188345</v>
      </c>
    </row>
    <row r="273" s="1" customFormat="true" ht="15" hidden="false" customHeight="false" outlineLevel="0" collapsed="false">
      <c r="A273" s="14"/>
      <c r="B273" s="2"/>
      <c r="C273" s="8" t="n">
        <v>40446</v>
      </c>
      <c r="D273" s="1" t="n">
        <v>15.2</v>
      </c>
      <c r="E273" s="1" t="n">
        <v>13.6</v>
      </c>
      <c r="F273" s="1" t="n">
        <v>19.2</v>
      </c>
      <c r="G273" s="1" t="n">
        <f aca="false">G272+D273</f>
        <v>326.6</v>
      </c>
      <c r="J273" s="1" t="n">
        <v>0</v>
      </c>
      <c r="K273" s="1" t="n">
        <f aca="false">K272+J273</f>
        <v>30.2</v>
      </c>
      <c r="L273" s="1" t="n">
        <v>3.5</v>
      </c>
      <c r="M273" s="1" t="n">
        <f aca="false">M272+L273</f>
        <v>60.4</v>
      </c>
      <c r="N273" s="1" t="n">
        <v>-3.5</v>
      </c>
      <c r="O273" s="1" t="n">
        <f aca="false">O272+N273</f>
        <v>12.4</v>
      </c>
      <c r="P273" s="6" t="n">
        <v>18</v>
      </c>
      <c r="Q273" s="1" t="n">
        <f aca="false">0.35+((P273-7)/70)*(1-0.35)</f>
        <v>0.452142857142857</v>
      </c>
      <c r="R273" s="16" t="n">
        <f aca="false">Q273*L273</f>
        <v>1.5825</v>
      </c>
      <c r="S273" s="16" t="n">
        <f aca="false">J273-R273</f>
        <v>-1.5825</v>
      </c>
      <c r="T273" s="17" t="n">
        <f aca="false">T272+S273</f>
        <v>17.522</v>
      </c>
      <c r="V273" s="1" t="n">
        <v>1537.3</v>
      </c>
      <c r="X273" s="1" t="n">
        <f aca="false">X272+V273</f>
        <v>25664.5</v>
      </c>
      <c r="AA273" s="1" t="n">
        <v>12.0868150207924</v>
      </c>
    </row>
    <row r="274" s="1" customFormat="true" ht="15" hidden="false" customHeight="false" outlineLevel="0" collapsed="false">
      <c r="A274" s="14"/>
      <c r="B274" s="2"/>
      <c r="C274" s="8" t="n">
        <v>40447</v>
      </c>
      <c r="D274" s="1" t="n">
        <v>12.6</v>
      </c>
      <c r="E274" s="1" t="n">
        <v>9.8</v>
      </c>
      <c r="F274" s="1" t="n">
        <v>17.1</v>
      </c>
      <c r="G274" s="1" t="n">
        <f aca="false">G273+D274</f>
        <v>339.2</v>
      </c>
      <c r="J274" s="1" t="n">
        <v>0</v>
      </c>
      <c r="K274" s="1" t="n">
        <f aca="false">K273+J274</f>
        <v>30.2</v>
      </c>
      <c r="L274" s="1" t="n">
        <v>3.3</v>
      </c>
      <c r="M274" s="1" t="n">
        <f aca="false">M273+L274</f>
        <v>63.7</v>
      </c>
      <c r="N274" s="1" t="n">
        <v>-3.3</v>
      </c>
      <c r="O274" s="1" t="n">
        <f aca="false">O273+N274</f>
        <v>9.1</v>
      </c>
      <c r="P274" s="6" t="n">
        <v>19</v>
      </c>
      <c r="Q274" s="1" t="n">
        <f aca="false">0.35+((P274-7)/70)*(1-0.35)</f>
        <v>0.461428571428571</v>
      </c>
      <c r="R274" s="16" t="n">
        <f aca="false">Q274*L274</f>
        <v>1.52271428571429</v>
      </c>
      <c r="S274" s="16" t="n">
        <f aca="false">J274-R274</f>
        <v>-1.52271428571429</v>
      </c>
      <c r="T274" s="17" t="n">
        <f aca="false">T273+S274</f>
        <v>15.9992857142857</v>
      </c>
      <c r="V274" s="1" t="n">
        <v>1740</v>
      </c>
      <c r="X274" s="1" t="n">
        <f aca="false">X273+V274</f>
        <v>27404.5</v>
      </c>
      <c r="AA274" s="1" t="n">
        <v>12.0370058426238</v>
      </c>
    </row>
    <row r="275" s="1" customFormat="true" ht="15" hidden="false" customHeight="false" outlineLevel="0" collapsed="false">
      <c r="A275" s="14"/>
      <c r="B275" s="2"/>
      <c r="C275" s="8" t="n">
        <v>40448</v>
      </c>
      <c r="D275" s="1" t="n">
        <v>12.9</v>
      </c>
      <c r="E275" s="1" t="n">
        <v>7.2</v>
      </c>
      <c r="F275" s="1" t="n">
        <v>19.1</v>
      </c>
      <c r="G275" s="1" t="n">
        <f aca="false">G274+D275</f>
        <v>352.1</v>
      </c>
      <c r="J275" s="1" t="n">
        <v>0</v>
      </c>
      <c r="K275" s="1" t="n">
        <f aca="false">K274+J275</f>
        <v>30.2</v>
      </c>
      <c r="L275" s="1" t="n">
        <v>2.6</v>
      </c>
      <c r="M275" s="1" t="n">
        <f aca="false">M274+L275</f>
        <v>66.3</v>
      </c>
      <c r="N275" s="1" t="n">
        <v>-2.6</v>
      </c>
      <c r="O275" s="1" t="n">
        <f aca="false">O274+N275</f>
        <v>6.5</v>
      </c>
      <c r="P275" s="6" t="n">
        <v>20</v>
      </c>
      <c r="Q275" s="1" t="n">
        <f aca="false">0.35+((P275-7)/70)*(1-0.35)</f>
        <v>0.470714285714286</v>
      </c>
      <c r="R275" s="16" t="n">
        <f aca="false">Q275*L275</f>
        <v>1.22385714285714</v>
      </c>
      <c r="S275" s="16" t="n">
        <f aca="false">J275-R275</f>
        <v>-1.22385714285714</v>
      </c>
      <c r="T275" s="17" t="n">
        <f aca="false">T274+S275</f>
        <v>14.7754285714286</v>
      </c>
      <c r="V275" s="1" t="n">
        <v>1373.5</v>
      </c>
      <c r="X275" s="1" t="n">
        <f aca="false">X274+V275</f>
        <v>28778</v>
      </c>
      <c r="AA275" s="1" t="n">
        <v>11.9871951613899</v>
      </c>
    </row>
    <row r="276" s="1" customFormat="true" ht="15" hidden="false" customHeight="false" outlineLevel="0" collapsed="false">
      <c r="A276" s="14"/>
      <c r="B276" s="2"/>
      <c r="C276" s="8" t="n">
        <v>40449</v>
      </c>
      <c r="D276" s="1" t="n">
        <v>13.2</v>
      </c>
      <c r="E276" s="1" t="n">
        <v>9.3</v>
      </c>
      <c r="F276" s="1" t="n">
        <v>18.9</v>
      </c>
      <c r="G276" s="1" t="n">
        <f aca="false">G275+D276</f>
        <v>365.3</v>
      </c>
      <c r="J276" s="1" t="n">
        <v>0</v>
      </c>
      <c r="K276" s="1" t="n">
        <f aca="false">K275+J276</f>
        <v>30.2</v>
      </c>
      <c r="L276" s="1" t="n">
        <v>2.6</v>
      </c>
      <c r="M276" s="1" t="n">
        <f aca="false">M275+L276</f>
        <v>68.9</v>
      </c>
      <c r="N276" s="1" t="n">
        <v>-2.6</v>
      </c>
      <c r="O276" s="1" t="n">
        <f aca="false">O275+N276</f>
        <v>3.9</v>
      </c>
      <c r="P276" s="6" t="n">
        <v>21</v>
      </c>
      <c r="Q276" s="1" t="n">
        <f aca="false">0.35+((P276-7)/70)*(1-0.35)</f>
        <v>0.48</v>
      </c>
      <c r="R276" s="16" t="n">
        <f aca="false">Q276*L276</f>
        <v>1.248</v>
      </c>
      <c r="S276" s="16" t="n">
        <f aca="false">J276-R276</f>
        <v>-1.248</v>
      </c>
      <c r="T276" s="17" t="n">
        <f aca="false">T275+S276</f>
        <v>13.5274285714286</v>
      </c>
      <c r="V276" s="1" t="n">
        <v>1366.5</v>
      </c>
      <c r="X276" s="1" t="n">
        <f aca="false">X275+V276</f>
        <v>30144.5</v>
      </c>
      <c r="AA276" s="1" t="n">
        <v>11.9373885082212</v>
      </c>
    </row>
    <row r="277" s="1" customFormat="true" ht="15" hidden="false" customHeight="false" outlineLevel="0" collapsed="false">
      <c r="A277" s="14"/>
      <c r="B277" s="2"/>
      <c r="C277" s="8" t="n">
        <v>40450</v>
      </c>
      <c r="D277" s="1" t="n">
        <v>14.1</v>
      </c>
      <c r="E277" s="1" t="n">
        <v>6.7</v>
      </c>
      <c r="F277" s="1" t="n">
        <v>19.9</v>
      </c>
      <c r="G277" s="1" t="n">
        <f aca="false">G276+D277</f>
        <v>379.4</v>
      </c>
      <c r="J277" s="1" t="n">
        <v>0</v>
      </c>
      <c r="K277" s="1" t="n">
        <f aca="false">K276+J277</f>
        <v>30.2</v>
      </c>
      <c r="L277" s="1" t="n">
        <v>2.6</v>
      </c>
      <c r="M277" s="1" t="n">
        <f aca="false">M276+L277</f>
        <v>71.5</v>
      </c>
      <c r="N277" s="1" t="n">
        <v>-2.6</v>
      </c>
      <c r="O277" s="1" t="n">
        <f aca="false">O276+N277</f>
        <v>1.3</v>
      </c>
      <c r="P277" s="6" t="n">
        <v>22</v>
      </c>
      <c r="Q277" s="1" t="n">
        <f aca="false">0.35+((P277-7)/70)*(1-0.35)</f>
        <v>0.489285714285714</v>
      </c>
      <c r="R277" s="16" t="n">
        <f aca="false">Q277*L277</f>
        <v>1.27214285714286</v>
      </c>
      <c r="S277" s="16" t="n">
        <f aca="false">J277-R277</f>
        <v>-1.27214285714286</v>
      </c>
      <c r="T277" s="17" t="n">
        <f aca="false">T276+S277</f>
        <v>12.2552857142857</v>
      </c>
      <c r="V277" s="1" t="n">
        <v>1552.3</v>
      </c>
      <c r="X277" s="1" t="n">
        <f aca="false">X276+V277</f>
        <v>31696.8</v>
      </c>
      <c r="AA277" s="1" t="n">
        <v>11.8875914822841</v>
      </c>
    </row>
    <row r="278" s="1" customFormat="true" ht="15" hidden="false" customHeight="false" outlineLevel="0" collapsed="false">
      <c r="A278" s="14"/>
      <c r="B278" s="2"/>
      <c r="C278" s="8" t="n">
        <v>40451</v>
      </c>
      <c r="D278" s="1" t="n">
        <v>14</v>
      </c>
      <c r="E278" s="1" t="n">
        <v>10.4</v>
      </c>
      <c r="F278" s="1" t="n">
        <v>15.8</v>
      </c>
      <c r="G278" s="1" t="n">
        <f aca="false">G277+D278</f>
        <v>393.4</v>
      </c>
      <c r="J278" s="1" t="n">
        <v>1.4</v>
      </c>
      <c r="K278" s="1" t="n">
        <f aca="false">K277+J278</f>
        <v>31.6</v>
      </c>
      <c r="L278" s="1" t="n">
        <v>0.9</v>
      </c>
      <c r="M278" s="1" t="n">
        <f aca="false">M277+L278</f>
        <v>72.4</v>
      </c>
      <c r="N278" s="1" t="n">
        <v>0.5</v>
      </c>
      <c r="O278" s="1" t="n">
        <f aca="false">O277+N278</f>
        <v>1.8</v>
      </c>
      <c r="P278" s="6" t="n">
        <v>23</v>
      </c>
      <c r="Q278" s="1" t="n">
        <f aca="false">0.35+((P278-7)/70)*(1-0.35)</f>
        <v>0.498571428571429</v>
      </c>
      <c r="R278" s="16" t="n">
        <f aca="false">Q278*L278</f>
        <v>0.448714285714286</v>
      </c>
      <c r="S278" s="16" t="n">
        <f aca="false">J278-R278</f>
        <v>0.951285714285714</v>
      </c>
      <c r="T278" s="17" t="n">
        <f aca="false">T277+S278</f>
        <v>13.2065714285714</v>
      </c>
      <c r="V278" s="1" t="n">
        <v>442.4</v>
      </c>
      <c r="X278" s="1" t="n">
        <f aca="false">X277+V278</f>
        <v>32139.2</v>
      </c>
      <c r="AA278" s="1" t="n">
        <v>11.8378097648246</v>
      </c>
    </row>
    <row r="279" s="1" customFormat="true" ht="15" hidden="false" customHeight="false" outlineLevel="0" collapsed="false">
      <c r="A279" s="14"/>
      <c r="B279" s="2"/>
      <c r="C279" s="8" t="n">
        <v>40452</v>
      </c>
      <c r="D279" s="1" t="n">
        <v>15.8</v>
      </c>
      <c r="E279" s="1" t="n">
        <v>8.7</v>
      </c>
      <c r="F279" s="1" t="n">
        <v>21.1</v>
      </c>
      <c r="G279" s="1" t="n">
        <f aca="false">G278+D279</f>
        <v>409.2</v>
      </c>
      <c r="J279" s="1" t="n">
        <v>0</v>
      </c>
      <c r="K279" s="1" t="n">
        <f aca="false">K278+J279</f>
        <v>31.6</v>
      </c>
      <c r="L279" s="1" t="n">
        <v>1.5</v>
      </c>
      <c r="M279" s="1" t="n">
        <f aca="false">M278+L279</f>
        <v>73.9</v>
      </c>
      <c r="N279" s="1" t="n">
        <v>-1.5</v>
      </c>
      <c r="O279" s="1" t="n">
        <f aca="false">O278+N279</f>
        <v>0.300000000000002</v>
      </c>
      <c r="P279" s="6" t="n">
        <v>24</v>
      </c>
      <c r="Q279" s="1" t="n">
        <f aca="false">0.35+((P279-7)/70)*(1-0.35)</f>
        <v>0.507857142857143</v>
      </c>
      <c r="R279" s="16" t="n">
        <f aca="false">Q279*L279</f>
        <v>0.761785714285714</v>
      </c>
      <c r="S279" s="16" t="n">
        <f aca="false">J279-R279</f>
        <v>-0.761785714285714</v>
      </c>
      <c r="T279" s="17" t="n">
        <f aca="false">T278+S279</f>
        <v>12.4447857142857</v>
      </c>
      <c r="V279" s="1" t="n">
        <v>858.8</v>
      </c>
      <c r="X279" s="1" t="n">
        <f aca="false">X278+V279</f>
        <v>32998</v>
      </c>
      <c r="AA279" s="1" t="n">
        <v>11.7880491332855</v>
      </c>
    </row>
    <row r="280" s="1" customFormat="true" ht="15" hidden="false" customHeight="false" outlineLevel="0" collapsed="false">
      <c r="A280" s="14"/>
      <c r="B280" s="2"/>
      <c r="C280" s="8" t="n">
        <v>40453</v>
      </c>
      <c r="D280" s="1" t="n">
        <v>17.9</v>
      </c>
      <c r="E280" s="1" t="n">
        <v>14.6</v>
      </c>
      <c r="F280" s="1" t="n">
        <v>21.4</v>
      </c>
      <c r="G280" s="1" t="n">
        <f aca="false">G279+D280</f>
        <v>427.1</v>
      </c>
      <c r="J280" s="1" t="n">
        <v>0</v>
      </c>
      <c r="K280" s="1" t="n">
        <f aca="false">K279+J280</f>
        <v>31.6</v>
      </c>
      <c r="L280" s="1" t="n">
        <v>3.2</v>
      </c>
      <c r="M280" s="1" t="n">
        <f aca="false">M279+L280</f>
        <v>77.1</v>
      </c>
      <c r="N280" s="1" t="n">
        <v>-3.2</v>
      </c>
      <c r="O280" s="1" t="n">
        <v>0</v>
      </c>
      <c r="P280" s="6" t="n">
        <v>25</v>
      </c>
      <c r="Q280" s="1" t="n">
        <f aca="false">0.35+((P280-7)/70)*(1-0.35)</f>
        <v>0.517142857142857</v>
      </c>
      <c r="R280" s="16" t="n">
        <f aca="false">Q280*L280</f>
        <v>1.65485714285714</v>
      </c>
      <c r="S280" s="16" t="n">
        <f aca="false">J280-R280</f>
        <v>-1.65485714285714</v>
      </c>
      <c r="T280" s="17" t="n">
        <f aca="false">T279+S280</f>
        <v>10.7899285714286</v>
      </c>
      <c r="V280" s="1" t="n">
        <v>1016</v>
      </c>
      <c r="X280" s="1" t="n">
        <f aca="false">X279+V280</f>
        <v>34014</v>
      </c>
      <c r="AA280" s="1" t="n">
        <v>11.7383154754975</v>
      </c>
    </row>
    <row r="281" s="1" customFormat="true" ht="15" hidden="false" customHeight="false" outlineLevel="0" collapsed="false">
      <c r="A281" s="14"/>
      <c r="B281" s="2"/>
      <c r="C281" s="8" t="n">
        <v>40454</v>
      </c>
      <c r="D281" s="1" t="n">
        <v>21.3</v>
      </c>
      <c r="E281" s="1" t="n">
        <v>17.8</v>
      </c>
      <c r="F281" s="1" t="n">
        <v>26.9</v>
      </c>
      <c r="G281" s="1" t="n">
        <f aca="false">G280+D281</f>
        <v>448.4</v>
      </c>
      <c r="J281" s="1" t="n">
        <v>0.6</v>
      </c>
      <c r="K281" s="1" t="n">
        <f aca="false">K280+J281</f>
        <v>32.2</v>
      </c>
      <c r="L281" s="1" t="n">
        <v>4.8</v>
      </c>
      <c r="M281" s="1" t="n">
        <f aca="false">M280+L281</f>
        <v>81.9</v>
      </c>
      <c r="N281" s="1" t="n">
        <v>-4.2</v>
      </c>
      <c r="O281" s="1" t="n">
        <v>0</v>
      </c>
      <c r="P281" s="6" t="n">
        <v>26</v>
      </c>
      <c r="Q281" s="1" t="n">
        <f aca="false">0.35+((P281-7)/70)*(1-0.35)</f>
        <v>0.526428571428572</v>
      </c>
      <c r="R281" s="16" t="n">
        <f aca="false">Q281*L281</f>
        <v>2.52685714285714</v>
      </c>
      <c r="S281" s="16" t="n">
        <f aca="false">J281-R281</f>
        <v>-1.92685714285714</v>
      </c>
      <c r="T281" s="17" t="n">
        <f aca="false">T280+S281</f>
        <v>8.86307142857143</v>
      </c>
      <c r="V281" s="1" t="n">
        <v>1514.8</v>
      </c>
      <c r="X281" s="1" t="n">
        <f aca="false">X280+V281</f>
        <v>35528.8</v>
      </c>
      <c r="AA281" s="1" t="n">
        <v>11.6886148039388</v>
      </c>
    </row>
    <row r="282" s="1" customFormat="true" ht="15" hidden="false" customHeight="false" outlineLevel="0" collapsed="false">
      <c r="A282" s="14"/>
      <c r="B282" s="2"/>
      <c r="C282" s="8" t="n">
        <v>40455</v>
      </c>
      <c r="D282" s="1" t="n">
        <v>16.5</v>
      </c>
      <c r="E282" s="1" t="n">
        <v>15</v>
      </c>
      <c r="F282" s="1" t="n">
        <v>17.4</v>
      </c>
      <c r="G282" s="1" t="n">
        <f aca="false">G281+D282</f>
        <v>464.9</v>
      </c>
      <c r="J282" s="1" t="n">
        <v>2.7</v>
      </c>
      <c r="K282" s="1" t="n">
        <f aca="false">K281+J282</f>
        <v>34.9</v>
      </c>
      <c r="L282" s="1" t="n">
        <v>1.3</v>
      </c>
      <c r="M282" s="1" t="n">
        <f aca="false">M281+L282</f>
        <v>83.2</v>
      </c>
      <c r="N282" s="1" t="n">
        <v>1.4</v>
      </c>
      <c r="O282" s="1" t="n">
        <f aca="false">O281+N282</f>
        <v>1.4</v>
      </c>
      <c r="P282" s="6" t="n">
        <v>27</v>
      </c>
      <c r="Q282" s="1" t="n">
        <f aca="false">0.35+((P282-7)/70)*(1-0.35)</f>
        <v>0.535714285714286</v>
      </c>
      <c r="R282" s="16" t="n">
        <f aca="false">Q282*L282</f>
        <v>0.696428571428571</v>
      </c>
      <c r="S282" s="16" t="n">
        <f aca="false">J282-R282</f>
        <v>2.00357142857143</v>
      </c>
      <c r="T282" s="17" t="n">
        <f aca="false">T281+S282</f>
        <v>10.8666428571429</v>
      </c>
      <c r="V282" s="1" t="n">
        <v>454.7</v>
      </c>
      <c r="X282" s="1" t="n">
        <f aca="false">X281+V282</f>
        <v>35983.5</v>
      </c>
      <c r="AA282" s="1" t="n">
        <v>11.63895327006</v>
      </c>
    </row>
    <row r="283" s="1" customFormat="true" ht="15" hidden="false" customHeight="false" outlineLevel="0" collapsed="false">
      <c r="A283" s="14"/>
      <c r="B283" s="2"/>
      <c r="C283" s="8" t="n">
        <v>40456</v>
      </c>
      <c r="D283" s="1" t="n">
        <v>17.1</v>
      </c>
      <c r="E283" s="1" t="n">
        <v>11.1</v>
      </c>
      <c r="F283" s="1" t="n">
        <v>22.9</v>
      </c>
      <c r="G283" s="1" t="n">
        <f aca="false">G282+D283</f>
        <v>482</v>
      </c>
      <c r="J283" s="1" t="n">
        <v>0</v>
      </c>
      <c r="K283" s="1" t="n">
        <f aca="false">K282+J283</f>
        <v>34.9</v>
      </c>
      <c r="L283" s="1" t="n">
        <v>3.2</v>
      </c>
      <c r="M283" s="1" t="n">
        <f aca="false">M282+L283</f>
        <v>86.4</v>
      </c>
      <c r="N283" s="1" t="n">
        <v>-3.2</v>
      </c>
      <c r="O283" s="1" t="n">
        <v>0</v>
      </c>
      <c r="P283" s="6" t="n">
        <v>28</v>
      </c>
      <c r="Q283" s="1" t="n">
        <f aca="false">0.35+((P283-7)/70)*(1-0.35)</f>
        <v>0.545</v>
      </c>
      <c r="R283" s="16" t="n">
        <f aca="false">Q283*L283</f>
        <v>1.744</v>
      </c>
      <c r="S283" s="16" t="n">
        <f aca="false">J283-R283</f>
        <v>-1.744</v>
      </c>
      <c r="T283" s="17" t="n">
        <f aca="false">T282+S283</f>
        <v>9.12264285714286</v>
      </c>
      <c r="V283" s="1" t="n">
        <v>1447.9</v>
      </c>
      <c r="X283" s="1" t="n">
        <f aca="false">X282+V283</f>
        <v>37431.4</v>
      </c>
      <c r="AA283" s="1" t="n">
        <v>11.5893371786689</v>
      </c>
    </row>
    <row r="284" s="1" customFormat="true" ht="15" hidden="false" customHeight="false" outlineLevel="0" collapsed="false">
      <c r="A284" s="14"/>
      <c r="B284" s="2"/>
      <c r="C284" s="8" t="n">
        <v>40457</v>
      </c>
      <c r="D284" s="1" t="n">
        <v>19.3</v>
      </c>
      <c r="E284" s="1" t="n">
        <v>16.3</v>
      </c>
      <c r="F284" s="1" t="n">
        <v>24.3</v>
      </c>
      <c r="G284" s="1" t="n">
        <f aca="false">G283+D284</f>
        <v>501.3</v>
      </c>
      <c r="J284" s="1" t="n">
        <v>0</v>
      </c>
      <c r="K284" s="1" t="n">
        <f aca="false">K283+J284</f>
        <v>34.9</v>
      </c>
      <c r="L284" s="1" t="n">
        <v>3.8</v>
      </c>
      <c r="M284" s="1" t="n">
        <f aca="false">M283+L284</f>
        <v>90.2</v>
      </c>
      <c r="N284" s="1" t="n">
        <v>-3.8</v>
      </c>
      <c r="O284" s="1" t="n">
        <v>0</v>
      </c>
      <c r="P284" s="6" t="n">
        <v>29</v>
      </c>
      <c r="Q284" s="1" t="n">
        <f aca="false">0.35+((P284-7)/70)*(1-0.35)</f>
        <v>0.554285714285714</v>
      </c>
      <c r="R284" s="16" t="n">
        <f aca="false">Q284*L284</f>
        <v>2.10628571428571</v>
      </c>
      <c r="S284" s="16" t="n">
        <f aca="false">J284-R284</f>
        <v>-2.10628571428571</v>
      </c>
      <c r="T284" s="17" t="n">
        <f aca="false">T283+S284</f>
        <v>7.01635714285715</v>
      </c>
      <c r="V284" s="1" t="n">
        <v>1487.1</v>
      </c>
      <c r="X284" s="1" t="n">
        <f aca="false">X283+V284</f>
        <v>38918.5</v>
      </c>
      <c r="AA284" s="1" t="n">
        <v>11.539773002368</v>
      </c>
    </row>
    <row r="285" s="1" customFormat="true" ht="15" hidden="false" customHeight="false" outlineLevel="0" collapsed="false">
      <c r="A285" s="14"/>
      <c r="B285" s="2"/>
      <c r="C285" s="8" t="n">
        <v>40458</v>
      </c>
      <c r="D285" s="1" t="n">
        <v>19.3</v>
      </c>
      <c r="E285" s="1" t="n">
        <v>16</v>
      </c>
      <c r="F285" s="1" t="n">
        <v>24.4</v>
      </c>
      <c r="G285" s="1" t="n">
        <f aca="false">G284+D285</f>
        <v>520.6</v>
      </c>
      <c r="J285" s="1" t="n">
        <v>0</v>
      </c>
      <c r="K285" s="1" t="n">
        <f aca="false">K284+J285</f>
        <v>34.9</v>
      </c>
      <c r="L285" s="1" t="n">
        <v>4.1</v>
      </c>
      <c r="M285" s="1" t="n">
        <f aca="false">M284+L285</f>
        <v>94.3</v>
      </c>
      <c r="N285" s="1" t="n">
        <v>-4.1</v>
      </c>
      <c r="O285" s="1" t="n">
        <v>0</v>
      </c>
      <c r="P285" s="6" t="n">
        <v>30</v>
      </c>
      <c r="Q285" s="1" t="n">
        <f aca="false">0.35+((P285-7)/70)*(1-0.35)</f>
        <v>0.563571428571429</v>
      </c>
      <c r="R285" s="16" t="n">
        <f aca="false">Q285*L285</f>
        <v>2.31064285714286</v>
      </c>
      <c r="S285" s="16" t="n">
        <f aca="false">J285-R285</f>
        <v>-2.31064285714286</v>
      </c>
      <c r="T285" s="17" t="n">
        <f aca="false">T284+S285</f>
        <v>4.70571428571429</v>
      </c>
      <c r="V285" s="1" t="n">
        <v>1288.8</v>
      </c>
      <c r="X285" s="1" t="n">
        <f aca="false">X284+V285</f>
        <v>40207.3</v>
      </c>
      <c r="AA285" s="1" t="n">
        <v>11.4902673960368</v>
      </c>
    </row>
    <row r="286" s="1" customFormat="true" ht="15" hidden="false" customHeight="false" outlineLevel="0" collapsed="false">
      <c r="A286" s="14"/>
      <c r="B286" s="2"/>
      <c r="C286" s="8" t="n">
        <v>40459</v>
      </c>
      <c r="D286" s="1" t="n">
        <v>19.9</v>
      </c>
      <c r="E286" s="1" t="n">
        <v>16.2</v>
      </c>
      <c r="F286" s="1" t="n">
        <v>25.2</v>
      </c>
      <c r="G286" s="1" t="n">
        <f aca="false">G285+D286</f>
        <v>540.5</v>
      </c>
      <c r="J286" s="1" t="n">
        <v>0</v>
      </c>
      <c r="K286" s="1" t="n">
        <f aca="false">K285+J286</f>
        <v>34.9</v>
      </c>
      <c r="L286" s="1" t="n">
        <v>3.9</v>
      </c>
      <c r="M286" s="1" t="n">
        <f aca="false">M285+L286</f>
        <v>98.2</v>
      </c>
      <c r="N286" s="1" t="n">
        <v>-3.9</v>
      </c>
      <c r="O286" s="1" t="n">
        <v>0</v>
      </c>
      <c r="P286" s="6" t="n">
        <v>31</v>
      </c>
      <c r="Q286" s="1" t="n">
        <f aca="false">0.35+((P286-7)/70)*(1-0.35)</f>
        <v>0.572857142857143</v>
      </c>
      <c r="R286" s="16" t="n">
        <f aca="false">Q286*L286</f>
        <v>2.23414285714286</v>
      </c>
      <c r="S286" s="16" t="n">
        <f aca="false">J286-R286</f>
        <v>-2.23414285714286</v>
      </c>
      <c r="T286" s="17" t="n">
        <f aca="false">T285+S286</f>
        <v>2.47157142857143</v>
      </c>
      <c r="V286" s="1" t="n">
        <v>1144.5</v>
      </c>
      <c r="X286" s="1" t="n">
        <f aca="false">X285+V286</f>
        <v>41351.8</v>
      </c>
      <c r="AA286" s="1" t="n">
        <v>11.4408272113498</v>
      </c>
    </row>
    <row r="287" s="1" customFormat="true" ht="15" hidden="false" customHeight="false" outlineLevel="0" collapsed="false">
      <c r="A287" s="14"/>
      <c r="B287" s="2"/>
      <c r="C287" s="8" t="n">
        <v>40460</v>
      </c>
      <c r="D287" s="1" t="n">
        <v>19</v>
      </c>
      <c r="E287" s="1" t="n">
        <v>17.6</v>
      </c>
      <c r="F287" s="1" t="n">
        <v>22.5</v>
      </c>
      <c r="G287" s="1" t="n">
        <f aca="false">G286+D287</f>
        <v>559.5</v>
      </c>
      <c r="J287" s="1" t="n">
        <v>8.4</v>
      </c>
      <c r="K287" s="1" t="n">
        <f aca="false">K286+J287</f>
        <v>43.3</v>
      </c>
      <c r="L287" s="1" t="n">
        <v>3.4</v>
      </c>
      <c r="M287" s="1" t="n">
        <f aca="false">M286+L287</f>
        <v>101.6</v>
      </c>
      <c r="N287" s="1" t="n">
        <v>5</v>
      </c>
      <c r="O287" s="1" t="n">
        <f aca="false">O286+N287</f>
        <v>5</v>
      </c>
      <c r="P287" s="6" t="n">
        <v>32</v>
      </c>
      <c r="Q287" s="1" t="n">
        <f aca="false">0.35+((P287-7)/70)*(1-0.35)</f>
        <v>0.582142857142857</v>
      </c>
      <c r="R287" s="16" t="n">
        <f aca="false">Q287*L287</f>
        <v>1.97928571428571</v>
      </c>
      <c r="S287" s="16" t="n">
        <f aca="false">J287-R287</f>
        <v>6.42071428571429</v>
      </c>
      <c r="T287" s="17" t="n">
        <f aca="false">T286+S287</f>
        <v>8.89228571428572</v>
      </c>
      <c r="V287" s="1" t="n">
        <v>981.9</v>
      </c>
      <c r="X287" s="1" t="n">
        <f aca="false">X286+V287</f>
        <v>42333.7</v>
      </c>
      <c r="AA287" s="1" t="n">
        <v>11.3914595113172</v>
      </c>
    </row>
    <row r="288" s="1" customFormat="true" ht="15" hidden="false" customHeight="false" outlineLevel="0" collapsed="false">
      <c r="A288" s="14"/>
      <c r="B288" s="2"/>
      <c r="C288" s="8" t="n">
        <v>40461</v>
      </c>
      <c r="D288" s="1" t="n">
        <v>15.5</v>
      </c>
      <c r="E288" s="1" t="n">
        <v>14.9</v>
      </c>
      <c r="F288" s="1" t="n">
        <v>15.8</v>
      </c>
      <c r="G288" s="1" t="n">
        <f aca="false">G287+D288</f>
        <v>575</v>
      </c>
      <c r="J288" s="1" t="n">
        <v>50.5</v>
      </c>
      <c r="K288" s="1" t="n">
        <f aca="false">K287+J288</f>
        <v>93.8</v>
      </c>
      <c r="L288" s="1" t="n">
        <v>0.5</v>
      </c>
      <c r="M288" s="1" t="n">
        <f aca="false">M287+L288</f>
        <v>102.1</v>
      </c>
      <c r="N288" s="1" t="n">
        <v>50</v>
      </c>
      <c r="O288" s="1" t="n">
        <f aca="false">O287+N288</f>
        <v>55</v>
      </c>
      <c r="P288" s="6" t="n">
        <v>33</v>
      </c>
      <c r="Q288" s="1" t="n">
        <f aca="false">0.35+((P288-7)/70)*(1-0.35)</f>
        <v>0.591428571428571</v>
      </c>
      <c r="R288" s="16" t="n">
        <f aca="false">Q288*L288</f>
        <v>0.295714285714286</v>
      </c>
      <c r="S288" s="16" t="n">
        <f aca="false">J288-R288</f>
        <v>50.2042857142857</v>
      </c>
      <c r="T288" s="17" t="n">
        <f aca="false">T287+S288</f>
        <v>59.0965714285714</v>
      </c>
      <c r="V288" s="1" t="n">
        <v>206.6</v>
      </c>
      <c r="X288" s="1" t="n">
        <f aca="false">X287+V288</f>
        <v>42540.3</v>
      </c>
      <c r="AA288" s="1" t="n">
        <v>11.342171584836</v>
      </c>
    </row>
    <row r="289" s="1" customFormat="true" ht="15" hidden="false" customHeight="false" outlineLevel="0" collapsed="false">
      <c r="A289" s="14"/>
      <c r="B289" s="2"/>
      <c r="C289" s="8" t="n">
        <v>40462</v>
      </c>
      <c r="D289" s="1" t="n">
        <v>15.7</v>
      </c>
      <c r="E289" s="1" t="n">
        <v>14.2</v>
      </c>
      <c r="F289" s="1" t="n">
        <v>18.9</v>
      </c>
      <c r="G289" s="1" t="n">
        <f aca="false">G288+D289</f>
        <v>590.7</v>
      </c>
      <c r="J289" s="1" t="n">
        <v>0.2</v>
      </c>
      <c r="K289" s="1" t="n">
        <f aca="false">K288+J289</f>
        <v>94</v>
      </c>
      <c r="L289" s="1" t="n">
        <v>1.4</v>
      </c>
      <c r="M289" s="1" t="n">
        <f aca="false">M288+L289</f>
        <v>103.5</v>
      </c>
      <c r="N289" s="1" t="n">
        <v>-1.2</v>
      </c>
      <c r="O289" s="1" t="n">
        <f aca="false">O288+N289</f>
        <v>53.8</v>
      </c>
      <c r="P289" s="6" t="n">
        <v>34</v>
      </c>
      <c r="Q289" s="1" t="n">
        <f aca="false">0.35+((P289-7)/70)*(1-0.35)</f>
        <v>0.600714285714286</v>
      </c>
      <c r="R289" s="16" t="n">
        <f aca="false">Q289*L289</f>
        <v>0.841</v>
      </c>
      <c r="S289" s="16" t="n">
        <f aca="false">J289-R289</f>
        <v>-0.641</v>
      </c>
      <c r="T289" s="17" t="n">
        <f aca="false">T288+S289</f>
        <v>58.4555714285714</v>
      </c>
      <c r="V289" s="1" t="n">
        <v>490</v>
      </c>
      <c r="X289" s="1" t="n">
        <f aca="false">X288+V289</f>
        <v>43030.3</v>
      </c>
      <c r="AA289" s="1" t="n">
        <v>11.2929709612354</v>
      </c>
    </row>
    <row r="290" s="1" customFormat="true" ht="15" hidden="false" customHeight="false" outlineLevel="0" collapsed="false">
      <c r="A290" s="14"/>
      <c r="B290" s="2"/>
      <c r="C290" s="8" t="n">
        <v>40463</v>
      </c>
      <c r="D290" s="1" t="n">
        <v>15.9</v>
      </c>
      <c r="E290" s="1" t="n">
        <v>12.4</v>
      </c>
      <c r="F290" s="1" t="n">
        <v>19.9</v>
      </c>
      <c r="G290" s="1" t="n">
        <f aca="false">G289+D290</f>
        <v>606.6</v>
      </c>
      <c r="J290" s="1" t="n">
        <v>0</v>
      </c>
      <c r="K290" s="1" t="n">
        <f aca="false">K289+J290</f>
        <v>94</v>
      </c>
      <c r="L290" s="1" t="n">
        <v>2.4</v>
      </c>
      <c r="M290" s="1" t="n">
        <f aca="false">M289+L290</f>
        <v>105.9</v>
      </c>
      <c r="N290" s="1" t="n">
        <v>-2.4</v>
      </c>
      <c r="O290" s="1" t="n">
        <f aca="false">O289+N290</f>
        <v>51.4</v>
      </c>
      <c r="P290" s="6" t="n">
        <v>35</v>
      </c>
      <c r="Q290" s="1" t="n">
        <f aca="false">0.35+((P290-7)/70)*(1-0.35)</f>
        <v>0.61</v>
      </c>
      <c r="R290" s="16" t="n">
        <f aca="false">Q290*L290</f>
        <v>1.464</v>
      </c>
      <c r="S290" s="16" t="n">
        <f aca="false">J290-R290</f>
        <v>-1.464</v>
      </c>
      <c r="T290" s="17" t="n">
        <f aca="false">T289+S290</f>
        <v>56.9915714285714</v>
      </c>
      <c r="V290" s="1" t="n">
        <v>1096.5</v>
      </c>
      <c r="X290" s="1" t="n">
        <f aca="false">X289+V290</f>
        <v>44126.8</v>
      </c>
      <c r="AA290" s="1" t="n">
        <v>11.2438654247982</v>
      </c>
    </row>
    <row r="291" s="1" customFormat="true" ht="15" hidden="false" customHeight="false" outlineLevel="0" collapsed="false">
      <c r="A291" s="14"/>
      <c r="B291" s="2"/>
      <c r="C291" s="8" t="n">
        <v>40464</v>
      </c>
      <c r="D291" s="1" t="n">
        <v>15.9</v>
      </c>
      <c r="E291" s="1" t="n">
        <v>13.1</v>
      </c>
      <c r="F291" s="1" t="n">
        <v>20.5</v>
      </c>
      <c r="G291" s="1" t="n">
        <f aca="false">G290+D291</f>
        <v>622.5</v>
      </c>
      <c r="J291" s="1" t="n">
        <v>0</v>
      </c>
      <c r="K291" s="1" t="n">
        <f aca="false">K290+J291</f>
        <v>94</v>
      </c>
      <c r="L291" s="1" t="n">
        <v>3.2</v>
      </c>
      <c r="M291" s="1" t="n">
        <f aca="false">M290+L291</f>
        <v>109.1</v>
      </c>
      <c r="N291" s="1" t="n">
        <v>-3.2</v>
      </c>
      <c r="O291" s="1" t="n">
        <f aca="false">O290+N291</f>
        <v>48.2</v>
      </c>
      <c r="P291" s="6" t="n">
        <v>36</v>
      </c>
      <c r="Q291" s="1" t="n">
        <f aca="false">0.35+((P291-7)/70)*(1-0.35)</f>
        <v>0.619285714285714</v>
      </c>
      <c r="R291" s="16" t="n">
        <f aca="false">Q291*L291</f>
        <v>1.98171428571429</v>
      </c>
      <c r="S291" s="16" t="n">
        <f aca="false">J291-R291</f>
        <v>-1.98171428571429</v>
      </c>
      <c r="T291" s="17" t="n">
        <f aca="false">T290+S291</f>
        <v>55.0098571428572</v>
      </c>
      <c r="V291" s="1" t="n">
        <v>1337.3</v>
      </c>
      <c r="X291" s="1" t="n">
        <f aca="false">X290+V291</f>
        <v>45464.1</v>
      </c>
      <c r="AA291" s="1" t="n">
        <v>11.1948630292391</v>
      </c>
    </row>
    <row r="292" s="1" customFormat="true" ht="15" hidden="false" customHeight="false" outlineLevel="0" collapsed="false">
      <c r="A292" s="14"/>
      <c r="B292" s="2"/>
      <c r="C292" s="8" t="n">
        <v>40465</v>
      </c>
      <c r="D292" s="1" t="n">
        <v>13.4</v>
      </c>
      <c r="E292" s="1" t="n">
        <v>11.7</v>
      </c>
      <c r="F292" s="1" t="n">
        <v>17.3</v>
      </c>
      <c r="G292" s="1" t="n">
        <f aca="false">G291+D292</f>
        <v>635.9</v>
      </c>
      <c r="J292" s="1" t="n">
        <v>0</v>
      </c>
      <c r="K292" s="1" t="n">
        <f aca="false">K291+J292</f>
        <v>94</v>
      </c>
      <c r="L292" s="1" t="n">
        <v>2.9</v>
      </c>
      <c r="M292" s="1" t="n">
        <f aca="false">M291+L292</f>
        <v>112</v>
      </c>
      <c r="N292" s="1" t="n">
        <v>-2.9</v>
      </c>
      <c r="O292" s="1" t="n">
        <f aca="false">O291+N292</f>
        <v>45.3</v>
      </c>
      <c r="P292" s="6" t="n">
        <v>37</v>
      </c>
      <c r="Q292" s="1" t="n">
        <f aca="false">0.35+((P292-7)/70)*(1-0.35)</f>
        <v>0.628571428571429</v>
      </c>
      <c r="R292" s="16" t="n">
        <f aca="false">Q292*L292</f>
        <v>1.82285714285714</v>
      </c>
      <c r="S292" s="16" t="n">
        <f aca="false">J292-R292</f>
        <v>-1.82285714285714</v>
      </c>
      <c r="T292" s="17" t="n">
        <f aca="false">T291+S292</f>
        <v>53.187</v>
      </c>
      <c r="V292" s="1" t="n">
        <v>1401.6</v>
      </c>
      <c r="X292" s="1" t="n">
        <f aca="false">X291+V292</f>
        <v>46865.7</v>
      </c>
      <c r="AA292" s="1" t="n">
        <v>11.1459721121146</v>
      </c>
    </row>
    <row r="293" s="1" customFormat="true" ht="15" hidden="false" customHeight="false" outlineLevel="0" collapsed="false">
      <c r="A293" s="14"/>
      <c r="B293" s="2"/>
      <c r="C293" s="8" t="n">
        <v>40466</v>
      </c>
      <c r="D293" s="1" t="n">
        <v>9.6</v>
      </c>
      <c r="E293" s="1" t="n">
        <v>6.9</v>
      </c>
      <c r="F293" s="1" t="n">
        <v>13.3</v>
      </c>
      <c r="G293" s="1" t="n">
        <f aca="false">G292+D293</f>
        <v>645.5</v>
      </c>
      <c r="J293" s="1" t="n">
        <v>0.1</v>
      </c>
      <c r="K293" s="1" t="n">
        <f aca="false">K292+J293</f>
        <v>94.1</v>
      </c>
      <c r="L293" s="1" t="n">
        <v>2</v>
      </c>
      <c r="M293" s="1" t="n">
        <f aca="false">M292+L293</f>
        <v>114</v>
      </c>
      <c r="N293" s="1" t="n">
        <v>-1.9</v>
      </c>
      <c r="O293" s="1" t="n">
        <f aca="false">O292+N293</f>
        <v>43.4</v>
      </c>
      <c r="P293" s="6" t="n">
        <v>38</v>
      </c>
      <c r="Q293" s="1" t="n">
        <f aca="false">0.35+((P293-7)/70)*(1-0.35)</f>
        <v>0.637857142857143</v>
      </c>
      <c r="R293" s="16" t="n">
        <f aca="false">Q293*L293</f>
        <v>1.27571428571429</v>
      </c>
      <c r="S293" s="16" t="n">
        <f aca="false">J293-R293</f>
        <v>-1.17571428571429</v>
      </c>
      <c r="T293" s="17" t="n">
        <f aca="false">T292+S293</f>
        <v>52.0112857142857</v>
      </c>
      <c r="V293" s="1" t="n">
        <v>1320.1</v>
      </c>
      <c r="X293" s="1" t="n">
        <f aca="false">X292+V293</f>
        <v>48185.8</v>
      </c>
      <c r="AA293" s="1" t="n">
        <v>11.0972013091412</v>
      </c>
    </row>
    <row r="294" s="1" customFormat="true" ht="15" hidden="false" customHeight="false" outlineLevel="0" collapsed="false">
      <c r="A294" s="14"/>
      <c r="B294" s="2"/>
      <c r="C294" s="8" t="n">
        <v>40467</v>
      </c>
      <c r="D294" s="1" t="n">
        <v>10.1</v>
      </c>
      <c r="E294" s="1" t="n">
        <v>8.7</v>
      </c>
      <c r="F294" s="1" t="n">
        <v>11.7</v>
      </c>
      <c r="G294" s="1" t="n">
        <f aca="false">G293+D294</f>
        <v>655.6</v>
      </c>
      <c r="J294" s="1" t="n">
        <v>0.3</v>
      </c>
      <c r="K294" s="1" t="n">
        <f aca="false">K293+J294</f>
        <v>94.4</v>
      </c>
      <c r="L294" s="1" t="n">
        <v>1</v>
      </c>
      <c r="M294" s="1" t="n">
        <f aca="false">M293+L294</f>
        <v>115</v>
      </c>
      <c r="N294" s="1" t="n">
        <v>-0.7</v>
      </c>
      <c r="O294" s="1" t="n">
        <f aca="false">O293+N294</f>
        <v>42.7</v>
      </c>
      <c r="P294" s="6" t="n">
        <v>39</v>
      </c>
      <c r="Q294" s="1" t="n">
        <f aca="false">0.35+((P294-7)/70)*(1-0.35)</f>
        <v>0.647142857142857</v>
      </c>
      <c r="R294" s="16" t="n">
        <f aca="false">Q294*L294</f>
        <v>0.647142857142857</v>
      </c>
      <c r="S294" s="16" t="n">
        <f aca="false">J294-R294</f>
        <v>-0.347142857142857</v>
      </c>
      <c r="T294" s="17" t="n">
        <f aca="false">T293+S294</f>
        <v>51.6641428571429</v>
      </c>
      <c r="V294" s="1" t="n">
        <v>596.2</v>
      </c>
      <c r="X294" s="1" t="n">
        <f aca="false">X293+V294</f>
        <v>48782</v>
      </c>
      <c r="AA294" s="1" t="n">
        <v>11.0485595683907</v>
      </c>
    </row>
    <row r="295" s="1" customFormat="true" ht="15" hidden="false" customHeight="false" outlineLevel="0" collapsed="false">
      <c r="A295" s="14"/>
      <c r="B295" s="2"/>
      <c r="C295" s="8" t="n">
        <v>40468</v>
      </c>
      <c r="D295" s="1" t="n">
        <v>9.5</v>
      </c>
      <c r="E295" s="1" t="n">
        <v>8.3</v>
      </c>
      <c r="F295" s="1" t="n">
        <v>12</v>
      </c>
      <c r="G295" s="1" t="n">
        <f aca="false">G294+D295</f>
        <v>665.1</v>
      </c>
      <c r="J295" s="1" t="n">
        <v>0</v>
      </c>
      <c r="K295" s="1" t="n">
        <f aca="false">K294+J295</f>
        <v>94.4</v>
      </c>
      <c r="L295" s="1" t="n">
        <v>2.4</v>
      </c>
      <c r="M295" s="1" t="n">
        <f aca="false">M294+L295</f>
        <v>117.4</v>
      </c>
      <c r="N295" s="1" t="n">
        <v>-2.4</v>
      </c>
      <c r="O295" s="1" t="n">
        <f aca="false">O294+N295</f>
        <v>40.3</v>
      </c>
      <c r="P295" s="6" t="n">
        <v>40</v>
      </c>
      <c r="Q295" s="1" t="n">
        <f aca="false">0.35+((P295-7)/70)*(1-0.35)</f>
        <v>0.656428571428571</v>
      </c>
      <c r="R295" s="16" t="n">
        <f aca="false">Q295*L295</f>
        <v>1.57542857142857</v>
      </c>
      <c r="S295" s="16" t="n">
        <f aca="false">J295-R295</f>
        <v>-1.57542857142857</v>
      </c>
      <c r="T295" s="17" t="n">
        <f aca="false">T294+S295</f>
        <v>50.0887142857143</v>
      </c>
      <c r="V295" s="1" t="n">
        <v>1137.7</v>
      </c>
      <c r="X295" s="1" t="n">
        <f aca="false">X294+V295</f>
        <v>49919.7</v>
      </c>
      <c r="AA295" s="1" t="n">
        <v>11.0000561643326</v>
      </c>
    </row>
    <row r="296" s="1" customFormat="true" ht="15" hidden="false" customHeight="false" outlineLevel="0" collapsed="false">
      <c r="A296" s="14"/>
      <c r="B296" s="2"/>
      <c r="C296" s="8" t="n">
        <v>40469</v>
      </c>
      <c r="D296" s="1" t="n">
        <v>7.1</v>
      </c>
      <c r="E296" s="1" t="n">
        <v>6.1</v>
      </c>
      <c r="F296" s="1" t="n">
        <v>8.9</v>
      </c>
      <c r="G296" s="1" t="n">
        <f aca="false">G295+D296</f>
        <v>672.2</v>
      </c>
      <c r="J296" s="1" t="n">
        <v>0</v>
      </c>
      <c r="K296" s="1" t="n">
        <f aca="false">K295+J296</f>
        <v>94.4</v>
      </c>
      <c r="L296" s="1" t="n">
        <v>1.8</v>
      </c>
      <c r="M296" s="1" t="n">
        <f aca="false">M295+L296</f>
        <v>119.2</v>
      </c>
      <c r="N296" s="1" t="n">
        <v>-1.8</v>
      </c>
      <c r="O296" s="1" t="n">
        <f aca="false">O295+N296</f>
        <v>38.5</v>
      </c>
      <c r="P296" s="6" t="n">
        <v>41</v>
      </c>
      <c r="Q296" s="1" t="n">
        <f aca="false">0.35+((P296-7)/70)*(1-0.35)</f>
        <v>0.665714285714286</v>
      </c>
      <c r="R296" s="16" t="n">
        <f aca="false">Q296*L296</f>
        <v>1.19828571428571</v>
      </c>
      <c r="S296" s="16" t="n">
        <f aca="false">J296-R296</f>
        <v>-1.19828571428571</v>
      </c>
      <c r="T296" s="17" t="n">
        <f aca="false">T295+S296</f>
        <v>48.8904285714286</v>
      </c>
      <c r="V296" s="1" t="n">
        <v>1017.3</v>
      </c>
      <c r="X296" s="1" t="n">
        <f aca="false">X295+V296</f>
        <v>50937</v>
      </c>
      <c r="AA296" s="1" t="n">
        <v>10.9517007116862</v>
      </c>
    </row>
    <row r="297" s="1" customFormat="true" ht="15" hidden="false" customHeight="false" outlineLevel="0" collapsed="false">
      <c r="A297" s="14"/>
      <c r="B297" s="2"/>
      <c r="C297" s="8" t="n">
        <v>40470</v>
      </c>
      <c r="D297" s="1" t="n">
        <v>10.9</v>
      </c>
      <c r="E297" s="1" t="n">
        <v>5.9</v>
      </c>
      <c r="F297" s="1" t="n">
        <v>16.3</v>
      </c>
      <c r="G297" s="1" t="n">
        <f aca="false">G296+D297</f>
        <v>683.1</v>
      </c>
      <c r="J297" s="1" t="n">
        <v>0.2</v>
      </c>
      <c r="K297" s="1" t="n">
        <f aca="false">K296+J297</f>
        <v>94.6</v>
      </c>
      <c r="L297" s="1" t="n">
        <v>2.2</v>
      </c>
      <c r="M297" s="1" t="n">
        <f aca="false">M296+L297</f>
        <v>121.4</v>
      </c>
      <c r="N297" s="1" t="n">
        <v>-2</v>
      </c>
      <c r="O297" s="1" t="n">
        <f aca="false">O296+N297</f>
        <v>36.5</v>
      </c>
      <c r="P297" s="6" t="n">
        <v>42</v>
      </c>
      <c r="Q297" s="1" t="n">
        <f aca="false">0.35+((P297-7)/70)*(1-0.35)</f>
        <v>0.675</v>
      </c>
      <c r="R297" s="16" t="n">
        <f aca="false">Q297*L297</f>
        <v>1.485</v>
      </c>
      <c r="S297" s="16" t="n">
        <f aca="false">J297-R297</f>
        <v>-1.285</v>
      </c>
      <c r="T297" s="17" t="n">
        <f aca="false">T296+S297</f>
        <v>47.6054285714286</v>
      </c>
      <c r="V297" s="1" t="n">
        <v>1130.7</v>
      </c>
      <c r="X297" s="1" t="n">
        <f aca="false">X296+V297</f>
        <v>52067.7</v>
      </c>
      <c r="AA297" s="1" t="n">
        <v>10.9035031790459</v>
      </c>
    </row>
    <row r="298" s="1" customFormat="true" ht="15" hidden="false" customHeight="false" outlineLevel="0" collapsed="false">
      <c r="A298" s="14"/>
      <c r="B298" s="2"/>
      <c r="C298" s="8" t="n">
        <v>40471</v>
      </c>
      <c r="D298" s="1" t="n">
        <v>11.4</v>
      </c>
      <c r="E298" s="1" t="n">
        <v>10.7</v>
      </c>
      <c r="F298" s="1" t="n">
        <v>14.6</v>
      </c>
      <c r="G298" s="1" t="n">
        <f aca="false">G297+D298</f>
        <v>694.5</v>
      </c>
      <c r="J298" s="1" t="n">
        <v>0.4</v>
      </c>
      <c r="K298" s="1" t="n">
        <f aca="false">K297+J298</f>
        <v>95</v>
      </c>
      <c r="L298" s="1" t="n">
        <v>1.8</v>
      </c>
      <c r="M298" s="1" t="n">
        <f aca="false">M297+L298</f>
        <v>123.2</v>
      </c>
      <c r="N298" s="1" t="n">
        <v>-1.4</v>
      </c>
      <c r="O298" s="1" t="n">
        <f aca="false">O297+N298</f>
        <v>35.1</v>
      </c>
      <c r="P298" s="6" t="n">
        <v>43</v>
      </c>
      <c r="Q298" s="1" t="n">
        <f aca="false">0.35+((P298-7)/70)*(1-0.35)</f>
        <v>0.684285714285714</v>
      </c>
      <c r="R298" s="16" t="n">
        <f aca="false">Q298*L298</f>
        <v>1.23171428571429</v>
      </c>
      <c r="S298" s="16" t="n">
        <f aca="false">J298-R298</f>
        <v>-0.831714285714286</v>
      </c>
      <c r="T298" s="17" t="n">
        <f aca="false">T297+S298</f>
        <v>46.7737142857143</v>
      </c>
      <c r="V298" s="1" t="n">
        <v>628.5</v>
      </c>
      <c r="X298" s="1" t="n">
        <f aca="false">X297+V298</f>
        <v>52696.2</v>
      </c>
      <c r="AA298" s="1" t="n">
        <v>10.8554739022345</v>
      </c>
    </row>
    <row r="299" s="1" customFormat="true" ht="15" hidden="false" customHeight="false" outlineLevel="0" collapsed="false">
      <c r="A299" s="14"/>
      <c r="B299" s="2"/>
      <c r="C299" s="8" t="n">
        <v>40472</v>
      </c>
      <c r="D299" s="1" t="n">
        <v>7.8</v>
      </c>
      <c r="E299" s="1" t="n">
        <v>3.2</v>
      </c>
      <c r="F299" s="1" t="n">
        <v>14.3</v>
      </c>
      <c r="G299" s="1" t="n">
        <f aca="false">G298+D299</f>
        <v>702.3</v>
      </c>
      <c r="J299" s="1" t="n">
        <v>0</v>
      </c>
      <c r="K299" s="1" t="n">
        <f aca="false">K298+J299</f>
        <v>95</v>
      </c>
      <c r="L299" s="1" t="n">
        <v>1.4</v>
      </c>
      <c r="M299" s="1" t="n">
        <f aca="false">M298+L299</f>
        <v>124.6</v>
      </c>
      <c r="N299" s="1" t="n">
        <v>-1.4</v>
      </c>
      <c r="O299" s="1" t="n">
        <f aca="false">O298+N299</f>
        <v>33.7</v>
      </c>
      <c r="P299" s="6" t="n">
        <v>44</v>
      </c>
      <c r="Q299" s="1" t="n">
        <f aca="false">0.35+((P299-7)/70)*(1-0.35)</f>
        <v>0.693571428571429</v>
      </c>
      <c r="R299" s="16" t="n">
        <f aca="false">Q299*L299</f>
        <v>0.971</v>
      </c>
      <c r="S299" s="16" t="n">
        <f aca="false">J299-R299</f>
        <v>-0.971</v>
      </c>
      <c r="T299" s="17" t="n">
        <f aca="false">T298+S299</f>
        <v>45.8027142857143</v>
      </c>
      <c r="V299" s="1" t="n">
        <v>927.8</v>
      </c>
      <c r="X299" s="1" t="n">
        <f aca="false">X298+V299</f>
        <v>53624</v>
      </c>
      <c r="AA299" s="1" t="n">
        <v>10.8076235973406</v>
      </c>
    </row>
    <row r="300" s="1" customFormat="true" ht="15" hidden="false" customHeight="false" outlineLevel="0" collapsed="false">
      <c r="A300" s="14"/>
      <c r="B300" s="2"/>
      <c r="C300" s="8" t="n">
        <v>40473</v>
      </c>
      <c r="D300" s="1" t="n">
        <v>10.9</v>
      </c>
      <c r="E300" s="1" t="n">
        <v>4.1</v>
      </c>
      <c r="F300" s="1" t="n">
        <v>19.8</v>
      </c>
      <c r="G300" s="1" t="n">
        <f aca="false">G299+D300</f>
        <v>713.2</v>
      </c>
      <c r="J300" s="1" t="n">
        <v>0</v>
      </c>
      <c r="K300" s="1" t="n">
        <f aca="false">K299+J300</f>
        <v>95</v>
      </c>
      <c r="L300" s="1" t="n">
        <v>2.2</v>
      </c>
      <c r="M300" s="1" t="n">
        <f aca="false">M299+L300</f>
        <v>126.8</v>
      </c>
      <c r="N300" s="1" t="n">
        <v>-2.2</v>
      </c>
      <c r="O300" s="1" t="n">
        <f aca="false">O299+N300</f>
        <v>31.5</v>
      </c>
      <c r="P300" s="6" t="n">
        <v>45</v>
      </c>
      <c r="Q300" s="1" t="n">
        <f aca="false">0.35+((P300-7)/70)*(1-0.35)</f>
        <v>0.702857142857143</v>
      </c>
      <c r="R300" s="16" t="n">
        <f aca="false">Q300*L300</f>
        <v>1.54628571428571</v>
      </c>
      <c r="S300" s="16" t="n">
        <f aca="false">J300-R300</f>
        <v>-1.54628571428571</v>
      </c>
      <c r="T300" s="17" t="n">
        <f aca="false">T299+S300</f>
        <v>44.2564285714286</v>
      </c>
      <c r="V300" s="1" t="n">
        <v>1082.9</v>
      </c>
      <c r="X300" s="1" t="n">
        <f aca="false">X299+V300</f>
        <v>54706.9</v>
      </c>
      <c r="AA300" s="1" t="n">
        <v>10.7599633733883</v>
      </c>
    </row>
    <row r="301" s="1" customFormat="true" ht="15" hidden="false" customHeight="false" outlineLevel="0" collapsed="false">
      <c r="A301" s="14"/>
      <c r="B301" s="2"/>
      <c r="C301" s="8" t="n">
        <v>40474</v>
      </c>
      <c r="D301" s="1" t="n">
        <v>12.9</v>
      </c>
      <c r="E301" s="1" t="n">
        <v>8.8</v>
      </c>
      <c r="F301" s="1" t="n">
        <v>18.2</v>
      </c>
      <c r="G301" s="1" t="n">
        <f aca="false">G300+D301</f>
        <v>726.1</v>
      </c>
      <c r="J301" s="1" t="n">
        <v>3.3</v>
      </c>
      <c r="K301" s="1" t="n">
        <f aca="false">K300+J301</f>
        <v>98.3</v>
      </c>
      <c r="L301" s="1" t="n">
        <v>1.8</v>
      </c>
      <c r="M301" s="1" t="n">
        <f aca="false">M300+L301</f>
        <v>128.6</v>
      </c>
      <c r="N301" s="1" t="n">
        <v>1.5</v>
      </c>
      <c r="O301" s="1" t="n">
        <f aca="false">O300+N301</f>
        <v>33</v>
      </c>
      <c r="P301" s="6" t="n">
        <v>46</v>
      </c>
      <c r="Q301" s="1" t="n">
        <f aca="false">0.35+((P301-7)/70)*(1-0.35)</f>
        <v>0.712142857142857</v>
      </c>
      <c r="R301" s="16" t="n">
        <f aca="false">Q301*L301</f>
        <v>1.28185714285714</v>
      </c>
      <c r="S301" s="16" t="n">
        <f aca="false">J301-R301</f>
        <v>2.01814285714286</v>
      </c>
      <c r="T301" s="17" t="n">
        <f aca="false">T300+S301</f>
        <v>46.2745714285714</v>
      </c>
      <c r="V301" s="1" t="n">
        <v>991.4</v>
      </c>
      <c r="X301" s="1" t="n">
        <f aca="false">X300+V301</f>
        <v>55698.3</v>
      </c>
      <c r="AA301" s="1" t="n">
        <v>10.7125047445855</v>
      </c>
    </row>
    <row r="302" s="1" customFormat="true" ht="15" hidden="false" customHeight="false" outlineLevel="0" collapsed="false">
      <c r="A302" s="14"/>
      <c r="B302" s="2"/>
      <c r="C302" s="8" t="n">
        <v>40475</v>
      </c>
      <c r="D302" s="1" t="n">
        <v>11.4</v>
      </c>
      <c r="E302" s="1" t="n">
        <v>10.5</v>
      </c>
      <c r="F302" s="1" t="n">
        <v>12.9</v>
      </c>
      <c r="G302" s="1" t="n">
        <f aca="false">G301+D302</f>
        <v>737.5</v>
      </c>
      <c r="J302" s="1" t="n">
        <v>16.9</v>
      </c>
      <c r="K302" s="1" t="n">
        <f aca="false">K301+J302</f>
        <v>115.2</v>
      </c>
      <c r="L302" s="1" t="n">
        <v>0.6</v>
      </c>
      <c r="M302" s="1" t="n">
        <f aca="false">M301+L302</f>
        <v>129.2</v>
      </c>
      <c r="N302" s="1" t="n">
        <v>16.3</v>
      </c>
      <c r="O302" s="1" t="n">
        <f aca="false">O301+N302</f>
        <v>49.3</v>
      </c>
      <c r="P302" s="6" t="n">
        <v>47</v>
      </c>
      <c r="Q302" s="1" t="n">
        <f aca="false">0.35+((P302-7)/70)*(1-0.35)</f>
        <v>0.721428571428571</v>
      </c>
      <c r="R302" s="16" t="n">
        <f aca="false">Q302*L302</f>
        <v>0.432857142857143</v>
      </c>
      <c r="S302" s="16" t="n">
        <f aca="false">J302-R302</f>
        <v>16.4671428571429</v>
      </c>
      <c r="T302" s="17" t="n">
        <f aca="false">T301+S302</f>
        <v>62.7417142857143</v>
      </c>
      <c r="V302" s="1" t="n">
        <v>186.3</v>
      </c>
      <c r="X302" s="1" t="n">
        <f aca="false">X301+V302</f>
        <v>55884.6</v>
      </c>
      <c r="AA302" s="1" t="n">
        <v>10.6652596420924</v>
      </c>
    </row>
    <row r="303" s="1" customFormat="true" ht="15" hidden="false" customHeight="false" outlineLevel="0" collapsed="false">
      <c r="A303" s="14"/>
      <c r="B303" s="2"/>
      <c r="C303" s="8" t="n">
        <v>40476</v>
      </c>
      <c r="D303" s="1" t="n">
        <v>8.7</v>
      </c>
      <c r="E303" s="1" t="n">
        <v>8.1</v>
      </c>
      <c r="F303" s="1" t="n">
        <v>11.2</v>
      </c>
      <c r="G303" s="1" t="n">
        <f aca="false">G302+D303</f>
        <v>746.2</v>
      </c>
      <c r="J303" s="1" t="n">
        <v>0</v>
      </c>
      <c r="K303" s="1" t="n">
        <f aca="false">K302+J303</f>
        <v>115.2</v>
      </c>
      <c r="L303" s="1" t="n">
        <v>2.1</v>
      </c>
      <c r="M303" s="1" t="n">
        <f aca="false">M302+L303</f>
        <v>131.3</v>
      </c>
      <c r="N303" s="1" t="n">
        <v>-2.1</v>
      </c>
      <c r="O303" s="1" t="n">
        <f aca="false">O302+N303</f>
        <v>47.2</v>
      </c>
      <c r="P303" s="6" t="n">
        <v>48</v>
      </c>
      <c r="Q303" s="1" t="n">
        <f aca="false">0.35+((P303-7)/70)*(1-0.35)</f>
        <v>0.730714285714286</v>
      </c>
      <c r="R303" s="16" t="n">
        <f aca="false">Q303*L303</f>
        <v>1.5345</v>
      </c>
      <c r="S303" s="16" t="n">
        <f aca="false">J303-R303</f>
        <v>-1.5345</v>
      </c>
      <c r="T303" s="17" t="n">
        <f aca="false">T302+S303</f>
        <v>61.2072142857143</v>
      </c>
      <c r="V303" s="1" t="n">
        <v>928.3</v>
      </c>
      <c r="X303" s="1" t="n">
        <f aca="false">X302+V303</f>
        <v>56812.9</v>
      </c>
      <c r="AA303" s="1" t="n">
        <v>10.618240425247</v>
      </c>
    </row>
    <row r="304" s="1" customFormat="true" ht="15" hidden="false" customHeight="false" outlineLevel="0" collapsed="false">
      <c r="A304" s="14"/>
      <c r="B304" s="2"/>
      <c r="C304" s="8" t="n">
        <v>40477</v>
      </c>
      <c r="D304" s="1" t="n">
        <v>7</v>
      </c>
      <c r="E304" s="1" t="n">
        <v>4</v>
      </c>
      <c r="F304" s="1" t="n">
        <v>12.6</v>
      </c>
      <c r="G304" s="1" t="n">
        <f aca="false">G303+D304</f>
        <v>753.2</v>
      </c>
      <c r="J304" s="1" t="n">
        <v>0</v>
      </c>
      <c r="K304" s="1" t="n">
        <f aca="false">K303+J304</f>
        <v>115.2</v>
      </c>
      <c r="L304" s="1" t="n">
        <v>2.3</v>
      </c>
      <c r="M304" s="1" t="n">
        <f aca="false">M303+L304</f>
        <v>133.6</v>
      </c>
      <c r="N304" s="1" t="n">
        <v>-2.3</v>
      </c>
      <c r="O304" s="1" t="n">
        <f aca="false">O303+N304</f>
        <v>44.9</v>
      </c>
      <c r="P304" s="6" t="n">
        <v>49</v>
      </c>
      <c r="Q304" s="1" t="n">
        <f aca="false">0.35+((P304-7)/70)*(1-0.35)</f>
        <v>0.74</v>
      </c>
      <c r="R304" s="16" t="n">
        <f aca="false">Q304*L304</f>
        <v>1.702</v>
      </c>
      <c r="S304" s="16" t="n">
        <f aca="false">J304-R304</f>
        <v>-1.702</v>
      </c>
      <c r="T304" s="17" t="n">
        <f aca="false">T303+S304</f>
        <v>59.5052142857143</v>
      </c>
      <c r="V304" s="1" t="n">
        <v>1282.9</v>
      </c>
      <c r="X304" s="1" t="n">
        <f aca="false">X303+V304</f>
        <v>58095.8</v>
      </c>
      <c r="AA304" s="1" t="n">
        <v>10.5714598921816</v>
      </c>
    </row>
    <row r="305" s="1" customFormat="true" ht="15" hidden="false" customHeight="false" outlineLevel="0" collapsed="false">
      <c r="A305" s="14"/>
      <c r="B305" s="2"/>
      <c r="C305" s="8" t="n">
        <v>40478</v>
      </c>
      <c r="D305" s="1" t="n">
        <v>7.5</v>
      </c>
      <c r="E305" s="1" t="n">
        <v>0.4</v>
      </c>
      <c r="F305" s="1" t="n">
        <v>14.8</v>
      </c>
      <c r="G305" s="1" t="n">
        <f aca="false">G304+D305</f>
        <v>760.7</v>
      </c>
      <c r="J305" s="1" t="n">
        <v>0</v>
      </c>
      <c r="K305" s="1" t="n">
        <f aca="false">K304+J305</f>
        <v>115.2</v>
      </c>
      <c r="L305" s="1" t="n">
        <v>1.9</v>
      </c>
      <c r="M305" s="1" t="n">
        <f aca="false">M304+L305</f>
        <v>135.5</v>
      </c>
      <c r="N305" s="1" t="n">
        <v>-1.9</v>
      </c>
      <c r="O305" s="1" t="n">
        <f aca="false">O304+N305</f>
        <v>43</v>
      </c>
      <c r="P305" s="6" t="n">
        <v>50</v>
      </c>
      <c r="Q305" s="1" t="n">
        <f aca="false">0.35+((P305-7)/70)*(1-0.35)</f>
        <v>0.749285714285714</v>
      </c>
      <c r="R305" s="16" t="n">
        <f aca="false">Q305*L305</f>
        <v>1.42364285714286</v>
      </c>
      <c r="S305" s="16" t="n">
        <f aca="false">J305-R305</f>
        <v>-1.42364285714286</v>
      </c>
      <c r="T305" s="17" t="n">
        <f aca="false">T304+S305</f>
        <v>58.0815714285714</v>
      </c>
      <c r="V305" s="1" t="n">
        <v>1232</v>
      </c>
      <c r="X305" s="1" t="n">
        <f aca="false">X304+V305</f>
        <v>59327.8</v>
      </c>
      <c r="AA305" s="1" t="n">
        <v>10.5249312897583</v>
      </c>
    </row>
    <row r="306" s="1" customFormat="true" ht="15" hidden="false" customHeight="false" outlineLevel="0" collapsed="false">
      <c r="A306" s="14"/>
      <c r="B306" s="2"/>
      <c r="C306" s="8" t="n">
        <v>40479</v>
      </c>
      <c r="D306" s="1" t="n">
        <v>9.2</v>
      </c>
      <c r="E306" s="1" t="n">
        <v>4.9</v>
      </c>
      <c r="F306" s="1" t="n">
        <v>13.6</v>
      </c>
      <c r="G306" s="1" t="n">
        <f aca="false">G305+D306</f>
        <v>769.9</v>
      </c>
      <c r="J306" s="1" t="n">
        <v>0</v>
      </c>
      <c r="K306" s="1" t="n">
        <f aca="false">K305+J306</f>
        <v>115.2</v>
      </c>
      <c r="L306" s="1" t="n">
        <v>1.8</v>
      </c>
      <c r="M306" s="1" t="n">
        <f aca="false">M305+L306</f>
        <v>137.3</v>
      </c>
      <c r="N306" s="1" t="n">
        <v>-1.8</v>
      </c>
      <c r="O306" s="1" t="n">
        <f aca="false">O305+N306</f>
        <v>41.2</v>
      </c>
      <c r="P306" s="6" t="n">
        <v>51</v>
      </c>
      <c r="Q306" s="1" t="n">
        <f aca="false">0.35+((P306-7)/70)*(1-0.35)</f>
        <v>0.758571428571429</v>
      </c>
      <c r="R306" s="16" t="n">
        <f aca="false">Q306*L306</f>
        <v>1.36542857142857</v>
      </c>
      <c r="S306" s="16" t="n">
        <f aca="false">J306-R306</f>
        <v>-1.36542857142857</v>
      </c>
      <c r="T306" s="17" t="n">
        <f aca="false">T305+S306</f>
        <v>56.7161428571429</v>
      </c>
      <c r="V306" s="1" t="n">
        <v>1212.8</v>
      </c>
      <c r="X306" s="1" t="n">
        <f aca="false">X305+V306</f>
        <v>60540.6</v>
      </c>
      <c r="AA306" s="1" t="n">
        <v>10.4786683227474</v>
      </c>
    </row>
    <row r="307" s="1" customFormat="true" ht="15" hidden="false" customHeight="false" outlineLevel="0" collapsed="false">
      <c r="A307" s="14"/>
      <c r="B307" s="2"/>
      <c r="C307" s="8" t="n">
        <v>40480</v>
      </c>
      <c r="D307" s="1" t="n">
        <v>13.9</v>
      </c>
      <c r="E307" s="1" t="n">
        <v>7</v>
      </c>
      <c r="F307" s="1" t="n">
        <v>18.8</v>
      </c>
      <c r="G307" s="1" t="n">
        <f aca="false">G306+D307</f>
        <v>783.8</v>
      </c>
      <c r="J307" s="1" t="n">
        <v>0.1</v>
      </c>
      <c r="K307" s="1" t="n">
        <f aca="false">K306+J307</f>
        <v>115.3</v>
      </c>
      <c r="L307" s="1" t="n">
        <v>1.4</v>
      </c>
      <c r="M307" s="1" t="n">
        <f aca="false">M306+L307</f>
        <v>138.7</v>
      </c>
      <c r="N307" s="1" t="n">
        <v>-1.3</v>
      </c>
      <c r="O307" s="1" t="n">
        <f aca="false">O306+N307</f>
        <v>39.9</v>
      </c>
      <c r="P307" s="6" t="n">
        <v>52</v>
      </c>
      <c r="Q307" s="1" t="n">
        <f aca="false">0.35+((P307-7)/70)*(1-0.35)</f>
        <v>0.767857142857143</v>
      </c>
      <c r="R307" s="16" t="n">
        <f aca="false">Q307*L307</f>
        <v>1.075</v>
      </c>
      <c r="S307" s="16" t="n">
        <f aca="false">J307-R307</f>
        <v>-0.975</v>
      </c>
      <c r="T307" s="17" t="n">
        <f aca="false">T306+S307</f>
        <v>55.7411428571429</v>
      </c>
      <c r="V307" s="1" t="n">
        <v>622.7</v>
      </c>
      <c r="X307" s="1" t="n">
        <f aca="false">X306+V307</f>
        <v>61163.3</v>
      </c>
      <c r="AA307" s="1" t="n">
        <v>10.4326851621711</v>
      </c>
    </row>
    <row r="308" s="1" customFormat="true" ht="15" hidden="false" customHeight="false" outlineLevel="0" collapsed="false">
      <c r="A308" s="14"/>
      <c r="B308" s="2"/>
      <c r="C308" s="8" t="n">
        <v>40481</v>
      </c>
      <c r="D308" s="1" t="n">
        <v>12.9</v>
      </c>
      <c r="E308" s="1" t="n">
        <v>10.3</v>
      </c>
      <c r="F308" s="1" t="n">
        <v>17</v>
      </c>
      <c r="G308" s="1" t="n">
        <f aca="false">G307+D308</f>
        <v>796.7</v>
      </c>
      <c r="J308" s="1" t="n">
        <v>0</v>
      </c>
      <c r="K308" s="1" t="n">
        <f aca="false">K307+J308</f>
        <v>115.3</v>
      </c>
      <c r="L308" s="1" t="n">
        <v>1.8</v>
      </c>
      <c r="M308" s="1" t="n">
        <f aca="false">M307+L308</f>
        <v>140.5</v>
      </c>
      <c r="N308" s="1" t="n">
        <v>-1.8</v>
      </c>
      <c r="O308" s="1" t="n">
        <f aca="false">O307+N308</f>
        <v>38.1</v>
      </c>
      <c r="P308" s="6" t="n">
        <v>53</v>
      </c>
      <c r="Q308" s="1" t="n">
        <f aca="false">0.35+((P308-7)/70)*(1-0.35)</f>
        <v>0.777142857142857</v>
      </c>
      <c r="R308" s="16" t="n">
        <f aca="false">Q308*L308</f>
        <v>1.39885714285714</v>
      </c>
      <c r="S308" s="16" t="n">
        <f aca="false">J308-R308</f>
        <v>-1.39885714285714</v>
      </c>
      <c r="T308" s="17" t="n">
        <f aca="false">T307+S308</f>
        <v>54.3422857142857</v>
      </c>
      <c r="V308" s="1" t="n">
        <v>958.3</v>
      </c>
      <c r="X308" s="1" t="n">
        <f aca="false">X307+V308</f>
        <v>62121.6</v>
      </c>
      <c r="AA308" s="1" t="n">
        <v>10.3869964527256</v>
      </c>
    </row>
    <row r="309" s="1" customFormat="true" ht="15" hidden="false" customHeight="false" outlineLevel="0" collapsed="false">
      <c r="A309" s="14"/>
      <c r="B309" s="2"/>
      <c r="C309" s="8" t="n">
        <v>40482</v>
      </c>
      <c r="D309" s="1" t="n">
        <v>11.1</v>
      </c>
      <c r="E309" s="1" t="n">
        <v>9.4</v>
      </c>
      <c r="F309" s="1" t="n">
        <v>12.7</v>
      </c>
      <c r="G309" s="1" t="n">
        <f aca="false">G308+D309</f>
        <v>807.8</v>
      </c>
      <c r="J309" s="1" t="n">
        <v>8.5</v>
      </c>
      <c r="K309" s="1" t="n">
        <f aca="false">K308+J309</f>
        <v>123.8</v>
      </c>
      <c r="L309" s="1" t="n">
        <v>0.5</v>
      </c>
      <c r="M309" s="1" t="n">
        <f aca="false">M308+L309</f>
        <v>141</v>
      </c>
      <c r="N309" s="1" t="n">
        <v>8</v>
      </c>
      <c r="O309" s="1" t="n">
        <f aca="false">O308+N309</f>
        <v>46.1</v>
      </c>
      <c r="P309" s="6" t="n">
        <v>54</v>
      </c>
      <c r="Q309" s="1" t="n">
        <f aca="false">0.35+((P309-7)/70)*(1-0.35)</f>
        <v>0.786428571428571</v>
      </c>
      <c r="R309" s="16" t="n">
        <f aca="false">Q309*L309</f>
        <v>0.393214285714286</v>
      </c>
      <c r="S309" s="16" t="n">
        <f aca="false">J309-R309</f>
        <v>8.10678571428571</v>
      </c>
      <c r="T309" s="17" t="n">
        <f aca="false">T308+S309</f>
        <v>62.4490714285714</v>
      </c>
      <c r="V309" s="1" t="n">
        <v>219.1</v>
      </c>
      <c r="X309" s="1" t="n">
        <f aca="false">X308+V309</f>
        <v>62340.7</v>
      </c>
      <c r="AA309" s="1" t="n">
        <v>10.3416173191965</v>
      </c>
    </row>
    <row r="310" s="1" customFormat="true" ht="15" hidden="false" customHeight="false" outlineLevel="0" collapsed="false">
      <c r="A310" s="14"/>
      <c r="B310" s="2"/>
      <c r="C310" s="8" t="n">
        <v>40483</v>
      </c>
      <c r="D310" s="1" t="n">
        <v>12.1</v>
      </c>
      <c r="E310" s="1" t="n">
        <v>10.7</v>
      </c>
      <c r="F310" s="1" t="n">
        <v>12.9</v>
      </c>
      <c r="G310" s="1" t="n">
        <f aca="false">G309+D310</f>
        <v>819.9</v>
      </c>
      <c r="J310" s="1" t="n">
        <v>1.9</v>
      </c>
      <c r="K310" s="1" t="n">
        <f aca="false">K309+J310</f>
        <v>125.7</v>
      </c>
      <c r="L310" s="1" t="n">
        <v>0.6</v>
      </c>
      <c r="M310" s="1" t="n">
        <f aca="false">M309+L310</f>
        <v>141.6</v>
      </c>
      <c r="N310" s="1" t="n">
        <v>1.3</v>
      </c>
      <c r="O310" s="1" t="n">
        <f aca="false">O309+N310</f>
        <v>47.4</v>
      </c>
      <c r="P310" s="6" t="n">
        <v>55</v>
      </c>
      <c r="Q310" s="1" t="n">
        <f aca="false">0.35+((P310-7)/70)*(1-0.35)</f>
        <v>0.795714285714286</v>
      </c>
      <c r="R310" s="16" t="n">
        <f aca="false">Q310*L310</f>
        <v>0.477428571428571</v>
      </c>
      <c r="S310" s="16" t="n">
        <f aca="false">J310-R310</f>
        <v>1.42257142857143</v>
      </c>
      <c r="T310" s="17" t="n">
        <f aca="false">T309+S310</f>
        <v>63.8716428571429</v>
      </c>
      <c r="V310" s="1" t="n">
        <v>218.2</v>
      </c>
      <c r="X310" s="1" t="n">
        <f aca="false">X309+V310</f>
        <v>62558.9</v>
      </c>
      <c r="AA310" s="1" t="n">
        <v>10.2965633717737</v>
      </c>
    </row>
    <row r="311" s="1" customFormat="true" ht="15" hidden="false" customHeight="false" outlineLevel="0" collapsed="false">
      <c r="A311" s="14"/>
      <c r="B311" s="2"/>
      <c r="C311" s="8" t="n">
        <v>40484</v>
      </c>
      <c r="D311" s="1" t="n">
        <v>13.5</v>
      </c>
      <c r="E311" s="1" t="n">
        <v>11.1</v>
      </c>
      <c r="F311" s="1" t="n">
        <v>16.3</v>
      </c>
      <c r="G311" s="1" t="n">
        <f aca="false">G310+D311</f>
        <v>833.4</v>
      </c>
      <c r="J311" s="1" t="n">
        <v>0.8</v>
      </c>
      <c r="K311" s="1" t="n">
        <f aca="false">K310+J311</f>
        <v>126.5</v>
      </c>
      <c r="L311" s="1" t="n">
        <v>1.9</v>
      </c>
      <c r="M311" s="1" t="n">
        <f aca="false">M310+L311</f>
        <v>143.5</v>
      </c>
      <c r="N311" s="1" t="n">
        <v>-1.1</v>
      </c>
      <c r="O311" s="1" t="n">
        <f aca="false">O310+N311</f>
        <v>46.3</v>
      </c>
      <c r="P311" s="6" t="n">
        <v>56</v>
      </c>
      <c r="Q311" s="1" t="n">
        <f aca="false">0.35+((P311-7)/70)*(1-0.35)</f>
        <v>0.805</v>
      </c>
      <c r="R311" s="16" t="n">
        <f aca="false">Q311*L311</f>
        <v>1.5295</v>
      </c>
      <c r="S311" s="16" t="n">
        <f aca="false">J311-R311</f>
        <v>-0.7295</v>
      </c>
      <c r="T311" s="17" t="n">
        <f aca="false">T310+S311</f>
        <v>63.1421428571429</v>
      </c>
      <c r="V311" s="1" t="n">
        <v>817.7</v>
      </c>
      <c r="X311" s="1" t="n">
        <f aca="false">X310+V311</f>
        <v>63376.6</v>
      </c>
      <c r="AA311" s="1" t="n">
        <v>10.2518507101715</v>
      </c>
    </row>
    <row r="312" s="1" customFormat="true" ht="15" hidden="false" customHeight="false" outlineLevel="0" collapsed="false">
      <c r="A312" s="14"/>
      <c r="B312" s="2"/>
      <c r="C312" s="8" t="n">
        <v>40485</v>
      </c>
      <c r="D312" s="1" t="n">
        <v>14.8</v>
      </c>
      <c r="E312" s="1" t="n">
        <v>13.2</v>
      </c>
      <c r="F312" s="1" t="n">
        <v>16.8</v>
      </c>
      <c r="G312" s="1" t="n">
        <f aca="false">G311+D312</f>
        <v>848.2</v>
      </c>
      <c r="J312" s="1" t="n">
        <v>0.6</v>
      </c>
      <c r="K312" s="1" t="n">
        <f aca="false">K311+J312</f>
        <v>127.1</v>
      </c>
      <c r="L312" s="1" t="n">
        <v>1</v>
      </c>
      <c r="M312" s="1" t="n">
        <f aca="false">M311+L312</f>
        <v>144.5</v>
      </c>
      <c r="N312" s="1" t="n">
        <v>-0.4</v>
      </c>
      <c r="O312" s="1" t="n">
        <f aca="false">O311+N312</f>
        <v>45.9</v>
      </c>
      <c r="P312" s="6" t="n">
        <v>57</v>
      </c>
      <c r="Q312" s="1" t="n">
        <f aca="false">0.35+((P312-7)/70)*(1-0.35)</f>
        <v>0.814285714285714</v>
      </c>
      <c r="R312" s="16" t="n">
        <f aca="false">Q312*L312</f>
        <v>0.814285714285714</v>
      </c>
      <c r="S312" s="16" t="n">
        <f aca="false">J312-R312</f>
        <v>-0.214285714285714</v>
      </c>
      <c r="T312" s="17" t="n">
        <f aca="false">T311+S312</f>
        <v>62.9278571428571</v>
      </c>
      <c r="V312" s="1" t="n">
        <v>301.4</v>
      </c>
      <c r="X312" s="1" t="n">
        <f aca="false">X311+V312</f>
        <v>63678</v>
      </c>
      <c r="AA312" s="1" t="n">
        <v>10.2074959264554</v>
      </c>
    </row>
    <row r="313" s="1" customFormat="true" ht="15" hidden="false" customHeight="false" outlineLevel="0" collapsed="false">
      <c r="A313" s="14"/>
      <c r="B313" s="2"/>
      <c r="C313" s="8" t="n">
        <v>40486</v>
      </c>
      <c r="D313" s="1" t="n">
        <v>14.2</v>
      </c>
      <c r="E313" s="1" t="n">
        <v>11.4</v>
      </c>
      <c r="F313" s="1" t="n">
        <v>17.3</v>
      </c>
      <c r="G313" s="1" t="n">
        <f aca="false">G312+D313</f>
        <v>862.4</v>
      </c>
      <c r="J313" s="1" t="n">
        <v>0</v>
      </c>
      <c r="K313" s="1" t="n">
        <f aca="false">K312+J313</f>
        <v>127.1</v>
      </c>
      <c r="L313" s="1" t="n">
        <v>1.6</v>
      </c>
      <c r="M313" s="1" t="n">
        <f aca="false">M312+L313</f>
        <v>146.1</v>
      </c>
      <c r="N313" s="1" t="n">
        <v>-1.6</v>
      </c>
      <c r="O313" s="1" t="n">
        <f aca="false">O312+N313</f>
        <v>44.3</v>
      </c>
      <c r="P313" s="6" t="n">
        <v>58</v>
      </c>
      <c r="Q313" s="1" t="n">
        <f aca="false">0.35+((P313-7)/70)*(1-0.35)</f>
        <v>0.823571428571429</v>
      </c>
      <c r="R313" s="16" t="n">
        <f aca="false">Q313*L313</f>
        <v>1.31771428571429</v>
      </c>
      <c r="S313" s="16" t="n">
        <f aca="false">J313-R313</f>
        <v>-1.31771428571429</v>
      </c>
      <c r="T313" s="17" t="n">
        <f aca="false">T312+S313</f>
        <v>61.6101428571429</v>
      </c>
      <c r="V313" s="1" t="n">
        <v>764.8</v>
      </c>
      <c r="X313" s="1" t="n">
        <f aca="false">X312+V313</f>
        <v>64442.8</v>
      </c>
      <c r="AA313" s="1" t="n">
        <v>10.1635161064736</v>
      </c>
    </row>
    <row r="314" s="1" customFormat="true" ht="15" hidden="false" customHeight="false" outlineLevel="0" collapsed="false">
      <c r="A314" s="14"/>
      <c r="B314" s="2"/>
      <c r="C314" s="8" t="n">
        <v>40487</v>
      </c>
      <c r="D314" s="1" t="n">
        <v>14.6</v>
      </c>
      <c r="E314" s="1" t="n">
        <v>14.1</v>
      </c>
      <c r="F314" s="1" t="n">
        <v>15.2</v>
      </c>
      <c r="G314" s="1" t="n">
        <f aca="false">G313+D314</f>
        <v>877</v>
      </c>
      <c r="J314" s="1" t="n">
        <v>0</v>
      </c>
      <c r="K314" s="1" t="n">
        <f aca="false">K313+J314</f>
        <v>127.1</v>
      </c>
      <c r="L314" s="1" t="n">
        <v>0.9</v>
      </c>
      <c r="M314" s="1" t="n">
        <f aca="false">M313+L314</f>
        <v>147</v>
      </c>
      <c r="N314" s="1" t="n">
        <v>-0.9</v>
      </c>
      <c r="O314" s="1" t="n">
        <f aca="false">O313+N314</f>
        <v>43.4</v>
      </c>
      <c r="P314" s="6" t="n">
        <v>59</v>
      </c>
      <c r="Q314" s="1" t="n">
        <f aca="false">0.35+((P314-7)/70)*(1-0.35)</f>
        <v>0.832857142857143</v>
      </c>
      <c r="R314" s="16" t="n">
        <f aca="false">Q314*L314</f>
        <v>0.749571428571429</v>
      </c>
      <c r="S314" s="16" t="n">
        <f aca="false">J314-R314</f>
        <v>-0.749571428571429</v>
      </c>
      <c r="T314" s="17" t="n">
        <f aca="false">T313+S314</f>
        <v>60.8605714285714</v>
      </c>
      <c r="V314" s="1" t="n">
        <v>224.5</v>
      </c>
      <c r="X314" s="1" t="n">
        <f aca="false">X313+V314</f>
        <v>64667.3</v>
      </c>
      <c r="AA314" s="1" t="n">
        <v>10.1199288297901</v>
      </c>
    </row>
    <row r="315" s="1" customFormat="true" ht="15" hidden="false" customHeight="false" outlineLevel="0" collapsed="false">
      <c r="A315" s="14"/>
      <c r="B315" s="2"/>
      <c r="C315" s="8" t="n">
        <v>40488</v>
      </c>
      <c r="D315" s="1" t="n">
        <v>14.3</v>
      </c>
      <c r="E315" s="1" t="n">
        <v>12.9</v>
      </c>
      <c r="F315" s="1" t="n">
        <v>16.4</v>
      </c>
      <c r="G315" s="1" t="n">
        <f aca="false">G314+D315</f>
        <v>891.3</v>
      </c>
      <c r="J315" s="1" t="n">
        <v>2.2</v>
      </c>
      <c r="K315" s="1" t="n">
        <f aca="false">K314+J315</f>
        <v>129.3</v>
      </c>
      <c r="L315" s="1" t="n">
        <v>0.7</v>
      </c>
      <c r="M315" s="1" t="n">
        <f aca="false">M314+L315</f>
        <v>147.7</v>
      </c>
      <c r="N315" s="1" t="n">
        <v>1.5</v>
      </c>
      <c r="O315" s="1" t="n">
        <f aca="false">O314+N315</f>
        <v>44.9</v>
      </c>
      <c r="P315" s="6" t="n">
        <v>60</v>
      </c>
      <c r="Q315" s="1" t="n">
        <f aca="false">0.35+((P315-7)/70)*(1-0.35)</f>
        <v>0.842142857142857</v>
      </c>
      <c r="R315" s="16" t="n">
        <f aca="false">Q315*L315</f>
        <v>0.5895</v>
      </c>
      <c r="S315" s="16" t="n">
        <f aca="false">J315-R315</f>
        <v>1.6105</v>
      </c>
      <c r="T315" s="17" t="n">
        <f aca="false">T314+S315</f>
        <v>62.4710714285714</v>
      </c>
      <c r="V315" s="1" t="n">
        <v>346.4</v>
      </c>
      <c r="X315" s="1" t="n">
        <f aca="false">X314+V315</f>
        <v>65013.7</v>
      </c>
      <c r="AA315" s="1" t="n">
        <v>10.0767521680136</v>
      </c>
    </row>
    <row r="316" s="1" customFormat="true" ht="15" hidden="false" customHeight="false" outlineLevel="0" collapsed="false">
      <c r="A316" s="14"/>
      <c r="B316" s="2"/>
      <c r="C316" s="8" t="n">
        <v>40489</v>
      </c>
      <c r="D316" s="1" t="n">
        <v>10.4</v>
      </c>
      <c r="E316" s="1" t="n">
        <v>8.7</v>
      </c>
      <c r="F316" s="1" t="n">
        <v>12.6</v>
      </c>
      <c r="G316" s="1" t="n">
        <f aca="false">G315+D316</f>
        <v>901.7</v>
      </c>
      <c r="J316" s="1" t="n">
        <v>5</v>
      </c>
      <c r="K316" s="1" t="n">
        <f aca="false">K315+J316</f>
        <v>134.3</v>
      </c>
      <c r="L316" s="1" t="n">
        <v>0.9</v>
      </c>
      <c r="M316" s="1" t="n">
        <f aca="false">M315+L316</f>
        <v>148.6</v>
      </c>
      <c r="N316" s="1" t="n">
        <v>4.1</v>
      </c>
      <c r="O316" s="1" t="n">
        <f aca="false">O315+N316</f>
        <v>49</v>
      </c>
      <c r="P316" s="6" t="n">
        <v>61</v>
      </c>
      <c r="Q316" s="1" t="n">
        <f aca="false">0.35+((P316-7)/70)*(1-0.35)</f>
        <v>0.851428571428571</v>
      </c>
      <c r="R316" s="16" t="n">
        <f aca="false">Q316*L316</f>
        <v>0.766285714285714</v>
      </c>
      <c r="S316" s="16" t="n">
        <f aca="false">J316-R316</f>
        <v>4.23371428571429</v>
      </c>
      <c r="T316" s="17" t="n">
        <f aca="false">T315+S316</f>
        <v>66.7047857142857</v>
      </c>
      <c r="V316" s="1" t="n">
        <v>301.4</v>
      </c>
      <c r="X316" s="1" t="n">
        <f aca="false">X315+V316</f>
        <v>65315.1</v>
      </c>
      <c r="AA316" s="1" t="n">
        <v>10.0340046814152</v>
      </c>
    </row>
    <row r="317" s="1" customFormat="true" ht="15" hidden="false" customHeight="false" outlineLevel="0" collapsed="false">
      <c r="A317" s="14"/>
      <c r="B317" s="2"/>
      <c r="C317" s="8" t="n">
        <v>40490</v>
      </c>
      <c r="D317" s="1" t="n">
        <v>8.5</v>
      </c>
      <c r="E317" s="1" t="n">
        <v>6.1</v>
      </c>
      <c r="F317" s="1" t="n">
        <v>9.7</v>
      </c>
      <c r="G317" s="1" t="n">
        <f aca="false">G316+D317</f>
        <v>910.2</v>
      </c>
      <c r="J317" s="1" t="n">
        <v>10.2</v>
      </c>
      <c r="K317" s="1" t="n">
        <f aca="false">K316+J317</f>
        <v>144.5</v>
      </c>
      <c r="L317" s="1" t="n">
        <v>0.7</v>
      </c>
      <c r="M317" s="1" t="n">
        <f aca="false">M316+L317</f>
        <v>149.3</v>
      </c>
      <c r="N317" s="1" t="n">
        <v>9.5</v>
      </c>
      <c r="O317" s="1" t="n">
        <f aca="false">O316+N317</f>
        <v>58.5</v>
      </c>
      <c r="P317" s="6" t="n">
        <v>62</v>
      </c>
      <c r="Q317" s="1" t="n">
        <f aca="false">0.35+((P317-7)/70)*(1-0.35)</f>
        <v>0.860714285714286</v>
      </c>
      <c r="R317" s="16" t="n">
        <f aca="false">Q317*L317</f>
        <v>0.6025</v>
      </c>
      <c r="S317" s="16" t="n">
        <f aca="false">J317-R317</f>
        <v>9.5975</v>
      </c>
      <c r="T317" s="17" t="n">
        <f aca="false">T316+S317</f>
        <v>76.3022857142857</v>
      </c>
      <c r="V317" s="1" t="n">
        <v>146.4</v>
      </c>
      <c r="X317" s="1" t="n">
        <f aca="false">X316+V317</f>
        <v>65461.5</v>
      </c>
      <c r="AA317" s="1" t="n">
        <v>9.99170541372749</v>
      </c>
    </row>
    <row r="318" s="1" customFormat="true" ht="15" hidden="false" customHeight="false" outlineLevel="0" collapsed="false">
      <c r="A318" s="14"/>
      <c r="B318" s="2"/>
      <c r="C318" s="8" t="n">
        <v>40491</v>
      </c>
      <c r="D318" s="1" t="n">
        <v>10.8</v>
      </c>
      <c r="E318" s="1" t="n">
        <v>8.8</v>
      </c>
      <c r="F318" s="1" t="n">
        <v>14.4</v>
      </c>
      <c r="G318" s="1" t="n">
        <f aca="false">G317+D318</f>
        <v>921</v>
      </c>
      <c r="J318" s="1" t="n">
        <v>4.1</v>
      </c>
      <c r="K318" s="1" t="n">
        <f aca="false">K317+J318</f>
        <v>148.6</v>
      </c>
      <c r="L318" s="1" t="n">
        <v>1.9</v>
      </c>
      <c r="M318" s="1" t="n">
        <f aca="false">M317+L318</f>
        <v>151.2</v>
      </c>
      <c r="N318" s="1" t="n">
        <v>2.2</v>
      </c>
      <c r="O318" s="1" t="n">
        <f aca="false">O317+N318</f>
        <v>60.7</v>
      </c>
      <c r="P318" s="6" t="n">
        <v>63</v>
      </c>
      <c r="Q318" s="1" t="n">
        <f aca="false">0.35+((P318-7)/70)*(1-0.35)</f>
        <v>0.87</v>
      </c>
      <c r="R318" s="16" t="n">
        <f aca="false">Q318*L318</f>
        <v>1.653</v>
      </c>
      <c r="S318" s="16" t="n">
        <f aca="false">J318-R318</f>
        <v>2.447</v>
      </c>
      <c r="T318" s="17" t="n">
        <f aca="false">T317+S318</f>
        <v>78.7492857142857</v>
      </c>
      <c r="V318" s="1" t="n">
        <v>238.1</v>
      </c>
      <c r="X318" s="1" t="n">
        <f aca="false">X317+V318</f>
        <v>65699.6</v>
      </c>
      <c r="AA318" s="1" t="n">
        <v>9.94987388501861</v>
      </c>
    </row>
    <row r="319" s="1" customFormat="true" ht="15" hidden="false" customHeight="false" outlineLevel="0" collapsed="false">
      <c r="A319" s="14"/>
      <c r="B319" s="2"/>
      <c r="C319" s="8" t="n">
        <v>40492</v>
      </c>
      <c r="D319" s="1" t="n">
        <v>9.4</v>
      </c>
      <c r="E319" s="1" t="n">
        <v>8.4</v>
      </c>
      <c r="F319" s="1" t="n">
        <v>11.8</v>
      </c>
      <c r="G319" s="1" t="n">
        <f aca="false">G318+D319</f>
        <v>930.4</v>
      </c>
      <c r="J319" s="1" t="n">
        <v>3.2</v>
      </c>
      <c r="K319" s="1" t="n">
        <f aca="false">K318+J319</f>
        <v>151.8</v>
      </c>
      <c r="L319" s="1" t="n">
        <v>1.3</v>
      </c>
      <c r="M319" s="1" t="n">
        <f aca="false">M318+L319</f>
        <v>152.5</v>
      </c>
      <c r="N319" s="1" t="n">
        <v>1.9</v>
      </c>
      <c r="O319" s="1" t="n">
        <f aca="false">O318+N319</f>
        <v>62.6</v>
      </c>
      <c r="P319" s="6" t="n">
        <v>64</v>
      </c>
      <c r="Q319" s="1" t="n">
        <f aca="false">0.35+((P319-7)/70)*(1-0.35)</f>
        <v>0.879285714285714</v>
      </c>
      <c r="R319" s="16" t="n">
        <f aca="false">Q319*L319</f>
        <v>1.14307142857143</v>
      </c>
      <c r="S319" s="16" t="n">
        <f aca="false">J319-R319</f>
        <v>2.05692857142857</v>
      </c>
      <c r="T319" s="17" t="n">
        <f aca="false">T318+S319</f>
        <v>80.8062142857143</v>
      </c>
      <c r="V319" s="1" t="n">
        <v>241.3</v>
      </c>
      <c r="X319" s="1" t="n">
        <f aca="false">X318+V319</f>
        <v>65940.9</v>
      </c>
      <c r="AA319" s="1" t="n">
        <v>9.90853008253434</v>
      </c>
    </row>
    <row r="320" s="1" customFormat="true" ht="15" hidden="false" customHeight="false" outlineLevel="0" collapsed="false">
      <c r="A320" s="14"/>
      <c r="B320" s="2"/>
      <c r="C320" s="8" t="n">
        <v>40493</v>
      </c>
      <c r="D320" s="1" t="n">
        <v>10.1</v>
      </c>
      <c r="E320" s="1" t="n">
        <v>4.1</v>
      </c>
      <c r="F320" s="1" t="n">
        <v>14.3</v>
      </c>
      <c r="G320" s="1" t="n">
        <f aca="false">G319+D320</f>
        <v>940.5</v>
      </c>
      <c r="J320" s="1" t="n">
        <v>1.7</v>
      </c>
      <c r="K320" s="1" t="n">
        <f aca="false">K319+J320</f>
        <v>153.5</v>
      </c>
      <c r="L320" s="1" t="n">
        <v>0.9</v>
      </c>
      <c r="M320" s="1" t="n">
        <f aca="false">M319+L320</f>
        <v>153.4</v>
      </c>
      <c r="N320" s="1" t="n">
        <v>0.8</v>
      </c>
      <c r="O320" s="1" t="n">
        <f aca="false">O319+N320</f>
        <v>63.4</v>
      </c>
      <c r="P320" s="6" t="n">
        <v>65</v>
      </c>
      <c r="Q320" s="1" t="n">
        <f aca="false">0.35+((P320-7)/70)*(1-0.35)</f>
        <v>0.888571428571429</v>
      </c>
      <c r="R320" s="16" t="n">
        <f aca="false">Q320*L320</f>
        <v>0.799714285714286</v>
      </c>
      <c r="S320" s="16" t="n">
        <f aca="false">J320-R320</f>
        <v>0.900285714285714</v>
      </c>
      <c r="T320" s="17" t="n">
        <f aca="false">T319+S320</f>
        <v>81.7065</v>
      </c>
      <c r="V320" s="1" t="n">
        <v>562.9</v>
      </c>
      <c r="X320" s="1" t="n">
        <f aca="false">X319+V320</f>
        <v>66503.8</v>
      </c>
      <c r="AA320" s="1" t="n">
        <v>9.86769444940539</v>
      </c>
    </row>
    <row r="321" s="1" customFormat="true" ht="15" hidden="false" customHeight="false" outlineLevel="0" collapsed="false">
      <c r="A321" s="14"/>
      <c r="B321" s="2"/>
      <c r="C321" s="8" t="n">
        <v>40494</v>
      </c>
      <c r="D321" s="1" t="n">
        <v>14.1</v>
      </c>
      <c r="E321" s="1" t="n">
        <v>12.3</v>
      </c>
      <c r="F321" s="1" t="n">
        <v>18.1</v>
      </c>
      <c r="G321" s="1" t="n">
        <f aca="false">G320+D321</f>
        <v>954.6</v>
      </c>
      <c r="J321" s="1" t="n">
        <v>0.7</v>
      </c>
      <c r="K321" s="1" t="n">
        <f aca="false">K320+J321</f>
        <v>154.2</v>
      </c>
      <c r="L321" s="1" t="n">
        <v>1.8</v>
      </c>
      <c r="M321" s="1" t="n">
        <f aca="false">M320+L321</f>
        <v>155.2</v>
      </c>
      <c r="N321" s="1" t="n">
        <v>-1.1</v>
      </c>
      <c r="O321" s="1" t="n">
        <f aca="false">O320+N321</f>
        <v>62.3</v>
      </c>
      <c r="P321" s="6" t="n">
        <v>66</v>
      </c>
      <c r="Q321" s="1" t="n">
        <f aca="false">0.35+((P321-7)/70)*(1-0.35)</f>
        <v>0.897857142857143</v>
      </c>
      <c r="R321" s="16" t="n">
        <f aca="false">Q321*L321</f>
        <v>1.61614285714286</v>
      </c>
      <c r="S321" s="16" t="n">
        <f aca="false">J321-R321</f>
        <v>-0.916142857142857</v>
      </c>
      <c r="T321" s="17" t="n">
        <f aca="false">T320+S321</f>
        <v>80.7903571428572</v>
      </c>
      <c r="V321" s="1" t="n">
        <v>322.6</v>
      </c>
      <c r="X321" s="1" t="n">
        <f aca="false">X320+V321</f>
        <v>66826.4</v>
      </c>
      <c r="AA321" s="1" t="n">
        <v>9.827387871119</v>
      </c>
    </row>
    <row r="322" s="1" customFormat="true" ht="15" hidden="false" customHeight="false" outlineLevel="0" collapsed="false">
      <c r="A322" s="14"/>
      <c r="B322" s="2"/>
      <c r="C322" s="8" t="n">
        <v>40495</v>
      </c>
      <c r="D322" s="1" t="n">
        <v>12</v>
      </c>
      <c r="E322" s="1" t="n">
        <v>5.7</v>
      </c>
      <c r="F322" s="1" t="n">
        <v>18.7</v>
      </c>
      <c r="G322" s="1" t="n">
        <f aca="false">G321+D322</f>
        <v>966.6</v>
      </c>
      <c r="J322" s="1" t="n">
        <v>0.1</v>
      </c>
      <c r="K322" s="1" t="n">
        <f aca="false">K321+J322</f>
        <v>154.3</v>
      </c>
      <c r="L322" s="1" t="n">
        <v>1.8</v>
      </c>
      <c r="M322" s="1" t="n">
        <f aca="false">M321+L322</f>
        <v>157</v>
      </c>
      <c r="N322" s="1" t="n">
        <v>-1.7</v>
      </c>
      <c r="O322" s="1" t="n">
        <f aca="false">O321+N322</f>
        <v>60.6</v>
      </c>
      <c r="P322" s="6" t="n">
        <v>67</v>
      </c>
      <c r="Q322" s="1" t="n">
        <f aca="false">0.35+((P322-7)/70)*(1-0.35)</f>
        <v>0.907142857142857</v>
      </c>
      <c r="R322" s="16" t="n">
        <f aca="false">Q322*L322</f>
        <v>1.63285714285714</v>
      </c>
      <c r="S322" s="16" t="n">
        <f aca="false">J322-R322</f>
        <v>-1.53285714285714</v>
      </c>
      <c r="T322" s="17" t="n">
        <f aca="false">T321+S322</f>
        <v>79.2575</v>
      </c>
      <c r="V322" s="1" t="n">
        <v>900.8</v>
      </c>
      <c r="X322" s="1" t="n">
        <f aca="false">X321+V322</f>
        <v>67727.2</v>
      </c>
      <c r="AA322" s="1" t="n">
        <v>9.7876316596586</v>
      </c>
    </row>
    <row r="323" s="1" customFormat="true" ht="15" hidden="false" customHeight="false" outlineLevel="0" collapsed="false">
      <c r="A323" s="14"/>
      <c r="B323" s="2"/>
      <c r="C323" s="8" t="n">
        <v>40496</v>
      </c>
      <c r="D323" s="1" t="n">
        <v>13.4</v>
      </c>
      <c r="E323" s="1" t="n">
        <v>11.9</v>
      </c>
      <c r="F323" s="1" t="n">
        <v>18.3</v>
      </c>
      <c r="G323" s="1" t="n">
        <f aca="false">G322+D323</f>
        <v>980</v>
      </c>
      <c r="J323" s="1" t="n">
        <v>8.6</v>
      </c>
      <c r="K323" s="1" t="n">
        <f aca="false">K322+J323</f>
        <v>162.9</v>
      </c>
      <c r="L323" s="1" t="n">
        <v>1.5</v>
      </c>
      <c r="M323" s="1" t="n">
        <f aca="false">M322+L323</f>
        <v>158.5</v>
      </c>
      <c r="N323" s="1" t="n">
        <v>7.1</v>
      </c>
      <c r="O323" s="1" t="n">
        <f aca="false">O322+N323</f>
        <v>67.7</v>
      </c>
      <c r="P323" s="6" t="n">
        <v>68</v>
      </c>
      <c r="Q323" s="1" t="n">
        <f aca="false">0.35+((P323-7)/70)*(1-0.35)</f>
        <v>0.916428571428572</v>
      </c>
      <c r="R323" s="16" t="n">
        <f aca="false">Q323*L323</f>
        <v>1.37464285714286</v>
      </c>
      <c r="S323" s="16" t="n">
        <f aca="false">J323-R323</f>
        <v>7.22535714285714</v>
      </c>
      <c r="T323" s="17" t="n">
        <f aca="false">T322+S323</f>
        <v>86.4828571428571</v>
      </c>
      <c r="V323" s="1" t="n">
        <v>556.8</v>
      </c>
      <c r="X323" s="1" t="n">
        <f aca="false">X322+V323</f>
        <v>68284</v>
      </c>
      <c r="AA323" s="1" t="n">
        <v>9.74844753522147</v>
      </c>
    </row>
    <row r="324" s="1" customFormat="true" ht="15" hidden="false" customHeight="false" outlineLevel="0" collapsed="false">
      <c r="A324" s="14"/>
      <c r="B324" s="2"/>
      <c r="C324" s="8" t="n">
        <v>40497</v>
      </c>
      <c r="D324" s="1" t="n">
        <v>9.9</v>
      </c>
      <c r="E324" s="1" t="n">
        <v>9.1</v>
      </c>
      <c r="F324" s="1" t="n">
        <v>11.4</v>
      </c>
      <c r="G324" s="1" t="n">
        <f aca="false">G323+D324</f>
        <v>989.9</v>
      </c>
      <c r="J324" s="1" t="n">
        <v>2.3</v>
      </c>
      <c r="K324" s="1" t="n">
        <f aca="false">K323+J324</f>
        <v>165.2</v>
      </c>
      <c r="L324" s="1" t="n">
        <v>1.1</v>
      </c>
      <c r="M324" s="1" t="n">
        <f aca="false">M323+L324</f>
        <v>159.6</v>
      </c>
      <c r="N324" s="1" t="n">
        <v>1.2</v>
      </c>
      <c r="O324" s="1" t="n">
        <f aca="false">O323+N324</f>
        <v>68.9</v>
      </c>
      <c r="P324" s="6" t="n">
        <v>69</v>
      </c>
      <c r="Q324" s="1" t="n">
        <f aca="false">0.35+((P324-7)/70)*(1-0.35)</f>
        <v>0.925714285714286</v>
      </c>
      <c r="R324" s="16" t="n">
        <f aca="false">Q324*L324</f>
        <v>1.01828571428571</v>
      </c>
      <c r="S324" s="16" t="n">
        <f aca="false">J324-R324</f>
        <v>1.28171428571429</v>
      </c>
      <c r="T324" s="17" t="n">
        <f aca="false">T323+S324</f>
        <v>87.7645714285714</v>
      </c>
      <c r="V324" s="1" t="n">
        <v>493.9</v>
      </c>
      <c r="X324" s="1" t="n">
        <f aca="false">X323+V324</f>
        <v>68777.9</v>
      </c>
      <c r="AA324" s="1" t="n">
        <v>9.70985760543049</v>
      </c>
    </row>
    <row r="325" s="1" customFormat="true" ht="15" hidden="false" customHeight="false" outlineLevel="0" collapsed="false">
      <c r="A325" s="14"/>
      <c r="B325" s="2"/>
      <c r="C325" s="8" t="n">
        <v>40498</v>
      </c>
      <c r="D325" s="1" t="n">
        <v>7.9</v>
      </c>
      <c r="E325" s="1" t="n">
        <v>6.5</v>
      </c>
      <c r="F325" s="1" t="n">
        <v>11.7</v>
      </c>
      <c r="G325" s="1" t="n">
        <f aca="false">G324+D325</f>
        <v>997.8</v>
      </c>
      <c r="J325" s="1" t="n">
        <v>0.1</v>
      </c>
      <c r="K325" s="1" t="n">
        <f aca="false">K324+J325</f>
        <v>165.3</v>
      </c>
      <c r="L325" s="1" t="n">
        <v>1.7</v>
      </c>
      <c r="M325" s="1" t="n">
        <f aca="false">M324+L325</f>
        <v>161.3</v>
      </c>
      <c r="N325" s="1" t="n">
        <v>-1.6</v>
      </c>
      <c r="O325" s="1" t="n">
        <f aca="false">O324+N325</f>
        <v>67.3</v>
      </c>
      <c r="P325" s="6" t="n">
        <v>70</v>
      </c>
      <c r="Q325" s="1" t="n">
        <f aca="false">0.35+((P325-7)/70)*(1-0.35)</f>
        <v>0.935</v>
      </c>
      <c r="R325" s="16" t="n">
        <f aca="false">Q325*L325</f>
        <v>1.5895</v>
      </c>
      <c r="S325" s="16" t="n">
        <f aca="false">J325-R325</f>
        <v>-1.4895</v>
      </c>
      <c r="T325" s="17" t="n">
        <f aca="false">T324+S325</f>
        <v>86.2750714285714</v>
      </c>
      <c r="V325" s="1" t="n">
        <v>822.2</v>
      </c>
      <c r="X325" s="1" t="n">
        <f aca="false">X324+V325</f>
        <v>69600.1</v>
      </c>
      <c r="AA325" s="1" t="n">
        <v>9.6718843419652</v>
      </c>
    </row>
    <row r="326" s="1" customFormat="true" ht="15" hidden="false" customHeight="false" outlineLevel="0" collapsed="false">
      <c r="A326" s="14"/>
      <c r="B326" s="2"/>
      <c r="C326" s="8" t="n">
        <v>40499</v>
      </c>
      <c r="D326" s="1" t="n">
        <v>5.4</v>
      </c>
      <c r="E326" s="1" t="n">
        <v>0</v>
      </c>
      <c r="F326" s="1" t="n">
        <v>10</v>
      </c>
      <c r="G326" s="1" t="n">
        <f aca="false">G325+D326</f>
        <v>1003.2</v>
      </c>
      <c r="J326" s="1" t="n">
        <v>8.5</v>
      </c>
      <c r="K326" s="1" t="n">
        <f aca="false">K325+J326</f>
        <v>173.8</v>
      </c>
      <c r="L326" s="1" t="n">
        <v>0.3</v>
      </c>
      <c r="M326" s="1" t="n">
        <f aca="false">M325+L326</f>
        <v>161.6</v>
      </c>
      <c r="N326" s="1" t="n">
        <v>8.2</v>
      </c>
      <c r="O326" s="1" t="n">
        <f aca="false">O325+N326</f>
        <v>75.5</v>
      </c>
      <c r="P326" s="6" t="n">
        <v>71</v>
      </c>
      <c r="Q326" s="1" t="n">
        <f aca="false">0.35+((P326-7)/70)*(1-0.35)</f>
        <v>0.944285714285714</v>
      </c>
      <c r="R326" s="16" t="n">
        <f aca="false">Q326*L326</f>
        <v>0.283285714285714</v>
      </c>
      <c r="S326" s="16" t="n">
        <f aca="false">J326-R326</f>
        <v>8.21671428571429</v>
      </c>
      <c r="T326" s="17" t="n">
        <f aca="false">T325+S326</f>
        <v>94.4917857142857</v>
      </c>
      <c r="V326" s="1" t="n">
        <v>120.3</v>
      </c>
      <c r="X326" s="1" t="n">
        <f aca="false">X325+V326</f>
        <v>69720.4</v>
      </c>
      <c r="AA326" s="1" t="n">
        <v>9.63455055454684</v>
      </c>
    </row>
    <row r="327" s="1" customFormat="true" ht="15" hidden="false" customHeight="false" outlineLevel="0" collapsed="false">
      <c r="A327" s="14"/>
      <c r="B327" s="2"/>
      <c r="C327" s="8" t="n">
        <v>40500</v>
      </c>
      <c r="D327" s="1" t="n">
        <v>9.4</v>
      </c>
      <c r="E327" s="1" t="n">
        <v>7.4</v>
      </c>
      <c r="F327" s="1" t="n">
        <v>13.1</v>
      </c>
      <c r="G327" s="1" t="n">
        <f aca="false">G326+D327</f>
        <v>1012.6</v>
      </c>
      <c r="J327" s="1" t="n">
        <v>0.2</v>
      </c>
      <c r="K327" s="1" t="n">
        <f aca="false">K326+J327</f>
        <v>174</v>
      </c>
      <c r="L327" s="1" t="n">
        <v>1.7</v>
      </c>
      <c r="M327" s="1" t="n">
        <f aca="false">M326+L327</f>
        <v>163.3</v>
      </c>
      <c r="N327" s="1" t="n">
        <v>-1.5</v>
      </c>
      <c r="O327" s="1" t="n">
        <f aca="false">O326+N327</f>
        <v>74</v>
      </c>
      <c r="P327" s="6" t="n">
        <v>72</v>
      </c>
      <c r="Q327" s="1" t="n">
        <f aca="false">0.35+((P327-7)/70)*(1-0.35)</f>
        <v>0.953571428571429</v>
      </c>
      <c r="R327" s="16" t="n">
        <f aca="false">Q327*L327</f>
        <v>1.62107142857143</v>
      </c>
      <c r="S327" s="16" t="n">
        <f aca="false">J327-R327</f>
        <v>-1.42107142857143</v>
      </c>
      <c r="T327" s="17" t="n">
        <f aca="false">T326+S327</f>
        <v>93.0707142857143</v>
      </c>
      <c r="V327" s="1" t="n">
        <v>706.8</v>
      </c>
      <c r="X327" s="1" t="n">
        <f aca="false">X326+V327</f>
        <v>70427.2</v>
      </c>
      <c r="AA327" s="1" t="n">
        <v>9.5978793622235</v>
      </c>
    </row>
    <row r="328" s="1" customFormat="true" ht="15" hidden="false" customHeight="false" outlineLevel="0" collapsed="false">
      <c r="A328" s="14"/>
      <c r="B328" s="2"/>
      <c r="C328" s="8" t="n">
        <v>40501</v>
      </c>
      <c r="D328" s="1" t="n">
        <v>8.2</v>
      </c>
      <c r="E328" s="1" t="n">
        <v>3.7</v>
      </c>
      <c r="F328" s="1" t="n">
        <v>11.1</v>
      </c>
      <c r="G328" s="1" t="n">
        <f aca="false">G327+D328</f>
        <v>1020.8</v>
      </c>
      <c r="J328" s="1" t="n">
        <v>0.2</v>
      </c>
      <c r="K328" s="1" t="n">
        <f aca="false">K327+J328</f>
        <v>174.2</v>
      </c>
      <c r="L328" s="1" t="n">
        <v>0.4</v>
      </c>
      <c r="M328" s="1" t="n">
        <f aca="false">M327+L328</f>
        <v>163.7</v>
      </c>
      <c r="N328" s="1" t="n">
        <v>-0.2</v>
      </c>
      <c r="O328" s="1" t="n">
        <f aca="false">O327+N328</f>
        <v>73.8</v>
      </c>
      <c r="P328" s="6" t="n">
        <v>73</v>
      </c>
      <c r="Q328" s="1" t="n">
        <f aca="false">0.35+((P328-7)/70)*(1-0.35)</f>
        <v>0.962857142857143</v>
      </c>
      <c r="R328" s="16" t="n">
        <f aca="false">Q328*L328</f>
        <v>0.385142857142857</v>
      </c>
      <c r="S328" s="16" t="n">
        <f aca="false">J328-R328</f>
        <v>-0.185142857142857</v>
      </c>
      <c r="T328" s="17" t="n">
        <f aca="false">T327+S328</f>
        <v>92.8855714285714</v>
      </c>
      <c r="V328" s="1" t="n">
        <v>436.1</v>
      </c>
      <c r="X328" s="1" t="n">
        <f aca="false">X327+V328</f>
        <v>70863.3</v>
      </c>
      <c r="AA328" s="1" t="n">
        <v>9.56189416191464</v>
      </c>
    </row>
    <row r="329" s="1" customFormat="true" ht="15" hidden="false" customHeight="false" outlineLevel="0" collapsed="false">
      <c r="A329" s="14"/>
      <c r="B329" s="2"/>
      <c r="C329" s="8" t="n">
        <v>40502</v>
      </c>
      <c r="D329" s="1" t="n">
        <v>8.8</v>
      </c>
      <c r="E329" s="1" t="n">
        <v>7.6</v>
      </c>
      <c r="F329" s="1" t="n">
        <v>11.8</v>
      </c>
      <c r="G329" s="1" t="n">
        <f aca="false">G328+D329</f>
        <v>1029.6</v>
      </c>
      <c r="J329" s="1" t="n">
        <v>1.7</v>
      </c>
      <c r="K329" s="1" t="n">
        <f aca="false">K328+J329</f>
        <v>175.9</v>
      </c>
      <c r="L329" s="1" t="n">
        <v>0.6</v>
      </c>
      <c r="M329" s="1" t="n">
        <f aca="false">M328+L329</f>
        <v>164.3</v>
      </c>
      <c r="N329" s="1" t="n">
        <v>1.1</v>
      </c>
      <c r="O329" s="1" t="n">
        <f aca="false">O328+N329</f>
        <v>74.9</v>
      </c>
      <c r="P329" s="6" t="n">
        <v>74</v>
      </c>
      <c r="Q329" s="1" t="n">
        <f aca="false">0.35+((P329-7)/70)*(1-0.35)</f>
        <v>0.972142857142857</v>
      </c>
      <c r="R329" s="16" t="n">
        <f aca="false">Q329*L329</f>
        <v>0.583285714285714</v>
      </c>
      <c r="S329" s="16" t="n">
        <f aca="false">J329-R329</f>
        <v>1.11671428571429</v>
      </c>
      <c r="T329" s="17" t="n">
        <f aca="false">T328+S329</f>
        <v>94.0022857142857</v>
      </c>
      <c r="V329" s="1" t="n">
        <v>389.4</v>
      </c>
      <c r="X329" s="1" t="n">
        <f aca="false">X328+V329</f>
        <v>71252.7</v>
      </c>
      <c r="AA329" s="1" t="n">
        <v>9.52661859418852</v>
      </c>
    </row>
    <row r="330" s="1" customFormat="true" ht="15" hidden="false" customHeight="false" outlineLevel="0" collapsed="false">
      <c r="A330" s="14"/>
      <c r="B330" s="2"/>
      <c r="C330" s="8" t="n">
        <v>40503</v>
      </c>
      <c r="D330" s="1" t="n">
        <v>8.4</v>
      </c>
      <c r="E330" s="1" t="n">
        <v>5.5</v>
      </c>
      <c r="F330" s="1" t="n">
        <v>11.8</v>
      </c>
      <c r="G330" s="1" t="n">
        <f aca="false">G329+D330</f>
        <v>1038</v>
      </c>
      <c r="J330" s="1" t="n">
        <v>9.3</v>
      </c>
      <c r="K330" s="1" t="n">
        <f aca="false">K329+J330</f>
        <v>185.2</v>
      </c>
      <c r="L330" s="1" t="n">
        <v>0.4</v>
      </c>
      <c r="M330" s="1" t="n">
        <f aca="false">M329+L330</f>
        <v>164.7</v>
      </c>
      <c r="N330" s="1" t="n">
        <v>8.9</v>
      </c>
      <c r="O330" s="1" t="n">
        <f aca="false">O329+N330</f>
        <v>83.8</v>
      </c>
      <c r="P330" s="6" t="n">
        <v>75</v>
      </c>
      <c r="Q330" s="1" t="n">
        <f aca="false">0.35+((P330-7)/70)*(1-0.35)</f>
        <v>0.981428571428571</v>
      </c>
      <c r="R330" s="16" t="n">
        <f aca="false">Q330*L330</f>
        <v>0.392571428571429</v>
      </c>
      <c r="S330" s="16" t="n">
        <f aca="false">J330-R330</f>
        <v>8.90742857142857</v>
      </c>
      <c r="T330" s="17" t="n">
        <f aca="false">T329+S330</f>
        <v>102.909714285714</v>
      </c>
      <c r="V330" s="1" t="n">
        <v>131.1</v>
      </c>
      <c r="X330" s="1" t="n">
        <f aca="false">X329+V330</f>
        <v>71383.8</v>
      </c>
      <c r="AA330" s="1" t="n">
        <v>9.49207650626241</v>
      </c>
    </row>
    <row r="331" s="1" customFormat="true" ht="15" hidden="false" customHeight="false" outlineLevel="0" collapsed="false">
      <c r="A331" s="14"/>
      <c r="B331" s="2"/>
      <c r="C331" s="8" t="n">
        <v>40504</v>
      </c>
      <c r="D331" s="1" t="n">
        <v>8</v>
      </c>
      <c r="E331" s="1" t="n">
        <v>7.5</v>
      </c>
      <c r="F331" s="1" t="n">
        <v>9</v>
      </c>
      <c r="G331" s="1" t="n">
        <f aca="false">G330+D331</f>
        <v>1046</v>
      </c>
      <c r="J331" s="1" t="n">
        <v>0.6</v>
      </c>
      <c r="K331" s="1" t="n">
        <f aca="false">K330+J331</f>
        <v>185.8</v>
      </c>
      <c r="L331" s="1" t="n">
        <v>0.8</v>
      </c>
      <c r="M331" s="1" t="n">
        <f aca="false">M330+L331</f>
        <v>165.5</v>
      </c>
      <c r="N331" s="1" t="n">
        <v>-0.2</v>
      </c>
      <c r="O331" s="1" t="n">
        <f aca="false">O330+N331</f>
        <v>83.6</v>
      </c>
      <c r="P331" s="6" t="n">
        <v>76</v>
      </c>
      <c r="Q331" s="1" t="n">
        <f aca="false">0.35+((P331-7)/70)*(1-0.35)</f>
        <v>0.990714285714286</v>
      </c>
      <c r="R331" s="16" t="n">
        <f aca="false">Q331*L331</f>
        <v>0.792571428571429</v>
      </c>
      <c r="S331" s="16" t="n">
        <f aca="false">J331-R331</f>
        <v>-0.192571428571429</v>
      </c>
      <c r="T331" s="17" t="n">
        <f aca="false">T330+S331</f>
        <v>102.717142857143</v>
      </c>
      <c r="V331" s="1" t="n">
        <v>302.1</v>
      </c>
      <c r="X331" s="1" t="n">
        <f aca="false">X330+V331</f>
        <v>71685.9</v>
      </c>
      <c r="AA331" s="1" t="n">
        <v>9.45829191223302</v>
      </c>
    </row>
    <row r="332" s="21" customFormat="true" ht="15" hidden="false" customHeight="false" outlineLevel="0" collapsed="false">
      <c r="A332" s="14"/>
      <c r="B332" s="19"/>
      <c r="C332" s="20" t="n">
        <v>40505</v>
      </c>
      <c r="D332" s="21" t="n">
        <v>6.2</v>
      </c>
      <c r="E332" s="21" t="n">
        <v>5.2</v>
      </c>
      <c r="F332" s="21" t="n">
        <v>9.4</v>
      </c>
      <c r="G332" s="21" t="n">
        <f aca="false">G331+D332</f>
        <v>1052.2</v>
      </c>
      <c r="J332" s="21" t="n">
        <v>0.1</v>
      </c>
      <c r="K332" s="21" t="n">
        <f aca="false">K331+J332</f>
        <v>185.9</v>
      </c>
      <c r="L332" s="21" t="n">
        <v>0.9</v>
      </c>
      <c r="M332" s="21" t="n">
        <f aca="false">M331+L332</f>
        <v>166.4</v>
      </c>
      <c r="N332" s="21" t="n">
        <v>-0.8</v>
      </c>
      <c r="O332" s="21" t="n">
        <f aca="false">O331+N332</f>
        <v>82.8</v>
      </c>
      <c r="P332" s="22" t="n">
        <v>77</v>
      </c>
      <c r="Q332" s="21" t="n">
        <f aca="false">0.35+((P332-7)/70)*(1-0.35)</f>
        <v>1</v>
      </c>
      <c r="R332" s="23" t="n">
        <f aca="false">Q332*L332</f>
        <v>0.9</v>
      </c>
      <c r="S332" s="23" t="n">
        <f aca="false">J332-R332</f>
        <v>-0.8</v>
      </c>
      <c r="T332" s="17" t="n">
        <f aca="false">T331+S332</f>
        <v>101.917142857143</v>
      </c>
      <c r="V332" s="21" t="n">
        <v>393.9</v>
      </c>
      <c r="X332" s="21" t="n">
        <f aca="false">X331+V332</f>
        <v>72079.8</v>
      </c>
      <c r="AA332" s="21" t="n">
        <v>9.42528895056387</v>
      </c>
    </row>
    <row r="333" s="1" customFormat="true" ht="15" hidden="false" customHeight="false" outlineLevel="0" collapsed="false">
      <c r="A333" s="24" t="s">
        <v>46</v>
      </c>
      <c r="B333" s="25"/>
      <c r="C333" s="8" t="n">
        <v>40506</v>
      </c>
      <c r="D333" s="1" t="n">
        <v>2.7</v>
      </c>
      <c r="E333" s="1" t="n">
        <v>-0.5</v>
      </c>
      <c r="F333" s="1" t="n">
        <v>5.3</v>
      </c>
      <c r="G333" s="1" t="n">
        <f aca="false">G332+D333</f>
        <v>1054.9</v>
      </c>
      <c r="H333" s="1" t="n">
        <f aca="false">D333</f>
        <v>2.7</v>
      </c>
      <c r="I333" s="26" t="s">
        <v>30</v>
      </c>
      <c r="J333" s="1" t="n">
        <v>0.2</v>
      </c>
      <c r="K333" s="1" t="n">
        <f aca="false">K332+J333</f>
        <v>186.1</v>
      </c>
      <c r="L333" s="1" t="n">
        <v>0.5</v>
      </c>
      <c r="M333" s="1" t="n">
        <f aca="false">M332+L333</f>
        <v>166.9</v>
      </c>
      <c r="N333" s="1" t="n">
        <v>-0.3</v>
      </c>
      <c r="O333" s="1" t="n">
        <f aca="false">O332+N333</f>
        <v>82.5</v>
      </c>
      <c r="P333" s="6" t="n">
        <v>78</v>
      </c>
      <c r="Q333" s="1" t="n">
        <v>1</v>
      </c>
      <c r="R333" s="16" t="n">
        <f aca="false">Q333*L333</f>
        <v>0.5</v>
      </c>
      <c r="S333" s="16" t="n">
        <f aca="false">J333-R333</f>
        <v>-0.3</v>
      </c>
      <c r="T333" s="17" t="n">
        <f aca="false">T332+S333</f>
        <v>101.617142857143</v>
      </c>
      <c r="U333" s="26" t="s">
        <v>31</v>
      </c>
      <c r="V333" s="1" t="n">
        <v>443.6</v>
      </c>
      <c r="X333" s="1" t="n">
        <f aca="false">X332+V333</f>
        <v>72523.4</v>
      </c>
      <c r="Y333" s="1" t="n">
        <f aca="false">V333</f>
        <v>443.6</v>
      </c>
      <c r="Z333" s="26" t="s">
        <v>32</v>
      </c>
      <c r="AA333" s="1" t="n">
        <v>9.39309183887681</v>
      </c>
    </row>
    <row r="334" s="1" customFormat="true" ht="15" hidden="false" customHeight="false" outlineLevel="0" collapsed="false">
      <c r="A334" s="24"/>
      <c r="B334" s="2"/>
      <c r="C334" s="8" t="n">
        <v>40507</v>
      </c>
      <c r="D334" s="1" t="n">
        <v>5</v>
      </c>
      <c r="E334" s="1" t="n">
        <v>2.2</v>
      </c>
      <c r="F334" s="1" t="n">
        <v>9.1</v>
      </c>
      <c r="G334" s="1" t="n">
        <f aca="false">G333+D334</f>
        <v>1059.9</v>
      </c>
      <c r="H334" s="1" t="n">
        <f aca="false">H333+D334</f>
        <v>7.7</v>
      </c>
      <c r="I334" s="1" t="n">
        <f aca="false">MIN(E333:E375)</f>
        <v>-5.5</v>
      </c>
      <c r="J334" s="1" t="n">
        <v>2.3</v>
      </c>
      <c r="K334" s="1" t="n">
        <f aca="false">K333+J334</f>
        <v>188.4</v>
      </c>
      <c r="L334" s="1" t="n">
        <v>0.7</v>
      </c>
      <c r="M334" s="1" t="n">
        <f aca="false">M333+L334</f>
        <v>167.6</v>
      </c>
      <c r="N334" s="1" t="n">
        <v>1.6</v>
      </c>
      <c r="O334" s="1" t="n">
        <f aca="false">O333+N334</f>
        <v>84.1</v>
      </c>
      <c r="P334" s="6" t="n">
        <v>79</v>
      </c>
      <c r="Q334" s="1" t="n">
        <v>1</v>
      </c>
      <c r="R334" s="16" t="n">
        <f aca="false">Q334*L334</f>
        <v>0.7</v>
      </c>
      <c r="S334" s="16" t="n">
        <f aca="false">J334-R334</f>
        <v>1.6</v>
      </c>
      <c r="T334" s="17" t="n">
        <f aca="false">T333+S334</f>
        <v>103.217142857143</v>
      </c>
      <c r="U334" s="1" t="n">
        <v>36</v>
      </c>
      <c r="V334" s="1" t="n">
        <v>159.6</v>
      </c>
      <c r="X334" s="1" t="n">
        <f aca="false">X333+V334</f>
        <v>72683</v>
      </c>
      <c r="Y334" s="1" t="n">
        <f aca="false">Y333+V334</f>
        <v>603.2</v>
      </c>
      <c r="Z334" s="1" t="n">
        <v>18424.7</v>
      </c>
      <c r="AA334" s="1" t="n">
        <v>9.36172482611705</v>
      </c>
    </row>
    <row r="335" s="1" customFormat="true" ht="15" hidden="false" customHeight="false" outlineLevel="0" collapsed="false">
      <c r="A335" s="24"/>
      <c r="B335" s="2"/>
      <c r="C335" s="8" t="n">
        <v>40508</v>
      </c>
      <c r="D335" s="1" t="n">
        <v>2.9</v>
      </c>
      <c r="E335" s="1" t="n">
        <v>2.4</v>
      </c>
      <c r="F335" s="1" t="n">
        <v>6.3</v>
      </c>
      <c r="G335" s="1" t="n">
        <f aca="false">G334+D335</f>
        <v>1062.8</v>
      </c>
      <c r="H335" s="1" t="n">
        <f aca="false">H334+D335</f>
        <v>10.6</v>
      </c>
      <c r="I335" s="26" t="s">
        <v>33</v>
      </c>
      <c r="J335" s="1" t="n">
        <v>0</v>
      </c>
      <c r="K335" s="1" t="n">
        <f aca="false">K334+J335</f>
        <v>188.4</v>
      </c>
      <c r="L335" s="1" t="n">
        <v>1.2</v>
      </c>
      <c r="M335" s="1" t="n">
        <f aca="false">M334+L335</f>
        <v>168.8</v>
      </c>
      <c r="N335" s="1" t="n">
        <v>-1.2</v>
      </c>
      <c r="O335" s="1" t="n">
        <f aca="false">O334+N335</f>
        <v>82.9</v>
      </c>
      <c r="P335" s="6" t="n">
        <v>80</v>
      </c>
      <c r="Q335" s="1" t="n">
        <v>1</v>
      </c>
      <c r="R335" s="16" t="n">
        <f aca="false">Q335*L335</f>
        <v>1.2</v>
      </c>
      <c r="S335" s="16" t="n">
        <f aca="false">J335-R335</f>
        <v>-1.2</v>
      </c>
      <c r="T335" s="17" t="n">
        <f aca="false">T334+S335</f>
        <v>102.017142857143</v>
      </c>
      <c r="U335" s="26" t="s">
        <v>34</v>
      </c>
      <c r="V335" s="1" t="n">
        <v>761.9</v>
      </c>
      <c r="X335" s="1" t="n">
        <f aca="false">X334+V335</f>
        <v>73444.9</v>
      </c>
      <c r="Y335" s="1" t="n">
        <f aca="false">Y334+V335</f>
        <v>1365.1</v>
      </c>
      <c r="Z335" s="26" t="s">
        <v>35</v>
      </c>
      <c r="AA335" s="1" t="n">
        <v>9.33121214218404</v>
      </c>
    </row>
    <row r="336" s="1" customFormat="true" ht="15" hidden="false" customHeight="false" outlineLevel="0" collapsed="false">
      <c r="A336" s="24"/>
      <c r="B336" s="2"/>
      <c r="C336" s="8" t="n">
        <v>40509</v>
      </c>
      <c r="D336" s="1" t="n">
        <v>3.1</v>
      </c>
      <c r="E336" s="1" t="n">
        <v>-1.3</v>
      </c>
      <c r="F336" s="1" t="n">
        <v>6.7</v>
      </c>
      <c r="G336" s="1" t="n">
        <f aca="false">G335+D336</f>
        <v>1065.9</v>
      </c>
      <c r="H336" s="1" t="n">
        <f aca="false">H335+D336</f>
        <v>13.7</v>
      </c>
      <c r="I336" s="1" t="n">
        <f aca="false">MAX(F333:F375)</f>
        <v>19.3</v>
      </c>
      <c r="J336" s="1" t="n">
        <v>1.8</v>
      </c>
      <c r="K336" s="1" t="n">
        <f aca="false">K335+J336</f>
        <v>190.2</v>
      </c>
      <c r="L336" s="1" t="n">
        <v>0.7</v>
      </c>
      <c r="M336" s="1" t="n">
        <f aca="false">M335+L336</f>
        <v>169.5</v>
      </c>
      <c r="N336" s="1" t="n">
        <v>1.1</v>
      </c>
      <c r="O336" s="1" t="n">
        <f aca="false">O335+N336</f>
        <v>84</v>
      </c>
      <c r="P336" s="6" t="n">
        <v>81</v>
      </c>
      <c r="Q336" s="1" t="n">
        <v>1</v>
      </c>
      <c r="R336" s="16" t="n">
        <f aca="false">Q336*L336</f>
        <v>0.7</v>
      </c>
      <c r="S336" s="16" t="n">
        <f aca="false">J336-R336</f>
        <v>1.1</v>
      </c>
      <c r="T336" s="17" t="n">
        <f aca="false">T335+S336</f>
        <v>103.117142857143</v>
      </c>
      <c r="U336" s="1" t="n">
        <v>0</v>
      </c>
      <c r="V336" s="1" t="n">
        <v>432.3</v>
      </c>
      <c r="X336" s="1" t="n">
        <f aca="false">X335+V336</f>
        <v>73877.2</v>
      </c>
      <c r="Y336" s="1" t="n">
        <f aca="false">Y335+V336</f>
        <v>1797.4</v>
      </c>
      <c r="Z336" s="18" t="n">
        <f aca="false">(Z334/100)/I346</f>
        <v>1.00297768100163</v>
      </c>
      <c r="AA336" s="1" t="n">
        <v>9.30157794514494</v>
      </c>
    </row>
    <row r="337" s="1" customFormat="true" ht="15" hidden="false" customHeight="false" outlineLevel="0" collapsed="false">
      <c r="A337" s="24"/>
      <c r="B337" s="2"/>
      <c r="C337" s="8" t="n">
        <v>40510</v>
      </c>
      <c r="D337" s="1" t="n">
        <v>3</v>
      </c>
      <c r="E337" s="1" t="n">
        <v>-1.6</v>
      </c>
      <c r="F337" s="1" t="n">
        <v>9</v>
      </c>
      <c r="G337" s="1" t="n">
        <f aca="false">G336+D337</f>
        <v>1068.9</v>
      </c>
      <c r="H337" s="1" t="n">
        <f aca="false">H336+D337</f>
        <v>16.7</v>
      </c>
      <c r="I337" s="26" t="s">
        <v>36</v>
      </c>
      <c r="J337" s="1" t="n">
        <v>0.1</v>
      </c>
      <c r="K337" s="1" t="n">
        <f aca="false">K336+J337</f>
        <v>190.3</v>
      </c>
      <c r="L337" s="1" t="n">
        <v>0.9</v>
      </c>
      <c r="M337" s="1" t="n">
        <f aca="false">M336+L337</f>
        <v>170.4</v>
      </c>
      <c r="N337" s="1" t="n">
        <v>-0.8</v>
      </c>
      <c r="O337" s="1" t="n">
        <f aca="false">O336+N337</f>
        <v>83.2</v>
      </c>
      <c r="P337" s="6" t="n">
        <v>82</v>
      </c>
      <c r="Q337" s="1" t="n">
        <v>1</v>
      </c>
      <c r="R337" s="16" t="n">
        <f aca="false">Q337*L337</f>
        <v>0.9</v>
      </c>
      <c r="S337" s="16" t="n">
        <f aca="false">J337-R337</f>
        <v>-0.8</v>
      </c>
      <c r="T337" s="17" t="n">
        <f aca="false">T336+S337</f>
        <v>102.317142857143</v>
      </c>
      <c r="U337" s="26" t="s">
        <v>37</v>
      </c>
      <c r="V337" s="1" t="n">
        <v>526.3</v>
      </c>
      <c r="X337" s="1" t="n">
        <f aca="false">X336+V337</f>
        <v>74403.5</v>
      </c>
      <c r="Y337" s="1" t="n">
        <f aca="false">Y336+V337</f>
        <v>2323.7</v>
      </c>
      <c r="Z337" s="26" t="s">
        <v>38</v>
      </c>
      <c r="AA337" s="1" t="n">
        <v>9.27284626617208</v>
      </c>
    </row>
    <row r="338" s="1" customFormat="true" ht="15" hidden="false" customHeight="false" outlineLevel="0" collapsed="false">
      <c r="A338" s="24"/>
      <c r="B338" s="2"/>
      <c r="C338" s="8" t="n">
        <v>40511</v>
      </c>
      <c r="D338" s="1" t="n">
        <v>2.5</v>
      </c>
      <c r="E338" s="1" t="n">
        <v>-1.9</v>
      </c>
      <c r="F338" s="1" t="n">
        <v>6.8</v>
      </c>
      <c r="G338" s="1" t="n">
        <f aca="false">G337+D338</f>
        <v>1071.4</v>
      </c>
      <c r="H338" s="1" t="n">
        <f aca="false">H337+D338</f>
        <v>19.2</v>
      </c>
      <c r="I338" s="16" t="n">
        <f aca="false">AVERAGE(D333:D375)</f>
        <v>4.17441860465116</v>
      </c>
      <c r="J338" s="1" t="n">
        <v>0.9</v>
      </c>
      <c r="K338" s="1" t="n">
        <f aca="false">K337+J338</f>
        <v>191.2</v>
      </c>
      <c r="L338" s="1" t="n">
        <v>0.6</v>
      </c>
      <c r="M338" s="1" t="n">
        <f aca="false">M337+L338</f>
        <v>171</v>
      </c>
      <c r="N338" s="1" t="n">
        <v>0.3</v>
      </c>
      <c r="O338" s="1" t="n">
        <f aca="false">O337+N338</f>
        <v>83.5</v>
      </c>
      <c r="P338" s="6" t="n">
        <v>83</v>
      </c>
      <c r="Q338" s="1" t="n">
        <v>1</v>
      </c>
      <c r="R338" s="16" t="n">
        <f aca="false">Q338*L338</f>
        <v>0.6</v>
      </c>
      <c r="S338" s="16" t="n">
        <f aca="false">J338-R338</f>
        <v>0.3</v>
      </c>
      <c r="T338" s="17" t="n">
        <f aca="false">T337+S338</f>
        <v>102.617142857143</v>
      </c>
      <c r="U338" s="1" t="n">
        <v>0</v>
      </c>
      <c r="V338" s="1" t="n">
        <v>720.6</v>
      </c>
      <c r="X338" s="1" t="n">
        <f aca="false">X337+V338</f>
        <v>75124.1000000001</v>
      </c>
      <c r="Y338" s="1" t="n">
        <f aca="false">Y337+V338</f>
        <v>3044.3</v>
      </c>
      <c r="Z338" s="1" t="n">
        <v>43</v>
      </c>
      <c r="AA338" s="1" t="n">
        <v>9.24504095237191</v>
      </c>
    </row>
    <row r="339" s="1" customFormat="true" ht="15" hidden="false" customHeight="false" outlineLevel="0" collapsed="false">
      <c r="A339" s="24"/>
      <c r="B339" s="2"/>
      <c r="C339" s="8" t="n">
        <v>40512</v>
      </c>
      <c r="D339" s="1" t="n">
        <v>4.5</v>
      </c>
      <c r="E339" s="1" t="n">
        <v>1.7</v>
      </c>
      <c r="F339" s="1" t="n">
        <v>8.6</v>
      </c>
      <c r="G339" s="1" t="n">
        <f aca="false">G338+D339</f>
        <v>1075.9</v>
      </c>
      <c r="H339" s="1" t="n">
        <f aca="false">H338+D339</f>
        <v>23.7</v>
      </c>
      <c r="I339" s="26" t="s">
        <v>39</v>
      </c>
      <c r="J339" s="1" t="n">
        <v>0</v>
      </c>
      <c r="K339" s="1" t="n">
        <f aca="false">K338+J339</f>
        <v>191.2</v>
      </c>
      <c r="L339" s="1" t="n">
        <v>0.9</v>
      </c>
      <c r="M339" s="1" t="n">
        <f aca="false">M338+L339</f>
        <v>171.9</v>
      </c>
      <c r="N339" s="1" t="n">
        <v>-0.9</v>
      </c>
      <c r="O339" s="1" t="n">
        <f aca="false">O338+N339</f>
        <v>82.6</v>
      </c>
      <c r="P339" s="6" t="n">
        <v>84</v>
      </c>
      <c r="Q339" s="1" t="n">
        <v>1</v>
      </c>
      <c r="R339" s="16" t="n">
        <f aca="false">Q339*L339</f>
        <v>0.9</v>
      </c>
      <c r="S339" s="16" t="n">
        <f aca="false">J339-R339</f>
        <v>-0.9</v>
      </c>
      <c r="T339" s="17" t="n">
        <f aca="false">T338+S339</f>
        <v>101.717142857143</v>
      </c>
      <c r="U339" s="26" t="s">
        <v>40</v>
      </c>
      <c r="V339" s="1" t="n">
        <v>209.9</v>
      </c>
      <c r="X339" s="1" t="n">
        <f aca="false">X338+V339</f>
        <v>75334</v>
      </c>
      <c r="Y339" s="1" t="n">
        <f aca="false">Y338+V339</f>
        <v>3254.2</v>
      </c>
      <c r="AA339" s="1" t="n">
        <v>9.21818560769833</v>
      </c>
    </row>
    <row r="340" s="1" customFormat="true" ht="15" hidden="false" customHeight="false" outlineLevel="0" collapsed="false">
      <c r="A340" s="24"/>
      <c r="B340" s="2"/>
      <c r="C340" s="8" t="n">
        <v>40513</v>
      </c>
      <c r="D340" s="1" t="n">
        <v>1.6</v>
      </c>
      <c r="E340" s="1" t="n">
        <v>0.6</v>
      </c>
      <c r="F340" s="1" t="n">
        <v>4.4</v>
      </c>
      <c r="G340" s="1" t="n">
        <f aca="false">G339+D340</f>
        <v>1077.5</v>
      </c>
      <c r="H340" s="1" t="n">
        <f aca="false">H339+D340</f>
        <v>25.3</v>
      </c>
      <c r="I340" s="1" t="n">
        <v>18</v>
      </c>
      <c r="J340" s="1" t="n">
        <v>0.2</v>
      </c>
      <c r="K340" s="1" t="n">
        <f aca="false">K339+J340</f>
        <v>191.4</v>
      </c>
      <c r="L340" s="1" t="n">
        <v>0.4</v>
      </c>
      <c r="M340" s="1" t="n">
        <f aca="false">M339+L340</f>
        <v>172.3</v>
      </c>
      <c r="N340" s="1" t="n">
        <v>-0.2</v>
      </c>
      <c r="O340" s="1" t="n">
        <f aca="false">O339+N340</f>
        <v>82.4</v>
      </c>
      <c r="P340" s="6" t="n">
        <v>85</v>
      </c>
      <c r="Q340" s="1" t="n">
        <v>1</v>
      </c>
      <c r="R340" s="16" t="n">
        <f aca="false">Q340*L340</f>
        <v>0.4</v>
      </c>
      <c r="S340" s="16" t="n">
        <f aca="false">J340-R340</f>
        <v>-0.2</v>
      </c>
      <c r="T340" s="17" t="n">
        <f aca="false">T339+S340</f>
        <v>101.517142857143</v>
      </c>
      <c r="U340" s="16" t="n">
        <f aca="false">MIN(T333:T375)</f>
        <v>89.8171428571428</v>
      </c>
      <c r="V340" s="1" t="n">
        <v>238.4</v>
      </c>
      <c r="X340" s="1" t="n">
        <f aca="false">X339+V340</f>
        <v>75572.4</v>
      </c>
      <c r="Y340" s="1" t="n">
        <f aca="false">Y339+V340</f>
        <v>3492.6</v>
      </c>
      <c r="AA340" s="1" t="n">
        <v>9.19230353216968</v>
      </c>
    </row>
    <row r="341" s="1" customFormat="true" ht="15" hidden="false" customHeight="false" outlineLevel="0" collapsed="false">
      <c r="A341" s="24"/>
      <c r="B341" s="2"/>
      <c r="C341" s="8" t="n">
        <v>40514</v>
      </c>
      <c r="D341" s="1" t="n">
        <v>2</v>
      </c>
      <c r="E341" s="1" t="n">
        <v>-1.7</v>
      </c>
      <c r="F341" s="1" t="n">
        <v>5.8</v>
      </c>
      <c r="G341" s="1" t="n">
        <f aca="false">G340+D341</f>
        <v>1079.5</v>
      </c>
      <c r="H341" s="1" t="n">
        <f aca="false">H340+D341</f>
        <v>27.3</v>
      </c>
      <c r="I341" s="26" t="s">
        <v>41</v>
      </c>
      <c r="J341" s="1" t="n">
        <v>0.5</v>
      </c>
      <c r="K341" s="1" t="n">
        <f aca="false">K340+J341</f>
        <v>191.9</v>
      </c>
      <c r="L341" s="1" t="n">
        <v>0.7</v>
      </c>
      <c r="M341" s="1" t="n">
        <f aca="false">M340+L341</f>
        <v>173</v>
      </c>
      <c r="N341" s="1" t="n">
        <v>-0.2</v>
      </c>
      <c r="O341" s="1" t="n">
        <f aca="false">O340+N341</f>
        <v>82.2</v>
      </c>
      <c r="P341" s="6" t="n">
        <v>86</v>
      </c>
      <c r="Q341" s="1" t="n">
        <v>1</v>
      </c>
      <c r="R341" s="16" t="n">
        <f aca="false">Q341*L341</f>
        <v>0.7</v>
      </c>
      <c r="S341" s="16" t="n">
        <f aca="false">J341-R341</f>
        <v>-0.2</v>
      </c>
      <c r="T341" s="17" t="n">
        <f aca="false">T340+S341</f>
        <v>101.317142857143</v>
      </c>
      <c r="U341" s="26" t="s">
        <v>42</v>
      </c>
      <c r="V341" s="1" t="n">
        <v>571.3</v>
      </c>
      <c r="X341" s="1" t="n">
        <f aca="false">X340+V341</f>
        <v>76143.7</v>
      </c>
      <c r="Y341" s="1" t="n">
        <f aca="false">Y340+V341</f>
        <v>4063.9</v>
      </c>
      <c r="AA341" s="1" t="n">
        <v>9.16741765963405</v>
      </c>
    </row>
    <row r="342" s="1" customFormat="true" ht="15" hidden="false" customHeight="false" outlineLevel="0" collapsed="false">
      <c r="A342" s="24"/>
      <c r="B342" s="2"/>
      <c r="C342" s="8" t="n">
        <v>40515</v>
      </c>
      <c r="D342" s="1" t="n">
        <v>2</v>
      </c>
      <c r="E342" s="1" t="n">
        <v>-0.4</v>
      </c>
      <c r="F342" s="1" t="n">
        <v>3.5</v>
      </c>
      <c r="G342" s="1" t="n">
        <f aca="false">G341+D342</f>
        <v>1081.5</v>
      </c>
      <c r="H342" s="1" t="n">
        <f aca="false">H341+D342</f>
        <v>29.3</v>
      </c>
      <c r="I342" s="1" t="n">
        <v>0</v>
      </c>
      <c r="J342" s="1" t="n">
        <v>0.1</v>
      </c>
      <c r="K342" s="1" t="n">
        <f aca="false">K341+J342</f>
        <v>192</v>
      </c>
      <c r="L342" s="1" t="n">
        <v>0.5</v>
      </c>
      <c r="M342" s="1" t="n">
        <f aca="false">M341+L342</f>
        <v>173.5</v>
      </c>
      <c r="N342" s="1" t="n">
        <v>-0.4</v>
      </c>
      <c r="O342" s="1" t="n">
        <f aca="false">O341+N342</f>
        <v>81.8</v>
      </c>
      <c r="P342" s="6" t="n">
        <v>87</v>
      </c>
      <c r="Q342" s="1" t="n">
        <v>1</v>
      </c>
      <c r="R342" s="16" t="n">
        <f aca="false">Q342*L342</f>
        <v>0.5</v>
      </c>
      <c r="S342" s="16" t="n">
        <f aca="false">J342-R342</f>
        <v>-0.4</v>
      </c>
      <c r="T342" s="17" t="n">
        <f aca="false">T341+S342</f>
        <v>100.917142857143</v>
      </c>
      <c r="U342" s="16" t="n">
        <f aca="false">MAX(T333:T375)</f>
        <v>105.617142857143</v>
      </c>
      <c r="V342" s="1" t="n">
        <v>360.5</v>
      </c>
      <c r="X342" s="1" t="n">
        <f aca="false">X341+V342</f>
        <v>76504.2</v>
      </c>
      <c r="Y342" s="1" t="n">
        <f aca="false">Y341+V342</f>
        <v>4424.4</v>
      </c>
      <c r="AA342" s="1" t="n">
        <v>9.14355049435255</v>
      </c>
    </row>
    <row r="343" s="1" customFormat="true" ht="15" hidden="false" customHeight="false" outlineLevel="0" collapsed="false">
      <c r="A343" s="24"/>
      <c r="B343" s="2"/>
      <c r="C343" s="8" t="n">
        <v>40516</v>
      </c>
      <c r="D343" s="1" t="n">
        <v>3.1</v>
      </c>
      <c r="E343" s="1" t="n">
        <v>0.2</v>
      </c>
      <c r="F343" s="1" t="n">
        <v>6.5</v>
      </c>
      <c r="G343" s="1" t="n">
        <f aca="false">G342+D343</f>
        <v>1084.6</v>
      </c>
      <c r="H343" s="1" t="n">
        <f aca="false">H342+D343</f>
        <v>32.4</v>
      </c>
      <c r="I343" s="26" t="s">
        <v>43</v>
      </c>
      <c r="J343" s="1" t="n">
        <v>0</v>
      </c>
      <c r="K343" s="1" t="n">
        <f aca="false">K342+J343</f>
        <v>192</v>
      </c>
      <c r="L343" s="1" t="n">
        <v>0.9</v>
      </c>
      <c r="M343" s="1" t="n">
        <f aca="false">M342+L343</f>
        <v>174.4</v>
      </c>
      <c r="N343" s="1" t="n">
        <v>-0.9</v>
      </c>
      <c r="O343" s="1" t="n">
        <f aca="false">O342+N343</f>
        <v>80.9</v>
      </c>
      <c r="P343" s="6" t="n">
        <v>88</v>
      </c>
      <c r="Q343" s="1" t="n">
        <v>1</v>
      </c>
      <c r="R343" s="16" t="n">
        <f aca="false">Q343*L343</f>
        <v>0.9</v>
      </c>
      <c r="S343" s="16" t="n">
        <f aca="false">J343-R343</f>
        <v>-0.9</v>
      </c>
      <c r="T343" s="17" t="n">
        <f aca="false">T342+S343</f>
        <v>100.017142857143</v>
      </c>
      <c r="U343" s="26" t="s">
        <v>44</v>
      </c>
      <c r="V343" s="1" t="n">
        <v>791</v>
      </c>
      <c r="X343" s="1" t="n">
        <f aca="false">X342+V343</f>
        <v>77295.2</v>
      </c>
      <c r="Y343" s="1" t="n">
        <f aca="false">Y342+V343</f>
        <v>5215.4</v>
      </c>
      <c r="AA343" s="1" t="n">
        <v>9.1207240466944</v>
      </c>
    </row>
    <row r="344" s="1" customFormat="true" ht="15" hidden="false" customHeight="false" outlineLevel="0" collapsed="false">
      <c r="A344" s="24"/>
      <c r="B344" s="2"/>
      <c r="C344" s="8" t="n">
        <v>40517</v>
      </c>
      <c r="D344" s="1" t="n">
        <v>7.8</v>
      </c>
      <c r="E344" s="1" t="n">
        <v>2.9</v>
      </c>
      <c r="F344" s="1" t="n">
        <v>10.9</v>
      </c>
      <c r="G344" s="1" t="n">
        <f aca="false">G343+D344</f>
        <v>1092.4</v>
      </c>
      <c r="H344" s="1" t="n">
        <f aca="false">H343+D344</f>
        <v>40.2</v>
      </c>
      <c r="I344" s="1" t="n">
        <v>16</v>
      </c>
      <c r="J344" s="1" t="n">
        <v>0.4</v>
      </c>
      <c r="K344" s="1" t="n">
        <f aca="false">K343+J344</f>
        <v>192.4</v>
      </c>
      <c r="L344" s="1" t="n">
        <v>1.2</v>
      </c>
      <c r="M344" s="1" t="n">
        <f aca="false">M343+L344</f>
        <v>175.6</v>
      </c>
      <c r="N344" s="1" t="n">
        <v>-0.8</v>
      </c>
      <c r="O344" s="1" t="n">
        <f aca="false">O343+N344</f>
        <v>80.1</v>
      </c>
      <c r="P344" s="6" t="n">
        <v>89</v>
      </c>
      <c r="Q344" s="1" t="n">
        <v>1</v>
      </c>
      <c r="R344" s="16" t="n">
        <f aca="false">Q344*L344</f>
        <v>1.2</v>
      </c>
      <c r="S344" s="16" t="n">
        <f aca="false">J344-R344</f>
        <v>-0.8</v>
      </c>
      <c r="T344" s="17" t="n">
        <f aca="false">T343+S344</f>
        <v>99.2171428571428</v>
      </c>
      <c r="U344" s="16" t="n">
        <f aca="false">AVERAGE(T333:T375)</f>
        <v>98.3217940199335</v>
      </c>
      <c r="V344" s="1" t="n">
        <v>209.7</v>
      </c>
      <c r="X344" s="1" t="n">
        <f aca="false">X343+V344</f>
        <v>77504.9</v>
      </c>
      <c r="Y344" s="1" t="n">
        <f aca="false">Y343+V344</f>
        <v>5425.1</v>
      </c>
      <c r="AA344" s="1" t="n">
        <v>9.09895976825992</v>
      </c>
    </row>
    <row r="345" s="1" customFormat="true" ht="15" hidden="false" customHeight="false" outlineLevel="0" collapsed="false">
      <c r="A345" s="24"/>
      <c r="B345" s="2"/>
      <c r="C345" s="8" t="n">
        <v>40518</v>
      </c>
      <c r="D345" s="1" t="n">
        <v>11.1</v>
      </c>
      <c r="E345" s="1" t="n">
        <v>9</v>
      </c>
      <c r="F345" s="1" t="n">
        <v>13.1</v>
      </c>
      <c r="G345" s="1" t="n">
        <f aca="false">G344+D345</f>
        <v>1103.5</v>
      </c>
      <c r="H345" s="1" t="n">
        <f aca="false">H344+D345</f>
        <v>51.3</v>
      </c>
      <c r="I345" s="26" t="s">
        <v>45</v>
      </c>
      <c r="J345" s="1" t="n">
        <v>1</v>
      </c>
      <c r="K345" s="1" t="n">
        <f aca="false">K344+J345</f>
        <v>193.4</v>
      </c>
      <c r="L345" s="1" t="n">
        <v>0.9</v>
      </c>
      <c r="M345" s="1" t="n">
        <f aca="false">M344+L345</f>
        <v>176.5</v>
      </c>
      <c r="N345" s="1" t="n">
        <v>0.1</v>
      </c>
      <c r="O345" s="1" t="n">
        <f aca="false">O344+N345</f>
        <v>80.2</v>
      </c>
      <c r="P345" s="6" t="n">
        <v>90</v>
      </c>
      <c r="Q345" s="1" t="n">
        <v>1</v>
      </c>
      <c r="R345" s="16" t="n">
        <f aca="false">Q345*L345</f>
        <v>0.9</v>
      </c>
      <c r="S345" s="16" t="n">
        <f aca="false">J345-R345</f>
        <v>0.1</v>
      </c>
      <c r="T345" s="17" t="n">
        <f aca="false">T344+S345</f>
        <v>99.3171428571428</v>
      </c>
      <c r="U345" s="26" t="s">
        <v>47</v>
      </c>
      <c r="V345" s="1" t="n">
        <v>128.2</v>
      </c>
      <c r="X345" s="1" t="n">
        <f aca="false">X344+V345</f>
        <v>77633.1</v>
      </c>
      <c r="Y345" s="1" t="n">
        <f aca="false">Y344+V345</f>
        <v>5553.3</v>
      </c>
      <c r="AA345" s="1" t="n">
        <v>9.07827848676845</v>
      </c>
    </row>
    <row r="346" s="1" customFormat="true" ht="15" hidden="false" customHeight="false" outlineLevel="0" collapsed="false">
      <c r="A346" s="24"/>
      <c r="B346" s="2"/>
      <c r="C346" s="8" t="n">
        <v>40519</v>
      </c>
      <c r="D346" s="1" t="n">
        <v>12.2</v>
      </c>
      <c r="E346" s="1" t="n">
        <v>8.5</v>
      </c>
      <c r="F346" s="1" t="n">
        <v>15.8</v>
      </c>
      <c r="G346" s="1" t="n">
        <f aca="false">G345+D346</f>
        <v>1115.7</v>
      </c>
      <c r="H346" s="1" t="n">
        <f aca="false">H345+D346</f>
        <v>63.5</v>
      </c>
      <c r="I346" s="1" t="n">
        <v>183.7</v>
      </c>
      <c r="J346" s="1" t="n">
        <v>0.7</v>
      </c>
      <c r="K346" s="1" t="n">
        <f aca="false">K345+J346</f>
        <v>194.1</v>
      </c>
      <c r="L346" s="1" t="n">
        <v>1.1</v>
      </c>
      <c r="M346" s="1" t="n">
        <f aca="false">M345+L346</f>
        <v>177.6</v>
      </c>
      <c r="N346" s="1" t="n">
        <v>-0.4</v>
      </c>
      <c r="O346" s="1" t="n">
        <f aca="false">O345+N346</f>
        <v>79.8</v>
      </c>
      <c r="P346" s="6" t="n">
        <v>91</v>
      </c>
      <c r="Q346" s="1" t="n">
        <v>1</v>
      </c>
      <c r="R346" s="16" t="n">
        <f aca="false">Q346*L346</f>
        <v>1.1</v>
      </c>
      <c r="S346" s="16" t="n">
        <f aca="false">J346-R346</f>
        <v>-0.4</v>
      </c>
      <c r="T346" s="17" t="n">
        <f aca="false">T345+S346</f>
        <v>98.9171428571428</v>
      </c>
      <c r="U346" s="16" t="n">
        <v>15</v>
      </c>
      <c r="V346" s="1" t="n">
        <v>504.1</v>
      </c>
      <c r="X346" s="1" t="n">
        <f aca="false">X345+V346</f>
        <v>78137.2</v>
      </c>
      <c r="Y346" s="1" t="n">
        <f aca="false">Y345+V346</f>
        <v>6057.4</v>
      </c>
      <c r="AA346" s="1" t="n">
        <v>9.05870034106662</v>
      </c>
    </row>
    <row r="347" s="1" customFormat="true" ht="15" hidden="false" customHeight="false" outlineLevel="0" collapsed="false">
      <c r="A347" s="24"/>
      <c r="B347" s="2"/>
      <c r="C347" s="8" t="n">
        <v>40520</v>
      </c>
      <c r="D347" s="1" t="n">
        <v>14</v>
      </c>
      <c r="E347" s="1" t="n">
        <v>11.8</v>
      </c>
      <c r="F347" s="1" t="n">
        <v>19.3</v>
      </c>
      <c r="G347" s="1" t="n">
        <f aca="false">G346+D347</f>
        <v>1129.7</v>
      </c>
      <c r="H347" s="1" t="n">
        <f aca="false">H346+D347</f>
        <v>77.5</v>
      </c>
      <c r="J347" s="1" t="n">
        <v>0</v>
      </c>
      <c r="K347" s="1" t="n">
        <f aca="false">K346+J347</f>
        <v>194.1</v>
      </c>
      <c r="L347" s="1" t="n">
        <v>1.7</v>
      </c>
      <c r="M347" s="1" t="n">
        <f aca="false">M346+L347</f>
        <v>179.3</v>
      </c>
      <c r="N347" s="1" t="n">
        <v>-1.7</v>
      </c>
      <c r="O347" s="1" t="n">
        <f aca="false">O346+N347</f>
        <v>78.1</v>
      </c>
      <c r="P347" s="6" t="n">
        <v>92</v>
      </c>
      <c r="Q347" s="1" t="n">
        <v>1</v>
      </c>
      <c r="R347" s="16" t="n">
        <f aca="false">Q347*L347</f>
        <v>1.7</v>
      </c>
      <c r="S347" s="16" t="n">
        <f aca="false">J347-R347</f>
        <v>-1.7</v>
      </c>
      <c r="T347" s="17" t="n">
        <f aca="false">T346+S347</f>
        <v>97.2171428571428</v>
      </c>
      <c r="V347" s="1" t="n">
        <v>703.1</v>
      </c>
      <c r="X347" s="1" t="n">
        <f aca="false">X346+V347</f>
        <v>78840.3000000001</v>
      </c>
      <c r="Y347" s="1" t="n">
        <f aca="false">Y346+V347</f>
        <v>6760.5</v>
      </c>
      <c r="AA347" s="1" t="n">
        <v>9.04024471662847</v>
      </c>
    </row>
    <row r="348" s="1" customFormat="true" ht="15" hidden="false" customHeight="false" outlineLevel="0" collapsed="false">
      <c r="A348" s="24"/>
      <c r="B348" s="2"/>
      <c r="C348" s="8" t="n">
        <v>40521</v>
      </c>
      <c r="D348" s="1" t="n">
        <v>4.8</v>
      </c>
      <c r="E348" s="1" t="n">
        <v>3.4</v>
      </c>
      <c r="F348" s="1" t="n">
        <v>6.4</v>
      </c>
      <c r="G348" s="1" t="n">
        <f aca="false">G347+D348</f>
        <v>1134.5</v>
      </c>
      <c r="H348" s="1" t="n">
        <f aca="false">H347+D348</f>
        <v>82.3</v>
      </c>
      <c r="J348" s="1" t="n">
        <v>0</v>
      </c>
      <c r="K348" s="1" t="n">
        <f aca="false">K347+J348</f>
        <v>194.1</v>
      </c>
      <c r="L348" s="1" t="n">
        <v>0.7</v>
      </c>
      <c r="M348" s="1" t="n">
        <f aca="false">M347+L348</f>
        <v>180</v>
      </c>
      <c r="N348" s="1" t="n">
        <v>-0.7</v>
      </c>
      <c r="O348" s="1" t="n">
        <f aca="false">O347+N348</f>
        <v>77.4</v>
      </c>
      <c r="P348" s="6" t="n">
        <v>93</v>
      </c>
      <c r="Q348" s="1" t="n">
        <v>1</v>
      </c>
      <c r="R348" s="16" t="n">
        <f aca="false">Q348*L348</f>
        <v>0.7</v>
      </c>
      <c r="S348" s="16" t="n">
        <f aca="false">J348-R348</f>
        <v>-0.7</v>
      </c>
      <c r="T348" s="17" t="n">
        <f aca="false">T347+S348</f>
        <v>96.5171428571428</v>
      </c>
      <c r="V348" s="1" t="n">
        <v>230.3</v>
      </c>
      <c r="X348" s="1" t="n">
        <f aca="false">X347+V348</f>
        <v>79070.6000000001</v>
      </c>
      <c r="Y348" s="1" t="n">
        <f aca="false">Y347+V348</f>
        <v>6990.8</v>
      </c>
      <c r="AA348" s="1" t="n">
        <v>9.02293018193175</v>
      </c>
    </row>
    <row r="349" s="1" customFormat="true" ht="15" hidden="false" customHeight="false" outlineLevel="0" collapsed="false">
      <c r="A349" s="24"/>
      <c r="B349" s="2"/>
      <c r="C349" s="8" t="n">
        <v>40522</v>
      </c>
      <c r="D349" s="1" t="n">
        <v>0.4</v>
      </c>
      <c r="E349" s="1" t="n">
        <v>-2.4</v>
      </c>
      <c r="F349" s="1" t="n">
        <v>4</v>
      </c>
      <c r="G349" s="1" t="n">
        <f aca="false">G348+D349</f>
        <v>1134.9</v>
      </c>
      <c r="H349" s="1" t="n">
        <f aca="false">H348+D349</f>
        <v>82.7</v>
      </c>
      <c r="J349" s="1" t="n">
        <v>0</v>
      </c>
      <c r="K349" s="1" t="n">
        <f aca="false">K348+J349</f>
        <v>194.1</v>
      </c>
      <c r="L349" s="1" t="n">
        <v>0.9</v>
      </c>
      <c r="M349" s="1" t="n">
        <f aca="false">M348+L349</f>
        <v>180.9</v>
      </c>
      <c r="N349" s="1" t="n">
        <v>-0.9</v>
      </c>
      <c r="O349" s="1" t="n">
        <f aca="false">O348+N349</f>
        <v>76.5</v>
      </c>
      <c r="P349" s="6" t="n">
        <v>94</v>
      </c>
      <c r="Q349" s="1" t="n">
        <v>1</v>
      </c>
      <c r="R349" s="16" t="n">
        <f aca="false">Q349*L349</f>
        <v>0.9</v>
      </c>
      <c r="S349" s="16" t="n">
        <f aca="false">J349-R349</f>
        <v>-0.9</v>
      </c>
      <c r="T349" s="17" t="n">
        <f aca="false">T348+S349</f>
        <v>95.6171428571428</v>
      </c>
      <c r="V349" s="1" t="n">
        <v>882.2</v>
      </c>
      <c r="X349" s="1" t="n">
        <f aca="false">X348+V349</f>
        <v>79952.8000000001</v>
      </c>
      <c r="Y349" s="1" t="n">
        <f aca="false">Y348+V349</f>
        <v>7873</v>
      </c>
      <c r="AA349" s="1" t="n">
        <v>9.00677442610433</v>
      </c>
    </row>
    <row r="350" s="1" customFormat="true" ht="15" hidden="false" customHeight="false" outlineLevel="0" collapsed="false">
      <c r="A350" s="24"/>
      <c r="B350" s="27"/>
      <c r="C350" s="8" t="n">
        <v>40523</v>
      </c>
      <c r="D350" s="1" t="n">
        <v>1.2</v>
      </c>
      <c r="E350" s="1" t="n">
        <v>-3.3</v>
      </c>
      <c r="F350" s="1" t="n">
        <v>7.6</v>
      </c>
      <c r="G350" s="1" t="n">
        <f aca="false">G349+D350</f>
        <v>1136.1</v>
      </c>
      <c r="H350" s="1" t="n">
        <f aca="false">H349+D350</f>
        <v>83.9</v>
      </c>
      <c r="J350" s="1" t="n">
        <v>0</v>
      </c>
      <c r="K350" s="1" t="n">
        <f aca="false">K349+J350</f>
        <v>194.1</v>
      </c>
      <c r="L350" s="1" t="n">
        <v>1.2</v>
      </c>
      <c r="M350" s="1" t="n">
        <f aca="false">M349+L350</f>
        <v>182.1</v>
      </c>
      <c r="N350" s="1" t="n">
        <v>-1.2</v>
      </c>
      <c r="O350" s="1" t="n">
        <f aca="false">O349+N350</f>
        <v>75.3</v>
      </c>
      <c r="P350" s="6" t="n">
        <v>95</v>
      </c>
      <c r="Q350" s="1" t="n">
        <v>1</v>
      </c>
      <c r="R350" s="16" t="n">
        <f aca="false">Q350*L350</f>
        <v>1.2</v>
      </c>
      <c r="S350" s="16" t="n">
        <f aca="false">J350-R350</f>
        <v>-1.2</v>
      </c>
      <c r="T350" s="17" t="n">
        <f aca="false">T349+S350</f>
        <v>94.4171428571428</v>
      </c>
      <c r="V350" s="1" t="n">
        <v>822</v>
      </c>
      <c r="X350" s="1" t="n">
        <f aca="false">X349+V350</f>
        <v>80774.8000000001</v>
      </c>
      <c r="Y350" s="1" t="n">
        <f aca="false">Y349+V350</f>
        <v>8695</v>
      </c>
      <c r="AA350" s="28" t="n">
        <v>8.99179419824076</v>
      </c>
    </row>
    <row r="351" s="1" customFormat="true" ht="15" hidden="false" customHeight="false" outlineLevel="0" collapsed="false">
      <c r="A351" s="24"/>
      <c r="B351" s="27"/>
      <c r="C351" s="8" t="n">
        <v>40524</v>
      </c>
      <c r="D351" s="1" t="n">
        <v>2.7</v>
      </c>
      <c r="E351" s="1" t="n">
        <v>-2.3</v>
      </c>
      <c r="F351" s="1" t="n">
        <v>9.5</v>
      </c>
      <c r="G351" s="1" t="n">
        <f aca="false">G350+D351</f>
        <v>1138.8</v>
      </c>
      <c r="H351" s="1" t="n">
        <f aca="false">H350+D351</f>
        <v>86.6</v>
      </c>
      <c r="J351" s="1" t="n">
        <v>0</v>
      </c>
      <c r="K351" s="1" t="n">
        <f aca="false">K350+J351</f>
        <v>194.1</v>
      </c>
      <c r="L351" s="1" t="n">
        <v>0.9</v>
      </c>
      <c r="M351" s="1" t="n">
        <f aca="false">M350+L351</f>
        <v>183</v>
      </c>
      <c r="N351" s="1" t="n">
        <v>-0.9</v>
      </c>
      <c r="O351" s="1" t="n">
        <f aca="false">O350+N351</f>
        <v>74.4</v>
      </c>
      <c r="P351" s="6" t="n">
        <v>96</v>
      </c>
      <c r="Q351" s="1" t="n">
        <v>1</v>
      </c>
      <c r="R351" s="16" t="n">
        <f aca="false">Q351*L351</f>
        <v>0.9</v>
      </c>
      <c r="S351" s="16" t="n">
        <f aca="false">J351-R351</f>
        <v>-0.9</v>
      </c>
      <c r="T351" s="17" t="n">
        <f aca="false">T350+S351</f>
        <v>93.5171428571428</v>
      </c>
      <c r="V351" s="1" t="n">
        <v>539.5</v>
      </c>
      <c r="X351" s="1" t="n">
        <f aca="false">X350+V351</f>
        <v>81314.3000000001</v>
      </c>
      <c r="Y351" s="1" t="n">
        <f aca="false">Y350+V351</f>
        <v>9234.5</v>
      </c>
      <c r="AA351" s="28" t="n">
        <v>8.978005248791</v>
      </c>
    </row>
    <row r="352" s="1" customFormat="true" ht="15" hidden="false" customHeight="false" outlineLevel="0" collapsed="false">
      <c r="A352" s="24"/>
      <c r="B352" s="27"/>
      <c r="C352" s="8" t="n">
        <v>40525</v>
      </c>
      <c r="D352" s="1" t="n">
        <v>0.4</v>
      </c>
      <c r="E352" s="1" t="n">
        <v>-3.4</v>
      </c>
      <c r="F352" s="1" t="n">
        <v>5.9</v>
      </c>
      <c r="G352" s="1" t="n">
        <f aca="false">G351+D352</f>
        <v>1139.2</v>
      </c>
      <c r="H352" s="1" t="n">
        <f aca="false">H351+D352</f>
        <v>87</v>
      </c>
      <c r="J352" s="1" t="n">
        <v>0</v>
      </c>
      <c r="K352" s="1" t="n">
        <f aca="false">K351+J352</f>
        <v>194.1</v>
      </c>
      <c r="L352" s="1" t="n">
        <v>0.8</v>
      </c>
      <c r="M352" s="1" t="n">
        <f aca="false">M351+L352</f>
        <v>183.8</v>
      </c>
      <c r="N352" s="1" t="n">
        <v>-0.8</v>
      </c>
      <c r="O352" s="1" t="n">
        <f aca="false">O351+N352</f>
        <v>73.6</v>
      </c>
      <c r="P352" s="6" t="n">
        <v>97</v>
      </c>
      <c r="Q352" s="1" t="n">
        <v>1</v>
      </c>
      <c r="R352" s="16" t="n">
        <f aca="false">Q352*L352</f>
        <v>0.8</v>
      </c>
      <c r="S352" s="16" t="n">
        <f aca="false">J352-R352</f>
        <v>-0.8</v>
      </c>
      <c r="T352" s="17" t="n">
        <f aca="false">T351+S352</f>
        <v>92.7171428571428</v>
      </c>
      <c r="V352" s="1" t="n">
        <v>709.8</v>
      </c>
      <c r="X352" s="1" t="n">
        <f aca="false">X351+V352</f>
        <v>82024.1000000001</v>
      </c>
      <c r="Y352" s="1" t="n">
        <f aca="false">Y351+V352</f>
        <v>9944.3</v>
      </c>
      <c r="AA352" s="28" t="n">
        <v>8.96542227342109</v>
      </c>
    </row>
    <row r="353" s="1" customFormat="true" ht="15" hidden="false" customHeight="false" outlineLevel="0" collapsed="false">
      <c r="A353" s="24"/>
      <c r="B353" s="27"/>
      <c r="C353" s="8" t="n">
        <v>40526</v>
      </c>
      <c r="D353" s="1" t="n">
        <v>0</v>
      </c>
      <c r="E353" s="1" t="n">
        <v>-4</v>
      </c>
      <c r="F353" s="1" t="n">
        <v>5.6</v>
      </c>
      <c r="G353" s="1" t="n">
        <f aca="false">G352+D353</f>
        <v>1139.2</v>
      </c>
      <c r="H353" s="1" t="n">
        <f aca="false">H352+D353</f>
        <v>87</v>
      </c>
      <c r="J353" s="1" t="n">
        <v>0</v>
      </c>
      <c r="K353" s="1" t="n">
        <f aca="false">K352+J353</f>
        <v>194.1</v>
      </c>
      <c r="L353" s="1" t="n">
        <v>1</v>
      </c>
      <c r="M353" s="1" t="n">
        <f aca="false">M352+L353</f>
        <v>184.8</v>
      </c>
      <c r="N353" s="1" t="n">
        <v>-1</v>
      </c>
      <c r="O353" s="1" t="n">
        <f aca="false">O352+N353</f>
        <v>72.6</v>
      </c>
      <c r="P353" s="6" t="n">
        <v>98</v>
      </c>
      <c r="Q353" s="1" t="n">
        <v>1</v>
      </c>
      <c r="R353" s="16" t="n">
        <f aca="false">Q353*L353</f>
        <v>1</v>
      </c>
      <c r="S353" s="16" t="n">
        <f aca="false">J353-R353</f>
        <v>-1</v>
      </c>
      <c r="T353" s="17" t="n">
        <f aca="false">T352+S353</f>
        <v>91.7171428571428</v>
      </c>
      <c r="V353" s="1" t="n">
        <v>874.6</v>
      </c>
      <c r="X353" s="1" t="n">
        <f aca="false">X352+V353</f>
        <v>82898.7000000001</v>
      </c>
      <c r="Y353" s="1" t="n">
        <f aca="false">Y352+V353</f>
        <v>10818.9</v>
      </c>
      <c r="AA353" s="28" t="n">
        <v>8.95405885973949</v>
      </c>
    </row>
    <row r="354" s="1" customFormat="true" ht="15" hidden="false" customHeight="false" outlineLevel="0" collapsed="false">
      <c r="A354" s="24"/>
      <c r="B354" s="27"/>
      <c r="C354" s="8" t="n">
        <v>40527</v>
      </c>
      <c r="D354" s="1" t="n">
        <v>-1.7</v>
      </c>
      <c r="E354" s="1" t="n">
        <v>-2.4</v>
      </c>
      <c r="F354" s="1" t="n">
        <v>-0.3</v>
      </c>
      <c r="G354" s="1" t="n">
        <v>1139.2</v>
      </c>
      <c r="H354" s="1" t="n">
        <v>87</v>
      </c>
      <c r="J354" s="1" t="n">
        <v>0</v>
      </c>
      <c r="K354" s="1" t="n">
        <f aca="false">K353+J354</f>
        <v>194.1</v>
      </c>
      <c r="L354" s="1" t="n">
        <v>0.8</v>
      </c>
      <c r="M354" s="1" t="n">
        <f aca="false">M353+L354</f>
        <v>185.6</v>
      </c>
      <c r="N354" s="1" t="n">
        <v>-0.8</v>
      </c>
      <c r="O354" s="1" t="n">
        <f aca="false">O353+N354</f>
        <v>71.8</v>
      </c>
      <c r="P354" s="6" t="n">
        <v>99</v>
      </c>
      <c r="Q354" s="1" t="n">
        <v>1</v>
      </c>
      <c r="R354" s="16" t="n">
        <f aca="false">Q354*L354</f>
        <v>0.8</v>
      </c>
      <c r="S354" s="16" t="n">
        <f aca="false">J354-R354</f>
        <v>-0.8</v>
      </c>
      <c r="T354" s="17" t="n">
        <f aca="false">T353+S354</f>
        <v>90.9171428571428</v>
      </c>
      <c r="V354" s="1" t="n">
        <v>610.2</v>
      </c>
      <c r="X354" s="1" t="n">
        <f aca="false">X353+V354</f>
        <v>83508.9000000001</v>
      </c>
      <c r="Y354" s="1" t="n">
        <f aca="false">Y353+V354</f>
        <v>11429.1</v>
      </c>
      <c r="AA354" s="28" t="n">
        <v>8.94392743727141</v>
      </c>
    </row>
    <row r="355" s="1" customFormat="true" ht="15" hidden="false" customHeight="false" outlineLevel="0" collapsed="false">
      <c r="A355" s="24"/>
      <c r="B355" s="27"/>
      <c r="C355" s="8" t="n">
        <v>40528</v>
      </c>
      <c r="D355" s="1" t="n">
        <v>1.8</v>
      </c>
      <c r="E355" s="1" t="n">
        <v>-2.4</v>
      </c>
      <c r="F355" s="1" t="n">
        <v>6.9</v>
      </c>
      <c r="G355" s="1" t="n">
        <f aca="false">G354+D355</f>
        <v>1141</v>
      </c>
      <c r="H355" s="1" t="n">
        <f aca="false">H354+D355</f>
        <v>88.8</v>
      </c>
      <c r="J355" s="1" t="n">
        <v>0.1</v>
      </c>
      <c r="K355" s="1" t="n">
        <f aca="false">K354+J355</f>
        <v>194.2</v>
      </c>
      <c r="L355" s="1" t="n">
        <v>1.2</v>
      </c>
      <c r="M355" s="1" t="n">
        <f aca="false">M354+L355</f>
        <v>186.8</v>
      </c>
      <c r="N355" s="1" t="n">
        <v>-1.1</v>
      </c>
      <c r="O355" s="1" t="n">
        <f aca="false">O354+N355</f>
        <v>70.7</v>
      </c>
      <c r="P355" s="6" t="n">
        <v>100</v>
      </c>
      <c r="Q355" s="1" t="n">
        <v>1</v>
      </c>
      <c r="R355" s="16" t="n">
        <f aca="false">Q355*L355</f>
        <v>1.2</v>
      </c>
      <c r="S355" s="16" t="n">
        <f aca="false">J355-R355</f>
        <v>-1.1</v>
      </c>
      <c r="T355" s="17" t="n">
        <f aca="false">T354+S355</f>
        <v>89.8171428571428</v>
      </c>
      <c r="V355" s="1" t="n">
        <v>105.4</v>
      </c>
      <c r="X355" s="1" t="n">
        <f aca="false">X354+V355</f>
        <v>83614.3000000001</v>
      </c>
      <c r="Y355" s="1" t="n">
        <f aca="false">Y354+V355</f>
        <v>11534.5</v>
      </c>
      <c r="AA355" s="28" t="n">
        <v>8.93503923104878</v>
      </c>
    </row>
    <row r="356" s="1" customFormat="true" ht="15" hidden="false" customHeight="false" outlineLevel="0" collapsed="false">
      <c r="A356" s="24"/>
      <c r="B356" s="27"/>
      <c r="C356" s="8" t="n">
        <v>40529</v>
      </c>
      <c r="D356" s="1" t="n">
        <v>3.7</v>
      </c>
      <c r="E356" s="1" t="n">
        <v>2</v>
      </c>
      <c r="F356" s="1" t="n">
        <v>6.4</v>
      </c>
      <c r="G356" s="1" t="n">
        <f aca="false">G355+D356</f>
        <v>1144.7</v>
      </c>
      <c r="H356" s="1" t="n">
        <f aca="false">H355+D356</f>
        <v>92.5</v>
      </c>
      <c r="J356" s="1" t="n">
        <v>5</v>
      </c>
      <c r="K356" s="1" t="n">
        <f aca="false">K355+J356</f>
        <v>199.2</v>
      </c>
      <c r="L356" s="1" t="n">
        <v>0.8</v>
      </c>
      <c r="M356" s="1" t="n">
        <f aca="false">M355+L356</f>
        <v>187.6</v>
      </c>
      <c r="N356" s="1" t="n">
        <v>4.2</v>
      </c>
      <c r="O356" s="1" t="n">
        <f aca="false">O355+N356</f>
        <v>74.9</v>
      </c>
      <c r="P356" s="6" t="n">
        <v>101</v>
      </c>
      <c r="Q356" s="1" t="n">
        <v>1</v>
      </c>
      <c r="R356" s="16" t="n">
        <f aca="false">Q356*L356</f>
        <v>0.8</v>
      </c>
      <c r="S356" s="16" t="n">
        <f aca="false">J356-R356</f>
        <v>4.2</v>
      </c>
      <c r="T356" s="17" t="n">
        <f aca="false">T355+S356</f>
        <v>94.0171428571428</v>
      </c>
      <c r="V356" s="1" t="n">
        <v>99.9</v>
      </c>
      <c r="X356" s="1" t="n">
        <f aca="false">X355+V356</f>
        <v>83714.2</v>
      </c>
      <c r="Y356" s="1" t="n">
        <f aca="false">Y355+V356</f>
        <v>11634.4</v>
      </c>
      <c r="AA356" s="28" t="n">
        <v>8.92740421916313</v>
      </c>
    </row>
    <row r="357" s="1" customFormat="true" ht="15" hidden="false" customHeight="false" outlineLevel="0" collapsed="false">
      <c r="A357" s="24"/>
      <c r="B357" s="27"/>
      <c r="C357" s="8" t="n">
        <v>40530</v>
      </c>
      <c r="D357" s="1" t="n">
        <v>0.8</v>
      </c>
      <c r="E357" s="1" t="n">
        <v>-2.7</v>
      </c>
      <c r="F357" s="1" t="n">
        <v>4.2</v>
      </c>
      <c r="G357" s="1" t="n">
        <f aca="false">G356+D357</f>
        <v>1145.5</v>
      </c>
      <c r="H357" s="1" t="n">
        <f aca="false">H356+D357</f>
        <v>93.3</v>
      </c>
      <c r="J357" s="1" t="n">
        <v>0</v>
      </c>
      <c r="K357" s="1" t="n">
        <f aca="false">K356+J357</f>
        <v>199.2</v>
      </c>
      <c r="L357" s="1" t="n">
        <v>0.7</v>
      </c>
      <c r="M357" s="1" t="n">
        <f aca="false">M356+L357</f>
        <v>188.3</v>
      </c>
      <c r="N357" s="1" t="n">
        <v>-0.7</v>
      </c>
      <c r="O357" s="1" t="n">
        <f aca="false">O356+N357</f>
        <v>74.2</v>
      </c>
      <c r="P357" s="6" t="n">
        <v>102</v>
      </c>
      <c r="Q357" s="1" t="n">
        <v>1</v>
      </c>
      <c r="R357" s="16" t="n">
        <f aca="false">Q357*L357</f>
        <v>0.7</v>
      </c>
      <c r="S357" s="16" t="n">
        <f aca="false">J357-R357</f>
        <v>-0.7</v>
      </c>
      <c r="T357" s="17" t="n">
        <f aca="false">T356+S357</f>
        <v>93.3171428571428</v>
      </c>
      <c r="V357" s="1" t="n">
        <v>645.3</v>
      </c>
      <c r="X357" s="1" t="n">
        <f aca="false">X356+V357</f>
        <v>84359.5</v>
      </c>
      <c r="Y357" s="1" t="n">
        <f aca="false">Y356+V357</f>
        <v>12279.7</v>
      </c>
      <c r="AA357" s="28" t="n">
        <v>8.9210310946052</v>
      </c>
    </row>
    <row r="358" s="1" customFormat="true" ht="15" hidden="false" customHeight="false" outlineLevel="0" collapsed="false">
      <c r="A358" s="24"/>
      <c r="B358" s="27"/>
      <c r="C358" s="8" t="n">
        <v>40531</v>
      </c>
      <c r="D358" s="1" t="n">
        <v>3.5</v>
      </c>
      <c r="E358" s="1" t="n">
        <v>-0.1</v>
      </c>
      <c r="F358" s="1" t="n">
        <v>8</v>
      </c>
      <c r="G358" s="1" t="n">
        <f aca="false">G357+D358</f>
        <v>1149</v>
      </c>
      <c r="H358" s="1" t="n">
        <f aca="false">H357+D358</f>
        <v>96.8</v>
      </c>
      <c r="J358" s="1" t="n">
        <v>0</v>
      </c>
      <c r="K358" s="1" t="n">
        <f aca="false">K357+J358</f>
        <v>199.2</v>
      </c>
      <c r="L358" s="1" t="n">
        <v>0.7</v>
      </c>
      <c r="M358" s="1" t="n">
        <f aca="false">M357+L358</f>
        <v>189</v>
      </c>
      <c r="N358" s="1" t="n">
        <v>-0.7</v>
      </c>
      <c r="O358" s="1" t="n">
        <f aca="false">O357+N358</f>
        <v>73.5</v>
      </c>
      <c r="P358" s="6" t="n">
        <v>103</v>
      </c>
      <c r="Q358" s="1" t="n">
        <v>1</v>
      </c>
      <c r="R358" s="16" t="n">
        <f aca="false">Q358*L358</f>
        <v>0.7</v>
      </c>
      <c r="S358" s="16" t="n">
        <f aca="false">J358-R358</f>
        <v>-0.7</v>
      </c>
      <c r="T358" s="17" t="n">
        <f aca="false">T357+S358</f>
        <v>92.6171428571428</v>
      </c>
      <c r="V358" s="1" t="n">
        <v>315.8</v>
      </c>
      <c r="X358" s="1" t="n">
        <f aca="false">X357+V358</f>
        <v>84675.3000000001</v>
      </c>
      <c r="Y358" s="1" t="n">
        <f aca="false">Y357+V358</f>
        <v>12595.5</v>
      </c>
      <c r="AA358" s="28" t="n">
        <v>8.91592723168654</v>
      </c>
    </row>
    <row r="359" s="1" customFormat="true" ht="15" hidden="false" customHeight="false" outlineLevel="0" collapsed="false">
      <c r="A359" s="24"/>
      <c r="B359" s="2"/>
      <c r="C359" s="8" t="n">
        <v>40532</v>
      </c>
      <c r="D359" s="1" t="n">
        <v>5.7</v>
      </c>
      <c r="E359" s="1" t="n">
        <v>1.7</v>
      </c>
      <c r="F359" s="1" t="n">
        <v>9.7</v>
      </c>
      <c r="G359" s="1" t="n">
        <f aca="false">G358+D359</f>
        <v>1154.7</v>
      </c>
      <c r="H359" s="1" t="n">
        <f aca="false">H358+D359</f>
        <v>102.5</v>
      </c>
      <c r="J359" s="1" t="n">
        <v>0.2</v>
      </c>
      <c r="K359" s="1" t="n">
        <f aca="false">K358+J359</f>
        <v>199.4</v>
      </c>
      <c r="L359" s="1" t="n">
        <v>0.7</v>
      </c>
      <c r="M359" s="1" t="n">
        <f aca="false">M358+L359</f>
        <v>189.7</v>
      </c>
      <c r="N359" s="1" t="n">
        <v>-0.5</v>
      </c>
      <c r="O359" s="1" t="n">
        <f aca="false">O358+N359</f>
        <v>73</v>
      </c>
      <c r="P359" s="6" t="n">
        <v>104</v>
      </c>
      <c r="Q359" s="1" t="n">
        <v>1</v>
      </c>
      <c r="R359" s="16" t="n">
        <f aca="false">Q359*L359</f>
        <v>0.7</v>
      </c>
      <c r="S359" s="16" t="n">
        <f aca="false">J359-R359</f>
        <v>-0.5</v>
      </c>
      <c r="T359" s="17" t="n">
        <f aca="false">T358+S359</f>
        <v>92.1171428571428</v>
      </c>
      <c r="V359" s="1" t="n">
        <v>579.9</v>
      </c>
      <c r="X359" s="1" t="n">
        <f aca="false">X358+V359</f>
        <v>85255.2</v>
      </c>
      <c r="Y359" s="1" t="n">
        <f aca="false">Y358+V359</f>
        <v>13175.4</v>
      </c>
      <c r="AA359" s="28" t="n">
        <v>8.91209865730669</v>
      </c>
    </row>
    <row r="360" s="1" customFormat="true" ht="15" hidden="false" customHeight="false" outlineLevel="0" collapsed="false">
      <c r="A360" s="24"/>
      <c r="B360" s="2"/>
      <c r="C360" s="8" t="n">
        <v>40533</v>
      </c>
      <c r="D360" s="1" t="n">
        <v>7.8</v>
      </c>
      <c r="E360" s="1" t="n">
        <v>5.4</v>
      </c>
      <c r="F360" s="1" t="n">
        <v>9.2</v>
      </c>
      <c r="G360" s="1" t="n">
        <f aca="false">G359+D360</f>
        <v>1162.5</v>
      </c>
      <c r="H360" s="1" t="n">
        <f aca="false">H359+D360</f>
        <v>110.3</v>
      </c>
      <c r="J360" s="1" t="n">
        <v>0.2</v>
      </c>
      <c r="K360" s="1" t="n">
        <f aca="false">K359+J360</f>
        <v>199.6</v>
      </c>
      <c r="L360" s="1" t="n">
        <v>0.3</v>
      </c>
      <c r="M360" s="1" t="n">
        <f aca="false">M359+L360</f>
        <v>190</v>
      </c>
      <c r="N360" s="1" t="n">
        <v>-0.1</v>
      </c>
      <c r="O360" s="1" t="n">
        <f aca="false">O359+N360</f>
        <v>72.9</v>
      </c>
      <c r="P360" s="6" t="n">
        <v>105</v>
      </c>
      <c r="Q360" s="1" t="n">
        <v>1</v>
      </c>
      <c r="R360" s="16" t="n">
        <f aca="false">Q360*L360</f>
        <v>0.3</v>
      </c>
      <c r="S360" s="16" t="n">
        <f aca="false">J360-R360</f>
        <v>-0.1</v>
      </c>
      <c r="T360" s="17" t="n">
        <f aca="false">T359+S360</f>
        <v>92.0171428571428</v>
      </c>
      <c r="V360" s="1" t="n">
        <v>166.6</v>
      </c>
      <c r="X360" s="1" t="n">
        <f aca="false">X359+V360</f>
        <v>85421.8000000001</v>
      </c>
      <c r="Y360" s="1" t="n">
        <f aca="false">Y359+V360</f>
        <v>13342</v>
      </c>
      <c r="AA360" s="28" t="n">
        <v>8.90955002729394</v>
      </c>
    </row>
    <row r="361" s="1" customFormat="true" ht="15" hidden="false" customHeight="false" outlineLevel="0" collapsed="false">
      <c r="A361" s="24"/>
      <c r="B361" s="2"/>
      <c r="C361" s="8" t="n">
        <v>40534</v>
      </c>
      <c r="D361" s="1" t="n">
        <v>9.4</v>
      </c>
      <c r="E361" s="1" t="n">
        <v>6.6</v>
      </c>
      <c r="F361" s="1" t="n">
        <v>12</v>
      </c>
      <c r="G361" s="1" t="n">
        <f aca="false">G360+D361</f>
        <v>1171.9</v>
      </c>
      <c r="H361" s="1" t="n">
        <f aca="false">H360+D361</f>
        <v>119.7</v>
      </c>
      <c r="J361" s="1" t="n">
        <v>0.5</v>
      </c>
      <c r="K361" s="1" t="n">
        <f aca="false">K360+J361</f>
        <v>200.1</v>
      </c>
      <c r="L361" s="1" t="n">
        <v>0.3</v>
      </c>
      <c r="M361" s="1" t="n">
        <f aca="false">M360+L361</f>
        <v>190.3</v>
      </c>
      <c r="N361" s="1" t="n">
        <v>0.2</v>
      </c>
      <c r="O361" s="1" t="n">
        <f aca="false">O360+N361</f>
        <v>73.1</v>
      </c>
      <c r="P361" s="6" t="n">
        <v>106</v>
      </c>
      <c r="Q361" s="1" t="n">
        <v>1</v>
      </c>
      <c r="R361" s="16" t="n">
        <f aca="false">Q361*L361</f>
        <v>0.3</v>
      </c>
      <c r="S361" s="16" t="n">
        <f aca="false">J361-R361</f>
        <v>0.2</v>
      </c>
      <c r="T361" s="17" t="n">
        <f aca="false">T360+S361</f>
        <v>92.2171428571428</v>
      </c>
      <c r="V361" s="1" t="n">
        <v>234.4</v>
      </c>
      <c r="X361" s="1" t="n">
        <f aca="false">X360+V361</f>
        <v>85656.2</v>
      </c>
      <c r="Y361" s="1" t="n">
        <f aca="false">Y360+V361</f>
        <v>13576.4</v>
      </c>
      <c r="AA361" s="28" t="n">
        <v>8.9082846080094</v>
      </c>
    </row>
    <row r="362" s="1" customFormat="true" ht="15" hidden="false" customHeight="false" outlineLevel="0" collapsed="false">
      <c r="A362" s="24"/>
      <c r="B362" s="2"/>
      <c r="C362" s="8" t="n">
        <v>40535</v>
      </c>
      <c r="D362" s="1" t="n">
        <v>6.8</v>
      </c>
      <c r="E362" s="1" t="n">
        <v>5.5</v>
      </c>
      <c r="F362" s="1" t="n">
        <v>8.9</v>
      </c>
      <c r="G362" s="1" t="n">
        <f aca="false">G361+D362</f>
        <v>1178.7</v>
      </c>
      <c r="H362" s="1" t="n">
        <f aca="false">H361+D362</f>
        <v>126.5</v>
      </c>
      <c r="J362" s="1" t="n">
        <v>13.7</v>
      </c>
      <c r="K362" s="1" t="n">
        <f aca="false">K361+J362</f>
        <v>213.8</v>
      </c>
      <c r="L362" s="1" t="n">
        <v>0.3</v>
      </c>
      <c r="M362" s="1" t="n">
        <f aca="false">M361+L362</f>
        <v>190.6</v>
      </c>
      <c r="N362" s="1" t="n">
        <v>13.4</v>
      </c>
      <c r="O362" s="1" t="n">
        <f aca="false">O361+N362</f>
        <v>86.5</v>
      </c>
      <c r="P362" s="6" t="n">
        <v>107</v>
      </c>
      <c r="Q362" s="1" t="n">
        <v>1</v>
      </c>
      <c r="R362" s="16" t="n">
        <f aca="false">Q362*L362</f>
        <v>0.3</v>
      </c>
      <c r="S362" s="16" t="n">
        <f aca="false">J362-R362</f>
        <v>13.4</v>
      </c>
      <c r="T362" s="17" t="n">
        <f aca="false">T361+S362</f>
        <v>105.617142857143</v>
      </c>
      <c r="V362" s="1" t="n">
        <v>96.3</v>
      </c>
      <c r="X362" s="1" t="n">
        <f aca="false">X361+V362</f>
        <v>85752.5</v>
      </c>
      <c r="Y362" s="1" t="n">
        <f aca="false">Y361+V362</f>
        <v>13672.7</v>
      </c>
      <c r="AA362" s="28" t="n">
        <v>8.90830426336281</v>
      </c>
    </row>
    <row r="363" s="1" customFormat="true" ht="15" hidden="false" customHeight="false" outlineLevel="0" collapsed="false">
      <c r="A363" s="24"/>
      <c r="B363" s="27"/>
      <c r="C363" s="8" t="n">
        <v>40536</v>
      </c>
      <c r="D363" s="1" t="n">
        <v>2.8</v>
      </c>
      <c r="E363" s="1" t="n">
        <v>1.6</v>
      </c>
      <c r="F363" s="1" t="n">
        <v>4.1</v>
      </c>
      <c r="G363" s="1" t="n">
        <f aca="false">G362+D363</f>
        <v>1181.5</v>
      </c>
      <c r="H363" s="1" t="n">
        <f aca="false">H362+D363</f>
        <v>129.3</v>
      </c>
      <c r="J363" s="1" t="n">
        <v>0.1</v>
      </c>
      <c r="K363" s="1" t="n">
        <f aca="false">K362+J363</f>
        <v>213.9</v>
      </c>
      <c r="L363" s="1" t="n">
        <v>0.6</v>
      </c>
      <c r="M363" s="1" t="n">
        <f aca="false">M362+L363</f>
        <v>191.2</v>
      </c>
      <c r="N363" s="1" t="n">
        <v>-0.5</v>
      </c>
      <c r="O363" s="1" t="n">
        <f aca="false">O362+N363</f>
        <v>86</v>
      </c>
      <c r="P363" s="6" t="n">
        <v>108</v>
      </c>
      <c r="Q363" s="1" t="n">
        <v>1</v>
      </c>
      <c r="R363" s="16" t="n">
        <f aca="false">Q363*L363</f>
        <v>0.6</v>
      </c>
      <c r="S363" s="16" t="n">
        <f aca="false">J363-R363</f>
        <v>-0.5</v>
      </c>
      <c r="T363" s="17" t="n">
        <f aca="false">T362+S363</f>
        <v>105.117142857143</v>
      </c>
      <c r="V363" s="1" t="n">
        <v>142.5</v>
      </c>
      <c r="X363" s="1" t="n">
        <f aca="false">X362+V363</f>
        <v>85895</v>
      </c>
      <c r="Y363" s="1" t="n">
        <f aca="false">Y362+V363</f>
        <v>13815.2</v>
      </c>
      <c r="AA363" s="28" t="n">
        <v>8.90960944734578</v>
      </c>
    </row>
    <row r="364" s="1" customFormat="true" ht="15" hidden="false" customHeight="false" outlineLevel="0" collapsed="false">
      <c r="A364" s="24"/>
      <c r="B364" s="27"/>
      <c r="C364" s="8" t="n">
        <v>40537</v>
      </c>
      <c r="D364" s="1" t="n">
        <v>0.1</v>
      </c>
      <c r="E364" s="1" t="n">
        <v>-0.2</v>
      </c>
      <c r="F364" s="1" t="n">
        <v>0.7</v>
      </c>
      <c r="G364" s="1" t="n">
        <f aca="false">G363+D364</f>
        <v>1181.6</v>
      </c>
      <c r="H364" s="1" t="n">
        <f aca="false">H363+D364</f>
        <v>129.4</v>
      </c>
      <c r="J364" s="1" t="n">
        <v>0.1</v>
      </c>
      <c r="K364" s="1" t="n">
        <f aca="false">K363+J364</f>
        <v>214</v>
      </c>
      <c r="L364" s="1" t="n">
        <v>0.9</v>
      </c>
      <c r="M364" s="1" t="n">
        <f aca="false">M363+L364</f>
        <v>192.1</v>
      </c>
      <c r="N364" s="1" t="n">
        <v>-0.8</v>
      </c>
      <c r="O364" s="1" t="n">
        <f aca="false">O363+N364</f>
        <v>85.2</v>
      </c>
      <c r="P364" s="6" t="n">
        <v>109</v>
      </c>
      <c r="Q364" s="1" t="n">
        <v>1</v>
      </c>
      <c r="R364" s="16" t="n">
        <f aca="false">Q364*L364</f>
        <v>0.9</v>
      </c>
      <c r="S364" s="16" t="n">
        <f aca="false">J364-R364</f>
        <v>-0.8</v>
      </c>
      <c r="T364" s="17" t="n">
        <f aca="false">T363+S364</f>
        <v>104.317142857143</v>
      </c>
      <c r="V364" s="1" t="n">
        <v>272.7</v>
      </c>
      <c r="X364" s="1" t="n">
        <f aca="false">X363+V364</f>
        <v>86167.7</v>
      </c>
      <c r="Y364" s="1" t="n">
        <f aca="false">Y363+V364</f>
        <v>14087.9</v>
      </c>
      <c r="AA364" s="28" t="n">
        <v>8.91219920214333</v>
      </c>
    </row>
    <row r="365" s="1" customFormat="true" ht="15" hidden="false" customHeight="false" outlineLevel="0" collapsed="false">
      <c r="A365" s="24"/>
      <c r="B365" s="27"/>
      <c r="C365" s="8" t="n">
        <v>40538</v>
      </c>
      <c r="D365" s="1" t="n">
        <v>-2.5</v>
      </c>
      <c r="E365" s="1" t="n">
        <v>-4.7</v>
      </c>
      <c r="F365" s="1" t="n">
        <v>0.5</v>
      </c>
      <c r="G365" s="1" t="n">
        <v>1181.6</v>
      </c>
      <c r="H365" s="1" t="n">
        <v>129.4</v>
      </c>
      <c r="J365" s="1" t="n">
        <v>0</v>
      </c>
      <c r="K365" s="1" t="n">
        <f aca="false">K364+J365</f>
        <v>214</v>
      </c>
      <c r="L365" s="1" t="n">
        <v>0.8</v>
      </c>
      <c r="M365" s="1" t="n">
        <f aca="false">M364+L365</f>
        <v>192.9</v>
      </c>
      <c r="N365" s="1" t="n">
        <v>-0.8</v>
      </c>
      <c r="O365" s="1" t="n">
        <f aca="false">O364+N365</f>
        <v>84.4</v>
      </c>
      <c r="P365" s="6" t="n">
        <v>110</v>
      </c>
      <c r="Q365" s="1" t="n">
        <v>1</v>
      </c>
      <c r="R365" s="16" t="n">
        <f aca="false">Q365*L365</f>
        <v>0.8</v>
      </c>
      <c r="S365" s="16" t="n">
        <f aca="false">J365-R365</f>
        <v>-0.8</v>
      </c>
      <c r="T365" s="17" t="n">
        <f aca="false">T364+S365</f>
        <v>103.517142857143</v>
      </c>
      <c r="V365" s="1" t="n">
        <v>821</v>
      </c>
      <c r="X365" s="1" t="n">
        <f aca="false">X364+V365</f>
        <v>86988.7</v>
      </c>
      <c r="Y365" s="1" t="n">
        <f aca="false">Y364+V365</f>
        <v>14908.9</v>
      </c>
      <c r="AA365" s="28" t="n">
        <v>8.91607116183954</v>
      </c>
    </row>
    <row r="366" s="1" customFormat="true" ht="15" hidden="false" customHeight="false" outlineLevel="0" collapsed="false">
      <c r="A366" s="24"/>
      <c r="B366" s="27"/>
      <c r="C366" s="8" t="n">
        <v>40539</v>
      </c>
      <c r="D366" s="1" t="n">
        <v>0.9</v>
      </c>
      <c r="E366" s="1" t="n">
        <v>-5.5</v>
      </c>
      <c r="F366" s="1" t="n">
        <v>6.4</v>
      </c>
      <c r="G366" s="1" t="n">
        <f aca="false">G365+D366</f>
        <v>1182.5</v>
      </c>
      <c r="H366" s="1" t="n">
        <f aca="false">H365+D366</f>
        <v>130.3</v>
      </c>
      <c r="J366" s="1" t="n">
        <v>0</v>
      </c>
      <c r="K366" s="1" t="n">
        <f aca="false">K365+J366</f>
        <v>214</v>
      </c>
      <c r="L366" s="1" t="n">
        <v>1.1</v>
      </c>
      <c r="M366" s="1" t="n">
        <f aca="false">M365+L366</f>
        <v>194</v>
      </c>
      <c r="N366" s="1" t="n">
        <v>-1.1</v>
      </c>
      <c r="O366" s="1" t="n">
        <f aca="false">O365+N366</f>
        <v>83.3</v>
      </c>
      <c r="P366" s="6" t="n">
        <v>111</v>
      </c>
      <c r="Q366" s="1" t="n">
        <v>1</v>
      </c>
      <c r="R366" s="16" t="n">
        <f aca="false">Q366*L366</f>
        <v>1.1</v>
      </c>
      <c r="S366" s="16" t="n">
        <f aca="false">J366-R366</f>
        <v>-1.1</v>
      </c>
      <c r="T366" s="17" t="n">
        <f aca="false">T365+S366</f>
        <v>102.417142857143</v>
      </c>
      <c r="V366" s="1" t="n">
        <v>465.8</v>
      </c>
      <c r="X366" s="1" t="n">
        <f aca="false">X365+V366</f>
        <v>87454.5</v>
      </c>
      <c r="Y366" s="1" t="n">
        <f aca="false">Y365+V366</f>
        <v>15374.7</v>
      </c>
      <c r="AA366" s="28" t="n">
        <v>8.9212215616872</v>
      </c>
    </row>
    <row r="367" s="1" customFormat="true" ht="15" hidden="false" customHeight="false" outlineLevel="0" collapsed="false">
      <c r="A367" s="24"/>
      <c r="B367" s="2"/>
      <c r="C367" s="8" t="n">
        <v>40540</v>
      </c>
      <c r="D367" s="1" t="n">
        <v>6.1</v>
      </c>
      <c r="E367" s="1" t="n">
        <v>2.7</v>
      </c>
      <c r="F367" s="1" t="n">
        <v>10.3</v>
      </c>
      <c r="G367" s="1" t="n">
        <f aca="false">G366+D367</f>
        <v>1188.6</v>
      </c>
      <c r="H367" s="1" t="n">
        <f aca="false">H366+D367</f>
        <v>136.4</v>
      </c>
      <c r="J367" s="1" t="n">
        <v>0</v>
      </c>
      <c r="K367" s="1" t="n">
        <f aca="false">K366+J367</f>
        <v>214</v>
      </c>
      <c r="L367" s="1" t="n">
        <v>0.9</v>
      </c>
      <c r="M367" s="1" t="n">
        <f aca="false">M366+L367</f>
        <v>194.9</v>
      </c>
      <c r="N367" s="1" t="n">
        <v>-0.9</v>
      </c>
      <c r="O367" s="1" t="n">
        <f aca="false">O366+N367</f>
        <v>82.4</v>
      </c>
      <c r="P367" s="6" t="n">
        <v>112</v>
      </c>
      <c r="Q367" s="1" t="n">
        <v>1</v>
      </c>
      <c r="R367" s="16" t="n">
        <f aca="false">Q367*L367</f>
        <v>0.9</v>
      </c>
      <c r="S367" s="16" t="n">
        <f aca="false">J367-R367</f>
        <v>-0.9</v>
      </c>
      <c r="T367" s="17" t="n">
        <f aca="false">T366+S367</f>
        <v>101.517142857143</v>
      </c>
      <c r="V367" s="1" t="n">
        <v>370.2</v>
      </c>
      <c r="X367" s="1" t="n">
        <f aca="false">X366+V367</f>
        <v>87824.7</v>
      </c>
      <c r="Y367" s="1" t="n">
        <f aca="false">Y366+V367</f>
        <v>15744.9</v>
      </c>
      <c r="AA367" s="28" t="n">
        <v>8.9276452528666</v>
      </c>
    </row>
    <row r="368" s="1" customFormat="true" ht="15" hidden="false" customHeight="false" outlineLevel="0" collapsed="false">
      <c r="A368" s="24"/>
      <c r="B368" s="2"/>
      <c r="C368" s="8" t="n">
        <v>40541</v>
      </c>
      <c r="D368" s="1" t="n">
        <v>7.8</v>
      </c>
      <c r="E368" s="1" t="n">
        <v>5.2</v>
      </c>
      <c r="F368" s="1" t="n">
        <v>11.4</v>
      </c>
      <c r="G368" s="1" t="n">
        <f aca="false">G367+D368</f>
        <v>1196.4</v>
      </c>
      <c r="H368" s="1" t="n">
        <f aca="false">H367+D368</f>
        <v>144.2</v>
      </c>
      <c r="J368" s="1" t="n">
        <v>0.2</v>
      </c>
      <c r="K368" s="1" t="n">
        <f aca="false">K367+J368</f>
        <v>214.2</v>
      </c>
      <c r="L368" s="1" t="n">
        <v>0.9</v>
      </c>
      <c r="M368" s="1" t="n">
        <f aca="false">M367+L368</f>
        <v>195.8</v>
      </c>
      <c r="N368" s="1" t="n">
        <v>-0.7</v>
      </c>
      <c r="O368" s="1" t="n">
        <f aca="false">O367+N368</f>
        <v>81.7</v>
      </c>
      <c r="P368" s="6" t="n">
        <v>113</v>
      </c>
      <c r="Q368" s="1" t="n">
        <v>1</v>
      </c>
      <c r="R368" s="16" t="n">
        <f aca="false">Q368*L368</f>
        <v>0.9</v>
      </c>
      <c r="S368" s="16" t="n">
        <f aca="false">J368-R368</f>
        <v>-0.7</v>
      </c>
      <c r="T368" s="17" t="n">
        <f aca="false">T367+S368</f>
        <v>100.817142857143</v>
      </c>
      <c r="V368" s="1" t="n">
        <v>146.6</v>
      </c>
      <c r="X368" s="1" t="n">
        <f aca="false">X367+V368</f>
        <v>87971.3000000001</v>
      </c>
      <c r="Y368" s="1" t="n">
        <f aca="false">Y367+V368</f>
        <v>15891.5</v>
      </c>
      <c r="AA368" s="28" t="n">
        <v>8.93533572261402</v>
      </c>
    </row>
    <row r="369" s="1" customFormat="true" ht="15" hidden="false" customHeight="false" outlineLevel="0" collapsed="false">
      <c r="A369" s="24"/>
      <c r="B369" s="2"/>
      <c r="C369" s="8" t="n">
        <v>40542</v>
      </c>
      <c r="D369" s="1" t="n">
        <v>9.3</v>
      </c>
      <c r="E369" s="1" t="n">
        <v>5.5</v>
      </c>
      <c r="F369" s="1" t="n">
        <v>11.3</v>
      </c>
      <c r="G369" s="1" t="n">
        <f aca="false">G368+D369</f>
        <v>1205.7</v>
      </c>
      <c r="H369" s="1" t="n">
        <f aca="false">H368+D369</f>
        <v>153.5</v>
      </c>
      <c r="J369" s="1" t="n">
        <v>0.4</v>
      </c>
      <c r="K369" s="1" t="n">
        <f aca="false">K368+J369</f>
        <v>214.6</v>
      </c>
      <c r="L369" s="1" t="n">
        <v>0.6</v>
      </c>
      <c r="M369" s="1" t="n">
        <f aca="false">M368+L369</f>
        <v>196.4</v>
      </c>
      <c r="N369" s="1" t="n">
        <v>-0.2</v>
      </c>
      <c r="O369" s="1" t="n">
        <f aca="false">O368+N369</f>
        <v>81.5</v>
      </c>
      <c r="P369" s="6" t="n">
        <v>114</v>
      </c>
      <c r="Q369" s="1" t="n">
        <v>1</v>
      </c>
      <c r="R369" s="16" t="n">
        <f aca="false">Q369*L369</f>
        <v>0.6</v>
      </c>
      <c r="S369" s="16" t="n">
        <f aca="false">J369-R369</f>
        <v>-0.2</v>
      </c>
      <c r="T369" s="17" t="n">
        <f aca="false">T368+S369</f>
        <v>100.617142857143</v>
      </c>
      <c r="V369" s="1" t="n">
        <v>329.6</v>
      </c>
      <c r="X369" s="1" t="n">
        <f aca="false">X368+V369</f>
        <v>88300.9000000001</v>
      </c>
      <c r="Y369" s="1" t="n">
        <f aca="false">Y368+V369</f>
        <v>16221.1</v>
      </c>
      <c r="AA369" s="28" t="n">
        <v>8.94428511955844</v>
      </c>
    </row>
    <row r="370" s="1" customFormat="true" ht="15" hidden="false" customHeight="false" outlineLevel="0" collapsed="false">
      <c r="A370" s="24"/>
      <c r="B370" s="2"/>
      <c r="C370" s="8" t="n">
        <v>40543</v>
      </c>
      <c r="D370" s="1" t="n">
        <v>10.3</v>
      </c>
      <c r="E370" s="1" t="n">
        <v>9</v>
      </c>
      <c r="F370" s="1" t="n">
        <v>15.3</v>
      </c>
      <c r="G370" s="1" t="n">
        <f aca="false">G369+D370</f>
        <v>1216</v>
      </c>
      <c r="H370" s="1" t="n">
        <f aca="false">H369+D370</f>
        <v>163.8</v>
      </c>
      <c r="J370" s="1" t="n">
        <v>0</v>
      </c>
      <c r="K370" s="1" t="n">
        <f aca="false">K369+J370</f>
        <v>214.6</v>
      </c>
      <c r="L370" s="1" t="n">
        <v>1.7</v>
      </c>
      <c r="M370" s="1" t="n">
        <f aca="false">M369+L370</f>
        <v>198.1</v>
      </c>
      <c r="N370" s="1" t="n">
        <v>-1.7</v>
      </c>
      <c r="O370" s="1" t="n">
        <f aca="false">O369+N370</f>
        <v>79.8</v>
      </c>
      <c r="P370" s="6" t="n">
        <v>115</v>
      </c>
      <c r="Q370" s="1" t="n">
        <v>1</v>
      </c>
      <c r="R370" s="16" t="n">
        <f aca="false">Q370*L370</f>
        <v>1.7</v>
      </c>
      <c r="S370" s="16" t="n">
        <f aca="false">J370-R370</f>
        <v>-1.7</v>
      </c>
      <c r="T370" s="17" t="n">
        <f aca="false">T369+S370</f>
        <v>98.9171428571428</v>
      </c>
      <c r="V370" s="1" t="n">
        <v>279.9</v>
      </c>
      <c r="X370" s="1" t="n">
        <f aca="false">X369+V370</f>
        <v>88580.8000000001</v>
      </c>
      <c r="Y370" s="1" t="n">
        <f aca="false">Y369+V370</f>
        <v>16501</v>
      </c>
      <c r="AA370" s="28" t="n">
        <v>8.95448428406422</v>
      </c>
    </row>
    <row r="371" s="1" customFormat="true" ht="15" hidden="false" customHeight="false" outlineLevel="0" collapsed="false">
      <c r="A371" s="24"/>
      <c r="B371" s="2"/>
      <c r="C371" s="8" t="n">
        <v>40544</v>
      </c>
      <c r="D371" s="1" t="n">
        <v>6.8</v>
      </c>
      <c r="E371" s="1" t="n">
        <v>3.7</v>
      </c>
      <c r="F371" s="1" t="n">
        <v>10.2</v>
      </c>
      <c r="G371" s="1" t="n">
        <f aca="false">G370+D371</f>
        <v>1222.8</v>
      </c>
      <c r="H371" s="1" t="n">
        <f aca="false">H370+D371</f>
        <v>170.6</v>
      </c>
      <c r="J371" s="1" t="n">
        <v>0</v>
      </c>
      <c r="K371" s="1" t="n">
        <f aca="false">K370+J371</f>
        <v>214.6</v>
      </c>
      <c r="L371" s="1" t="n">
        <v>0.4</v>
      </c>
      <c r="M371" s="1" t="n">
        <f aca="false">M370+L371</f>
        <v>198.5</v>
      </c>
      <c r="N371" s="1" t="n">
        <v>-0.4</v>
      </c>
      <c r="O371" s="1" t="n">
        <f aca="false">O370+N371</f>
        <v>79.4</v>
      </c>
      <c r="P371" s="6" t="n">
        <v>116</v>
      </c>
      <c r="Q371" s="1" t="n">
        <v>1</v>
      </c>
      <c r="R371" s="16" t="n">
        <f aca="false">Q371*L371</f>
        <v>0.4</v>
      </c>
      <c r="S371" s="16" t="n">
        <f aca="false">J371-R371</f>
        <v>-0.4</v>
      </c>
      <c r="T371" s="17" t="n">
        <f aca="false">T370+S371</f>
        <v>98.5171428571428</v>
      </c>
      <c r="V371" s="1" t="n">
        <v>242.5</v>
      </c>
      <c r="X371" s="1" t="n">
        <f aca="false">X370+V371</f>
        <v>88823.3000000001</v>
      </c>
      <c r="Y371" s="1" t="n">
        <f aca="false">Y370+V371</f>
        <v>16743.5</v>
      </c>
      <c r="AA371" s="28" t="n">
        <v>8.96961256944915</v>
      </c>
    </row>
    <row r="372" s="1" customFormat="true" ht="15" hidden="false" customHeight="false" outlineLevel="0" collapsed="false">
      <c r="A372" s="24"/>
      <c r="B372" s="27"/>
      <c r="C372" s="8" t="n">
        <v>40545</v>
      </c>
      <c r="D372" s="1" t="n">
        <v>2.5</v>
      </c>
      <c r="E372" s="1" t="n">
        <v>1.3</v>
      </c>
      <c r="F372" s="1" t="n">
        <v>3</v>
      </c>
      <c r="G372" s="1" t="n">
        <f aca="false">G371+D372</f>
        <v>1225.3</v>
      </c>
      <c r="H372" s="1" t="n">
        <f aca="false">H371+D372</f>
        <v>173.1</v>
      </c>
      <c r="J372" s="1" t="n">
        <v>0</v>
      </c>
      <c r="K372" s="1" t="n">
        <f aca="false">K371+J372</f>
        <v>214.6</v>
      </c>
      <c r="L372" s="1" t="n">
        <v>0.2</v>
      </c>
      <c r="M372" s="1" t="n">
        <f aca="false">M371+L372</f>
        <v>198.7</v>
      </c>
      <c r="N372" s="1" t="n">
        <v>-0.2</v>
      </c>
      <c r="O372" s="1" t="n">
        <f aca="false">O371+N372</f>
        <v>79.2</v>
      </c>
      <c r="P372" s="6" t="n">
        <v>117</v>
      </c>
      <c r="Q372" s="1" t="n">
        <v>1</v>
      </c>
      <c r="R372" s="16" t="n">
        <f aca="false">Q372*L372</f>
        <v>0.2</v>
      </c>
      <c r="S372" s="16" t="n">
        <f aca="false">J372-R372</f>
        <v>-0.2</v>
      </c>
      <c r="T372" s="17" t="n">
        <f aca="false">T371+S372</f>
        <v>98.3171428571428</v>
      </c>
      <c r="V372" s="1" t="n">
        <v>222.9</v>
      </c>
      <c r="X372" s="1" t="n">
        <f aca="false">X371+V372</f>
        <v>89046.2</v>
      </c>
      <c r="Y372" s="1" t="n">
        <f aca="false">Y371+V372</f>
        <v>16966.4</v>
      </c>
      <c r="AA372" s="28" t="n">
        <v>8.98264637504559</v>
      </c>
    </row>
    <row r="373" s="1" customFormat="true" ht="15" hidden="false" customHeight="false" outlineLevel="0" collapsed="false">
      <c r="A373" s="24"/>
      <c r="B373" s="27"/>
      <c r="C373" s="8" t="n">
        <v>40546</v>
      </c>
      <c r="D373" s="1" t="n">
        <v>2.4</v>
      </c>
      <c r="E373" s="1" t="n">
        <v>1.6</v>
      </c>
      <c r="F373" s="1" t="n">
        <v>3</v>
      </c>
      <c r="G373" s="1" t="n">
        <f aca="false">G372+D373</f>
        <v>1227.7</v>
      </c>
      <c r="H373" s="1" t="n">
        <f aca="false">H372+D373</f>
        <v>175.5</v>
      </c>
      <c r="J373" s="1" t="n">
        <v>0</v>
      </c>
      <c r="K373" s="1" t="n">
        <f aca="false">K372+J373</f>
        <v>214.6</v>
      </c>
      <c r="L373" s="1" t="n">
        <v>0.7</v>
      </c>
      <c r="M373" s="1" t="n">
        <f aca="false">M372+L373</f>
        <v>199.4</v>
      </c>
      <c r="N373" s="1" t="n">
        <v>-0.7</v>
      </c>
      <c r="O373" s="1" t="n">
        <f aca="false">O372+N373</f>
        <v>78.5</v>
      </c>
      <c r="P373" s="6" t="n">
        <v>118</v>
      </c>
      <c r="Q373" s="1" t="n">
        <v>1</v>
      </c>
      <c r="R373" s="16" t="n">
        <f aca="false">Q373*L373</f>
        <v>0.7</v>
      </c>
      <c r="S373" s="16" t="n">
        <f aca="false">J373-R373</f>
        <v>-0.7</v>
      </c>
      <c r="T373" s="17" t="n">
        <f aca="false">T372+S373</f>
        <v>97.6171428571428</v>
      </c>
      <c r="V373" s="1" t="n">
        <v>323.1</v>
      </c>
      <c r="X373" s="1" t="n">
        <f aca="false">X372+V373</f>
        <v>89369.3000000001</v>
      </c>
      <c r="Y373" s="1" t="n">
        <f aca="false">Y372+V373</f>
        <v>17289.5</v>
      </c>
      <c r="AA373" s="28" t="n">
        <v>8.99689089088048</v>
      </c>
    </row>
    <row r="374" s="1" customFormat="true" ht="15" hidden="false" customHeight="false" outlineLevel="0" collapsed="false">
      <c r="A374" s="24"/>
      <c r="B374" s="2"/>
      <c r="C374" s="8" t="n">
        <v>40547</v>
      </c>
      <c r="D374" s="1" t="n">
        <v>2.4</v>
      </c>
      <c r="E374" s="1" t="n">
        <v>0.1</v>
      </c>
      <c r="F374" s="1" t="n">
        <v>4.1</v>
      </c>
      <c r="G374" s="1" t="n">
        <f aca="false">G373+D374</f>
        <v>1230.1</v>
      </c>
      <c r="H374" s="1" t="n">
        <f aca="false">H373+D374</f>
        <v>177.9</v>
      </c>
      <c r="J374" s="1" t="n">
        <v>0.6</v>
      </c>
      <c r="K374" s="1" t="n">
        <f aca="false">K373+J374</f>
        <v>215.2</v>
      </c>
      <c r="L374" s="1" t="n">
        <v>0.7</v>
      </c>
      <c r="M374" s="1" t="n">
        <f aca="false">M373+L374</f>
        <v>200.1</v>
      </c>
      <c r="N374" s="1" t="n">
        <v>-0.1</v>
      </c>
      <c r="O374" s="1" t="n">
        <f aca="false">O373+N374</f>
        <v>78.4</v>
      </c>
      <c r="P374" s="6" t="n">
        <v>119</v>
      </c>
      <c r="Q374" s="1" t="n">
        <v>1</v>
      </c>
      <c r="R374" s="16" t="n">
        <f aca="false">Q374*L374</f>
        <v>0.7</v>
      </c>
      <c r="S374" s="16" t="n">
        <f aca="false">J374-R374</f>
        <v>-0.1</v>
      </c>
      <c r="T374" s="17" t="n">
        <f aca="false">T373+S374</f>
        <v>97.5171428571428</v>
      </c>
      <c r="V374" s="1" t="n">
        <v>598.7</v>
      </c>
      <c r="X374" s="1" t="n">
        <f aca="false">X373+V374</f>
        <v>89968</v>
      </c>
      <c r="Y374" s="1" t="n">
        <f aca="false">Y373+V374</f>
        <v>17888.2</v>
      </c>
      <c r="AA374" s="1" t="n">
        <v>9.01233178429434</v>
      </c>
    </row>
    <row r="375" s="31" customFormat="true" ht="15" hidden="false" customHeight="false" outlineLevel="0" collapsed="false">
      <c r="A375" s="24"/>
      <c r="B375" s="29"/>
      <c r="C375" s="30" t="n">
        <v>40548</v>
      </c>
      <c r="D375" s="31" t="n">
        <v>5.8</v>
      </c>
      <c r="E375" s="31" t="n">
        <v>2.1</v>
      </c>
      <c r="F375" s="31" t="n">
        <v>9.7</v>
      </c>
      <c r="G375" s="31" t="n">
        <f aca="false">G374+D375</f>
        <v>1235.9</v>
      </c>
      <c r="H375" s="31" t="n">
        <f aca="false">H374+D375</f>
        <v>183.7</v>
      </c>
      <c r="J375" s="31" t="n">
        <v>0</v>
      </c>
      <c r="K375" s="31" t="n">
        <f aca="false">K374+J375</f>
        <v>215.2</v>
      </c>
      <c r="L375" s="31" t="n">
        <v>1.1</v>
      </c>
      <c r="M375" s="31" t="n">
        <f aca="false">M374+L375</f>
        <v>201.2</v>
      </c>
      <c r="N375" s="31" t="n">
        <v>-1.1</v>
      </c>
      <c r="O375" s="31" t="n">
        <f aca="false">O374+N375</f>
        <v>77.3</v>
      </c>
      <c r="P375" s="32" t="n">
        <v>120</v>
      </c>
      <c r="Q375" s="31" t="n">
        <v>1</v>
      </c>
      <c r="R375" s="33" t="n">
        <f aca="false">Q375*L375</f>
        <v>1.1</v>
      </c>
      <c r="S375" s="33" t="n">
        <f aca="false">J375-R375</f>
        <v>-1.1</v>
      </c>
      <c r="T375" s="34" t="n">
        <f aca="false">T374+S375</f>
        <v>96.4171428571428</v>
      </c>
      <c r="V375" s="31" t="n">
        <v>536.5</v>
      </c>
      <c r="X375" s="31" t="n">
        <f aca="false">X374+V375</f>
        <v>90504.5</v>
      </c>
      <c r="Y375" s="31" t="n">
        <f aca="false">Y374+V375</f>
        <v>18424.7</v>
      </c>
      <c r="AA375" s="31" t="n">
        <v>9.02895364770701</v>
      </c>
    </row>
    <row r="376" s="1" customFormat="true" ht="15" hidden="false" customHeight="true" outlineLevel="0" collapsed="false">
      <c r="A376" s="35" t="s">
        <v>48</v>
      </c>
      <c r="B376" s="2"/>
      <c r="C376" s="8" t="n">
        <v>40549</v>
      </c>
      <c r="D376" s="1" t="n">
        <v>10.6</v>
      </c>
      <c r="E376" s="1" t="n">
        <v>6.8</v>
      </c>
      <c r="F376" s="1" t="n">
        <v>12.4</v>
      </c>
      <c r="G376" s="1" t="n">
        <f aca="false">G375+D376</f>
        <v>1246.5</v>
      </c>
      <c r="H376" s="1" t="n">
        <v>10.6</v>
      </c>
      <c r="I376" s="36" t="s">
        <v>30</v>
      </c>
      <c r="J376" s="1" t="n">
        <v>0</v>
      </c>
      <c r="K376" s="1" t="n">
        <f aca="false">K375+J376</f>
        <v>215.2</v>
      </c>
      <c r="L376" s="1" t="n">
        <v>0.5</v>
      </c>
      <c r="M376" s="1" t="n">
        <f aca="false">M375+L376</f>
        <v>201.7</v>
      </c>
      <c r="N376" s="1" t="n">
        <v>-0.5</v>
      </c>
      <c r="O376" s="1" t="n">
        <f aca="false">O375+N376</f>
        <v>76.8</v>
      </c>
      <c r="P376" s="6" t="n">
        <v>121</v>
      </c>
      <c r="Q376" s="18" t="n">
        <f aca="false">1+((P376-120)/74)*(1.15-1)</f>
        <v>1.00202702702703</v>
      </c>
      <c r="R376" s="16" t="n">
        <f aca="false">Q376*L376</f>
        <v>0.501013513513514</v>
      </c>
      <c r="S376" s="16" t="n">
        <f aca="false">J376-R376</f>
        <v>-0.501013513513514</v>
      </c>
      <c r="T376" s="17" t="n">
        <f aca="false">T375+S376</f>
        <v>95.9161293436293</v>
      </c>
      <c r="U376" s="36" t="s">
        <v>31</v>
      </c>
      <c r="V376" s="1" t="n">
        <v>270.3</v>
      </c>
      <c r="X376" s="1" t="n">
        <f aca="false">X375+V376</f>
        <v>90774.8000000001</v>
      </c>
      <c r="Y376" s="1" t="n">
        <v>270.3</v>
      </c>
      <c r="Z376" s="36" t="s">
        <v>32</v>
      </c>
      <c r="AA376" s="1" t="n">
        <v>9.0467400537615</v>
      </c>
    </row>
    <row r="377" s="1" customFormat="true" ht="15" hidden="false" customHeight="false" outlineLevel="0" collapsed="false">
      <c r="A377" s="35"/>
      <c r="B377" s="2" t="n">
        <v>6</v>
      </c>
      <c r="C377" s="8" t="n">
        <v>40550</v>
      </c>
      <c r="D377" s="1" t="n">
        <v>11.1</v>
      </c>
      <c r="E377" s="1" t="n">
        <v>10.1</v>
      </c>
      <c r="F377" s="1" t="n">
        <v>13.6</v>
      </c>
      <c r="G377" s="1" t="n">
        <f aca="false">G376+D377</f>
        <v>1257.6</v>
      </c>
      <c r="H377" s="1" t="n">
        <f aca="false">H376+D377</f>
        <v>21.7</v>
      </c>
      <c r="I377" s="1" t="n">
        <f aca="false">MIN(E376:E449)</f>
        <v>-4.6</v>
      </c>
      <c r="J377" s="1" t="n">
        <v>0</v>
      </c>
      <c r="K377" s="1" t="n">
        <f aca="false">K376+J377</f>
        <v>215.2</v>
      </c>
      <c r="L377" s="1" t="n">
        <v>1</v>
      </c>
      <c r="M377" s="1" t="n">
        <f aca="false">M376+L377</f>
        <v>202.7</v>
      </c>
      <c r="N377" s="1" t="n">
        <v>-1</v>
      </c>
      <c r="O377" s="1" t="n">
        <f aca="false">O376+N377</f>
        <v>75.8</v>
      </c>
      <c r="P377" s="6" t="n">
        <v>122</v>
      </c>
      <c r="Q377" s="18" t="n">
        <f aca="false">1+((P377-120)/74)*(1.15-1)</f>
        <v>1.00405405405405</v>
      </c>
      <c r="R377" s="16" t="n">
        <f aca="false">Q377*L377</f>
        <v>1.00405405405405</v>
      </c>
      <c r="S377" s="16" t="n">
        <f aca="false">J377-R377</f>
        <v>-1.00405405405405</v>
      </c>
      <c r="T377" s="17" t="n">
        <f aca="false">T376+S377</f>
        <v>94.9120752895752</v>
      </c>
      <c r="U377" s="1" t="n">
        <v>57</v>
      </c>
      <c r="V377" s="1" t="n">
        <v>342.5</v>
      </c>
      <c r="X377" s="1" t="n">
        <f aca="false">X376+V377</f>
        <v>91117.3000000001</v>
      </c>
      <c r="Y377" s="1" t="n">
        <f aca="false">Y376+V377</f>
        <v>612.8</v>
      </c>
      <c r="Z377" s="1" t="n">
        <v>57394.2</v>
      </c>
      <c r="AA377" s="1" t="n">
        <v>9.0656736130913</v>
      </c>
    </row>
    <row r="378" s="1" customFormat="true" ht="15" hidden="false" customHeight="false" outlineLevel="0" collapsed="false">
      <c r="A378" s="35"/>
      <c r="B378" s="2"/>
      <c r="C378" s="8" t="n">
        <v>40551</v>
      </c>
      <c r="D378" s="1" t="n">
        <v>11.3</v>
      </c>
      <c r="E378" s="1" t="n">
        <v>8.1</v>
      </c>
      <c r="F378" s="1" t="n">
        <v>15.4</v>
      </c>
      <c r="G378" s="1" t="n">
        <f aca="false">G377+D378</f>
        <v>1268.9</v>
      </c>
      <c r="H378" s="1" t="n">
        <f aca="false">H377+D378</f>
        <v>33</v>
      </c>
      <c r="I378" s="36" t="s">
        <v>33</v>
      </c>
      <c r="J378" s="1" t="n">
        <v>0.5</v>
      </c>
      <c r="K378" s="1" t="n">
        <f aca="false">K377+J378</f>
        <v>215.7</v>
      </c>
      <c r="L378" s="1" t="n">
        <v>0.9</v>
      </c>
      <c r="M378" s="1" t="n">
        <f aca="false">M377+L378</f>
        <v>203.6</v>
      </c>
      <c r="N378" s="1" t="n">
        <v>-0.4</v>
      </c>
      <c r="O378" s="1" t="n">
        <f aca="false">O377+N378</f>
        <v>75.4</v>
      </c>
      <c r="P378" s="6" t="n">
        <v>123</v>
      </c>
      <c r="Q378" s="18" t="n">
        <f aca="false">1+((P378-120)/74)*(1.15-1)</f>
        <v>1.00608108108108</v>
      </c>
      <c r="R378" s="16" t="n">
        <f aca="false">Q378*L378</f>
        <v>0.905472972972973</v>
      </c>
      <c r="S378" s="16" t="n">
        <f aca="false">J378-R378</f>
        <v>-0.405472972972973</v>
      </c>
      <c r="T378" s="17" t="n">
        <f aca="false">T377+S378</f>
        <v>94.5066023166023</v>
      </c>
      <c r="U378" s="36" t="s">
        <v>34</v>
      </c>
      <c r="V378" s="1" t="n">
        <v>328.5</v>
      </c>
      <c r="X378" s="1" t="n">
        <f aca="false">X377+V378</f>
        <v>91445.8000000001</v>
      </c>
      <c r="Y378" s="1" t="n">
        <f aca="false">Y377+V378</f>
        <v>941.3</v>
      </c>
      <c r="Z378" s="36" t="s">
        <v>35</v>
      </c>
      <c r="AA378" s="1" t="n">
        <v>9.0857360343127</v>
      </c>
    </row>
    <row r="379" s="1" customFormat="true" ht="15" hidden="false" customHeight="false" outlineLevel="0" collapsed="false">
      <c r="A379" s="35"/>
      <c r="B379" s="2"/>
      <c r="C379" s="8" t="n">
        <v>40552</v>
      </c>
      <c r="D379" s="1" t="n">
        <v>7.2</v>
      </c>
      <c r="E379" s="1" t="n">
        <v>5.5</v>
      </c>
      <c r="F379" s="1" t="n">
        <v>9.3</v>
      </c>
      <c r="G379" s="1" t="n">
        <f aca="false">G378+D379</f>
        <v>1276.1</v>
      </c>
      <c r="H379" s="1" t="n">
        <f aca="false">H378+D379</f>
        <v>40.2</v>
      </c>
      <c r="I379" s="1" t="n">
        <f aca="false">MAX(F376:F449)</f>
        <v>16.6</v>
      </c>
      <c r="J379" s="1" t="n">
        <v>4.4</v>
      </c>
      <c r="K379" s="1" t="n">
        <f aca="false">K378+J379</f>
        <v>220.1</v>
      </c>
      <c r="L379" s="1" t="n">
        <v>0.3</v>
      </c>
      <c r="M379" s="1" t="n">
        <f aca="false">M378+L379</f>
        <v>203.9</v>
      </c>
      <c r="N379" s="1" t="n">
        <v>4.1</v>
      </c>
      <c r="O379" s="1" t="n">
        <f aca="false">O378+N379</f>
        <v>79.5</v>
      </c>
      <c r="P379" s="6" t="n">
        <v>124</v>
      </c>
      <c r="Q379" s="18" t="n">
        <f aca="false">1+((P379-120)/74)*(1.15-1)</f>
        <v>1.00810810810811</v>
      </c>
      <c r="R379" s="16" t="n">
        <f aca="false">Q379*L379</f>
        <v>0.302432432432432</v>
      </c>
      <c r="S379" s="16" t="n">
        <f aca="false">J379-R379</f>
        <v>4.09756756756757</v>
      </c>
      <c r="T379" s="17" t="n">
        <f aca="false">T378+S379</f>
        <v>98.6041698841698</v>
      </c>
      <c r="U379" s="1" t="n">
        <v>0</v>
      </c>
      <c r="V379" s="1" t="n">
        <v>168.8</v>
      </c>
      <c r="X379" s="1" t="n">
        <f aca="false">X378+V379</f>
        <v>91614.6000000001</v>
      </c>
      <c r="Y379" s="1" t="n">
        <f aca="false">Y378+V379</f>
        <v>1110.1</v>
      </c>
      <c r="Z379" s="18" t="n">
        <f aca="false">(Z377/100)/I389</f>
        <v>1.06069488079837</v>
      </c>
      <c r="AA379" s="1" t="n">
        <v>9.10690818584026</v>
      </c>
    </row>
    <row r="380" s="1" customFormat="true" ht="15" hidden="false" customHeight="false" outlineLevel="0" collapsed="false">
      <c r="A380" s="35"/>
      <c r="B380" s="2"/>
      <c r="C380" s="8" t="n">
        <v>40553</v>
      </c>
      <c r="D380" s="1" t="n">
        <v>3.6</v>
      </c>
      <c r="E380" s="1" t="n">
        <v>-0.7</v>
      </c>
      <c r="F380" s="1" t="n">
        <v>7.9</v>
      </c>
      <c r="G380" s="1" t="n">
        <f aca="false">G379+D380</f>
        <v>1279.7</v>
      </c>
      <c r="H380" s="1" t="n">
        <f aca="false">H379+D380</f>
        <v>43.8</v>
      </c>
      <c r="I380" s="36" t="s">
        <v>36</v>
      </c>
      <c r="J380" s="1" t="n">
        <v>5.9</v>
      </c>
      <c r="K380" s="1" t="n">
        <f aca="false">K379+J380</f>
        <v>226</v>
      </c>
      <c r="L380" s="1" t="n">
        <v>0.8</v>
      </c>
      <c r="M380" s="1" t="n">
        <f aca="false">M379+L380</f>
        <v>204.7</v>
      </c>
      <c r="N380" s="1" t="n">
        <v>5.1</v>
      </c>
      <c r="O380" s="1" t="n">
        <f aca="false">O379+N380</f>
        <v>84.6</v>
      </c>
      <c r="P380" s="6" t="n">
        <v>125</v>
      </c>
      <c r="Q380" s="18" t="n">
        <f aca="false">1+((P380-120)/74)*(1.15-1)</f>
        <v>1.01013513513514</v>
      </c>
      <c r="R380" s="16" t="n">
        <f aca="false">Q380*L380</f>
        <v>0.808108108108108</v>
      </c>
      <c r="S380" s="16" t="n">
        <f aca="false">J380-R380</f>
        <v>5.09189189189189</v>
      </c>
      <c r="T380" s="17" t="n">
        <f aca="false">T379+S380</f>
        <v>103.696061776062</v>
      </c>
      <c r="U380" s="36" t="s">
        <v>37</v>
      </c>
      <c r="V380" s="1" t="n">
        <v>722.3</v>
      </c>
      <c r="X380" s="1" t="n">
        <f aca="false">X379+V380</f>
        <v>92336.9000000001</v>
      </c>
      <c r="Y380" s="1" t="n">
        <f aca="false">Y379+V380</f>
        <v>1832.4</v>
      </c>
      <c r="Z380" s="36" t="s">
        <v>38</v>
      </c>
      <c r="AA380" s="1" t="n">
        <v>9.12917015912375</v>
      </c>
    </row>
    <row r="381" s="1" customFormat="true" ht="15" hidden="false" customHeight="false" outlineLevel="0" collapsed="false">
      <c r="A381" s="35"/>
      <c r="B381" s="2"/>
      <c r="C381" s="8" t="n">
        <v>40554</v>
      </c>
      <c r="D381" s="1" t="n">
        <v>8.9</v>
      </c>
      <c r="E381" s="1" t="n">
        <v>3.2</v>
      </c>
      <c r="F381" s="1" t="n">
        <v>14.2</v>
      </c>
      <c r="G381" s="1" t="n">
        <f aca="false">G380+D381</f>
        <v>1288.6</v>
      </c>
      <c r="H381" s="1" t="n">
        <f aca="false">H380+D381</f>
        <v>52.7</v>
      </c>
      <c r="I381" s="16" t="n">
        <f aca="false">AVERAGE(D376:D449)</f>
        <v>7.27702702702703</v>
      </c>
      <c r="J381" s="1" t="n">
        <v>5.6</v>
      </c>
      <c r="K381" s="1" t="n">
        <f aca="false">K380+J381</f>
        <v>231.6</v>
      </c>
      <c r="L381" s="1" t="n">
        <v>0.7</v>
      </c>
      <c r="M381" s="1" t="n">
        <f aca="false">M380+L381</f>
        <v>205.4</v>
      </c>
      <c r="N381" s="1" t="n">
        <v>4.9</v>
      </c>
      <c r="O381" s="1" t="n">
        <f aca="false">O380+N381</f>
        <v>89.5</v>
      </c>
      <c r="P381" s="6" t="n">
        <v>126</v>
      </c>
      <c r="Q381" s="18" t="n">
        <f aca="false">1+((P381-120)/74)*(1.15-1)</f>
        <v>1.01216216216216</v>
      </c>
      <c r="R381" s="16" t="n">
        <f aca="false">Q381*L381</f>
        <v>0.708513513513513</v>
      </c>
      <c r="S381" s="16" t="n">
        <f aca="false">J381-R381</f>
        <v>4.89148648648649</v>
      </c>
      <c r="T381" s="17" t="n">
        <f aca="false">T380+S381</f>
        <v>108.587548262548</v>
      </c>
      <c r="U381" s="1" t="n">
        <v>0</v>
      </c>
      <c r="V381" s="1" t="n">
        <v>164</v>
      </c>
      <c r="X381" s="1" t="n">
        <f aca="false">X380+V381</f>
        <v>92500.9000000001</v>
      </c>
      <c r="Y381" s="1" t="n">
        <f aca="false">Y380+V381</f>
        <v>1996.4</v>
      </c>
      <c r="Z381" s="1" t="n">
        <v>47</v>
      </c>
      <c r="AA381" s="1" t="n">
        <v>9.15250133290929</v>
      </c>
    </row>
    <row r="382" s="1" customFormat="true" ht="15" hidden="false" customHeight="false" outlineLevel="0" collapsed="false">
      <c r="A382" s="35"/>
      <c r="B382" s="2"/>
      <c r="C382" s="8" t="n">
        <v>40555</v>
      </c>
      <c r="D382" s="1" t="n">
        <v>10.1</v>
      </c>
      <c r="E382" s="1" t="n">
        <v>8</v>
      </c>
      <c r="F382" s="1" t="n">
        <v>12.8</v>
      </c>
      <c r="G382" s="1" t="n">
        <f aca="false">G381+D382</f>
        <v>1298.7</v>
      </c>
      <c r="H382" s="1" t="n">
        <f aca="false">H381+D382</f>
        <v>62.8</v>
      </c>
      <c r="I382" s="36" t="s">
        <v>39</v>
      </c>
      <c r="J382" s="1" t="n">
        <v>1.9</v>
      </c>
      <c r="K382" s="1" t="n">
        <f aca="false">K381+J382</f>
        <v>233.5</v>
      </c>
      <c r="L382" s="1" t="n">
        <v>0.5</v>
      </c>
      <c r="M382" s="1" t="n">
        <f aca="false">M381+L382</f>
        <v>205.9</v>
      </c>
      <c r="N382" s="1" t="n">
        <v>1.4</v>
      </c>
      <c r="O382" s="1" t="n">
        <f aca="false">O381+N382</f>
        <v>90.9</v>
      </c>
      <c r="P382" s="6" t="n">
        <v>127</v>
      </c>
      <c r="Q382" s="18" t="n">
        <f aca="false">1+((P382-120)/74)*(1.15-1)</f>
        <v>1.01418918918919</v>
      </c>
      <c r="R382" s="16" t="n">
        <f aca="false">Q382*L382</f>
        <v>0.507094594594595</v>
      </c>
      <c r="S382" s="16" t="n">
        <f aca="false">J382-R382</f>
        <v>1.39290540540541</v>
      </c>
      <c r="T382" s="17" t="n">
        <f aca="false">T381+S382</f>
        <v>109.980453667954</v>
      </c>
      <c r="U382" s="36" t="s">
        <v>40</v>
      </c>
      <c r="V382" s="1" t="n">
        <v>150.5</v>
      </c>
      <c r="X382" s="1" t="n">
        <f aca="false">X381+V382</f>
        <v>92651.4000000001</v>
      </c>
      <c r="Y382" s="1" t="n">
        <f aca="false">Y381+V382</f>
        <v>2146.9</v>
      </c>
      <c r="AA382" s="1" t="n">
        <v>9.17688043813597</v>
      </c>
    </row>
    <row r="383" s="1" customFormat="true" ht="15" hidden="false" customHeight="false" outlineLevel="0" collapsed="false">
      <c r="A383" s="35"/>
      <c r="B383" s="2"/>
      <c r="C383" s="8" t="n">
        <v>40556</v>
      </c>
      <c r="D383" s="1" t="n">
        <v>11.8</v>
      </c>
      <c r="E383" s="1" t="n">
        <v>11.5</v>
      </c>
      <c r="F383" s="1" t="n">
        <v>16.1</v>
      </c>
      <c r="G383" s="1" t="n">
        <f aca="false">G382+D383</f>
        <v>1310.5</v>
      </c>
      <c r="H383" s="1" t="n">
        <f aca="false">H382+D383</f>
        <v>74.6</v>
      </c>
      <c r="I383" s="1" t="n">
        <v>13</v>
      </c>
      <c r="J383" s="1" t="n">
        <v>0.2</v>
      </c>
      <c r="K383" s="1" t="n">
        <f aca="false">K382+J383</f>
        <v>233.7</v>
      </c>
      <c r="L383" s="1" t="n">
        <v>1.2</v>
      </c>
      <c r="M383" s="1" t="n">
        <f aca="false">M382+L383</f>
        <v>207.1</v>
      </c>
      <c r="N383" s="1" t="n">
        <v>-1</v>
      </c>
      <c r="O383" s="1" t="n">
        <f aca="false">O382+N383</f>
        <v>89.9</v>
      </c>
      <c r="P383" s="6" t="n">
        <v>128</v>
      </c>
      <c r="Q383" s="18" t="n">
        <f aca="false">1+((P383-120)/74)*(1.15-1)</f>
        <v>1.01621621621622</v>
      </c>
      <c r="R383" s="16" t="n">
        <f aca="false">Q383*L383</f>
        <v>1.21945945945946</v>
      </c>
      <c r="S383" s="16" t="n">
        <f aca="false">J383-R383</f>
        <v>-1.01945945945946</v>
      </c>
      <c r="T383" s="17" t="n">
        <f aca="false">T382+S383</f>
        <v>108.960994208494</v>
      </c>
      <c r="U383" s="16" t="n">
        <f aca="false">MIN(T376:T449)</f>
        <v>71.1611969111969</v>
      </c>
      <c r="V383" s="1" t="n">
        <v>412.3</v>
      </c>
      <c r="X383" s="1" t="n">
        <f aca="false">X382+V383</f>
        <v>93063.7000000001</v>
      </c>
      <c r="Y383" s="1" t="n">
        <f aca="false">Y382+V383</f>
        <v>2559.2</v>
      </c>
      <c r="AA383" s="1" t="n">
        <v>9.20228562309054</v>
      </c>
    </row>
    <row r="384" s="1" customFormat="true" ht="15" hidden="false" customHeight="false" outlineLevel="0" collapsed="false">
      <c r="A384" s="35"/>
      <c r="B384" s="2" t="n">
        <v>7</v>
      </c>
      <c r="C384" s="8" t="n">
        <v>40557</v>
      </c>
      <c r="D384" s="1" t="n">
        <v>6.4</v>
      </c>
      <c r="E384" s="1" t="n">
        <v>5</v>
      </c>
      <c r="F384" s="1" t="n">
        <v>8.3</v>
      </c>
      <c r="G384" s="1" t="n">
        <f aca="false">G383+D384</f>
        <v>1316.9</v>
      </c>
      <c r="H384" s="1" t="n">
        <f aca="false">H383+D384</f>
        <v>81</v>
      </c>
      <c r="I384" s="36" t="s">
        <v>41</v>
      </c>
      <c r="J384" s="1" t="n">
        <v>0.2</v>
      </c>
      <c r="K384" s="1" t="n">
        <f aca="false">K383+J384</f>
        <v>233.9</v>
      </c>
      <c r="L384" s="1" t="n">
        <v>0.8</v>
      </c>
      <c r="M384" s="1" t="n">
        <f aca="false">M383+L384</f>
        <v>207.9</v>
      </c>
      <c r="N384" s="1" t="n">
        <v>-0.6</v>
      </c>
      <c r="O384" s="1" t="n">
        <f aca="false">O383+N384</f>
        <v>89.3</v>
      </c>
      <c r="P384" s="6" t="n">
        <v>129</v>
      </c>
      <c r="Q384" s="18" t="n">
        <f aca="false">1+((P384-120)/74)*(1.15-1)</f>
        <v>1.01824324324324</v>
      </c>
      <c r="R384" s="16" t="n">
        <f aca="false">Q384*L384</f>
        <v>0.814594594594595</v>
      </c>
      <c r="S384" s="16" t="n">
        <f aca="false">J384-R384</f>
        <v>-0.614594594594595</v>
      </c>
      <c r="T384" s="17" t="n">
        <f aca="false">T383+S384</f>
        <v>108.3463996139</v>
      </c>
      <c r="U384" s="36" t="s">
        <v>42</v>
      </c>
      <c r="V384" s="1" t="n">
        <v>340.4</v>
      </c>
      <c r="X384" s="1" t="n">
        <f aca="false">X383+V384</f>
        <v>93404.1000000001</v>
      </c>
      <c r="Y384" s="1" t="n">
        <f aca="false">Y383+V384</f>
        <v>2899.6</v>
      </c>
      <c r="AA384" s="1" t="n">
        <v>9.22869451845773</v>
      </c>
    </row>
    <row r="385" s="1" customFormat="true" ht="15" hidden="false" customHeight="false" outlineLevel="0" collapsed="false">
      <c r="A385" s="35"/>
      <c r="B385" s="2"/>
      <c r="C385" s="8" t="n">
        <v>40558</v>
      </c>
      <c r="D385" s="1" t="n">
        <v>6.8</v>
      </c>
      <c r="E385" s="1" t="n">
        <v>5.2</v>
      </c>
      <c r="F385" s="1" t="n">
        <v>9.1</v>
      </c>
      <c r="G385" s="1" t="n">
        <f aca="false">G384+D385</f>
        <v>1323.7</v>
      </c>
      <c r="H385" s="1" t="n">
        <f aca="false">H384+D385</f>
        <v>87.8</v>
      </c>
      <c r="I385" s="1" t="n">
        <v>0</v>
      </c>
      <c r="J385" s="1" t="n">
        <v>0.2</v>
      </c>
      <c r="K385" s="1" t="n">
        <f aca="false">K384+J385</f>
        <v>234.1</v>
      </c>
      <c r="L385" s="1" t="n">
        <v>0.9</v>
      </c>
      <c r="M385" s="1" t="n">
        <f aca="false">M384+L385</f>
        <v>208.8</v>
      </c>
      <c r="N385" s="1" t="n">
        <v>-0.7</v>
      </c>
      <c r="O385" s="1" t="n">
        <f aca="false">O384+N385</f>
        <v>88.6</v>
      </c>
      <c r="P385" s="6" t="n">
        <v>130</v>
      </c>
      <c r="Q385" s="18" t="n">
        <f aca="false">1+((P385-120)/74)*(1.15-1)</f>
        <v>1.02027027027027</v>
      </c>
      <c r="R385" s="16" t="n">
        <f aca="false">Q385*L385</f>
        <v>0.918243243243243</v>
      </c>
      <c r="S385" s="16" t="n">
        <f aca="false">J385-R385</f>
        <v>-0.718243243243243</v>
      </c>
      <c r="T385" s="17" t="n">
        <f aca="false">T384+S385</f>
        <v>107.628156370656</v>
      </c>
      <c r="U385" s="16" t="n">
        <f aca="false">MAX(T376:T449)</f>
        <v>109.980453667954</v>
      </c>
      <c r="V385" s="1" t="n">
        <v>476.3</v>
      </c>
      <c r="X385" s="1" t="n">
        <f aca="false">X384+V385</f>
        <v>93880.4000000001</v>
      </c>
      <c r="Y385" s="1" t="n">
        <f aca="false">Y384+V385</f>
        <v>3375.9</v>
      </c>
      <c r="AA385" s="1" t="n">
        <v>9.25608430192132</v>
      </c>
    </row>
    <row r="386" s="1" customFormat="true" ht="15" hidden="false" customHeight="false" outlineLevel="0" collapsed="false">
      <c r="A386" s="35"/>
      <c r="B386" s="2"/>
      <c r="C386" s="8" t="n">
        <v>40559</v>
      </c>
      <c r="D386" s="1" t="n">
        <v>8.2</v>
      </c>
      <c r="E386" s="1" t="n">
        <v>3.1</v>
      </c>
      <c r="F386" s="1" t="n">
        <v>12.5</v>
      </c>
      <c r="G386" s="1" t="n">
        <f aca="false">G385+D386</f>
        <v>1331.9</v>
      </c>
      <c r="H386" s="1" t="n">
        <f aca="false">H385+D386</f>
        <v>96</v>
      </c>
      <c r="I386" s="36" t="s">
        <v>43</v>
      </c>
      <c r="J386" s="1" t="n">
        <v>0.1</v>
      </c>
      <c r="K386" s="1" t="n">
        <f aca="false">K385+J386</f>
        <v>234.2</v>
      </c>
      <c r="L386" s="1" t="n">
        <v>1.1</v>
      </c>
      <c r="M386" s="1" t="n">
        <f aca="false">M385+L386</f>
        <v>209.9</v>
      </c>
      <c r="N386" s="1" t="n">
        <v>-1</v>
      </c>
      <c r="O386" s="1" t="n">
        <f aca="false">O385+N386</f>
        <v>87.6</v>
      </c>
      <c r="P386" s="6" t="n">
        <v>131</v>
      </c>
      <c r="Q386" s="18" t="n">
        <f aca="false">1+((P386-120)/74)*(1.15-1)</f>
        <v>1.0222972972973</v>
      </c>
      <c r="R386" s="16" t="n">
        <f aca="false">Q386*L386</f>
        <v>1.12452702702703</v>
      </c>
      <c r="S386" s="16" t="n">
        <f aca="false">J386-R386</f>
        <v>-1.02452702702703</v>
      </c>
      <c r="T386" s="17" t="n">
        <f aca="false">T385+S386</f>
        <v>106.603629343629</v>
      </c>
      <c r="U386" s="36" t="s">
        <v>44</v>
      </c>
      <c r="V386" s="1" t="n">
        <v>886.1</v>
      </c>
      <c r="X386" s="1" t="n">
        <f aca="false">X385+V386</f>
        <v>94766.5000000001</v>
      </c>
      <c r="Y386" s="1" t="n">
        <f aca="false">Y385+V386</f>
        <v>4262</v>
      </c>
      <c r="AA386" s="1" t="n">
        <v>9.28443176199099</v>
      </c>
    </row>
    <row r="387" s="1" customFormat="true" ht="15" hidden="false" customHeight="false" outlineLevel="0" collapsed="false">
      <c r="A387" s="35"/>
      <c r="B387" s="2"/>
      <c r="C387" s="8" t="n">
        <v>40560</v>
      </c>
      <c r="D387" s="1" t="n">
        <v>9.5</v>
      </c>
      <c r="E387" s="1" t="n">
        <v>4.9</v>
      </c>
      <c r="F387" s="1" t="n">
        <v>15.9</v>
      </c>
      <c r="G387" s="1" t="n">
        <f aca="false">G386+D387</f>
        <v>1341.4</v>
      </c>
      <c r="H387" s="1" t="n">
        <f aca="false">H386+D387</f>
        <v>105.5</v>
      </c>
      <c r="I387" s="1" t="n">
        <v>28</v>
      </c>
      <c r="J387" s="1" t="n">
        <v>0</v>
      </c>
      <c r="K387" s="1" t="n">
        <f aca="false">K386+J387</f>
        <v>234.2</v>
      </c>
      <c r="L387" s="1" t="n">
        <v>1.2</v>
      </c>
      <c r="M387" s="1" t="n">
        <f aca="false">M386+L387</f>
        <v>211.1</v>
      </c>
      <c r="N387" s="1" t="n">
        <v>-1.2</v>
      </c>
      <c r="O387" s="1" t="n">
        <f aca="false">O386+N387</f>
        <v>86.4</v>
      </c>
      <c r="P387" s="6" t="n">
        <v>132</v>
      </c>
      <c r="Q387" s="18" t="n">
        <f aca="false">1+((P387-120)/74)*(1.15-1)</f>
        <v>1.02432432432432</v>
      </c>
      <c r="R387" s="16" t="n">
        <f aca="false">Q387*L387</f>
        <v>1.22918918918919</v>
      </c>
      <c r="S387" s="16" t="n">
        <f aca="false">J387-R387</f>
        <v>-1.22918918918919</v>
      </c>
      <c r="T387" s="17" t="n">
        <f aca="false">T386+S387</f>
        <v>105.37444015444</v>
      </c>
      <c r="U387" s="18" t="n">
        <f aca="false">AVERAGE(T376:T449)</f>
        <v>92.110605238443</v>
      </c>
      <c r="V387" s="1" t="n">
        <v>488.4</v>
      </c>
      <c r="X387" s="1" t="n">
        <f aca="false">X386+V387</f>
        <v>95254.9000000001</v>
      </c>
      <c r="Y387" s="1" t="n">
        <f aca="false">Y386+V387</f>
        <v>4750.4</v>
      </c>
      <c r="AA387" s="1" t="n">
        <v>9.31371336075173</v>
      </c>
    </row>
    <row r="388" s="1" customFormat="true" ht="15" hidden="false" customHeight="false" outlineLevel="0" collapsed="false">
      <c r="A388" s="35"/>
      <c r="B388" s="2"/>
      <c r="C388" s="8" t="n">
        <v>40561</v>
      </c>
      <c r="D388" s="1" t="n">
        <v>8.5</v>
      </c>
      <c r="E388" s="1" t="n">
        <v>5.8</v>
      </c>
      <c r="F388" s="1" t="n">
        <v>13.9</v>
      </c>
      <c r="G388" s="1" t="n">
        <f aca="false">G387+D388</f>
        <v>1349.9</v>
      </c>
      <c r="H388" s="1" t="n">
        <f aca="false">H387+D388</f>
        <v>114</v>
      </c>
      <c r="I388" s="36" t="s">
        <v>45</v>
      </c>
      <c r="J388" s="1" t="n">
        <v>0</v>
      </c>
      <c r="K388" s="1" t="n">
        <f aca="false">K387+J388</f>
        <v>234.2</v>
      </c>
      <c r="L388" s="1" t="n">
        <v>1</v>
      </c>
      <c r="M388" s="1" t="n">
        <f aca="false">M387+L388</f>
        <v>212.1</v>
      </c>
      <c r="N388" s="1" t="n">
        <v>-1</v>
      </c>
      <c r="O388" s="1" t="n">
        <f aca="false">O387+N388</f>
        <v>85.4</v>
      </c>
      <c r="P388" s="6" t="n">
        <v>133</v>
      </c>
      <c r="Q388" s="18" t="n">
        <f aca="false">1+((P388-120)/74)*(1.15-1)</f>
        <v>1.02635135135135</v>
      </c>
      <c r="R388" s="16" t="n">
        <f aca="false">Q388*L388</f>
        <v>1.02635135135135</v>
      </c>
      <c r="S388" s="16" t="n">
        <f aca="false">J388-R388</f>
        <v>-1.02635135135135</v>
      </c>
      <c r="T388" s="17" t="n">
        <f aca="false">T387+S388</f>
        <v>104.348088803089</v>
      </c>
      <c r="V388" s="1" t="n">
        <v>565.7</v>
      </c>
      <c r="X388" s="1" t="n">
        <f aca="false">X387+V388</f>
        <v>95820.6000000001</v>
      </c>
      <c r="Y388" s="1" t="n">
        <f aca="false">Y387+V388</f>
        <v>5316.1</v>
      </c>
      <c r="AA388" s="1" t="n">
        <v>9.34390529525624</v>
      </c>
    </row>
    <row r="389" s="1" customFormat="true" ht="15" hidden="false" customHeight="false" outlineLevel="0" collapsed="false">
      <c r="A389" s="35"/>
      <c r="B389" s="2"/>
      <c r="C389" s="8" t="n">
        <v>40562</v>
      </c>
      <c r="D389" s="1" t="n">
        <v>6.3</v>
      </c>
      <c r="E389" s="1" t="n">
        <v>5.6</v>
      </c>
      <c r="F389" s="1" t="n">
        <v>10.4</v>
      </c>
      <c r="G389" s="1" t="n">
        <f aca="false">G388+D389</f>
        <v>1356.2</v>
      </c>
      <c r="H389" s="1" t="n">
        <f aca="false">H388+D389</f>
        <v>120.3</v>
      </c>
      <c r="I389" s="1" t="n">
        <v>541.1</v>
      </c>
      <c r="J389" s="1" t="n">
        <v>0</v>
      </c>
      <c r="K389" s="1" t="n">
        <f aca="false">K388+J389</f>
        <v>234.2</v>
      </c>
      <c r="L389" s="1" t="n">
        <v>1</v>
      </c>
      <c r="M389" s="1" t="n">
        <f aca="false">M388+L389</f>
        <v>213.1</v>
      </c>
      <c r="N389" s="1" t="n">
        <v>-1</v>
      </c>
      <c r="O389" s="1" t="n">
        <f aca="false">O388+N389</f>
        <v>84.4</v>
      </c>
      <c r="P389" s="6" t="n">
        <v>134</v>
      </c>
      <c r="Q389" s="18" t="n">
        <f aca="false">1+((P389-120)/74)*(1.15-1)</f>
        <v>1.02837837837838</v>
      </c>
      <c r="R389" s="16" t="n">
        <f aca="false">Q389*L389</f>
        <v>1.02837837837838</v>
      </c>
      <c r="S389" s="16" t="n">
        <f aca="false">J389-R389</f>
        <v>-1.02837837837838</v>
      </c>
      <c r="T389" s="17" t="n">
        <f aca="false">T388+S389</f>
        <v>103.31971042471</v>
      </c>
      <c r="U389" s="16" t="n">
        <f aca="false">(U387*100)/122.1</f>
        <v>75.438661128946</v>
      </c>
      <c r="V389" s="1" t="n">
        <v>627.8</v>
      </c>
      <c r="X389" s="1" t="n">
        <f aca="false">X388+V389</f>
        <v>96448.4000000001</v>
      </c>
      <c r="Y389" s="1" t="n">
        <f aca="false">Y388+V389</f>
        <v>5943.9</v>
      </c>
      <c r="AA389" s="1" t="n">
        <v>9.37498355730527</v>
      </c>
    </row>
    <row r="390" s="1" customFormat="true" ht="15" hidden="false" customHeight="false" outlineLevel="0" collapsed="false">
      <c r="A390" s="35"/>
      <c r="B390" s="2"/>
      <c r="C390" s="8" t="n">
        <v>40563</v>
      </c>
      <c r="D390" s="1" t="n">
        <v>2.1</v>
      </c>
      <c r="E390" s="1" t="n">
        <v>-1.4</v>
      </c>
      <c r="F390" s="1" t="n">
        <v>5.1</v>
      </c>
      <c r="G390" s="1" t="n">
        <f aca="false">G389+D390</f>
        <v>1358.3</v>
      </c>
      <c r="H390" s="1" t="n">
        <f aca="false">H389+D390</f>
        <v>122.4</v>
      </c>
      <c r="J390" s="1" t="n">
        <v>0</v>
      </c>
      <c r="K390" s="1" t="n">
        <f aca="false">K389+J390</f>
        <v>234.2</v>
      </c>
      <c r="L390" s="1" t="n">
        <v>1.1</v>
      </c>
      <c r="M390" s="1" t="n">
        <f aca="false">M389+L390</f>
        <v>214.2</v>
      </c>
      <c r="N390" s="1" t="n">
        <v>-1.1</v>
      </c>
      <c r="O390" s="1" t="n">
        <f aca="false">O389+N390</f>
        <v>83.3</v>
      </c>
      <c r="P390" s="6" t="n">
        <v>135</v>
      </c>
      <c r="Q390" s="18" t="n">
        <f aca="false">1+((P390-120)/74)*(1.15-1)</f>
        <v>1.03040540540541</v>
      </c>
      <c r="R390" s="16" t="n">
        <f aca="false">Q390*L390</f>
        <v>1.13344594594595</v>
      </c>
      <c r="S390" s="16" t="n">
        <f aca="false">J390-R390</f>
        <v>-1.13344594594595</v>
      </c>
      <c r="T390" s="17" t="n">
        <f aca="false">T389+S390</f>
        <v>102.186264478764</v>
      </c>
      <c r="V390" s="1" t="n">
        <v>1057.6</v>
      </c>
      <c r="X390" s="1" t="n">
        <f aca="false">X389+V390</f>
        <v>97506.0000000001</v>
      </c>
      <c r="Y390" s="1" t="n">
        <f aca="false">Y389+V390</f>
        <v>7001.5</v>
      </c>
      <c r="AA390" s="1" t="n">
        <v>9.40692399138618</v>
      </c>
    </row>
    <row r="391" s="1" customFormat="true" ht="15" hidden="false" customHeight="false" outlineLevel="0" collapsed="false">
      <c r="A391" s="35"/>
      <c r="B391" s="2" t="n">
        <v>8</v>
      </c>
      <c r="C391" s="8" t="n">
        <v>40564</v>
      </c>
      <c r="D391" s="1" t="n">
        <v>0.7</v>
      </c>
      <c r="E391" s="1" t="n">
        <v>-0.9</v>
      </c>
      <c r="F391" s="1" t="n">
        <v>4.2</v>
      </c>
      <c r="G391" s="1" t="n">
        <f aca="false">G390+D391</f>
        <v>1359</v>
      </c>
      <c r="H391" s="1" t="n">
        <f aca="false">H390+D391</f>
        <v>123.1</v>
      </c>
      <c r="J391" s="1" t="n">
        <v>0</v>
      </c>
      <c r="K391" s="1" t="n">
        <f aca="false">K390+J391</f>
        <v>234.2</v>
      </c>
      <c r="L391" s="1" t="n">
        <v>1.2</v>
      </c>
      <c r="M391" s="1" t="n">
        <f aca="false">M390+L391</f>
        <v>215.4</v>
      </c>
      <c r="N391" s="1" t="n">
        <v>-1.2</v>
      </c>
      <c r="O391" s="1" t="n">
        <f aca="false">O390+N391</f>
        <v>82.1</v>
      </c>
      <c r="P391" s="6" t="n">
        <v>136</v>
      </c>
      <c r="Q391" s="18" t="n">
        <f aca="false">1+((P391-120)/74)*(1.15-1)</f>
        <v>1.03243243243243</v>
      </c>
      <c r="R391" s="16" t="n">
        <f aca="false">Q391*L391</f>
        <v>1.23891891891892</v>
      </c>
      <c r="S391" s="16" t="n">
        <f aca="false">J391-R391</f>
        <v>-1.23891891891892</v>
      </c>
      <c r="T391" s="17" t="n">
        <f aca="false">T390+S391</f>
        <v>100.947345559846</v>
      </c>
      <c r="V391" s="1" t="n">
        <v>811.2</v>
      </c>
      <c r="X391" s="1" t="n">
        <f aca="false">X390+V391</f>
        <v>98317.2000000001</v>
      </c>
      <c r="Y391" s="1" t="n">
        <f aca="false">Y390+V391</f>
        <v>7812.7</v>
      </c>
      <c r="AA391" s="1" t="n">
        <v>9.43970235056625</v>
      </c>
    </row>
    <row r="392" s="1" customFormat="true" ht="15" hidden="false" customHeight="false" outlineLevel="0" collapsed="false">
      <c r="A392" s="35"/>
      <c r="B392" s="2"/>
      <c r="C392" s="8" t="n">
        <v>40565</v>
      </c>
      <c r="D392" s="1" t="n">
        <v>-1.3</v>
      </c>
      <c r="E392" s="1" t="n">
        <v>-3.3</v>
      </c>
      <c r="F392" s="1" t="n">
        <v>-0.1</v>
      </c>
      <c r="G392" s="1" t="n">
        <v>1359</v>
      </c>
      <c r="H392" s="1" t="n">
        <v>123.1</v>
      </c>
      <c r="J392" s="1" t="n">
        <v>0</v>
      </c>
      <c r="K392" s="1" t="n">
        <f aca="false">K391+J392</f>
        <v>234.2</v>
      </c>
      <c r="L392" s="1" t="n">
        <v>0.7</v>
      </c>
      <c r="M392" s="1" t="n">
        <f aca="false">M391+L392</f>
        <v>216.1</v>
      </c>
      <c r="N392" s="1" t="n">
        <v>-0.7</v>
      </c>
      <c r="O392" s="1" t="n">
        <f aca="false">O391+N392</f>
        <v>81.4</v>
      </c>
      <c r="P392" s="6" t="n">
        <v>137</v>
      </c>
      <c r="Q392" s="18" t="n">
        <f aca="false">1+((P392-120)/74)*(1.15-1)</f>
        <v>1.03445945945946</v>
      </c>
      <c r="R392" s="16" t="n">
        <f aca="false">Q392*L392</f>
        <v>0.724121621621622</v>
      </c>
      <c r="S392" s="16" t="n">
        <f aca="false">J392-R392</f>
        <v>-0.724121621621622</v>
      </c>
      <c r="T392" s="17" t="n">
        <f aca="false">T391+S392</f>
        <v>100.223223938224</v>
      </c>
      <c r="V392" s="1" t="n">
        <v>561.8</v>
      </c>
      <c r="X392" s="1" t="n">
        <f aca="false">X391+V392</f>
        <v>98879.0000000001</v>
      </c>
      <c r="Y392" s="1" t="n">
        <f aca="false">Y391+V392</f>
        <v>8374.5</v>
      </c>
      <c r="AA392" s="1" t="n">
        <v>9.47329435016272</v>
      </c>
    </row>
    <row r="393" s="1" customFormat="true" ht="15" hidden="false" customHeight="false" outlineLevel="0" collapsed="false">
      <c r="A393" s="35"/>
      <c r="B393" s="2"/>
      <c r="C393" s="8" t="n">
        <v>40566</v>
      </c>
      <c r="D393" s="1" t="n">
        <v>-0.2</v>
      </c>
      <c r="E393" s="1" t="n">
        <v>-1.6</v>
      </c>
      <c r="F393" s="1" t="n">
        <v>3.4</v>
      </c>
      <c r="G393" s="1" t="n">
        <v>1359</v>
      </c>
      <c r="H393" s="1" t="n">
        <v>123.1</v>
      </c>
      <c r="J393" s="1" t="n">
        <v>0</v>
      </c>
      <c r="K393" s="1" t="n">
        <f aca="false">K392+J393</f>
        <v>234.2</v>
      </c>
      <c r="L393" s="1" t="n">
        <v>1.1</v>
      </c>
      <c r="M393" s="1" t="n">
        <f aca="false">M392+L393</f>
        <v>217.2</v>
      </c>
      <c r="N393" s="1" t="n">
        <v>-1.1</v>
      </c>
      <c r="O393" s="1" t="n">
        <f aca="false">O392+N393</f>
        <v>80.3</v>
      </c>
      <c r="P393" s="6" t="n">
        <v>138</v>
      </c>
      <c r="Q393" s="18" t="n">
        <f aca="false">1+((P393-120)/74)*(1.15-1)</f>
        <v>1.03648648648649</v>
      </c>
      <c r="R393" s="16" t="n">
        <f aca="false">Q393*L393</f>
        <v>1.14013513513514</v>
      </c>
      <c r="S393" s="16" t="n">
        <f aca="false">J393-R393</f>
        <v>-1.14013513513514</v>
      </c>
      <c r="T393" s="17" t="n">
        <f aca="false">T392+S393</f>
        <v>99.0830888030887</v>
      </c>
      <c r="V393" s="1" t="n">
        <v>984.1</v>
      </c>
      <c r="X393" s="1" t="n">
        <f aca="false">X392+V393</f>
        <v>99863.1000000001</v>
      </c>
      <c r="Y393" s="1" t="n">
        <f aca="false">Y392+V393</f>
        <v>9358.6</v>
      </c>
      <c r="AA393" s="1" t="n">
        <v>9.50767571903778</v>
      </c>
    </row>
    <row r="394" s="1" customFormat="true" ht="15" hidden="false" customHeight="false" outlineLevel="0" collapsed="false">
      <c r="A394" s="35"/>
      <c r="B394" s="2"/>
      <c r="C394" s="8" t="n">
        <v>40567</v>
      </c>
      <c r="D394" s="1" t="n">
        <v>-1</v>
      </c>
      <c r="E394" s="1" t="n">
        <v>-4.6</v>
      </c>
      <c r="F394" s="1" t="n">
        <v>4.2</v>
      </c>
      <c r="G394" s="1" t="n">
        <v>1359</v>
      </c>
      <c r="H394" s="1" t="n">
        <v>123.1</v>
      </c>
      <c r="J394" s="1" t="n">
        <v>0</v>
      </c>
      <c r="K394" s="1" t="n">
        <f aca="false">K393+J394</f>
        <v>234.2</v>
      </c>
      <c r="L394" s="1" t="n">
        <v>1</v>
      </c>
      <c r="M394" s="1" t="n">
        <f aca="false">M393+L394</f>
        <v>218.2</v>
      </c>
      <c r="N394" s="1" t="n">
        <v>-1</v>
      </c>
      <c r="O394" s="1" t="n">
        <f aca="false">O393+N394</f>
        <v>79.3</v>
      </c>
      <c r="P394" s="6" t="n">
        <v>139</v>
      </c>
      <c r="Q394" s="18" t="n">
        <f aca="false">1+((P394-120)/74)*(1.15-1)</f>
        <v>1.03851351351351</v>
      </c>
      <c r="R394" s="16" t="n">
        <f aca="false">Q394*L394</f>
        <v>1.03851351351351</v>
      </c>
      <c r="S394" s="16" t="n">
        <f aca="false">J394-R394</f>
        <v>-1.03851351351351</v>
      </c>
      <c r="T394" s="17" t="n">
        <f aca="false">T393+S394</f>
        <v>98.0445752895752</v>
      </c>
      <c r="V394" s="1" t="n">
        <v>1104.9</v>
      </c>
      <c r="X394" s="1" t="n">
        <f aca="false">X393+V394</f>
        <v>100968</v>
      </c>
      <c r="Y394" s="1" t="n">
        <f aca="false">Y393+V394</f>
        <v>10463.5</v>
      </c>
      <c r="AA394" s="1" t="n">
        <v>9.5428222483918</v>
      </c>
    </row>
    <row r="395" s="1" customFormat="true" ht="15" hidden="false" customHeight="false" outlineLevel="0" collapsed="false">
      <c r="A395" s="35"/>
      <c r="B395" s="2"/>
      <c r="C395" s="8" t="n">
        <v>40568</v>
      </c>
      <c r="D395" s="1" t="n">
        <v>0.5</v>
      </c>
      <c r="E395" s="1" t="n">
        <v>-3.3</v>
      </c>
      <c r="F395" s="1" t="n">
        <v>5</v>
      </c>
      <c r="G395" s="1" t="n">
        <f aca="false">G394+D395</f>
        <v>1359.5</v>
      </c>
      <c r="H395" s="1" t="n">
        <f aca="false">H394+D395</f>
        <v>123.6</v>
      </c>
      <c r="J395" s="1" t="n">
        <v>0</v>
      </c>
      <c r="K395" s="1" t="n">
        <f aca="false">K394+J395</f>
        <v>234.2</v>
      </c>
      <c r="L395" s="1" t="n">
        <v>0.7</v>
      </c>
      <c r="M395" s="1" t="n">
        <f aca="false">M394+L395</f>
        <v>218.9</v>
      </c>
      <c r="N395" s="1" t="n">
        <v>-0.7</v>
      </c>
      <c r="O395" s="1" t="n">
        <f aca="false">O394+N395</f>
        <v>78.6</v>
      </c>
      <c r="P395" s="6" t="n">
        <v>140</v>
      </c>
      <c r="Q395" s="18" t="n">
        <f aca="false">1+((P395-120)/74)*(1.15-1)</f>
        <v>1.04054054054054</v>
      </c>
      <c r="R395" s="16" t="n">
        <f aca="false">Q395*L395</f>
        <v>0.728378378378378</v>
      </c>
      <c r="S395" s="16" t="n">
        <f aca="false">J395-R395</f>
        <v>-0.728378378378378</v>
      </c>
      <c r="T395" s="17" t="n">
        <f aca="false">T394+S395</f>
        <v>97.3161969111969</v>
      </c>
      <c r="V395" s="1" t="n">
        <v>556.5</v>
      </c>
      <c r="X395" s="1" t="n">
        <f aca="false">X394+V395</f>
        <v>101524.5</v>
      </c>
      <c r="Y395" s="1" t="n">
        <f aca="false">Y394+V395</f>
        <v>11020</v>
      </c>
      <c r="AA395" s="1" t="n">
        <v>9.57870983795261</v>
      </c>
    </row>
    <row r="396" s="1" customFormat="true" ht="15" hidden="false" customHeight="false" outlineLevel="0" collapsed="false">
      <c r="A396" s="35"/>
      <c r="B396" s="2"/>
      <c r="C396" s="8" t="n">
        <v>40569</v>
      </c>
      <c r="D396" s="1" t="n">
        <v>1.7</v>
      </c>
      <c r="E396" s="1" t="n">
        <v>-1.5</v>
      </c>
      <c r="F396" s="1" t="n">
        <v>6.8</v>
      </c>
      <c r="G396" s="1" t="n">
        <f aca="false">G395+D396</f>
        <v>1361.2</v>
      </c>
      <c r="H396" s="1" t="n">
        <f aca="false">H395+D396</f>
        <v>125.3</v>
      </c>
      <c r="J396" s="1" t="n">
        <v>0</v>
      </c>
      <c r="K396" s="1" t="n">
        <f aca="false">K395+J396</f>
        <v>234.2</v>
      </c>
      <c r="L396" s="1" t="n">
        <v>0.8</v>
      </c>
      <c r="M396" s="1" t="n">
        <f aca="false">M395+L396</f>
        <v>219.7</v>
      </c>
      <c r="N396" s="1" t="n">
        <v>-0.8</v>
      </c>
      <c r="O396" s="1" t="n">
        <f aca="false">O395+N396</f>
        <v>77.8</v>
      </c>
      <c r="P396" s="6" t="n">
        <v>141</v>
      </c>
      <c r="Q396" s="18" t="n">
        <f aca="false">1+((P396-120)/74)*(1.15-1)</f>
        <v>1.04256756756757</v>
      </c>
      <c r="R396" s="16" t="n">
        <f aca="false">Q396*L396</f>
        <v>0.834054054054054</v>
      </c>
      <c r="S396" s="16" t="n">
        <f aca="false">J396-R396</f>
        <v>-0.834054054054054</v>
      </c>
      <c r="T396" s="17" t="n">
        <f aca="false">T395+S396</f>
        <v>96.4821428571428</v>
      </c>
      <c r="V396" s="1" t="n">
        <v>395.5</v>
      </c>
      <c r="X396" s="1" t="n">
        <f aca="false">X395+V396</f>
        <v>101920</v>
      </c>
      <c r="Y396" s="1" t="n">
        <f aca="false">Y395+V396</f>
        <v>11415.5</v>
      </c>
      <c r="AA396" s="1" t="n">
        <v>9.61531453948244</v>
      </c>
    </row>
    <row r="397" s="1" customFormat="true" ht="15" hidden="false" customHeight="false" outlineLevel="0" collapsed="false">
      <c r="A397" s="35"/>
      <c r="B397" s="2"/>
      <c r="C397" s="8" t="n">
        <v>40570</v>
      </c>
      <c r="D397" s="1" t="n">
        <v>3.2</v>
      </c>
      <c r="E397" s="1" t="n">
        <v>-3.2</v>
      </c>
      <c r="F397" s="1" t="n">
        <v>9.8</v>
      </c>
      <c r="G397" s="1" t="n">
        <f aca="false">G396+D397</f>
        <v>1364.4</v>
      </c>
      <c r="H397" s="1" t="n">
        <f aca="false">H396+D397</f>
        <v>128.5</v>
      </c>
      <c r="J397" s="1" t="n">
        <v>0</v>
      </c>
      <c r="K397" s="1" t="n">
        <f aca="false">K396+J397</f>
        <v>234.2</v>
      </c>
      <c r="L397" s="1" t="n">
        <v>0.7</v>
      </c>
      <c r="M397" s="1" t="n">
        <f aca="false">M396+L397</f>
        <v>220.4</v>
      </c>
      <c r="N397" s="1" t="n">
        <v>-0.7</v>
      </c>
      <c r="O397" s="1" t="n">
        <f aca="false">O396+N397</f>
        <v>77.1</v>
      </c>
      <c r="P397" s="6" t="n">
        <v>142</v>
      </c>
      <c r="Q397" s="18" t="n">
        <f aca="false">1+((P397-120)/74)*(1.15-1)</f>
        <v>1.04459459459459</v>
      </c>
      <c r="R397" s="16" t="n">
        <f aca="false">Q397*L397</f>
        <v>0.731216216216216</v>
      </c>
      <c r="S397" s="16" t="n">
        <f aca="false">J397-R397</f>
        <v>-0.731216216216216</v>
      </c>
      <c r="T397" s="17" t="n">
        <f aca="false">T396+S397</f>
        <v>95.7509266409266</v>
      </c>
      <c r="V397" s="1" t="n">
        <v>533.3</v>
      </c>
      <c r="X397" s="1" t="n">
        <f aca="false">X396+V397</f>
        <v>102453.3</v>
      </c>
      <c r="Y397" s="1" t="n">
        <f aca="false">Y396+V397</f>
        <v>11948.8</v>
      </c>
      <c r="AA397" s="1" t="n">
        <v>9.65261259754642</v>
      </c>
    </row>
    <row r="398" s="1" customFormat="true" ht="15" hidden="false" customHeight="false" outlineLevel="0" collapsed="false">
      <c r="A398" s="35"/>
      <c r="B398" s="2" t="n">
        <v>9</v>
      </c>
      <c r="C398" s="8" t="n">
        <v>40571</v>
      </c>
      <c r="D398" s="1" t="n">
        <v>7</v>
      </c>
      <c r="E398" s="1" t="n">
        <v>3.1</v>
      </c>
      <c r="F398" s="1" t="n">
        <v>11.8</v>
      </c>
      <c r="G398" s="1" t="n">
        <f aca="false">G397+D398</f>
        <v>1371.4</v>
      </c>
      <c r="H398" s="1" t="n">
        <f aca="false">H397+D398</f>
        <v>135.5</v>
      </c>
      <c r="J398" s="1" t="n">
        <v>0</v>
      </c>
      <c r="K398" s="1" t="n">
        <f aca="false">K397+J398</f>
        <v>234.2</v>
      </c>
      <c r="L398" s="1" t="n">
        <v>1.6</v>
      </c>
      <c r="M398" s="1" t="n">
        <f aca="false">M397+L398</f>
        <v>222</v>
      </c>
      <c r="N398" s="1" t="n">
        <v>-1.6</v>
      </c>
      <c r="O398" s="1" t="n">
        <f aca="false">O397+N398</f>
        <v>75.5</v>
      </c>
      <c r="P398" s="6" t="n">
        <v>143</v>
      </c>
      <c r="Q398" s="18" t="n">
        <f aca="false">1+((P398-120)/74)*(1.15-1)</f>
        <v>1.04662162162162</v>
      </c>
      <c r="R398" s="16" t="n">
        <f aca="false">Q398*L398</f>
        <v>1.67459459459459</v>
      </c>
      <c r="S398" s="16" t="n">
        <f aca="false">J398-R398</f>
        <v>-1.67459459459459</v>
      </c>
      <c r="T398" s="17" t="n">
        <f aca="false">T397+S398</f>
        <v>94.076332046332</v>
      </c>
      <c r="V398" s="1" t="n">
        <v>694.2</v>
      </c>
      <c r="X398" s="1" t="n">
        <f aca="false">X397+V398</f>
        <v>103147.5</v>
      </c>
      <c r="Y398" s="1" t="n">
        <f aca="false">Y397+V398</f>
        <v>12643</v>
      </c>
      <c r="AA398" s="1" t="n">
        <v>9.69058048750774</v>
      </c>
    </row>
    <row r="399" s="1" customFormat="true" ht="15" hidden="false" customHeight="false" outlineLevel="0" collapsed="false">
      <c r="A399" s="35"/>
      <c r="B399" s="2"/>
      <c r="C399" s="8" t="n">
        <v>40572</v>
      </c>
      <c r="D399" s="1" t="n">
        <v>5.2</v>
      </c>
      <c r="E399" s="1" t="n">
        <v>3.5</v>
      </c>
      <c r="F399" s="1" t="n">
        <v>6.5</v>
      </c>
      <c r="G399" s="1" t="n">
        <f aca="false">G398+D399</f>
        <v>1376.6</v>
      </c>
      <c r="H399" s="1" t="n">
        <f aca="false">H398+D399</f>
        <v>140.7</v>
      </c>
      <c r="J399" s="1" t="n">
        <v>9.7</v>
      </c>
      <c r="K399" s="1" t="n">
        <f aca="false">K398+J399</f>
        <v>243.9</v>
      </c>
      <c r="L399" s="1" t="n">
        <v>0.4</v>
      </c>
      <c r="M399" s="1" t="n">
        <f aca="false">M398+L399</f>
        <v>222.4</v>
      </c>
      <c r="N399" s="1" t="n">
        <v>9.3</v>
      </c>
      <c r="O399" s="1" t="n">
        <f aca="false">O398+N399</f>
        <v>84.8</v>
      </c>
      <c r="P399" s="6" t="n">
        <v>144</v>
      </c>
      <c r="Q399" s="18" t="n">
        <f aca="false">1+((P399-120)/74)*(1.15-1)</f>
        <v>1.04864864864865</v>
      </c>
      <c r="R399" s="16" t="n">
        <f aca="false">Q399*L399</f>
        <v>0.419459459459459</v>
      </c>
      <c r="S399" s="16" t="n">
        <f aca="false">J399-R399</f>
        <v>9.28054054054054</v>
      </c>
      <c r="T399" s="17" t="n">
        <f aca="false">T398+S399</f>
        <v>103.356872586873</v>
      </c>
      <c r="V399" s="1" t="n">
        <v>124.2</v>
      </c>
      <c r="X399" s="1" t="n">
        <f aca="false">X398+V399</f>
        <v>103271.7</v>
      </c>
      <c r="Y399" s="1" t="n">
        <f aca="false">Y398+V399</f>
        <v>12767.2</v>
      </c>
      <c r="AA399" s="1" t="n">
        <v>9.72919495073467</v>
      </c>
    </row>
    <row r="400" s="1" customFormat="true" ht="15" hidden="false" customHeight="false" outlineLevel="0" collapsed="false">
      <c r="A400" s="35"/>
      <c r="B400" s="2"/>
      <c r="C400" s="8" t="n">
        <v>40573</v>
      </c>
      <c r="D400" s="1" t="n">
        <v>4.1</v>
      </c>
      <c r="E400" s="1" t="n">
        <v>3.4</v>
      </c>
      <c r="F400" s="1" t="n">
        <v>5.1</v>
      </c>
      <c r="G400" s="1" t="n">
        <f aca="false">G399+D400</f>
        <v>1380.7</v>
      </c>
      <c r="H400" s="1" t="n">
        <f aca="false">H399+D400</f>
        <v>144.8</v>
      </c>
      <c r="J400" s="1" t="n">
        <v>0</v>
      </c>
      <c r="K400" s="1" t="n">
        <f aca="false">K399+J400</f>
        <v>243.9</v>
      </c>
      <c r="L400" s="1" t="n">
        <v>0.2</v>
      </c>
      <c r="M400" s="1" t="n">
        <f aca="false">M399+L400</f>
        <v>222.6</v>
      </c>
      <c r="N400" s="1" t="n">
        <v>-0.2</v>
      </c>
      <c r="O400" s="1" t="n">
        <f aca="false">O399+N400</f>
        <v>84.6</v>
      </c>
      <c r="P400" s="6" t="n">
        <v>145</v>
      </c>
      <c r="Q400" s="18" t="n">
        <f aca="false">1+((P400-120)/74)*(1.15-1)</f>
        <v>1.05067567567568</v>
      </c>
      <c r="R400" s="16" t="n">
        <f aca="false">Q400*L400</f>
        <v>0.210135135135135</v>
      </c>
      <c r="S400" s="16" t="n">
        <f aca="false">J400-R400</f>
        <v>-0.210135135135135</v>
      </c>
      <c r="T400" s="17" t="n">
        <f aca="false">T399+S400</f>
        <v>103.146737451737</v>
      </c>
      <c r="V400" s="1" t="n">
        <v>66.5</v>
      </c>
      <c r="X400" s="1" t="n">
        <f aca="false">X399+V400</f>
        <v>103338.2</v>
      </c>
      <c r="Y400" s="1" t="n">
        <f aca="false">Y399+V400</f>
        <v>12833.7</v>
      </c>
      <c r="AA400" s="1" t="n">
        <v>9.7684330270224</v>
      </c>
    </row>
    <row r="401" s="1" customFormat="true" ht="15" hidden="false" customHeight="false" outlineLevel="0" collapsed="false">
      <c r="A401" s="35"/>
      <c r="B401" s="2"/>
      <c r="C401" s="8" t="n">
        <v>40574</v>
      </c>
      <c r="D401" s="1" t="n">
        <v>1.1</v>
      </c>
      <c r="E401" s="1" t="n">
        <v>0.1</v>
      </c>
      <c r="F401" s="1" t="n">
        <v>2.3</v>
      </c>
      <c r="G401" s="1" t="n">
        <f aca="false">G400+D401</f>
        <v>1381.8</v>
      </c>
      <c r="H401" s="1" t="n">
        <f aca="false">H400+D401</f>
        <v>145.9</v>
      </c>
      <c r="J401" s="1" t="n">
        <v>0</v>
      </c>
      <c r="K401" s="1" t="n">
        <f aca="false">K400+J401</f>
        <v>243.9</v>
      </c>
      <c r="L401" s="1" t="n">
        <v>0.5</v>
      </c>
      <c r="M401" s="1" t="n">
        <f aca="false">M400+L401</f>
        <v>223.1</v>
      </c>
      <c r="N401" s="1" t="n">
        <v>-0.5</v>
      </c>
      <c r="O401" s="1" t="n">
        <f aca="false">O400+N401</f>
        <v>84.1</v>
      </c>
      <c r="P401" s="6" t="n">
        <v>146</v>
      </c>
      <c r="Q401" s="18" t="n">
        <f aca="false">1+((P401-120)/74)*(1.15-1)</f>
        <v>1.0527027027027</v>
      </c>
      <c r="R401" s="16" t="n">
        <f aca="false">Q401*L401</f>
        <v>0.526351351351351</v>
      </c>
      <c r="S401" s="16" t="n">
        <f aca="false">J401-R401</f>
        <v>-0.526351351351351</v>
      </c>
      <c r="T401" s="17" t="n">
        <f aca="false">T400+S401</f>
        <v>102.620386100386</v>
      </c>
      <c r="V401" s="1" t="n">
        <v>270.2</v>
      </c>
      <c r="X401" s="1" t="n">
        <f aca="false">X400+V401</f>
        <v>103608.4</v>
      </c>
      <c r="Y401" s="1" t="n">
        <f aca="false">Y400+V401</f>
        <v>13103.9</v>
      </c>
      <c r="AA401" s="1" t="n">
        <v>9.80827208424999</v>
      </c>
    </row>
    <row r="402" s="1" customFormat="true" ht="15" hidden="false" customHeight="false" outlineLevel="0" collapsed="false">
      <c r="A402" s="35"/>
      <c r="B402" s="2"/>
      <c r="C402" s="8" t="n">
        <v>40575</v>
      </c>
      <c r="D402" s="1" t="n">
        <v>-0.1</v>
      </c>
      <c r="E402" s="1" t="n">
        <v>-1.1</v>
      </c>
      <c r="F402" s="1" t="n">
        <v>0.6</v>
      </c>
      <c r="G402" s="1" t="n">
        <v>1381.8</v>
      </c>
      <c r="H402" s="1" t="n">
        <v>145.9</v>
      </c>
      <c r="J402" s="1" t="n">
        <v>0</v>
      </c>
      <c r="K402" s="1" t="n">
        <f aca="false">K401+J402</f>
        <v>243.9</v>
      </c>
      <c r="L402" s="1" t="n">
        <v>0.6</v>
      </c>
      <c r="M402" s="1" t="n">
        <f aca="false">M401+L402</f>
        <v>223.7</v>
      </c>
      <c r="N402" s="1" t="n">
        <v>-0.6</v>
      </c>
      <c r="O402" s="1" t="n">
        <f aca="false">O401+N402</f>
        <v>83.5</v>
      </c>
      <c r="P402" s="6" t="n">
        <v>147</v>
      </c>
      <c r="Q402" s="18" t="n">
        <f aca="false">1+((P402-120)/74)*(1.15-1)</f>
        <v>1.05472972972973</v>
      </c>
      <c r="R402" s="16" t="n">
        <f aca="false">Q402*L402</f>
        <v>0.632837837837838</v>
      </c>
      <c r="S402" s="16" t="n">
        <f aca="false">J402-R402</f>
        <v>-0.632837837837838</v>
      </c>
      <c r="T402" s="17" t="n">
        <f aca="false">T401+S402</f>
        <v>101.987548262548</v>
      </c>
      <c r="V402" s="1" t="n">
        <v>454.2</v>
      </c>
      <c r="X402" s="1" t="n">
        <f aca="false">X401+V402</f>
        <v>104062.6</v>
      </c>
      <c r="Y402" s="1" t="n">
        <f aca="false">Y401+V402</f>
        <v>13558.1</v>
      </c>
      <c r="AA402" s="1" t="n">
        <v>9.84868984530758</v>
      </c>
    </row>
    <row r="403" s="1" customFormat="true" ht="15" hidden="false" customHeight="false" outlineLevel="0" collapsed="false">
      <c r="A403" s="35"/>
      <c r="B403" s="2"/>
      <c r="C403" s="8" t="n">
        <v>40576</v>
      </c>
      <c r="D403" s="1" t="n">
        <v>2.7</v>
      </c>
      <c r="E403" s="1" t="n">
        <v>-0.4</v>
      </c>
      <c r="F403" s="1" t="n">
        <v>5.9</v>
      </c>
      <c r="G403" s="1" t="n">
        <f aca="false">G402+D403</f>
        <v>1384.5</v>
      </c>
      <c r="H403" s="1" t="n">
        <f aca="false">H402+D403</f>
        <v>148.6</v>
      </c>
      <c r="J403" s="1" t="n">
        <v>0</v>
      </c>
      <c r="K403" s="1" t="n">
        <f aca="false">K402+J403</f>
        <v>243.9</v>
      </c>
      <c r="L403" s="1" t="n">
        <v>1.1</v>
      </c>
      <c r="M403" s="1" t="n">
        <f aca="false">M402+L403</f>
        <v>224.8</v>
      </c>
      <c r="N403" s="1" t="n">
        <v>-1.1</v>
      </c>
      <c r="O403" s="1" t="n">
        <f aca="false">O402+N403</f>
        <v>82.4</v>
      </c>
      <c r="P403" s="6" t="n">
        <v>148</v>
      </c>
      <c r="Q403" s="18" t="n">
        <f aca="false">1+((P403-120)/74)*(1.15-1)</f>
        <v>1.05675675675676</v>
      </c>
      <c r="R403" s="16" t="n">
        <f aca="false">Q403*L403</f>
        <v>1.16243243243243</v>
      </c>
      <c r="S403" s="16" t="n">
        <f aca="false">J403-R403</f>
        <v>-1.16243243243243</v>
      </c>
      <c r="T403" s="17" t="n">
        <f aca="false">T402+S403</f>
        <v>100.825115830116</v>
      </c>
      <c r="V403" s="1" t="n">
        <v>681.6</v>
      </c>
      <c r="X403" s="1" t="n">
        <f aca="false">X402+V403</f>
        <v>104744.2</v>
      </c>
      <c r="Y403" s="1" t="n">
        <f aca="false">Y402+V403</f>
        <v>14239.7</v>
      </c>
      <c r="AA403" s="1" t="n">
        <v>9.88966441234268</v>
      </c>
    </row>
    <row r="404" s="1" customFormat="true" ht="15" hidden="false" customHeight="false" outlineLevel="0" collapsed="false">
      <c r="A404" s="35"/>
      <c r="B404" s="2"/>
      <c r="C404" s="8" t="n">
        <v>40577</v>
      </c>
      <c r="D404" s="1" t="n">
        <v>8.2</v>
      </c>
      <c r="E404" s="1" t="n">
        <v>5.1</v>
      </c>
      <c r="F404" s="1" t="n">
        <v>11.7</v>
      </c>
      <c r="G404" s="1" t="n">
        <f aca="false">G403+D404</f>
        <v>1392.7</v>
      </c>
      <c r="H404" s="1" t="n">
        <f aca="false">H403+D404</f>
        <v>156.8</v>
      </c>
      <c r="J404" s="1" t="n">
        <v>0</v>
      </c>
      <c r="K404" s="1" t="n">
        <f aca="false">K403+J404</f>
        <v>243.9</v>
      </c>
      <c r="L404" s="1" t="n">
        <v>1</v>
      </c>
      <c r="M404" s="1" t="n">
        <f aca="false">M403+L404</f>
        <v>225.8</v>
      </c>
      <c r="N404" s="1" t="n">
        <v>-1</v>
      </c>
      <c r="O404" s="1" t="n">
        <f aca="false">O403+N404</f>
        <v>81.4</v>
      </c>
      <c r="P404" s="6" t="n">
        <v>149</v>
      </c>
      <c r="Q404" s="18" t="n">
        <f aca="false">1+((P404-120)/74)*(1.15-1)</f>
        <v>1.05878378378378</v>
      </c>
      <c r="R404" s="16" t="n">
        <f aca="false">Q404*L404</f>
        <v>1.05878378378378</v>
      </c>
      <c r="S404" s="16" t="n">
        <f aca="false">J404-R404</f>
        <v>-1.05878378378378</v>
      </c>
      <c r="T404" s="17" t="n">
        <f aca="false">T403+S404</f>
        <v>99.766332046332</v>
      </c>
      <c r="V404" s="1" t="n">
        <v>271.7</v>
      </c>
      <c r="X404" s="1" t="n">
        <f aca="false">X403+V404</f>
        <v>105015.9</v>
      </c>
      <c r="Y404" s="1" t="n">
        <f aca="false">Y403+V404</f>
        <v>14511.4</v>
      </c>
      <c r="AA404" s="1" t="n">
        <v>9.93117428838646</v>
      </c>
      <c r="AB404" s="37" t="s">
        <v>49</v>
      </c>
    </row>
    <row r="405" s="1" customFormat="true" ht="15" hidden="false" customHeight="false" outlineLevel="0" collapsed="false">
      <c r="A405" s="35"/>
      <c r="B405" s="2" t="n">
        <v>10</v>
      </c>
      <c r="C405" s="8" t="n">
        <v>40578</v>
      </c>
      <c r="D405" s="1" t="n">
        <v>9.5</v>
      </c>
      <c r="E405" s="1" t="n">
        <v>7.4</v>
      </c>
      <c r="F405" s="1" t="n">
        <v>13.9</v>
      </c>
      <c r="G405" s="1" t="n">
        <f aca="false">G404+D405</f>
        <v>1402.2</v>
      </c>
      <c r="H405" s="1" t="n">
        <f aca="false">H404+D405</f>
        <v>166.3</v>
      </c>
      <c r="J405" s="1" t="n">
        <v>0</v>
      </c>
      <c r="K405" s="1" t="n">
        <f aca="false">K404+J405</f>
        <v>243.9</v>
      </c>
      <c r="L405" s="1" t="n">
        <v>1.6</v>
      </c>
      <c r="M405" s="1" t="n">
        <f aca="false">M404+L405</f>
        <v>227.4</v>
      </c>
      <c r="N405" s="1" t="n">
        <v>-1.6</v>
      </c>
      <c r="O405" s="1" t="n">
        <f aca="false">O404+N405</f>
        <v>79.8</v>
      </c>
      <c r="P405" s="6" t="n">
        <v>150</v>
      </c>
      <c r="Q405" s="18" t="n">
        <f aca="false">1+((P405-120)/74)*(1.15-1)</f>
        <v>1.06081081081081</v>
      </c>
      <c r="R405" s="16" t="n">
        <f aca="false">Q405*L405</f>
        <v>1.6972972972973</v>
      </c>
      <c r="S405" s="16" t="n">
        <f aca="false">J405-R405</f>
        <v>-1.6972972972973</v>
      </c>
      <c r="T405" s="17" t="n">
        <f aca="false">T404+S405</f>
        <v>98.0690347490347</v>
      </c>
      <c r="V405" s="1" t="n">
        <v>512.2</v>
      </c>
      <c r="X405" s="1" t="n">
        <f aca="false">X404+V405</f>
        <v>105528.1</v>
      </c>
      <c r="Y405" s="1" t="n">
        <f aca="false">Y404+V405</f>
        <v>15023.6</v>
      </c>
      <c r="AA405" s="1" t="n">
        <v>9.9731983964314</v>
      </c>
      <c r="AB405" s="16" t="n">
        <f aca="false">AVERAGE(T414:T427)</f>
        <v>89.3645366795366</v>
      </c>
      <c r="AD405" s="1" t="s">
        <v>50</v>
      </c>
    </row>
    <row r="406" s="1" customFormat="true" ht="15" hidden="false" customHeight="false" outlineLevel="0" collapsed="false">
      <c r="A406" s="35"/>
      <c r="B406" s="2"/>
      <c r="C406" s="8" t="n">
        <v>40579</v>
      </c>
      <c r="D406" s="1" t="n">
        <v>6.7</v>
      </c>
      <c r="E406" s="1" t="n">
        <v>1.8</v>
      </c>
      <c r="F406" s="1" t="n">
        <v>14.1</v>
      </c>
      <c r="G406" s="1" t="n">
        <f aca="false">G405+D406</f>
        <v>1408.9</v>
      </c>
      <c r="H406" s="1" t="n">
        <f aca="false">H405+D406</f>
        <v>173</v>
      </c>
      <c r="J406" s="1" t="n">
        <v>0.1</v>
      </c>
      <c r="K406" s="1" t="n">
        <f aca="false">K405+J406</f>
        <v>244</v>
      </c>
      <c r="L406" s="1" t="n">
        <v>1.6</v>
      </c>
      <c r="M406" s="1" t="n">
        <f aca="false">M405+L406</f>
        <v>229</v>
      </c>
      <c r="N406" s="1" t="n">
        <v>-1.5</v>
      </c>
      <c r="O406" s="1" t="n">
        <f aca="false">O405+N406</f>
        <v>78.3</v>
      </c>
      <c r="P406" s="6" t="n">
        <v>151</v>
      </c>
      <c r="Q406" s="18" t="n">
        <f aca="false">1+((P406-120)/74)*(1.15-1)</f>
        <v>1.06283783783784</v>
      </c>
      <c r="R406" s="16" t="n">
        <f aca="false">Q406*L406</f>
        <v>1.70054054054054</v>
      </c>
      <c r="S406" s="16" t="n">
        <f aca="false">J406-R406</f>
        <v>-1.60054054054054</v>
      </c>
      <c r="T406" s="17" t="n">
        <f aca="false">T405+S406</f>
        <v>96.4684942084942</v>
      </c>
      <c r="V406" s="1" t="n">
        <v>1011.1</v>
      </c>
      <c r="X406" s="1" t="n">
        <f aca="false">X405+V406</f>
        <v>106539.2</v>
      </c>
      <c r="Y406" s="1" t="n">
        <f aca="false">Y405+V406</f>
        <v>16034.7</v>
      </c>
      <c r="AA406" s="1" t="n">
        <v>10.0157160960406</v>
      </c>
      <c r="AB406" s="37" t="s">
        <v>51</v>
      </c>
      <c r="AD406" s="18" t="n">
        <f aca="false">(AB405*(40/120))+(AB428*(80/120))</f>
        <v>80.386628056628</v>
      </c>
    </row>
    <row r="407" s="1" customFormat="true" ht="15" hidden="false" customHeight="false" outlineLevel="0" collapsed="false">
      <c r="A407" s="35"/>
      <c r="B407" s="2"/>
      <c r="C407" s="8" t="n">
        <v>40580</v>
      </c>
      <c r="D407" s="1" t="n">
        <v>2.1</v>
      </c>
      <c r="E407" s="1" t="n">
        <v>-1</v>
      </c>
      <c r="F407" s="1" t="n">
        <v>6.9</v>
      </c>
      <c r="G407" s="1" t="n">
        <f aca="false">G406+D407</f>
        <v>1411</v>
      </c>
      <c r="H407" s="1" t="n">
        <f aca="false">H406+D407</f>
        <v>175.1</v>
      </c>
      <c r="J407" s="1" t="n">
        <v>0</v>
      </c>
      <c r="K407" s="1" t="n">
        <f aca="false">K406+J407</f>
        <v>244</v>
      </c>
      <c r="L407" s="1" t="n">
        <v>1.4</v>
      </c>
      <c r="M407" s="1" t="n">
        <f aca="false">M406+L407</f>
        <v>230.4</v>
      </c>
      <c r="N407" s="1" t="n">
        <v>-1.4</v>
      </c>
      <c r="O407" s="1" t="n">
        <f aca="false">O406+N407</f>
        <v>76.9</v>
      </c>
      <c r="P407" s="6" t="n">
        <v>152</v>
      </c>
      <c r="Q407" s="18" t="n">
        <f aca="false">1+((P407-120)/74)*(1.15-1)</f>
        <v>1.06486486486486</v>
      </c>
      <c r="R407" s="16" t="n">
        <f aca="false">Q407*L407</f>
        <v>1.49081081081081</v>
      </c>
      <c r="S407" s="16" t="n">
        <f aca="false">J407-R407</f>
        <v>-1.49081081081081</v>
      </c>
      <c r="T407" s="17" t="n">
        <f aca="false">T406+S407</f>
        <v>94.9776833976834</v>
      </c>
      <c r="V407" s="1" t="n">
        <v>898.7</v>
      </c>
      <c r="X407" s="1" t="n">
        <f aca="false">X406+V407</f>
        <v>107437.9</v>
      </c>
      <c r="Y407" s="1" t="n">
        <f aca="false">Y406+V407</f>
        <v>16933.4</v>
      </c>
      <c r="AA407" s="1" t="n">
        <v>10.0587071975768</v>
      </c>
      <c r="AB407" s="1" t="n">
        <v>1</v>
      </c>
      <c r="AD407" s="1" t="s">
        <v>52</v>
      </c>
    </row>
    <row r="408" s="1" customFormat="true" ht="15" hidden="false" customHeight="false" outlineLevel="0" collapsed="false">
      <c r="A408" s="35"/>
      <c r="B408" s="2"/>
      <c r="C408" s="8" t="n">
        <v>40581</v>
      </c>
      <c r="D408" s="1" t="n">
        <v>5.7</v>
      </c>
      <c r="E408" s="1" t="n">
        <v>-1.3</v>
      </c>
      <c r="F408" s="1" t="n">
        <v>15.2</v>
      </c>
      <c r="G408" s="1" t="n">
        <f aca="false">G407+D408</f>
        <v>1416.7</v>
      </c>
      <c r="H408" s="1" t="n">
        <f aca="false">H407+D408</f>
        <v>180.8</v>
      </c>
      <c r="J408" s="1" t="n">
        <v>0.1</v>
      </c>
      <c r="K408" s="1" t="n">
        <f aca="false">K407+J408</f>
        <v>244.1</v>
      </c>
      <c r="L408" s="1" t="n">
        <v>2</v>
      </c>
      <c r="M408" s="1" t="n">
        <f aca="false">M407+L408</f>
        <v>232.4</v>
      </c>
      <c r="N408" s="1" t="n">
        <v>-1.9</v>
      </c>
      <c r="O408" s="1" t="n">
        <f aca="false">O407+N408</f>
        <v>75</v>
      </c>
      <c r="P408" s="6" t="n">
        <v>153</v>
      </c>
      <c r="Q408" s="18" t="n">
        <f aca="false">1+((P408-120)/74)*(1.15-1)</f>
        <v>1.06689189189189</v>
      </c>
      <c r="R408" s="16" t="n">
        <f aca="false">Q408*L408</f>
        <v>2.13378378378378</v>
      </c>
      <c r="S408" s="16" t="n">
        <f aca="false">J408-R408</f>
        <v>-2.03378378378378</v>
      </c>
      <c r="T408" s="17" t="n">
        <f aca="false">T407+S408</f>
        <v>92.9438996138996</v>
      </c>
      <c r="V408" s="1" t="n">
        <v>1230.8</v>
      </c>
      <c r="X408" s="1" t="n">
        <f aca="false">X407+V408</f>
        <v>108668.7</v>
      </c>
      <c r="Y408" s="1" t="n">
        <f aca="false">Y407+V408</f>
        <v>18164.2</v>
      </c>
      <c r="AA408" s="1" t="n">
        <v>10.1021519741451</v>
      </c>
      <c r="AB408" s="37"/>
      <c r="AD408" s="16" t="n">
        <f aca="false">(AB407*(40/120))+(AB430*(80/120))</f>
        <v>4.33333333333333</v>
      </c>
    </row>
    <row r="409" s="1" customFormat="true" ht="15" hidden="false" customHeight="false" outlineLevel="0" collapsed="false">
      <c r="A409" s="35"/>
      <c r="B409" s="2"/>
      <c r="C409" s="8" t="n">
        <v>40582</v>
      </c>
      <c r="D409" s="1" t="n">
        <v>6.4</v>
      </c>
      <c r="E409" s="1" t="n">
        <v>0.6</v>
      </c>
      <c r="F409" s="1" t="n">
        <v>13.5</v>
      </c>
      <c r="G409" s="1" t="n">
        <f aca="false">G408+D409</f>
        <v>1423.1</v>
      </c>
      <c r="H409" s="1" t="n">
        <f aca="false">H408+D409</f>
        <v>187.2</v>
      </c>
      <c r="J409" s="1" t="n">
        <v>0.1</v>
      </c>
      <c r="K409" s="1" t="n">
        <f aca="false">K408+J409</f>
        <v>244.2</v>
      </c>
      <c r="L409" s="1" t="n">
        <v>1.3</v>
      </c>
      <c r="M409" s="1" t="n">
        <f aca="false">M408+L409</f>
        <v>233.7</v>
      </c>
      <c r="N409" s="1" t="n">
        <v>-1.2</v>
      </c>
      <c r="O409" s="1" t="n">
        <f aca="false">O408+N409</f>
        <v>73.8</v>
      </c>
      <c r="P409" s="6" t="n">
        <v>154</v>
      </c>
      <c r="Q409" s="18" t="n">
        <f aca="false">1+((P409-120)/74)*(1.15-1)</f>
        <v>1.06891891891892</v>
      </c>
      <c r="R409" s="16" t="n">
        <f aca="false">Q409*L409</f>
        <v>1.38959459459459</v>
      </c>
      <c r="S409" s="16" t="n">
        <f aca="false">J409-R409</f>
        <v>-1.28959459459459</v>
      </c>
      <c r="T409" s="17" t="n">
        <f aca="false">T408+S409</f>
        <v>91.654305019305</v>
      </c>
      <c r="V409" s="1" t="n">
        <v>861.2</v>
      </c>
      <c r="X409" s="1" t="n">
        <f aca="false">X408+V409</f>
        <v>109529.9</v>
      </c>
      <c r="Y409" s="1" t="n">
        <f aca="false">Y408+V409</f>
        <v>19025.4</v>
      </c>
      <c r="AA409" s="1" t="n">
        <v>10.146031171348</v>
      </c>
      <c r="AB409" s="16"/>
    </row>
    <row r="410" s="1" customFormat="true" ht="15" hidden="false" customHeight="false" outlineLevel="0" collapsed="false">
      <c r="A410" s="35"/>
      <c r="B410" s="2"/>
      <c r="C410" s="8" t="n">
        <v>40583</v>
      </c>
      <c r="D410" s="1" t="n">
        <v>6.7</v>
      </c>
      <c r="E410" s="1" t="n">
        <v>0.7</v>
      </c>
      <c r="F410" s="1" t="n">
        <v>14.8</v>
      </c>
      <c r="G410" s="1" t="n">
        <f aca="false">G409+D410</f>
        <v>1429.8</v>
      </c>
      <c r="H410" s="1" t="n">
        <f aca="false">H409+D410</f>
        <v>193.9</v>
      </c>
      <c r="J410" s="1" t="n">
        <v>0.1</v>
      </c>
      <c r="K410" s="1" t="n">
        <f aca="false">K409+J410</f>
        <v>244.3</v>
      </c>
      <c r="L410" s="1" t="n">
        <v>2.3</v>
      </c>
      <c r="M410" s="1" t="n">
        <f aca="false">M409+L410</f>
        <v>236</v>
      </c>
      <c r="N410" s="1" t="n">
        <v>-2.2</v>
      </c>
      <c r="O410" s="1" t="n">
        <f aca="false">O409+N410</f>
        <v>71.6</v>
      </c>
      <c r="P410" s="6" t="n">
        <v>155</v>
      </c>
      <c r="Q410" s="18" t="n">
        <f aca="false">1+((P410-120)/74)*(1.15-1)</f>
        <v>1.07094594594595</v>
      </c>
      <c r="R410" s="16" t="n">
        <f aca="false">Q410*L410</f>
        <v>2.46317567567568</v>
      </c>
      <c r="S410" s="16" t="n">
        <f aca="false">J410-R410</f>
        <v>-2.36317567567568</v>
      </c>
      <c r="T410" s="17" t="n">
        <f aca="false">T409+S410</f>
        <v>89.2911293436293</v>
      </c>
      <c r="V410" s="1" t="n">
        <v>1278.5</v>
      </c>
      <c r="X410" s="1" t="n">
        <f aca="false">X409+V410</f>
        <v>110808.4</v>
      </c>
      <c r="Y410" s="1" t="n">
        <f aca="false">Y409+V410</f>
        <v>20303.9</v>
      </c>
      <c r="AA410" s="1" t="n">
        <v>10.1903260149566</v>
      </c>
      <c r="AB410" s="37" t="s">
        <v>53</v>
      </c>
    </row>
    <row r="411" s="1" customFormat="true" ht="15" hidden="false" customHeight="false" outlineLevel="0" collapsed="false">
      <c r="A411" s="35"/>
      <c r="B411" s="2"/>
      <c r="C411" s="8" t="n">
        <v>40584</v>
      </c>
      <c r="D411" s="1" t="n">
        <v>5.7</v>
      </c>
      <c r="E411" s="1" t="n">
        <v>0.9</v>
      </c>
      <c r="F411" s="1" t="n">
        <v>9.1</v>
      </c>
      <c r="G411" s="1" t="n">
        <f aca="false">G410+D411</f>
        <v>1435.5</v>
      </c>
      <c r="H411" s="1" t="n">
        <f aca="false">H410+D411</f>
        <v>199.6</v>
      </c>
      <c r="J411" s="1" t="n">
        <v>0.2</v>
      </c>
      <c r="K411" s="1" t="n">
        <f aca="false">K410+J411</f>
        <v>244.5</v>
      </c>
      <c r="L411" s="1" t="n">
        <v>1.1</v>
      </c>
      <c r="M411" s="1" t="n">
        <f aca="false">M410+L411</f>
        <v>237.1</v>
      </c>
      <c r="N411" s="1" t="n">
        <v>-0.9</v>
      </c>
      <c r="O411" s="1" t="n">
        <f aca="false">O410+N411</f>
        <v>70.7</v>
      </c>
      <c r="P411" s="6" t="n">
        <v>156</v>
      </c>
      <c r="Q411" s="18" t="n">
        <f aca="false">1+((P411-120)/74)*(1.15-1)</f>
        <v>1.07297297297297</v>
      </c>
      <c r="R411" s="16" t="n">
        <f aca="false">Q411*L411</f>
        <v>1.18027027027027</v>
      </c>
      <c r="S411" s="16" t="n">
        <f aca="false">J411-R411</f>
        <v>-0.98027027027027</v>
      </c>
      <c r="T411" s="17" t="n">
        <f aca="false">T410+S411</f>
        <v>88.310859073359</v>
      </c>
      <c r="V411" s="1" t="n">
        <v>942.2</v>
      </c>
      <c r="X411" s="1" t="n">
        <f aca="false">X410+V411</f>
        <v>111750.6</v>
      </c>
      <c r="Y411" s="1" t="n">
        <f aca="false">Y410+V411</f>
        <v>21246.1</v>
      </c>
      <c r="AA411" s="1" t="n">
        <v>10.2350182166019</v>
      </c>
      <c r="AB411" s="1" t="n">
        <v>3</v>
      </c>
      <c r="AD411" s="1" t="s">
        <v>54</v>
      </c>
    </row>
    <row r="412" s="1" customFormat="true" ht="15" hidden="false" customHeight="false" outlineLevel="0" collapsed="false">
      <c r="A412" s="35"/>
      <c r="B412" s="2"/>
      <c r="C412" s="8" t="n">
        <v>40585</v>
      </c>
      <c r="D412" s="1" t="n">
        <v>8</v>
      </c>
      <c r="E412" s="1" t="n">
        <v>5.2</v>
      </c>
      <c r="F412" s="1" t="n">
        <v>13.9</v>
      </c>
      <c r="G412" s="1" t="n">
        <f aca="false">G411+D412</f>
        <v>1443.5</v>
      </c>
      <c r="H412" s="1" t="n">
        <f aca="false">H411+D412</f>
        <v>207.6</v>
      </c>
      <c r="J412" s="1" t="n">
        <v>0</v>
      </c>
      <c r="K412" s="1" t="n">
        <f aca="false">K411+J412</f>
        <v>244.5</v>
      </c>
      <c r="L412" s="1" t="n">
        <v>1.9</v>
      </c>
      <c r="M412" s="1" t="n">
        <f aca="false">M411+L412</f>
        <v>239</v>
      </c>
      <c r="N412" s="1" t="n">
        <v>-1.9</v>
      </c>
      <c r="O412" s="1" t="n">
        <f aca="false">O411+N412</f>
        <v>68.8</v>
      </c>
      <c r="P412" s="6" t="n">
        <v>157</v>
      </c>
      <c r="Q412" s="18" t="n">
        <f aca="false">1+((P412-120)/74)*(1.15-1)</f>
        <v>1.075</v>
      </c>
      <c r="R412" s="16" t="n">
        <f aca="false">Q412*L412</f>
        <v>2.0425</v>
      </c>
      <c r="S412" s="16" t="n">
        <f aca="false">J412-R412</f>
        <v>-2.0425</v>
      </c>
      <c r="T412" s="17" t="n">
        <f aca="false">T411+S412</f>
        <v>86.268359073359</v>
      </c>
      <c r="V412" s="1" t="n">
        <v>974.4</v>
      </c>
      <c r="X412" s="1" t="n">
        <f aca="false">X411+V412</f>
        <v>112725</v>
      </c>
      <c r="Y412" s="1" t="n">
        <f aca="false">Y411+V412</f>
        <v>22220.5</v>
      </c>
      <c r="AA412" s="1" t="n">
        <v>10.2800899775938</v>
      </c>
      <c r="AB412" s="37" t="s">
        <v>55</v>
      </c>
      <c r="AD412" s="16" t="n">
        <f aca="false">(AB411*(40/120))+(AB434*(80/120))</f>
        <v>3.66666666666667</v>
      </c>
    </row>
    <row r="413" s="1" customFormat="true" ht="15" hidden="false" customHeight="false" outlineLevel="0" collapsed="false">
      <c r="A413" s="35"/>
      <c r="B413" s="2"/>
      <c r="C413" s="8" t="n">
        <v>40586</v>
      </c>
      <c r="D413" s="1" t="n">
        <v>7.4</v>
      </c>
      <c r="E413" s="1" t="n">
        <v>2.2</v>
      </c>
      <c r="F413" s="1" t="n">
        <v>14.4</v>
      </c>
      <c r="G413" s="1" t="n">
        <f aca="false">G412+D413</f>
        <v>1450.9</v>
      </c>
      <c r="H413" s="1" t="n">
        <f aca="false">H412+D413</f>
        <v>215</v>
      </c>
      <c r="J413" s="1" t="n">
        <v>1.6</v>
      </c>
      <c r="K413" s="1" t="n">
        <f aca="false">K412+J413</f>
        <v>246.1</v>
      </c>
      <c r="L413" s="1" t="n">
        <v>1.5</v>
      </c>
      <c r="M413" s="1" t="n">
        <f aca="false">M412+L413</f>
        <v>240.5</v>
      </c>
      <c r="N413" s="1" t="n">
        <v>0.1</v>
      </c>
      <c r="O413" s="1" t="n">
        <f aca="false">O412+N413</f>
        <v>68.9</v>
      </c>
      <c r="P413" s="6" t="n">
        <v>158</v>
      </c>
      <c r="Q413" s="18" t="n">
        <f aca="false">1+((P413-120)/74)*(1.15-1)</f>
        <v>1.07702702702703</v>
      </c>
      <c r="R413" s="16" t="n">
        <f aca="false">Q413*L413</f>
        <v>1.61554054054054</v>
      </c>
      <c r="S413" s="16" t="n">
        <f aca="false">J413-R413</f>
        <v>-0.0155405405405404</v>
      </c>
      <c r="T413" s="17" t="n">
        <f aca="false">T412+S413</f>
        <v>86.2528185328185</v>
      </c>
      <c r="V413" s="1" t="n">
        <v>934.8</v>
      </c>
      <c r="X413" s="1" t="n">
        <f aca="false">X412+V413</f>
        <v>113659.8</v>
      </c>
      <c r="Y413" s="1" t="n">
        <f aca="false">Y412+V413</f>
        <v>23155.3</v>
      </c>
      <c r="AA413" s="1" t="n">
        <v>10.325523990975</v>
      </c>
      <c r="AB413" s="1" t="n">
        <v>0</v>
      </c>
      <c r="AD413" s="1" t="s">
        <v>56</v>
      </c>
    </row>
    <row r="414" s="1" customFormat="true" ht="15" hidden="false" customHeight="false" outlineLevel="0" collapsed="false">
      <c r="A414" s="35"/>
      <c r="B414" s="2"/>
      <c r="C414" s="8" t="n">
        <v>40587</v>
      </c>
      <c r="D414" s="1" t="n">
        <v>7.1</v>
      </c>
      <c r="E414" s="1" t="n">
        <v>3</v>
      </c>
      <c r="F414" s="1" t="n">
        <v>11.3</v>
      </c>
      <c r="G414" s="1" t="n">
        <f aca="false">G413+D414</f>
        <v>1458</v>
      </c>
      <c r="H414" s="1" t="n">
        <f aca="false">H413+D414</f>
        <v>222.1</v>
      </c>
      <c r="J414" s="38" t="n">
        <v>1.2</v>
      </c>
      <c r="K414" s="1" t="n">
        <f aca="false">K413+J414</f>
        <v>247.3</v>
      </c>
      <c r="L414" s="1" t="n">
        <v>0.9</v>
      </c>
      <c r="M414" s="1" t="n">
        <f aca="false">M413+L414</f>
        <v>241.4</v>
      </c>
      <c r="N414" s="1" t="n">
        <v>0.3</v>
      </c>
      <c r="O414" s="1" t="n">
        <f aca="false">O413+N414</f>
        <v>69.2</v>
      </c>
      <c r="P414" s="6" t="n">
        <v>159</v>
      </c>
      <c r="Q414" s="18" t="n">
        <f aca="false">1+((P414-120)/74)*(1.15-1)</f>
        <v>1.07905405405405</v>
      </c>
      <c r="R414" s="16" t="n">
        <f aca="false">Q414*L414</f>
        <v>0.971148648648649</v>
      </c>
      <c r="S414" s="16" t="n">
        <f aca="false">J414-R414</f>
        <v>0.228851351351351</v>
      </c>
      <c r="T414" s="39" t="n">
        <f aca="false">T413+S414</f>
        <v>86.4816698841698</v>
      </c>
      <c r="V414" s="1" t="n">
        <v>655.3</v>
      </c>
      <c r="X414" s="1" t="n">
        <f aca="false">X413+V414</f>
        <v>114315.1</v>
      </c>
      <c r="Y414" s="1" t="n">
        <f aca="false">Y413+V414</f>
        <v>23810.6</v>
      </c>
      <c r="AA414" s="1" t="n">
        <v>10.3713034419173</v>
      </c>
      <c r="AB414" s="37" t="s">
        <v>57</v>
      </c>
      <c r="AD414" s="1" t="n">
        <f aca="false">(AB413*(40/120))+(AB436*(80/120))</f>
        <v>0</v>
      </c>
    </row>
    <row r="415" s="1" customFormat="true" ht="15" hidden="false" customHeight="false" outlineLevel="0" collapsed="false">
      <c r="A415" s="35"/>
      <c r="B415" s="2"/>
      <c r="C415" s="8" t="n">
        <v>40588</v>
      </c>
      <c r="D415" s="1" t="n">
        <v>7.5</v>
      </c>
      <c r="E415" s="1" t="n">
        <v>6.5</v>
      </c>
      <c r="F415" s="1" t="n">
        <v>9.4</v>
      </c>
      <c r="G415" s="1" t="n">
        <f aca="false">G414+D415</f>
        <v>1465.5</v>
      </c>
      <c r="H415" s="1" t="n">
        <f aca="false">H414+D415</f>
        <v>229.6</v>
      </c>
      <c r="J415" s="38" t="n">
        <v>0.9</v>
      </c>
      <c r="K415" s="1" t="n">
        <f aca="false">K414+J415</f>
        <v>248.2</v>
      </c>
      <c r="L415" s="1" t="n">
        <v>0.8</v>
      </c>
      <c r="M415" s="1" t="n">
        <f aca="false">M414+L415</f>
        <v>242.2</v>
      </c>
      <c r="N415" s="1" t="n">
        <v>0.1</v>
      </c>
      <c r="O415" s="1" t="n">
        <f aca="false">O414+N415</f>
        <v>69.2999999999999</v>
      </c>
      <c r="P415" s="6" t="n">
        <v>160</v>
      </c>
      <c r="Q415" s="18" t="n">
        <f aca="false">1+((P415-120)/74)*(1.15-1)</f>
        <v>1.08108108108108</v>
      </c>
      <c r="R415" s="16" t="n">
        <f aca="false">Q415*L415</f>
        <v>0.864864864864865</v>
      </c>
      <c r="S415" s="16" t="n">
        <f aca="false">J415-R415</f>
        <v>0.0351351351351351</v>
      </c>
      <c r="T415" s="39" t="n">
        <f aca="false">T414+S415</f>
        <v>86.516805019305</v>
      </c>
      <c r="V415" s="1" t="n">
        <v>430.4</v>
      </c>
      <c r="X415" s="1" t="n">
        <f aca="false">X414+V415</f>
        <v>114745.5</v>
      </c>
      <c r="Y415" s="1" t="n">
        <f aca="false">Y414+V415</f>
        <v>24241</v>
      </c>
      <c r="AA415" s="1" t="n">
        <v>10.4174120065662</v>
      </c>
      <c r="AB415" s="1" t="n">
        <f aca="false">SUM(J418:J427)</f>
        <v>23.2</v>
      </c>
      <c r="AD415" s="1" t="s">
        <v>58</v>
      </c>
    </row>
    <row r="416" s="1" customFormat="true" ht="15" hidden="false" customHeight="false" outlineLevel="0" collapsed="false">
      <c r="A416" s="35"/>
      <c r="B416" s="2"/>
      <c r="C416" s="8" t="n">
        <v>40589</v>
      </c>
      <c r="D416" s="1" t="n">
        <v>9.5</v>
      </c>
      <c r="E416" s="1" t="n">
        <v>4.3</v>
      </c>
      <c r="F416" s="1" t="n">
        <v>16.2</v>
      </c>
      <c r="G416" s="1" t="n">
        <f aca="false">G415+D416</f>
        <v>1475</v>
      </c>
      <c r="H416" s="1" t="n">
        <f aca="false">H415+D416</f>
        <v>239.1</v>
      </c>
      <c r="J416" s="38" t="n">
        <v>2.9</v>
      </c>
      <c r="K416" s="1" t="n">
        <f aca="false">K415+J416</f>
        <v>251.1</v>
      </c>
      <c r="L416" s="1" t="n">
        <v>1.9</v>
      </c>
      <c r="M416" s="1" t="n">
        <f aca="false">M415+L416</f>
        <v>244.1</v>
      </c>
      <c r="N416" s="1" t="n">
        <v>1</v>
      </c>
      <c r="O416" s="1" t="n">
        <f aca="false">O415+N416</f>
        <v>70.2999999999999</v>
      </c>
      <c r="P416" s="6" t="n">
        <v>161</v>
      </c>
      <c r="Q416" s="18" t="n">
        <f aca="false">1+((P416-120)/74)*(1.15-1)</f>
        <v>1.08310810810811</v>
      </c>
      <c r="R416" s="16" t="n">
        <f aca="false">Q416*L416</f>
        <v>2.05790540540541</v>
      </c>
      <c r="S416" s="16" t="n">
        <f aca="false">J416-R416</f>
        <v>0.842094594594595</v>
      </c>
      <c r="T416" s="39" t="n">
        <f aca="false">T415+S416</f>
        <v>87.3588996138996</v>
      </c>
      <c r="V416" s="1" t="n">
        <v>1086</v>
      </c>
      <c r="X416" s="1" t="n">
        <f aca="false">X415+V416</f>
        <v>115831.5</v>
      </c>
      <c r="Y416" s="1" t="n">
        <f aca="false">Y415+V416</f>
        <v>25327</v>
      </c>
      <c r="AA416" s="1" t="n">
        <v>10.4638338494391</v>
      </c>
      <c r="AD416" s="16" t="n">
        <f aca="false">(AB415*(40/120))+(AB438*(80/120))</f>
        <v>21.2</v>
      </c>
    </row>
    <row r="417" s="42" customFormat="true" ht="15" hidden="false" customHeight="false" outlineLevel="0" collapsed="false">
      <c r="A417" s="35"/>
      <c r="B417" s="40"/>
      <c r="C417" s="41" t="n">
        <v>40590</v>
      </c>
      <c r="D417" s="42" t="n">
        <v>8.7</v>
      </c>
      <c r="E417" s="42" t="n">
        <v>5.1</v>
      </c>
      <c r="F417" s="42" t="n">
        <v>13.5</v>
      </c>
      <c r="G417" s="42" t="n">
        <f aca="false">G416+D417</f>
        <v>1483.7</v>
      </c>
      <c r="H417" s="42" t="n">
        <f aca="false">H416+D417</f>
        <v>247.8</v>
      </c>
      <c r="J417" s="42" t="n">
        <v>0</v>
      </c>
      <c r="K417" s="42" t="n">
        <f aca="false">K416+J417</f>
        <v>251.1</v>
      </c>
      <c r="L417" s="42" t="n">
        <v>1.8</v>
      </c>
      <c r="M417" s="42" t="n">
        <f aca="false">M416+L417</f>
        <v>245.9</v>
      </c>
      <c r="N417" s="42" t="n">
        <v>-1.8</v>
      </c>
      <c r="O417" s="42" t="n">
        <f aca="false">O416+N417</f>
        <v>68.4999999999999</v>
      </c>
      <c r="P417" s="43" t="n">
        <v>162</v>
      </c>
      <c r="Q417" s="44" t="n">
        <f aca="false">1+((P417-120)/74)*(1.15-1)</f>
        <v>1.08513513513514</v>
      </c>
      <c r="R417" s="45" t="n">
        <f aca="false">Q417*L417</f>
        <v>1.95324324324324</v>
      </c>
      <c r="S417" s="45" t="n">
        <f aca="false">J417-R417</f>
        <v>-1.95324324324324</v>
      </c>
      <c r="T417" s="46" t="n">
        <f aca="false">T416+S417</f>
        <v>85.4056563706563</v>
      </c>
      <c r="V417" s="42" t="n">
        <v>1155.3</v>
      </c>
      <c r="X417" s="42" t="n">
        <f aca="false">X416+V417</f>
        <v>116986.8</v>
      </c>
      <c r="Y417" s="42" t="n">
        <f aca="false">Y416+V417</f>
        <v>26482.3</v>
      </c>
      <c r="AA417" s="42" t="n">
        <v>10.5105536194789</v>
      </c>
    </row>
    <row r="418" s="1" customFormat="true" ht="15" hidden="false" customHeight="false" outlineLevel="0" collapsed="false">
      <c r="A418" s="35"/>
      <c r="B418" s="2"/>
      <c r="C418" s="8" t="n">
        <v>40591</v>
      </c>
      <c r="D418" s="1" t="n">
        <v>7.7</v>
      </c>
      <c r="E418" s="1" t="n">
        <v>4.5</v>
      </c>
      <c r="F418" s="1" t="n">
        <v>11.2</v>
      </c>
      <c r="G418" s="1" t="n">
        <f aca="false">G417+D418</f>
        <v>1491.4</v>
      </c>
      <c r="H418" s="1" t="n">
        <f aca="false">H417+D418</f>
        <v>255.5</v>
      </c>
      <c r="J418" s="38" t="n">
        <v>0</v>
      </c>
      <c r="K418" s="1" t="n">
        <f aca="false">K417+J418</f>
        <v>251.1</v>
      </c>
      <c r="L418" s="1" t="n">
        <v>1</v>
      </c>
      <c r="M418" s="1" t="n">
        <f aca="false">M417+L418</f>
        <v>246.9</v>
      </c>
      <c r="N418" s="1" t="n">
        <v>-1</v>
      </c>
      <c r="O418" s="1" t="n">
        <f aca="false">O417+N418</f>
        <v>67.4999999999999</v>
      </c>
      <c r="P418" s="6" t="n">
        <v>163</v>
      </c>
      <c r="Q418" s="18" t="n">
        <f aca="false">1+((P418-120)/74)*(1.15-1)</f>
        <v>1.08716216216216</v>
      </c>
      <c r="R418" s="16" t="n">
        <f aca="false">Q418*L418</f>
        <v>1.08716216216216</v>
      </c>
      <c r="S418" s="16" t="n">
        <f aca="false">J418-R418</f>
        <v>-1.08716216216216</v>
      </c>
      <c r="T418" s="39" t="n">
        <f aca="false">T417+S418</f>
        <v>84.3184942084942</v>
      </c>
      <c r="V418" s="1" t="n">
        <v>636.7</v>
      </c>
      <c r="X418" s="1" t="n">
        <f aca="false">X417+V418</f>
        <v>117623.5</v>
      </c>
      <c r="Y418" s="1" t="n">
        <f aca="false">Y417+V418</f>
        <v>27119</v>
      </c>
      <c r="AA418" s="1" t="n">
        <v>10.5575564448635</v>
      </c>
    </row>
    <row r="419" s="1" customFormat="true" ht="15" hidden="false" customHeight="false" outlineLevel="0" collapsed="false">
      <c r="A419" s="35"/>
      <c r="B419" s="2"/>
      <c r="C419" s="8" t="n">
        <v>40592</v>
      </c>
      <c r="D419" s="1" t="n">
        <v>9.2</v>
      </c>
      <c r="E419" s="1" t="n">
        <v>7.8</v>
      </c>
      <c r="F419" s="1" t="n">
        <v>13.8</v>
      </c>
      <c r="G419" s="1" t="n">
        <f aca="false">G418+D419</f>
        <v>1500.6</v>
      </c>
      <c r="H419" s="1" t="n">
        <f aca="false">H418+D419</f>
        <v>264.7</v>
      </c>
      <c r="J419" s="38" t="n">
        <v>0</v>
      </c>
      <c r="K419" s="1" t="n">
        <f aca="false">K418+J419</f>
        <v>251.1</v>
      </c>
      <c r="L419" s="1" t="n">
        <v>2.3</v>
      </c>
      <c r="M419" s="1" t="n">
        <f aca="false">M418+L419</f>
        <v>249.2</v>
      </c>
      <c r="N419" s="1" t="n">
        <v>-2.3</v>
      </c>
      <c r="O419" s="1" t="n">
        <f aca="false">O418+N419</f>
        <v>65.2</v>
      </c>
      <c r="P419" s="6" t="n">
        <v>164</v>
      </c>
      <c r="Q419" s="18" t="n">
        <f aca="false">1+((P419-120)/74)*(1.15-1)</f>
        <v>1.08918918918919</v>
      </c>
      <c r="R419" s="16" t="n">
        <f aca="false">Q419*L419</f>
        <v>2.50513513513513</v>
      </c>
      <c r="S419" s="16" t="n">
        <f aca="false">J419-R419</f>
        <v>-2.50513513513513</v>
      </c>
      <c r="T419" s="39" t="n">
        <f aca="false">T418+S419</f>
        <v>81.813359073359</v>
      </c>
      <c r="V419" s="1" t="n">
        <v>1084.7</v>
      </c>
      <c r="X419" s="1" t="n">
        <f aca="false">X418+V419</f>
        <v>118708.2</v>
      </c>
      <c r="Y419" s="1" t="n">
        <f aca="false">Y418+V419</f>
        <v>28203.7</v>
      </c>
      <c r="AA419" s="1" t="n">
        <v>10.6048279266671</v>
      </c>
    </row>
    <row r="420" s="1" customFormat="true" ht="15" hidden="false" customHeight="false" outlineLevel="0" collapsed="false">
      <c r="A420" s="35"/>
      <c r="B420" s="2"/>
      <c r="C420" s="8" t="n">
        <v>40593</v>
      </c>
      <c r="D420" s="1" t="n">
        <v>7.7</v>
      </c>
      <c r="E420" s="1" t="n">
        <v>2.2</v>
      </c>
      <c r="F420" s="1" t="n">
        <v>13.5</v>
      </c>
      <c r="G420" s="1" t="n">
        <f aca="false">G419+D420</f>
        <v>1508.3</v>
      </c>
      <c r="H420" s="1" t="n">
        <f aca="false">H419+D420</f>
        <v>272.4</v>
      </c>
      <c r="J420" s="38" t="n">
        <v>3.2</v>
      </c>
      <c r="K420" s="1" t="n">
        <f aca="false">K419+J420</f>
        <v>254.3</v>
      </c>
      <c r="L420" s="1" t="n">
        <v>0.7</v>
      </c>
      <c r="M420" s="1" t="n">
        <f aca="false">M419+L420</f>
        <v>249.9</v>
      </c>
      <c r="N420" s="1" t="n">
        <v>2.5</v>
      </c>
      <c r="O420" s="1" t="n">
        <f aca="false">O419+N420</f>
        <v>67.7</v>
      </c>
      <c r="P420" s="6" t="n">
        <v>165</v>
      </c>
      <c r="Q420" s="18" t="n">
        <f aca="false">1+((P420-120)/74)*(1.15-1)</f>
        <v>1.09121621621622</v>
      </c>
      <c r="R420" s="16" t="n">
        <f aca="false">Q420*L420</f>
        <v>0.763851351351351</v>
      </c>
      <c r="S420" s="16" t="n">
        <f aca="false">J420-R420</f>
        <v>2.43614864864865</v>
      </c>
      <c r="T420" s="39" t="n">
        <f aca="false">T419+S420</f>
        <v>84.2495077220077</v>
      </c>
      <c r="V420" s="1" t="n">
        <v>382.3</v>
      </c>
      <c r="X420" s="1" t="n">
        <f aca="false">X419+V420</f>
        <v>119090.5</v>
      </c>
      <c r="Y420" s="1" t="n">
        <f aca="false">Y419+V420</f>
        <v>28586</v>
      </c>
      <c r="AA420" s="1" t="n">
        <v>10.6523541314681</v>
      </c>
    </row>
    <row r="421" s="1" customFormat="true" ht="15" hidden="false" customHeight="false" outlineLevel="0" collapsed="false">
      <c r="A421" s="35"/>
      <c r="B421" s="2"/>
      <c r="C421" s="8" t="n">
        <v>40594</v>
      </c>
      <c r="D421" s="1" t="n">
        <v>9</v>
      </c>
      <c r="E421" s="1" t="n">
        <v>8.2</v>
      </c>
      <c r="F421" s="1" t="n">
        <v>11.4</v>
      </c>
      <c r="G421" s="1" t="n">
        <f aca="false">G420+D421</f>
        <v>1517.3</v>
      </c>
      <c r="H421" s="1" t="n">
        <f aca="false">H420+D421</f>
        <v>281.4</v>
      </c>
      <c r="J421" s="38" t="n">
        <v>0.3</v>
      </c>
      <c r="K421" s="1" t="n">
        <f aca="false">K420+J421</f>
        <v>254.6</v>
      </c>
      <c r="L421" s="1" t="n">
        <v>1.5</v>
      </c>
      <c r="M421" s="1" t="n">
        <f aca="false">M420+L421</f>
        <v>251.4</v>
      </c>
      <c r="N421" s="1" t="n">
        <v>-1.2</v>
      </c>
      <c r="O421" s="1" t="n">
        <f aca="false">O420+N421</f>
        <v>66.4999999999999</v>
      </c>
      <c r="P421" s="6" t="n">
        <v>166</v>
      </c>
      <c r="Q421" s="18" t="n">
        <f aca="false">1+((P421-120)/74)*(1.15-1)</f>
        <v>1.09324324324324</v>
      </c>
      <c r="R421" s="16" t="n">
        <f aca="false">Q421*L421</f>
        <v>1.63986486486486</v>
      </c>
      <c r="S421" s="16" t="n">
        <f aca="false">J421-R421</f>
        <v>-1.33986486486486</v>
      </c>
      <c r="T421" s="39" t="n">
        <f aca="false">T420+S421</f>
        <v>82.9096428571428</v>
      </c>
      <c r="V421" s="1" t="n">
        <v>1020.1</v>
      </c>
      <c r="X421" s="1" t="n">
        <f aca="false">X420+V421</f>
        <v>120110.6</v>
      </c>
      <c r="Y421" s="1" t="n">
        <f aca="false">Y420+V421</f>
        <v>29606.1</v>
      </c>
      <c r="AA421" s="1" t="n">
        <v>10.7001215829912</v>
      </c>
    </row>
    <row r="422" s="1" customFormat="true" ht="15" hidden="false" customHeight="false" outlineLevel="0" collapsed="false">
      <c r="A422" s="35"/>
      <c r="B422" s="2"/>
      <c r="C422" s="8" t="n">
        <v>40595</v>
      </c>
      <c r="D422" s="1" t="n">
        <v>9</v>
      </c>
      <c r="E422" s="1" t="n">
        <v>4.2</v>
      </c>
      <c r="F422" s="1" t="n">
        <v>11.5</v>
      </c>
      <c r="G422" s="1" t="n">
        <f aca="false">G421+D422</f>
        <v>1526.3</v>
      </c>
      <c r="H422" s="1" t="n">
        <f aca="false">H421+D422</f>
        <v>290.4</v>
      </c>
      <c r="J422" s="38" t="n">
        <v>12.6</v>
      </c>
      <c r="K422" s="1" t="n">
        <f aca="false">K421+J422</f>
        <v>267.2</v>
      </c>
      <c r="L422" s="1" t="n">
        <v>0.8</v>
      </c>
      <c r="M422" s="1" t="n">
        <f aca="false">M421+L422</f>
        <v>252.2</v>
      </c>
      <c r="N422" s="1" t="n">
        <v>11.8</v>
      </c>
      <c r="O422" s="1" t="n">
        <f aca="false">O421+N422</f>
        <v>78.2999999999999</v>
      </c>
      <c r="P422" s="6" t="n">
        <v>167</v>
      </c>
      <c r="Q422" s="18" t="n">
        <f aca="false">1+((P422-120)/74)*(1.15-1)</f>
        <v>1.09527027027027</v>
      </c>
      <c r="R422" s="16" t="n">
        <f aca="false">Q422*L422</f>
        <v>0.876216216216216</v>
      </c>
      <c r="S422" s="16" t="n">
        <f aca="false">J422-R422</f>
        <v>11.7237837837838</v>
      </c>
      <c r="T422" s="39" t="n">
        <f aca="false">T421+S422</f>
        <v>94.6334266409266</v>
      </c>
      <c r="V422" s="1" t="n">
        <v>523.7</v>
      </c>
      <c r="X422" s="1" t="n">
        <f aca="false">X421+V422</f>
        <v>120634.3</v>
      </c>
      <c r="Y422" s="1" t="n">
        <f aca="false">Y421+V422</f>
        <v>30129.8</v>
      </c>
      <c r="AA422" s="1" t="n">
        <v>10.7481172528709</v>
      </c>
    </row>
    <row r="423" s="1" customFormat="true" ht="15" hidden="false" customHeight="false" outlineLevel="0" collapsed="false">
      <c r="A423" s="35"/>
      <c r="B423" s="2"/>
      <c r="C423" s="8" t="n">
        <v>40596</v>
      </c>
      <c r="D423" s="1" t="n">
        <v>8.9</v>
      </c>
      <c r="E423" s="1" t="n">
        <v>7.7</v>
      </c>
      <c r="F423" s="1" t="n">
        <v>10</v>
      </c>
      <c r="G423" s="1" t="n">
        <f aca="false">G422+D423</f>
        <v>1535.2</v>
      </c>
      <c r="H423" s="1" t="n">
        <f aca="false">H422+D423</f>
        <v>299.3</v>
      </c>
      <c r="J423" s="38" t="n">
        <v>2.5</v>
      </c>
      <c r="K423" s="1" t="n">
        <f aca="false">K422+J423</f>
        <v>269.7</v>
      </c>
      <c r="L423" s="1" t="n">
        <v>0.6</v>
      </c>
      <c r="M423" s="1" t="n">
        <f aca="false">M422+L423</f>
        <v>252.8</v>
      </c>
      <c r="N423" s="1" t="n">
        <v>1.9</v>
      </c>
      <c r="O423" s="1" t="n">
        <f aca="false">O422+N423</f>
        <v>80.2</v>
      </c>
      <c r="P423" s="6" t="n">
        <v>168</v>
      </c>
      <c r="Q423" s="18" t="n">
        <f aca="false">1+((P423-120)/74)*(1.15-1)</f>
        <v>1.0972972972973</v>
      </c>
      <c r="R423" s="16" t="n">
        <f aca="false">Q423*L423</f>
        <v>0.658378378378378</v>
      </c>
      <c r="S423" s="16" t="n">
        <f aca="false">J423-R423</f>
        <v>1.84162162162162</v>
      </c>
      <c r="T423" s="39" t="n">
        <f aca="false">T422+S423</f>
        <v>96.4750482625482</v>
      </c>
      <c r="V423" s="1" t="n">
        <v>167.6</v>
      </c>
      <c r="X423" s="1" t="n">
        <f aca="false">X422+V423</f>
        <v>120801.9</v>
      </c>
      <c r="Y423" s="1" t="n">
        <f aca="false">Y422+V423</f>
        <v>30297.4</v>
      </c>
      <c r="AA423" s="1" t="n">
        <v>10.7963285506172</v>
      </c>
    </row>
    <row r="424" s="1" customFormat="true" ht="15" hidden="false" customHeight="false" outlineLevel="0" collapsed="false">
      <c r="A424" s="35"/>
      <c r="B424" s="2"/>
      <c r="C424" s="8" t="n">
        <v>40597</v>
      </c>
      <c r="D424" s="1" t="n">
        <v>9.4</v>
      </c>
      <c r="E424" s="1" t="n">
        <v>6.6</v>
      </c>
      <c r="F424" s="1" t="n">
        <v>11.1</v>
      </c>
      <c r="G424" s="1" t="n">
        <f aca="false">G423+D424</f>
        <v>1544.6</v>
      </c>
      <c r="H424" s="1" t="n">
        <f aca="false">H423+D424</f>
        <v>308.7</v>
      </c>
      <c r="J424" s="38" t="n">
        <v>0.9</v>
      </c>
      <c r="K424" s="1" t="n">
        <f aca="false">K423+J424</f>
        <v>270.6</v>
      </c>
      <c r="L424" s="1" t="n">
        <v>1</v>
      </c>
      <c r="M424" s="1" t="n">
        <f aca="false">M423+L424</f>
        <v>253.8</v>
      </c>
      <c r="N424" s="1" t="n">
        <v>-0.1</v>
      </c>
      <c r="O424" s="1" t="n">
        <f aca="false">O423+N424</f>
        <v>80.1</v>
      </c>
      <c r="P424" s="6" t="n">
        <v>169</v>
      </c>
      <c r="Q424" s="18" t="n">
        <f aca="false">1+((P424-120)/74)*(1.15-1)</f>
        <v>1.09932432432432</v>
      </c>
      <c r="R424" s="16" t="n">
        <f aca="false">Q424*L424</f>
        <v>1.09932432432432</v>
      </c>
      <c r="S424" s="16" t="n">
        <f aca="false">J424-R424</f>
        <v>-0.199324324324324</v>
      </c>
      <c r="T424" s="39" t="n">
        <f aca="false">T423+S424</f>
        <v>96.2757239382239</v>
      </c>
      <c r="V424" s="1" t="n">
        <v>681.3</v>
      </c>
      <c r="X424" s="1" t="n">
        <f aca="false">X423+V424</f>
        <v>121483.2</v>
      </c>
      <c r="Y424" s="1" t="n">
        <f aca="false">Y423+V424</f>
        <v>30978.7</v>
      </c>
      <c r="AA424" s="1" t="n">
        <v>10.8447433128613</v>
      </c>
    </row>
    <row r="425" s="1" customFormat="true" ht="15" hidden="false" customHeight="false" outlineLevel="0" collapsed="false">
      <c r="A425" s="35"/>
      <c r="B425" s="2"/>
      <c r="C425" s="8" t="n">
        <v>40598</v>
      </c>
      <c r="D425" s="1" t="n">
        <v>11.8</v>
      </c>
      <c r="E425" s="1" t="n">
        <v>10.2</v>
      </c>
      <c r="F425" s="1" t="n">
        <v>14.3</v>
      </c>
      <c r="G425" s="1" t="n">
        <f aca="false">G424+D425</f>
        <v>1556.4</v>
      </c>
      <c r="H425" s="1" t="n">
        <f aca="false">H424+D425</f>
        <v>320.5</v>
      </c>
      <c r="J425" s="38" t="n">
        <v>0.7</v>
      </c>
      <c r="K425" s="1" t="n">
        <f aca="false">K424+J425</f>
        <v>271.3</v>
      </c>
      <c r="L425" s="1" t="n">
        <v>1.4</v>
      </c>
      <c r="M425" s="1" t="n">
        <f aca="false">M424+L425</f>
        <v>255.2</v>
      </c>
      <c r="N425" s="1" t="n">
        <v>-0.7</v>
      </c>
      <c r="O425" s="1" t="n">
        <f aca="false">O424+N425</f>
        <v>79.4</v>
      </c>
      <c r="P425" s="6" t="n">
        <v>170</v>
      </c>
      <c r="Q425" s="18" t="n">
        <f aca="false">1+((P425-120)/74)*(1.15-1)</f>
        <v>1.10135135135135</v>
      </c>
      <c r="R425" s="16" t="n">
        <f aca="false">Q425*L425</f>
        <v>1.54189189189189</v>
      </c>
      <c r="S425" s="16" t="n">
        <f aca="false">J425-R425</f>
        <v>-0.841891891891892</v>
      </c>
      <c r="T425" s="39" t="n">
        <f aca="false">T424+S425</f>
        <v>95.433832046332</v>
      </c>
      <c r="V425" s="1" t="n">
        <v>682.6</v>
      </c>
      <c r="X425" s="1" t="n">
        <f aca="false">X424+V425</f>
        <v>122165.8</v>
      </c>
      <c r="Y425" s="1" t="n">
        <f aca="false">Y424+V425</f>
        <v>31661.3</v>
      </c>
      <c r="AA425" s="1" t="n">
        <v>10.8933497919536</v>
      </c>
    </row>
    <row r="426" s="1" customFormat="true" ht="15" hidden="false" customHeight="false" outlineLevel="0" collapsed="false">
      <c r="A426" s="35"/>
      <c r="B426" s="2"/>
      <c r="C426" s="8" t="n">
        <v>40599</v>
      </c>
      <c r="D426" s="1" t="n">
        <v>11.2</v>
      </c>
      <c r="E426" s="1" t="n">
        <v>10.6</v>
      </c>
      <c r="F426" s="1" t="n">
        <v>13.7</v>
      </c>
      <c r="G426" s="1" t="n">
        <f aca="false">G425+D426</f>
        <v>1567.6</v>
      </c>
      <c r="H426" s="1" t="n">
        <f aca="false">H425+D426</f>
        <v>331.7</v>
      </c>
      <c r="J426" s="38" t="n">
        <v>0</v>
      </c>
      <c r="K426" s="1" t="n">
        <f aca="false">K425+J426</f>
        <v>271.3</v>
      </c>
      <c r="L426" s="1" t="n">
        <v>1.6</v>
      </c>
      <c r="M426" s="1" t="n">
        <f aca="false">M425+L426</f>
        <v>256.8</v>
      </c>
      <c r="N426" s="1" t="n">
        <v>-1.6</v>
      </c>
      <c r="O426" s="1" t="n">
        <f aca="false">O425+N426</f>
        <v>77.8</v>
      </c>
      <c r="P426" s="6" t="n">
        <v>171</v>
      </c>
      <c r="Q426" s="18" t="n">
        <f aca="false">1+((P426-120)/74)*(1.15-1)</f>
        <v>1.10337837837838</v>
      </c>
      <c r="R426" s="16" t="n">
        <f aca="false">Q426*L426</f>
        <v>1.76540540540541</v>
      </c>
      <c r="S426" s="16" t="n">
        <f aca="false">J426-R426</f>
        <v>-1.76540540540541</v>
      </c>
      <c r="T426" s="39" t="n">
        <f aca="false">T425+S426</f>
        <v>93.6684266409266</v>
      </c>
      <c r="V426" s="1" t="n">
        <v>658.3</v>
      </c>
      <c r="X426" s="1" t="n">
        <f aca="false">X425+V426</f>
        <v>122824.1</v>
      </c>
      <c r="Y426" s="1" t="n">
        <f aca="false">Y425+V426</f>
        <v>32319.6</v>
      </c>
      <c r="AA426" s="1" t="n">
        <v>10.942136643984</v>
      </c>
    </row>
    <row r="427" s="1" customFormat="true" ht="15" hidden="false" customHeight="false" outlineLevel="0" collapsed="false">
      <c r="A427" s="35"/>
      <c r="B427" s="2"/>
      <c r="C427" s="8" t="n">
        <v>40600</v>
      </c>
      <c r="D427" s="1" t="n">
        <v>9.5</v>
      </c>
      <c r="E427" s="1" t="n">
        <v>5.6</v>
      </c>
      <c r="F427" s="1" t="n">
        <v>13.8</v>
      </c>
      <c r="G427" s="1" t="n">
        <f aca="false">G426+D427</f>
        <v>1577.1</v>
      </c>
      <c r="H427" s="1" t="n">
        <f aca="false">H426+D427</f>
        <v>341.2</v>
      </c>
      <c r="J427" s="38" t="n">
        <v>3</v>
      </c>
      <c r="K427" s="1" t="n">
        <f aca="false">K426+J427</f>
        <v>274.3</v>
      </c>
      <c r="L427" s="1" t="n">
        <v>1</v>
      </c>
      <c r="M427" s="1" t="n">
        <f aca="false">M426+L427</f>
        <v>257.8</v>
      </c>
      <c r="N427" s="1" t="n">
        <v>2</v>
      </c>
      <c r="O427" s="1" t="n">
        <f aca="false">O426+N427</f>
        <v>79.8</v>
      </c>
      <c r="P427" s="6" t="n">
        <v>172</v>
      </c>
      <c r="Q427" s="18" t="n">
        <f aca="false">1+((P427-120)/74)*(1.15-1)</f>
        <v>1.10540540540541</v>
      </c>
      <c r="R427" s="16" t="n">
        <f aca="false">Q427*L427</f>
        <v>1.10540540540541</v>
      </c>
      <c r="S427" s="16" t="n">
        <f aca="false">J427-R427</f>
        <v>1.89459459459459</v>
      </c>
      <c r="T427" s="39" t="n">
        <f aca="false">T426+S427</f>
        <v>95.5630212355212</v>
      </c>
      <c r="V427" s="1" t="n">
        <v>298.8</v>
      </c>
      <c r="X427" s="1" t="n">
        <f aca="false">X426+V427</f>
        <v>123122.9</v>
      </c>
      <c r="Y427" s="1" t="n">
        <f aca="false">Y426+V427</f>
        <v>32618.4</v>
      </c>
      <c r="AA427" s="1" t="n">
        <v>10.9910929162871</v>
      </c>
      <c r="AB427" s="37" t="s">
        <v>59</v>
      </c>
    </row>
    <row r="428" s="1" customFormat="true" ht="15" hidden="false" customHeight="false" outlineLevel="0" collapsed="false">
      <c r="A428" s="35"/>
      <c r="B428" s="2"/>
      <c r="C428" s="8" t="n">
        <v>40601</v>
      </c>
      <c r="D428" s="1" t="n">
        <v>7.4</v>
      </c>
      <c r="E428" s="1" t="n">
        <v>6.6</v>
      </c>
      <c r="F428" s="1" t="n">
        <v>9.6</v>
      </c>
      <c r="G428" s="1" t="n">
        <f aca="false">G427+D428</f>
        <v>1584.5</v>
      </c>
      <c r="H428" s="1" t="n">
        <f aca="false">H427+D428</f>
        <v>348.6</v>
      </c>
      <c r="J428" s="1" t="n">
        <v>2.6</v>
      </c>
      <c r="K428" s="1" t="n">
        <f aca="false">K427+J428</f>
        <v>276.9</v>
      </c>
      <c r="L428" s="1" t="n">
        <v>1.7</v>
      </c>
      <c r="M428" s="1" t="n">
        <f aca="false">M427+L428</f>
        <v>259.5</v>
      </c>
      <c r="N428" s="1" t="n">
        <v>0.9</v>
      </c>
      <c r="O428" s="1" t="n">
        <f aca="false">O427+N428</f>
        <v>80.7</v>
      </c>
      <c r="P428" s="6" t="n">
        <v>173</v>
      </c>
      <c r="Q428" s="18" t="n">
        <f aca="false">1+((P428-120)/74)*(1.15-1)</f>
        <v>1.10743243243243</v>
      </c>
      <c r="R428" s="16" t="n">
        <f aca="false">Q428*L428</f>
        <v>1.88263513513514</v>
      </c>
      <c r="S428" s="16" t="n">
        <f aca="false">J428-R428</f>
        <v>0.717364864864865</v>
      </c>
      <c r="T428" s="17" t="n">
        <f aca="false">T427+S428</f>
        <v>96.2803861003861</v>
      </c>
      <c r="V428" s="1" t="n">
        <v>1030.9</v>
      </c>
      <c r="X428" s="1" t="n">
        <f aca="false">X427+V428</f>
        <v>124153.8</v>
      </c>
      <c r="Y428" s="1" t="n">
        <f aca="false">Y427+V428</f>
        <v>33649.3</v>
      </c>
      <c r="AA428" s="1" t="n">
        <v>11.0402080344946</v>
      </c>
      <c r="AB428" s="16" t="n">
        <f aca="false">AVERAGE(T436:T449)</f>
        <v>75.8976737451737</v>
      </c>
    </row>
    <row r="429" s="1" customFormat="true" ht="15" hidden="false" customHeight="false" outlineLevel="0" collapsed="false">
      <c r="A429" s="35"/>
      <c r="B429" s="2"/>
      <c r="C429" s="8" t="n">
        <v>40602</v>
      </c>
      <c r="D429" s="1" t="n">
        <v>6.4</v>
      </c>
      <c r="E429" s="1" t="n">
        <v>4.1</v>
      </c>
      <c r="F429" s="1" t="n">
        <v>9</v>
      </c>
      <c r="G429" s="1" t="n">
        <f aca="false">G428+D429</f>
        <v>1590.9</v>
      </c>
      <c r="H429" s="1" t="n">
        <f aca="false">H428+D429</f>
        <v>355</v>
      </c>
      <c r="J429" s="1" t="n">
        <v>0.1</v>
      </c>
      <c r="K429" s="1" t="n">
        <f aca="false">K428+J429</f>
        <v>277</v>
      </c>
      <c r="L429" s="1" t="n">
        <v>1.2</v>
      </c>
      <c r="M429" s="1" t="n">
        <f aca="false">M428+L429</f>
        <v>260.7</v>
      </c>
      <c r="N429" s="1" t="n">
        <v>-1.1</v>
      </c>
      <c r="O429" s="1" t="n">
        <f aca="false">O428+N429</f>
        <v>79.6</v>
      </c>
      <c r="P429" s="6" t="n">
        <v>174</v>
      </c>
      <c r="Q429" s="18" t="n">
        <f aca="false">1+((P429-120)/74)*(1.15-1)</f>
        <v>1.10945945945946</v>
      </c>
      <c r="R429" s="16" t="n">
        <f aca="false">Q429*L429</f>
        <v>1.33135135135135</v>
      </c>
      <c r="S429" s="16" t="n">
        <f aca="false">J429-R429</f>
        <v>-1.23135135135135</v>
      </c>
      <c r="T429" s="17" t="n">
        <f aca="false">T428+S429</f>
        <v>95.0490347490347</v>
      </c>
      <c r="V429" s="1" t="n">
        <v>641.5</v>
      </c>
      <c r="X429" s="1" t="n">
        <f aca="false">X428+V429</f>
        <v>124795.3</v>
      </c>
      <c r="Y429" s="1" t="n">
        <f aca="false">Y428+V429</f>
        <v>34290.8</v>
      </c>
      <c r="AA429" s="1" t="n">
        <v>11.0894717891895</v>
      </c>
      <c r="AB429" s="37" t="s">
        <v>60</v>
      </c>
    </row>
    <row r="430" s="1" customFormat="true" ht="15" hidden="false" customHeight="false" outlineLevel="0" collapsed="false">
      <c r="A430" s="35"/>
      <c r="B430" s="2"/>
      <c r="C430" s="8" t="n">
        <v>40603</v>
      </c>
      <c r="D430" s="1" t="n">
        <v>5</v>
      </c>
      <c r="E430" s="1" t="n">
        <v>3.8</v>
      </c>
      <c r="F430" s="1" t="n">
        <v>5.4</v>
      </c>
      <c r="G430" s="1" t="n">
        <f aca="false">G429+D430</f>
        <v>1595.9</v>
      </c>
      <c r="H430" s="1" t="n">
        <f aca="false">H429+D430</f>
        <v>360</v>
      </c>
      <c r="J430" s="1" t="n">
        <v>0.2</v>
      </c>
      <c r="K430" s="1" t="n">
        <f aca="false">K429+J430</f>
        <v>277.2</v>
      </c>
      <c r="L430" s="1" t="n">
        <v>0.9</v>
      </c>
      <c r="M430" s="1" t="n">
        <f aca="false">M429+L430</f>
        <v>261.6</v>
      </c>
      <c r="N430" s="1" t="n">
        <v>-0.7</v>
      </c>
      <c r="O430" s="1" t="n">
        <f aca="false">O429+N430</f>
        <v>78.9</v>
      </c>
      <c r="P430" s="6" t="n">
        <v>175</v>
      </c>
      <c r="Q430" s="18" t="n">
        <f aca="false">1+((P430-120)/74)*(1.15-1)</f>
        <v>1.11148648648649</v>
      </c>
      <c r="R430" s="16" t="n">
        <f aca="false">Q430*L430</f>
        <v>1.00033783783784</v>
      </c>
      <c r="S430" s="16" t="n">
        <f aca="false">J430-R430</f>
        <v>-0.800337837837838</v>
      </c>
      <c r="T430" s="17" t="n">
        <f aca="false">T429+S430</f>
        <v>94.2486969111969</v>
      </c>
      <c r="V430" s="1" t="n">
        <v>636.7</v>
      </c>
      <c r="X430" s="1" t="n">
        <f aca="false">X429+V430</f>
        <v>125432</v>
      </c>
      <c r="Y430" s="1" t="n">
        <f aca="false">Y429+V430</f>
        <v>34927.5</v>
      </c>
      <c r="AA430" s="1" t="n">
        <v>11.1388743222142</v>
      </c>
      <c r="AB430" s="1" t="n">
        <v>6</v>
      </c>
    </row>
    <row r="431" s="1" customFormat="true" ht="15" hidden="false" customHeight="false" outlineLevel="0" collapsed="false">
      <c r="A431" s="35"/>
      <c r="B431" s="2"/>
      <c r="C431" s="8" t="n">
        <v>40604</v>
      </c>
      <c r="D431" s="1" t="n">
        <v>5.2</v>
      </c>
      <c r="E431" s="1" t="n">
        <v>5</v>
      </c>
      <c r="F431" s="1" t="n">
        <v>6</v>
      </c>
      <c r="G431" s="1" t="n">
        <f aca="false">G430+D431</f>
        <v>1601.1</v>
      </c>
      <c r="H431" s="1" t="n">
        <f aca="false">H430+D431</f>
        <v>365.2</v>
      </c>
      <c r="J431" s="1" t="n">
        <v>0</v>
      </c>
      <c r="K431" s="1" t="n">
        <f aca="false">K430+J431</f>
        <v>277.2</v>
      </c>
      <c r="L431" s="1" t="n">
        <v>1.1</v>
      </c>
      <c r="M431" s="1" t="n">
        <f aca="false">M430+L431</f>
        <v>262.7</v>
      </c>
      <c r="N431" s="1" t="n">
        <v>-1.1</v>
      </c>
      <c r="O431" s="1" t="n">
        <f aca="false">O430+N431</f>
        <v>77.8</v>
      </c>
      <c r="P431" s="6" t="n">
        <v>176</v>
      </c>
      <c r="Q431" s="18" t="n">
        <f aca="false">1+((P431-120)/74)*(1.15-1)</f>
        <v>1.11351351351351</v>
      </c>
      <c r="R431" s="16" t="n">
        <f aca="false">Q431*L431</f>
        <v>1.22486486486487</v>
      </c>
      <c r="S431" s="16" t="n">
        <f aca="false">J431-R431</f>
        <v>-1.22486486486487</v>
      </c>
      <c r="T431" s="17" t="n">
        <f aca="false">T430+S431</f>
        <v>93.023832046332</v>
      </c>
      <c r="V431" s="1" t="n">
        <v>868.9</v>
      </c>
      <c r="X431" s="1" t="n">
        <f aca="false">X430+V431</f>
        <v>126300.9</v>
      </c>
      <c r="Y431" s="1" t="n">
        <f aca="false">Y430+V431</f>
        <v>35796.4</v>
      </c>
      <c r="AA431" s="1" t="n">
        <v>11.1884061126811</v>
      </c>
      <c r="AB431" s="37"/>
    </row>
    <row r="432" s="1" customFormat="true" ht="15" hidden="false" customHeight="false" outlineLevel="0" collapsed="false">
      <c r="A432" s="35"/>
      <c r="B432" s="2"/>
      <c r="C432" s="8" t="n">
        <v>40605</v>
      </c>
      <c r="D432" s="1" t="n">
        <v>4.2</v>
      </c>
      <c r="E432" s="1" t="n">
        <v>3</v>
      </c>
      <c r="F432" s="1" t="n">
        <v>6.1</v>
      </c>
      <c r="G432" s="1" t="n">
        <f aca="false">G431+D432</f>
        <v>1605.3</v>
      </c>
      <c r="H432" s="1" t="n">
        <f aca="false">H431+D432</f>
        <v>369.4</v>
      </c>
      <c r="J432" s="1" t="n">
        <v>0.5</v>
      </c>
      <c r="K432" s="1" t="n">
        <f aca="false">K431+J432</f>
        <v>277.7</v>
      </c>
      <c r="L432" s="1" t="n">
        <v>1.4</v>
      </c>
      <c r="M432" s="1" t="n">
        <f aca="false">M431+L432</f>
        <v>264.1</v>
      </c>
      <c r="N432" s="1" t="n">
        <v>-0.9</v>
      </c>
      <c r="O432" s="1" t="n">
        <f aca="false">O431+N432</f>
        <v>76.9</v>
      </c>
      <c r="P432" s="6" t="n">
        <v>177</v>
      </c>
      <c r="Q432" s="18" t="n">
        <f aca="false">1+((P432-120)/74)*(1.15-1)</f>
        <v>1.11554054054054</v>
      </c>
      <c r="R432" s="16" t="n">
        <f aca="false">Q432*L432</f>
        <v>1.56175675675676</v>
      </c>
      <c r="S432" s="16" t="n">
        <f aca="false">J432-R432</f>
        <v>-1.06175675675676</v>
      </c>
      <c r="T432" s="17" t="n">
        <f aca="false">T431+S432</f>
        <v>91.9620752895753</v>
      </c>
      <c r="V432" s="1" t="n">
        <v>1036.9</v>
      </c>
      <c r="X432" s="1" t="n">
        <f aca="false">X431+V432</f>
        <v>127337.8</v>
      </c>
      <c r="Y432" s="1" t="n">
        <f aca="false">Y431+V432</f>
        <v>36833.3</v>
      </c>
      <c r="AA432" s="1" t="n">
        <v>11.2380579627293</v>
      </c>
      <c r="AB432" s="16"/>
    </row>
    <row r="433" s="1" customFormat="true" ht="15" hidden="false" customHeight="false" outlineLevel="0" collapsed="false">
      <c r="A433" s="35"/>
      <c r="B433" s="2"/>
      <c r="C433" s="8" t="n">
        <v>40606</v>
      </c>
      <c r="D433" s="1" t="n">
        <v>6.2</v>
      </c>
      <c r="E433" s="1" t="n">
        <v>0</v>
      </c>
      <c r="F433" s="1" t="n">
        <v>13.4</v>
      </c>
      <c r="G433" s="1" t="n">
        <f aca="false">G432+D433</f>
        <v>1611.5</v>
      </c>
      <c r="H433" s="1" t="n">
        <f aca="false">H432+D433</f>
        <v>375.6</v>
      </c>
      <c r="J433" s="1" t="n">
        <v>0</v>
      </c>
      <c r="K433" s="1" t="n">
        <f aca="false">K432+J433</f>
        <v>277.7</v>
      </c>
      <c r="L433" s="1" t="n">
        <v>2.1</v>
      </c>
      <c r="M433" s="1" t="n">
        <f aca="false">M432+L433</f>
        <v>266.2</v>
      </c>
      <c r="N433" s="1" t="n">
        <v>-2.1</v>
      </c>
      <c r="O433" s="1" t="n">
        <f aca="false">O432+N433</f>
        <v>74.8</v>
      </c>
      <c r="P433" s="6" t="n">
        <v>178</v>
      </c>
      <c r="Q433" s="18" t="n">
        <f aca="false">1+((P433-120)/74)*(1.15-1)</f>
        <v>1.11756756756757</v>
      </c>
      <c r="R433" s="16" t="n">
        <f aca="false">Q433*L433</f>
        <v>2.34689189189189</v>
      </c>
      <c r="S433" s="16" t="n">
        <f aca="false">J433-R433</f>
        <v>-2.34689189189189</v>
      </c>
      <c r="T433" s="17" t="n">
        <f aca="false">T432+S433</f>
        <v>89.6151833976834</v>
      </c>
      <c r="V433" s="1" t="n">
        <v>1458.2</v>
      </c>
      <c r="X433" s="1" t="n">
        <f aca="false">X432+V433</f>
        <v>128796</v>
      </c>
      <c r="Y433" s="1" t="n">
        <f aca="false">Y432+V433</f>
        <v>38291.5</v>
      </c>
      <c r="AA433" s="1" t="n">
        <v>11.2878209830676</v>
      </c>
      <c r="AB433" s="37" t="s">
        <v>61</v>
      </c>
    </row>
    <row r="434" s="1" customFormat="true" ht="15" hidden="false" customHeight="false" outlineLevel="0" collapsed="false">
      <c r="A434" s="35"/>
      <c r="B434" s="2"/>
      <c r="C434" s="8" t="n">
        <v>40607</v>
      </c>
      <c r="D434" s="1" t="n">
        <v>7.3</v>
      </c>
      <c r="E434" s="1" t="n">
        <v>0.8</v>
      </c>
      <c r="F434" s="1" t="n">
        <v>14.9</v>
      </c>
      <c r="G434" s="1" t="n">
        <f aca="false">G433+D434</f>
        <v>1618.8</v>
      </c>
      <c r="H434" s="1" t="n">
        <f aca="false">H433+D434</f>
        <v>382.9</v>
      </c>
      <c r="J434" s="1" t="n">
        <v>0</v>
      </c>
      <c r="K434" s="1" t="n">
        <f aca="false">K433+J434</f>
        <v>277.7</v>
      </c>
      <c r="L434" s="1" t="n">
        <v>2.3</v>
      </c>
      <c r="M434" s="1" t="n">
        <f aca="false">M433+L434</f>
        <v>268.5</v>
      </c>
      <c r="N434" s="1" t="n">
        <v>-2.3</v>
      </c>
      <c r="O434" s="1" t="n">
        <f aca="false">O433+N434</f>
        <v>72.5</v>
      </c>
      <c r="P434" s="6" t="n">
        <v>179</v>
      </c>
      <c r="Q434" s="18" t="n">
        <f aca="false">1+((P434-120)/74)*(1.15-1)</f>
        <v>1.11959459459459</v>
      </c>
      <c r="R434" s="16" t="n">
        <f aca="false">Q434*L434</f>
        <v>2.57506756756757</v>
      </c>
      <c r="S434" s="16" t="n">
        <f aca="false">J434-R434</f>
        <v>-2.57506756756757</v>
      </c>
      <c r="T434" s="17" t="n">
        <f aca="false">T433+S434</f>
        <v>87.0401158301158</v>
      </c>
      <c r="V434" s="1" t="n">
        <v>1735.3</v>
      </c>
      <c r="X434" s="1" t="n">
        <f aca="false">X433+V434</f>
        <v>130531.3</v>
      </c>
      <c r="Y434" s="1" t="n">
        <f aca="false">Y433+V434</f>
        <v>40026.8</v>
      </c>
      <c r="AA434" s="1" t="n">
        <v>11.3376865783416</v>
      </c>
      <c r="AB434" s="1" t="n">
        <v>4</v>
      </c>
    </row>
    <row r="435" s="1" customFormat="true" ht="15" hidden="false" customHeight="false" outlineLevel="0" collapsed="false">
      <c r="A435" s="35"/>
      <c r="B435" s="2"/>
      <c r="C435" s="8" t="n">
        <v>40608</v>
      </c>
      <c r="D435" s="1" t="n">
        <v>7.1</v>
      </c>
      <c r="E435" s="1" t="n">
        <v>1.2</v>
      </c>
      <c r="F435" s="1" t="n">
        <v>14.4</v>
      </c>
      <c r="G435" s="1" t="n">
        <f aca="false">G434+D435</f>
        <v>1625.9</v>
      </c>
      <c r="H435" s="1" t="n">
        <f aca="false">H434+D435</f>
        <v>390</v>
      </c>
      <c r="J435" s="1" t="n">
        <v>0</v>
      </c>
      <c r="K435" s="1" t="n">
        <f aca="false">K434+J435</f>
        <v>277.7</v>
      </c>
      <c r="L435" s="1" t="n">
        <v>2.3</v>
      </c>
      <c r="M435" s="1" t="n">
        <f aca="false">M434+L435</f>
        <v>270.8</v>
      </c>
      <c r="N435" s="1" t="n">
        <v>-2.3</v>
      </c>
      <c r="O435" s="1" t="n">
        <f aca="false">O434+N435</f>
        <v>70.2</v>
      </c>
      <c r="P435" s="6" t="n">
        <v>180</v>
      </c>
      <c r="Q435" s="18" t="n">
        <f aca="false">1+((P435-120)/74)*(1.15-1)</f>
        <v>1.12162162162162</v>
      </c>
      <c r="R435" s="16" t="n">
        <f aca="false">Q435*L435</f>
        <v>2.57972972972973</v>
      </c>
      <c r="S435" s="16" t="n">
        <f aca="false">J435-R435</f>
        <v>-2.57972972972973</v>
      </c>
      <c r="T435" s="17" t="n">
        <f aca="false">T434+S435</f>
        <v>84.4603861003861</v>
      </c>
      <c r="V435" s="1" t="n">
        <v>1768.1</v>
      </c>
      <c r="X435" s="1" t="n">
        <f aca="false">X434+V435</f>
        <v>132299.4</v>
      </c>
      <c r="Y435" s="1" t="n">
        <f aca="false">Y434+V435</f>
        <v>41794.9</v>
      </c>
      <c r="AA435" s="1" t="n">
        <v>11.3876464323572</v>
      </c>
      <c r="AB435" s="37" t="s">
        <v>62</v>
      </c>
    </row>
    <row r="436" s="1" customFormat="true" ht="15" hidden="false" customHeight="false" outlineLevel="0" collapsed="false">
      <c r="A436" s="35"/>
      <c r="B436" s="2"/>
      <c r="C436" s="8" t="n">
        <v>40609</v>
      </c>
      <c r="D436" s="1" t="n">
        <v>8.5</v>
      </c>
      <c r="E436" s="1" t="n">
        <v>0.4</v>
      </c>
      <c r="F436" s="1" t="n">
        <v>16.3</v>
      </c>
      <c r="G436" s="1" t="n">
        <f aca="false">G435+D436</f>
        <v>1634.4</v>
      </c>
      <c r="H436" s="1" t="n">
        <f aca="false">H435+D436</f>
        <v>398.5</v>
      </c>
      <c r="J436" s="38" t="n">
        <v>0</v>
      </c>
      <c r="K436" s="1" t="n">
        <f aca="false">K435+J436</f>
        <v>277.7</v>
      </c>
      <c r="L436" s="1" t="n">
        <v>2.8</v>
      </c>
      <c r="M436" s="1" t="n">
        <f aca="false">M435+L436</f>
        <v>273.6</v>
      </c>
      <c r="N436" s="1" t="n">
        <v>-2.8</v>
      </c>
      <c r="O436" s="1" t="n">
        <f aca="false">O435+N436</f>
        <v>67.4</v>
      </c>
      <c r="P436" s="6" t="n">
        <v>181</v>
      </c>
      <c r="Q436" s="18" t="n">
        <f aca="false">1+((P436-120)/74)*(1.15-1)</f>
        <v>1.12364864864865</v>
      </c>
      <c r="R436" s="16" t="n">
        <f aca="false">Q436*L436</f>
        <v>3.14621621621622</v>
      </c>
      <c r="S436" s="16" t="n">
        <f aca="false">J436-R436</f>
        <v>-3.14621621621622</v>
      </c>
      <c r="T436" s="39" t="n">
        <f aca="false">T435+S436</f>
        <v>81.3141698841698</v>
      </c>
      <c r="V436" s="1" t="n">
        <v>1810.9</v>
      </c>
      <c r="X436" s="1" t="n">
        <f aca="false">X435+V436</f>
        <v>134110.3</v>
      </c>
      <c r="Y436" s="1" t="n">
        <f aca="false">Y435+V436</f>
        <v>43605.8</v>
      </c>
      <c r="AA436" s="1" t="n">
        <v>11.4376924931915</v>
      </c>
      <c r="AB436" s="1" t="n">
        <v>0</v>
      </c>
    </row>
    <row r="437" s="1" customFormat="true" ht="15" hidden="false" customHeight="false" outlineLevel="0" collapsed="false">
      <c r="A437" s="35"/>
      <c r="B437" s="2"/>
      <c r="C437" s="8" t="n">
        <v>40610</v>
      </c>
      <c r="D437" s="1" t="n">
        <v>10.5</v>
      </c>
      <c r="E437" s="1" t="n">
        <v>9.4</v>
      </c>
      <c r="F437" s="1" t="n">
        <v>13.6</v>
      </c>
      <c r="G437" s="1" t="n">
        <f aca="false">G436+D437</f>
        <v>1644.9</v>
      </c>
      <c r="H437" s="1" t="n">
        <f aca="false">H436+D437</f>
        <v>409</v>
      </c>
      <c r="J437" s="38" t="n">
        <v>0</v>
      </c>
      <c r="K437" s="1" t="n">
        <f aca="false">K436+J437</f>
        <v>277.7</v>
      </c>
      <c r="L437" s="1" t="n">
        <v>3.4</v>
      </c>
      <c r="M437" s="1" t="n">
        <f aca="false">M436+L437</f>
        <v>277</v>
      </c>
      <c r="N437" s="1" t="n">
        <v>-3.4</v>
      </c>
      <c r="O437" s="1" t="n">
        <f aca="false">O436+N437</f>
        <v>64</v>
      </c>
      <c r="P437" s="6" t="n">
        <v>182</v>
      </c>
      <c r="Q437" s="18" t="n">
        <f aca="false">1+((P437-120)/74)*(1.15-1)</f>
        <v>1.12567567567568</v>
      </c>
      <c r="R437" s="16" t="n">
        <f aca="false">Q437*L437</f>
        <v>3.8272972972973</v>
      </c>
      <c r="S437" s="16" t="n">
        <f aca="false">J437-R437</f>
        <v>-3.8272972972973</v>
      </c>
      <c r="T437" s="39" t="n">
        <f aca="false">T436+S437</f>
        <v>77.4868725868726</v>
      </c>
      <c r="V437" s="1" t="n">
        <v>1667.6</v>
      </c>
      <c r="X437" s="1" t="n">
        <f aca="false">X436+V437</f>
        <v>135777.9</v>
      </c>
      <c r="Y437" s="1" t="n">
        <f aca="false">Y436+V437</f>
        <v>45273.4</v>
      </c>
      <c r="AA437" s="1" t="n">
        <v>11.4878169582182</v>
      </c>
      <c r="AB437" s="37" t="s">
        <v>63</v>
      </c>
    </row>
    <row r="438" s="1" customFormat="true" ht="15" hidden="false" customHeight="false" outlineLevel="0" collapsed="false">
      <c r="A438" s="35"/>
      <c r="B438" s="2"/>
      <c r="C438" s="8" t="n">
        <v>40611</v>
      </c>
      <c r="D438" s="1" t="n">
        <v>10.2</v>
      </c>
      <c r="E438" s="1" t="n">
        <v>7</v>
      </c>
      <c r="F438" s="1" t="n">
        <v>14.7</v>
      </c>
      <c r="G438" s="1" t="n">
        <f aca="false">G437+D438</f>
        <v>1655.1</v>
      </c>
      <c r="H438" s="1" t="n">
        <f aca="false">H437+D438</f>
        <v>419.2</v>
      </c>
      <c r="J438" s="38" t="n">
        <v>0</v>
      </c>
      <c r="K438" s="1" t="n">
        <f aca="false">K437+J438</f>
        <v>277.7</v>
      </c>
      <c r="L438" s="1" t="n">
        <v>2.4</v>
      </c>
      <c r="M438" s="1" t="n">
        <f aca="false">M437+L438</f>
        <v>279.4</v>
      </c>
      <c r="N438" s="1" t="n">
        <v>-2.4</v>
      </c>
      <c r="O438" s="1" t="n">
        <f aca="false">O437+N438</f>
        <v>61.6</v>
      </c>
      <c r="P438" s="6" t="n">
        <v>183</v>
      </c>
      <c r="Q438" s="18" t="n">
        <f aca="false">1+((P438-120)/74)*(1.15-1)</f>
        <v>1.1277027027027</v>
      </c>
      <c r="R438" s="16" t="n">
        <f aca="false">Q438*L438</f>
        <v>2.70648648648649</v>
      </c>
      <c r="S438" s="16" t="n">
        <f aca="false">J438-R438</f>
        <v>-2.70648648648649</v>
      </c>
      <c r="T438" s="39" t="n">
        <f aca="false">T437+S438</f>
        <v>74.7803861003861</v>
      </c>
      <c r="V438" s="1" t="n">
        <v>1512.7</v>
      </c>
      <c r="X438" s="1" t="n">
        <f aca="false">X437+V438</f>
        <v>137290.6</v>
      </c>
      <c r="Y438" s="1" t="n">
        <f aca="false">Y437+V438</f>
        <v>46786.1</v>
      </c>
      <c r="AA438" s="1" t="n">
        <v>11.5380122590723</v>
      </c>
      <c r="AB438" s="1" t="n">
        <f aca="false">SUM(J440:J449)</f>
        <v>20.2</v>
      </c>
    </row>
    <row r="439" s="42" customFormat="true" ht="15" hidden="false" customHeight="false" outlineLevel="0" collapsed="false">
      <c r="A439" s="35"/>
      <c r="B439" s="40"/>
      <c r="C439" s="41" t="n">
        <v>40612</v>
      </c>
      <c r="D439" s="42" t="n">
        <v>7.5</v>
      </c>
      <c r="E439" s="42" t="n">
        <v>3.5</v>
      </c>
      <c r="F439" s="42" t="n">
        <v>11.6</v>
      </c>
      <c r="G439" s="42" t="n">
        <f aca="false">G438+D439</f>
        <v>1662.6</v>
      </c>
      <c r="H439" s="42" t="n">
        <f aca="false">H438+D439</f>
        <v>426.7</v>
      </c>
      <c r="J439" s="42" t="n">
        <v>0</v>
      </c>
      <c r="K439" s="42" t="n">
        <f aca="false">K438+J439</f>
        <v>277.7</v>
      </c>
      <c r="L439" s="42" t="n">
        <v>1.2</v>
      </c>
      <c r="M439" s="42" t="n">
        <f aca="false">M438+L439</f>
        <v>280.6</v>
      </c>
      <c r="N439" s="42" t="n">
        <v>-1.2</v>
      </c>
      <c r="O439" s="42" t="n">
        <f aca="false">O438+N439</f>
        <v>60.4</v>
      </c>
      <c r="P439" s="43" t="n">
        <v>184</v>
      </c>
      <c r="Q439" s="44" t="n">
        <f aca="false">1+((P439-120)/74)*(1.15-1)</f>
        <v>1.12972972972973</v>
      </c>
      <c r="R439" s="45" t="n">
        <f aca="false">Q439*L439</f>
        <v>1.35567567567568</v>
      </c>
      <c r="S439" s="45" t="n">
        <f aca="false">J439-R439</f>
        <v>-1.35567567567568</v>
      </c>
      <c r="T439" s="46" t="n">
        <f aca="false">T438+S439</f>
        <v>73.4247104247104</v>
      </c>
      <c r="V439" s="42" t="n">
        <v>830.5</v>
      </c>
      <c r="X439" s="42" t="n">
        <f aca="false">X438+V439</f>
        <v>138121.1</v>
      </c>
      <c r="Y439" s="42" t="n">
        <f aca="false">Y438+V439</f>
        <v>47616.6</v>
      </c>
      <c r="AA439" s="42" t="n">
        <v>11.5882710465742</v>
      </c>
    </row>
    <row r="440" s="1" customFormat="true" ht="15" hidden="false" customHeight="false" outlineLevel="0" collapsed="false">
      <c r="A440" s="35"/>
      <c r="B440" s="2"/>
      <c r="C440" s="8" t="n">
        <v>40613</v>
      </c>
      <c r="D440" s="1" t="n">
        <v>8.6</v>
      </c>
      <c r="E440" s="1" t="n">
        <v>1.6</v>
      </c>
      <c r="F440" s="1" t="n">
        <v>14</v>
      </c>
      <c r="G440" s="1" t="n">
        <f aca="false">G439+D440</f>
        <v>1671.2</v>
      </c>
      <c r="H440" s="1" t="n">
        <f aca="false">H439+D440</f>
        <v>435.3</v>
      </c>
      <c r="J440" s="38" t="n">
        <v>0</v>
      </c>
      <c r="K440" s="1" t="n">
        <f aca="false">K439+J440</f>
        <v>277.7</v>
      </c>
      <c r="L440" s="1" t="n">
        <v>2</v>
      </c>
      <c r="M440" s="1" t="n">
        <f aca="false">M439+L440</f>
        <v>282.6</v>
      </c>
      <c r="N440" s="1" t="n">
        <v>-2</v>
      </c>
      <c r="O440" s="1" t="n">
        <f aca="false">O439+N440</f>
        <v>58.4</v>
      </c>
      <c r="P440" s="6" t="n">
        <v>185</v>
      </c>
      <c r="Q440" s="18" t="n">
        <f aca="false">1+((P440-120)/74)*(1.15-1)</f>
        <v>1.13175675675676</v>
      </c>
      <c r="R440" s="16" t="n">
        <f aca="false">Q440*L440</f>
        <v>2.26351351351351</v>
      </c>
      <c r="S440" s="16" t="n">
        <f aca="false">J440-R440</f>
        <v>-2.26351351351351</v>
      </c>
      <c r="T440" s="39" t="n">
        <f aca="false">T439+S440</f>
        <v>71.1611969111969</v>
      </c>
      <c r="V440" s="1" t="n">
        <v>1736.6</v>
      </c>
      <c r="X440" s="1" t="n">
        <f aca="false">X439+V440</f>
        <v>139857.7</v>
      </c>
      <c r="Y440" s="1" t="n">
        <f aca="false">Y439+V440</f>
        <v>49353.2</v>
      </c>
      <c r="AA440" s="1" t="n">
        <v>11.638586175635</v>
      </c>
    </row>
    <row r="441" s="1" customFormat="true" ht="15" hidden="false" customHeight="false" outlineLevel="0" collapsed="false">
      <c r="A441" s="35"/>
      <c r="B441" s="2"/>
      <c r="C441" s="8" t="n">
        <v>40614</v>
      </c>
      <c r="D441" s="1" t="n">
        <v>11.1</v>
      </c>
      <c r="E441" s="1" t="n">
        <v>9</v>
      </c>
      <c r="F441" s="1" t="n">
        <v>11.5</v>
      </c>
      <c r="G441" s="1" t="n">
        <f aca="false">G440+D441</f>
        <v>1682.3</v>
      </c>
      <c r="H441" s="1" t="n">
        <f aca="false">H440+D441</f>
        <v>446.4</v>
      </c>
      <c r="J441" s="38" t="n">
        <v>6</v>
      </c>
      <c r="K441" s="1" t="n">
        <f aca="false">K440+J441</f>
        <v>283.7</v>
      </c>
      <c r="L441" s="1" t="n">
        <v>1.1</v>
      </c>
      <c r="M441" s="1" t="n">
        <f aca="false">M440+L441</f>
        <v>283.7</v>
      </c>
      <c r="N441" s="1" t="n">
        <v>4.9</v>
      </c>
      <c r="O441" s="1" t="n">
        <f aca="false">O440+N441</f>
        <v>63.3</v>
      </c>
      <c r="P441" s="6" t="n">
        <v>186</v>
      </c>
      <c r="Q441" s="18" t="n">
        <f aca="false">1+((P441-120)/74)*(1.15-1)</f>
        <v>1.13378378378378</v>
      </c>
      <c r="R441" s="16" t="n">
        <f aca="false">Q441*L441</f>
        <v>1.24716216216216</v>
      </c>
      <c r="S441" s="16" t="n">
        <f aca="false">J441-R441</f>
        <v>4.75283783783784</v>
      </c>
      <c r="T441" s="39" t="n">
        <f aca="false">T440+S441</f>
        <v>75.9140347490347</v>
      </c>
      <c r="V441" s="1" t="n">
        <v>309.6</v>
      </c>
      <c r="X441" s="1" t="n">
        <f aca="false">X440+V441</f>
        <v>140167.3</v>
      </c>
      <c r="Y441" s="1" t="n">
        <f aca="false">Y440+V441</f>
        <v>49662.8</v>
      </c>
      <c r="AA441" s="1" t="n">
        <v>11.6889506901574</v>
      </c>
    </row>
    <row r="442" s="1" customFormat="true" ht="15" hidden="false" customHeight="false" outlineLevel="0" collapsed="false">
      <c r="A442" s="35"/>
      <c r="B442" s="2"/>
      <c r="C442" s="8" t="n">
        <v>40615</v>
      </c>
      <c r="D442" s="1" t="n">
        <v>12</v>
      </c>
      <c r="E442" s="1" t="n">
        <v>8.5</v>
      </c>
      <c r="F442" s="1" t="n">
        <v>15.8</v>
      </c>
      <c r="G442" s="1" t="n">
        <f aca="false">G441+D442</f>
        <v>1694.3</v>
      </c>
      <c r="H442" s="1" t="n">
        <f aca="false">H441+D442</f>
        <v>458.4</v>
      </c>
      <c r="J442" s="38" t="n">
        <v>0.1</v>
      </c>
      <c r="K442" s="1" t="n">
        <f aca="false">K441+J442</f>
        <v>283.8</v>
      </c>
      <c r="L442" s="1" t="n">
        <v>2</v>
      </c>
      <c r="M442" s="1" t="n">
        <f aca="false">M441+L442</f>
        <v>285.7</v>
      </c>
      <c r="N442" s="1" t="n">
        <v>-1.9</v>
      </c>
      <c r="O442" s="1" t="n">
        <f aca="false">O441+N442</f>
        <v>61.4</v>
      </c>
      <c r="P442" s="6" t="n">
        <v>187</v>
      </c>
      <c r="Q442" s="18" t="n">
        <f aca="false">1+((P442-120)/74)*(1.15-1)</f>
        <v>1.13581081081081</v>
      </c>
      <c r="R442" s="16" t="n">
        <f aca="false">Q442*L442</f>
        <v>2.27162162162162</v>
      </c>
      <c r="S442" s="16" t="n">
        <f aca="false">J442-R442</f>
        <v>-2.17162162162162</v>
      </c>
      <c r="T442" s="39" t="n">
        <f aca="false">T441+S442</f>
        <v>73.7424131274131</v>
      </c>
      <c r="V442" s="1" t="n">
        <v>1177.5</v>
      </c>
      <c r="X442" s="1" t="n">
        <f aca="false">X441+V442</f>
        <v>141344.8</v>
      </c>
      <c r="Y442" s="1" t="n">
        <f aca="false">Y441+V442</f>
        <v>50840.3</v>
      </c>
      <c r="AA442" s="1" t="n">
        <v>11.7393578079484</v>
      </c>
    </row>
    <row r="443" s="1" customFormat="true" ht="15" hidden="false" customHeight="false" outlineLevel="0" collapsed="false">
      <c r="A443" s="35"/>
      <c r="B443" s="2"/>
      <c r="C443" s="8" t="n">
        <v>40616</v>
      </c>
      <c r="D443" s="1" t="n">
        <v>13.1</v>
      </c>
      <c r="E443" s="1" t="n">
        <v>9.7</v>
      </c>
      <c r="F443" s="1" t="n">
        <v>16.6</v>
      </c>
      <c r="G443" s="1" t="n">
        <f aca="false">G442+D443</f>
        <v>1707.4</v>
      </c>
      <c r="H443" s="1" t="n">
        <f aca="false">H442+D443</f>
        <v>471.5</v>
      </c>
      <c r="J443" s="38" t="n">
        <v>0.2</v>
      </c>
      <c r="K443" s="1" t="n">
        <f aca="false">K442+J443</f>
        <v>284</v>
      </c>
      <c r="L443" s="1" t="n">
        <v>2.2</v>
      </c>
      <c r="M443" s="1" t="n">
        <f aca="false">M442+L443</f>
        <v>287.9</v>
      </c>
      <c r="N443" s="1" t="n">
        <v>-2</v>
      </c>
      <c r="O443" s="1" t="n">
        <f aca="false">O442+N443</f>
        <v>59.4</v>
      </c>
      <c r="P443" s="6" t="n">
        <v>188</v>
      </c>
      <c r="Q443" s="18" t="n">
        <f aca="false">1+((P443-120)/74)*(1.15-1)</f>
        <v>1.13783783783784</v>
      </c>
      <c r="R443" s="16" t="n">
        <f aca="false">Q443*L443</f>
        <v>2.50324324324324</v>
      </c>
      <c r="S443" s="16" t="n">
        <f aca="false">J443-R443</f>
        <v>-2.30324324324324</v>
      </c>
      <c r="T443" s="39" t="n">
        <f aca="false">T442+S443</f>
        <v>71.4391698841699</v>
      </c>
      <c r="V443" s="1" t="n">
        <v>805.3</v>
      </c>
      <c r="X443" s="1" t="n">
        <f aca="false">X442+V443</f>
        <v>142150.1</v>
      </c>
      <c r="Y443" s="1" t="n">
        <f aca="false">Y442+V443</f>
        <v>51645.6</v>
      </c>
      <c r="AA443" s="1" t="n">
        <v>11.7898009056566</v>
      </c>
    </row>
    <row r="444" s="1" customFormat="true" ht="15" hidden="false" customHeight="false" outlineLevel="0" collapsed="false">
      <c r="A444" s="35"/>
      <c r="B444" s="2"/>
      <c r="C444" s="8" t="n">
        <v>40617</v>
      </c>
      <c r="D444" s="1" t="n">
        <v>13.2</v>
      </c>
      <c r="E444" s="1" t="n">
        <v>12.8</v>
      </c>
      <c r="F444" s="1" t="n">
        <v>14.7</v>
      </c>
      <c r="G444" s="1" t="n">
        <f aca="false">G443+D444</f>
        <v>1720.6</v>
      </c>
      <c r="H444" s="1" t="n">
        <f aca="false">H443+D444</f>
        <v>484.7</v>
      </c>
      <c r="J444" s="38" t="n">
        <v>9.3</v>
      </c>
      <c r="K444" s="1" t="n">
        <f aca="false">K443+J444</f>
        <v>293.3</v>
      </c>
      <c r="L444" s="1" t="n">
        <v>1.6</v>
      </c>
      <c r="M444" s="1" t="n">
        <f aca="false">M443+L444</f>
        <v>289.5</v>
      </c>
      <c r="N444" s="1" t="n">
        <v>7.7</v>
      </c>
      <c r="O444" s="1" t="n">
        <f aca="false">O443+N444</f>
        <v>67.1</v>
      </c>
      <c r="P444" s="6" t="n">
        <v>189</v>
      </c>
      <c r="Q444" s="18" t="n">
        <f aca="false">1+((P444-120)/74)*(1.15-1)</f>
        <v>1.13986486486486</v>
      </c>
      <c r="R444" s="16" t="n">
        <f aca="false">Q444*L444</f>
        <v>1.82378378378378</v>
      </c>
      <c r="S444" s="16" t="n">
        <f aca="false">J444-R444</f>
        <v>7.47621621621622</v>
      </c>
      <c r="T444" s="39" t="n">
        <f aca="false">T443+S444</f>
        <v>78.9153861003861</v>
      </c>
      <c r="V444" s="1" t="n">
        <v>330.5</v>
      </c>
      <c r="X444" s="1" t="n">
        <f aca="false">X443+V444</f>
        <v>142480.6</v>
      </c>
      <c r="Y444" s="1" t="n">
        <f aca="false">Y443+V444</f>
        <v>51976.1</v>
      </c>
      <c r="AA444" s="1" t="n">
        <v>11.8402735037437</v>
      </c>
    </row>
    <row r="445" s="1" customFormat="true" ht="15" hidden="false" customHeight="false" outlineLevel="0" collapsed="false">
      <c r="A445" s="35"/>
      <c r="B445" s="2"/>
      <c r="C445" s="8" t="n">
        <v>40618</v>
      </c>
      <c r="D445" s="1" t="n">
        <v>11.8</v>
      </c>
      <c r="E445" s="1" t="n">
        <v>10.5</v>
      </c>
      <c r="F445" s="1" t="n">
        <v>13.2</v>
      </c>
      <c r="G445" s="1" t="n">
        <f aca="false">G444+D445</f>
        <v>1732.4</v>
      </c>
      <c r="H445" s="1" t="n">
        <f aca="false">H444+D445</f>
        <v>496.5</v>
      </c>
      <c r="J445" s="38" t="n">
        <v>4.5</v>
      </c>
      <c r="K445" s="1" t="n">
        <f aca="false">K444+J445</f>
        <v>297.8</v>
      </c>
      <c r="L445" s="1" t="n">
        <v>0.8</v>
      </c>
      <c r="M445" s="1" t="n">
        <f aca="false">M444+L445</f>
        <v>290.3</v>
      </c>
      <c r="N445" s="1" t="n">
        <v>3.7</v>
      </c>
      <c r="O445" s="1" t="n">
        <f aca="false">O444+N445</f>
        <v>70.8</v>
      </c>
      <c r="P445" s="6" t="n">
        <v>190</v>
      </c>
      <c r="Q445" s="18" t="n">
        <f aca="false">1+((P445-120)/74)*(1.15-1)</f>
        <v>1.14189189189189</v>
      </c>
      <c r="R445" s="16" t="n">
        <f aca="false">Q445*L445</f>
        <v>0.913513513513514</v>
      </c>
      <c r="S445" s="16" t="n">
        <f aca="false">J445-R445</f>
        <v>3.58648648648649</v>
      </c>
      <c r="T445" s="39" t="n">
        <f aca="false">T444+S445</f>
        <v>82.5018725868726</v>
      </c>
      <c r="V445" s="1" t="n">
        <v>351.2</v>
      </c>
      <c r="X445" s="1" t="n">
        <f aca="false">X444+V445</f>
        <v>142831.8</v>
      </c>
      <c r="Y445" s="1" t="n">
        <f aca="false">Y444+V445</f>
        <v>52327.3</v>
      </c>
      <c r="AA445" s="1" t="n">
        <v>11.8907692515022</v>
      </c>
    </row>
    <row r="446" s="49" customFormat="true" ht="15" hidden="false" customHeight="false" outlineLevel="0" collapsed="false">
      <c r="A446" s="35"/>
      <c r="B446" s="47"/>
      <c r="C446" s="48" t="n">
        <v>40619</v>
      </c>
      <c r="D446" s="49" t="n">
        <v>11.2</v>
      </c>
      <c r="E446" s="49" t="n">
        <v>11.1</v>
      </c>
      <c r="F446" s="49" t="n">
        <v>12</v>
      </c>
      <c r="G446" s="49" t="n">
        <f aca="false">G445+D446</f>
        <v>1743.6</v>
      </c>
      <c r="H446" s="49" t="n">
        <f aca="false">H445+D446</f>
        <v>507.7</v>
      </c>
      <c r="J446" s="50" t="n">
        <v>0</v>
      </c>
      <c r="K446" s="49" t="n">
        <f aca="false">K445+J446</f>
        <v>297.8</v>
      </c>
      <c r="L446" s="49" t="n">
        <v>2.3</v>
      </c>
      <c r="M446" s="49" t="n">
        <f aca="false">M445+L446</f>
        <v>292.6</v>
      </c>
      <c r="N446" s="49" t="n">
        <v>-2.3</v>
      </c>
      <c r="O446" s="49" t="n">
        <f aca="false">O445+N446</f>
        <v>68.5</v>
      </c>
      <c r="P446" s="51" t="n">
        <v>191</v>
      </c>
      <c r="Q446" s="18" t="n">
        <f aca="false">1+((P446-120)/74)*(1.15-1)</f>
        <v>1.14391891891892</v>
      </c>
      <c r="R446" s="52" t="n">
        <f aca="false">Q446*L446</f>
        <v>2.63101351351351</v>
      </c>
      <c r="S446" s="16" t="n">
        <f aca="false">J446-R446</f>
        <v>-2.63101351351351</v>
      </c>
      <c r="T446" s="39" t="n">
        <f aca="false">T445+S446</f>
        <v>79.8708590733591</v>
      </c>
      <c r="V446" s="49" t="n">
        <v>1040.2</v>
      </c>
      <c r="X446" s="49" t="n">
        <f aca="false">X445+V446</f>
        <v>143872</v>
      </c>
      <c r="Y446" s="1" t="n">
        <f aca="false">Y445+V446</f>
        <v>53367.5</v>
      </c>
      <c r="AA446" s="49" t="n">
        <v>11.9412819121242</v>
      </c>
    </row>
    <row r="447" s="54" customFormat="true" ht="15" hidden="false" customHeight="true" outlineLevel="0" collapsed="false">
      <c r="A447" s="35"/>
      <c r="B447" s="53"/>
      <c r="C447" s="48" t="n">
        <v>40620</v>
      </c>
      <c r="D447" s="49" t="n">
        <v>11.4</v>
      </c>
      <c r="E447" s="49" t="n">
        <v>7.5</v>
      </c>
      <c r="F447" s="49" t="n">
        <v>15.9</v>
      </c>
      <c r="G447" s="49" t="n">
        <f aca="false">G446+D447</f>
        <v>1755</v>
      </c>
      <c r="H447" s="1" t="n">
        <f aca="false">H446+D447</f>
        <v>519.1</v>
      </c>
      <c r="I447" s="49"/>
      <c r="J447" s="50" t="n">
        <v>0.1</v>
      </c>
      <c r="K447" s="1" t="n">
        <f aca="false">K446+J447</f>
        <v>297.9</v>
      </c>
      <c r="L447" s="49" t="n">
        <v>2.7</v>
      </c>
      <c r="M447" s="1" t="n">
        <f aca="false">M446+L447</f>
        <v>295.3</v>
      </c>
      <c r="N447" s="49" t="n">
        <v>-2.6</v>
      </c>
      <c r="O447" s="1" t="n">
        <f aca="false">O446+N447</f>
        <v>65.9</v>
      </c>
      <c r="P447" s="6" t="n">
        <v>192</v>
      </c>
      <c r="Q447" s="18" t="n">
        <f aca="false">1+((P447-120)/74)*(1.15-1)</f>
        <v>1.14594594594595</v>
      </c>
      <c r="R447" s="16" t="n">
        <f aca="false">Q447*L447</f>
        <v>3.09405405405405</v>
      </c>
      <c r="S447" s="16" t="n">
        <f aca="false">J447-R447</f>
        <v>-2.99405405405405</v>
      </c>
      <c r="T447" s="39" t="n">
        <f aca="false">T446+S447</f>
        <v>76.876805019305</v>
      </c>
      <c r="U447" s="49"/>
      <c r="V447" s="49" t="n">
        <v>1375.9</v>
      </c>
      <c r="W447" s="49"/>
      <c r="X447" s="1" t="n">
        <f aca="false">X446+V447</f>
        <v>145247.9</v>
      </c>
      <c r="Y447" s="1" t="n">
        <f aca="false">Y446+V447</f>
        <v>54743.4</v>
      </c>
      <c r="Z447" s="49"/>
      <c r="AA447" s="1" t="n">
        <v>11.9918053478304</v>
      </c>
      <c r="AB447" s="49"/>
      <c r="AC447" s="49"/>
      <c r="AD447" s="49"/>
      <c r="AE447" s="49"/>
      <c r="AF447" s="49"/>
      <c r="AG447" s="49"/>
      <c r="AH447" s="49"/>
      <c r="AI447" s="49"/>
      <c r="AJ447" s="49"/>
      <c r="AK447" s="49"/>
      <c r="AL447" s="49"/>
      <c r="AM447" s="49"/>
      <c r="AN447" s="49"/>
      <c r="AO447" s="49"/>
      <c r="AP447" s="49"/>
      <c r="AQ447" s="49"/>
      <c r="AR447" s="49"/>
      <c r="AS447" s="49"/>
      <c r="AT447" s="49"/>
      <c r="AU447" s="49"/>
      <c r="AV447" s="49"/>
      <c r="AW447" s="49"/>
      <c r="AX447" s="49"/>
      <c r="AY447" s="49"/>
      <c r="AZ447" s="49"/>
      <c r="BA447" s="49"/>
      <c r="BB447" s="49"/>
      <c r="BC447" s="49"/>
      <c r="BD447" s="49"/>
      <c r="BE447" s="49"/>
      <c r="BF447" s="49"/>
      <c r="BG447" s="49"/>
      <c r="BH447" s="49"/>
      <c r="BI447" s="49"/>
      <c r="BJ447" s="49"/>
      <c r="BK447" s="49"/>
      <c r="BL447" s="49"/>
      <c r="BM447" s="49"/>
      <c r="BN447" s="49"/>
      <c r="BO447" s="49"/>
      <c r="BP447" s="49"/>
      <c r="BQ447" s="49"/>
      <c r="BR447" s="49"/>
      <c r="BS447" s="49"/>
      <c r="BT447" s="49"/>
      <c r="BU447" s="49"/>
      <c r="BV447" s="49"/>
      <c r="BW447" s="49"/>
      <c r="BX447" s="49"/>
      <c r="BY447" s="49"/>
      <c r="BZ447" s="49"/>
      <c r="CA447" s="49"/>
      <c r="CB447" s="49"/>
      <c r="CC447" s="49"/>
      <c r="CD447" s="49"/>
      <c r="CE447" s="49"/>
      <c r="CF447" s="49"/>
      <c r="CG447" s="49"/>
      <c r="CH447" s="49"/>
      <c r="CI447" s="49"/>
      <c r="CJ447" s="49"/>
      <c r="CK447" s="49"/>
      <c r="CL447" s="49"/>
      <c r="CM447" s="49"/>
      <c r="CN447" s="49"/>
      <c r="CO447" s="49"/>
      <c r="CP447" s="49"/>
      <c r="CQ447" s="49"/>
      <c r="CR447" s="49"/>
      <c r="CS447" s="49"/>
      <c r="CT447" s="49"/>
      <c r="CU447" s="49"/>
      <c r="CV447" s="49"/>
      <c r="CW447" s="49"/>
      <c r="CX447" s="49"/>
      <c r="CY447" s="49"/>
      <c r="CZ447" s="49"/>
      <c r="DA447" s="49"/>
    </row>
    <row r="448" s="49" customFormat="true" ht="15" hidden="false" customHeight="false" outlineLevel="0" collapsed="false">
      <c r="A448" s="35"/>
      <c r="B448" s="47"/>
      <c r="C448" s="48" t="n">
        <v>40621</v>
      </c>
      <c r="D448" s="49" t="n">
        <v>12</v>
      </c>
      <c r="E448" s="49" t="n">
        <v>10</v>
      </c>
      <c r="F448" s="49" t="n">
        <v>15.9</v>
      </c>
      <c r="G448" s="49" t="n">
        <f aca="false">G447+D448</f>
        <v>1767</v>
      </c>
      <c r="H448" s="49" t="n">
        <f aca="false">H447+D448</f>
        <v>531.1</v>
      </c>
      <c r="J448" s="50" t="n">
        <v>0</v>
      </c>
      <c r="K448" s="49" t="n">
        <f aca="false">K447+J448</f>
        <v>297.9</v>
      </c>
      <c r="L448" s="49" t="n">
        <v>2.7</v>
      </c>
      <c r="M448" s="49" t="n">
        <f aca="false">M447+L448</f>
        <v>298</v>
      </c>
      <c r="N448" s="49" t="n">
        <v>-2.7</v>
      </c>
      <c r="O448" s="49" t="n">
        <f aca="false">O447+N448</f>
        <v>63.2</v>
      </c>
      <c r="P448" s="51" t="n">
        <v>193</v>
      </c>
      <c r="Q448" s="18" t="n">
        <f aca="false">1+((P448-120)/74)*(1.15-1)</f>
        <v>1.14797297297297</v>
      </c>
      <c r="R448" s="52" t="n">
        <f aca="false">Q448*L448</f>
        <v>3.09952702702703</v>
      </c>
      <c r="S448" s="52" t="n">
        <f aca="false">J448-R448</f>
        <v>-3.09952702702703</v>
      </c>
      <c r="T448" s="55" t="n">
        <f aca="false">T447+S448</f>
        <v>73.777277992278</v>
      </c>
      <c r="V448" s="49" t="n">
        <v>1415.9</v>
      </c>
      <c r="X448" s="49" t="n">
        <f aca="false">X447+V448</f>
        <v>146663.8</v>
      </c>
      <c r="Y448" s="49" t="n">
        <f aca="false">Y447+V448</f>
        <v>56159.3</v>
      </c>
      <c r="AA448" s="49" t="n">
        <v>12.0423335050639</v>
      </c>
    </row>
    <row r="449" s="56" customFormat="true" ht="15" hidden="false" customHeight="false" outlineLevel="0" collapsed="false">
      <c r="A449" s="35"/>
      <c r="C449" s="57" t="n">
        <v>40622</v>
      </c>
      <c r="D449" s="56" t="n">
        <v>10</v>
      </c>
      <c r="E449" s="56" t="n">
        <v>7.2</v>
      </c>
      <c r="F449" s="56" t="n">
        <v>14.9</v>
      </c>
      <c r="G449" s="56" t="n">
        <f aca="false">G448+D449</f>
        <v>1777</v>
      </c>
      <c r="H449" s="31" t="n">
        <f aca="false">H448+D449</f>
        <v>541.1</v>
      </c>
      <c r="J449" s="58" t="n">
        <v>0</v>
      </c>
      <c r="K449" s="56" t="n">
        <f aca="false">K448+J449</f>
        <v>297.9</v>
      </c>
      <c r="L449" s="56" t="n">
        <v>2.1</v>
      </c>
      <c r="M449" s="56" t="n">
        <f aca="false">M448+L449</f>
        <v>300.1</v>
      </c>
      <c r="N449" s="56" t="n">
        <v>-2.1</v>
      </c>
      <c r="O449" s="56" t="n">
        <f aca="false">O448+N449</f>
        <v>61.1</v>
      </c>
      <c r="P449" s="59" t="n">
        <v>194</v>
      </c>
      <c r="Q449" s="60" t="n">
        <f aca="false">1+((P449-120)/74)*(1.15-1)</f>
        <v>1.15</v>
      </c>
      <c r="R449" s="61" t="n">
        <f aca="false">Q449*L449</f>
        <v>2.415</v>
      </c>
      <c r="S449" s="61" t="n">
        <f aca="false">J449-R449</f>
        <v>-2.415</v>
      </c>
      <c r="T449" s="62" t="n">
        <f aca="false">T448+S449</f>
        <v>71.362277992278</v>
      </c>
      <c r="V449" s="56" t="n">
        <v>1234.9</v>
      </c>
      <c r="X449" s="56" t="n">
        <f aca="false">X448+V449</f>
        <v>147898.7</v>
      </c>
      <c r="Y449" s="31" t="n">
        <f aca="false">Y448+V449</f>
        <v>57394.2</v>
      </c>
      <c r="AA449" s="56" t="n">
        <v>12.092860399753</v>
      </c>
    </row>
    <row r="450" s="1" customFormat="true" ht="15" hidden="false" customHeight="false" outlineLevel="0" collapsed="false">
      <c r="A450" s="63" t="s">
        <v>64</v>
      </c>
      <c r="C450" s="8" t="n">
        <v>40623</v>
      </c>
      <c r="D450" s="1" t="n">
        <v>9.5</v>
      </c>
      <c r="E450" s="1" t="n">
        <v>3.6</v>
      </c>
      <c r="F450" s="1" t="n">
        <v>15.6</v>
      </c>
      <c r="G450" s="1" t="n">
        <f aca="false">G449+D450</f>
        <v>1786.5</v>
      </c>
      <c r="H450" s="49" t="n">
        <f aca="false">D450</f>
        <v>9.5</v>
      </c>
      <c r="I450" s="64" t="s">
        <v>30</v>
      </c>
      <c r="J450" s="1" t="n">
        <v>0</v>
      </c>
      <c r="K450" s="1" t="n">
        <f aca="false">K449+J450</f>
        <v>297.9</v>
      </c>
      <c r="L450" s="1" t="n">
        <v>2.6</v>
      </c>
      <c r="M450" s="1" t="n">
        <f aca="false">M449+L450</f>
        <v>302.7</v>
      </c>
      <c r="N450" s="1" t="n">
        <v>-2.6</v>
      </c>
      <c r="O450" s="1" t="n">
        <f aca="false">O449+N450</f>
        <v>58.5</v>
      </c>
      <c r="P450" s="6" t="n">
        <v>195</v>
      </c>
      <c r="Q450" s="49" t="n">
        <v>1.15</v>
      </c>
      <c r="R450" s="16" t="n">
        <f aca="false">Q450*L450</f>
        <v>2.99</v>
      </c>
      <c r="S450" s="16" t="n">
        <f aca="false">J450-R450</f>
        <v>-2.99</v>
      </c>
      <c r="T450" s="17" t="n">
        <f aca="false">T449+S450</f>
        <v>68.372277992278</v>
      </c>
      <c r="U450" s="64" t="s">
        <v>31</v>
      </c>
      <c r="V450" s="1" t="n">
        <v>1808.3</v>
      </c>
      <c r="X450" s="1" t="n">
        <f aca="false">X449+V450</f>
        <v>149707</v>
      </c>
      <c r="Y450" s="49" t="n">
        <f aca="false">V450</f>
        <v>1808.3</v>
      </c>
      <c r="Z450" s="64" t="s">
        <v>32</v>
      </c>
      <c r="AA450" s="1" t="n">
        <v>12.1433801026478</v>
      </c>
    </row>
    <row r="451" s="1" customFormat="true" ht="15" hidden="false" customHeight="false" outlineLevel="0" collapsed="false">
      <c r="A451" s="63"/>
      <c r="C451" s="8" t="n">
        <v>40624</v>
      </c>
      <c r="D451" s="1" t="n">
        <v>10.5</v>
      </c>
      <c r="E451" s="1" t="n">
        <v>6.3</v>
      </c>
      <c r="F451" s="1" t="n">
        <v>17</v>
      </c>
      <c r="G451" s="1" t="n">
        <f aca="false">G450+D451</f>
        <v>1797</v>
      </c>
      <c r="H451" s="49" t="n">
        <f aca="false">H450+D451</f>
        <v>20</v>
      </c>
      <c r="I451" s="1" t="n">
        <f aca="false">MIN(E450:E470)</f>
        <v>3.5</v>
      </c>
      <c r="J451" s="1" t="n">
        <v>0</v>
      </c>
      <c r="K451" s="1" t="n">
        <f aca="false">K450+J451</f>
        <v>297.9</v>
      </c>
      <c r="L451" s="1" t="n">
        <v>3.8</v>
      </c>
      <c r="M451" s="1" t="n">
        <f aca="false">M450+L451</f>
        <v>306.5</v>
      </c>
      <c r="N451" s="1" t="n">
        <v>-3.8</v>
      </c>
      <c r="O451" s="1" t="n">
        <f aca="false">O450+N451</f>
        <v>54.7</v>
      </c>
      <c r="P451" s="6" t="n">
        <v>196</v>
      </c>
      <c r="Q451" s="49" t="n">
        <v>1.15</v>
      </c>
      <c r="R451" s="16" t="n">
        <f aca="false">Q451*L451</f>
        <v>4.37</v>
      </c>
      <c r="S451" s="16" t="n">
        <f aca="false">J451-R451</f>
        <v>-4.37</v>
      </c>
      <c r="T451" s="17" t="n">
        <f aca="false">T450+S451</f>
        <v>64.002277992278</v>
      </c>
      <c r="U451" s="1" t="n">
        <v>17</v>
      </c>
      <c r="V451" s="1" t="n">
        <v>1818.1</v>
      </c>
      <c r="X451" s="1" t="n">
        <f aca="false">X450+V451</f>
        <v>151525.1</v>
      </c>
      <c r="Y451" s="49" t="n">
        <f aca="false">Y450+V451</f>
        <v>3626.4</v>
      </c>
      <c r="Z451" s="1" t="n">
        <v>33044.3</v>
      </c>
      <c r="AA451" s="1" t="n">
        <v>12.193886724733</v>
      </c>
    </row>
    <row r="452" s="1" customFormat="true" ht="15" hidden="false" customHeight="false" outlineLevel="0" collapsed="false">
      <c r="A452" s="63"/>
      <c r="C452" s="8" t="n">
        <v>40625</v>
      </c>
      <c r="D452" s="1" t="n">
        <v>11.2</v>
      </c>
      <c r="E452" s="1" t="n">
        <v>3.5</v>
      </c>
      <c r="F452" s="1" t="n">
        <v>18.8</v>
      </c>
      <c r="G452" s="1" t="n">
        <f aca="false">G451+D452</f>
        <v>1808.2</v>
      </c>
      <c r="H452" s="49" t="n">
        <f aca="false">H451+D452</f>
        <v>31.2</v>
      </c>
      <c r="I452" s="64" t="s">
        <v>33</v>
      </c>
      <c r="J452" s="1" t="n">
        <v>0</v>
      </c>
      <c r="K452" s="1" t="n">
        <f aca="false">K451+J452</f>
        <v>297.9</v>
      </c>
      <c r="L452" s="1" t="n">
        <v>4.2</v>
      </c>
      <c r="M452" s="1" t="n">
        <f aca="false">M451+L452</f>
        <v>310.7</v>
      </c>
      <c r="N452" s="1" t="n">
        <v>-4.2</v>
      </c>
      <c r="O452" s="1" t="n">
        <f aca="false">O451+N452</f>
        <v>50.5</v>
      </c>
      <c r="P452" s="6" t="n">
        <v>197</v>
      </c>
      <c r="Q452" s="49" t="n">
        <v>1.15</v>
      </c>
      <c r="R452" s="16" t="n">
        <f aca="false">Q452*L452</f>
        <v>4.83</v>
      </c>
      <c r="S452" s="16" t="n">
        <f aca="false">J452-R452</f>
        <v>-4.83</v>
      </c>
      <c r="T452" s="17" t="n">
        <f aca="false">T451+S452</f>
        <v>59.172277992278</v>
      </c>
      <c r="U452" s="64" t="s">
        <v>34</v>
      </c>
      <c r="V452" s="1" t="n">
        <v>2130.6</v>
      </c>
      <c r="X452" s="1" t="n">
        <f aca="false">X451+V452</f>
        <v>153655.7</v>
      </c>
      <c r="Y452" s="49" t="n">
        <f aca="false">Y451+V452</f>
        <v>5757</v>
      </c>
      <c r="Z452" s="64" t="s">
        <v>35</v>
      </c>
      <c r="AA452" s="1" t="n">
        <v>12.2443744027198</v>
      </c>
    </row>
    <row r="453" s="1" customFormat="true" ht="15" hidden="false" customHeight="false" outlineLevel="0" collapsed="false">
      <c r="A453" s="63"/>
      <c r="C453" s="8" t="n">
        <v>40626</v>
      </c>
      <c r="D453" s="1" t="n">
        <v>11.8</v>
      </c>
      <c r="E453" s="1" t="n">
        <v>5.4</v>
      </c>
      <c r="F453" s="1" t="n">
        <v>19.5</v>
      </c>
      <c r="G453" s="1" t="n">
        <f aca="false">G452+D453</f>
        <v>1820</v>
      </c>
      <c r="H453" s="49" t="n">
        <f aca="false">H452+D453</f>
        <v>43</v>
      </c>
      <c r="I453" s="1" t="n">
        <f aca="false">MAX(F450:F470)</f>
        <v>28.1</v>
      </c>
      <c r="J453" s="1" t="n">
        <v>0</v>
      </c>
      <c r="K453" s="1" t="n">
        <f aca="false">K452+J453</f>
        <v>297.9</v>
      </c>
      <c r="L453" s="1" t="n">
        <v>4.2</v>
      </c>
      <c r="M453" s="1" t="n">
        <f aca="false">M452+L453</f>
        <v>314.9</v>
      </c>
      <c r="N453" s="1" t="n">
        <v>-4.2</v>
      </c>
      <c r="O453" s="1" t="n">
        <f aca="false">O452+N453</f>
        <v>46.3</v>
      </c>
      <c r="P453" s="6" t="n">
        <v>198</v>
      </c>
      <c r="Q453" s="49" t="n">
        <v>1.15</v>
      </c>
      <c r="R453" s="16" t="n">
        <f aca="false">Q453*L453</f>
        <v>4.83</v>
      </c>
      <c r="S453" s="16" t="n">
        <f aca="false">J453-R453</f>
        <v>-4.83</v>
      </c>
      <c r="T453" s="17" t="n">
        <f aca="false">T452+S453</f>
        <v>54.342277992278</v>
      </c>
      <c r="U453" s="1" t="n">
        <v>0</v>
      </c>
      <c r="V453" s="1" t="n">
        <v>2107.8</v>
      </c>
      <c r="X453" s="1" t="n">
        <f aca="false">X452+V453</f>
        <v>155763.5</v>
      </c>
      <c r="Y453" s="49" t="n">
        <f aca="false">Y452+V453</f>
        <v>7864.8</v>
      </c>
      <c r="Z453" s="18" t="n">
        <f aca="false">(Z451/100)/I463</f>
        <v>1.16517277856135</v>
      </c>
      <c r="AA453" s="1" t="n">
        <v>12.2948372846191</v>
      </c>
    </row>
    <row r="454" s="1" customFormat="true" ht="15" hidden="false" customHeight="false" outlineLevel="0" collapsed="false">
      <c r="A454" s="63"/>
      <c r="C454" s="8" t="n">
        <v>40627</v>
      </c>
      <c r="D454" s="1" t="n">
        <v>11.4</v>
      </c>
      <c r="E454" s="1" t="n">
        <v>6.7</v>
      </c>
      <c r="F454" s="1" t="n">
        <v>17.9</v>
      </c>
      <c r="G454" s="1" t="n">
        <f aca="false">G453+D454</f>
        <v>1831.4</v>
      </c>
      <c r="H454" s="49" t="n">
        <f aca="false">H453+D454</f>
        <v>54.4</v>
      </c>
      <c r="I454" s="64" t="s">
        <v>36</v>
      </c>
      <c r="J454" s="1" t="n">
        <v>0</v>
      </c>
      <c r="K454" s="1" t="n">
        <f aca="false">K453+J454</f>
        <v>297.9</v>
      </c>
      <c r="L454" s="1" t="n">
        <v>3.2</v>
      </c>
      <c r="M454" s="1" t="n">
        <f aca="false">M453+L454</f>
        <v>318.1</v>
      </c>
      <c r="N454" s="1" t="n">
        <v>-3.2</v>
      </c>
      <c r="O454" s="1" t="n">
        <f aca="false">O453+N454</f>
        <v>43.1</v>
      </c>
      <c r="P454" s="6" t="n">
        <v>199</v>
      </c>
      <c r="Q454" s="49" t="n">
        <v>1.15</v>
      </c>
      <c r="R454" s="16" t="n">
        <f aca="false">Q454*L454</f>
        <v>3.68</v>
      </c>
      <c r="S454" s="16" t="n">
        <f aca="false">J454-R454</f>
        <v>-3.68</v>
      </c>
      <c r="T454" s="17" t="n">
        <f aca="false">T453+S454</f>
        <v>50.662277992278</v>
      </c>
      <c r="U454" s="64" t="s">
        <v>37</v>
      </c>
      <c r="V454" s="1" t="n">
        <v>1895.4</v>
      </c>
      <c r="X454" s="1" t="n">
        <f aca="false">X453+V454</f>
        <v>157658.9</v>
      </c>
      <c r="Y454" s="49" t="n">
        <f aca="false">Y453+V454</f>
        <v>9760.2</v>
      </c>
      <c r="Z454" s="64" t="s">
        <v>38</v>
      </c>
      <c r="AA454" s="1" t="n">
        <v>12.345269515398</v>
      </c>
    </row>
    <row r="455" s="1" customFormat="true" ht="15" hidden="false" customHeight="false" outlineLevel="0" collapsed="false">
      <c r="A455" s="63" t="s">
        <v>65</v>
      </c>
      <c r="C455" s="8" t="n">
        <v>40628</v>
      </c>
      <c r="D455" s="1" t="n">
        <v>13.1</v>
      </c>
      <c r="E455" s="1" t="n">
        <v>6.1</v>
      </c>
      <c r="F455" s="1" t="n">
        <v>20.7</v>
      </c>
      <c r="G455" s="1" t="n">
        <f aca="false">G454+D455</f>
        <v>1844.5</v>
      </c>
      <c r="H455" s="49" t="n">
        <f aca="false">H454+D455</f>
        <v>67.5</v>
      </c>
      <c r="I455" s="16" t="n">
        <f aca="false">AVERAGE(D450:D470)</f>
        <v>13.5047619047619</v>
      </c>
      <c r="J455" s="1" t="n">
        <v>0.2</v>
      </c>
      <c r="K455" s="1" t="n">
        <f aca="false">K454+J455</f>
        <v>298.1</v>
      </c>
      <c r="L455" s="1" t="n">
        <v>2.8</v>
      </c>
      <c r="M455" s="1" t="n">
        <f aca="false">M454+L455</f>
        <v>320.9</v>
      </c>
      <c r="N455" s="1" t="n">
        <v>-2.6</v>
      </c>
      <c r="O455" s="1" t="n">
        <f aca="false">O454+N455</f>
        <v>40.5</v>
      </c>
      <c r="P455" s="6" t="n">
        <v>200</v>
      </c>
      <c r="Q455" s="49" t="n">
        <v>1.15</v>
      </c>
      <c r="R455" s="16" t="n">
        <f aca="false">Q455*L455</f>
        <v>3.22</v>
      </c>
      <c r="S455" s="16" t="n">
        <f aca="false">J455-R455</f>
        <v>-3.02</v>
      </c>
      <c r="T455" s="17" t="n">
        <f aca="false">T454+S455</f>
        <v>47.642277992278</v>
      </c>
      <c r="U455" s="1" t="n">
        <v>5</v>
      </c>
      <c r="V455" s="1" t="n">
        <v>1629.9</v>
      </c>
      <c r="X455" s="1" t="n">
        <f aca="false">X454+V455</f>
        <v>159288.8</v>
      </c>
      <c r="Y455" s="49" t="n">
        <f aca="false">Y454+V455</f>
        <v>11390.1</v>
      </c>
      <c r="Z455" s="1" t="n">
        <v>5</v>
      </c>
      <c r="AA455" s="1" t="n">
        <v>12.3956652227219</v>
      </c>
    </row>
    <row r="456" s="1" customFormat="true" ht="15" hidden="false" customHeight="false" outlineLevel="0" collapsed="false">
      <c r="A456" s="63"/>
      <c r="C456" s="8" t="n">
        <v>40629</v>
      </c>
      <c r="D456" s="1" t="n">
        <v>12.8</v>
      </c>
      <c r="E456" s="1" t="n">
        <v>9.7</v>
      </c>
      <c r="F456" s="1" t="n">
        <v>17.2</v>
      </c>
      <c r="G456" s="1" t="n">
        <f aca="false">G455+D456</f>
        <v>1857.3</v>
      </c>
      <c r="H456" s="49" t="n">
        <f aca="false">H455+D456</f>
        <v>80.3</v>
      </c>
      <c r="I456" s="64" t="s">
        <v>39</v>
      </c>
      <c r="J456" s="1" t="n">
        <v>6.7</v>
      </c>
      <c r="K456" s="1" t="n">
        <f aca="false">K455+J456</f>
        <v>304.8</v>
      </c>
      <c r="L456" s="1" t="n">
        <v>1.7</v>
      </c>
      <c r="M456" s="1" t="n">
        <f aca="false">M455+L456</f>
        <v>322.6</v>
      </c>
      <c r="N456" s="1" t="n">
        <v>5</v>
      </c>
      <c r="O456" s="1" t="n">
        <f aca="false">O455+N456</f>
        <v>45.5</v>
      </c>
      <c r="P456" s="6" t="n">
        <v>201</v>
      </c>
      <c r="Q456" s="49" t="n">
        <v>1.15</v>
      </c>
      <c r="R456" s="16" t="n">
        <f aca="false">Q456*L456</f>
        <v>1.955</v>
      </c>
      <c r="S456" s="16" t="n">
        <f aca="false">J456-R456</f>
        <v>4.745</v>
      </c>
      <c r="T456" s="17" t="n">
        <f aca="false">T455+S456</f>
        <v>52.387277992278</v>
      </c>
      <c r="U456" s="54" t="s">
        <v>40</v>
      </c>
      <c r="V456" s="1" t="n">
        <v>992.4</v>
      </c>
      <c r="X456" s="1" t="n">
        <f aca="false">X455+V456</f>
        <v>160281.2</v>
      </c>
      <c r="Y456" s="49" t="n">
        <f aca="false">Y455+V456</f>
        <v>12382.5</v>
      </c>
      <c r="AA456" s="1" t="n">
        <v>12.4460185027842</v>
      </c>
    </row>
    <row r="457" s="54" customFormat="true" ht="15" hidden="false" customHeight="false" outlineLevel="0" collapsed="false">
      <c r="A457" s="63"/>
      <c r="B457" s="49"/>
      <c r="C457" s="48" t="n">
        <v>40630</v>
      </c>
      <c r="D457" s="49" t="n">
        <v>11.2</v>
      </c>
      <c r="E457" s="49" t="n">
        <v>10.1</v>
      </c>
      <c r="F457" s="49" t="n">
        <v>12.6</v>
      </c>
      <c r="G457" s="49" t="n">
        <f aca="false">G456+D457</f>
        <v>1868.5</v>
      </c>
      <c r="H457" s="49" t="n">
        <f aca="false">H456+D457</f>
        <v>91.5</v>
      </c>
      <c r="I457" s="1" t="n">
        <v>0</v>
      </c>
      <c r="J457" s="49" t="n">
        <v>3.4</v>
      </c>
      <c r="K457" s="49" t="n">
        <f aca="false">K456+J457</f>
        <v>308.2</v>
      </c>
      <c r="L457" s="49" t="n">
        <v>1</v>
      </c>
      <c r="M457" s="49" t="n">
        <f aca="false">M456+L457</f>
        <v>323.6</v>
      </c>
      <c r="N457" s="49" t="n">
        <v>2.4</v>
      </c>
      <c r="O457" s="49" t="n">
        <f aca="false">O456+N457</f>
        <v>47.9</v>
      </c>
      <c r="P457" s="51" t="n">
        <v>202</v>
      </c>
      <c r="Q457" s="49" t="n">
        <v>1.15</v>
      </c>
      <c r="R457" s="52" t="n">
        <f aca="false">Q457*L457</f>
        <v>1.15</v>
      </c>
      <c r="S457" s="16" t="n">
        <f aca="false">J457-R457</f>
        <v>2.25</v>
      </c>
      <c r="T457" s="17" t="n">
        <f aca="false">T456+S457</f>
        <v>54.637277992278</v>
      </c>
      <c r="U457" s="16" t="n">
        <f aca="false">MIN(T450:T470)</f>
        <v>15.172277992278</v>
      </c>
      <c r="V457" s="49" t="n">
        <v>429.3</v>
      </c>
      <c r="W457" s="49"/>
      <c r="X457" s="49" t="n">
        <f aca="false">X456+V457</f>
        <v>160710.5</v>
      </c>
      <c r="Y457" s="49" t="n">
        <f aca="false">Y456+V457</f>
        <v>12811.8</v>
      </c>
      <c r="Z457" s="49"/>
      <c r="AA457" s="49" t="n">
        <v>12.4963234062244</v>
      </c>
      <c r="AB457" s="49"/>
      <c r="AC457" s="49"/>
      <c r="AD457" s="49"/>
      <c r="AE457" s="49"/>
      <c r="AF457" s="49"/>
      <c r="AG457" s="49"/>
      <c r="AH457" s="49"/>
      <c r="AI457" s="49"/>
      <c r="AJ457" s="49"/>
      <c r="AK457" s="49"/>
      <c r="AL457" s="49"/>
      <c r="AM457" s="49"/>
      <c r="AN457" s="49"/>
      <c r="AO457" s="49"/>
      <c r="AP457" s="49"/>
      <c r="AQ457" s="49"/>
      <c r="AR457" s="49"/>
      <c r="AS457" s="49"/>
      <c r="AT457" s="49"/>
      <c r="AU457" s="49"/>
      <c r="AV457" s="49"/>
      <c r="AW457" s="49"/>
      <c r="AX457" s="49"/>
      <c r="AY457" s="49"/>
      <c r="AZ457" s="49"/>
      <c r="BA457" s="49"/>
      <c r="BB457" s="49"/>
      <c r="BC457" s="49"/>
      <c r="BD457" s="49"/>
      <c r="BE457" s="49"/>
      <c r="BF457" s="49"/>
      <c r="BG457" s="49"/>
      <c r="BH457" s="49"/>
      <c r="BI457" s="49"/>
      <c r="BJ457" s="49"/>
      <c r="BK457" s="49"/>
      <c r="BL457" s="49"/>
      <c r="BM457" s="49"/>
      <c r="BN457" s="49"/>
      <c r="BO457" s="49"/>
      <c r="BP457" s="49"/>
      <c r="BQ457" s="49"/>
      <c r="BR457" s="49"/>
      <c r="BS457" s="49"/>
      <c r="BT457" s="49"/>
      <c r="BU457" s="49"/>
      <c r="BV457" s="49"/>
      <c r="BW457" s="49"/>
      <c r="BX457" s="49"/>
      <c r="BY457" s="49"/>
      <c r="BZ457" s="49"/>
      <c r="CA457" s="49"/>
      <c r="CB457" s="49"/>
      <c r="CC457" s="49"/>
      <c r="CD457" s="49"/>
      <c r="CE457" s="49"/>
      <c r="CF457" s="49"/>
      <c r="CG457" s="49"/>
      <c r="CH457" s="49"/>
      <c r="CI457" s="49"/>
      <c r="CJ457" s="49"/>
      <c r="CK457" s="49"/>
      <c r="CL457" s="49"/>
      <c r="CM457" s="49"/>
      <c r="CN457" s="49"/>
      <c r="CO457" s="49"/>
      <c r="CP457" s="49"/>
      <c r="CQ457" s="49"/>
      <c r="CR457" s="49"/>
      <c r="CS457" s="49"/>
      <c r="CT457" s="49"/>
      <c r="CU457" s="49"/>
      <c r="CV457" s="49"/>
      <c r="CW457" s="49"/>
      <c r="CX457" s="49"/>
      <c r="CY457" s="49"/>
      <c r="CZ457" s="49"/>
      <c r="DA457" s="49"/>
      <c r="DB457" s="49"/>
    </row>
    <row r="458" s="1" customFormat="true" ht="15" hidden="false" customHeight="true" outlineLevel="0" collapsed="false">
      <c r="A458" s="65"/>
      <c r="C458" s="8" t="n">
        <v>40631</v>
      </c>
      <c r="D458" s="1" t="n">
        <v>11.5</v>
      </c>
      <c r="E458" s="1" t="n">
        <v>8.2</v>
      </c>
      <c r="F458" s="1" t="n">
        <v>16</v>
      </c>
      <c r="G458" s="1" t="n">
        <f aca="false">G457+D458</f>
        <v>1880</v>
      </c>
      <c r="H458" s="49" t="n">
        <f aca="false">H457+D458</f>
        <v>103</v>
      </c>
      <c r="I458" s="54" t="s">
        <v>41</v>
      </c>
      <c r="J458" s="1" t="n">
        <v>4.6</v>
      </c>
      <c r="K458" s="1" t="n">
        <f aca="false">K457+J458</f>
        <v>312.8</v>
      </c>
      <c r="L458" s="1" t="n">
        <v>2.2</v>
      </c>
      <c r="M458" s="1" t="n">
        <f aca="false">M457+L458</f>
        <v>325.8</v>
      </c>
      <c r="N458" s="1" t="n">
        <v>2.4</v>
      </c>
      <c r="O458" s="1" t="n">
        <f aca="false">O457+N458</f>
        <v>50.3</v>
      </c>
      <c r="P458" s="6" t="n">
        <v>203</v>
      </c>
      <c r="Q458" s="49" t="n">
        <v>1.15</v>
      </c>
      <c r="R458" s="16" t="n">
        <f aca="false">Q458*L458</f>
        <v>2.53</v>
      </c>
      <c r="S458" s="16" t="n">
        <f aca="false">J458-R458</f>
        <v>2.07</v>
      </c>
      <c r="T458" s="17" t="n">
        <f aca="false">T457+S458</f>
        <v>56.707277992278</v>
      </c>
      <c r="U458" s="64" t="s">
        <v>42</v>
      </c>
      <c r="V458" s="1" t="n">
        <v>1253.2</v>
      </c>
      <c r="X458" s="1" t="n">
        <f aca="false">X457+V458</f>
        <v>161963.7</v>
      </c>
      <c r="Y458" s="49" t="n">
        <f aca="false">Y457+V458</f>
        <v>14065</v>
      </c>
      <c r="AA458" s="1" t="n">
        <v>12.5465739241402</v>
      </c>
    </row>
    <row r="459" s="1" customFormat="true" ht="15" hidden="false" customHeight="false" outlineLevel="0" collapsed="false">
      <c r="A459" s="66"/>
      <c r="C459" s="8" t="n">
        <v>40632</v>
      </c>
      <c r="D459" s="1" t="n">
        <v>11.7</v>
      </c>
      <c r="E459" s="1" t="n">
        <v>8.5</v>
      </c>
      <c r="F459" s="1" t="n">
        <v>13.6</v>
      </c>
      <c r="G459" s="1" t="n">
        <f aca="false">G458+D459</f>
        <v>1891.7</v>
      </c>
      <c r="H459" s="49" t="n">
        <f aca="false">H458+D459</f>
        <v>114.7</v>
      </c>
      <c r="I459" s="1" t="n">
        <v>4</v>
      </c>
      <c r="J459" s="1" t="n">
        <v>3</v>
      </c>
      <c r="K459" s="1" t="n">
        <f aca="false">K458+J459</f>
        <v>315.8</v>
      </c>
      <c r="L459" s="1" t="n">
        <v>1.2</v>
      </c>
      <c r="M459" s="1" t="n">
        <f aca="false">M458+L459</f>
        <v>327</v>
      </c>
      <c r="N459" s="1" t="n">
        <v>1.8</v>
      </c>
      <c r="O459" s="1" t="n">
        <f aca="false">O458+N459</f>
        <v>52.1</v>
      </c>
      <c r="P459" s="6" t="n">
        <v>204</v>
      </c>
      <c r="Q459" s="49" t="n">
        <v>1.15</v>
      </c>
      <c r="R459" s="16" t="n">
        <f aca="false">Q459*L459</f>
        <v>1.38</v>
      </c>
      <c r="S459" s="16" t="n">
        <f aca="false">J459-R459</f>
        <v>1.62</v>
      </c>
      <c r="T459" s="17" t="n">
        <f aca="false">T458+S459</f>
        <v>58.327277992278</v>
      </c>
      <c r="U459" s="16" t="n">
        <f aca="false">MAX(T450:T470)</f>
        <v>68.372277992278</v>
      </c>
      <c r="V459" s="1" t="n">
        <v>648.8</v>
      </c>
      <c r="X459" s="1" t="n">
        <f aca="false">X458+V459</f>
        <v>162612.5</v>
      </c>
      <c r="Y459" s="49" t="n">
        <f aca="false">Y458+V459</f>
        <v>14713.8</v>
      </c>
      <c r="AA459" s="1" t="n">
        <v>12.5967639741929</v>
      </c>
    </row>
    <row r="460" s="1" customFormat="true" ht="15" hidden="false" customHeight="false" outlineLevel="0" collapsed="false">
      <c r="A460" s="66"/>
      <c r="C460" s="8" t="n">
        <v>40633</v>
      </c>
      <c r="D460" s="1" t="n">
        <v>14</v>
      </c>
      <c r="E460" s="1" t="n">
        <v>13.1</v>
      </c>
      <c r="F460" s="1" t="n">
        <v>16.3</v>
      </c>
      <c r="G460" s="1" t="n">
        <f aca="false">G459+D460</f>
        <v>1905.7</v>
      </c>
      <c r="H460" s="49" t="n">
        <f aca="false">H459+D460</f>
        <v>128.7</v>
      </c>
      <c r="I460" s="64" t="s">
        <v>43</v>
      </c>
      <c r="J460" s="1" t="n">
        <v>0.2</v>
      </c>
      <c r="K460" s="1" t="n">
        <f aca="false">K459+J460</f>
        <v>316</v>
      </c>
      <c r="L460" s="1" t="n">
        <v>1.4</v>
      </c>
      <c r="M460" s="1" t="n">
        <f aca="false">M459+L460</f>
        <v>328.4</v>
      </c>
      <c r="N460" s="1" t="n">
        <v>-1.2</v>
      </c>
      <c r="O460" s="1" t="n">
        <f aca="false">O459+N460</f>
        <v>50.9</v>
      </c>
      <c r="P460" s="6" t="n">
        <v>205</v>
      </c>
      <c r="Q460" s="49" t="n">
        <v>1.15</v>
      </c>
      <c r="R460" s="16" t="n">
        <f aca="false">Q460*L460</f>
        <v>1.61</v>
      </c>
      <c r="S460" s="16" t="n">
        <f aca="false">J460-R460</f>
        <v>-1.41</v>
      </c>
      <c r="T460" s="17" t="n">
        <f aca="false">T459+S460</f>
        <v>56.917277992278</v>
      </c>
      <c r="U460" s="64" t="s">
        <v>44</v>
      </c>
      <c r="V460" s="1" t="n">
        <v>496.1</v>
      </c>
      <c r="X460" s="1" t="n">
        <f aca="false">X459+V460</f>
        <v>163108.6</v>
      </c>
      <c r="Y460" s="49" t="n">
        <f aca="false">Y459+V460</f>
        <v>15209.9</v>
      </c>
      <c r="AA460" s="1" t="n">
        <v>12.6468873868126</v>
      </c>
    </row>
    <row r="461" s="1" customFormat="true" ht="15" hidden="false" customHeight="false" outlineLevel="0" collapsed="false">
      <c r="A461" s="66"/>
      <c r="C461" s="8" t="n">
        <v>40634</v>
      </c>
      <c r="D461" s="1" t="n">
        <v>15.1</v>
      </c>
      <c r="E461" s="1" t="n">
        <v>5.7</v>
      </c>
      <c r="F461" s="1" t="n">
        <v>21.7</v>
      </c>
      <c r="G461" s="1" t="n">
        <f aca="false">G460+D461</f>
        <v>1920.8</v>
      </c>
      <c r="H461" s="49" t="n">
        <f aca="false">H460+D461</f>
        <v>143.8</v>
      </c>
      <c r="I461" s="1" t="n">
        <v>3</v>
      </c>
      <c r="J461" s="1" t="n">
        <v>0</v>
      </c>
      <c r="K461" s="1" t="n">
        <f aca="false">K460+J461</f>
        <v>316</v>
      </c>
      <c r="L461" s="1" t="n">
        <v>2.9</v>
      </c>
      <c r="M461" s="1" t="n">
        <f aca="false">M460+L461</f>
        <v>331.3</v>
      </c>
      <c r="N461" s="1" t="n">
        <v>-2.9</v>
      </c>
      <c r="O461" s="1" t="n">
        <f aca="false">O460+N461</f>
        <v>48</v>
      </c>
      <c r="P461" s="6" t="n">
        <v>206</v>
      </c>
      <c r="Q461" s="49" t="n">
        <v>1.15</v>
      </c>
      <c r="R461" s="16" t="n">
        <f aca="false">Q461*L461</f>
        <v>3.335</v>
      </c>
      <c r="S461" s="16" t="n">
        <f aca="false">J461-R461</f>
        <v>-3.335</v>
      </c>
      <c r="T461" s="17" t="n">
        <f aca="false">T460+S461</f>
        <v>53.582277992278</v>
      </c>
      <c r="U461" s="18" t="n">
        <f aca="false">AVERAGE(T450:T470)</f>
        <v>46.7294208494208</v>
      </c>
      <c r="V461" s="1" t="n">
        <v>1883.3</v>
      </c>
      <c r="X461" s="1" t="n">
        <f aca="false">X460+V461</f>
        <v>164991.9</v>
      </c>
      <c r="Y461" s="49" t="n">
        <f aca="false">Y460+V461</f>
        <v>17093.2</v>
      </c>
      <c r="AA461" s="1" t="n">
        <v>12.6969378915059</v>
      </c>
    </row>
    <row r="462" s="1" customFormat="true" ht="15" hidden="false" customHeight="false" outlineLevel="0" collapsed="false">
      <c r="A462" s="66"/>
      <c r="C462" s="8" t="n">
        <v>40635</v>
      </c>
      <c r="D462" s="1" t="n">
        <v>15.1</v>
      </c>
      <c r="E462" s="1" t="n">
        <v>11.6</v>
      </c>
      <c r="F462" s="1" t="n">
        <v>19.7</v>
      </c>
      <c r="G462" s="1" t="n">
        <f aca="false">G461+D462</f>
        <v>1935.9</v>
      </c>
      <c r="H462" s="49" t="n">
        <f aca="false">H461+D462</f>
        <v>158.9</v>
      </c>
      <c r="I462" s="64" t="s">
        <v>45</v>
      </c>
      <c r="J462" s="1" t="n">
        <v>0</v>
      </c>
      <c r="K462" s="1" t="n">
        <f aca="false">K461+J462</f>
        <v>316</v>
      </c>
      <c r="L462" s="1" t="n">
        <v>3.5</v>
      </c>
      <c r="M462" s="1" t="n">
        <f aca="false">M461+L462</f>
        <v>334.8</v>
      </c>
      <c r="N462" s="1" t="n">
        <v>-3.5</v>
      </c>
      <c r="O462" s="1" t="n">
        <f aca="false">O461+N462</f>
        <v>44.5</v>
      </c>
      <c r="P462" s="6" t="n">
        <v>207</v>
      </c>
      <c r="Q462" s="49" t="n">
        <v>1.15</v>
      </c>
      <c r="R462" s="16" t="n">
        <f aca="false">Q462*L462</f>
        <v>4.025</v>
      </c>
      <c r="S462" s="16" t="n">
        <f aca="false">J462-R462</f>
        <v>-4.025</v>
      </c>
      <c r="T462" s="17" t="n">
        <f aca="false">T461+S462</f>
        <v>49.557277992278</v>
      </c>
      <c r="V462" s="1" t="n">
        <v>1622.1</v>
      </c>
      <c r="X462" s="1" t="n">
        <f aca="false">X461+V462</f>
        <v>166614</v>
      </c>
      <c r="Y462" s="49" t="n">
        <f aca="false">Y461+V462</f>
        <v>18715.3</v>
      </c>
      <c r="AA462" s="1" t="n">
        <v>12.7469091032715</v>
      </c>
    </row>
    <row r="463" s="1" customFormat="true" ht="15" hidden="false" customHeight="false" outlineLevel="0" collapsed="false">
      <c r="A463" s="66"/>
      <c r="C463" s="8" t="n">
        <v>40636</v>
      </c>
      <c r="D463" s="1" t="n">
        <v>13.3</v>
      </c>
      <c r="E463" s="1" t="n">
        <v>12.7</v>
      </c>
      <c r="F463" s="1" t="n">
        <v>14.7</v>
      </c>
      <c r="G463" s="1" t="n">
        <f aca="false">G462+D463</f>
        <v>1949.2</v>
      </c>
      <c r="H463" s="49" t="n">
        <f aca="false">H462+D463</f>
        <v>172.2</v>
      </c>
      <c r="I463" s="1" t="n">
        <v>283.6</v>
      </c>
      <c r="J463" s="1" t="n">
        <v>0</v>
      </c>
      <c r="K463" s="1" t="n">
        <f aca="false">K462+J463</f>
        <v>316</v>
      </c>
      <c r="L463" s="1" t="n">
        <v>1</v>
      </c>
      <c r="M463" s="1" t="n">
        <f aca="false">M462+L463</f>
        <v>335.8</v>
      </c>
      <c r="N463" s="1" t="n">
        <v>-1</v>
      </c>
      <c r="O463" s="1" t="n">
        <f aca="false">O462+N463</f>
        <v>43.5</v>
      </c>
      <c r="P463" s="6" t="n">
        <v>208</v>
      </c>
      <c r="Q463" s="49" t="n">
        <v>1.15</v>
      </c>
      <c r="R463" s="16" t="n">
        <f aca="false">Q463*L463</f>
        <v>1.15</v>
      </c>
      <c r="S463" s="16" t="n">
        <f aca="false">J463-R463</f>
        <v>-1.15</v>
      </c>
      <c r="T463" s="17" t="n">
        <f aca="false">T462+S463</f>
        <v>48.407277992278</v>
      </c>
      <c r="U463" s="16" t="n">
        <f aca="false">(U461*100)/122.1</f>
        <v>38.2714339471096</v>
      </c>
      <c r="V463" s="1" t="n">
        <v>334</v>
      </c>
      <c r="X463" s="1" t="n">
        <f aca="false">X462+V463</f>
        <v>166948</v>
      </c>
      <c r="Y463" s="49" t="n">
        <f aca="false">Y462+V463</f>
        <v>19049.3</v>
      </c>
      <c r="AA463" s="1" t="n">
        <v>12.7967945091298</v>
      </c>
    </row>
    <row r="464" s="1" customFormat="true" ht="15" hidden="false" customHeight="false" outlineLevel="0" collapsed="false">
      <c r="A464" s="66"/>
      <c r="C464" s="8" t="n">
        <v>40637</v>
      </c>
      <c r="D464" s="1" t="n">
        <v>12.7</v>
      </c>
      <c r="E464" s="1" t="n">
        <v>10.4</v>
      </c>
      <c r="F464" s="1" t="n">
        <v>17.7</v>
      </c>
      <c r="G464" s="1" t="n">
        <f aca="false">G463+D464</f>
        <v>1961.9</v>
      </c>
      <c r="H464" s="49" t="n">
        <f aca="false">H463+D464</f>
        <v>184.9</v>
      </c>
      <c r="J464" s="1" t="n">
        <v>0</v>
      </c>
      <c r="K464" s="1" t="n">
        <f aca="false">K463+J464</f>
        <v>316</v>
      </c>
      <c r="L464" s="1" t="n">
        <v>3</v>
      </c>
      <c r="M464" s="1" t="n">
        <f aca="false">M463+L464</f>
        <v>338.8</v>
      </c>
      <c r="N464" s="1" t="n">
        <v>-3</v>
      </c>
      <c r="O464" s="1" t="n">
        <f aca="false">O463+N464</f>
        <v>40.5</v>
      </c>
      <c r="P464" s="6" t="n">
        <v>209</v>
      </c>
      <c r="Q464" s="49" t="n">
        <v>1.15</v>
      </c>
      <c r="R464" s="16" t="n">
        <f aca="false">Q464*L464</f>
        <v>3.45</v>
      </c>
      <c r="S464" s="16" t="n">
        <f aca="false">J464-R464</f>
        <v>-3.45</v>
      </c>
      <c r="T464" s="17" t="n">
        <f aca="false">T463+S464</f>
        <v>44.957277992278</v>
      </c>
      <c r="V464" s="1" t="n">
        <v>1501.8</v>
      </c>
      <c r="X464" s="1" t="n">
        <f aca="false">X463+V464</f>
        <v>168449.8</v>
      </c>
      <c r="Y464" s="49" t="n">
        <f aca="false">Y463+V464</f>
        <v>20551.1</v>
      </c>
      <c r="AA464" s="1" t="n">
        <v>12.8465874547739</v>
      </c>
    </row>
    <row r="465" s="1" customFormat="true" ht="15" hidden="false" customHeight="false" outlineLevel="0" collapsed="false">
      <c r="A465" s="66"/>
      <c r="C465" s="8" t="n">
        <v>40638</v>
      </c>
      <c r="D465" s="1" t="n">
        <v>13.2</v>
      </c>
      <c r="E465" s="1" t="n">
        <v>5</v>
      </c>
      <c r="F465" s="1" t="n">
        <v>20.5</v>
      </c>
      <c r="G465" s="1" t="n">
        <f aca="false">G464+D465</f>
        <v>1975.1</v>
      </c>
      <c r="H465" s="49" t="n">
        <f aca="false">H464+D465</f>
        <v>198.1</v>
      </c>
      <c r="J465" s="1" t="n">
        <v>0</v>
      </c>
      <c r="K465" s="1" t="n">
        <f aca="false">K464+J465</f>
        <v>316</v>
      </c>
      <c r="L465" s="1" t="n">
        <v>3.6</v>
      </c>
      <c r="M465" s="1" t="n">
        <f aca="false">M464+L465</f>
        <v>342.4</v>
      </c>
      <c r="N465" s="1" t="n">
        <v>-3.6</v>
      </c>
      <c r="O465" s="1" t="n">
        <f aca="false">O464+N465</f>
        <v>36.9</v>
      </c>
      <c r="P465" s="6" t="n">
        <v>210</v>
      </c>
      <c r="Q465" s="49" t="n">
        <v>1.15</v>
      </c>
      <c r="R465" s="16" t="n">
        <f aca="false">Q465*L465</f>
        <v>4.14</v>
      </c>
      <c r="S465" s="16" t="n">
        <f aca="false">J465-R465</f>
        <v>-4.14</v>
      </c>
      <c r="T465" s="17" t="n">
        <f aca="false">T464+S465</f>
        <v>40.817277992278</v>
      </c>
      <c r="V465" s="1" t="n">
        <v>2163.9</v>
      </c>
      <c r="X465" s="1" t="n">
        <f aca="false">X464+V465</f>
        <v>170613.7</v>
      </c>
      <c r="Y465" s="49" t="n">
        <f aca="false">Y464+V465</f>
        <v>22715</v>
      </c>
      <c r="AA465" s="1" t="n">
        <v>12.8962811313497</v>
      </c>
    </row>
    <row r="466" s="1" customFormat="true" ht="15" hidden="false" customHeight="false" outlineLevel="0" collapsed="false">
      <c r="A466" s="66"/>
      <c r="C466" s="8" t="n">
        <v>40639</v>
      </c>
      <c r="D466" s="1" t="n">
        <v>15.3</v>
      </c>
      <c r="E466" s="1" t="n">
        <v>6.1</v>
      </c>
      <c r="F466" s="1" t="n">
        <v>25.6</v>
      </c>
      <c r="G466" s="1" t="n">
        <f aca="false">G465+D466</f>
        <v>1990.4</v>
      </c>
      <c r="H466" s="49" t="n">
        <f aca="false">H465+D466</f>
        <v>213.4</v>
      </c>
      <c r="J466" s="1" t="n">
        <v>0</v>
      </c>
      <c r="K466" s="1" t="n">
        <f aca="false">K465+J466</f>
        <v>316</v>
      </c>
      <c r="L466" s="1" t="n">
        <v>5</v>
      </c>
      <c r="M466" s="1" t="n">
        <f aca="false">M465+L466</f>
        <v>347.4</v>
      </c>
      <c r="N466" s="1" t="n">
        <v>-5</v>
      </c>
      <c r="O466" s="1" t="n">
        <f aca="false">O465+N466</f>
        <v>31.9</v>
      </c>
      <c r="P466" s="6" t="n">
        <v>211</v>
      </c>
      <c r="Q466" s="49" t="n">
        <v>1.15</v>
      </c>
      <c r="R466" s="16" t="n">
        <f aca="false">Q466*L466</f>
        <v>5.75</v>
      </c>
      <c r="S466" s="16" t="n">
        <f aca="false">J466-R466</f>
        <v>-5.75</v>
      </c>
      <c r="T466" s="17" t="n">
        <f aca="false">T465+S466</f>
        <v>35.067277992278</v>
      </c>
      <c r="V466" s="1" t="n">
        <v>2268.2</v>
      </c>
      <c r="X466" s="1" t="n">
        <f aca="false">X465+V466</f>
        <v>172881.9</v>
      </c>
      <c r="Y466" s="49" t="n">
        <f aca="false">Y465+V466</f>
        <v>24983.2</v>
      </c>
      <c r="AA466" s="1" t="n">
        <v>12.9458685623751</v>
      </c>
    </row>
    <row r="467" s="1" customFormat="true" ht="15" hidden="false" customHeight="false" outlineLevel="0" collapsed="false">
      <c r="A467" s="66"/>
      <c r="C467" s="8" t="n">
        <v>40640</v>
      </c>
      <c r="D467" s="1" t="n">
        <v>18</v>
      </c>
      <c r="E467" s="1" t="n">
        <v>9.2</v>
      </c>
      <c r="F467" s="1" t="n">
        <v>25.5</v>
      </c>
      <c r="G467" s="1" t="n">
        <f aca="false">G466+D467</f>
        <v>2008.4</v>
      </c>
      <c r="H467" s="49" t="n">
        <f aca="false">H466+D467</f>
        <v>231.4</v>
      </c>
      <c r="J467" s="1" t="n">
        <v>0</v>
      </c>
      <c r="K467" s="1" t="n">
        <f aca="false">K466+J467</f>
        <v>316</v>
      </c>
      <c r="L467" s="1" t="n">
        <v>4.9</v>
      </c>
      <c r="M467" s="1" t="n">
        <f aca="false">M466+L467</f>
        <v>352.3</v>
      </c>
      <c r="N467" s="1" t="n">
        <v>-4.9</v>
      </c>
      <c r="O467" s="1" t="n">
        <f aca="false">O466+N467</f>
        <v>27</v>
      </c>
      <c r="P467" s="6" t="n">
        <v>212</v>
      </c>
      <c r="Q467" s="49" t="n">
        <v>1.15</v>
      </c>
      <c r="R467" s="16" t="n">
        <f aca="false">Q467*L467</f>
        <v>5.635</v>
      </c>
      <c r="S467" s="16" t="n">
        <f aca="false">J467-R467</f>
        <v>-5.635</v>
      </c>
      <c r="T467" s="17" t="n">
        <f aca="false">T466+S467</f>
        <v>29.432277992278</v>
      </c>
      <c r="V467" s="1" t="n">
        <v>2452.7</v>
      </c>
      <c r="X467" s="1" t="n">
        <f aca="false">X466+V467</f>
        <v>175334.6</v>
      </c>
      <c r="Y467" s="49" t="n">
        <f aca="false">Y466+V467</f>
        <v>27435.9</v>
      </c>
      <c r="AA467" s="1" t="n">
        <v>12.9953425908089</v>
      </c>
    </row>
    <row r="468" s="1" customFormat="true" ht="15" hidden="false" customHeight="false" outlineLevel="0" collapsed="false">
      <c r="A468" s="66"/>
      <c r="C468" s="8" t="n">
        <v>40641</v>
      </c>
      <c r="D468" s="1" t="n">
        <v>18.5</v>
      </c>
      <c r="E468" s="1" t="n">
        <v>9.8</v>
      </c>
      <c r="F468" s="1" t="n">
        <v>28.1</v>
      </c>
      <c r="G468" s="1" t="n">
        <f aca="false">G467+D468</f>
        <v>2026.9</v>
      </c>
      <c r="H468" s="49" t="n">
        <f aca="false">H467+D468</f>
        <v>249.9</v>
      </c>
      <c r="J468" s="1" t="n">
        <v>0</v>
      </c>
      <c r="K468" s="1" t="n">
        <f aca="false">K467+J468</f>
        <v>316</v>
      </c>
      <c r="L468" s="1" t="n">
        <v>5.2</v>
      </c>
      <c r="M468" s="1" t="n">
        <f aca="false">M467+L468</f>
        <v>357.5</v>
      </c>
      <c r="N468" s="1" t="n">
        <v>-5.2</v>
      </c>
      <c r="O468" s="1" t="n">
        <f aca="false">O467+N468</f>
        <v>21.8</v>
      </c>
      <c r="P468" s="6" t="n">
        <v>213</v>
      </c>
      <c r="Q468" s="49" t="n">
        <v>1.15</v>
      </c>
      <c r="R468" s="16" t="n">
        <f aca="false">Q468*L468</f>
        <v>5.98</v>
      </c>
      <c r="S468" s="16" t="n">
        <f aca="false">J468-R468</f>
        <v>-5.98</v>
      </c>
      <c r="T468" s="17" t="n">
        <f aca="false">T467+S468</f>
        <v>23.452277992278</v>
      </c>
      <c r="V468" s="1" t="n">
        <v>2455.4</v>
      </c>
      <c r="X468" s="1" t="n">
        <f aca="false">X467+V468</f>
        <v>177790</v>
      </c>
      <c r="Y468" s="49" t="n">
        <f aca="false">Y467+V468</f>
        <v>29891.3</v>
      </c>
      <c r="AA468" s="1" t="n">
        <v>13.0446958662831</v>
      </c>
    </row>
    <row r="469" s="49" customFormat="true" ht="15" hidden="false" customHeight="false" outlineLevel="0" collapsed="false">
      <c r="A469" s="65"/>
      <c r="C469" s="48" t="n">
        <v>40642</v>
      </c>
      <c r="D469" s="49" t="n">
        <v>18.4</v>
      </c>
      <c r="E469" s="49" t="n">
        <v>8.6</v>
      </c>
      <c r="F469" s="49" t="n">
        <v>27.7</v>
      </c>
      <c r="G469" s="49" t="n">
        <f aca="false">G468+D469</f>
        <v>2045.3</v>
      </c>
      <c r="H469" s="49" t="n">
        <f aca="false">H468+D469</f>
        <v>268.3</v>
      </c>
      <c r="J469" s="49" t="n">
        <v>0</v>
      </c>
      <c r="K469" s="49" t="n">
        <f aca="false">K468+J469</f>
        <v>316</v>
      </c>
      <c r="L469" s="49" t="n">
        <v>5</v>
      </c>
      <c r="M469" s="49" t="n">
        <f aca="false">M468+L469</f>
        <v>362.5</v>
      </c>
      <c r="N469" s="49" t="n">
        <v>-5</v>
      </c>
      <c r="O469" s="49" t="n">
        <f aca="false">O468+N469</f>
        <v>16.8</v>
      </c>
      <c r="P469" s="51" t="n">
        <v>214</v>
      </c>
      <c r="Q469" s="49" t="n">
        <v>1.15</v>
      </c>
      <c r="R469" s="52" t="n">
        <f aca="false">Q469*L469</f>
        <v>5.75</v>
      </c>
      <c r="S469" s="52" t="n">
        <f aca="false">J469-R469</f>
        <v>-5.75</v>
      </c>
      <c r="T469" s="17" t="n">
        <f aca="false">T468+S469</f>
        <v>17.702277992278</v>
      </c>
      <c r="V469" s="49" t="n">
        <v>2335.9</v>
      </c>
      <c r="X469" s="49" t="n">
        <f aca="false">X468+V469</f>
        <v>180125.9</v>
      </c>
      <c r="Y469" s="49" t="n">
        <f aca="false">Y468+V469</f>
        <v>32227.2</v>
      </c>
      <c r="AA469" s="49" t="n">
        <v>13.0939208325112</v>
      </c>
    </row>
    <row r="470" s="31" customFormat="true" ht="15" hidden="false" customHeight="true" outlineLevel="0" collapsed="false">
      <c r="A470" s="67" t="s">
        <v>66</v>
      </c>
      <c r="B470" s="29"/>
      <c r="C470" s="30" t="n">
        <v>40643</v>
      </c>
      <c r="D470" s="31" t="n">
        <v>15.3</v>
      </c>
      <c r="E470" s="31" t="n">
        <v>13.7</v>
      </c>
      <c r="F470" s="31" t="n">
        <v>17.5</v>
      </c>
      <c r="G470" s="31" t="n">
        <f aca="false">G469+D470</f>
        <v>2060.6</v>
      </c>
      <c r="H470" s="31" t="n">
        <f aca="false">H469+D470</f>
        <v>283.6</v>
      </c>
      <c r="J470" s="31" t="n">
        <v>0</v>
      </c>
      <c r="K470" s="31" t="n">
        <f aca="false">K469+J470</f>
        <v>316</v>
      </c>
      <c r="L470" s="31" t="n">
        <v>2.2</v>
      </c>
      <c r="M470" s="31" t="n">
        <f aca="false">M469+L470</f>
        <v>364.7</v>
      </c>
      <c r="N470" s="31" t="n">
        <v>-2.2</v>
      </c>
      <c r="O470" s="31" t="n">
        <f aca="false">O469+N470</f>
        <v>14.6</v>
      </c>
      <c r="P470" s="32" t="n">
        <v>215</v>
      </c>
      <c r="Q470" s="31" t="n">
        <v>1.15</v>
      </c>
      <c r="R470" s="33" t="n">
        <f aca="false">Q470*L470</f>
        <v>2.53</v>
      </c>
      <c r="S470" s="33" t="n">
        <f aca="false">J470-R470</f>
        <v>-2.53</v>
      </c>
      <c r="T470" s="68" t="n">
        <f aca="false">T469+S470</f>
        <v>15.172277992278</v>
      </c>
      <c r="V470" s="31" t="n">
        <v>817.1</v>
      </c>
      <c r="X470" s="31" t="n">
        <f aca="false">X469+V470</f>
        <v>180943</v>
      </c>
      <c r="Y470" s="31" t="n">
        <f aca="false">Y469+V470</f>
        <v>33044.3</v>
      </c>
      <c r="AA470" s="31" t="n">
        <v>13.1430097148896</v>
      </c>
    </row>
    <row r="471" s="1" customFormat="true" ht="15" hidden="false" customHeight="false" outlineLevel="0" collapsed="false">
      <c r="A471" s="69" t="n">
        <v>300</v>
      </c>
      <c r="B471" s="2"/>
      <c r="C471" s="8" t="n">
        <v>40644</v>
      </c>
      <c r="D471" s="1" t="n">
        <v>15.7</v>
      </c>
      <c r="E471" s="1" t="n">
        <v>13.3</v>
      </c>
      <c r="F471" s="1" t="n">
        <v>19.9</v>
      </c>
      <c r="G471" s="1" t="n">
        <f aca="false">G470+D471</f>
        <v>2076.3</v>
      </c>
      <c r="H471" s="49" t="n">
        <f aca="false">D471</f>
        <v>15.7</v>
      </c>
      <c r="I471" s="70" t="s">
        <v>30</v>
      </c>
      <c r="J471" s="1" t="n">
        <v>0.3</v>
      </c>
      <c r="K471" s="1" t="n">
        <f aca="false">K470+J471</f>
        <v>316.3</v>
      </c>
      <c r="L471" s="1" t="n">
        <v>3.4</v>
      </c>
      <c r="M471" s="1" t="n">
        <f aca="false">M470+L471</f>
        <v>368.1</v>
      </c>
      <c r="N471" s="1" t="n">
        <v>-3.1</v>
      </c>
      <c r="O471" s="1" t="n">
        <f aca="false">O470+N471</f>
        <v>11.5</v>
      </c>
      <c r="P471" s="6" t="n">
        <v>216</v>
      </c>
      <c r="Q471" s="49" t="n">
        <v>1.15</v>
      </c>
      <c r="R471" s="16" t="n">
        <f aca="false">Q471*L471</f>
        <v>3.91</v>
      </c>
      <c r="S471" s="16" t="n">
        <f aca="false">J471-R471</f>
        <v>-3.61</v>
      </c>
      <c r="T471" s="17" t="n">
        <f aca="false">T470+S471</f>
        <v>11.562277992278</v>
      </c>
      <c r="U471" s="70" t="s">
        <v>31</v>
      </c>
      <c r="V471" s="1" t="n">
        <v>1493.6</v>
      </c>
      <c r="X471" s="1" t="n">
        <f aca="false">X470+V471</f>
        <v>182436.6</v>
      </c>
      <c r="Y471" s="49" t="n">
        <f aca="false">V471</f>
        <v>1493.6</v>
      </c>
      <c r="Z471" s="70" t="s">
        <v>32</v>
      </c>
      <c r="AA471" s="1" t="n">
        <v>13.1919545083099</v>
      </c>
    </row>
    <row r="472" s="1" customFormat="true" ht="15" hidden="false" customHeight="false" outlineLevel="0" collapsed="false">
      <c r="A472" s="69"/>
      <c r="B472" s="2"/>
      <c r="C472" s="8" t="n">
        <v>40645</v>
      </c>
      <c r="D472" s="1" t="n">
        <v>13.2</v>
      </c>
      <c r="E472" s="1" t="n">
        <v>12.4</v>
      </c>
      <c r="F472" s="1" t="n">
        <v>15.9</v>
      </c>
      <c r="G472" s="1" t="n">
        <f aca="false">G471+D472</f>
        <v>2089.5</v>
      </c>
      <c r="H472" s="49" t="n">
        <f aca="false">H471+D472</f>
        <v>28.9</v>
      </c>
      <c r="I472" s="1" t="n">
        <f aca="false">MIN(E471:E491)</f>
        <v>4.3</v>
      </c>
      <c r="J472" s="1" t="n">
        <v>0.6</v>
      </c>
      <c r="K472" s="1" t="n">
        <f aca="false">K471+J472</f>
        <v>316.9</v>
      </c>
      <c r="L472" s="1" t="n">
        <v>2.2</v>
      </c>
      <c r="M472" s="1" t="n">
        <f aca="false">M471+L472</f>
        <v>370.3</v>
      </c>
      <c r="N472" s="1" t="n">
        <v>-1.6</v>
      </c>
      <c r="O472" s="1" t="n">
        <f aca="false">O471+N472</f>
        <v>9.89999999999997</v>
      </c>
      <c r="P472" s="6" t="n">
        <v>217</v>
      </c>
      <c r="Q472" s="49" t="n">
        <v>1.15</v>
      </c>
      <c r="R472" s="16" t="n">
        <f aca="false">Q472*L472</f>
        <v>2.53</v>
      </c>
      <c r="S472" s="16" t="n">
        <f aca="false">J472-R472</f>
        <v>-1.93</v>
      </c>
      <c r="T472" s="17" t="n">
        <f aca="false">T471+S472</f>
        <v>9.63227799227798</v>
      </c>
      <c r="U472" s="1" t="n">
        <v>19</v>
      </c>
      <c r="V472" s="1" t="n">
        <v>990.5</v>
      </c>
      <c r="X472" s="1" t="n">
        <f aca="false">X471+V472</f>
        <v>183427.1</v>
      </c>
      <c r="Y472" s="49" t="n">
        <f aca="false">Y471+V472</f>
        <v>2484.1</v>
      </c>
      <c r="Z472" s="1" t="n">
        <v>40908</v>
      </c>
      <c r="AA472" s="1" t="n">
        <v>13.2407469652017</v>
      </c>
    </row>
    <row r="473" s="1" customFormat="true" ht="15" hidden="false" customHeight="false" outlineLevel="0" collapsed="false">
      <c r="A473" s="69"/>
      <c r="B473" s="2"/>
      <c r="C473" s="8" t="n">
        <v>40646</v>
      </c>
      <c r="D473" s="1" t="n">
        <v>11</v>
      </c>
      <c r="E473" s="1" t="n">
        <v>4.3</v>
      </c>
      <c r="F473" s="1" t="n">
        <v>18.2</v>
      </c>
      <c r="G473" s="1" t="n">
        <f aca="false">G472+D473</f>
        <v>2100.5</v>
      </c>
      <c r="H473" s="49" t="n">
        <f aca="false">H472+D473</f>
        <v>39.9</v>
      </c>
      <c r="I473" s="71" t="s">
        <v>33</v>
      </c>
      <c r="J473" s="1" t="n">
        <v>0</v>
      </c>
      <c r="K473" s="1" t="n">
        <f aca="false">K472+J473</f>
        <v>316.9</v>
      </c>
      <c r="L473" s="1" t="n">
        <v>3</v>
      </c>
      <c r="M473" s="1" t="n">
        <f aca="false">M472+L473</f>
        <v>373.3</v>
      </c>
      <c r="N473" s="1" t="n">
        <v>-3</v>
      </c>
      <c r="O473" s="1" t="n">
        <f aca="false">O472+N473</f>
        <v>6.89999999999997</v>
      </c>
      <c r="P473" s="6" t="n">
        <v>218</v>
      </c>
      <c r="Q473" s="49" t="n">
        <v>1.15</v>
      </c>
      <c r="R473" s="16" t="n">
        <f aca="false">Q473*L473</f>
        <v>3.45</v>
      </c>
      <c r="S473" s="16" t="n">
        <f aca="false">J473-R473</f>
        <v>-3.45</v>
      </c>
      <c r="T473" s="17" t="n">
        <f aca="false">T472+S473</f>
        <v>6.18227799227798</v>
      </c>
      <c r="U473" s="71" t="s">
        <v>34</v>
      </c>
      <c r="V473" s="1" t="n">
        <v>1960.7</v>
      </c>
      <c r="X473" s="1" t="n">
        <f aca="false">X472+V473</f>
        <v>185387.8</v>
      </c>
      <c r="Y473" s="49" t="n">
        <f aca="false">Y472+V473</f>
        <v>4444.8</v>
      </c>
      <c r="Z473" s="71" t="s">
        <v>35</v>
      </c>
      <c r="AA473" s="1" t="n">
        <v>13.2893785838275</v>
      </c>
    </row>
    <row r="474" s="1" customFormat="true" ht="15" hidden="false" customHeight="false" outlineLevel="0" collapsed="false">
      <c r="A474" s="69"/>
      <c r="B474" s="2"/>
      <c r="C474" s="8" t="n">
        <v>40647</v>
      </c>
      <c r="D474" s="1" t="n">
        <v>12.9</v>
      </c>
      <c r="E474" s="1" t="n">
        <v>5.7</v>
      </c>
      <c r="F474" s="1" t="n">
        <v>21</v>
      </c>
      <c r="G474" s="1" t="n">
        <f aca="false">G473+D474</f>
        <v>2113.4</v>
      </c>
      <c r="H474" s="49" t="n">
        <f aca="false">H473+D474</f>
        <v>52.8</v>
      </c>
      <c r="I474" s="1" t="n">
        <f aca="false">MAX(F471:F491)</f>
        <v>23</v>
      </c>
      <c r="J474" s="1" t="n">
        <v>0</v>
      </c>
      <c r="K474" s="1" t="n">
        <f aca="false">K473+J474</f>
        <v>316.9</v>
      </c>
      <c r="L474" s="1" t="n">
        <v>4.1</v>
      </c>
      <c r="M474" s="1" t="n">
        <f aca="false">M473+L474</f>
        <v>377.4</v>
      </c>
      <c r="N474" s="1" t="n">
        <v>-4.1</v>
      </c>
      <c r="O474" s="1" t="n">
        <f aca="false">O473+N474</f>
        <v>2.79999999999997</v>
      </c>
      <c r="P474" s="6" t="n">
        <v>219</v>
      </c>
      <c r="Q474" s="49" t="n">
        <v>1.15</v>
      </c>
      <c r="R474" s="16" t="n">
        <f aca="false">Q474*L474</f>
        <v>4.715</v>
      </c>
      <c r="S474" s="16" t="n">
        <f aca="false">J474-R474</f>
        <v>-4.715</v>
      </c>
      <c r="T474" s="17" t="n">
        <f aca="false">T473+S474</f>
        <v>1.46727799227798</v>
      </c>
      <c r="U474" s="1" t="n">
        <v>13</v>
      </c>
      <c r="V474" s="1" t="n">
        <v>2031.7</v>
      </c>
      <c r="X474" s="1" t="n">
        <f aca="false">X473+V474</f>
        <v>187419.5</v>
      </c>
      <c r="Y474" s="49" t="n">
        <f aca="false">Y473+V474</f>
        <v>6476.5</v>
      </c>
      <c r="Z474" s="18" t="n">
        <f aca="false">(Z472/100)/I484</f>
        <v>1.2990790727215</v>
      </c>
      <c r="AA474" s="1" t="n">
        <v>13.3378405968548</v>
      </c>
    </row>
    <row r="475" s="1" customFormat="true" ht="15" hidden="false" customHeight="false" outlineLevel="0" collapsed="false">
      <c r="A475" s="69"/>
      <c r="B475" s="2"/>
      <c r="C475" s="8" t="n">
        <v>40648</v>
      </c>
      <c r="D475" s="1" t="n">
        <v>12.6</v>
      </c>
      <c r="E475" s="1" t="n">
        <v>7.6</v>
      </c>
      <c r="F475" s="1" t="n">
        <v>18.1</v>
      </c>
      <c r="G475" s="1" t="n">
        <f aca="false">G474+D475</f>
        <v>2126</v>
      </c>
      <c r="H475" s="49" t="n">
        <f aca="false">H474+D475</f>
        <v>65.4</v>
      </c>
      <c r="I475" s="71" t="s">
        <v>36</v>
      </c>
      <c r="J475" s="1" t="n">
        <v>0</v>
      </c>
      <c r="K475" s="1" t="n">
        <f aca="false">K474+J475</f>
        <v>316.9</v>
      </c>
      <c r="L475" s="1" t="n">
        <v>3.9</v>
      </c>
      <c r="M475" s="1" t="n">
        <f aca="false">M474+L475</f>
        <v>381.3</v>
      </c>
      <c r="N475" s="1" t="n">
        <v>-3.9</v>
      </c>
      <c r="O475" s="1" t="n">
        <v>0</v>
      </c>
      <c r="P475" s="6" t="n">
        <v>220</v>
      </c>
      <c r="Q475" s="49" t="n">
        <v>1.15</v>
      </c>
      <c r="R475" s="16" t="n">
        <f aca="false">Q475*L475</f>
        <v>4.485</v>
      </c>
      <c r="S475" s="16" t="n">
        <f aca="false">J475-R475</f>
        <v>-4.485</v>
      </c>
      <c r="T475" s="17" t="n">
        <v>0</v>
      </c>
      <c r="U475" s="71" t="s">
        <v>37</v>
      </c>
      <c r="V475" s="1" t="n">
        <v>2244.7</v>
      </c>
      <c r="X475" s="1" t="n">
        <f aca="false">X474+V475</f>
        <v>189664.2</v>
      </c>
      <c r="Y475" s="49" t="n">
        <f aca="false">Y474+V475</f>
        <v>8721.2</v>
      </c>
      <c r="Z475" s="71" t="s">
        <v>38</v>
      </c>
      <c r="AA475" s="1" t="n">
        <v>13.3861239602305</v>
      </c>
    </row>
    <row r="476" s="1" customFormat="true" ht="15" hidden="false" customHeight="false" outlineLevel="0" collapsed="false">
      <c r="A476" s="69"/>
      <c r="B476" s="2"/>
      <c r="C476" s="8" t="n">
        <v>40649</v>
      </c>
      <c r="D476" s="1" t="n">
        <v>12.6</v>
      </c>
      <c r="E476" s="1" t="n">
        <v>4.5</v>
      </c>
      <c r="F476" s="1" t="n">
        <v>20.2</v>
      </c>
      <c r="G476" s="1" t="n">
        <f aca="false">G475+D476</f>
        <v>2138.6</v>
      </c>
      <c r="H476" s="49" t="n">
        <f aca="false">H475+D476</f>
        <v>78</v>
      </c>
      <c r="I476" s="16" t="n">
        <f aca="false">AVERAGE(D471:D491)</f>
        <v>14.9952380952381</v>
      </c>
      <c r="J476" s="1" t="n">
        <v>0</v>
      </c>
      <c r="K476" s="1" t="n">
        <f aca="false">K475+J476</f>
        <v>316.9</v>
      </c>
      <c r="L476" s="1" t="n">
        <v>4.2</v>
      </c>
      <c r="M476" s="1" t="n">
        <f aca="false">M475+L476</f>
        <v>385.5</v>
      </c>
      <c r="N476" s="1" t="n">
        <v>-4.2</v>
      </c>
      <c r="O476" s="1" t="n">
        <v>0</v>
      </c>
      <c r="P476" s="6" t="n">
        <v>221</v>
      </c>
      <c r="Q476" s="49" t="n">
        <v>1.15</v>
      </c>
      <c r="R476" s="16" t="n">
        <f aca="false">Q476*L476</f>
        <v>4.83</v>
      </c>
      <c r="S476" s="16" t="n">
        <f aca="false">J476-R476</f>
        <v>-4.83</v>
      </c>
      <c r="T476" s="17" t="n">
        <v>0</v>
      </c>
      <c r="U476" s="1" t="n">
        <v>8</v>
      </c>
      <c r="V476" s="1" t="n">
        <v>2555.7</v>
      </c>
      <c r="X476" s="1" t="n">
        <f aca="false">X475+V476</f>
        <v>192219.9</v>
      </c>
      <c r="Y476" s="49" t="n">
        <f aca="false">Y475+V476</f>
        <v>11276.9</v>
      </c>
      <c r="Z476" s="1" t="n">
        <v>2</v>
      </c>
      <c r="AA476" s="1" t="n">
        <v>13.4342193423876</v>
      </c>
    </row>
    <row r="477" s="1" customFormat="true" ht="15" hidden="false" customHeight="false" outlineLevel="0" collapsed="false">
      <c r="A477" s="69"/>
      <c r="B477" s="2"/>
      <c r="C477" s="8" t="n">
        <v>40650</v>
      </c>
      <c r="D477" s="1" t="n">
        <v>14.1</v>
      </c>
      <c r="E477" s="1" t="n">
        <v>6</v>
      </c>
      <c r="F477" s="1" t="n">
        <v>22.4</v>
      </c>
      <c r="G477" s="1" t="n">
        <f aca="false">G476+D477</f>
        <v>2152.7</v>
      </c>
      <c r="H477" s="49" t="n">
        <f aca="false">H476+D477</f>
        <v>92.1</v>
      </c>
      <c r="I477" s="71" t="s">
        <v>39</v>
      </c>
      <c r="J477" s="1" t="n">
        <v>0</v>
      </c>
      <c r="K477" s="1" t="n">
        <f aca="false">K476+J477</f>
        <v>316.9</v>
      </c>
      <c r="L477" s="1" t="n">
        <v>4.4</v>
      </c>
      <c r="M477" s="1" t="n">
        <f aca="false">M476+L477</f>
        <v>389.9</v>
      </c>
      <c r="N477" s="1" t="n">
        <v>-4.4</v>
      </c>
      <c r="O477" s="1" t="n">
        <v>0</v>
      </c>
      <c r="P477" s="6" t="n">
        <v>222</v>
      </c>
      <c r="Q477" s="49" t="n">
        <v>1.15</v>
      </c>
      <c r="R477" s="16" t="n">
        <f aca="false">Q477*L477</f>
        <v>5.06</v>
      </c>
      <c r="S477" s="16" t="n">
        <f aca="false">J477-R477</f>
        <v>-5.06</v>
      </c>
      <c r="T477" s="17" t="n">
        <v>0</v>
      </c>
      <c r="U477" s="71" t="s">
        <v>40</v>
      </c>
      <c r="V477" s="1" t="n">
        <v>2398.4</v>
      </c>
      <c r="X477" s="1" t="n">
        <f aca="false">X476+V477</f>
        <v>194618.3</v>
      </c>
      <c r="Y477" s="49" t="n">
        <f aca="false">Y476+V477</f>
        <v>13675.3</v>
      </c>
      <c r="AA477" s="1" t="n">
        <v>13.4821171138138</v>
      </c>
    </row>
    <row r="478" s="1" customFormat="true" ht="15" hidden="false" customHeight="false" outlineLevel="0" collapsed="false">
      <c r="A478" s="69"/>
      <c r="B478" s="2"/>
      <c r="C478" s="8" t="n">
        <v>40651</v>
      </c>
      <c r="D478" s="1" t="n">
        <v>15.7</v>
      </c>
      <c r="E478" s="1" t="n">
        <v>10.4</v>
      </c>
      <c r="F478" s="1" t="n">
        <v>22.3</v>
      </c>
      <c r="G478" s="1" t="n">
        <f aca="false">G477+D478</f>
        <v>2168.4</v>
      </c>
      <c r="H478" s="49" t="n">
        <f aca="false">H477+D478</f>
        <v>107.8</v>
      </c>
      <c r="I478" s="1" t="n">
        <v>0</v>
      </c>
      <c r="J478" s="1" t="n">
        <v>0</v>
      </c>
      <c r="K478" s="1" t="n">
        <f aca="false">K477+J478</f>
        <v>316.9</v>
      </c>
      <c r="L478" s="1" t="n">
        <v>5.1</v>
      </c>
      <c r="M478" s="1" t="n">
        <f aca="false">M477+L478</f>
        <v>395</v>
      </c>
      <c r="N478" s="1" t="n">
        <v>-5.1</v>
      </c>
      <c r="O478" s="1" t="n">
        <v>0</v>
      </c>
      <c r="P478" s="6" t="n">
        <v>223</v>
      </c>
      <c r="Q478" s="49" t="n">
        <v>1.15</v>
      </c>
      <c r="R478" s="16" t="n">
        <f aca="false">Q478*L478</f>
        <v>5.865</v>
      </c>
      <c r="S478" s="16" t="n">
        <f aca="false">J478-R478</f>
        <v>-5.865</v>
      </c>
      <c r="T478" s="17" t="n">
        <v>0</v>
      </c>
      <c r="U478" s="52" t="n">
        <v>0</v>
      </c>
      <c r="V478" s="1" t="n">
        <v>2630.6</v>
      </c>
      <c r="X478" s="1" t="n">
        <f aca="false">X477+V478</f>
        <v>197248.9</v>
      </c>
      <c r="Y478" s="49" t="n">
        <f aca="false">Y477+V478</f>
        <v>16305.9</v>
      </c>
      <c r="AA478" s="1" t="n">
        <v>13.529807337017</v>
      </c>
    </row>
    <row r="479" s="49" customFormat="true" ht="15" hidden="false" customHeight="false" outlineLevel="0" collapsed="false">
      <c r="A479" s="69"/>
      <c r="B479" s="47"/>
      <c r="C479" s="48" t="n">
        <v>40652</v>
      </c>
      <c r="D479" s="49" t="n">
        <v>14.2</v>
      </c>
      <c r="E479" s="49" t="n">
        <v>8.9</v>
      </c>
      <c r="F479" s="49" t="n">
        <v>19.9</v>
      </c>
      <c r="G479" s="49" t="n">
        <f aca="false">G478+D479</f>
        <v>2182.6</v>
      </c>
      <c r="H479" s="49" t="n">
        <f aca="false">H478+D479</f>
        <v>122</v>
      </c>
      <c r="I479" s="71" t="s">
        <v>41</v>
      </c>
      <c r="J479" s="49" t="n">
        <v>0</v>
      </c>
      <c r="K479" s="49" t="n">
        <f aca="false">K478+J479</f>
        <v>316.9</v>
      </c>
      <c r="L479" s="49" t="n">
        <v>4.6</v>
      </c>
      <c r="M479" s="49" t="n">
        <f aca="false">M478+L479</f>
        <v>399.6</v>
      </c>
      <c r="N479" s="49" t="n">
        <v>-4.6</v>
      </c>
      <c r="O479" s="49" t="n">
        <v>0</v>
      </c>
      <c r="P479" s="51" t="n">
        <v>224</v>
      </c>
      <c r="Q479" s="49" t="n">
        <v>1.15</v>
      </c>
      <c r="R479" s="52" t="n">
        <f aca="false">Q479*L479</f>
        <v>5.29</v>
      </c>
      <c r="S479" s="16" t="n">
        <f aca="false">J479-R479</f>
        <v>-5.29</v>
      </c>
      <c r="T479" s="17" t="n">
        <v>0</v>
      </c>
      <c r="U479" s="71" t="s">
        <v>42</v>
      </c>
      <c r="V479" s="49" t="n">
        <v>2301.2</v>
      </c>
      <c r="X479" s="49" t="n">
        <f aca="false">X478+V479</f>
        <v>199550.1</v>
      </c>
      <c r="Y479" s="49" t="n">
        <f aca="false">Y478+V479</f>
        <v>18607.1</v>
      </c>
      <c r="AA479" s="49" t="n">
        <v>13.5772797569234</v>
      </c>
    </row>
    <row r="480" s="1" customFormat="true" ht="15" hidden="false" customHeight="true" outlineLevel="0" collapsed="false">
      <c r="A480" s="69"/>
      <c r="B480" s="2"/>
      <c r="C480" s="8" t="n">
        <v>40653</v>
      </c>
      <c r="D480" s="1" t="n">
        <v>15.5</v>
      </c>
      <c r="E480" s="1" t="n">
        <v>11.4</v>
      </c>
      <c r="F480" s="1" t="n">
        <v>20.6</v>
      </c>
      <c r="G480" s="1" t="n">
        <f aca="false">G479+D480</f>
        <v>2198.1</v>
      </c>
      <c r="H480" s="49" t="n">
        <f aca="false">H479+D480</f>
        <v>137.5</v>
      </c>
      <c r="I480" s="49" t="n">
        <v>0</v>
      </c>
      <c r="J480" s="1" t="n">
        <v>0.2</v>
      </c>
      <c r="K480" s="1" t="n">
        <f aca="false">K479+J480</f>
        <v>317.1</v>
      </c>
      <c r="L480" s="1" t="n">
        <v>4.7</v>
      </c>
      <c r="M480" s="1" t="n">
        <f aca="false">M479+L480</f>
        <v>404.3</v>
      </c>
      <c r="N480" s="1" t="n">
        <v>-4.5</v>
      </c>
      <c r="O480" s="1" t="n">
        <v>0</v>
      </c>
      <c r="P480" s="6" t="n">
        <v>225</v>
      </c>
      <c r="Q480" s="49" t="n">
        <v>1.15</v>
      </c>
      <c r="R480" s="16" t="n">
        <f aca="false">Q480*L480</f>
        <v>5.405</v>
      </c>
      <c r="S480" s="16" t="n">
        <f aca="false">J480-R480</f>
        <v>-5.205</v>
      </c>
      <c r="T480" s="17" t="n">
        <v>0</v>
      </c>
      <c r="U480" s="16" t="n">
        <f aca="false">MAX(T470:T490)</f>
        <v>15.172277992278</v>
      </c>
      <c r="V480" s="1" t="n">
        <v>2018.1</v>
      </c>
      <c r="X480" s="1" t="n">
        <f aca="false">X479+V480</f>
        <v>201568.2</v>
      </c>
      <c r="Y480" s="49" t="n">
        <f aca="false">Y479+V480</f>
        <v>20625.2</v>
      </c>
      <c r="AA480" s="1" t="n">
        <v>13.6245237917452</v>
      </c>
    </row>
    <row r="481" s="1" customFormat="true" ht="15" hidden="false" customHeight="false" outlineLevel="0" collapsed="false">
      <c r="A481" s="69"/>
      <c r="B481" s="2"/>
      <c r="C481" s="8" t="n">
        <v>40654</v>
      </c>
      <c r="D481" s="1" t="n">
        <v>16.5</v>
      </c>
      <c r="E481" s="1" t="n">
        <v>11.9</v>
      </c>
      <c r="F481" s="1" t="n">
        <v>22.2</v>
      </c>
      <c r="G481" s="1" t="n">
        <f aca="false">G480+D481</f>
        <v>2214.6</v>
      </c>
      <c r="H481" s="49" t="n">
        <f aca="false">H480+D481</f>
        <v>154</v>
      </c>
      <c r="I481" s="71" t="s">
        <v>43</v>
      </c>
      <c r="J481" s="1" t="n">
        <v>0</v>
      </c>
      <c r="K481" s="1" t="n">
        <f aca="false">K480+J481</f>
        <v>317.1</v>
      </c>
      <c r="L481" s="1" t="n">
        <v>5.5</v>
      </c>
      <c r="M481" s="1" t="n">
        <f aca="false">M480+L481</f>
        <v>409.8</v>
      </c>
      <c r="N481" s="1" t="n">
        <v>-5.5</v>
      </c>
      <c r="O481" s="1" t="n">
        <v>0</v>
      </c>
      <c r="P481" s="6" t="n">
        <v>226</v>
      </c>
      <c r="Q481" s="49" t="n">
        <v>1.15</v>
      </c>
      <c r="R481" s="16" t="n">
        <f aca="false">Q481*L481</f>
        <v>6.325</v>
      </c>
      <c r="S481" s="16" t="n">
        <f aca="false">J481-R481</f>
        <v>-6.325</v>
      </c>
      <c r="T481" s="17" t="n">
        <v>0</v>
      </c>
      <c r="U481" s="71" t="s">
        <v>44</v>
      </c>
      <c r="V481" s="1" t="n">
        <v>2298.7</v>
      </c>
      <c r="X481" s="1" t="n">
        <f aca="false">X480+V481</f>
        <v>203866.9</v>
      </c>
      <c r="Y481" s="49" t="n">
        <f aca="false">Y480+V481</f>
        <v>22923.9</v>
      </c>
      <c r="AA481" s="1" t="n">
        <v>13.6715285243625</v>
      </c>
    </row>
    <row r="482" s="1" customFormat="true" ht="15" hidden="false" customHeight="false" outlineLevel="0" collapsed="false">
      <c r="A482" s="69"/>
      <c r="B482" s="2"/>
      <c r="C482" s="8" t="n">
        <v>40655</v>
      </c>
      <c r="D482" s="1" t="n">
        <v>15.5</v>
      </c>
      <c r="E482" s="1" t="n">
        <v>11.7</v>
      </c>
      <c r="F482" s="1" t="n">
        <v>21.1</v>
      </c>
      <c r="G482" s="1" t="n">
        <f aca="false">G481+D482</f>
        <v>2230.1</v>
      </c>
      <c r="H482" s="49" t="n">
        <f aca="false">H481+D482</f>
        <v>169.5</v>
      </c>
      <c r="I482" s="1" t="n">
        <v>2</v>
      </c>
      <c r="J482" s="1" t="n">
        <v>0</v>
      </c>
      <c r="K482" s="1" t="n">
        <f aca="false">K481+J482</f>
        <v>317.1</v>
      </c>
      <c r="L482" s="1" t="n">
        <v>4.6</v>
      </c>
      <c r="M482" s="1" t="n">
        <f aca="false">M481+L482</f>
        <v>414.4</v>
      </c>
      <c r="N482" s="1" t="n">
        <v>-4.6</v>
      </c>
      <c r="O482" s="1" t="n">
        <v>0</v>
      </c>
      <c r="P482" s="6" t="n">
        <v>227</v>
      </c>
      <c r="Q482" s="49" t="n">
        <v>1.15</v>
      </c>
      <c r="R482" s="16" t="n">
        <f aca="false">Q482*L482</f>
        <v>5.29</v>
      </c>
      <c r="S482" s="16" t="n">
        <f aca="false">J482-R482</f>
        <v>-5.29</v>
      </c>
      <c r="T482" s="17" t="n">
        <v>0</v>
      </c>
      <c r="U482" s="16" t="n">
        <f aca="false">AVERAGE(T470:T490)</f>
        <v>2.80458999816142</v>
      </c>
      <c r="V482" s="1" t="n">
        <v>1453.3</v>
      </c>
      <c r="X482" s="1" t="n">
        <f aca="false">X481+V482</f>
        <v>205320.2</v>
      </c>
      <c r="Y482" s="49" t="n">
        <f aca="false">Y481+V482</f>
        <v>24377.2</v>
      </c>
      <c r="AA482" s="1" t="n">
        <v>13.7182826942591</v>
      </c>
    </row>
    <row r="483" s="1" customFormat="true" ht="15" hidden="false" customHeight="false" outlineLevel="0" collapsed="false">
      <c r="A483" s="69"/>
      <c r="B483" s="2"/>
      <c r="C483" s="8" t="n">
        <v>40656</v>
      </c>
      <c r="D483" s="1" t="n">
        <v>13.7</v>
      </c>
      <c r="E483" s="1" t="n">
        <v>12.1</v>
      </c>
      <c r="F483" s="1" t="n">
        <v>15.1</v>
      </c>
      <c r="G483" s="1" t="n">
        <f aca="false">G482+D483</f>
        <v>2243.8</v>
      </c>
      <c r="H483" s="49" t="n">
        <f aca="false">H482+D483</f>
        <v>183.2</v>
      </c>
      <c r="I483" s="71" t="s">
        <v>45</v>
      </c>
      <c r="J483" s="1" t="n">
        <v>5.6</v>
      </c>
      <c r="K483" s="1" t="n">
        <f aca="false">K482+J483</f>
        <v>322.7</v>
      </c>
      <c r="L483" s="1" t="n">
        <v>1.2</v>
      </c>
      <c r="M483" s="1" t="n">
        <f aca="false">M482+L483</f>
        <v>415.6</v>
      </c>
      <c r="N483" s="1" t="n">
        <v>4.4</v>
      </c>
      <c r="O483" s="1" t="n">
        <f aca="false">O482+N483</f>
        <v>4.4</v>
      </c>
      <c r="P483" s="6" t="n">
        <v>228</v>
      </c>
      <c r="Q483" s="49" t="n">
        <v>1.15</v>
      </c>
      <c r="R483" s="16" t="n">
        <f aca="false">Q483*L483</f>
        <v>1.38</v>
      </c>
      <c r="S483" s="16" t="n">
        <f aca="false">J483-R483</f>
        <v>4.22</v>
      </c>
      <c r="T483" s="17" t="n">
        <f aca="false">T482+S483</f>
        <v>4.22</v>
      </c>
      <c r="V483" s="1" t="n">
        <v>591.6</v>
      </c>
      <c r="X483" s="1" t="n">
        <f aca="false">X482+V483</f>
        <v>205911.8</v>
      </c>
      <c r="Y483" s="49" t="n">
        <f aca="false">Y482+V483</f>
        <v>24968.8</v>
      </c>
      <c r="AA483" s="1" t="n">
        <v>13.7647746900623</v>
      </c>
    </row>
    <row r="484" s="1" customFormat="true" ht="15" hidden="false" customHeight="false" outlineLevel="0" collapsed="false">
      <c r="A484" s="69"/>
      <c r="B484" s="2"/>
      <c r="C484" s="8" t="n">
        <v>40657</v>
      </c>
      <c r="D484" s="1" t="n">
        <v>16.4</v>
      </c>
      <c r="E484" s="1" t="n">
        <v>13.3</v>
      </c>
      <c r="F484" s="1" t="n">
        <v>19.6</v>
      </c>
      <c r="G484" s="1" t="n">
        <f aca="false">G483+D484</f>
        <v>2260.2</v>
      </c>
      <c r="H484" s="49" t="n">
        <f aca="false">H483+D484</f>
        <v>199.6</v>
      </c>
      <c r="I484" s="1" t="n">
        <v>314.9</v>
      </c>
      <c r="J484" s="1" t="n">
        <v>0</v>
      </c>
      <c r="K484" s="1" t="n">
        <f aca="false">K483+J484</f>
        <v>322.7</v>
      </c>
      <c r="L484" s="1" t="n">
        <v>2.8</v>
      </c>
      <c r="M484" s="1" t="n">
        <f aca="false">M483+L484</f>
        <v>418.4</v>
      </c>
      <c r="N484" s="1" t="n">
        <v>-2.8</v>
      </c>
      <c r="O484" s="1" t="n">
        <f aca="false">O483+N484</f>
        <v>1.6</v>
      </c>
      <c r="P484" s="6" t="n">
        <v>229</v>
      </c>
      <c r="Q484" s="49" t="n">
        <v>1.15</v>
      </c>
      <c r="R484" s="16" t="n">
        <f aca="false">Q484*L484</f>
        <v>3.22</v>
      </c>
      <c r="S484" s="16" t="n">
        <f aca="false">J484-R484</f>
        <v>-3.22</v>
      </c>
      <c r="T484" s="17" t="n">
        <f aca="false">T483+S484</f>
        <v>1</v>
      </c>
      <c r="U484" s="16" t="n">
        <f aca="false">(U482*100)/122.1</f>
        <v>2.29696150545571</v>
      </c>
      <c r="V484" s="1" t="n">
        <v>1608.7</v>
      </c>
      <c r="X484" s="1" t="n">
        <f aca="false">X483+V484</f>
        <v>207520.5</v>
      </c>
      <c r="Y484" s="49" t="n">
        <f aca="false">Y483+V484</f>
        <v>26577.5</v>
      </c>
      <c r="AA484" s="1" t="n">
        <v>13.8109925427327</v>
      </c>
    </row>
    <row r="485" s="1" customFormat="true" ht="15" hidden="false" customHeight="false" outlineLevel="0" collapsed="false">
      <c r="A485" s="69"/>
      <c r="B485" s="2"/>
      <c r="C485" s="8" t="n">
        <v>40658</v>
      </c>
      <c r="D485" s="1" t="n">
        <v>16</v>
      </c>
      <c r="E485" s="1" t="n">
        <v>13.3</v>
      </c>
      <c r="F485" s="1" t="n">
        <v>20.2</v>
      </c>
      <c r="G485" s="1" t="n">
        <f aca="false">G484+D485</f>
        <v>2276.2</v>
      </c>
      <c r="H485" s="49" t="n">
        <f aca="false">H484+D485</f>
        <v>215.6</v>
      </c>
      <c r="J485" s="1" t="n">
        <v>9.3</v>
      </c>
      <c r="K485" s="1" t="n">
        <f aca="false">K484+J485</f>
        <v>332</v>
      </c>
      <c r="L485" s="1" t="n">
        <v>2.5</v>
      </c>
      <c r="M485" s="1" t="n">
        <f aca="false">M484+L485</f>
        <v>420.9</v>
      </c>
      <c r="N485" s="1" t="n">
        <v>6.8</v>
      </c>
      <c r="O485" s="1" t="n">
        <f aca="false">O484+N485</f>
        <v>8.4</v>
      </c>
      <c r="P485" s="6" t="n">
        <v>230</v>
      </c>
      <c r="Q485" s="49" t="n">
        <v>1.15</v>
      </c>
      <c r="R485" s="16" t="n">
        <f aca="false">Q485*L485</f>
        <v>2.875</v>
      </c>
      <c r="S485" s="16" t="n">
        <f aca="false">J485-R485</f>
        <v>6.425</v>
      </c>
      <c r="T485" s="17" t="n">
        <f aca="false">T484+S485</f>
        <v>7.425</v>
      </c>
      <c r="V485" s="1" t="n">
        <v>889.8</v>
      </c>
      <c r="X485" s="1" t="n">
        <f aca="false">X484+V485</f>
        <v>208410.3</v>
      </c>
      <c r="Y485" s="49" t="n">
        <f aca="false">Y484+V485</f>
        <v>27467.3</v>
      </c>
      <c r="AA485" s="1" t="n">
        <v>13.8569239194571</v>
      </c>
    </row>
    <row r="486" s="1" customFormat="true" ht="15" hidden="false" customHeight="false" outlineLevel="0" collapsed="false">
      <c r="A486" s="69"/>
      <c r="B486" s="2"/>
      <c r="C486" s="8" t="n">
        <v>40659</v>
      </c>
      <c r="D486" s="1" t="n">
        <v>17.7</v>
      </c>
      <c r="E486" s="1" t="n">
        <v>14.1</v>
      </c>
      <c r="F486" s="1" t="n">
        <v>22.1</v>
      </c>
      <c r="G486" s="1" t="n">
        <f aca="false">G485+D486</f>
        <v>2293.9</v>
      </c>
      <c r="H486" s="49" t="n">
        <f aca="false">H485+D486</f>
        <v>233.3</v>
      </c>
      <c r="J486" s="1" t="n">
        <v>0.1</v>
      </c>
      <c r="K486" s="1" t="n">
        <f aca="false">K485+J486</f>
        <v>332.1</v>
      </c>
      <c r="L486" s="1" t="n">
        <v>4.6</v>
      </c>
      <c r="M486" s="1" t="n">
        <f aca="false">M485+L486</f>
        <v>425.5</v>
      </c>
      <c r="N486" s="1" t="n">
        <v>-4.5</v>
      </c>
      <c r="O486" s="1" t="n">
        <f aca="false">O485+N486</f>
        <v>3.9</v>
      </c>
      <c r="P486" s="6" t="n">
        <v>231</v>
      </c>
      <c r="Q486" s="49" t="n">
        <v>1.15</v>
      </c>
      <c r="R486" s="16" t="n">
        <f aca="false">Q486*L486</f>
        <v>5.29</v>
      </c>
      <c r="S486" s="16" t="n">
        <f aca="false">J486-R486</f>
        <v>-5.19</v>
      </c>
      <c r="T486" s="17" t="n">
        <f aca="false">T485+S486</f>
        <v>2.235</v>
      </c>
      <c r="V486" s="1" t="n">
        <v>2190</v>
      </c>
      <c r="X486" s="1" t="n">
        <f aca="false">X485+V486</f>
        <v>210600.3</v>
      </c>
      <c r="Y486" s="49" t="n">
        <f aca="false">Y485+V486</f>
        <v>29657.3</v>
      </c>
      <c r="AA486" s="1" t="n">
        <v>13.9025561182971</v>
      </c>
    </row>
    <row r="487" s="1" customFormat="true" ht="15" hidden="false" customHeight="false" outlineLevel="0" collapsed="false">
      <c r="A487" s="69"/>
      <c r="B487" s="2"/>
      <c r="C487" s="8" t="n">
        <v>40660</v>
      </c>
      <c r="D487" s="1" t="n">
        <v>16.9</v>
      </c>
      <c r="E487" s="1" t="n">
        <v>13.4</v>
      </c>
      <c r="F487" s="1" t="n">
        <v>21.8</v>
      </c>
      <c r="G487" s="1" t="n">
        <f aca="false">G486+D487</f>
        <v>2310.8</v>
      </c>
      <c r="H487" s="49" t="n">
        <f aca="false">H486+D487</f>
        <v>250.2</v>
      </c>
      <c r="J487" s="1" t="n">
        <v>0</v>
      </c>
      <c r="K487" s="1" t="n">
        <f aca="false">K486+J487</f>
        <v>332.1</v>
      </c>
      <c r="L487" s="1" t="n">
        <v>4.4</v>
      </c>
      <c r="M487" s="1" t="n">
        <f aca="false">M486+L487</f>
        <v>429.9</v>
      </c>
      <c r="N487" s="1" t="n">
        <v>-4.4</v>
      </c>
      <c r="O487" s="1" t="n">
        <v>0</v>
      </c>
      <c r="P487" s="6" t="n">
        <v>232</v>
      </c>
      <c r="Q487" s="49" t="n">
        <v>1.15</v>
      </c>
      <c r="R487" s="16" t="n">
        <f aca="false">Q487*L487</f>
        <v>5.06</v>
      </c>
      <c r="S487" s="16" t="n">
        <f aca="false">J487-R487</f>
        <v>-5.06</v>
      </c>
      <c r="T487" s="17" t="n">
        <v>0</v>
      </c>
      <c r="V487" s="1" t="n">
        <v>2167.8</v>
      </c>
      <c r="X487" s="1" t="n">
        <f aca="false">X486+V487</f>
        <v>212768.1</v>
      </c>
      <c r="Y487" s="49" t="n">
        <f aca="false">Y486+V487</f>
        <v>31825.1</v>
      </c>
      <c r="AA487" s="1" t="n">
        <v>13.9478760636504</v>
      </c>
    </row>
    <row r="488" s="1" customFormat="true" ht="15" hidden="false" customHeight="false" outlineLevel="0" collapsed="false">
      <c r="A488" s="69"/>
      <c r="B488" s="2"/>
      <c r="C488" s="8" t="n">
        <v>40661</v>
      </c>
      <c r="D488" s="1" t="n">
        <v>15.7</v>
      </c>
      <c r="E488" s="1" t="n">
        <v>9.7</v>
      </c>
      <c r="F488" s="1" t="n">
        <v>21.3</v>
      </c>
      <c r="G488" s="1" t="n">
        <f aca="false">G487+D488</f>
        <v>2326.5</v>
      </c>
      <c r="H488" s="49" t="n">
        <f aca="false">H487+D488</f>
        <v>265.9</v>
      </c>
      <c r="J488" s="1" t="n">
        <v>0</v>
      </c>
      <c r="K488" s="1" t="n">
        <f aca="false">K487+J488</f>
        <v>332.1</v>
      </c>
      <c r="L488" s="1" t="n">
        <v>4.4</v>
      </c>
      <c r="M488" s="1" t="n">
        <f aca="false">M487+L488</f>
        <v>434.3</v>
      </c>
      <c r="N488" s="1" t="n">
        <v>-4.4</v>
      </c>
      <c r="O488" s="1" t="n">
        <v>0</v>
      </c>
      <c r="P488" s="6" t="n">
        <v>233</v>
      </c>
      <c r="Q488" s="49" t="n">
        <v>1.15</v>
      </c>
      <c r="R488" s="16" t="n">
        <f aca="false">Q488*L488</f>
        <v>5.06</v>
      </c>
      <c r="S488" s="16" t="n">
        <f aca="false">J488-R488</f>
        <v>-5.06</v>
      </c>
      <c r="T488" s="17" t="n">
        <v>0</v>
      </c>
      <c r="V488" s="1" t="n">
        <v>2498.3</v>
      </c>
      <c r="X488" s="1" t="n">
        <f aca="false">X487+V488</f>
        <v>215266.4</v>
      </c>
      <c r="Y488" s="49" t="n">
        <f aca="false">Y487+V488</f>
        <v>34323.4</v>
      </c>
      <c r="AA488" s="1" t="n">
        <v>13.9928703025815</v>
      </c>
    </row>
    <row r="489" s="1" customFormat="true" ht="15" hidden="false" customHeight="false" outlineLevel="0" collapsed="false">
      <c r="A489" s="69"/>
      <c r="B489" s="2"/>
      <c r="C489" s="8" t="n">
        <v>40662</v>
      </c>
      <c r="D489" s="1" t="n">
        <v>14.9</v>
      </c>
      <c r="E489" s="1" t="n">
        <v>7.8</v>
      </c>
      <c r="F489" s="1" t="n">
        <v>21</v>
      </c>
      <c r="G489" s="1" t="n">
        <f aca="false">G488+D489</f>
        <v>2341.4</v>
      </c>
      <c r="H489" s="49" t="n">
        <f aca="false">H488+D489</f>
        <v>280.8</v>
      </c>
      <c r="J489" s="1" t="n">
        <v>0</v>
      </c>
      <c r="K489" s="1" t="n">
        <f aca="false">K488+J489</f>
        <v>332.1</v>
      </c>
      <c r="L489" s="1" t="n">
        <v>4</v>
      </c>
      <c r="M489" s="1" t="n">
        <f aca="false">M488+L489</f>
        <v>438.3</v>
      </c>
      <c r="N489" s="1" t="n">
        <v>-4</v>
      </c>
      <c r="O489" s="1" t="n">
        <v>0</v>
      </c>
      <c r="P489" s="6" t="n">
        <v>234</v>
      </c>
      <c r="Q489" s="49" t="n">
        <v>1.15</v>
      </c>
      <c r="R489" s="16" t="n">
        <f aca="false">Q489*L489</f>
        <v>4.6</v>
      </c>
      <c r="S489" s="16" t="n">
        <f aca="false">J489-R489</f>
        <v>-4.6</v>
      </c>
      <c r="T489" s="17" t="n">
        <v>0</v>
      </c>
      <c r="V489" s="1" t="n">
        <v>2345.4</v>
      </c>
      <c r="X489" s="1" t="n">
        <f aca="false">X488+V489</f>
        <v>217611.8</v>
      </c>
      <c r="Y489" s="49" t="n">
        <f aca="false">Y488+V489</f>
        <v>36668.8</v>
      </c>
      <c r="AA489" s="1" t="n">
        <v>14.0375250020838</v>
      </c>
    </row>
    <row r="490" s="49" customFormat="true" ht="15" hidden="false" customHeight="false" outlineLevel="0" collapsed="false">
      <c r="A490" s="69"/>
      <c r="B490" s="47" t="n">
        <v>300</v>
      </c>
      <c r="C490" s="48" t="n">
        <v>40663</v>
      </c>
      <c r="D490" s="49" t="n">
        <v>16.8</v>
      </c>
      <c r="E490" s="49" t="n">
        <v>11.8</v>
      </c>
      <c r="F490" s="49" t="n">
        <v>23</v>
      </c>
      <c r="G490" s="49" t="n">
        <f aca="false">G489+D490</f>
        <v>2358.2</v>
      </c>
      <c r="H490" s="49" t="n">
        <f aca="false">H489+D490</f>
        <v>297.6</v>
      </c>
      <c r="J490" s="49" t="n">
        <v>0</v>
      </c>
      <c r="K490" s="49" t="n">
        <f aca="false">K489+J490</f>
        <v>332.1</v>
      </c>
      <c r="L490" s="49" t="n">
        <v>5.2</v>
      </c>
      <c r="M490" s="49" t="n">
        <f aca="false">M489+L490</f>
        <v>443.5</v>
      </c>
      <c r="N490" s="49" t="n">
        <v>-5.2</v>
      </c>
      <c r="O490" s="49" t="n">
        <v>0</v>
      </c>
      <c r="P490" s="51" t="n">
        <v>235</v>
      </c>
      <c r="Q490" s="49" t="n">
        <v>1.15</v>
      </c>
      <c r="R490" s="52" t="n">
        <f aca="false">Q490*L490</f>
        <v>5.98</v>
      </c>
      <c r="S490" s="52" t="n">
        <f aca="false">J490-R490</f>
        <v>-5.98</v>
      </c>
      <c r="T490" s="17" t="n">
        <v>0</v>
      </c>
      <c r="V490" s="49" t="n">
        <v>2369.3</v>
      </c>
      <c r="X490" s="49" t="n">
        <f aca="false">X489+V490</f>
        <v>219981.1</v>
      </c>
      <c r="Y490" s="49" t="n">
        <f aca="false">Y489+V490</f>
        <v>39038.1</v>
      </c>
      <c r="AA490" s="49" t="n">
        <v>14.0818259473327</v>
      </c>
    </row>
    <row r="491" s="31" customFormat="true" ht="15" hidden="false" customHeight="true" outlineLevel="0" collapsed="false">
      <c r="A491" s="69"/>
      <c r="B491" s="29"/>
      <c r="C491" s="30" t="n">
        <v>40664</v>
      </c>
      <c r="D491" s="31" t="n">
        <v>17.3</v>
      </c>
      <c r="E491" s="31" t="n">
        <v>11.8</v>
      </c>
      <c r="F491" s="31" t="n">
        <v>22.5</v>
      </c>
      <c r="G491" s="31" t="n">
        <f aca="false">G490+D491</f>
        <v>2375.5</v>
      </c>
      <c r="H491" s="31" t="n">
        <f aca="false">H490+D491</f>
        <v>314.9</v>
      </c>
      <c r="J491" s="31" t="n">
        <v>0</v>
      </c>
      <c r="K491" s="31" t="n">
        <f aca="false">K490+J491</f>
        <v>332.1</v>
      </c>
      <c r="L491" s="31" t="n">
        <v>3.7</v>
      </c>
      <c r="M491" s="31" t="n">
        <f aca="false">M490+L491</f>
        <v>447.2</v>
      </c>
      <c r="N491" s="31" t="n">
        <v>-3.7</v>
      </c>
      <c r="O491" s="31" t="n">
        <v>0</v>
      </c>
      <c r="P491" s="32" t="n">
        <v>236</v>
      </c>
      <c r="Q491" s="31" t="n">
        <v>1.15</v>
      </c>
      <c r="R491" s="33" t="n">
        <f aca="false">Q491*L491</f>
        <v>4.255</v>
      </c>
      <c r="S491" s="33" t="n">
        <f aca="false">J491-R491</f>
        <v>-4.255</v>
      </c>
      <c r="T491" s="68" t="n">
        <v>0</v>
      </c>
      <c r="V491" s="31" t="n">
        <v>1869.9</v>
      </c>
      <c r="X491" s="31" t="n">
        <f aca="false">X490+V491</f>
        <v>221851</v>
      </c>
      <c r="Y491" s="31" t="n">
        <f aca="false">Y490+V491</f>
        <v>40908</v>
      </c>
      <c r="AA491" s="31" t="n">
        <v>14.1257585409945</v>
      </c>
    </row>
    <row r="492" s="1" customFormat="true" ht="15" hidden="false" customHeight="false" outlineLevel="0" collapsed="false">
      <c r="A492" s="72" t="n">
        <v>600</v>
      </c>
      <c r="B492" s="2"/>
      <c r="C492" s="8" t="n">
        <v>40665</v>
      </c>
      <c r="D492" s="1" t="n">
        <v>17.5</v>
      </c>
      <c r="E492" s="1" t="n">
        <v>14.3</v>
      </c>
      <c r="F492" s="1" t="n">
        <v>21</v>
      </c>
      <c r="G492" s="1" t="n">
        <f aca="false">G491+D492</f>
        <v>2393</v>
      </c>
      <c r="H492" s="49" t="n">
        <f aca="false">D492</f>
        <v>17.5</v>
      </c>
      <c r="I492" s="73" t="s">
        <v>30</v>
      </c>
      <c r="J492" s="1" t="n">
        <v>1.4</v>
      </c>
      <c r="K492" s="1" t="n">
        <f aca="false">K491+J492</f>
        <v>333.5</v>
      </c>
      <c r="L492" s="1" t="n">
        <v>4.2</v>
      </c>
      <c r="M492" s="1" t="n">
        <f aca="false">M491+L492</f>
        <v>451.4</v>
      </c>
      <c r="N492" s="1" t="n">
        <v>-2.8</v>
      </c>
      <c r="O492" s="1" t="n">
        <v>0</v>
      </c>
      <c r="P492" s="6" t="n">
        <v>237</v>
      </c>
      <c r="Q492" s="1" t="n">
        <f aca="false">1.15+((P492-235)/39)*(0.35-1.15)</f>
        <v>1.10897435897436</v>
      </c>
      <c r="R492" s="16" t="n">
        <f aca="false">Q492*L492</f>
        <v>4.65769230769231</v>
      </c>
      <c r="S492" s="16" t="n">
        <f aca="false">J492-R492</f>
        <v>-3.25769230769231</v>
      </c>
      <c r="T492" s="17" t="n">
        <v>0</v>
      </c>
      <c r="U492" s="73" t="s">
        <v>31</v>
      </c>
      <c r="V492" s="1" t="n">
        <v>2064.2</v>
      </c>
      <c r="X492" s="1" t="n">
        <f aca="false">X491+V492</f>
        <v>223915.2</v>
      </c>
      <c r="Y492" s="49" t="n">
        <f aca="false">V492</f>
        <v>2064.2</v>
      </c>
      <c r="Z492" s="73" t="s">
        <v>32</v>
      </c>
      <c r="AA492" s="1" t="n">
        <v>14.1693078036548</v>
      </c>
    </row>
    <row r="493" s="1" customFormat="true" ht="15" hidden="false" customHeight="false" outlineLevel="0" collapsed="false">
      <c r="A493" s="72"/>
      <c r="B493" s="2"/>
      <c r="C493" s="8" t="n">
        <v>40666</v>
      </c>
      <c r="D493" s="1" t="n">
        <v>17.2</v>
      </c>
      <c r="E493" s="1" t="n">
        <v>14.7</v>
      </c>
      <c r="F493" s="1" t="n">
        <v>20.3</v>
      </c>
      <c r="G493" s="1" t="n">
        <f aca="false">G492+D493</f>
        <v>2410.2</v>
      </c>
      <c r="H493" s="49" t="n">
        <f aca="false">H492+D493</f>
        <v>34.7</v>
      </c>
      <c r="I493" s="1" t="n">
        <f aca="false">MIN(E492:E508)</f>
        <v>10</v>
      </c>
      <c r="J493" s="1" t="n">
        <v>5.7</v>
      </c>
      <c r="K493" s="1" t="n">
        <f aca="false">K492+J493</f>
        <v>339.2</v>
      </c>
      <c r="L493" s="1" t="n">
        <v>3</v>
      </c>
      <c r="M493" s="1" t="n">
        <f aca="false">M492+L493</f>
        <v>454.4</v>
      </c>
      <c r="N493" s="1" t="n">
        <v>2.7</v>
      </c>
      <c r="O493" s="1" t="n">
        <f aca="false">O492+N493</f>
        <v>2.7</v>
      </c>
      <c r="P493" s="6" t="n">
        <v>238</v>
      </c>
      <c r="Q493" s="1" t="n">
        <f aca="false">1.15+((P493-235)/39)*(0.35-1.15)</f>
        <v>1.08846153846154</v>
      </c>
      <c r="R493" s="16" t="n">
        <f aca="false">Q493*L493</f>
        <v>3.26538461538462</v>
      </c>
      <c r="S493" s="16" t="n">
        <f aca="false">J493-R493</f>
        <v>2.43461538461539</v>
      </c>
      <c r="T493" s="17" t="n">
        <f aca="false">T492+S493</f>
        <v>2.43461538461539</v>
      </c>
      <c r="U493" s="1" t="n">
        <v>15</v>
      </c>
      <c r="V493" s="1" t="n">
        <v>1311.3</v>
      </c>
      <c r="X493" s="1" t="n">
        <f aca="false">X492+V493</f>
        <v>225226.5</v>
      </c>
      <c r="Y493" s="49" t="n">
        <f aca="false">Y492+V493</f>
        <v>3375.5</v>
      </c>
      <c r="Z493" s="1" t="n">
        <v>35326.8</v>
      </c>
      <c r="AA493" s="1" t="n">
        <v>14.2124583754325</v>
      </c>
    </row>
    <row r="494" s="1" customFormat="true" ht="15" hidden="false" customHeight="false" outlineLevel="0" collapsed="false">
      <c r="A494" s="72"/>
      <c r="B494" s="2"/>
      <c r="C494" s="8" t="n">
        <v>40667</v>
      </c>
      <c r="D494" s="1" t="n">
        <v>16.7</v>
      </c>
      <c r="E494" s="1" t="n">
        <v>12.8</v>
      </c>
      <c r="F494" s="1" t="n">
        <v>20.9</v>
      </c>
      <c r="G494" s="1" t="n">
        <f aca="false">G493+D494</f>
        <v>2426.9</v>
      </c>
      <c r="H494" s="49" t="n">
        <f aca="false">H493+D494</f>
        <v>51.4</v>
      </c>
      <c r="I494" s="73" t="s">
        <v>33</v>
      </c>
      <c r="J494" s="1" t="n">
        <v>0</v>
      </c>
      <c r="K494" s="1" t="n">
        <f aca="false">K493+J494</f>
        <v>339.2</v>
      </c>
      <c r="L494" s="1" t="n">
        <v>3.9</v>
      </c>
      <c r="M494" s="1" t="n">
        <f aca="false">M493+L494</f>
        <v>458.3</v>
      </c>
      <c r="N494" s="1" t="n">
        <v>-3.9</v>
      </c>
      <c r="O494" s="1" t="n">
        <v>0</v>
      </c>
      <c r="P494" s="6" t="n">
        <v>239</v>
      </c>
      <c r="Q494" s="1" t="n">
        <f aca="false">1.15+((P494-235)/39)*(0.35-1.15)</f>
        <v>1.06794871794872</v>
      </c>
      <c r="R494" s="16" t="n">
        <f aca="false">Q494*L494</f>
        <v>4.165</v>
      </c>
      <c r="S494" s="16" t="n">
        <f aca="false">J494-R494</f>
        <v>-4.165</v>
      </c>
      <c r="T494" s="17" t="n">
        <v>0</v>
      </c>
      <c r="U494" s="73" t="s">
        <v>34</v>
      </c>
      <c r="V494" s="1" t="n">
        <v>1985.8</v>
      </c>
      <c r="X494" s="1" t="n">
        <f aca="false">X493+V494</f>
        <v>227212.3</v>
      </c>
      <c r="Y494" s="49" t="n">
        <f aca="false">Y493+V494</f>
        <v>5361.3</v>
      </c>
      <c r="Z494" s="73" t="s">
        <v>35</v>
      </c>
      <c r="AA494" s="1" t="n">
        <v>14.2551945188435</v>
      </c>
    </row>
    <row r="495" s="1" customFormat="true" ht="15" hidden="false" customHeight="false" outlineLevel="0" collapsed="false">
      <c r="A495" s="72"/>
      <c r="B495" s="2"/>
      <c r="C495" s="8" t="n">
        <v>40668</v>
      </c>
      <c r="D495" s="1" t="n">
        <v>17.7</v>
      </c>
      <c r="E495" s="1" t="n">
        <v>10.5</v>
      </c>
      <c r="F495" s="1" t="n">
        <v>23.7</v>
      </c>
      <c r="G495" s="1" t="n">
        <f aca="false">G494+D495</f>
        <v>2444.6</v>
      </c>
      <c r="H495" s="49" t="n">
        <f aca="false">H494+D495</f>
        <v>69.1</v>
      </c>
      <c r="I495" s="1" t="n">
        <f aca="false">MAX(F492:F508)</f>
        <v>27.9</v>
      </c>
      <c r="J495" s="1" t="n">
        <v>0</v>
      </c>
      <c r="K495" s="1" t="n">
        <f aca="false">K494+J495</f>
        <v>339.2</v>
      </c>
      <c r="L495" s="1" t="n">
        <v>4.6</v>
      </c>
      <c r="M495" s="1" t="n">
        <f aca="false">M494+L495</f>
        <v>462.9</v>
      </c>
      <c r="N495" s="1" t="n">
        <v>-4.6</v>
      </c>
      <c r="O495" s="1" t="n">
        <v>0</v>
      </c>
      <c r="P495" s="6" t="n">
        <v>240</v>
      </c>
      <c r="Q495" s="1" t="n">
        <f aca="false">1.15+((P495-235)/39)*(0.35-1.15)</f>
        <v>1.0474358974359</v>
      </c>
      <c r="R495" s="16" t="n">
        <f aca="false">Q495*L495</f>
        <v>4.81820512820513</v>
      </c>
      <c r="S495" s="16" t="n">
        <f aca="false">J495-R495</f>
        <v>-4.81820512820513</v>
      </c>
      <c r="T495" s="17" t="n">
        <v>0</v>
      </c>
      <c r="U495" s="1" t="n">
        <v>13</v>
      </c>
      <c r="V495" s="1" t="n">
        <v>2298.3</v>
      </c>
      <c r="X495" s="1" t="n">
        <f aca="false">X494+V495</f>
        <v>229510.6</v>
      </c>
      <c r="Y495" s="49" t="n">
        <f aca="false">Y494+V495</f>
        <v>7659.6</v>
      </c>
      <c r="Z495" s="18" t="n">
        <f aca="false">(Z493/100)/I505</f>
        <v>1.14215324927255</v>
      </c>
      <c r="AA495" s="1" t="n">
        <v>14.2975001229827</v>
      </c>
    </row>
    <row r="496" s="1" customFormat="true" ht="15" hidden="false" customHeight="false" outlineLevel="0" collapsed="false">
      <c r="A496" s="72"/>
      <c r="B496" s="2"/>
      <c r="C496" s="8" t="n">
        <v>40669</v>
      </c>
      <c r="D496" s="1" t="n">
        <v>18.6</v>
      </c>
      <c r="E496" s="1" t="n">
        <v>15.7</v>
      </c>
      <c r="F496" s="1" t="n">
        <v>22.5</v>
      </c>
      <c r="G496" s="1" t="n">
        <f aca="false">G495+D496</f>
        <v>2463.2</v>
      </c>
      <c r="H496" s="49" t="n">
        <f aca="false">H495+D496</f>
        <v>87.7</v>
      </c>
      <c r="I496" s="73" t="s">
        <v>36</v>
      </c>
      <c r="J496" s="1" t="n">
        <v>0</v>
      </c>
      <c r="K496" s="1" t="n">
        <f aca="false">K495+J496</f>
        <v>339.2</v>
      </c>
      <c r="L496" s="1" t="n">
        <v>5.6</v>
      </c>
      <c r="M496" s="1" t="n">
        <f aca="false">M495+L496</f>
        <v>468.5</v>
      </c>
      <c r="N496" s="1" t="n">
        <v>-5.6</v>
      </c>
      <c r="O496" s="1" t="n">
        <v>0</v>
      </c>
      <c r="P496" s="6" t="n">
        <v>241</v>
      </c>
      <c r="Q496" s="1" t="n">
        <f aca="false">1.15+((P496-235)/39)*(0.35-1.15)</f>
        <v>1.02692307692308</v>
      </c>
      <c r="R496" s="16" t="n">
        <f aca="false">Q496*L496</f>
        <v>5.75076923076923</v>
      </c>
      <c r="S496" s="16" t="n">
        <f aca="false">J496-R496</f>
        <v>-5.75076923076923</v>
      </c>
      <c r="T496" s="17" t="n">
        <v>0</v>
      </c>
      <c r="U496" s="73" t="s">
        <v>37</v>
      </c>
      <c r="V496" s="1" t="n">
        <v>2426.6</v>
      </c>
      <c r="X496" s="1" t="n">
        <f aca="false">X495+V496</f>
        <v>231937.2</v>
      </c>
      <c r="Y496" s="49" t="n">
        <f aca="false">Y495+V496</f>
        <v>10086.2</v>
      </c>
      <c r="Z496" s="73" t="s">
        <v>38</v>
      </c>
      <c r="AA496" s="1" t="n">
        <v>14.3393587090866</v>
      </c>
    </row>
    <row r="497" s="1" customFormat="true" ht="15" hidden="false" customHeight="false" outlineLevel="0" collapsed="false">
      <c r="A497" s="72"/>
      <c r="B497" s="2"/>
      <c r="C497" s="8" t="n">
        <v>40670</v>
      </c>
      <c r="D497" s="1" t="n">
        <v>16.9</v>
      </c>
      <c r="E497" s="1" t="n">
        <v>16.1</v>
      </c>
      <c r="F497" s="1" t="n">
        <v>17.7</v>
      </c>
      <c r="G497" s="1" t="n">
        <f aca="false">G496+D497</f>
        <v>2480.1</v>
      </c>
      <c r="H497" s="49" t="n">
        <f aca="false">H496+D497</f>
        <v>104.6</v>
      </c>
      <c r="I497" s="16" t="n">
        <f aca="false">AVERAGE(D492:D508)</f>
        <v>18.1941176470588</v>
      </c>
      <c r="J497" s="1" t="n">
        <v>0</v>
      </c>
      <c r="K497" s="1" t="n">
        <f aca="false">K496+J497</f>
        <v>339.2</v>
      </c>
      <c r="L497" s="1" t="n">
        <v>2.9</v>
      </c>
      <c r="M497" s="1" t="n">
        <f aca="false">M496+L497</f>
        <v>471.4</v>
      </c>
      <c r="N497" s="1" t="n">
        <v>-2.9</v>
      </c>
      <c r="O497" s="1" t="n">
        <v>0</v>
      </c>
      <c r="P497" s="6" t="n">
        <v>242</v>
      </c>
      <c r="Q497" s="1" t="n">
        <f aca="false">1.15+((P497-235)/39)*(0.35-1.15)</f>
        <v>1.00641025641026</v>
      </c>
      <c r="R497" s="16" t="n">
        <f aca="false">Q497*L497</f>
        <v>2.91858974358974</v>
      </c>
      <c r="S497" s="16" t="n">
        <f aca="false">J497-R497</f>
        <v>-2.91858974358974</v>
      </c>
      <c r="T497" s="17" t="n">
        <v>0</v>
      </c>
      <c r="U497" s="49" t="n">
        <v>4</v>
      </c>
      <c r="V497" s="1" t="n">
        <v>904.6</v>
      </c>
      <c r="X497" s="1" t="n">
        <f aca="false">X496+V497</f>
        <v>232841.8</v>
      </c>
      <c r="Y497" s="49" t="n">
        <f aca="false">Y496+V497</f>
        <v>10990.8</v>
      </c>
      <c r="Z497" s="1" t="n">
        <v>1</v>
      </c>
      <c r="AA497" s="1" t="n">
        <v>14.3807534375437</v>
      </c>
    </row>
    <row r="498" s="49" customFormat="true" ht="15" hidden="false" customHeight="false" outlineLevel="0" collapsed="false">
      <c r="A498" s="72"/>
      <c r="B498" s="47"/>
      <c r="C498" s="48" t="n">
        <v>40671</v>
      </c>
      <c r="D498" s="49" t="n">
        <v>19.5</v>
      </c>
      <c r="E498" s="49" t="n">
        <v>15.8</v>
      </c>
      <c r="F498" s="49" t="n">
        <v>24</v>
      </c>
      <c r="G498" s="49" t="n">
        <f aca="false">G497+D498</f>
        <v>2499.6</v>
      </c>
      <c r="H498" s="49" t="n">
        <f aca="false">H497+D498</f>
        <v>124.1</v>
      </c>
      <c r="I498" s="73" t="s">
        <v>39</v>
      </c>
      <c r="J498" s="49" t="n">
        <v>0</v>
      </c>
      <c r="K498" s="49" t="n">
        <f aca="false">K497+J498</f>
        <v>339.2</v>
      </c>
      <c r="L498" s="49" t="n">
        <v>5.1</v>
      </c>
      <c r="M498" s="49" t="n">
        <f aca="false">M497+L498</f>
        <v>476.5</v>
      </c>
      <c r="N498" s="49" t="n">
        <v>-5.1</v>
      </c>
      <c r="O498" s="49" t="n">
        <v>0</v>
      </c>
      <c r="P498" s="51" t="n">
        <v>243</v>
      </c>
      <c r="Q498" s="1" t="n">
        <f aca="false">1.15+((P498-235)/39)*(0.35-1.15)</f>
        <v>0.985897435897436</v>
      </c>
      <c r="R498" s="52" t="n">
        <f aca="false">Q498*L498</f>
        <v>5.02807692307692</v>
      </c>
      <c r="S498" s="16" t="n">
        <f aca="false">J498-R498</f>
        <v>-5.02807692307692</v>
      </c>
      <c r="T498" s="17" t="n">
        <v>0</v>
      </c>
      <c r="U498" s="73" t="s">
        <v>40</v>
      </c>
      <c r="V498" s="49" t="n">
        <v>2496.4</v>
      </c>
      <c r="W498" s="49" t="n">
        <f aca="false">(Y498/100)/H498</f>
        <v>1.08680096696213</v>
      </c>
      <c r="X498" s="49" t="n">
        <f aca="false">X497+V498</f>
        <v>235338.2</v>
      </c>
      <c r="Y498" s="49" t="n">
        <f aca="false">Y497+V498</f>
        <v>13487.2</v>
      </c>
      <c r="AA498" s="49" t="n">
        <v>14.4216671164141</v>
      </c>
    </row>
    <row r="499" s="1" customFormat="true" ht="15" hidden="false" customHeight="true" outlineLevel="0" collapsed="false">
      <c r="A499" s="72"/>
      <c r="B499" s="2"/>
      <c r="C499" s="8" t="n">
        <v>40672</v>
      </c>
      <c r="D499" s="1" t="n">
        <v>19.7</v>
      </c>
      <c r="E499" s="1" t="n">
        <v>13.6</v>
      </c>
      <c r="F499" s="1" t="n">
        <v>27.7</v>
      </c>
      <c r="G499" s="1" t="n">
        <f aca="false">G498+D499</f>
        <v>2519.3</v>
      </c>
      <c r="H499" s="49" t="n">
        <f aca="false">H498+D499</f>
        <v>143.8</v>
      </c>
      <c r="I499" s="49" t="n">
        <v>0</v>
      </c>
      <c r="J499" s="1" t="n">
        <v>0</v>
      </c>
      <c r="K499" s="1" t="n">
        <f aca="false">K498+J499</f>
        <v>339.2</v>
      </c>
      <c r="L499" s="1" t="n">
        <v>5.6</v>
      </c>
      <c r="M499" s="1" t="n">
        <f aca="false">M498+L499</f>
        <v>482.1</v>
      </c>
      <c r="N499" s="1" t="n">
        <v>-5.6</v>
      </c>
      <c r="O499" s="1" t="n">
        <v>0</v>
      </c>
      <c r="P499" s="6" t="n">
        <v>244</v>
      </c>
      <c r="Q499" s="1" t="n">
        <f aca="false">1.15+((P499-235)/39)*(0.35-1.15)</f>
        <v>0.965384615384615</v>
      </c>
      <c r="R499" s="16" t="n">
        <f aca="false">Q499*L499</f>
        <v>5.40615384615385</v>
      </c>
      <c r="S499" s="16" t="n">
        <f aca="false">J499-R499</f>
        <v>-5.40615384615385</v>
      </c>
      <c r="T499" s="17" t="n">
        <v>0</v>
      </c>
      <c r="U499" s="1" t="n">
        <v>0</v>
      </c>
      <c r="V499" s="1" t="n">
        <v>2480.7</v>
      </c>
      <c r="X499" s="1" t="n">
        <f aca="false">X498+V499</f>
        <v>237818.9</v>
      </c>
      <c r="Y499" s="49" t="n">
        <f aca="false">Y498+V499</f>
        <v>15967.9</v>
      </c>
      <c r="AA499" s="1" t="n">
        <v>14.4620822115202</v>
      </c>
    </row>
    <row r="500" s="1" customFormat="true" ht="15" hidden="false" customHeight="false" outlineLevel="0" collapsed="false">
      <c r="A500" s="72"/>
      <c r="B500" s="2"/>
      <c r="C500" s="8" t="n">
        <v>40673</v>
      </c>
      <c r="D500" s="1" t="n">
        <v>19.4</v>
      </c>
      <c r="E500" s="1" t="n">
        <v>15</v>
      </c>
      <c r="F500" s="1" t="n">
        <v>23.4</v>
      </c>
      <c r="G500" s="1" t="n">
        <f aca="false">G499+D500</f>
        <v>2538.7</v>
      </c>
      <c r="H500" s="49" t="n">
        <f aca="false">H499+D500</f>
        <v>163.2</v>
      </c>
      <c r="I500" s="73" t="s">
        <v>41</v>
      </c>
      <c r="J500" s="1" t="n">
        <v>0</v>
      </c>
      <c r="K500" s="1" t="n">
        <f aca="false">K499+J500</f>
        <v>339.2</v>
      </c>
      <c r="L500" s="1" t="n">
        <v>4.7</v>
      </c>
      <c r="M500" s="1" t="n">
        <f aca="false">M499+L500</f>
        <v>486.8</v>
      </c>
      <c r="N500" s="1" t="n">
        <v>-4.7</v>
      </c>
      <c r="O500" s="1" t="n">
        <v>0</v>
      </c>
      <c r="P500" s="6" t="n">
        <v>245</v>
      </c>
      <c r="Q500" s="1" t="n">
        <f aca="false">1.15+((P500-235)/39)*(0.35-1.15)</f>
        <v>0.944871794871795</v>
      </c>
      <c r="R500" s="16" t="n">
        <f aca="false">Q500*L500</f>
        <v>4.44089743589744</v>
      </c>
      <c r="S500" s="16" t="n">
        <f aca="false">J500-R500</f>
        <v>-4.44089743589744</v>
      </c>
      <c r="T500" s="17" t="n">
        <v>0</v>
      </c>
      <c r="U500" s="73" t="s">
        <v>42</v>
      </c>
      <c r="V500" s="1" t="n">
        <v>2199.4</v>
      </c>
      <c r="X500" s="1" t="n">
        <f aca="false">X499+V500</f>
        <v>240018.3</v>
      </c>
      <c r="Y500" s="49" t="n">
        <f aca="false">Y499+V500</f>
        <v>18167.3</v>
      </c>
      <c r="AA500" s="1" t="n">
        <v>14.5019808581661</v>
      </c>
    </row>
    <row r="501" s="1" customFormat="true" ht="15" hidden="false" customHeight="false" outlineLevel="0" collapsed="false">
      <c r="A501" s="72"/>
      <c r="B501" s="2"/>
      <c r="C501" s="8" t="n">
        <v>40674</v>
      </c>
      <c r="D501" s="1" t="n">
        <v>21.1</v>
      </c>
      <c r="E501" s="1" t="n">
        <v>13.8</v>
      </c>
      <c r="F501" s="1" t="n">
        <v>27.9</v>
      </c>
      <c r="G501" s="1" t="n">
        <f aca="false">G500+D501</f>
        <v>2559.8</v>
      </c>
      <c r="H501" s="49" t="n">
        <f aca="false">H500+D501</f>
        <v>184.3</v>
      </c>
      <c r="I501" s="1" t="n">
        <v>5</v>
      </c>
      <c r="J501" s="1" t="n">
        <v>0</v>
      </c>
      <c r="K501" s="1" t="n">
        <f aca="false">K500+J501</f>
        <v>339.2</v>
      </c>
      <c r="L501" s="1" t="n">
        <v>4.9</v>
      </c>
      <c r="M501" s="1" t="n">
        <f aca="false">M500+L501</f>
        <v>491.7</v>
      </c>
      <c r="N501" s="1" t="n">
        <v>-4.9</v>
      </c>
      <c r="O501" s="1" t="n">
        <v>0</v>
      </c>
      <c r="P501" s="6" t="n">
        <v>246</v>
      </c>
      <c r="Q501" s="1" t="n">
        <f aca="false">1.15+((P501-235)/39)*(0.35-1.15)</f>
        <v>0.924358974358974</v>
      </c>
      <c r="R501" s="16" t="n">
        <f aca="false">Q501*L501</f>
        <v>4.52935897435897</v>
      </c>
      <c r="S501" s="16" t="n">
        <f aca="false">J501-R501</f>
        <v>-4.52935897435897</v>
      </c>
      <c r="T501" s="17" t="n">
        <v>0</v>
      </c>
      <c r="U501" s="16" t="n">
        <f aca="false">MAX(T492:T508)</f>
        <v>8.96064102564103</v>
      </c>
      <c r="V501" s="1" t="n">
        <v>2249.9</v>
      </c>
      <c r="X501" s="1" t="n">
        <f aca="false">X500+V501</f>
        <v>242268.2</v>
      </c>
      <c r="Y501" s="49" t="n">
        <f aca="false">Y500+V501</f>
        <v>20417.2</v>
      </c>
      <c r="AA501" s="1" t="n">
        <v>14.5413448745408</v>
      </c>
    </row>
    <row r="502" s="1" customFormat="true" ht="15" hidden="false" customHeight="false" outlineLevel="0" collapsed="false">
      <c r="A502" s="72"/>
      <c r="B502" s="2"/>
      <c r="C502" s="8" t="n">
        <v>40675</v>
      </c>
      <c r="D502" s="1" t="n">
        <v>19</v>
      </c>
      <c r="E502" s="1" t="n">
        <v>17.4</v>
      </c>
      <c r="F502" s="1" t="n">
        <v>20.8</v>
      </c>
      <c r="G502" s="1" t="n">
        <f aca="false">G501+D502</f>
        <v>2578.8</v>
      </c>
      <c r="H502" s="49" t="n">
        <f aca="false">H501+D502</f>
        <v>203.3</v>
      </c>
      <c r="I502" s="73" t="s">
        <v>43</v>
      </c>
      <c r="J502" s="1" t="n">
        <v>0.1</v>
      </c>
      <c r="K502" s="1" t="n">
        <f aca="false">K501+J502</f>
        <v>339.3</v>
      </c>
      <c r="L502" s="1" t="n">
        <v>2.5</v>
      </c>
      <c r="M502" s="1" t="n">
        <f aca="false">M501+L502</f>
        <v>494.2</v>
      </c>
      <c r="N502" s="1" t="n">
        <v>-2.4</v>
      </c>
      <c r="O502" s="1" t="n">
        <v>0</v>
      </c>
      <c r="P502" s="6" t="n">
        <v>247</v>
      </c>
      <c r="Q502" s="1" t="n">
        <f aca="false">1.15+((P502-235)/39)*(0.35-1.15)</f>
        <v>0.903846153846154</v>
      </c>
      <c r="R502" s="16" t="n">
        <f aca="false">Q502*L502</f>
        <v>2.25961538461538</v>
      </c>
      <c r="S502" s="16" t="n">
        <f aca="false">J502-R502</f>
        <v>-2.15961538461538</v>
      </c>
      <c r="T502" s="17" t="n">
        <v>0</v>
      </c>
      <c r="U502" s="73" t="s">
        <v>44</v>
      </c>
      <c r="V502" s="1" t="n">
        <v>991.4</v>
      </c>
      <c r="X502" s="1" t="n">
        <f aca="false">X501+V502</f>
        <v>243259.6</v>
      </c>
      <c r="Y502" s="49" t="n">
        <f aca="false">Y501+V502</f>
        <v>21408.6</v>
      </c>
      <c r="AA502" s="1" t="n">
        <v>14.580155776856</v>
      </c>
    </row>
    <row r="503" s="1" customFormat="true" ht="15" hidden="false" customHeight="false" outlineLevel="0" collapsed="false">
      <c r="A503" s="72"/>
      <c r="B503" s="2"/>
      <c r="C503" s="8" t="n">
        <v>40676</v>
      </c>
      <c r="D503" s="1" t="n">
        <v>21.3</v>
      </c>
      <c r="E503" s="1" t="n">
        <v>17.4</v>
      </c>
      <c r="F503" s="1" t="n">
        <v>26.2</v>
      </c>
      <c r="G503" s="1" t="n">
        <f aca="false">G502+D503</f>
        <v>2600.1</v>
      </c>
      <c r="H503" s="49" t="n">
        <f aca="false">H502+D503</f>
        <v>224.6</v>
      </c>
      <c r="I503" s="1" t="n">
        <v>0</v>
      </c>
      <c r="J503" s="1" t="n">
        <v>0</v>
      </c>
      <c r="K503" s="1" t="n">
        <f aca="false">K502+J503</f>
        <v>339.3</v>
      </c>
      <c r="L503" s="1" t="n">
        <v>4.2</v>
      </c>
      <c r="M503" s="1" t="n">
        <f aca="false">M502+L503</f>
        <v>498.4</v>
      </c>
      <c r="N503" s="1" t="n">
        <v>-4.2</v>
      </c>
      <c r="O503" s="1" t="n">
        <v>0</v>
      </c>
      <c r="P503" s="6" t="n">
        <v>248</v>
      </c>
      <c r="Q503" s="1" t="n">
        <f aca="false">1.15+((P503-235)/39)*(0.35-1.15)</f>
        <v>0.883333333333333</v>
      </c>
      <c r="R503" s="16" t="n">
        <f aca="false">Q503*L503</f>
        <v>3.71</v>
      </c>
      <c r="S503" s="16" t="n">
        <f aca="false">J503-R503</f>
        <v>-3.71</v>
      </c>
      <c r="T503" s="17" t="n">
        <v>0</v>
      </c>
      <c r="U503" s="18" t="n">
        <f aca="false">AVERAGE(T492:T508)</f>
        <v>0.967986425339367</v>
      </c>
      <c r="V503" s="1" t="n">
        <v>1876.9</v>
      </c>
      <c r="X503" s="1" t="n">
        <f aca="false">X502+V503</f>
        <v>245136.5</v>
      </c>
      <c r="Y503" s="49" t="n">
        <f aca="false">Y502+V503</f>
        <v>23285.5</v>
      </c>
      <c r="AA503" s="1" t="n">
        <v>14.6183947962635</v>
      </c>
    </row>
    <row r="504" s="1" customFormat="true" ht="15" hidden="false" customHeight="false" outlineLevel="0" collapsed="false">
      <c r="A504" s="72"/>
      <c r="B504" s="2"/>
      <c r="C504" s="8" t="n">
        <v>40677</v>
      </c>
      <c r="D504" s="1" t="n">
        <v>15.2</v>
      </c>
      <c r="E504" s="1" t="n">
        <v>14.8</v>
      </c>
      <c r="F504" s="1" t="n">
        <v>16.8</v>
      </c>
      <c r="G504" s="1" t="n">
        <f aca="false">G503+D504</f>
        <v>2615.3</v>
      </c>
      <c r="H504" s="49" t="n">
        <f aca="false">H503+D504</f>
        <v>239.8</v>
      </c>
      <c r="I504" s="73" t="s">
        <v>45</v>
      </c>
      <c r="J504" s="1" t="n">
        <v>10.6</v>
      </c>
      <c r="K504" s="1" t="n">
        <f aca="false">K503+J504</f>
        <v>349.9</v>
      </c>
      <c r="L504" s="1" t="n">
        <v>1.9</v>
      </c>
      <c r="M504" s="1" t="n">
        <f aca="false">M503+L504</f>
        <v>500.3</v>
      </c>
      <c r="N504" s="1" t="n">
        <v>8.7</v>
      </c>
      <c r="O504" s="1" t="n">
        <f aca="false">O503+N504</f>
        <v>8.7</v>
      </c>
      <c r="P504" s="6" t="n">
        <v>249</v>
      </c>
      <c r="Q504" s="1" t="n">
        <f aca="false">1.15+((P504-235)/39)*(0.35-1.15)</f>
        <v>0.862820512820513</v>
      </c>
      <c r="R504" s="16" t="n">
        <f aca="false">Q504*L504</f>
        <v>1.63935897435897</v>
      </c>
      <c r="S504" s="16" t="n">
        <f aca="false">J504-R504</f>
        <v>8.96064102564103</v>
      </c>
      <c r="T504" s="17" t="n">
        <f aca="false">T503+S504</f>
        <v>8.96064102564103</v>
      </c>
      <c r="V504" s="1" t="n">
        <v>723.5</v>
      </c>
      <c r="X504" s="1" t="n">
        <f aca="false">X503+V504</f>
        <v>245860</v>
      </c>
      <c r="Y504" s="49" t="n">
        <f aca="false">Y503+V504</f>
        <v>24009</v>
      </c>
      <c r="AA504" s="1" t="n">
        <v>14.6560428975923</v>
      </c>
    </row>
    <row r="505" s="1" customFormat="true" ht="15" hidden="false" customHeight="false" outlineLevel="0" collapsed="false">
      <c r="A505" s="72"/>
      <c r="B505" s="2"/>
      <c r="C505" s="8" t="n">
        <v>40678</v>
      </c>
      <c r="D505" s="1" t="n">
        <v>14.7</v>
      </c>
      <c r="E505" s="1" t="n">
        <v>11.5</v>
      </c>
      <c r="F505" s="1" t="n">
        <v>18.4</v>
      </c>
      <c r="G505" s="1" t="n">
        <f aca="false">G504+D505</f>
        <v>2630</v>
      </c>
      <c r="H505" s="49" t="n">
        <f aca="false">H504+D505</f>
        <v>254.5</v>
      </c>
      <c r="I505" s="1" t="n">
        <v>309.3</v>
      </c>
      <c r="J505" s="1" t="n">
        <v>0</v>
      </c>
      <c r="K505" s="1" t="n">
        <f aca="false">K504+J505</f>
        <v>349.9</v>
      </c>
      <c r="L505" s="1" t="n">
        <v>5</v>
      </c>
      <c r="M505" s="1" t="n">
        <f aca="false">M504+L505</f>
        <v>505.3</v>
      </c>
      <c r="N505" s="1" t="n">
        <v>-5</v>
      </c>
      <c r="O505" s="1" t="n">
        <f aca="false">O504+N505</f>
        <v>3.7</v>
      </c>
      <c r="P505" s="6" t="n">
        <v>250</v>
      </c>
      <c r="Q505" s="1" t="n">
        <f aca="false">1.15+((P505-235)/39)*(0.35-1.15)</f>
        <v>0.842307692307692</v>
      </c>
      <c r="R505" s="16" t="n">
        <f aca="false">Q505*L505</f>
        <v>4.21153846153846</v>
      </c>
      <c r="S505" s="16" t="n">
        <f aca="false">J505-R505</f>
        <v>-4.21153846153846</v>
      </c>
      <c r="T505" s="17" t="n">
        <f aca="false">T504+S505</f>
        <v>4.74910256410257</v>
      </c>
      <c r="U505" s="16" t="n">
        <f aca="false">(U503*100)/122.1</f>
        <v>0.792781675134617</v>
      </c>
      <c r="V505" s="1" t="n">
        <v>2464.2</v>
      </c>
      <c r="X505" s="1" t="n">
        <f aca="false">X504+V505</f>
        <v>248324.2</v>
      </c>
      <c r="Y505" s="49" t="n">
        <f aca="false">Y504+V505</f>
        <v>26473.2</v>
      </c>
      <c r="AA505" s="1" t="n">
        <v>14.6930807999393</v>
      </c>
    </row>
    <row r="506" s="1" customFormat="true" ht="15" hidden="false" customHeight="false" outlineLevel="0" collapsed="false">
      <c r="A506" s="72"/>
      <c r="B506" s="2"/>
      <c r="C506" s="8" t="n">
        <v>40679</v>
      </c>
      <c r="D506" s="1" t="n">
        <v>15.9</v>
      </c>
      <c r="E506" s="1" t="n">
        <v>10</v>
      </c>
      <c r="F506" s="1" t="n">
        <v>21.7</v>
      </c>
      <c r="G506" s="1" t="n">
        <f aca="false">G505+D506</f>
        <v>2645.9</v>
      </c>
      <c r="H506" s="49" t="n">
        <f aca="false">H505+D506</f>
        <v>270.4</v>
      </c>
      <c r="J506" s="1" t="n">
        <v>0</v>
      </c>
      <c r="K506" s="1" t="n">
        <f aca="false">K505+J506</f>
        <v>349.9</v>
      </c>
      <c r="L506" s="1" t="n">
        <v>5.4</v>
      </c>
      <c r="M506" s="1" t="n">
        <f aca="false">M505+L506</f>
        <v>510.7</v>
      </c>
      <c r="N506" s="1" t="n">
        <v>-5.4</v>
      </c>
      <c r="O506" s="1" t="n">
        <v>0</v>
      </c>
      <c r="P506" s="6" t="n">
        <v>251</v>
      </c>
      <c r="Q506" s="1" t="n">
        <f aca="false">1.15+((P506-235)/39)*(0.35-1.15)</f>
        <v>0.821794871794872</v>
      </c>
      <c r="R506" s="16" t="n">
        <f aca="false">Q506*L506</f>
        <v>4.43769230769231</v>
      </c>
      <c r="S506" s="16" t="n">
        <f aca="false">J506-R506</f>
        <v>-4.43769230769231</v>
      </c>
      <c r="T506" s="17" t="n">
        <f aca="false">T505+S506</f>
        <v>0.311410256410258</v>
      </c>
      <c r="V506" s="1" t="n">
        <v>3100.2</v>
      </c>
      <c r="X506" s="1" t="n">
        <f aca="false">X505+V506</f>
        <v>251424.4</v>
      </c>
      <c r="Y506" s="49" t="n">
        <f aca="false">Y505+V506</f>
        <v>29573.4</v>
      </c>
      <c r="AA506" s="1" t="n">
        <v>14.7294889991378</v>
      </c>
    </row>
    <row r="507" s="49" customFormat="true" ht="15" hidden="false" customHeight="false" outlineLevel="0" collapsed="false">
      <c r="A507" s="72"/>
      <c r="B507" s="47" t="n">
        <v>600</v>
      </c>
      <c r="C507" s="48" t="n">
        <v>40680</v>
      </c>
      <c r="D507" s="49" t="n">
        <v>18.8</v>
      </c>
      <c r="E507" s="49" t="n">
        <v>11.5</v>
      </c>
      <c r="F507" s="49" t="n">
        <v>25.8</v>
      </c>
      <c r="G507" s="49" t="n">
        <f aca="false">G506+D507</f>
        <v>2664.7</v>
      </c>
      <c r="H507" s="49" t="n">
        <f aca="false">H506+D507</f>
        <v>289.2</v>
      </c>
      <c r="J507" s="49" t="n">
        <v>0</v>
      </c>
      <c r="K507" s="49" t="n">
        <f aca="false">K506+J507</f>
        <v>349.9</v>
      </c>
      <c r="L507" s="49" t="n">
        <v>5.9</v>
      </c>
      <c r="M507" s="49" t="n">
        <f aca="false">M506+L507</f>
        <v>516.6</v>
      </c>
      <c r="N507" s="49" t="n">
        <v>-5.9</v>
      </c>
      <c r="O507" s="49" t="n">
        <v>0</v>
      </c>
      <c r="P507" s="51" t="n">
        <v>252</v>
      </c>
      <c r="Q507" s="1" t="n">
        <f aca="false">1.15+((P507-235)/39)*(0.35-1.15)</f>
        <v>0.801282051282051</v>
      </c>
      <c r="R507" s="52" t="n">
        <f aca="false">Q507*L507</f>
        <v>4.7275641025641</v>
      </c>
      <c r="S507" s="52" t="n">
        <f aca="false">J507-R507</f>
        <v>-4.7275641025641</v>
      </c>
      <c r="T507" s="17" t="n">
        <v>0</v>
      </c>
      <c r="V507" s="49" t="n">
        <v>3090.4</v>
      </c>
      <c r="X507" s="49" t="n">
        <f aca="false">X506+V507</f>
        <v>254514.8</v>
      </c>
      <c r="Y507" s="49" t="n">
        <f aca="false">Y506+V507</f>
        <v>32663.8</v>
      </c>
      <c r="AA507" s="49" t="n">
        <v>14.7652477921223</v>
      </c>
    </row>
    <row r="508" s="31" customFormat="true" ht="15" hidden="false" customHeight="true" outlineLevel="0" collapsed="false">
      <c r="A508" s="72"/>
      <c r="B508" s="29"/>
      <c r="C508" s="30" t="n">
        <v>40681</v>
      </c>
      <c r="D508" s="31" t="n">
        <v>20.1</v>
      </c>
      <c r="E508" s="31" t="n">
        <v>13.6</v>
      </c>
      <c r="F508" s="31" t="n">
        <v>27.4</v>
      </c>
      <c r="G508" s="31" t="n">
        <f aca="false">G507+D508</f>
        <v>2684.8</v>
      </c>
      <c r="H508" s="31" t="n">
        <f aca="false">H507+D508</f>
        <v>309.3</v>
      </c>
      <c r="J508" s="31" t="n">
        <v>0</v>
      </c>
      <c r="K508" s="31" t="n">
        <f aca="false">K507+J508</f>
        <v>349.9</v>
      </c>
      <c r="L508" s="31" t="n">
        <v>6.4</v>
      </c>
      <c r="M508" s="31" t="n">
        <f aca="false">M507+L508</f>
        <v>523</v>
      </c>
      <c r="N508" s="31" t="n">
        <v>-6.4</v>
      </c>
      <c r="O508" s="31" t="n">
        <v>0</v>
      </c>
      <c r="P508" s="32" t="n">
        <v>253</v>
      </c>
      <c r="Q508" s="1" t="n">
        <f aca="false">1.15+((P508-235)/39)*(0.35-1.15)</f>
        <v>0.780769230769231</v>
      </c>
      <c r="R508" s="33" t="n">
        <f aca="false">Q508*L508</f>
        <v>4.99692307692308</v>
      </c>
      <c r="S508" s="33" t="n">
        <f aca="false">J508-R508</f>
        <v>-4.99692307692308</v>
      </c>
      <c r="T508" s="68" t="n">
        <v>0</v>
      </c>
      <c r="V508" s="31" t="n">
        <v>2663</v>
      </c>
      <c r="X508" s="31" t="n">
        <f aca="false">X507+V508</f>
        <v>257177.8</v>
      </c>
      <c r="Y508" s="31" t="n">
        <f aca="false">Y507+V508</f>
        <v>35326.8</v>
      </c>
      <c r="AA508" s="31" t="n">
        <v>14.8003373031977</v>
      </c>
    </row>
    <row r="509" s="1" customFormat="true" ht="15" hidden="false" customHeight="false" outlineLevel="0" collapsed="false">
      <c r="A509" s="74" t="n">
        <v>1000</v>
      </c>
      <c r="B509" s="2"/>
      <c r="C509" s="8" t="n">
        <v>40682</v>
      </c>
      <c r="D509" s="1" t="n">
        <v>19.3</v>
      </c>
      <c r="E509" s="1" t="n">
        <v>14.8</v>
      </c>
      <c r="F509" s="1" t="n">
        <v>26.3</v>
      </c>
      <c r="G509" s="1" t="n">
        <f aca="false">G508+D509</f>
        <v>2704.1</v>
      </c>
      <c r="H509" s="49" t="n">
        <f aca="false">D509</f>
        <v>19.3</v>
      </c>
      <c r="I509" s="75" t="s">
        <v>30</v>
      </c>
      <c r="J509" s="1" t="n">
        <v>0</v>
      </c>
      <c r="K509" s="1" t="n">
        <f aca="false">K508+J509</f>
        <v>349.9</v>
      </c>
      <c r="L509" s="1" t="n">
        <v>4.3</v>
      </c>
      <c r="M509" s="1" t="n">
        <f aca="false">M508+L509</f>
        <v>527.3</v>
      </c>
      <c r="N509" s="1" t="n">
        <v>-4.3</v>
      </c>
      <c r="O509" s="1" t="n">
        <v>0</v>
      </c>
      <c r="P509" s="6" t="n">
        <v>254</v>
      </c>
      <c r="Q509" s="1" t="n">
        <f aca="false">1.15+((P509-235)/39)*(0.35-1.15)</f>
        <v>0.76025641025641</v>
      </c>
      <c r="R509" s="16" t="n">
        <f aca="false">Q509*L509</f>
        <v>3.26910256410256</v>
      </c>
      <c r="S509" s="16" t="n">
        <f aca="false">J509-R509</f>
        <v>-3.26910256410256</v>
      </c>
      <c r="T509" s="17" t="n">
        <v>0</v>
      </c>
      <c r="U509" s="75" t="s">
        <v>31</v>
      </c>
      <c r="V509" s="1" t="n">
        <v>1779.3</v>
      </c>
      <c r="X509" s="1" t="n">
        <f aca="false">X508+V509</f>
        <v>258957.1</v>
      </c>
      <c r="Y509" s="49" t="n">
        <f aca="false">V509</f>
        <v>1779.3</v>
      </c>
      <c r="Z509" s="75" t="s">
        <v>32</v>
      </c>
      <c r="AA509" s="1" t="n">
        <v>14.83473751221</v>
      </c>
    </row>
    <row r="510" s="1" customFormat="true" ht="15" hidden="false" customHeight="false" outlineLevel="0" collapsed="false">
      <c r="A510" s="74"/>
      <c r="B510" s="2"/>
      <c r="C510" s="8" t="n">
        <v>40683</v>
      </c>
      <c r="D510" s="1" t="n">
        <v>20.3</v>
      </c>
      <c r="E510" s="1" t="n">
        <v>13.3</v>
      </c>
      <c r="F510" s="1" t="n">
        <v>25.9</v>
      </c>
      <c r="G510" s="1" t="n">
        <f aca="false">G509+D510</f>
        <v>2724.4</v>
      </c>
      <c r="H510" s="49" t="n">
        <f aca="false">H509+D510</f>
        <v>39.6</v>
      </c>
      <c r="I510" s="1" t="n">
        <f aca="false">MIN(E509:E530)</f>
        <v>11.1</v>
      </c>
      <c r="J510" s="1" t="n">
        <v>0</v>
      </c>
      <c r="K510" s="1" t="n">
        <f aca="false">K509+J510</f>
        <v>349.9</v>
      </c>
      <c r="L510" s="1" t="n">
        <v>4.7</v>
      </c>
      <c r="M510" s="1" t="n">
        <f aca="false">M509+L510</f>
        <v>532</v>
      </c>
      <c r="N510" s="1" t="n">
        <v>-4.7</v>
      </c>
      <c r="O510" s="1" t="n">
        <v>0</v>
      </c>
      <c r="P510" s="6" t="n">
        <v>255</v>
      </c>
      <c r="Q510" s="1" t="n">
        <f aca="false">1.15+((P510-235)/39)*(0.35-1.15)</f>
        <v>0.73974358974359</v>
      </c>
      <c r="R510" s="16" t="n">
        <f aca="false">Q510*L510</f>
        <v>3.47679487179487</v>
      </c>
      <c r="S510" s="16" t="n">
        <f aca="false">J510-R510</f>
        <v>-3.47679487179487</v>
      </c>
      <c r="T510" s="17" t="n">
        <v>0</v>
      </c>
      <c r="U510" s="1" t="n">
        <v>16</v>
      </c>
      <c r="V510" s="1" t="n">
        <v>2336.6</v>
      </c>
      <c r="X510" s="1" t="n">
        <f aca="false">X509+V510</f>
        <v>261293.7</v>
      </c>
      <c r="Y510" s="49" t="n">
        <f aca="false">Y509+V510</f>
        <v>4115.9</v>
      </c>
      <c r="Z510" s="1" t="n">
        <v>40432.5</v>
      </c>
      <c r="AA510" s="1" t="n">
        <v>14.8684282846063</v>
      </c>
    </row>
    <row r="511" s="1" customFormat="true" ht="15" hidden="false" customHeight="false" outlineLevel="0" collapsed="false">
      <c r="A511" s="74"/>
      <c r="B511" s="2"/>
      <c r="C511" s="8" t="n">
        <v>40684</v>
      </c>
      <c r="D511" s="1" t="n">
        <v>21.6</v>
      </c>
      <c r="E511" s="1" t="n">
        <v>15.7</v>
      </c>
      <c r="F511" s="1" t="n">
        <v>26.7</v>
      </c>
      <c r="G511" s="1" t="n">
        <f aca="false">G510+D511</f>
        <v>2746</v>
      </c>
      <c r="H511" s="49" t="n">
        <f aca="false">H510+D511</f>
        <v>61.2</v>
      </c>
      <c r="I511" s="75" t="s">
        <v>33</v>
      </c>
      <c r="J511" s="1" t="n">
        <v>0</v>
      </c>
      <c r="K511" s="1" t="n">
        <f aca="false">K510+J511</f>
        <v>349.9</v>
      </c>
      <c r="L511" s="1" t="n">
        <v>5.2</v>
      </c>
      <c r="M511" s="1" t="n">
        <f aca="false">M510+L511</f>
        <v>537.2</v>
      </c>
      <c r="N511" s="1" t="n">
        <v>-5.2</v>
      </c>
      <c r="O511" s="1" t="n">
        <v>0</v>
      </c>
      <c r="P511" s="6" t="n">
        <v>256</v>
      </c>
      <c r="Q511" s="1" t="n">
        <f aca="false">1.15+((P511-235)/39)*(0.35-1.15)</f>
        <v>0.719230769230769</v>
      </c>
      <c r="R511" s="16" t="n">
        <f aca="false">Q511*L511</f>
        <v>3.74</v>
      </c>
      <c r="S511" s="16" t="n">
        <f aca="false">J511-R511</f>
        <v>-3.74</v>
      </c>
      <c r="T511" s="17" t="n">
        <v>0</v>
      </c>
      <c r="U511" s="75" t="s">
        <v>34</v>
      </c>
      <c r="V511" s="1" t="n">
        <v>2418.5</v>
      </c>
      <c r="X511" s="1" t="n">
        <f aca="false">X510+V511</f>
        <v>263712.2</v>
      </c>
      <c r="Y511" s="49" t="n">
        <f aca="false">Y510+V511</f>
        <v>6534.4</v>
      </c>
      <c r="Z511" s="75" t="s">
        <v>35</v>
      </c>
      <c r="AA511" s="1" t="n">
        <v>14.9013894033589</v>
      </c>
    </row>
    <row r="512" s="1" customFormat="true" ht="15" hidden="false" customHeight="false" outlineLevel="0" collapsed="false">
      <c r="A512" s="74"/>
      <c r="B512" s="2"/>
      <c r="C512" s="8" t="n">
        <v>40685</v>
      </c>
      <c r="D512" s="1" t="n">
        <v>18.3</v>
      </c>
      <c r="E512" s="1" t="n">
        <v>16.7</v>
      </c>
      <c r="F512" s="1" t="n">
        <v>20.6</v>
      </c>
      <c r="G512" s="1" t="n">
        <f aca="false">G511+D512</f>
        <v>2764.3</v>
      </c>
      <c r="H512" s="49" t="n">
        <f aca="false">H511+D512</f>
        <v>79.5</v>
      </c>
      <c r="I512" s="1" t="n">
        <f aca="false">MAX(F509:F530)</f>
        <v>30.8</v>
      </c>
      <c r="J512" s="1" t="n">
        <v>0</v>
      </c>
      <c r="K512" s="1" t="n">
        <f aca="false">K511+J512</f>
        <v>349.9</v>
      </c>
      <c r="L512" s="1" t="n">
        <v>3</v>
      </c>
      <c r="M512" s="1" t="n">
        <f aca="false">M511+L512</f>
        <v>540.2</v>
      </c>
      <c r="N512" s="1" t="n">
        <v>-3</v>
      </c>
      <c r="O512" s="1" t="n">
        <v>0</v>
      </c>
      <c r="P512" s="6" t="n">
        <v>257</v>
      </c>
      <c r="Q512" s="1" t="n">
        <f aca="false">1.15+((P512-235)/39)*(0.35-1.15)</f>
        <v>0.698717948717949</v>
      </c>
      <c r="R512" s="16" t="n">
        <f aca="false">Q512*L512</f>
        <v>2.09615384615385</v>
      </c>
      <c r="S512" s="16" t="n">
        <f aca="false">J512-R512</f>
        <v>-2.09615384615385</v>
      </c>
      <c r="T512" s="17" t="n">
        <v>0</v>
      </c>
      <c r="U512" s="1" t="n">
        <v>11</v>
      </c>
      <c r="V512" s="1" t="n">
        <v>1009.4</v>
      </c>
      <c r="X512" s="1" t="n">
        <f aca="false">X511+V512</f>
        <v>264721.6</v>
      </c>
      <c r="Y512" s="49" t="n">
        <f aca="false">Y511+V512</f>
        <v>7543.8</v>
      </c>
      <c r="Z512" s="18" t="n">
        <f aca="false">(Z510/100)/I522</f>
        <v>1.00006183527084</v>
      </c>
      <c r="AA512" s="1" t="n">
        <v>14.9336006027159</v>
      </c>
    </row>
    <row r="513" s="1" customFormat="true" ht="15" hidden="false" customHeight="false" outlineLevel="0" collapsed="false">
      <c r="A513" s="74"/>
      <c r="B513" s="2"/>
      <c r="C513" s="8" t="n">
        <v>40686</v>
      </c>
      <c r="D513" s="1" t="n">
        <v>20.8</v>
      </c>
      <c r="E513" s="1" t="n">
        <v>14</v>
      </c>
      <c r="F513" s="1" t="n">
        <v>28.3</v>
      </c>
      <c r="G513" s="1" t="n">
        <f aca="false">G512+D513</f>
        <v>2785.1</v>
      </c>
      <c r="H513" s="49" t="n">
        <f aca="false">H512+D513</f>
        <v>100.3</v>
      </c>
      <c r="I513" s="75" t="s">
        <v>36</v>
      </c>
      <c r="J513" s="1" t="n">
        <v>0</v>
      </c>
      <c r="K513" s="1" t="n">
        <f aca="false">K512+J513</f>
        <v>349.9</v>
      </c>
      <c r="L513" s="1" t="n">
        <v>6.3</v>
      </c>
      <c r="M513" s="1" t="n">
        <f aca="false">M512+L513</f>
        <v>546.5</v>
      </c>
      <c r="N513" s="1" t="n">
        <v>-6.3</v>
      </c>
      <c r="O513" s="1" t="n">
        <v>0</v>
      </c>
      <c r="P513" s="6" t="n">
        <v>258</v>
      </c>
      <c r="Q513" s="1" t="n">
        <f aca="false">1.15+((P513-235)/39)*(0.35-1.15)</f>
        <v>0.678205128205128</v>
      </c>
      <c r="R513" s="16" t="n">
        <f aca="false">Q513*L513</f>
        <v>4.27269230769231</v>
      </c>
      <c r="S513" s="16" t="n">
        <f aca="false">J513-R513</f>
        <v>-4.27269230769231</v>
      </c>
      <c r="T513" s="17" t="n">
        <v>0</v>
      </c>
      <c r="U513" s="75" t="s">
        <v>37</v>
      </c>
      <c r="V513" s="1" t="n">
        <v>3001.2</v>
      </c>
      <c r="X513" s="1" t="n">
        <f aca="false">X512+V513</f>
        <v>267722.8</v>
      </c>
      <c r="Y513" s="49" t="n">
        <f aca="false">Y512+V513</f>
        <v>10545</v>
      </c>
      <c r="Z513" s="75" t="s">
        <v>38</v>
      </c>
      <c r="AA513" s="1" t="n">
        <v>14.9650416037285</v>
      </c>
    </row>
    <row r="514" s="1" customFormat="true" ht="15" hidden="false" customHeight="false" outlineLevel="0" collapsed="false">
      <c r="A514" s="74"/>
      <c r="B514" s="2"/>
      <c r="C514" s="8" t="n">
        <v>40687</v>
      </c>
      <c r="D514" s="1" t="n">
        <v>21</v>
      </c>
      <c r="E514" s="1" t="n">
        <v>16</v>
      </c>
      <c r="F514" s="1" t="n">
        <v>25.7</v>
      </c>
      <c r="G514" s="1" t="n">
        <f aca="false">G513+D514</f>
        <v>2806.1</v>
      </c>
      <c r="H514" s="49" t="n">
        <f aca="false">H513+D514</f>
        <v>121.3</v>
      </c>
      <c r="I514" s="16" t="n">
        <f aca="false">AVERAGE(D509:D530)</f>
        <v>18.3772727272727</v>
      </c>
      <c r="J514" s="1" t="n">
        <v>0</v>
      </c>
      <c r="K514" s="1" t="n">
        <f aca="false">K513+J514</f>
        <v>349.9</v>
      </c>
      <c r="L514" s="1" t="n">
        <v>6.9</v>
      </c>
      <c r="M514" s="1" t="n">
        <f aca="false">M513+L514</f>
        <v>553.4</v>
      </c>
      <c r="N514" s="1" t="n">
        <v>-6.9</v>
      </c>
      <c r="O514" s="1" t="n">
        <v>0</v>
      </c>
      <c r="P514" s="6" t="n">
        <v>259</v>
      </c>
      <c r="Q514" s="1" t="n">
        <f aca="false">1.15+((P514-235)/39)*(0.35-1.15)</f>
        <v>0.657692307692308</v>
      </c>
      <c r="R514" s="16" t="n">
        <f aca="false">Q514*L514</f>
        <v>4.53807692307692</v>
      </c>
      <c r="S514" s="16" t="n">
        <f aca="false">J514-R514</f>
        <v>-4.53807692307692</v>
      </c>
      <c r="T514" s="17" t="n">
        <v>0</v>
      </c>
      <c r="U514" s="1" t="n">
        <v>11</v>
      </c>
      <c r="V514" s="1" t="n">
        <v>3104.3</v>
      </c>
      <c r="X514" s="1" t="n">
        <f aca="false">X513+V514</f>
        <v>270827.1</v>
      </c>
      <c r="Y514" s="49" t="n">
        <f aca="false">Y513+V514</f>
        <v>13649.3</v>
      </c>
      <c r="Z514" s="1" t="n">
        <v>1</v>
      </c>
      <c r="AA514" s="1" t="n">
        <v>14.9956921514894</v>
      </c>
    </row>
    <row r="515" s="1" customFormat="true" ht="15" hidden="false" customHeight="false" outlineLevel="0" collapsed="false">
      <c r="A515" s="74"/>
      <c r="B515" s="2"/>
      <c r="C515" s="8" t="n">
        <v>40688</v>
      </c>
      <c r="D515" s="1" t="n">
        <v>23</v>
      </c>
      <c r="E515" s="1" t="n">
        <v>16.3</v>
      </c>
      <c r="F515" s="1" t="n">
        <v>30.8</v>
      </c>
      <c r="G515" s="1" t="n">
        <f aca="false">G514+D515</f>
        <v>2829.1</v>
      </c>
      <c r="H515" s="49" t="n">
        <f aca="false">H514+D515</f>
        <v>144.3</v>
      </c>
      <c r="I515" s="75" t="s">
        <v>39</v>
      </c>
      <c r="J515" s="1" t="n">
        <v>0</v>
      </c>
      <c r="K515" s="1" t="n">
        <f aca="false">K514+J515</f>
        <v>349.9</v>
      </c>
      <c r="L515" s="1" t="n">
        <v>6.7</v>
      </c>
      <c r="M515" s="1" t="n">
        <f aca="false">M514+L515</f>
        <v>560.1</v>
      </c>
      <c r="N515" s="1" t="n">
        <v>-6.7</v>
      </c>
      <c r="O515" s="1" t="n">
        <v>0</v>
      </c>
      <c r="P515" s="6" t="n">
        <v>260</v>
      </c>
      <c r="Q515" s="1" t="n">
        <f aca="false">1.15+((P515-235)/39)*(0.35-1.15)</f>
        <v>0.637179487179487</v>
      </c>
      <c r="R515" s="16" t="n">
        <f aca="false">Q515*L515</f>
        <v>4.26910256410256</v>
      </c>
      <c r="S515" s="16" t="n">
        <f aca="false">J515-R515</f>
        <v>-4.26910256410256</v>
      </c>
      <c r="T515" s="17" t="n">
        <v>0</v>
      </c>
      <c r="U515" s="75" t="s">
        <v>40</v>
      </c>
      <c r="V515" s="1" t="n">
        <v>2982.7</v>
      </c>
      <c r="X515" s="1" t="n">
        <f aca="false">X514+V515</f>
        <v>273809.8</v>
      </c>
      <c r="Y515" s="49" t="n">
        <f aca="false">Y514+V515</f>
        <v>16632</v>
      </c>
      <c r="AA515" s="1" t="n">
        <v>15.0255320540036</v>
      </c>
    </row>
    <row r="516" s="1" customFormat="true" ht="15" hidden="false" customHeight="false" outlineLevel="0" collapsed="false">
      <c r="A516" s="74"/>
      <c r="B516" s="2"/>
      <c r="C516" s="8" t="n">
        <v>40689</v>
      </c>
      <c r="D516" s="1" t="n">
        <v>19.5</v>
      </c>
      <c r="E516" s="1" t="n">
        <v>16.8</v>
      </c>
      <c r="F516" s="1" t="n">
        <v>21.6</v>
      </c>
      <c r="G516" s="1" t="n">
        <f aca="false">G515+D516</f>
        <v>2848.6</v>
      </c>
      <c r="H516" s="49" t="n">
        <f aca="false">H515+D516</f>
        <v>163.8</v>
      </c>
      <c r="I516" s="1" t="n">
        <v>0</v>
      </c>
      <c r="J516" s="1" t="n">
        <v>0.1</v>
      </c>
      <c r="K516" s="1" t="n">
        <f aca="false">K515+J516</f>
        <v>350</v>
      </c>
      <c r="L516" s="1" t="n">
        <v>3.2</v>
      </c>
      <c r="M516" s="1" t="n">
        <f aca="false">M515+L516</f>
        <v>563.3</v>
      </c>
      <c r="N516" s="1" t="n">
        <v>-3.1</v>
      </c>
      <c r="O516" s="1" t="n">
        <v>0</v>
      </c>
      <c r="P516" s="6" t="n">
        <v>261</v>
      </c>
      <c r="Q516" s="1" t="n">
        <f aca="false">1.15+((P516-235)/39)*(0.35-1.15)</f>
        <v>0.616666666666667</v>
      </c>
      <c r="R516" s="16" t="n">
        <f aca="false">Q516*L516</f>
        <v>1.97333333333333</v>
      </c>
      <c r="S516" s="16" t="n">
        <f aca="false">J516-R516</f>
        <v>-1.87333333333333</v>
      </c>
      <c r="T516" s="17" t="n">
        <v>0</v>
      </c>
      <c r="U516" s="16" t="n">
        <v>0</v>
      </c>
      <c r="V516" s="1" t="n">
        <v>1034.9</v>
      </c>
      <c r="X516" s="1" t="n">
        <f aca="false">X515+V516</f>
        <v>274844.7</v>
      </c>
      <c r="Y516" s="49" t="n">
        <f aca="false">Y515+V516</f>
        <v>17666.9</v>
      </c>
      <c r="AA516" s="1" t="n">
        <v>15.0545412225981</v>
      </c>
    </row>
    <row r="517" s="1" customFormat="true" ht="15" hidden="false" customHeight="false" outlineLevel="0" collapsed="false">
      <c r="A517" s="74"/>
      <c r="B517" s="2"/>
      <c r="C517" s="8" t="n">
        <v>40690</v>
      </c>
      <c r="D517" s="1" t="n">
        <v>16.8</v>
      </c>
      <c r="E517" s="1" t="n">
        <v>11.8</v>
      </c>
      <c r="F517" s="1" t="n">
        <v>19.7</v>
      </c>
      <c r="G517" s="1" t="n">
        <f aca="false">G516+D517</f>
        <v>2865.4</v>
      </c>
      <c r="H517" s="49" t="n">
        <f aca="false">H516+D517</f>
        <v>180.6</v>
      </c>
      <c r="I517" s="75" t="s">
        <v>41</v>
      </c>
      <c r="J517" s="1" t="n">
        <v>0</v>
      </c>
      <c r="K517" s="1" t="n">
        <f aca="false">K516+J517</f>
        <v>350</v>
      </c>
      <c r="L517" s="1" t="n">
        <v>3.6</v>
      </c>
      <c r="M517" s="1" t="n">
        <f aca="false">M516+L517</f>
        <v>566.9</v>
      </c>
      <c r="N517" s="1" t="n">
        <v>-3.6</v>
      </c>
      <c r="O517" s="1" t="n">
        <v>0</v>
      </c>
      <c r="P517" s="6" t="n">
        <v>262</v>
      </c>
      <c r="Q517" s="1" t="n">
        <f aca="false">1.15+((P517-235)/39)*(0.35-1.15)</f>
        <v>0.596153846153846</v>
      </c>
      <c r="R517" s="16" t="n">
        <f aca="false">Q517*L517</f>
        <v>2.14615384615385</v>
      </c>
      <c r="S517" s="16" t="n">
        <f aca="false">J517-R517</f>
        <v>-2.14615384615385</v>
      </c>
      <c r="T517" s="17" t="n">
        <v>0</v>
      </c>
      <c r="U517" s="75" t="s">
        <v>42</v>
      </c>
      <c r="V517" s="1" t="n">
        <v>1447.4</v>
      </c>
      <c r="X517" s="1" t="n">
        <f aca="false">X516+V517</f>
        <v>276292.1</v>
      </c>
      <c r="Y517" s="49" t="n">
        <f aca="false">Y516+V517</f>
        <v>19114.3</v>
      </c>
      <c r="AA517" s="1" t="n">
        <v>15.0826997137605</v>
      </c>
    </row>
    <row r="518" s="1" customFormat="true" ht="15" hidden="false" customHeight="false" outlineLevel="0" collapsed="false">
      <c r="A518" s="74"/>
      <c r="B518" s="2"/>
      <c r="C518" s="8" t="n">
        <v>40691</v>
      </c>
      <c r="D518" s="1" t="n">
        <v>17.7</v>
      </c>
      <c r="E518" s="1" t="n">
        <v>12.2</v>
      </c>
      <c r="F518" s="1" t="n">
        <v>23.7</v>
      </c>
      <c r="G518" s="1" t="n">
        <f aca="false">G517+D518</f>
        <v>2883.1</v>
      </c>
      <c r="H518" s="49" t="n">
        <f aca="false">H517+D518</f>
        <v>198.3</v>
      </c>
      <c r="I518" s="1" t="n">
        <v>8</v>
      </c>
      <c r="J518" s="1" t="n">
        <v>0</v>
      </c>
      <c r="K518" s="1" t="n">
        <f aca="false">K517+J518</f>
        <v>350</v>
      </c>
      <c r="L518" s="1" t="n">
        <v>6.1</v>
      </c>
      <c r="M518" s="1" t="n">
        <f aca="false">M517+L518</f>
        <v>573</v>
      </c>
      <c r="N518" s="1" t="n">
        <v>-6.1</v>
      </c>
      <c r="O518" s="1" t="n">
        <v>0</v>
      </c>
      <c r="P518" s="6" t="n">
        <v>263</v>
      </c>
      <c r="Q518" s="1" t="n">
        <f aca="false">1.15+((P518-235)/39)*(0.35-1.15)</f>
        <v>0.575641025641026</v>
      </c>
      <c r="R518" s="16" t="n">
        <f aca="false">Q518*L518</f>
        <v>3.51141025641026</v>
      </c>
      <c r="S518" s="16" t="n">
        <f aca="false">J518-R518</f>
        <v>-3.51141025641026</v>
      </c>
      <c r="T518" s="17" t="n">
        <v>0</v>
      </c>
      <c r="U518" s="52" t="n">
        <f aca="false">MAX(T509:T530)</f>
        <v>33.0246153846154</v>
      </c>
      <c r="V518" s="1" t="n">
        <v>3177.4</v>
      </c>
      <c r="X518" s="1" t="n">
        <f aca="false">X517+V518</f>
        <v>279469.5</v>
      </c>
      <c r="Y518" s="49" t="n">
        <f aca="false">Y517+V518</f>
        <v>22291.7</v>
      </c>
      <c r="AA518" s="1" t="n">
        <v>15.109987772282</v>
      </c>
    </row>
    <row r="519" s="49" customFormat="true" ht="15" hidden="false" customHeight="false" outlineLevel="0" collapsed="false">
      <c r="A519" s="74"/>
      <c r="B519" s="47"/>
      <c r="C519" s="48" t="n">
        <v>40692</v>
      </c>
      <c r="D519" s="49" t="n">
        <v>21.2</v>
      </c>
      <c r="E519" s="49" t="n">
        <v>12.6</v>
      </c>
      <c r="F519" s="49" t="n">
        <v>29.4</v>
      </c>
      <c r="G519" s="49" t="n">
        <f aca="false">G518+D519</f>
        <v>2904.3</v>
      </c>
      <c r="H519" s="49" t="n">
        <f aca="false">H518+D519</f>
        <v>219.5</v>
      </c>
      <c r="I519" s="75" t="s">
        <v>43</v>
      </c>
      <c r="J519" s="49" t="n">
        <v>0.3</v>
      </c>
      <c r="K519" s="49" t="n">
        <f aca="false">K518+J519</f>
        <v>350.3</v>
      </c>
      <c r="L519" s="49" t="n">
        <v>6.5</v>
      </c>
      <c r="M519" s="49" t="n">
        <f aca="false">M518+L519</f>
        <v>579.5</v>
      </c>
      <c r="N519" s="49" t="n">
        <v>-6.2</v>
      </c>
      <c r="O519" s="49" t="n">
        <v>0</v>
      </c>
      <c r="P519" s="51" t="n">
        <v>264</v>
      </c>
      <c r="Q519" s="1" t="n">
        <f aca="false">1.15+((P519-235)/39)*(0.35-1.15)</f>
        <v>0.555128205128205</v>
      </c>
      <c r="R519" s="52" t="n">
        <f aca="false">Q519*L519</f>
        <v>3.60833333333333</v>
      </c>
      <c r="S519" s="16" t="n">
        <f aca="false">J519-R519</f>
        <v>-3.30833333333333</v>
      </c>
      <c r="T519" s="17" t="n">
        <v>0</v>
      </c>
      <c r="U519" s="75" t="s">
        <v>44</v>
      </c>
      <c r="V519" s="49" t="n">
        <v>2884.4</v>
      </c>
      <c r="X519" s="49" t="n">
        <f aca="false">X518+V519</f>
        <v>282353.9</v>
      </c>
      <c r="Y519" s="49" t="n">
        <f aca="false">Y518+V519</f>
        <v>25176.1</v>
      </c>
      <c r="AA519" s="49" t="n">
        <v>15.136385875566</v>
      </c>
    </row>
    <row r="520" s="1" customFormat="true" ht="15" hidden="false" customHeight="true" outlineLevel="0" collapsed="false">
      <c r="A520" s="74"/>
      <c r="B520" s="76"/>
      <c r="C520" s="8" t="n">
        <v>40693</v>
      </c>
      <c r="D520" s="1" t="n">
        <v>20.7</v>
      </c>
      <c r="E520" s="1" t="n">
        <v>18.2</v>
      </c>
      <c r="F520" s="1" t="n">
        <v>25.3</v>
      </c>
      <c r="G520" s="1" t="n">
        <f aca="false">G519+D520</f>
        <v>2925</v>
      </c>
      <c r="H520" s="49" t="n">
        <f aca="false">H519+D520</f>
        <v>240.2</v>
      </c>
      <c r="I520" s="49" t="n">
        <v>0</v>
      </c>
      <c r="J520" s="1" t="n">
        <v>13.4</v>
      </c>
      <c r="K520" s="1" t="n">
        <f aca="false">K519+J520</f>
        <v>363.7</v>
      </c>
      <c r="L520" s="1" t="n">
        <v>4.1</v>
      </c>
      <c r="M520" s="1" t="n">
        <f aca="false">M519+L520</f>
        <v>583.6</v>
      </c>
      <c r="N520" s="1" t="n">
        <v>9.3</v>
      </c>
      <c r="O520" s="1" t="n">
        <f aca="false">O519+N520</f>
        <v>9.3</v>
      </c>
      <c r="P520" s="6" t="n">
        <v>265</v>
      </c>
      <c r="Q520" s="1" t="n">
        <f aca="false">1.15+((P520-235)/39)*(0.35-1.15)</f>
        <v>0.534615384615385</v>
      </c>
      <c r="R520" s="16" t="n">
        <f aca="false">Q520*L520</f>
        <v>2.19192307692308</v>
      </c>
      <c r="S520" s="16" t="n">
        <f aca="false">J520-R520</f>
        <v>11.2080769230769</v>
      </c>
      <c r="T520" s="17" t="n">
        <f aca="false">T519+S520</f>
        <v>11.2080769230769</v>
      </c>
      <c r="U520" s="77" t="n">
        <f aca="false">AVERAGE(T509:T530)</f>
        <v>10.4527680652681</v>
      </c>
      <c r="V520" s="1" t="n">
        <v>1465.7</v>
      </c>
      <c r="X520" s="1" t="n">
        <f aca="false">X519+V520</f>
        <v>283819.6</v>
      </c>
      <c r="Y520" s="49" t="n">
        <f aca="false">Y519+V520</f>
        <v>26641.8</v>
      </c>
      <c r="AA520" s="1" t="n">
        <v>15.1618747789451</v>
      </c>
    </row>
    <row r="521" s="1" customFormat="true" ht="15" hidden="false" customHeight="false" outlineLevel="0" collapsed="false">
      <c r="A521" s="74"/>
      <c r="B521" s="76"/>
      <c r="C521" s="8" t="n">
        <v>40694</v>
      </c>
      <c r="D521" s="1" t="n">
        <v>15.3</v>
      </c>
      <c r="E521" s="1" t="n">
        <v>12.6</v>
      </c>
      <c r="F521" s="1" t="n">
        <v>17.4</v>
      </c>
      <c r="G521" s="1" t="n">
        <f aca="false">G520+D521</f>
        <v>2940.3</v>
      </c>
      <c r="H521" s="49" t="n">
        <f aca="false">H520+D521</f>
        <v>255.5</v>
      </c>
      <c r="I521" s="75" t="s">
        <v>45</v>
      </c>
      <c r="J521" s="1" t="n">
        <v>2.6</v>
      </c>
      <c r="K521" s="1" t="n">
        <f aca="false">K520+J521</f>
        <v>366.3</v>
      </c>
      <c r="L521" s="1" t="n">
        <v>2.3</v>
      </c>
      <c r="M521" s="1" t="n">
        <f aca="false">M520+L521</f>
        <v>585.9</v>
      </c>
      <c r="N521" s="1" t="n">
        <v>0.3</v>
      </c>
      <c r="O521" s="1" t="n">
        <f aca="false">O520+N521</f>
        <v>9.6</v>
      </c>
      <c r="P521" s="6" t="n">
        <v>266</v>
      </c>
      <c r="Q521" s="1" t="n">
        <f aca="false">1.15+((P521-235)/39)*(0.35-1.15)</f>
        <v>0.514102564102564</v>
      </c>
      <c r="R521" s="16" t="n">
        <f aca="false">Q521*L521</f>
        <v>1.1824358974359</v>
      </c>
      <c r="S521" s="16" t="n">
        <f aca="false">J521-R521</f>
        <v>1.4175641025641</v>
      </c>
      <c r="T521" s="17" t="n">
        <f aca="false">T520+S521</f>
        <v>12.625641025641</v>
      </c>
      <c r="V521" s="1" t="n">
        <v>908.5</v>
      </c>
      <c r="X521" s="1" t="n">
        <f aca="false">X520+V521</f>
        <v>284728.1</v>
      </c>
      <c r="Y521" s="49" t="n">
        <f aca="false">Y520+V521</f>
        <v>27550.3</v>
      </c>
      <c r="AA521" s="1" t="n">
        <v>15.1864355618377</v>
      </c>
    </row>
    <row r="522" s="1" customFormat="true" ht="15" hidden="false" customHeight="false" outlineLevel="0" collapsed="false">
      <c r="A522" s="74"/>
      <c r="B522" s="76"/>
      <c r="C522" s="8" t="n">
        <v>40695</v>
      </c>
      <c r="D522" s="1" t="n">
        <v>13</v>
      </c>
      <c r="E522" s="1" t="n">
        <v>11.1</v>
      </c>
      <c r="F522" s="1" t="n">
        <v>17.2</v>
      </c>
      <c r="G522" s="1" t="n">
        <f aca="false">G521+D522</f>
        <v>2953.3</v>
      </c>
      <c r="H522" s="49" t="n">
        <f aca="false">H521+D522</f>
        <v>268.5</v>
      </c>
      <c r="I522" s="1" t="n">
        <v>404.3</v>
      </c>
      <c r="J522" s="1" t="n">
        <v>9.5</v>
      </c>
      <c r="K522" s="1" t="n">
        <f aca="false">K521+J522</f>
        <v>375.8</v>
      </c>
      <c r="L522" s="1" t="n">
        <v>3.6</v>
      </c>
      <c r="M522" s="1" t="n">
        <f aca="false">M521+L522</f>
        <v>589.5</v>
      </c>
      <c r="N522" s="1" t="n">
        <v>5.9</v>
      </c>
      <c r="O522" s="1" t="n">
        <f aca="false">O521+N522</f>
        <v>15.5</v>
      </c>
      <c r="P522" s="6" t="n">
        <v>267</v>
      </c>
      <c r="Q522" s="1" t="n">
        <f aca="false">1.15+((P522-235)/39)*(0.35-1.15)</f>
        <v>0.493589743589744</v>
      </c>
      <c r="R522" s="16" t="n">
        <f aca="false">Q522*L522</f>
        <v>1.77692307692308</v>
      </c>
      <c r="S522" s="16" t="n">
        <f aca="false">J522-R522</f>
        <v>7.72307692307692</v>
      </c>
      <c r="T522" s="17" t="n">
        <f aca="false">T521+S522</f>
        <v>20.348717948718</v>
      </c>
      <c r="U522" s="16" t="n">
        <f aca="false">(U520*100)/122.1</f>
        <v>8.56082560628015</v>
      </c>
      <c r="V522" s="1" t="n">
        <v>1387</v>
      </c>
      <c r="X522" s="1" t="n">
        <f aca="false">X521+V522</f>
        <v>286115.1</v>
      </c>
      <c r="Y522" s="49" t="n">
        <f aca="false">Y521+V522</f>
        <v>28937.3</v>
      </c>
      <c r="AA522" s="1" t="n">
        <v>15.2100496745591</v>
      </c>
    </row>
    <row r="523" s="1" customFormat="true" ht="15" hidden="false" customHeight="false" outlineLevel="0" collapsed="false">
      <c r="A523" s="74"/>
      <c r="B523" s="76"/>
      <c r="C523" s="8" t="n">
        <v>40696</v>
      </c>
      <c r="D523" s="1" t="n">
        <v>14.2</v>
      </c>
      <c r="E523" s="1" t="n">
        <v>11.3</v>
      </c>
      <c r="F523" s="1" t="n">
        <v>17.2</v>
      </c>
      <c r="G523" s="1" t="n">
        <f aca="false">G522+D523</f>
        <v>2967.5</v>
      </c>
      <c r="H523" s="49" t="n">
        <f aca="false">H522+D523</f>
        <v>282.7</v>
      </c>
      <c r="J523" s="1" t="n">
        <v>0.2</v>
      </c>
      <c r="K523" s="1" t="n">
        <f aca="false">K522+J523</f>
        <v>376</v>
      </c>
      <c r="L523" s="1" t="n">
        <v>1.9</v>
      </c>
      <c r="M523" s="1" t="n">
        <f aca="false">M522+L523</f>
        <v>591.4</v>
      </c>
      <c r="N523" s="1" t="n">
        <v>-1.7</v>
      </c>
      <c r="O523" s="1" t="n">
        <f aca="false">O522+N523</f>
        <v>13.8</v>
      </c>
      <c r="P523" s="6" t="n">
        <v>268</v>
      </c>
      <c r="Q523" s="1" t="n">
        <f aca="false">1.15+((P523-235)/39)*(0.35-1.15)</f>
        <v>0.473076923076923</v>
      </c>
      <c r="R523" s="16" t="n">
        <f aca="false">Q523*L523</f>
        <v>0.898846153846154</v>
      </c>
      <c r="S523" s="16" t="n">
        <f aca="false">J523-R523</f>
        <v>-0.698846153846154</v>
      </c>
      <c r="T523" s="17" t="n">
        <f aca="false">T522+S523</f>
        <v>19.6498717948718</v>
      </c>
      <c r="V523" s="1" t="n">
        <v>988.7</v>
      </c>
      <c r="X523" s="1" t="n">
        <f aca="false">X522+V523</f>
        <v>287103.8</v>
      </c>
      <c r="Y523" s="49" t="n">
        <f aca="false">Y522+V523</f>
        <v>29926</v>
      </c>
      <c r="AA523" s="1" t="n">
        <v>15.2326989855888</v>
      </c>
    </row>
    <row r="524" s="1" customFormat="true" ht="15" hidden="false" customHeight="false" outlineLevel="0" collapsed="false">
      <c r="A524" s="74"/>
      <c r="B524" s="76"/>
      <c r="C524" s="8" t="n">
        <v>40697</v>
      </c>
      <c r="D524" s="1" t="n">
        <v>17.9</v>
      </c>
      <c r="E524" s="1" t="n">
        <v>12.4</v>
      </c>
      <c r="F524" s="1" t="n">
        <v>24.5</v>
      </c>
      <c r="G524" s="1" t="n">
        <f aca="false">G523+D524</f>
        <v>2985.4</v>
      </c>
      <c r="H524" s="49" t="n">
        <f aca="false">H523+D524</f>
        <v>300.6</v>
      </c>
      <c r="J524" s="1" t="n">
        <v>0</v>
      </c>
      <c r="K524" s="1" t="n">
        <f aca="false">K523+J524</f>
        <v>376</v>
      </c>
      <c r="L524" s="1" t="n">
        <v>3.7</v>
      </c>
      <c r="M524" s="1" t="n">
        <f aca="false">M523+L524</f>
        <v>595.1</v>
      </c>
      <c r="N524" s="1" t="n">
        <v>-3.7</v>
      </c>
      <c r="O524" s="1" t="n">
        <f aca="false">O523+N524</f>
        <v>10.1</v>
      </c>
      <c r="P524" s="6" t="n">
        <v>269</v>
      </c>
      <c r="Q524" s="1" t="n">
        <f aca="false">1.15+((P524-235)/39)*(0.35-1.15)</f>
        <v>0.452564102564103</v>
      </c>
      <c r="R524" s="16" t="n">
        <f aca="false">Q524*L524</f>
        <v>1.67448717948718</v>
      </c>
      <c r="S524" s="16" t="n">
        <f aca="false">J524-R524</f>
        <v>-1.67448717948718</v>
      </c>
      <c r="T524" s="17" t="n">
        <f aca="false">T523+S524</f>
        <v>17.9753846153846</v>
      </c>
      <c r="V524" s="1" t="n">
        <v>1864.5</v>
      </c>
      <c r="X524" s="1" t="n">
        <f aca="false">X523+V524</f>
        <v>288968.3</v>
      </c>
      <c r="Y524" s="49" t="n">
        <f aca="false">Y523+V524</f>
        <v>31790.5</v>
      </c>
      <c r="AA524" s="1" t="n">
        <v>15.2543658290831</v>
      </c>
    </row>
    <row r="525" s="1" customFormat="true" ht="15" hidden="false" customHeight="false" outlineLevel="0" collapsed="false">
      <c r="A525" s="74"/>
      <c r="B525" s="76"/>
      <c r="C525" s="8" t="n">
        <v>40698</v>
      </c>
      <c r="D525" s="1" t="n">
        <v>17.7</v>
      </c>
      <c r="E525" s="1" t="n">
        <v>13.8</v>
      </c>
      <c r="F525" s="1" t="n">
        <v>21.4</v>
      </c>
      <c r="G525" s="1" t="n">
        <f aca="false">G524+D525</f>
        <v>3003.1</v>
      </c>
      <c r="H525" s="49" t="n">
        <f aca="false">H524+D525</f>
        <v>318.3</v>
      </c>
      <c r="J525" s="1" t="n">
        <v>0.9</v>
      </c>
      <c r="K525" s="1" t="n">
        <f aca="false">K524+J525</f>
        <v>376.9</v>
      </c>
      <c r="L525" s="1" t="n">
        <v>1.9</v>
      </c>
      <c r="M525" s="1" t="n">
        <f aca="false">M524+L525</f>
        <v>597</v>
      </c>
      <c r="N525" s="1" t="n">
        <v>-1</v>
      </c>
      <c r="O525" s="1" t="n">
        <f aca="false">O524+N525</f>
        <v>9.1</v>
      </c>
      <c r="P525" s="6" t="n">
        <v>270</v>
      </c>
      <c r="Q525" s="1" t="n">
        <f aca="false">1.15+((P525-235)/39)*(0.35-1.15)</f>
        <v>0.432051282051282</v>
      </c>
      <c r="R525" s="16" t="n">
        <f aca="false">Q525*L525</f>
        <v>0.820897435897436</v>
      </c>
      <c r="S525" s="16" t="n">
        <f aca="false">J525-R525</f>
        <v>0.0791025641025643</v>
      </c>
      <c r="T525" s="17" t="n">
        <f aca="false">T524+S525</f>
        <v>18.0544871794872</v>
      </c>
      <c r="V525" s="1" t="n">
        <v>1136.4</v>
      </c>
      <c r="X525" s="1" t="n">
        <f aca="false">X524+V525</f>
        <v>290104.7</v>
      </c>
      <c r="Y525" s="49" t="n">
        <f aca="false">Y524+V525</f>
        <v>32926.9</v>
      </c>
      <c r="AA525" s="1" t="n">
        <v>15.2750330524105</v>
      </c>
    </row>
    <row r="526" s="1" customFormat="true" ht="15" hidden="false" customHeight="false" outlineLevel="0" collapsed="false">
      <c r="A526" s="74"/>
      <c r="B526" s="76"/>
      <c r="C526" s="8" t="n">
        <v>40699</v>
      </c>
      <c r="D526" s="1" t="n">
        <v>18.9</v>
      </c>
      <c r="E526" s="1" t="n">
        <v>15</v>
      </c>
      <c r="F526" s="1" t="n">
        <v>22.8</v>
      </c>
      <c r="G526" s="1" t="n">
        <f aca="false">G525+D526</f>
        <v>3022</v>
      </c>
      <c r="H526" s="49" t="n">
        <f aca="false">H525+D526</f>
        <v>337.2</v>
      </c>
      <c r="J526" s="1" t="n">
        <v>0.1</v>
      </c>
      <c r="K526" s="1" t="n">
        <f aca="false">K525+J526</f>
        <v>377</v>
      </c>
      <c r="L526" s="1" t="n">
        <v>3.8</v>
      </c>
      <c r="M526" s="1" t="n">
        <f aca="false">M525+L526</f>
        <v>600.8</v>
      </c>
      <c r="N526" s="1" t="n">
        <v>-3.7</v>
      </c>
      <c r="O526" s="1" t="n">
        <f aca="false">O525+N526</f>
        <v>5.4</v>
      </c>
      <c r="P526" s="6" t="n">
        <v>271</v>
      </c>
      <c r="Q526" s="1" t="n">
        <f aca="false">1.15+((P526-235)/39)*(0.35-1.15)</f>
        <v>0.411538461538462</v>
      </c>
      <c r="R526" s="16" t="n">
        <f aca="false">Q526*L526</f>
        <v>1.56384615384615</v>
      </c>
      <c r="S526" s="16" t="n">
        <f aca="false">J526-R526</f>
        <v>-1.46384615384615</v>
      </c>
      <c r="T526" s="17" t="n">
        <f aca="false">T525+S526</f>
        <v>16.590641025641</v>
      </c>
      <c r="V526" s="1" t="n">
        <v>1913.3</v>
      </c>
      <c r="X526" s="1" t="n">
        <f aca="false">X525+V526</f>
        <v>292018</v>
      </c>
      <c r="Y526" s="49" t="n">
        <f aca="false">Y525+V526</f>
        <v>34840.2</v>
      </c>
      <c r="AA526" s="1" t="n">
        <v>15.2946840634769</v>
      </c>
    </row>
    <row r="527" s="1" customFormat="true" ht="15" hidden="false" customHeight="false" outlineLevel="0" collapsed="false">
      <c r="A527" s="74"/>
      <c r="B527" s="76"/>
      <c r="C527" s="8" t="n">
        <v>40700</v>
      </c>
      <c r="D527" s="1" t="n">
        <v>20</v>
      </c>
      <c r="E527" s="1" t="n">
        <v>16.2</v>
      </c>
      <c r="F527" s="1" t="n">
        <v>24.6</v>
      </c>
      <c r="G527" s="1" t="n">
        <f aca="false">G526+D527</f>
        <v>3042</v>
      </c>
      <c r="H527" s="49" t="n">
        <f aca="false">H526+D527</f>
        <v>357.2</v>
      </c>
      <c r="J527" s="1" t="n">
        <v>0.4</v>
      </c>
      <c r="K527" s="1" t="n">
        <f aca="false">K526+J527</f>
        <v>377.4</v>
      </c>
      <c r="L527" s="1" t="n">
        <v>4.2</v>
      </c>
      <c r="M527" s="1" t="n">
        <f aca="false">M526+L527</f>
        <v>605</v>
      </c>
      <c r="N527" s="1" t="n">
        <v>-3.8</v>
      </c>
      <c r="O527" s="1" t="n">
        <f aca="false">O526+N527</f>
        <v>1.6</v>
      </c>
      <c r="P527" s="6" t="n">
        <v>272</v>
      </c>
      <c r="Q527" s="1" t="n">
        <f aca="false">1.15+((P527-235)/39)*(0.35-1.15)</f>
        <v>0.391025641025641</v>
      </c>
      <c r="R527" s="16" t="n">
        <f aca="false">Q527*L527</f>
        <v>1.64230769230769</v>
      </c>
      <c r="S527" s="16" t="n">
        <f aca="false">J527-R527</f>
        <v>-1.24230769230769</v>
      </c>
      <c r="T527" s="17" t="n">
        <f aca="false">T526+S527</f>
        <v>15.3483333333333</v>
      </c>
      <c r="V527" s="1" t="n">
        <v>1864.9</v>
      </c>
      <c r="X527" s="1" t="n">
        <f aca="false">X526+V527</f>
        <v>293882.9</v>
      </c>
      <c r="Y527" s="49" t="n">
        <f aca="false">Y526+V527</f>
        <v>36705.1</v>
      </c>
      <c r="AA527" s="1" t="n">
        <v>15.3133028775991</v>
      </c>
    </row>
    <row r="528" s="1" customFormat="true" ht="15" hidden="false" customHeight="false" outlineLevel="0" collapsed="false">
      <c r="A528" s="74"/>
      <c r="B528" s="76"/>
      <c r="C528" s="8" t="n">
        <v>40701</v>
      </c>
      <c r="D528" s="1" t="n">
        <v>15.6</v>
      </c>
      <c r="E528" s="1" t="n">
        <v>14.7</v>
      </c>
      <c r="F528" s="1" t="n">
        <v>17</v>
      </c>
      <c r="G528" s="1" t="n">
        <f aca="false">G527+D528</f>
        <v>3057.6</v>
      </c>
      <c r="H528" s="49" t="n">
        <f aca="false">H527+D528</f>
        <v>372.8</v>
      </c>
      <c r="J528" s="1" t="n">
        <v>18</v>
      </c>
      <c r="K528" s="1" t="n">
        <f aca="false">K527+J528</f>
        <v>395.4</v>
      </c>
      <c r="L528" s="1" t="n">
        <v>1.4</v>
      </c>
      <c r="M528" s="1" t="n">
        <f aca="false">M527+L528</f>
        <v>606.4</v>
      </c>
      <c r="N528" s="1" t="n">
        <v>16.6</v>
      </c>
      <c r="O528" s="1" t="n">
        <f aca="false">O527+N528</f>
        <v>18.2</v>
      </c>
      <c r="P528" s="6" t="n">
        <v>273</v>
      </c>
      <c r="Q528" s="1" t="n">
        <f aca="false">1.15+((P528-235)/39)*(0.35-1.15)</f>
        <v>0.370512820512821</v>
      </c>
      <c r="R528" s="16" t="n">
        <f aca="false">Q528*L528</f>
        <v>0.518717948717949</v>
      </c>
      <c r="S528" s="16" t="n">
        <f aca="false">J528-R528</f>
        <v>17.4812820512821</v>
      </c>
      <c r="T528" s="17" t="n">
        <f aca="false">T527+S528</f>
        <v>32.8296153846154</v>
      </c>
      <c r="V528" s="1" t="n">
        <v>589.2</v>
      </c>
      <c r="X528" s="1" t="n">
        <f aca="false">X527+V528</f>
        <v>294472.1</v>
      </c>
      <c r="Y528" s="49" t="n">
        <f aca="false">Y527+V528</f>
        <v>37294.3</v>
      </c>
      <c r="AA528" s="1" t="n">
        <v>15.3308741636784</v>
      </c>
    </row>
    <row r="529" s="49" customFormat="true" ht="15" hidden="false" customHeight="false" outlineLevel="0" collapsed="false">
      <c r="A529" s="74"/>
      <c r="B529" s="78" t="n">
        <v>1000</v>
      </c>
      <c r="C529" s="48" t="n">
        <v>40702</v>
      </c>
      <c r="D529" s="49" t="n">
        <v>14.7</v>
      </c>
      <c r="E529" s="49" t="n">
        <v>13.9</v>
      </c>
      <c r="F529" s="49" t="n">
        <v>16.3</v>
      </c>
      <c r="G529" s="49" t="n">
        <f aca="false">G528+D529</f>
        <v>3072.3</v>
      </c>
      <c r="H529" s="49" t="n">
        <f aca="false">H528+D529</f>
        <v>387.5</v>
      </c>
      <c r="J529" s="49" t="n">
        <v>1</v>
      </c>
      <c r="K529" s="49" t="n">
        <f aca="false">K528+J529</f>
        <v>396.4</v>
      </c>
      <c r="L529" s="49" t="n">
        <v>2.3</v>
      </c>
      <c r="M529" s="49" t="n">
        <f aca="false">M528+L529</f>
        <v>608.7</v>
      </c>
      <c r="N529" s="49" t="n">
        <v>-1.3</v>
      </c>
      <c r="O529" s="49" t="n">
        <f aca="false">O528+N529</f>
        <v>16.9</v>
      </c>
      <c r="P529" s="51" t="n">
        <v>274</v>
      </c>
      <c r="Q529" s="1" t="n">
        <f aca="false">1.15+((P529-235)/39)*(0.35-1.15)</f>
        <v>0.35</v>
      </c>
      <c r="R529" s="52" t="n">
        <f aca="false">Q529*L529</f>
        <v>0.805</v>
      </c>
      <c r="S529" s="52" t="n">
        <f aca="false">J529-R529</f>
        <v>0.195</v>
      </c>
      <c r="T529" s="17" t="n">
        <f aca="false">T528+S529</f>
        <v>33.0246153846154</v>
      </c>
      <c r="V529" s="49" t="n">
        <v>1172</v>
      </c>
      <c r="X529" s="49" t="n">
        <f aca="false">X528+V529</f>
        <v>295644.1</v>
      </c>
      <c r="Y529" s="49" t="n">
        <f aca="false">Y528+V529</f>
        <v>38466.3</v>
      </c>
      <c r="AA529" s="49" t="n">
        <v>15.3473832894206</v>
      </c>
    </row>
    <row r="530" s="56" customFormat="true" ht="15" hidden="false" customHeight="false" outlineLevel="0" collapsed="false">
      <c r="A530" s="74"/>
      <c r="B530" s="79"/>
      <c r="C530" s="57" t="n">
        <v>40703</v>
      </c>
      <c r="D530" s="56" t="n">
        <v>16.8</v>
      </c>
      <c r="E530" s="56" t="n">
        <v>12.7</v>
      </c>
      <c r="F530" s="56" t="n">
        <v>20</v>
      </c>
      <c r="G530" s="56" t="n">
        <f aca="false">G529+D530</f>
        <v>3089.1</v>
      </c>
      <c r="H530" s="31" t="n">
        <f aca="false">H529+D530</f>
        <v>404.3</v>
      </c>
      <c r="J530" s="56" t="n">
        <v>0.5</v>
      </c>
      <c r="K530" s="56" t="n">
        <f aca="false">K529+J530</f>
        <v>396.9</v>
      </c>
      <c r="L530" s="56" t="n">
        <v>3.7</v>
      </c>
      <c r="M530" s="56" t="n">
        <f aca="false">M529+L530</f>
        <v>612.4</v>
      </c>
      <c r="N530" s="56" t="n">
        <v>-3.2</v>
      </c>
      <c r="O530" s="56" t="n">
        <f aca="false">O529+N530</f>
        <v>13.7</v>
      </c>
      <c r="P530" s="59" t="n">
        <v>275</v>
      </c>
      <c r="Q530" s="1" t="n">
        <f aca="false">1.15+((P530-235)/39)*(0.35-1.15)</f>
        <v>0.32948717948718</v>
      </c>
      <c r="R530" s="61" t="n">
        <f aca="false">Q530*L530</f>
        <v>1.21910256410256</v>
      </c>
      <c r="S530" s="61" t="n">
        <f aca="false">J530-R530</f>
        <v>-0.719102564102564</v>
      </c>
      <c r="T530" s="17" t="n">
        <f aca="false">T529+S530</f>
        <v>32.3055128205128</v>
      </c>
      <c r="V530" s="56" t="n">
        <v>1966.2</v>
      </c>
      <c r="X530" s="56" t="n">
        <f aca="false">X529+V530</f>
        <v>297610.3</v>
      </c>
      <c r="Y530" s="31" t="n">
        <f aca="false">Y529+V530</f>
        <v>40432.5</v>
      </c>
      <c r="AA530" s="56" t="n">
        <v>15.3628163653462</v>
      </c>
    </row>
    <row r="531" s="1" customFormat="true" ht="15" hidden="false" customHeight="false" outlineLevel="0" collapsed="false">
      <c r="A531" s="80" t="s">
        <v>67</v>
      </c>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sheetData>
  <mergeCells count="15">
    <mergeCell ref="D1:I2"/>
    <mergeCell ref="J1:U2"/>
    <mergeCell ref="V1:Z2"/>
    <mergeCell ref="J3:O3"/>
    <mergeCell ref="P3:T3"/>
    <mergeCell ref="G4:H4"/>
    <mergeCell ref="X4:Y4"/>
    <mergeCell ref="A255:Z255"/>
    <mergeCell ref="A256:A332"/>
    <mergeCell ref="A333:A375"/>
    <mergeCell ref="A376:A449"/>
    <mergeCell ref="A471:A491"/>
    <mergeCell ref="A492:A508"/>
    <mergeCell ref="A509:A530"/>
    <mergeCell ref="A531:Z531"/>
  </mergeCells>
  <conditionalFormatting sqref="T1:T531">
    <cfRule type="cellIs" priority="2" operator="equal" aboveAverage="0" equalAverage="0" bottom="0" percent="0" rank="0" text="" dxfId="0">
      <formula>0</formula>
    </cfRule>
    <cfRule type="cellIs" priority="3" operator="lessThanOrEqual" aboveAverage="0" equalAverage="0" bottom="0" percent="0" rank="0" text="" dxfId="1">
      <formula>40.7</formula>
    </cfRule>
  </conditionalFormatting>
  <conditionalFormatting sqref="S256:S530">
    <cfRule type="cellIs" priority="4" operator="lessThanOrEqual" aboveAverage="0" equalAverage="0" bottom="0" percent="0" rank="0" text="" dxfId="2">
      <formula>0</formula>
    </cfRule>
  </conditionalFormatting>
  <conditionalFormatting sqref="V1:V531">
    <cfRule type="cellIs" priority="5" operator="between" aboveAverage="0" equalAverage="0" bottom="0" percent="0" rank="0" text="" dxfId="3">
      <formula>899.99</formula>
      <formula>0</formula>
    </cfRule>
  </conditionalFormatting>
  <conditionalFormatting sqref="N5:N254 N256:N530">
    <cfRule type="cellIs" priority="6" operator="between" aboveAverage="0" equalAverage="0" bottom="0" percent="0" rank="0" text="" dxfId="4">
      <formula>0.0001</formula>
      <formula>-50</formula>
    </cfRule>
  </conditionalFormatting>
  <conditionalFormatting sqref="D5:F254 D256:F530 I263 I265 I267 I269 I346 I340 I342 I344 I389 I383 I385 I387 I451 I453 I457 I459 I461 I463 I478 I480 I482 I484 I505 I503 I501 I499 I516 I518 I520 I522">
    <cfRule type="cellIs" priority="7" operator="between" aboveAverage="0" equalAverage="0" bottom="0" percent="0" rank="0" text="" dxfId="5">
      <formula>25</formula>
      <formula>40</formula>
    </cfRule>
    <cfRule type="cellIs" priority="8" operator="between" aboveAverage="0" equalAverage="0" bottom="0" percent="0" rank="0" text="" dxfId="6">
      <formula>0.1</formula>
      <formula>5</formula>
    </cfRule>
    <cfRule type="cellIs" priority="9" operator="between" aboveAverage="0" equalAverage="0" bottom="0" percent="0" rank="0" text="" dxfId="7">
      <formula>0</formula>
      <formula>-20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B53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3" ySplit="4" topLeftCell="Q407" activePane="bottomRight" state="frozen"/>
      <selection pane="topLeft" activeCell="A1" activeCellId="0" sqref="A1"/>
      <selection pane="topRight" activeCell="Q1" activeCellId="0" sqref="Q1"/>
      <selection pane="bottomLeft" activeCell="A407" activeCellId="0" sqref="A407"/>
      <selection pane="bottomRight" activeCell="AB430" activeCellId="0" sqref="AB430"/>
    </sheetView>
  </sheetViews>
  <sheetFormatPr defaultColWidth="10.54296875" defaultRowHeight="15" customHeight="true" zeroHeight="false" outlineLevelRow="0" outlineLevelCol="0"/>
  <sheetData>
    <row r="1" s="1" customFormat="true" ht="15" hidden="false" customHeight="false" outlineLevel="0" collapsed="false">
      <c r="D1" s="2" t="s">
        <v>0</v>
      </c>
      <c r="E1" s="2"/>
      <c r="F1" s="2"/>
      <c r="G1" s="2"/>
      <c r="H1" s="2"/>
      <c r="I1" s="2"/>
      <c r="J1" s="2" t="s">
        <v>1</v>
      </c>
      <c r="K1" s="2"/>
      <c r="L1" s="2"/>
      <c r="M1" s="2"/>
      <c r="N1" s="2"/>
      <c r="O1" s="2"/>
      <c r="P1" s="2"/>
      <c r="Q1" s="2"/>
      <c r="R1" s="2"/>
      <c r="S1" s="2"/>
      <c r="T1" s="2"/>
      <c r="U1" s="2"/>
      <c r="V1" s="2" t="s">
        <v>2</v>
      </c>
      <c r="W1" s="2"/>
      <c r="X1" s="2"/>
      <c r="Y1" s="2"/>
      <c r="Z1" s="2"/>
    </row>
    <row r="2" s="1" customFormat="true" ht="15" hidden="false" customHeight="false" outlineLevel="0" collapsed="false">
      <c r="D2" s="2"/>
      <c r="E2" s="2"/>
      <c r="F2" s="2"/>
      <c r="G2" s="2"/>
      <c r="H2" s="2"/>
      <c r="I2" s="2"/>
      <c r="J2" s="2"/>
      <c r="K2" s="2"/>
      <c r="L2" s="2"/>
      <c r="M2" s="2"/>
      <c r="N2" s="2"/>
      <c r="O2" s="2"/>
      <c r="P2" s="2"/>
      <c r="Q2" s="2"/>
      <c r="R2" s="2"/>
      <c r="S2" s="2"/>
      <c r="T2" s="2"/>
      <c r="U2" s="2"/>
      <c r="V2" s="2"/>
      <c r="W2" s="2"/>
      <c r="X2" s="2"/>
      <c r="Y2" s="2"/>
      <c r="Z2" s="2"/>
    </row>
    <row r="3" s="1" customFormat="true" ht="15" hidden="false" customHeight="false" outlineLevel="0" collapsed="false">
      <c r="D3" s="2"/>
      <c r="E3" s="2"/>
      <c r="F3" s="2"/>
      <c r="G3" s="2"/>
      <c r="H3" s="2"/>
      <c r="I3" s="2"/>
      <c r="J3" s="2"/>
      <c r="K3" s="2"/>
      <c r="L3" s="2"/>
      <c r="M3" s="2"/>
      <c r="N3" s="2"/>
      <c r="O3" s="2"/>
      <c r="P3" s="3" t="s">
        <v>3</v>
      </c>
      <c r="Q3" s="3"/>
      <c r="R3" s="3"/>
      <c r="S3" s="3"/>
      <c r="T3" s="3"/>
      <c r="U3" s="2"/>
      <c r="V3" s="4"/>
      <c r="W3" s="4"/>
      <c r="X3" s="4"/>
      <c r="Y3" s="4"/>
      <c r="Z3" s="4"/>
    </row>
    <row r="4" s="1" customFormat="true" ht="15" hidden="false" customHeight="false" outlineLevel="0" collapsed="false">
      <c r="A4" s="1" t="s">
        <v>4</v>
      </c>
      <c r="B4" s="1" t="n">
        <v>5</v>
      </c>
      <c r="C4" s="1" t="s">
        <v>5</v>
      </c>
      <c r="D4" s="1" t="s">
        <v>6</v>
      </c>
      <c r="E4" s="1" t="s">
        <v>7</v>
      </c>
      <c r="F4" s="1" t="s">
        <v>8</v>
      </c>
      <c r="G4" s="5" t="s">
        <v>9</v>
      </c>
      <c r="H4" s="5"/>
      <c r="I4" s="1" t="s">
        <v>10</v>
      </c>
      <c r="J4" s="1" t="s">
        <v>11</v>
      </c>
      <c r="K4" s="1" t="s">
        <v>12</v>
      </c>
      <c r="L4" s="1" t="s">
        <v>13</v>
      </c>
      <c r="M4" s="1" t="s">
        <v>68</v>
      </c>
      <c r="N4" s="1" t="s">
        <v>15</v>
      </c>
      <c r="O4" s="5" t="s">
        <v>16</v>
      </c>
      <c r="P4" s="6" t="s">
        <v>17</v>
      </c>
      <c r="Q4" s="1" t="s">
        <v>18</v>
      </c>
      <c r="R4" s="1" t="s">
        <v>19</v>
      </c>
      <c r="S4" s="1" t="s">
        <v>20</v>
      </c>
      <c r="T4" s="7" t="s">
        <v>21</v>
      </c>
      <c r="U4" s="1" t="s">
        <v>10</v>
      </c>
      <c r="V4" s="1" t="s">
        <v>22</v>
      </c>
      <c r="W4" s="1" t="s">
        <v>23</v>
      </c>
      <c r="X4" s="4" t="s">
        <v>69</v>
      </c>
      <c r="Y4" s="4"/>
      <c r="Z4" s="1" t="s">
        <v>10</v>
      </c>
      <c r="AA4" s="1" t="s">
        <v>70</v>
      </c>
    </row>
    <row r="5" s="1" customFormat="true" ht="15" hidden="false" customHeight="false" outlineLevel="0" collapsed="false">
      <c r="C5" s="8" t="n">
        <v>40179</v>
      </c>
      <c r="D5" s="1" t="n">
        <v>6.3</v>
      </c>
      <c r="E5" s="1" t="n">
        <v>5.9</v>
      </c>
      <c r="F5" s="1" t="n">
        <v>7.4</v>
      </c>
      <c r="J5" s="1" t="n">
        <v>0.6</v>
      </c>
      <c r="L5" s="1" t="n">
        <v>1</v>
      </c>
      <c r="N5" s="1" t="n">
        <v>-0.4</v>
      </c>
      <c r="P5" s="6"/>
      <c r="T5" s="7"/>
      <c r="U5" s="9" t="s">
        <v>26</v>
      </c>
      <c r="V5" s="1" t="n">
        <v>263.4</v>
      </c>
    </row>
    <row r="6" s="1" customFormat="true" ht="15" hidden="false" customHeight="false" outlineLevel="0" collapsed="false">
      <c r="C6" s="8" t="n">
        <v>40180</v>
      </c>
      <c r="D6" s="1" t="n">
        <v>1.9</v>
      </c>
      <c r="E6" s="1" t="n">
        <v>0.3</v>
      </c>
      <c r="F6" s="1" t="n">
        <v>2.7</v>
      </c>
      <c r="J6" s="1" t="n">
        <v>0.4</v>
      </c>
      <c r="L6" s="1" t="n">
        <v>0.3</v>
      </c>
      <c r="N6" s="1" t="n">
        <v>0.1</v>
      </c>
      <c r="P6" s="6"/>
      <c r="T6" s="7"/>
      <c r="U6" s="9" t="n">
        <v>122.1</v>
      </c>
      <c r="V6" s="1" t="n">
        <v>216.2</v>
      </c>
    </row>
    <row r="7" s="1" customFormat="true" ht="15" hidden="false" customHeight="false" outlineLevel="0" collapsed="false">
      <c r="C7" s="8" t="n">
        <v>40181</v>
      </c>
      <c r="D7" s="1" t="n">
        <v>3.6</v>
      </c>
      <c r="E7" s="1" t="n">
        <v>2.3</v>
      </c>
      <c r="F7" s="1" t="n">
        <v>5.8</v>
      </c>
      <c r="J7" s="1" t="n">
        <v>2.9</v>
      </c>
      <c r="L7" s="1" t="n">
        <v>1.2</v>
      </c>
      <c r="N7" s="1" t="n">
        <v>1.7</v>
      </c>
      <c r="P7" s="6"/>
      <c r="T7" s="7"/>
      <c r="V7" s="1" t="n">
        <v>94.2</v>
      </c>
    </row>
    <row r="8" s="1" customFormat="true" ht="15" hidden="false" customHeight="false" outlineLevel="0" collapsed="false">
      <c r="C8" s="8" t="n">
        <v>40182</v>
      </c>
      <c r="D8" s="1" t="n">
        <v>6</v>
      </c>
      <c r="E8" s="1" t="n">
        <v>2.6</v>
      </c>
      <c r="F8" s="1" t="n">
        <v>7.5</v>
      </c>
      <c r="J8" s="1" t="n">
        <v>0.2</v>
      </c>
      <c r="L8" s="1" t="n">
        <v>0.2</v>
      </c>
      <c r="N8" s="1" t="n">
        <v>0</v>
      </c>
      <c r="P8" s="6"/>
      <c r="T8" s="7"/>
      <c r="V8" s="1" t="n">
        <v>148.1</v>
      </c>
    </row>
    <row r="9" s="1" customFormat="true" ht="15" hidden="false" customHeight="false" outlineLevel="0" collapsed="false">
      <c r="C9" s="8" t="n">
        <v>40183</v>
      </c>
      <c r="D9" s="1" t="n">
        <v>3.7</v>
      </c>
      <c r="E9" s="1" t="n">
        <v>1.5</v>
      </c>
      <c r="F9" s="1" t="n">
        <v>5.7</v>
      </c>
      <c r="J9" s="1" t="n">
        <v>0.5</v>
      </c>
      <c r="L9" s="1" t="n">
        <v>0.2</v>
      </c>
      <c r="N9" s="1" t="n">
        <v>0.3</v>
      </c>
      <c r="P9" s="6"/>
      <c r="T9" s="7"/>
      <c r="V9" s="1" t="n">
        <v>105.1</v>
      </c>
    </row>
    <row r="10" s="1" customFormat="true" ht="15" hidden="false" customHeight="false" outlineLevel="0" collapsed="false">
      <c r="C10" s="8" t="n">
        <v>40184</v>
      </c>
      <c r="D10" s="1" t="n">
        <v>2.2</v>
      </c>
      <c r="E10" s="1" t="n">
        <v>-1.1</v>
      </c>
      <c r="F10" s="1" t="n">
        <v>8.5</v>
      </c>
      <c r="J10" s="1" t="n">
        <v>0</v>
      </c>
      <c r="L10" s="1" t="n">
        <v>0.9</v>
      </c>
      <c r="N10" s="1" t="n">
        <v>-0.9</v>
      </c>
      <c r="P10" s="6"/>
      <c r="T10" s="7"/>
      <c r="V10" s="1" t="n">
        <v>749.5</v>
      </c>
    </row>
    <row r="11" s="1" customFormat="true" ht="15" hidden="false" customHeight="false" outlineLevel="0" collapsed="false">
      <c r="C11" s="8" t="n">
        <v>40185</v>
      </c>
      <c r="D11" s="1" t="n">
        <v>1</v>
      </c>
      <c r="E11" s="1" t="n">
        <v>-1.3</v>
      </c>
      <c r="F11" s="1" t="n">
        <v>2.6</v>
      </c>
      <c r="J11" s="1" t="n">
        <v>0.2</v>
      </c>
      <c r="L11" s="1" t="n">
        <v>0.2</v>
      </c>
      <c r="N11" s="1" t="n">
        <v>0</v>
      </c>
      <c r="P11" s="6"/>
      <c r="T11" s="7"/>
      <c r="V11" s="1" t="n">
        <v>130.8</v>
      </c>
    </row>
    <row r="12" s="1" customFormat="true" ht="15" hidden="false" customHeight="false" outlineLevel="0" collapsed="false">
      <c r="C12" s="8" t="n">
        <v>40186</v>
      </c>
      <c r="D12" s="1" t="n">
        <v>-0.8</v>
      </c>
      <c r="E12" s="1" t="n">
        <v>-1.5</v>
      </c>
      <c r="F12" s="1" t="n">
        <v>0</v>
      </c>
      <c r="J12" s="1" t="n">
        <v>0</v>
      </c>
      <c r="L12" s="1" t="n">
        <v>0.6</v>
      </c>
      <c r="N12" s="1" t="n">
        <v>-0.6</v>
      </c>
      <c r="P12" s="6"/>
      <c r="T12" s="7"/>
      <c r="V12" s="1" t="n">
        <v>202.9</v>
      </c>
    </row>
    <row r="13" s="1" customFormat="true" ht="15" hidden="false" customHeight="false" outlineLevel="0" collapsed="false">
      <c r="C13" s="8" t="n">
        <v>40187</v>
      </c>
      <c r="D13" s="1" t="n">
        <v>-3.2</v>
      </c>
      <c r="E13" s="1" t="n">
        <v>-3.7</v>
      </c>
      <c r="F13" s="1" t="n">
        <v>-2.3</v>
      </c>
      <c r="J13" s="1" t="n">
        <v>0</v>
      </c>
      <c r="L13" s="1" t="n">
        <v>0.4</v>
      </c>
      <c r="N13" s="1" t="n">
        <v>-0.4</v>
      </c>
      <c r="P13" s="6"/>
      <c r="T13" s="7"/>
      <c r="V13" s="1" t="n">
        <v>111</v>
      </c>
    </row>
    <row r="14" s="1" customFormat="true" ht="15" hidden="false" customHeight="false" outlineLevel="0" collapsed="false">
      <c r="C14" s="8" t="n">
        <v>40188</v>
      </c>
      <c r="D14" s="1" t="n">
        <v>-2.7</v>
      </c>
      <c r="E14" s="1" t="n">
        <v>-3.4</v>
      </c>
      <c r="F14" s="1" t="n">
        <v>-0.5</v>
      </c>
      <c r="J14" s="1" t="n">
        <v>0</v>
      </c>
      <c r="L14" s="1" t="n">
        <v>0.5</v>
      </c>
      <c r="N14" s="1" t="n">
        <v>-0.5</v>
      </c>
      <c r="P14" s="6"/>
      <c r="T14" s="7"/>
      <c r="V14" s="1" t="n">
        <v>208.7</v>
      </c>
    </row>
    <row r="15" s="1" customFormat="true" ht="15" hidden="false" customHeight="false" outlineLevel="0" collapsed="false">
      <c r="C15" s="8" t="n">
        <v>40189</v>
      </c>
      <c r="D15" s="1" t="n">
        <v>-3.9</v>
      </c>
      <c r="E15" s="1" t="n">
        <v>-6.1</v>
      </c>
      <c r="F15" s="1" t="n">
        <v>0.1</v>
      </c>
      <c r="J15" s="1" t="n">
        <v>0</v>
      </c>
      <c r="L15" s="1" t="n">
        <v>0.6</v>
      </c>
      <c r="N15" s="1" t="n">
        <v>-0.6</v>
      </c>
      <c r="P15" s="6"/>
      <c r="T15" s="7"/>
      <c r="V15" s="1" t="n">
        <v>742.7</v>
      </c>
    </row>
    <row r="16" s="1" customFormat="true" ht="15" hidden="false" customHeight="false" outlineLevel="0" collapsed="false">
      <c r="C16" s="8" t="n">
        <v>40190</v>
      </c>
      <c r="D16" s="1" t="n">
        <v>-1.7</v>
      </c>
      <c r="E16" s="1" t="n">
        <v>-8.4</v>
      </c>
      <c r="F16" s="1" t="n">
        <v>5.6</v>
      </c>
      <c r="J16" s="1" t="n">
        <v>13.6</v>
      </c>
      <c r="L16" s="1" t="n">
        <v>0.5</v>
      </c>
      <c r="N16" s="1" t="n">
        <v>13.1</v>
      </c>
      <c r="P16" s="6"/>
      <c r="T16" s="7"/>
      <c r="V16" s="1" t="n">
        <v>208.1</v>
      </c>
    </row>
    <row r="17" s="1" customFormat="true" ht="15" hidden="false" customHeight="false" outlineLevel="0" collapsed="false">
      <c r="C17" s="8" t="n">
        <v>40191</v>
      </c>
      <c r="D17" s="1" t="n">
        <v>7.7</v>
      </c>
      <c r="E17" s="1" t="n">
        <v>2.3</v>
      </c>
      <c r="F17" s="1" t="n">
        <v>11.6</v>
      </c>
      <c r="J17" s="1" t="n">
        <v>0.8</v>
      </c>
      <c r="L17" s="1" t="n">
        <v>1</v>
      </c>
      <c r="N17" s="1" t="n">
        <v>-0.2</v>
      </c>
      <c r="P17" s="6"/>
      <c r="T17" s="7"/>
      <c r="V17" s="1" t="n">
        <v>671.2</v>
      </c>
    </row>
    <row r="18" s="1" customFormat="true" ht="15" hidden="false" customHeight="false" outlineLevel="0" collapsed="false">
      <c r="C18" s="8" t="n">
        <v>40192</v>
      </c>
      <c r="D18" s="1" t="n">
        <v>9</v>
      </c>
      <c r="E18" s="1" t="n">
        <v>7.4</v>
      </c>
      <c r="F18" s="1" t="n">
        <v>12.6</v>
      </c>
      <c r="J18" s="1" t="n">
        <v>8.8</v>
      </c>
      <c r="L18" s="1" t="n">
        <v>1.3</v>
      </c>
      <c r="N18" s="1" t="n">
        <v>7.5</v>
      </c>
      <c r="P18" s="6"/>
      <c r="T18" s="7"/>
      <c r="V18" s="1" t="n">
        <v>135.7</v>
      </c>
    </row>
    <row r="19" s="1" customFormat="true" ht="15" hidden="false" customHeight="false" outlineLevel="0" collapsed="false">
      <c r="C19" s="8" t="n">
        <v>40193</v>
      </c>
      <c r="D19" s="1" t="n">
        <v>5.6</v>
      </c>
      <c r="E19" s="1" t="n">
        <v>5.2</v>
      </c>
      <c r="F19" s="1" t="n">
        <v>7.2</v>
      </c>
      <c r="J19" s="1" t="n">
        <v>0.1</v>
      </c>
      <c r="L19" s="1" t="n">
        <v>0.9</v>
      </c>
      <c r="N19" s="1" t="n">
        <v>-0.8</v>
      </c>
      <c r="P19" s="6"/>
      <c r="T19" s="7"/>
      <c r="V19" s="1" t="n">
        <v>390.5</v>
      </c>
    </row>
    <row r="20" s="1" customFormat="true" ht="15" hidden="false" customHeight="false" outlineLevel="0" collapsed="false">
      <c r="C20" s="8" t="n">
        <v>40194</v>
      </c>
      <c r="D20" s="1" t="n">
        <v>6.4</v>
      </c>
      <c r="E20" s="1" t="n">
        <v>0.9</v>
      </c>
      <c r="F20" s="1" t="n">
        <v>9.4</v>
      </c>
      <c r="J20" s="1" t="n">
        <v>5.5</v>
      </c>
      <c r="L20" s="1" t="n">
        <v>0.4</v>
      </c>
      <c r="N20" s="1" t="n">
        <v>5.1</v>
      </c>
      <c r="P20" s="6"/>
      <c r="T20" s="7"/>
      <c r="V20" s="1" t="n">
        <v>220.1</v>
      </c>
    </row>
    <row r="21" s="1" customFormat="true" ht="15" hidden="false" customHeight="false" outlineLevel="0" collapsed="false">
      <c r="C21" s="8" t="n">
        <v>40195</v>
      </c>
      <c r="D21" s="1" t="n">
        <v>8.5</v>
      </c>
      <c r="E21" s="1" t="n">
        <v>7</v>
      </c>
      <c r="F21" s="1" t="n">
        <v>11.8</v>
      </c>
      <c r="J21" s="1" t="n">
        <v>0</v>
      </c>
      <c r="L21" s="1" t="n">
        <v>0.9</v>
      </c>
      <c r="N21" s="1" t="n">
        <v>-0.9</v>
      </c>
      <c r="P21" s="6"/>
      <c r="T21" s="7"/>
      <c r="V21" s="1" t="n">
        <v>403.9</v>
      </c>
    </row>
    <row r="22" s="1" customFormat="true" ht="15" hidden="false" customHeight="false" outlineLevel="0" collapsed="false">
      <c r="C22" s="8" t="n">
        <v>40196</v>
      </c>
      <c r="D22" s="1" t="n">
        <v>3.4</v>
      </c>
      <c r="E22" s="1" t="n">
        <v>-0.2</v>
      </c>
      <c r="F22" s="1" t="n">
        <v>5.9</v>
      </c>
      <c r="J22" s="1" t="n">
        <v>0.1</v>
      </c>
      <c r="L22" s="1" t="n">
        <v>0.5</v>
      </c>
      <c r="N22" s="1" t="n">
        <v>-0.4</v>
      </c>
      <c r="P22" s="6"/>
      <c r="T22" s="7"/>
      <c r="V22" s="1" t="n">
        <v>596</v>
      </c>
    </row>
    <row r="23" s="1" customFormat="true" ht="15" hidden="false" customHeight="false" outlineLevel="0" collapsed="false">
      <c r="C23" s="8" t="n">
        <v>40197</v>
      </c>
      <c r="D23" s="1" t="n">
        <v>6.6</v>
      </c>
      <c r="E23" s="1" t="n">
        <v>3.3</v>
      </c>
      <c r="F23" s="1" t="n">
        <v>8.9</v>
      </c>
      <c r="J23" s="1" t="n">
        <v>2.8</v>
      </c>
      <c r="L23" s="1" t="n">
        <v>0.7</v>
      </c>
      <c r="N23" s="1" t="n">
        <v>2.1</v>
      </c>
      <c r="P23" s="6"/>
      <c r="T23" s="7"/>
      <c r="V23" s="1" t="n">
        <v>269.4</v>
      </c>
    </row>
    <row r="24" s="1" customFormat="true" ht="15" hidden="false" customHeight="false" outlineLevel="0" collapsed="false">
      <c r="C24" s="8" t="n">
        <v>40198</v>
      </c>
      <c r="D24" s="1" t="n">
        <v>8.7</v>
      </c>
      <c r="E24" s="1" t="n">
        <v>7.3</v>
      </c>
      <c r="F24" s="1" t="n">
        <v>10.6</v>
      </c>
      <c r="J24" s="1" t="n">
        <v>8.4</v>
      </c>
      <c r="L24" s="1" t="n">
        <v>0.5</v>
      </c>
      <c r="N24" s="1" t="n">
        <v>7.9</v>
      </c>
      <c r="P24" s="6"/>
      <c r="T24" s="7"/>
      <c r="V24" s="1" t="n">
        <v>138.5</v>
      </c>
    </row>
    <row r="25" s="1" customFormat="true" ht="15" hidden="false" customHeight="false" outlineLevel="0" collapsed="false">
      <c r="C25" s="8" t="n">
        <v>40199</v>
      </c>
      <c r="D25" s="1" t="n">
        <v>7.1</v>
      </c>
      <c r="E25" s="1" t="n">
        <v>6.7</v>
      </c>
      <c r="F25" s="1" t="n">
        <v>8.8</v>
      </c>
      <c r="J25" s="1" t="n">
        <v>0</v>
      </c>
      <c r="L25" s="1" t="n">
        <v>1.1</v>
      </c>
      <c r="N25" s="1" t="n">
        <v>-1.1</v>
      </c>
      <c r="P25" s="6"/>
      <c r="T25" s="7"/>
      <c r="V25" s="1" t="n">
        <v>630.2</v>
      </c>
    </row>
    <row r="26" s="1" customFormat="true" ht="15" hidden="false" customHeight="false" outlineLevel="0" collapsed="false">
      <c r="C26" s="8" t="n">
        <v>40200</v>
      </c>
      <c r="D26" s="1" t="n">
        <v>4.6</v>
      </c>
      <c r="E26" s="1" t="n">
        <v>-0.1</v>
      </c>
      <c r="F26" s="1" t="n">
        <v>10</v>
      </c>
      <c r="J26" s="1" t="n">
        <v>0</v>
      </c>
      <c r="L26" s="1" t="n">
        <v>1.1</v>
      </c>
      <c r="N26" s="1" t="n">
        <v>-1.1</v>
      </c>
      <c r="P26" s="6"/>
      <c r="T26" s="7"/>
      <c r="V26" s="1" t="n">
        <v>757.2</v>
      </c>
    </row>
    <row r="27" s="1" customFormat="true" ht="15" hidden="false" customHeight="false" outlineLevel="0" collapsed="false">
      <c r="C27" s="8" t="n">
        <v>40201</v>
      </c>
      <c r="D27" s="1" t="n">
        <v>6.8</v>
      </c>
      <c r="E27" s="1" t="n">
        <v>3</v>
      </c>
      <c r="F27" s="1" t="n">
        <v>10.8</v>
      </c>
      <c r="J27" s="1" t="n">
        <v>0.1</v>
      </c>
      <c r="L27" s="1" t="n">
        <v>0.9</v>
      </c>
      <c r="N27" s="1" t="n">
        <v>-0.8</v>
      </c>
      <c r="P27" s="6"/>
      <c r="T27" s="7"/>
      <c r="V27" s="1" t="n">
        <v>420.8</v>
      </c>
    </row>
    <row r="28" s="1" customFormat="true" ht="15" hidden="false" customHeight="false" outlineLevel="0" collapsed="false">
      <c r="C28" s="8" t="n">
        <v>40202</v>
      </c>
      <c r="D28" s="1" t="n">
        <v>7.4</v>
      </c>
      <c r="E28" s="1" t="n">
        <v>5.8</v>
      </c>
      <c r="F28" s="1" t="n">
        <v>9.7</v>
      </c>
      <c r="J28" s="1" t="n">
        <v>0.8</v>
      </c>
      <c r="L28" s="1" t="n">
        <v>0.5</v>
      </c>
      <c r="N28" s="1" t="n">
        <v>0.3</v>
      </c>
      <c r="P28" s="6"/>
      <c r="T28" s="7"/>
      <c r="V28" s="1" t="n">
        <v>143.8</v>
      </c>
    </row>
    <row r="29" s="1" customFormat="true" ht="15" hidden="false" customHeight="false" outlineLevel="0" collapsed="false">
      <c r="C29" s="8" t="n">
        <v>40203</v>
      </c>
      <c r="D29" s="1" t="n">
        <v>4.6</v>
      </c>
      <c r="E29" s="1" t="n">
        <v>3.4</v>
      </c>
      <c r="F29" s="1" t="n">
        <v>7.6</v>
      </c>
      <c r="J29" s="1" t="n">
        <v>0</v>
      </c>
      <c r="L29" s="1" t="n">
        <v>0.8</v>
      </c>
      <c r="N29" s="1" t="n">
        <v>-0.8</v>
      </c>
      <c r="P29" s="6"/>
      <c r="T29" s="7"/>
      <c r="V29" s="1" t="n">
        <v>435.4</v>
      </c>
    </row>
    <row r="30" s="1" customFormat="true" ht="15" hidden="false" customHeight="false" outlineLevel="0" collapsed="false">
      <c r="C30" s="8" t="n">
        <v>40204</v>
      </c>
      <c r="D30" s="1" t="n">
        <v>2.7</v>
      </c>
      <c r="E30" s="1" t="n">
        <v>-1.1</v>
      </c>
      <c r="F30" s="1" t="n">
        <v>7.6</v>
      </c>
      <c r="J30" s="1" t="n">
        <v>0</v>
      </c>
      <c r="L30" s="1" t="n">
        <v>1.3</v>
      </c>
      <c r="N30" s="1" t="n">
        <v>-1.3</v>
      </c>
      <c r="P30" s="6"/>
      <c r="T30" s="7"/>
      <c r="V30" s="1" t="n">
        <v>957.1</v>
      </c>
    </row>
    <row r="31" s="1" customFormat="true" ht="15" hidden="false" customHeight="false" outlineLevel="0" collapsed="false">
      <c r="C31" s="8" t="n">
        <v>40205</v>
      </c>
      <c r="D31" s="1" t="n">
        <v>1.5</v>
      </c>
      <c r="E31" s="1" t="n">
        <v>1.2</v>
      </c>
      <c r="F31" s="1" t="n">
        <v>3.2</v>
      </c>
      <c r="J31" s="1" t="n">
        <v>0</v>
      </c>
      <c r="L31" s="1" t="n">
        <v>1.3</v>
      </c>
      <c r="N31" s="1" t="n">
        <v>-1.3</v>
      </c>
      <c r="P31" s="6"/>
      <c r="T31" s="7"/>
      <c r="V31" s="1" t="n">
        <v>907.7</v>
      </c>
    </row>
    <row r="32" s="1" customFormat="true" ht="15" hidden="false" customHeight="false" outlineLevel="0" collapsed="false">
      <c r="C32" s="8" t="n">
        <v>40206</v>
      </c>
      <c r="D32" s="1" t="n">
        <v>4.1</v>
      </c>
      <c r="E32" s="1" t="n">
        <v>-1.2</v>
      </c>
      <c r="F32" s="1" t="n">
        <v>6.6</v>
      </c>
      <c r="J32" s="1" t="n">
        <v>0.4</v>
      </c>
      <c r="L32" s="1" t="n">
        <v>0.6</v>
      </c>
      <c r="N32" s="1" t="n">
        <v>-0.2</v>
      </c>
      <c r="P32" s="6"/>
      <c r="T32" s="7"/>
      <c r="V32" s="1" t="n">
        <v>176.5</v>
      </c>
    </row>
    <row r="33" s="1" customFormat="true" ht="15" hidden="false" customHeight="false" outlineLevel="0" collapsed="false">
      <c r="C33" s="8" t="n">
        <v>40207</v>
      </c>
      <c r="D33" s="1" t="n">
        <v>7</v>
      </c>
      <c r="E33" s="1" t="n">
        <v>5.2</v>
      </c>
      <c r="F33" s="1" t="n">
        <v>9.8</v>
      </c>
      <c r="J33" s="1" t="n">
        <v>4</v>
      </c>
      <c r="L33" s="1" t="n">
        <v>1.2</v>
      </c>
      <c r="N33" s="1" t="n">
        <v>2.8</v>
      </c>
      <c r="P33" s="6"/>
      <c r="T33" s="7"/>
      <c r="V33" s="1" t="n">
        <v>282.6</v>
      </c>
    </row>
    <row r="34" s="1" customFormat="true" ht="15" hidden="false" customHeight="false" outlineLevel="0" collapsed="false">
      <c r="C34" s="8" t="n">
        <v>40208</v>
      </c>
      <c r="D34" s="1" t="n">
        <v>5.5</v>
      </c>
      <c r="E34" s="1" t="n">
        <v>3.1</v>
      </c>
      <c r="F34" s="1" t="n">
        <v>9.1</v>
      </c>
      <c r="J34" s="1" t="n">
        <v>0.2</v>
      </c>
      <c r="L34" s="1" t="n">
        <v>1.7</v>
      </c>
      <c r="N34" s="1" t="n">
        <v>-1.5</v>
      </c>
      <c r="P34" s="6"/>
      <c r="T34" s="7"/>
      <c r="V34" s="1" t="n">
        <v>468.9</v>
      </c>
    </row>
    <row r="35" s="1" customFormat="true" ht="15" hidden="false" customHeight="false" outlineLevel="0" collapsed="false">
      <c r="C35" s="8" t="n">
        <v>40209</v>
      </c>
      <c r="D35" s="1" t="n">
        <v>0.7</v>
      </c>
      <c r="E35" s="1" t="n">
        <v>-1.2</v>
      </c>
      <c r="F35" s="1" t="n">
        <v>4.5</v>
      </c>
      <c r="J35" s="1" t="n">
        <v>0</v>
      </c>
      <c r="L35" s="1" t="n">
        <v>1.1</v>
      </c>
      <c r="N35" s="1" t="n">
        <v>-1.1</v>
      </c>
      <c r="P35" s="6"/>
      <c r="T35" s="7"/>
      <c r="V35" s="1" t="n">
        <v>943.5</v>
      </c>
    </row>
    <row r="36" s="1" customFormat="true" ht="15" hidden="false" customHeight="false" outlineLevel="0" collapsed="false">
      <c r="C36" s="8" t="n">
        <v>40210</v>
      </c>
      <c r="D36" s="1" t="n">
        <v>0.4</v>
      </c>
      <c r="E36" s="1" t="n">
        <v>-4.5</v>
      </c>
      <c r="F36" s="1" t="n">
        <v>6.7</v>
      </c>
      <c r="J36" s="1" t="n">
        <v>0</v>
      </c>
      <c r="L36" s="1" t="n">
        <v>0.7</v>
      </c>
      <c r="N36" s="1" t="n">
        <v>-0.7</v>
      </c>
      <c r="P36" s="6"/>
      <c r="T36" s="7"/>
      <c r="V36" s="1" t="n">
        <v>855.3</v>
      </c>
    </row>
    <row r="37" s="1" customFormat="true" ht="15" hidden="false" customHeight="false" outlineLevel="0" collapsed="false">
      <c r="C37" s="8" t="n">
        <v>40211</v>
      </c>
      <c r="D37" s="1" t="n">
        <v>2.1</v>
      </c>
      <c r="E37" s="1" t="n">
        <v>-3</v>
      </c>
      <c r="F37" s="1" t="n">
        <v>9.1</v>
      </c>
      <c r="J37" s="1" t="n">
        <v>0</v>
      </c>
      <c r="L37" s="1" t="n">
        <v>1</v>
      </c>
      <c r="N37" s="1" t="n">
        <v>-1</v>
      </c>
      <c r="P37" s="6"/>
      <c r="T37" s="7"/>
      <c r="V37" s="1" t="n">
        <v>999.1</v>
      </c>
    </row>
    <row r="38" s="1" customFormat="true" ht="15" hidden="false" customHeight="false" outlineLevel="0" collapsed="false">
      <c r="C38" s="8" t="n">
        <v>40212</v>
      </c>
      <c r="D38" s="1" t="n">
        <v>3.3</v>
      </c>
      <c r="E38" s="1" t="n">
        <v>-3</v>
      </c>
      <c r="F38" s="1" t="n">
        <v>9.2</v>
      </c>
      <c r="J38" s="1" t="n">
        <v>0</v>
      </c>
      <c r="L38" s="1" t="n">
        <v>1.3</v>
      </c>
      <c r="N38" s="1" t="n">
        <v>-1.3</v>
      </c>
      <c r="P38" s="6"/>
      <c r="T38" s="7"/>
      <c r="V38" s="1" t="n">
        <v>1166.2</v>
      </c>
    </row>
    <row r="39" s="1" customFormat="true" ht="15" hidden="false" customHeight="false" outlineLevel="0" collapsed="false">
      <c r="C39" s="8" t="n">
        <v>40213</v>
      </c>
      <c r="D39" s="1" t="n">
        <v>8.4</v>
      </c>
      <c r="E39" s="1" t="n">
        <v>1.4</v>
      </c>
      <c r="F39" s="1" t="n">
        <v>12.7</v>
      </c>
      <c r="J39" s="1" t="n">
        <v>13.4</v>
      </c>
      <c r="L39" s="1" t="n">
        <v>0.7</v>
      </c>
      <c r="N39" s="1" t="n">
        <v>12.7</v>
      </c>
      <c r="P39" s="6"/>
      <c r="T39" s="7"/>
      <c r="V39" s="1" t="n">
        <v>447.2</v>
      </c>
    </row>
    <row r="40" s="1" customFormat="true" ht="15" hidden="false" customHeight="false" outlineLevel="0" collapsed="false">
      <c r="C40" s="8" t="n">
        <v>40214</v>
      </c>
      <c r="D40" s="1" t="n">
        <v>8.4</v>
      </c>
      <c r="E40" s="1" t="n">
        <v>6.4</v>
      </c>
      <c r="F40" s="1" t="n">
        <v>12.9</v>
      </c>
      <c r="J40" s="1" t="n">
        <v>7.2</v>
      </c>
      <c r="L40" s="1" t="n">
        <v>1.4</v>
      </c>
      <c r="N40" s="1" t="n">
        <v>5.8</v>
      </c>
      <c r="P40" s="6"/>
      <c r="T40" s="7"/>
      <c r="V40" s="1" t="n">
        <v>594.2</v>
      </c>
    </row>
    <row r="41" s="1" customFormat="true" ht="15" hidden="false" customHeight="false" outlineLevel="0" collapsed="false">
      <c r="C41" s="8" t="n">
        <v>40215</v>
      </c>
      <c r="D41" s="1" t="n">
        <v>9.6</v>
      </c>
      <c r="E41" s="1" t="n">
        <v>3.9</v>
      </c>
      <c r="F41" s="1" t="n">
        <v>13.6</v>
      </c>
      <c r="J41" s="1" t="n">
        <v>2.7</v>
      </c>
      <c r="L41" s="1" t="n">
        <v>1.3</v>
      </c>
      <c r="N41" s="1" t="n">
        <v>1.4</v>
      </c>
      <c r="P41" s="6"/>
      <c r="T41" s="7"/>
      <c r="V41" s="1" t="n">
        <v>526.2</v>
      </c>
    </row>
    <row r="42" s="1" customFormat="true" ht="15" hidden="false" customHeight="false" outlineLevel="0" collapsed="false">
      <c r="C42" s="8" t="n">
        <v>40216</v>
      </c>
      <c r="D42" s="1" t="n">
        <v>7.9</v>
      </c>
      <c r="E42" s="1" t="n">
        <v>7</v>
      </c>
      <c r="F42" s="1" t="n">
        <v>11.7</v>
      </c>
      <c r="J42" s="1" t="n">
        <v>0</v>
      </c>
      <c r="L42" s="1" t="n">
        <v>1.8</v>
      </c>
      <c r="N42" s="1" t="n">
        <v>-1.8</v>
      </c>
      <c r="P42" s="6"/>
      <c r="T42" s="7"/>
      <c r="V42" s="1" t="n">
        <v>1074.7</v>
      </c>
    </row>
    <row r="43" s="1" customFormat="true" ht="15" hidden="false" customHeight="false" outlineLevel="0" collapsed="false">
      <c r="C43" s="8" t="n">
        <v>40217</v>
      </c>
      <c r="D43" s="1" t="n">
        <v>4.2</v>
      </c>
      <c r="E43" s="1" t="n">
        <v>-1.2</v>
      </c>
      <c r="F43" s="1" t="n">
        <v>9.4</v>
      </c>
      <c r="J43" s="1" t="n">
        <v>1.1</v>
      </c>
      <c r="L43" s="1" t="n">
        <v>0.7</v>
      </c>
      <c r="N43" s="1" t="n">
        <v>0.4</v>
      </c>
      <c r="P43" s="6"/>
      <c r="T43" s="7"/>
      <c r="V43" s="1" t="n">
        <v>471.5</v>
      </c>
    </row>
    <row r="44" s="1" customFormat="true" ht="15" hidden="false" customHeight="false" outlineLevel="0" collapsed="false">
      <c r="C44" s="8" t="n">
        <v>40218</v>
      </c>
      <c r="D44" s="1" t="n">
        <v>4</v>
      </c>
      <c r="E44" s="1" t="n">
        <v>3.3</v>
      </c>
      <c r="F44" s="1" t="n">
        <v>4.9</v>
      </c>
      <c r="J44" s="1" t="n">
        <v>0.4</v>
      </c>
      <c r="L44" s="1" t="n">
        <v>1.2</v>
      </c>
      <c r="N44" s="1" t="n">
        <v>-0.8</v>
      </c>
      <c r="P44" s="6"/>
      <c r="T44" s="7"/>
      <c r="V44" s="1" t="n">
        <v>742.6</v>
      </c>
    </row>
    <row r="45" s="1" customFormat="true" ht="15" hidden="false" customHeight="false" outlineLevel="0" collapsed="false">
      <c r="C45" s="8" t="n">
        <v>40219</v>
      </c>
      <c r="D45" s="1" t="n">
        <v>1.3</v>
      </c>
      <c r="E45" s="1" t="n">
        <v>1.1</v>
      </c>
      <c r="F45" s="1" t="n">
        <v>1.7</v>
      </c>
      <c r="J45" s="1" t="n">
        <v>0.1</v>
      </c>
      <c r="L45" s="1" t="n">
        <v>1.1</v>
      </c>
      <c r="N45" s="1" t="n">
        <v>-1</v>
      </c>
      <c r="P45" s="6"/>
      <c r="T45" s="7"/>
      <c r="V45" s="1" t="n">
        <v>529.4</v>
      </c>
    </row>
    <row r="46" s="1" customFormat="true" ht="15" hidden="false" customHeight="false" outlineLevel="0" collapsed="false">
      <c r="C46" s="8" t="n">
        <v>40220</v>
      </c>
      <c r="D46" s="1" t="n">
        <v>-1.7</v>
      </c>
      <c r="E46" s="1" t="n">
        <v>-3.1</v>
      </c>
      <c r="F46" s="1" t="n">
        <v>-0.6</v>
      </c>
      <c r="J46" s="1" t="n">
        <v>0</v>
      </c>
      <c r="L46" s="1" t="n">
        <v>0.9</v>
      </c>
      <c r="N46" s="1" t="n">
        <v>-0.9</v>
      </c>
      <c r="P46" s="6"/>
      <c r="T46" s="7"/>
      <c r="V46" s="1" t="n">
        <v>472.2</v>
      </c>
    </row>
    <row r="47" s="1" customFormat="true" ht="15" hidden="false" customHeight="false" outlineLevel="0" collapsed="false">
      <c r="C47" s="8" t="n">
        <v>40221</v>
      </c>
      <c r="D47" s="1" t="n">
        <v>-1.5</v>
      </c>
      <c r="E47" s="1" t="n">
        <v>-3</v>
      </c>
      <c r="F47" s="1" t="n">
        <v>0</v>
      </c>
      <c r="J47" s="1" t="n">
        <v>0</v>
      </c>
      <c r="L47" s="1" t="n">
        <v>0.6</v>
      </c>
      <c r="N47" s="1" t="n">
        <v>-0.6</v>
      </c>
      <c r="P47" s="6"/>
      <c r="T47" s="7"/>
      <c r="V47" s="1" t="n">
        <v>154.8</v>
      </c>
    </row>
    <row r="48" s="1" customFormat="true" ht="15" hidden="false" customHeight="false" outlineLevel="0" collapsed="false">
      <c r="C48" s="8" t="n">
        <v>40222</v>
      </c>
      <c r="D48" s="1" t="n">
        <v>-0.6</v>
      </c>
      <c r="E48" s="1" t="n">
        <v>-2.1</v>
      </c>
      <c r="F48" s="1" t="n">
        <v>1.3</v>
      </c>
      <c r="J48" s="1" t="n">
        <v>0.1</v>
      </c>
      <c r="L48" s="1" t="n">
        <v>1.2</v>
      </c>
      <c r="N48" s="1" t="n">
        <v>-1.1</v>
      </c>
      <c r="P48" s="6"/>
      <c r="T48" s="7"/>
      <c r="V48" s="1" t="n">
        <v>801.2</v>
      </c>
    </row>
    <row r="49" s="1" customFormat="true" ht="15" hidden="false" customHeight="false" outlineLevel="0" collapsed="false">
      <c r="C49" s="8" t="n">
        <v>40223</v>
      </c>
      <c r="D49" s="1" t="n">
        <v>-0.1</v>
      </c>
      <c r="E49" s="1" t="n">
        <v>-0.8</v>
      </c>
      <c r="F49" s="1" t="n">
        <v>0.6</v>
      </c>
      <c r="J49" s="1" t="n">
        <v>0.1</v>
      </c>
      <c r="L49" s="1" t="n">
        <v>0.8</v>
      </c>
      <c r="N49" s="1" t="n">
        <v>-0.7</v>
      </c>
      <c r="P49" s="6"/>
      <c r="T49" s="7"/>
      <c r="V49" s="1" t="n">
        <v>563.9</v>
      </c>
    </row>
    <row r="50" s="1" customFormat="true" ht="15" hidden="false" customHeight="false" outlineLevel="0" collapsed="false">
      <c r="C50" s="8" t="n">
        <v>40224</v>
      </c>
      <c r="D50" s="1" t="n">
        <v>0.6</v>
      </c>
      <c r="E50" s="1" t="n">
        <v>-1.3</v>
      </c>
      <c r="F50" s="1" t="n">
        <v>2.2</v>
      </c>
      <c r="J50" s="1" t="n">
        <v>0</v>
      </c>
      <c r="L50" s="1" t="n">
        <v>1</v>
      </c>
      <c r="N50" s="1" t="n">
        <v>-1</v>
      </c>
      <c r="P50" s="6"/>
      <c r="T50" s="7"/>
      <c r="V50" s="1" t="n">
        <v>904.4</v>
      </c>
    </row>
    <row r="51" s="1" customFormat="true" ht="15" hidden="false" customHeight="false" outlineLevel="0" collapsed="false">
      <c r="C51" s="8" t="n">
        <v>40225</v>
      </c>
      <c r="D51" s="1" t="n">
        <v>5.5</v>
      </c>
      <c r="E51" s="1" t="n">
        <v>-0.4</v>
      </c>
      <c r="F51" s="1" t="n">
        <v>9</v>
      </c>
      <c r="J51" s="1" t="n">
        <v>0.1</v>
      </c>
      <c r="L51" s="1" t="n">
        <v>0.5</v>
      </c>
      <c r="N51" s="1" t="n">
        <v>-0.4</v>
      </c>
      <c r="P51" s="6"/>
      <c r="T51" s="7"/>
      <c r="V51" s="1" t="n">
        <v>253.1</v>
      </c>
    </row>
    <row r="52" s="1" customFormat="true" ht="15" hidden="false" customHeight="false" outlineLevel="0" collapsed="false">
      <c r="C52" s="8" t="n">
        <v>40226</v>
      </c>
      <c r="D52" s="1" t="n">
        <v>8.7</v>
      </c>
      <c r="E52" s="1" t="n">
        <v>6.3</v>
      </c>
      <c r="F52" s="1" t="n">
        <v>11.4</v>
      </c>
      <c r="J52" s="1" t="n">
        <v>2.1</v>
      </c>
      <c r="L52" s="1" t="n">
        <v>0.7</v>
      </c>
      <c r="N52" s="1" t="n">
        <v>1.4</v>
      </c>
      <c r="P52" s="6"/>
      <c r="T52" s="7"/>
      <c r="V52" s="1" t="n">
        <v>247.9</v>
      </c>
    </row>
    <row r="53" s="1" customFormat="true" ht="15" hidden="false" customHeight="false" outlineLevel="0" collapsed="false">
      <c r="C53" s="8" t="n">
        <v>40227</v>
      </c>
      <c r="D53" s="1" t="n">
        <v>9.2</v>
      </c>
      <c r="E53" s="1" t="n">
        <v>4.9</v>
      </c>
      <c r="F53" s="1" t="n">
        <v>13.5</v>
      </c>
      <c r="J53" s="1" t="n">
        <v>4.9</v>
      </c>
      <c r="L53" s="1" t="n">
        <v>1.7</v>
      </c>
      <c r="N53" s="1" t="n">
        <v>3.2</v>
      </c>
      <c r="P53" s="6"/>
      <c r="T53" s="7"/>
      <c r="V53" s="1" t="n">
        <v>1041.3</v>
      </c>
    </row>
    <row r="54" s="1" customFormat="true" ht="15" hidden="false" customHeight="false" outlineLevel="0" collapsed="false">
      <c r="C54" s="8" t="n">
        <v>40228</v>
      </c>
      <c r="D54" s="1" t="n">
        <v>6.7</v>
      </c>
      <c r="E54" s="1" t="n">
        <v>6.1</v>
      </c>
      <c r="F54" s="1" t="n">
        <v>8.2</v>
      </c>
      <c r="J54" s="1" t="n">
        <v>0.6</v>
      </c>
      <c r="L54" s="1" t="n">
        <v>1</v>
      </c>
      <c r="N54" s="1" t="n">
        <v>-0.4</v>
      </c>
      <c r="P54" s="6"/>
      <c r="T54" s="7"/>
      <c r="V54" s="1" t="n">
        <v>428.2</v>
      </c>
    </row>
    <row r="55" s="1" customFormat="true" ht="15" hidden="false" customHeight="false" outlineLevel="0" collapsed="false">
      <c r="C55" s="8" t="n">
        <v>40229</v>
      </c>
      <c r="D55" s="1" t="n">
        <v>5.7</v>
      </c>
      <c r="E55" s="1" t="n">
        <v>3.7</v>
      </c>
      <c r="F55" s="1" t="n">
        <v>9.7</v>
      </c>
      <c r="J55" s="1" t="n">
        <v>0.6</v>
      </c>
      <c r="L55" s="1" t="n">
        <v>1.3</v>
      </c>
      <c r="N55" s="1" t="n">
        <v>-0.7</v>
      </c>
      <c r="P55" s="6"/>
      <c r="T55" s="7"/>
      <c r="V55" s="1" t="n">
        <v>383.7</v>
      </c>
    </row>
    <row r="56" s="1" customFormat="true" ht="15" hidden="false" customHeight="false" outlineLevel="0" collapsed="false">
      <c r="C56" s="8" t="n">
        <v>40230</v>
      </c>
      <c r="D56" s="1" t="n">
        <v>5.8</v>
      </c>
      <c r="E56" s="1" t="n">
        <v>-0.1</v>
      </c>
      <c r="F56" s="1" t="n">
        <v>10.2</v>
      </c>
      <c r="J56" s="1" t="n">
        <v>0</v>
      </c>
      <c r="L56" s="1" t="n">
        <v>0.7</v>
      </c>
      <c r="N56" s="1" t="n">
        <v>-0.7</v>
      </c>
      <c r="P56" s="6"/>
      <c r="T56" s="7"/>
      <c r="V56" s="1" t="n">
        <v>496</v>
      </c>
    </row>
    <row r="57" s="1" customFormat="true" ht="15" hidden="false" customHeight="false" outlineLevel="0" collapsed="false">
      <c r="C57" s="8" t="n">
        <v>40231</v>
      </c>
      <c r="D57" s="1" t="n">
        <v>9.1</v>
      </c>
      <c r="E57" s="1" t="n">
        <v>4.6</v>
      </c>
      <c r="F57" s="1" t="n">
        <v>13</v>
      </c>
      <c r="J57" s="1" t="n">
        <v>0.3</v>
      </c>
      <c r="L57" s="1" t="n">
        <v>1.1</v>
      </c>
      <c r="N57" s="1" t="n">
        <v>-0.8</v>
      </c>
      <c r="P57" s="6"/>
      <c r="T57" s="7"/>
      <c r="V57" s="1" t="n">
        <v>420.9</v>
      </c>
    </row>
    <row r="58" s="1" customFormat="true" ht="15" hidden="false" customHeight="false" outlineLevel="0" collapsed="false">
      <c r="C58" s="8" t="n">
        <v>40232</v>
      </c>
      <c r="D58" s="1" t="n">
        <v>10.8</v>
      </c>
      <c r="E58" s="1" t="n">
        <v>6.5</v>
      </c>
      <c r="F58" s="1" t="n">
        <v>15.4</v>
      </c>
      <c r="J58" s="1" t="n">
        <v>0.8</v>
      </c>
      <c r="L58" s="1" t="n">
        <v>1</v>
      </c>
      <c r="N58" s="1" t="n">
        <v>-0.2</v>
      </c>
      <c r="P58" s="6"/>
      <c r="T58" s="7"/>
      <c r="V58" s="1" t="n">
        <v>478</v>
      </c>
    </row>
    <row r="59" s="1" customFormat="true" ht="15" hidden="false" customHeight="false" outlineLevel="0" collapsed="false">
      <c r="C59" s="8" t="n">
        <v>40233</v>
      </c>
      <c r="D59" s="1" t="n">
        <v>11.5</v>
      </c>
      <c r="E59" s="1" t="n">
        <v>8.2</v>
      </c>
      <c r="F59" s="1" t="n">
        <v>16.7</v>
      </c>
      <c r="J59" s="1" t="n">
        <v>2.7</v>
      </c>
      <c r="L59" s="1" t="n">
        <v>2.3</v>
      </c>
      <c r="N59" s="1" t="n">
        <v>0.4</v>
      </c>
      <c r="P59" s="6"/>
      <c r="T59" s="7"/>
      <c r="V59" s="1" t="n">
        <v>943.3</v>
      </c>
    </row>
    <row r="60" s="1" customFormat="true" ht="15" hidden="false" customHeight="false" outlineLevel="0" collapsed="false">
      <c r="C60" s="8" t="n">
        <v>40234</v>
      </c>
      <c r="D60" s="1" t="n">
        <v>10.4</v>
      </c>
      <c r="E60" s="1" t="n">
        <v>7.2</v>
      </c>
      <c r="F60" s="1" t="n">
        <v>13.5</v>
      </c>
      <c r="J60" s="1" t="n">
        <v>0.3</v>
      </c>
      <c r="L60" s="1" t="n">
        <v>1.3</v>
      </c>
      <c r="N60" s="1" t="n">
        <v>-1</v>
      </c>
      <c r="P60" s="6"/>
      <c r="T60" s="7"/>
      <c r="V60" s="1" t="n">
        <v>500.2</v>
      </c>
    </row>
    <row r="61" s="1" customFormat="true" ht="15" hidden="false" customHeight="false" outlineLevel="0" collapsed="false">
      <c r="C61" s="8" t="n">
        <v>40235</v>
      </c>
      <c r="D61" s="1" t="n">
        <v>9.8</v>
      </c>
      <c r="E61" s="1" t="n">
        <v>10.1</v>
      </c>
      <c r="F61" s="1" t="n">
        <v>12.9</v>
      </c>
      <c r="J61" s="1" t="n">
        <v>0.4</v>
      </c>
      <c r="L61" s="1" t="n">
        <v>3</v>
      </c>
      <c r="N61" s="1" t="n">
        <v>-2.6</v>
      </c>
      <c r="P61" s="6"/>
      <c r="T61" s="7"/>
      <c r="V61" s="1" t="n">
        <v>1237.9</v>
      </c>
    </row>
    <row r="62" s="1" customFormat="true" ht="15" hidden="false" customHeight="false" outlineLevel="0" collapsed="false">
      <c r="C62" s="8" t="n">
        <v>40236</v>
      </c>
      <c r="D62" s="1" t="n">
        <v>9.6</v>
      </c>
      <c r="E62" s="1" t="n">
        <v>2.7</v>
      </c>
      <c r="F62" s="1" t="n">
        <v>13.5</v>
      </c>
      <c r="J62" s="1" t="n">
        <v>0.6</v>
      </c>
      <c r="L62" s="1" t="n">
        <v>1</v>
      </c>
      <c r="N62" s="1" t="n">
        <v>-0.4</v>
      </c>
      <c r="P62" s="6"/>
      <c r="T62" s="7"/>
      <c r="V62" s="1" t="n">
        <v>561</v>
      </c>
    </row>
    <row r="63" s="1" customFormat="true" ht="15" hidden="false" customHeight="false" outlineLevel="0" collapsed="false">
      <c r="C63" s="8" t="n">
        <v>40237</v>
      </c>
      <c r="D63" s="1" t="n">
        <v>11.4</v>
      </c>
      <c r="E63" s="1" t="n">
        <v>10.6</v>
      </c>
      <c r="F63" s="1" t="n">
        <v>15.2</v>
      </c>
      <c r="J63" s="1" t="n">
        <v>0</v>
      </c>
      <c r="L63" s="1" t="n">
        <v>2.9</v>
      </c>
      <c r="N63" s="1" t="n">
        <v>-2.9</v>
      </c>
      <c r="P63" s="6"/>
      <c r="T63" s="7"/>
      <c r="V63" s="1" t="n">
        <v>1244.1</v>
      </c>
    </row>
    <row r="64" s="1" customFormat="true" ht="15" hidden="false" customHeight="false" outlineLevel="0" collapsed="false">
      <c r="C64" s="8" t="n">
        <v>40238</v>
      </c>
      <c r="D64" s="1" t="n">
        <v>8.1</v>
      </c>
      <c r="E64" s="1" t="n">
        <v>4.4</v>
      </c>
      <c r="F64" s="1" t="n">
        <v>11.9</v>
      </c>
      <c r="J64" s="1" t="n">
        <v>0.2</v>
      </c>
      <c r="L64" s="1" t="n">
        <v>1.1</v>
      </c>
      <c r="N64" s="1" t="n">
        <v>-0.9</v>
      </c>
      <c r="P64" s="6"/>
      <c r="T64" s="7"/>
      <c r="V64" s="1" t="n">
        <v>684</v>
      </c>
    </row>
    <row r="65" s="1" customFormat="true" ht="15" hidden="false" customHeight="false" outlineLevel="0" collapsed="false">
      <c r="C65" s="8" t="n">
        <v>40239</v>
      </c>
      <c r="D65" s="1" t="n">
        <v>9.1</v>
      </c>
      <c r="E65" s="1" t="n">
        <v>1.5</v>
      </c>
      <c r="F65" s="1" t="n">
        <v>16.1</v>
      </c>
      <c r="J65" s="1" t="n">
        <v>1.8</v>
      </c>
      <c r="L65" s="1" t="n">
        <v>1.6</v>
      </c>
      <c r="N65" s="1" t="n">
        <v>0.2</v>
      </c>
      <c r="P65" s="6"/>
      <c r="T65" s="7"/>
      <c r="V65" s="1" t="n">
        <v>1026.7</v>
      </c>
    </row>
    <row r="66" s="1" customFormat="true" ht="15" hidden="false" customHeight="false" outlineLevel="0" collapsed="false">
      <c r="C66" s="8" t="n">
        <v>40240</v>
      </c>
      <c r="D66" s="1" t="n">
        <v>9</v>
      </c>
      <c r="E66" s="1" t="n">
        <v>8.5</v>
      </c>
      <c r="F66" s="1" t="n">
        <v>10.4</v>
      </c>
      <c r="J66" s="1" t="n">
        <v>3.3</v>
      </c>
      <c r="L66" s="1" t="n">
        <v>1.2</v>
      </c>
      <c r="N66" s="1" t="n">
        <v>2.1</v>
      </c>
      <c r="P66" s="6"/>
      <c r="T66" s="7"/>
      <c r="V66" s="1" t="n">
        <v>248.3</v>
      </c>
    </row>
    <row r="67" s="1" customFormat="true" ht="15" hidden="false" customHeight="false" outlineLevel="0" collapsed="false">
      <c r="C67" s="8" t="n">
        <v>40241</v>
      </c>
      <c r="D67" s="1" t="n">
        <v>9.5</v>
      </c>
      <c r="E67" s="1" t="n">
        <v>8.2</v>
      </c>
      <c r="F67" s="1" t="n">
        <v>13.1</v>
      </c>
      <c r="J67" s="1" t="n">
        <v>0.4</v>
      </c>
      <c r="L67" s="1" t="n">
        <v>1.8</v>
      </c>
      <c r="N67" s="1" t="n">
        <v>-1.4</v>
      </c>
      <c r="P67" s="6"/>
      <c r="T67" s="7"/>
      <c r="V67" s="1" t="n">
        <v>679</v>
      </c>
    </row>
    <row r="68" s="1" customFormat="true" ht="15" hidden="false" customHeight="false" outlineLevel="0" collapsed="false">
      <c r="C68" s="8" t="n">
        <v>40242</v>
      </c>
      <c r="D68" s="1" t="n">
        <v>6</v>
      </c>
      <c r="E68" s="1" t="n">
        <v>3.7</v>
      </c>
      <c r="F68" s="1" t="n">
        <v>10.7</v>
      </c>
      <c r="J68" s="1" t="n">
        <v>0</v>
      </c>
      <c r="L68" s="1" t="n">
        <v>2.4</v>
      </c>
      <c r="N68" s="1" t="n">
        <v>-2.4</v>
      </c>
      <c r="P68" s="6"/>
      <c r="T68" s="7"/>
      <c r="V68" s="1" t="n">
        <v>1485</v>
      </c>
    </row>
    <row r="69" s="1" customFormat="true" ht="15" hidden="false" customHeight="false" outlineLevel="0" collapsed="false">
      <c r="C69" s="8" t="n">
        <v>40243</v>
      </c>
      <c r="D69" s="1" t="n">
        <v>4.1</v>
      </c>
      <c r="E69" s="1" t="n">
        <v>-2.5</v>
      </c>
      <c r="F69" s="1" t="n">
        <v>9</v>
      </c>
      <c r="J69" s="1" t="n">
        <v>0</v>
      </c>
      <c r="L69" s="1" t="n">
        <v>1.7</v>
      </c>
      <c r="N69" s="1" t="n">
        <v>-1.7</v>
      </c>
      <c r="P69" s="6"/>
      <c r="T69" s="7"/>
      <c r="V69" s="1" t="n">
        <v>1387.3</v>
      </c>
    </row>
    <row r="70" s="1" customFormat="true" ht="15" hidden="false" customHeight="false" outlineLevel="0" collapsed="false">
      <c r="C70" s="8" t="n">
        <v>40244</v>
      </c>
      <c r="D70" s="1" t="n">
        <v>2.7</v>
      </c>
      <c r="E70" s="1" t="n">
        <v>-1.8</v>
      </c>
      <c r="F70" s="1" t="n">
        <v>8.3</v>
      </c>
      <c r="J70" s="1" t="n">
        <v>0</v>
      </c>
      <c r="L70" s="1" t="n">
        <v>2.1</v>
      </c>
      <c r="N70" s="1" t="n">
        <v>-2.1</v>
      </c>
      <c r="P70" s="6"/>
      <c r="T70" s="7"/>
      <c r="V70" s="1" t="n">
        <v>1423.7</v>
      </c>
    </row>
    <row r="71" s="1" customFormat="true" ht="15" hidden="false" customHeight="false" outlineLevel="0" collapsed="false">
      <c r="C71" s="8" t="n">
        <v>40245</v>
      </c>
      <c r="D71" s="1" t="n">
        <v>-1.3</v>
      </c>
      <c r="E71" s="1" t="n">
        <v>-1.6</v>
      </c>
      <c r="F71" s="1" t="n">
        <v>-1.1</v>
      </c>
      <c r="J71" s="1" t="n">
        <v>0</v>
      </c>
      <c r="L71" s="1" t="n">
        <v>0.6</v>
      </c>
      <c r="N71" s="1" t="n">
        <v>-0.6</v>
      </c>
      <c r="P71" s="6"/>
      <c r="T71" s="7"/>
      <c r="V71" s="1" t="n">
        <v>296.6</v>
      </c>
    </row>
    <row r="72" s="1" customFormat="true" ht="15" hidden="false" customHeight="false" outlineLevel="0" collapsed="false">
      <c r="C72" s="8" t="n">
        <v>40246</v>
      </c>
      <c r="D72" s="1" t="n">
        <v>-0.1</v>
      </c>
      <c r="E72" s="1" t="n">
        <v>-4.1</v>
      </c>
      <c r="F72" s="1" t="n">
        <v>3.5</v>
      </c>
      <c r="J72" s="1" t="n">
        <v>0</v>
      </c>
      <c r="L72" s="1" t="n">
        <v>1.6</v>
      </c>
      <c r="N72" s="1" t="n">
        <v>-1.6</v>
      </c>
      <c r="P72" s="6"/>
      <c r="T72" s="7"/>
      <c r="V72" s="1" t="n">
        <v>1344.3</v>
      </c>
    </row>
    <row r="73" s="1" customFormat="true" ht="15" hidden="false" customHeight="false" outlineLevel="0" collapsed="false">
      <c r="C73" s="8" t="n">
        <v>40247</v>
      </c>
      <c r="D73" s="1" t="n">
        <v>-0.4</v>
      </c>
      <c r="E73" s="1" t="n">
        <v>-2.5</v>
      </c>
      <c r="F73" s="1" t="n">
        <v>1.7</v>
      </c>
      <c r="J73" s="1" t="n">
        <v>0</v>
      </c>
      <c r="L73" s="1" t="n">
        <v>1.6</v>
      </c>
      <c r="N73" s="1" t="n">
        <v>-1.6</v>
      </c>
      <c r="P73" s="6"/>
      <c r="T73" s="7"/>
      <c r="V73" s="1" t="n">
        <v>1303.7</v>
      </c>
    </row>
    <row r="74" s="1" customFormat="true" ht="15" hidden="false" customHeight="false" outlineLevel="0" collapsed="false">
      <c r="C74" s="8" t="n">
        <v>40248</v>
      </c>
      <c r="D74" s="1" t="n">
        <v>0.5</v>
      </c>
      <c r="E74" s="1" t="n">
        <v>-2.9</v>
      </c>
      <c r="F74" s="1" t="n">
        <v>2.1</v>
      </c>
      <c r="J74" s="1" t="n">
        <v>0</v>
      </c>
      <c r="L74" s="1" t="n">
        <v>0.8</v>
      </c>
      <c r="N74" s="1" t="n">
        <v>-0.8</v>
      </c>
      <c r="P74" s="6"/>
      <c r="T74" s="7"/>
      <c r="V74" s="1" t="n">
        <v>565.3</v>
      </c>
    </row>
    <row r="75" s="1" customFormat="true" ht="15" hidden="false" customHeight="false" outlineLevel="0" collapsed="false">
      <c r="C75" s="8" t="n">
        <v>40249</v>
      </c>
      <c r="D75" s="1" t="n">
        <v>3.7</v>
      </c>
      <c r="E75" s="1" t="n">
        <v>0.1</v>
      </c>
      <c r="F75" s="1" t="n">
        <v>8.3</v>
      </c>
      <c r="J75" s="1" t="n">
        <v>0</v>
      </c>
      <c r="L75" s="1" t="n">
        <v>1.9</v>
      </c>
      <c r="N75" s="1" t="n">
        <v>-1.9</v>
      </c>
      <c r="P75" s="6"/>
      <c r="T75" s="7"/>
      <c r="V75" s="1" t="n">
        <v>1185.1</v>
      </c>
    </row>
    <row r="76" s="1" customFormat="true" ht="15" hidden="false" customHeight="false" outlineLevel="0" collapsed="false">
      <c r="C76" s="8" t="n">
        <v>40250</v>
      </c>
      <c r="D76" s="1" t="n">
        <v>4.3</v>
      </c>
      <c r="E76" s="1" t="n">
        <v>1.5</v>
      </c>
      <c r="F76" s="1" t="n">
        <v>8.3</v>
      </c>
      <c r="J76" s="1" t="n">
        <v>0</v>
      </c>
      <c r="L76" s="1" t="n">
        <v>1.9</v>
      </c>
      <c r="N76" s="1" t="n">
        <v>-1.9</v>
      </c>
      <c r="P76" s="6"/>
      <c r="T76" s="7"/>
      <c r="V76" s="1" t="n">
        <v>1148</v>
      </c>
    </row>
    <row r="77" s="1" customFormat="true" ht="15" hidden="false" customHeight="false" outlineLevel="0" collapsed="false">
      <c r="C77" s="8" t="n">
        <v>40251</v>
      </c>
      <c r="D77" s="1" t="n">
        <v>4.7</v>
      </c>
      <c r="E77" s="1" t="n">
        <v>0.9</v>
      </c>
      <c r="F77" s="1" t="n">
        <v>6.9</v>
      </c>
      <c r="J77" s="1" t="n">
        <v>0</v>
      </c>
      <c r="L77" s="1" t="n">
        <v>1.5</v>
      </c>
      <c r="N77" s="1" t="n">
        <v>-1.5</v>
      </c>
      <c r="P77" s="6"/>
      <c r="T77" s="7"/>
      <c r="V77" s="1" t="n">
        <v>1015.8</v>
      </c>
    </row>
    <row r="78" s="1" customFormat="true" ht="15" hidden="false" customHeight="false" outlineLevel="0" collapsed="false">
      <c r="C78" s="8" t="n">
        <v>40252</v>
      </c>
      <c r="D78" s="1" t="n">
        <v>6.2</v>
      </c>
      <c r="E78" s="1" t="n">
        <v>1.6</v>
      </c>
      <c r="F78" s="1" t="n">
        <v>11</v>
      </c>
      <c r="J78" s="1" t="n">
        <v>0</v>
      </c>
      <c r="L78" s="1" t="n">
        <v>2.2</v>
      </c>
      <c r="N78" s="1" t="n">
        <v>-2.2</v>
      </c>
      <c r="P78" s="6"/>
      <c r="T78" s="7"/>
      <c r="V78" s="1" t="n">
        <v>1592.9</v>
      </c>
    </row>
    <row r="79" s="1" customFormat="true" ht="15" hidden="false" customHeight="false" outlineLevel="0" collapsed="false">
      <c r="C79" s="8" t="n">
        <v>40253</v>
      </c>
      <c r="D79" s="1" t="n">
        <v>7.1</v>
      </c>
      <c r="E79" s="1" t="n">
        <v>-1.4</v>
      </c>
      <c r="F79" s="1" t="n">
        <v>15.4</v>
      </c>
      <c r="J79" s="1" t="n">
        <v>0</v>
      </c>
      <c r="L79" s="1" t="n">
        <v>2.6</v>
      </c>
      <c r="N79" s="1" t="n">
        <v>-2.6</v>
      </c>
      <c r="P79" s="6"/>
      <c r="T79" s="7"/>
      <c r="V79" s="1" t="n">
        <v>1848.8</v>
      </c>
    </row>
    <row r="80" s="1" customFormat="true" ht="15" hidden="false" customHeight="false" outlineLevel="0" collapsed="false">
      <c r="C80" s="8" t="n">
        <v>40254</v>
      </c>
      <c r="D80" s="1" t="n">
        <v>9.4</v>
      </c>
      <c r="E80" s="1" t="n">
        <v>0.7</v>
      </c>
      <c r="F80" s="1" t="n">
        <v>18.8</v>
      </c>
      <c r="J80" s="1" t="n">
        <v>0</v>
      </c>
      <c r="L80" s="1" t="n">
        <v>3.3</v>
      </c>
      <c r="N80" s="1" t="n">
        <v>-3.3</v>
      </c>
      <c r="P80" s="6"/>
      <c r="T80" s="7"/>
      <c r="V80" s="1" t="n">
        <v>1779.1</v>
      </c>
    </row>
    <row r="81" s="1" customFormat="true" ht="15" hidden="false" customHeight="false" outlineLevel="0" collapsed="false">
      <c r="C81" s="8" t="n">
        <v>40255</v>
      </c>
      <c r="D81" s="1" t="n">
        <v>11.4</v>
      </c>
      <c r="E81" s="1" t="n">
        <v>9</v>
      </c>
      <c r="F81" s="1" t="n">
        <v>14</v>
      </c>
      <c r="J81" s="1" t="n">
        <v>0</v>
      </c>
      <c r="L81" s="1" t="n">
        <v>2.4</v>
      </c>
      <c r="N81" s="1" t="n">
        <v>-2.4</v>
      </c>
      <c r="P81" s="6"/>
      <c r="T81" s="7"/>
      <c r="V81" s="1" t="n">
        <v>1136.8</v>
      </c>
    </row>
    <row r="82" s="1" customFormat="true" ht="15" hidden="false" customHeight="false" outlineLevel="0" collapsed="false">
      <c r="C82" s="8" t="n">
        <v>40256</v>
      </c>
      <c r="D82" s="1" t="n">
        <v>12.6</v>
      </c>
      <c r="E82" s="1" t="n">
        <v>10.8</v>
      </c>
      <c r="F82" s="1" t="n">
        <v>15.6</v>
      </c>
      <c r="J82" s="1" t="n">
        <v>0</v>
      </c>
      <c r="L82" s="1" t="n">
        <v>2.8</v>
      </c>
      <c r="N82" s="1" t="n">
        <v>-2.8</v>
      </c>
      <c r="P82" s="6"/>
      <c r="T82" s="7"/>
      <c r="V82" s="1" t="n">
        <v>1204.3</v>
      </c>
    </row>
    <row r="83" s="1" customFormat="true" ht="15" hidden="false" customHeight="false" outlineLevel="0" collapsed="false">
      <c r="C83" s="8" t="n">
        <v>40257</v>
      </c>
      <c r="D83" s="1" t="n">
        <v>13.2</v>
      </c>
      <c r="E83" s="1" t="n">
        <v>11.7</v>
      </c>
      <c r="F83" s="1" t="n">
        <v>16.3</v>
      </c>
      <c r="J83" s="1" t="n">
        <v>0.2</v>
      </c>
      <c r="L83" s="1" t="n">
        <v>2.4</v>
      </c>
      <c r="N83" s="1" t="n">
        <v>-2.2</v>
      </c>
      <c r="P83" s="6"/>
      <c r="T83" s="7"/>
      <c r="V83" s="1" t="n">
        <v>772.6</v>
      </c>
    </row>
    <row r="84" s="1" customFormat="true" ht="15" hidden="false" customHeight="false" outlineLevel="0" collapsed="false">
      <c r="C84" s="8" t="n">
        <v>40258</v>
      </c>
      <c r="D84" s="1" t="n">
        <v>12.2</v>
      </c>
      <c r="E84" s="1" t="n">
        <v>11.1</v>
      </c>
      <c r="F84" s="1" t="n">
        <v>13.8</v>
      </c>
      <c r="J84" s="1" t="n">
        <v>3</v>
      </c>
      <c r="L84" s="1" t="n">
        <v>0.7</v>
      </c>
      <c r="N84" s="1" t="n">
        <v>2.3</v>
      </c>
      <c r="P84" s="6"/>
      <c r="T84" s="7"/>
      <c r="V84" s="1" t="n">
        <v>244.2</v>
      </c>
    </row>
    <row r="85" s="1" customFormat="true" ht="15" hidden="false" customHeight="false" outlineLevel="0" collapsed="false">
      <c r="C85" s="8" t="n">
        <v>40259</v>
      </c>
      <c r="D85" s="1" t="n">
        <v>11.8</v>
      </c>
      <c r="E85" s="1" t="n">
        <v>10.5</v>
      </c>
      <c r="F85" s="1" t="n">
        <v>13.8</v>
      </c>
      <c r="J85" s="1" t="n">
        <v>3.1</v>
      </c>
      <c r="L85" s="1" t="n">
        <v>0.9</v>
      </c>
      <c r="N85" s="1" t="n">
        <v>2.2</v>
      </c>
      <c r="P85" s="6"/>
      <c r="T85" s="7"/>
      <c r="V85" s="1" t="n">
        <v>437.3</v>
      </c>
    </row>
    <row r="86" s="1" customFormat="true" ht="15" hidden="false" customHeight="false" outlineLevel="0" collapsed="false">
      <c r="C86" s="8" t="n">
        <v>40260</v>
      </c>
      <c r="D86" s="1" t="n">
        <v>12.4</v>
      </c>
      <c r="E86" s="1" t="n">
        <v>4.1</v>
      </c>
      <c r="F86" s="1" t="n">
        <v>18</v>
      </c>
      <c r="J86" s="1" t="n">
        <v>0</v>
      </c>
      <c r="L86" s="1" t="n">
        <v>2.5</v>
      </c>
      <c r="N86" s="1" t="n">
        <v>-2.5</v>
      </c>
      <c r="P86" s="6"/>
      <c r="T86" s="7"/>
      <c r="V86" s="1" t="n">
        <v>1835.3</v>
      </c>
    </row>
    <row r="87" s="1" customFormat="true" ht="15" hidden="false" customHeight="false" outlineLevel="0" collapsed="false">
      <c r="C87" s="8" t="n">
        <v>40261</v>
      </c>
      <c r="D87" s="1" t="n">
        <v>14</v>
      </c>
      <c r="E87" s="1" t="n">
        <v>11.9</v>
      </c>
      <c r="F87" s="1" t="n">
        <v>17.9</v>
      </c>
      <c r="J87" s="1" t="n">
        <v>0.2</v>
      </c>
      <c r="L87" s="1" t="n">
        <v>2.7</v>
      </c>
      <c r="N87" s="1" t="n">
        <v>-2.5</v>
      </c>
      <c r="P87" s="6"/>
      <c r="T87" s="7"/>
      <c r="V87" s="1" t="n">
        <v>913.3</v>
      </c>
    </row>
    <row r="88" s="1" customFormat="true" ht="15" hidden="false" customHeight="false" outlineLevel="0" collapsed="false">
      <c r="C88" s="8" t="n">
        <v>40262</v>
      </c>
      <c r="D88" s="1" t="n">
        <v>13.7</v>
      </c>
      <c r="E88" s="1" t="n">
        <v>11.2</v>
      </c>
      <c r="F88" s="1" t="n">
        <v>18.2</v>
      </c>
      <c r="J88" s="1" t="n">
        <v>7.8</v>
      </c>
      <c r="L88" s="1" t="n">
        <v>2.7</v>
      </c>
      <c r="N88" s="1" t="n">
        <v>5.1</v>
      </c>
      <c r="P88" s="6"/>
      <c r="T88" s="7"/>
      <c r="V88" s="1" t="n">
        <v>1070.7</v>
      </c>
    </row>
    <row r="89" s="1" customFormat="true" ht="15" hidden="false" customHeight="false" outlineLevel="0" collapsed="false">
      <c r="C89" s="8" t="n">
        <v>40263</v>
      </c>
      <c r="D89" s="1" t="n">
        <v>12.8</v>
      </c>
      <c r="E89" s="1" t="n">
        <v>9.3</v>
      </c>
      <c r="F89" s="1" t="n">
        <v>17.8</v>
      </c>
      <c r="J89" s="1" t="n">
        <v>0.5</v>
      </c>
      <c r="L89" s="1" t="n">
        <v>3.6</v>
      </c>
      <c r="N89" s="1" t="n">
        <v>-3.1</v>
      </c>
      <c r="P89" s="6"/>
      <c r="T89" s="7"/>
      <c r="V89" s="1" t="n">
        <v>1827.9</v>
      </c>
    </row>
    <row r="90" s="1" customFormat="true" ht="15" hidden="false" customHeight="false" outlineLevel="0" collapsed="false">
      <c r="C90" s="8" t="n">
        <v>40264</v>
      </c>
      <c r="D90" s="1" t="n">
        <v>11.1</v>
      </c>
      <c r="E90" s="1" t="n">
        <v>9.2</v>
      </c>
      <c r="F90" s="1" t="n">
        <v>14.5</v>
      </c>
      <c r="J90" s="1" t="n">
        <v>4.5</v>
      </c>
      <c r="L90" s="1" t="n">
        <v>2.3</v>
      </c>
      <c r="N90" s="1" t="n">
        <v>2.2</v>
      </c>
      <c r="P90" s="6"/>
      <c r="T90" s="7"/>
      <c r="V90" s="1" t="n">
        <v>806.4</v>
      </c>
    </row>
    <row r="91" s="1" customFormat="true" ht="15" hidden="false" customHeight="false" outlineLevel="0" collapsed="false">
      <c r="C91" s="8" t="n">
        <v>40265</v>
      </c>
      <c r="D91" s="1" t="n">
        <v>13.2</v>
      </c>
      <c r="E91" s="1" t="n">
        <v>8.9</v>
      </c>
      <c r="F91" s="1" t="n">
        <v>16.9</v>
      </c>
      <c r="J91" s="1" t="n">
        <v>0</v>
      </c>
      <c r="L91" s="1" t="n">
        <v>2.3</v>
      </c>
      <c r="N91" s="1" t="n">
        <v>-2.3</v>
      </c>
      <c r="P91" s="6"/>
      <c r="T91" s="7"/>
      <c r="V91" s="1" t="n">
        <v>1297.5</v>
      </c>
    </row>
    <row r="92" s="1" customFormat="true" ht="15" hidden="false" customHeight="false" outlineLevel="0" collapsed="false">
      <c r="C92" s="8" t="n">
        <v>40266</v>
      </c>
      <c r="D92" s="1" t="n">
        <v>12.9</v>
      </c>
      <c r="E92" s="1" t="n">
        <v>9.5</v>
      </c>
      <c r="F92" s="1" t="n">
        <v>17.1</v>
      </c>
      <c r="J92" s="1" t="n">
        <v>2.5</v>
      </c>
      <c r="L92" s="1" t="n">
        <v>2.8</v>
      </c>
      <c r="N92" s="1" t="n">
        <v>-0.3</v>
      </c>
      <c r="P92" s="6"/>
      <c r="T92" s="7"/>
      <c r="V92" s="1" t="n">
        <v>1439.2</v>
      </c>
    </row>
    <row r="93" s="1" customFormat="true" ht="15" hidden="false" customHeight="false" outlineLevel="0" collapsed="false">
      <c r="C93" s="8" t="n">
        <v>40267</v>
      </c>
      <c r="D93" s="1" t="n">
        <v>9.4</v>
      </c>
      <c r="E93" s="1" t="n">
        <v>6.9</v>
      </c>
      <c r="F93" s="1" t="n">
        <v>10.8</v>
      </c>
      <c r="J93" s="1" t="n">
        <v>4.3</v>
      </c>
      <c r="L93" s="1" t="n">
        <v>1.6</v>
      </c>
      <c r="N93" s="1" t="n">
        <v>2.7</v>
      </c>
      <c r="P93" s="6"/>
      <c r="T93" s="7"/>
      <c r="V93" s="1" t="n">
        <v>1038.3</v>
      </c>
    </row>
    <row r="94" s="1" customFormat="true" ht="15" hidden="false" customHeight="false" outlineLevel="0" collapsed="false">
      <c r="C94" s="8" t="n">
        <v>40268</v>
      </c>
      <c r="D94" s="1" t="n">
        <v>10.7</v>
      </c>
      <c r="E94" s="1" t="n">
        <v>6.8</v>
      </c>
      <c r="F94" s="1" t="n">
        <v>15</v>
      </c>
      <c r="J94" s="1" t="n">
        <v>3.6</v>
      </c>
      <c r="L94" s="1" t="n">
        <v>2.8</v>
      </c>
      <c r="N94" s="1" t="n">
        <v>0.8</v>
      </c>
      <c r="P94" s="6"/>
      <c r="T94" s="7"/>
      <c r="V94" s="1" t="n">
        <v>1458.5</v>
      </c>
    </row>
    <row r="95" s="1" customFormat="true" ht="15" hidden="false" customHeight="false" outlineLevel="0" collapsed="false">
      <c r="C95" s="8" t="n">
        <v>40269</v>
      </c>
      <c r="D95" s="1" t="n">
        <v>8.6</v>
      </c>
      <c r="E95" s="1" t="n">
        <v>5.7</v>
      </c>
      <c r="F95" s="1" t="n">
        <v>13.1</v>
      </c>
      <c r="J95" s="1" t="n">
        <v>1.5</v>
      </c>
      <c r="L95" s="1" t="n">
        <v>2.1</v>
      </c>
      <c r="N95" s="1" t="n">
        <v>-0.6</v>
      </c>
      <c r="P95" s="6"/>
      <c r="T95" s="7"/>
      <c r="V95" s="1" t="n">
        <v>1041.9</v>
      </c>
    </row>
    <row r="96" s="1" customFormat="true" ht="15" hidden="false" customHeight="false" outlineLevel="0" collapsed="false">
      <c r="C96" s="8" t="n">
        <v>40270</v>
      </c>
      <c r="D96" s="1" t="n">
        <v>10.5</v>
      </c>
      <c r="E96" s="1" t="n">
        <v>2.4</v>
      </c>
      <c r="F96" s="1" t="n">
        <v>16.6</v>
      </c>
      <c r="J96" s="1" t="n">
        <v>0</v>
      </c>
      <c r="L96" s="1" t="n">
        <v>2.4</v>
      </c>
      <c r="N96" s="1" t="n">
        <v>-2.4</v>
      </c>
      <c r="P96" s="6"/>
      <c r="T96" s="7"/>
      <c r="V96" s="1" t="n">
        <v>1538.2</v>
      </c>
    </row>
    <row r="97" s="1" customFormat="true" ht="15" hidden="false" customHeight="false" outlineLevel="0" collapsed="false">
      <c r="C97" s="8" t="n">
        <v>40271</v>
      </c>
      <c r="D97" s="1" t="n">
        <v>11</v>
      </c>
      <c r="E97" s="1" t="n">
        <v>8.6</v>
      </c>
      <c r="F97" s="1" t="n">
        <v>15.3</v>
      </c>
      <c r="J97" s="1" t="n">
        <v>6.3</v>
      </c>
      <c r="L97" s="1" t="n">
        <v>1.2</v>
      </c>
      <c r="N97" s="1" t="n">
        <v>5.1</v>
      </c>
      <c r="P97" s="6"/>
      <c r="T97" s="7"/>
      <c r="V97" s="1" t="n">
        <v>781.8</v>
      </c>
    </row>
    <row r="98" s="1" customFormat="true" ht="15" hidden="false" customHeight="false" outlineLevel="0" collapsed="false">
      <c r="C98" s="8" t="n">
        <v>40272</v>
      </c>
      <c r="D98" s="1" t="n">
        <v>8.9</v>
      </c>
      <c r="E98" s="1" t="n">
        <v>7.6</v>
      </c>
      <c r="F98" s="1" t="n">
        <v>12.9</v>
      </c>
      <c r="J98" s="1" t="n">
        <v>6.5</v>
      </c>
      <c r="L98" s="1" t="n">
        <v>2.3</v>
      </c>
      <c r="N98" s="1" t="n">
        <v>4.2</v>
      </c>
      <c r="P98" s="6"/>
      <c r="T98" s="7"/>
      <c r="V98" s="1" t="n">
        <v>1217.4</v>
      </c>
    </row>
    <row r="99" s="1" customFormat="true" ht="15" hidden="false" customHeight="false" outlineLevel="0" collapsed="false">
      <c r="C99" s="8" t="n">
        <v>40273</v>
      </c>
      <c r="D99" s="1" t="n">
        <v>9.5</v>
      </c>
      <c r="E99" s="1" t="n">
        <v>3</v>
      </c>
      <c r="F99" s="1" t="n">
        <v>14.5</v>
      </c>
      <c r="J99" s="1" t="n">
        <v>0</v>
      </c>
      <c r="L99" s="1" t="n">
        <v>2.6</v>
      </c>
      <c r="N99" s="1" t="n">
        <v>-2.6</v>
      </c>
      <c r="P99" s="6"/>
      <c r="T99" s="7"/>
      <c r="V99" s="1" t="n">
        <v>2141.3</v>
      </c>
    </row>
    <row r="100" s="1" customFormat="true" ht="15" hidden="false" customHeight="false" outlineLevel="0" collapsed="false">
      <c r="C100" s="8" t="n">
        <v>40274</v>
      </c>
      <c r="D100" s="1" t="n">
        <v>11.3</v>
      </c>
      <c r="E100" s="1" t="n">
        <v>5.5</v>
      </c>
      <c r="F100" s="1" t="n">
        <v>16.4</v>
      </c>
      <c r="J100" s="1" t="n">
        <v>0.2</v>
      </c>
      <c r="L100" s="1" t="n">
        <v>2.5</v>
      </c>
      <c r="N100" s="1" t="n">
        <v>-2.3</v>
      </c>
      <c r="P100" s="6"/>
      <c r="T100" s="7"/>
      <c r="V100" s="1" t="n">
        <v>1234.8</v>
      </c>
    </row>
    <row r="101" s="1" customFormat="true" ht="15" hidden="false" customHeight="false" outlineLevel="0" collapsed="false">
      <c r="C101" s="8" t="n">
        <v>40275</v>
      </c>
      <c r="D101" s="1" t="n">
        <v>10.8</v>
      </c>
      <c r="E101" s="1" t="n">
        <v>10.5</v>
      </c>
      <c r="F101" s="1" t="n">
        <v>11.6</v>
      </c>
      <c r="J101" s="1" t="n">
        <v>2.5</v>
      </c>
      <c r="L101" s="1" t="n">
        <v>0.9</v>
      </c>
      <c r="N101" s="1" t="n">
        <v>1.6</v>
      </c>
      <c r="P101" s="6"/>
      <c r="T101" s="7"/>
      <c r="V101" s="1" t="n">
        <v>420.1</v>
      </c>
    </row>
    <row r="102" s="1" customFormat="true" ht="15" hidden="false" customHeight="false" outlineLevel="0" collapsed="false">
      <c r="C102" s="8" t="n">
        <v>40276</v>
      </c>
      <c r="D102" s="1" t="n">
        <v>10.3</v>
      </c>
      <c r="E102" s="1" t="n">
        <v>8</v>
      </c>
      <c r="F102" s="1" t="n">
        <v>12.9</v>
      </c>
      <c r="J102" s="1" t="n">
        <v>0</v>
      </c>
      <c r="L102" s="1" t="n">
        <v>2.3</v>
      </c>
      <c r="N102" s="1" t="n">
        <v>-2.3</v>
      </c>
      <c r="P102" s="6"/>
      <c r="T102" s="7"/>
      <c r="V102" s="1" t="n">
        <v>1481.6</v>
      </c>
    </row>
    <row r="103" s="1" customFormat="true" ht="15" hidden="false" customHeight="false" outlineLevel="0" collapsed="false">
      <c r="C103" s="8" t="n">
        <v>40277</v>
      </c>
      <c r="D103" s="1" t="n">
        <v>11.9</v>
      </c>
      <c r="E103" s="1" t="n">
        <v>6.2</v>
      </c>
      <c r="F103" s="1" t="n">
        <v>16.9</v>
      </c>
      <c r="J103" s="1" t="n">
        <v>0</v>
      </c>
      <c r="L103" s="1" t="n">
        <v>2.9</v>
      </c>
      <c r="N103" s="1" t="n">
        <v>-2.9</v>
      </c>
      <c r="P103" s="6"/>
      <c r="T103" s="7"/>
      <c r="V103" s="1" t="n">
        <v>1894.1</v>
      </c>
    </row>
    <row r="104" s="1" customFormat="true" ht="15" hidden="false" customHeight="false" outlineLevel="0" collapsed="false">
      <c r="C104" s="8" t="n">
        <v>40278</v>
      </c>
      <c r="D104" s="1" t="n">
        <v>13.3</v>
      </c>
      <c r="E104" s="1" t="n">
        <v>5.2</v>
      </c>
      <c r="F104" s="1" t="n">
        <v>21.5</v>
      </c>
      <c r="J104" s="1" t="n">
        <v>0</v>
      </c>
      <c r="L104" s="1" t="n">
        <v>3.5</v>
      </c>
      <c r="N104" s="1" t="n">
        <v>-3.5</v>
      </c>
      <c r="P104" s="6"/>
      <c r="T104" s="7"/>
      <c r="V104" s="1" t="n">
        <v>2188.9</v>
      </c>
    </row>
    <row r="105" s="1" customFormat="true" ht="15" hidden="false" customHeight="false" outlineLevel="0" collapsed="false">
      <c r="C105" s="8" t="n">
        <v>40279</v>
      </c>
      <c r="D105" s="1" t="n">
        <v>13.2</v>
      </c>
      <c r="E105" s="1" t="n">
        <v>6.6</v>
      </c>
      <c r="F105" s="1" t="n">
        <v>19.7</v>
      </c>
      <c r="J105" s="1" t="n">
        <v>0</v>
      </c>
      <c r="L105" s="1" t="n">
        <v>3.5</v>
      </c>
      <c r="N105" s="1" t="n">
        <v>-3.5</v>
      </c>
      <c r="P105" s="6"/>
      <c r="T105" s="7"/>
      <c r="V105" s="1" t="n">
        <v>2068.1</v>
      </c>
    </row>
    <row r="106" s="1" customFormat="true" ht="15" hidden="false" customHeight="false" outlineLevel="0" collapsed="false">
      <c r="C106" s="8" t="n">
        <v>40280</v>
      </c>
      <c r="D106" s="1" t="n">
        <v>10.1</v>
      </c>
      <c r="E106" s="1" t="n">
        <v>4.7</v>
      </c>
      <c r="F106" s="1" t="n">
        <v>14.9</v>
      </c>
      <c r="J106" s="1" t="n">
        <v>0</v>
      </c>
      <c r="L106" s="1" t="n">
        <v>2.8</v>
      </c>
      <c r="N106" s="1" t="n">
        <v>-2.8</v>
      </c>
      <c r="P106" s="6"/>
      <c r="T106" s="7"/>
      <c r="V106" s="1" t="n">
        <v>1265.8</v>
      </c>
    </row>
    <row r="107" s="1" customFormat="true" ht="15" hidden="false" customHeight="false" outlineLevel="0" collapsed="false">
      <c r="C107" s="8" t="n">
        <v>40281</v>
      </c>
      <c r="D107" s="1" t="n">
        <v>8.5</v>
      </c>
      <c r="E107" s="1" t="n">
        <v>2.2</v>
      </c>
      <c r="F107" s="1" t="n">
        <v>15.4</v>
      </c>
      <c r="J107" s="1" t="n">
        <v>0</v>
      </c>
      <c r="L107" s="1" t="n">
        <v>3.3</v>
      </c>
      <c r="N107" s="1" t="n">
        <v>-3.3</v>
      </c>
      <c r="P107" s="6"/>
      <c r="T107" s="7"/>
      <c r="V107" s="1" t="n">
        <v>2131.7</v>
      </c>
    </row>
    <row r="108" s="1" customFormat="true" ht="15" hidden="false" customHeight="false" outlineLevel="0" collapsed="false">
      <c r="C108" s="8" t="n">
        <v>40282</v>
      </c>
      <c r="D108" s="1" t="n">
        <v>9.5</v>
      </c>
      <c r="E108" s="1" t="n">
        <v>3</v>
      </c>
      <c r="F108" s="1" t="n">
        <v>15.5</v>
      </c>
      <c r="J108" s="1" t="n">
        <v>0</v>
      </c>
      <c r="L108" s="1" t="n">
        <v>2.8</v>
      </c>
      <c r="N108" s="1" t="n">
        <v>-2.8</v>
      </c>
      <c r="P108" s="6"/>
      <c r="T108" s="7"/>
      <c r="V108" s="1" t="n">
        <v>1889.9</v>
      </c>
    </row>
    <row r="109" s="1" customFormat="true" ht="15" hidden="false" customHeight="false" outlineLevel="0" collapsed="false">
      <c r="C109" s="8" t="n">
        <v>40283</v>
      </c>
      <c r="D109" s="1" t="n">
        <v>10.9</v>
      </c>
      <c r="E109" s="1" t="n">
        <v>2.2</v>
      </c>
      <c r="F109" s="1" t="n">
        <v>19.6</v>
      </c>
      <c r="J109" s="1" t="n">
        <v>0</v>
      </c>
      <c r="L109" s="1" t="n">
        <v>3.4</v>
      </c>
      <c r="N109" s="1" t="n">
        <v>-3.4</v>
      </c>
      <c r="P109" s="6"/>
      <c r="T109" s="7"/>
      <c r="V109" s="1" t="n">
        <v>2230.1</v>
      </c>
    </row>
    <row r="110" s="1" customFormat="true" ht="15" hidden="false" customHeight="false" outlineLevel="0" collapsed="false">
      <c r="C110" s="8" t="n">
        <v>40284</v>
      </c>
      <c r="D110" s="1" t="n">
        <v>11.3</v>
      </c>
      <c r="E110" s="1" t="n">
        <v>4.5</v>
      </c>
      <c r="F110" s="1" t="n">
        <v>17.1</v>
      </c>
      <c r="J110" s="1" t="n">
        <v>0</v>
      </c>
      <c r="L110" s="1" t="n">
        <v>3.4</v>
      </c>
      <c r="N110" s="1" t="n">
        <v>-3.4</v>
      </c>
      <c r="P110" s="6"/>
      <c r="T110" s="7"/>
      <c r="V110" s="1" t="n">
        <v>2357.7</v>
      </c>
    </row>
    <row r="111" s="1" customFormat="true" ht="15" hidden="false" customHeight="false" outlineLevel="0" collapsed="false">
      <c r="C111" s="8" t="n">
        <v>40285</v>
      </c>
      <c r="D111" s="1" t="n">
        <v>12.4</v>
      </c>
      <c r="E111" s="1" t="n">
        <v>3.6</v>
      </c>
      <c r="F111" s="1" t="n">
        <v>21.5</v>
      </c>
      <c r="J111" s="1" t="n">
        <v>0</v>
      </c>
      <c r="L111" s="1" t="n">
        <v>4.2</v>
      </c>
      <c r="N111" s="1" t="n">
        <v>-4.2</v>
      </c>
      <c r="P111" s="6"/>
      <c r="T111" s="7"/>
      <c r="V111" s="1" t="n">
        <v>2328.4</v>
      </c>
    </row>
    <row r="112" s="1" customFormat="true" ht="15" hidden="false" customHeight="false" outlineLevel="0" collapsed="false">
      <c r="C112" s="8" t="n">
        <v>40286</v>
      </c>
      <c r="D112" s="1" t="n">
        <v>12.8</v>
      </c>
      <c r="E112" s="1" t="n">
        <v>5.9</v>
      </c>
      <c r="F112" s="1" t="n">
        <v>20.6</v>
      </c>
      <c r="J112" s="1" t="n">
        <v>0</v>
      </c>
      <c r="L112" s="1" t="n">
        <v>3.8</v>
      </c>
      <c r="N112" s="1" t="n">
        <v>-3.8</v>
      </c>
      <c r="P112" s="6"/>
      <c r="T112" s="7"/>
      <c r="V112" s="1" t="n">
        <v>2369.5</v>
      </c>
    </row>
    <row r="113" s="1" customFormat="true" ht="15" hidden="false" customHeight="false" outlineLevel="0" collapsed="false">
      <c r="C113" s="8" t="n">
        <v>40287</v>
      </c>
      <c r="D113" s="1" t="n">
        <v>13.7</v>
      </c>
      <c r="E113" s="1" t="n">
        <v>7.2</v>
      </c>
      <c r="F113" s="1" t="n">
        <v>22.2</v>
      </c>
      <c r="J113" s="1" t="n">
        <v>2.1</v>
      </c>
      <c r="L113" s="1" t="n">
        <v>3.2</v>
      </c>
      <c r="N113" s="1" t="n">
        <v>-1.1</v>
      </c>
      <c r="P113" s="6"/>
      <c r="T113" s="7"/>
      <c r="V113" s="1" t="n">
        <v>1817.6</v>
      </c>
    </row>
    <row r="114" s="1" customFormat="true" ht="15" hidden="false" customHeight="false" outlineLevel="0" collapsed="false">
      <c r="C114" s="8" t="n">
        <v>40288</v>
      </c>
      <c r="D114" s="1" t="n">
        <v>14.3</v>
      </c>
      <c r="E114" s="1" t="n">
        <v>8.7</v>
      </c>
      <c r="F114" s="1" t="n">
        <v>19.6</v>
      </c>
      <c r="J114" s="1" t="n">
        <v>0</v>
      </c>
      <c r="L114" s="1" t="n">
        <v>3.7</v>
      </c>
      <c r="N114" s="1" t="n">
        <v>-3.7</v>
      </c>
      <c r="P114" s="6"/>
      <c r="T114" s="7"/>
      <c r="V114" s="1" t="n">
        <v>2390.9</v>
      </c>
    </row>
    <row r="115" s="1" customFormat="true" ht="15" hidden="false" customHeight="false" outlineLevel="0" collapsed="false">
      <c r="C115" s="8" t="n">
        <v>40289</v>
      </c>
      <c r="D115" s="1" t="n">
        <v>16.8</v>
      </c>
      <c r="E115" s="1" t="n">
        <v>8.3</v>
      </c>
      <c r="F115" s="1" t="n">
        <v>24.4</v>
      </c>
      <c r="J115" s="1" t="n">
        <v>0</v>
      </c>
      <c r="L115" s="1" t="n">
        <v>3.7</v>
      </c>
      <c r="N115" s="1" t="n">
        <v>-3.7</v>
      </c>
      <c r="P115" s="6"/>
      <c r="T115" s="7"/>
      <c r="V115" s="1" t="n">
        <v>2140.8</v>
      </c>
    </row>
    <row r="116" s="1" customFormat="true" ht="15" hidden="false" customHeight="false" outlineLevel="0" collapsed="false">
      <c r="C116" s="8" t="n">
        <v>40290</v>
      </c>
      <c r="D116" s="1" t="n">
        <v>16.4</v>
      </c>
      <c r="E116" s="1" t="n">
        <v>13.1</v>
      </c>
      <c r="F116" s="1" t="n">
        <v>21.1</v>
      </c>
      <c r="J116" s="1" t="n">
        <v>0</v>
      </c>
      <c r="L116" s="1" t="n">
        <v>2.3</v>
      </c>
      <c r="N116" s="1" t="n">
        <v>-2.3</v>
      </c>
      <c r="P116" s="6"/>
      <c r="T116" s="7"/>
      <c r="V116" s="1" t="n">
        <v>1157</v>
      </c>
    </row>
    <row r="117" s="1" customFormat="true" ht="15" hidden="false" customHeight="false" outlineLevel="0" collapsed="false">
      <c r="C117" s="8" t="n">
        <v>40291</v>
      </c>
      <c r="D117" s="1" t="n">
        <v>14.1</v>
      </c>
      <c r="E117" s="1" t="n">
        <v>13.4</v>
      </c>
      <c r="F117" s="1" t="n">
        <v>15.7</v>
      </c>
      <c r="J117" s="1" t="n">
        <v>1.1</v>
      </c>
      <c r="L117" s="1" t="n">
        <v>1</v>
      </c>
      <c r="N117" s="1" t="n">
        <v>0.1</v>
      </c>
      <c r="P117" s="6"/>
      <c r="T117" s="7"/>
      <c r="V117" s="1" t="n">
        <v>272.7</v>
      </c>
    </row>
    <row r="118" s="1" customFormat="true" ht="15" hidden="false" customHeight="false" outlineLevel="0" collapsed="false">
      <c r="C118" s="8" t="n">
        <v>40292</v>
      </c>
      <c r="D118" s="1" t="n">
        <v>15.5</v>
      </c>
      <c r="E118" s="1" t="n">
        <v>12.1</v>
      </c>
      <c r="F118" s="1" t="n">
        <v>19.8</v>
      </c>
      <c r="J118" s="1" t="n">
        <v>0</v>
      </c>
      <c r="L118" s="1" t="n">
        <v>1.9</v>
      </c>
      <c r="N118" s="1" t="n">
        <v>-1.9</v>
      </c>
      <c r="P118" s="6"/>
      <c r="T118" s="7"/>
      <c r="V118" s="1" t="n">
        <v>844.6</v>
      </c>
    </row>
    <row r="119" s="1" customFormat="true" ht="15" hidden="false" customHeight="false" outlineLevel="0" collapsed="false">
      <c r="C119" s="8" t="n">
        <v>40293</v>
      </c>
      <c r="D119" s="1" t="n">
        <v>16.7</v>
      </c>
      <c r="E119" s="1" t="n">
        <v>9.5</v>
      </c>
      <c r="F119" s="1" t="n">
        <v>23</v>
      </c>
      <c r="J119" s="1" t="n">
        <v>0</v>
      </c>
      <c r="L119" s="1" t="n">
        <v>3.7</v>
      </c>
      <c r="N119" s="1" t="n">
        <v>-3.7</v>
      </c>
      <c r="P119" s="6"/>
      <c r="T119" s="7"/>
      <c r="V119" s="1" t="n">
        <v>2020.2</v>
      </c>
    </row>
    <row r="120" s="1" customFormat="true" ht="15" hidden="false" customHeight="false" outlineLevel="0" collapsed="false">
      <c r="C120" s="8" t="n">
        <v>40294</v>
      </c>
      <c r="D120" s="1" t="n">
        <v>17.3</v>
      </c>
      <c r="E120" s="1" t="n">
        <v>13.1</v>
      </c>
      <c r="F120" s="1" t="n">
        <v>22.8</v>
      </c>
      <c r="J120" s="1" t="n">
        <v>0</v>
      </c>
      <c r="L120" s="1" t="n">
        <v>4</v>
      </c>
      <c r="N120" s="1" t="n">
        <v>-4</v>
      </c>
      <c r="P120" s="6"/>
      <c r="T120" s="7"/>
      <c r="V120" s="1" t="n">
        <v>1934</v>
      </c>
    </row>
    <row r="121" s="1" customFormat="true" ht="15" hidden="false" customHeight="false" outlineLevel="0" collapsed="false">
      <c r="C121" s="8" t="n">
        <v>40295</v>
      </c>
      <c r="D121" s="1" t="n">
        <v>16.7</v>
      </c>
      <c r="E121" s="1" t="n">
        <v>8.4</v>
      </c>
      <c r="F121" s="1" t="n">
        <v>24.6</v>
      </c>
      <c r="J121" s="1" t="n">
        <v>0</v>
      </c>
      <c r="L121" s="1" t="n">
        <v>4.8</v>
      </c>
      <c r="N121" s="1" t="n">
        <v>-4.8</v>
      </c>
      <c r="P121" s="6"/>
      <c r="T121" s="7"/>
      <c r="V121" s="1" t="n">
        <v>2526.3</v>
      </c>
    </row>
    <row r="122" s="1" customFormat="true" ht="15" hidden="false" customHeight="false" outlineLevel="0" collapsed="false">
      <c r="C122" s="8" t="n">
        <v>40296</v>
      </c>
      <c r="D122" s="1" t="n">
        <v>17.9</v>
      </c>
      <c r="E122" s="1" t="n">
        <v>7.7</v>
      </c>
      <c r="F122" s="1" t="n">
        <v>25.9</v>
      </c>
      <c r="J122" s="1" t="n">
        <v>0</v>
      </c>
      <c r="L122" s="1" t="n">
        <v>5.1</v>
      </c>
      <c r="N122" s="1" t="n">
        <v>-5.1</v>
      </c>
      <c r="P122" s="6"/>
      <c r="T122" s="7"/>
      <c r="V122" s="1" t="n">
        <v>2469.9</v>
      </c>
    </row>
    <row r="123" s="1" customFormat="true" ht="15" hidden="false" customHeight="false" outlineLevel="0" collapsed="false">
      <c r="C123" s="8" t="n">
        <v>40297</v>
      </c>
      <c r="D123" s="1" t="n">
        <v>18.9</v>
      </c>
      <c r="E123" s="1" t="n">
        <v>14</v>
      </c>
      <c r="F123" s="1" t="n">
        <v>24.4</v>
      </c>
      <c r="J123" s="1" t="n">
        <v>2.9</v>
      </c>
      <c r="L123" s="1" t="n">
        <v>3.8</v>
      </c>
      <c r="N123" s="1" t="n">
        <v>-0.9</v>
      </c>
      <c r="P123" s="6"/>
      <c r="T123" s="7"/>
      <c r="V123" s="1" t="n">
        <v>1566.6</v>
      </c>
    </row>
    <row r="124" s="1" customFormat="true" ht="15" hidden="false" customHeight="false" outlineLevel="0" collapsed="false">
      <c r="C124" s="8" t="n">
        <v>40298</v>
      </c>
      <c r="D124" s="1" t="n">
        <v>16.1</v>
      </c>
      <c r="E124" s="1" t="n">
        <v>12.7</v>
      </c>
      <c r="F124" s="1" t="n">
        <v>20.1</v>
      </c>
      <c r="J124" s="1" t="n">
        <v>18</v>
      </c>
      <c r="L124" s="1" t="n">
        <v>1.5</v>
      </c>
      <c r="N124" s="1" t="n">
        <v>16.5</v>
      </c>
      <c r="P124" s="6"/>
      <c r="T124" s="7"/>
      <c r="V124" s="1" t="n">
        <v>530.5</v>
      </c>
    </row>
    <row r="125" s="1" customFormat="true" ht="15" hidden="false" customHeight="false" outlineLevel="0" collapsed="false">
      <c r="C125" s="8" t="n">
        <v>40299</v>
      </c>
      <c r="D125" s="1" t="n">
        <v>14.3</v>
      </c>
      <c r="E125" s="1" t="n">
        <v>14.1</v>
      </c>
      <c r="F125" s="1" t="n">
        <v>14.9</v>
      </c>
      <c r="J125" s="1" t="n">
        <v>11.1</v>
      </c>
      <c r="L125" s="1" t="n">
        <v>1</v>
      </c>
      <c r="N125" s="1" t="n">
        <v>10.1</v>
      </c>
      <c r="P125" s="6"/>
      <c r="T125" s="7"/>
      <c r="V125" s="1" t="n">
        <v>442.2</v>
      </c>
    </row>
    <row r="126" s="1" customFormat="true" ht="15" hidden="false" customHeight="false" outlineLevel="0" collapsed="false">
      <c r="C126" s="8" t="n">
        <v>40300</v>
      </c>
      <c r="D126" s="1" t="n">
        <v>12.4</v>
      </c>
      <c r="E126" s="1" t="n">
        <v>10.4</v>
      </c>
      <c r="F126" s="1" t="n">
        <v>14.4</v>
      </c>
      <c r="J126" s="1" t="n">
        <v>1.2</v>
      </c>
      <c r="L126" s="1" t="n">
        <v>2</v>
      </c>
      <c r="N126" s="1" t="n">
        <v>-0.8</v>
      </c>
      <c r="P126" s="6"/>
      <c r="T126" s="7"/>
      <c r="V126" s="1" t="n">
        <v>1380.4</v>
      </c>
    </row>
    <row r="127" s="1" customFormat="true" ht="15" hidden="false" customHeight="false" outlineLevel="0" collapsed="false">
      <c r="C127" s="8" t="n">
        <v>40301</v>
      </c>
      <c r="D127" s="1" t="n">
        <v>11</v>
      </c>
      <c r="E127" s="1" t="n">
        <v>9.2</v>
      </c>
      <c r="F127" s="1" t="n">
        <v>14.9</v>
      </c>
      <c r="J127" s="1" t="n">
        <v>4.9</v>
      </c>
      <c r="L127" s="1" t="n">
        <v>1.4</v>
      </c>
      <c r="N127" s="1" t="n">
        <v>3.5</v>
      </c>
      <c r="P127" s="6"/>
      <c r="T127" s="7"/>
      <c r="V127" s="1" t="n">
        <v>536.1</v>
      </c>
    </row>
    <row r="128" s="1" customFormat="true" ht="15" hidden="false" customHeight="false" outlineLevel="0" collapsed="false">
      <c r="C128" s="8" t="n">
        <v>40302</v>
      </c>
      <c r="D128" s="1" t="n">
        <v>6.8</v>
      </c>
      <c r="E128" s="1" t="n">
        <v>6</v>
      </c>
      <c r="F128" s="1" t="n">
        <v>7.5</v>
      </c>
      <c r="J128" s="1" t="n">
        <v>30.7</v>
      </c>
      <c r="L128" s="1" t="n">
        <v>1</v>
      </c>
      <c r="N128" s="1" t="n">
        <v>29.7</v>
      </c>
      <c r="P128" s="6"/>
      <c r="T128" s="7"/>
      <c r="V128" s="1" t="n">
        <v>440.8</v>
      </c>
    </row>
    <row r="129" s="1" customFormat="true" ht="15" hidden="false" customHeight="false" outlineLevel="0" collapsed="false">
      <c r="C129" s="8" t="n">
        <v>40303</v>
      </c>
      <c r="D129" s="1" t="n">
        <v>5.8</v>
      </c>
      <c r="E129" s="1" t="n">
        <v>3.7</v>
      </c>
      <c r="F129" s="1" t="n">
        <v>6.9</v>
      </c>
      <c r="J129" s="1" t="n">
        <v>10.3</v>
      </c>
      <c r="L129" s="1" t="n">
        <v>0.5</v>
      </c>
      <c r="N129" s="1" t="n">
        <v>9.8</v>
      </c>
      <c r="P129" s="6"/>
      <c r="T129" s="7"/>
      <c r="V129" s="1" t="n">
        <v>371.1</v>
      </c>
    </row>
    <row r="130" s="1" customFormat="true" ht="15" hidden="false" customHeight="false" outlineLevel="0" collapsed="false">
      <c r="C130" s="8" t="n">
        <v>40304</v>
      </c>
      <c r="D130" s="1" t="n">
        <v>8.6</v>
      </c>
      <c r="E130" s="1" t="n">
        <v>3.9</v>
      </c>
      <c r="F130" s="1" t="n">
        <v>11</v>
      </c>
      <c r="J130" s="1" t="n">
        <v>0</v>
      </c>
      <c r="L130" s="1" t="n">
        <v>1</v>
      </c>
      <c r="N130" s="1" t="n">
        <v>-1</v>
      </c>
      <c r="P130" s="6"/>
      <c r="T130" s="7"/>
      <c r="V130" s="1" t="n">
        <v>789.4</v>
      </c>
    </row>
    <row r="131" s="1" customFormat="true" ht="15" hidden="false" customHeight="false" outlineLevel="0" collapsed="false">
      <c r="C131" s="8" t="n">
        <v>40305</v>
      </c>
      <c r="D131" s="1" t="n">
        <v>11.2</v>
      </c>
      <c r="E131" s="1" t="n">
        <v>4.8</v>
      </c>
      <c r="F131" s="1" t="n">
        <v>16</v>
      </c>
      <c r="J131" s="1" t="n">
        <v>0.3</v>
      </c>
      <c r="L131" s="1" t="n">
        <v>2.8</v>
      </c>
      <c r="N131" s="1" t="n">
        <v>-2.5</v>
      </c>
      <c r="P131" s="6"/>
      <c r="T131" s="7"/>
      <c r="V131" s="1" t="n">
        <v>2039.7</v>
      </c>
    </row>
    <row r="132" s="1" customFormat="true" ht="15" hidden="false" customHeight="false" outlineLevel="0" collapsed="false">
      <c r="C132" s="8" t="n">
        <v>40306</v>
      </c>
      <c r="D132" s="1" t="n">
        <v>14.1</v>
      </c>
      <c r="E132" s="1" t="n">
        <v>9.7</v>
      </c>
      <c r="F132" s="1" t="n">
        <v>20</v>
      </c>
      <c r="J132" s="1" t="n">
        <v>0.4</v>
      </c>
      <c r="L132" s="1" t="n">
        <v>3.2</v>
      </c>
      <c r="N132" s="1" t="n">
        <v>-2.8</v>
      </c>
      <c r="P132" s="6"/>
      <c r="T132" s="7"/>
      <c r="V132" s="1" t="n">
        <v>1723.5</v>
      </c>
    </row>
    <row r="133" s="1" customFormat="true" ht="15" hidden="false" customHeight="false" outlineLevel="0" collapsed="false">
      <c r="C133" s="8" t="n">
        <v>40307</v>
      </c>
      <c r="D133" s="1" t="n">
        <v>14.7</v>
      </c>
      <c r="E133" s="1" t="n">
        <v>12.3</v>
      </c>
      <c r="F133" s="1" t="n">
        <v>18.6</v>
      </c>
      <c r="J133" s="1" t="n">
        <v>2.9</v>
      </c>
      <c r="L133" s="1" t="n">
        <v>2.1</v>
      </c>
      <c r="N133" s="1" t="n">
        <v>0.8</v>
      </c>
      <c r="P133" s="6"/>
      <c r="T133" s="7"/>
      <c r="V133" s="1" t="n">
        <v>1102.8</v>
      </c>
    </row>
    <row r="134" s="1" customFormat="true" ht="15" hidden="false" customHeight="false" outlineLevel="0" collapsed="false">
      <c r="C134" s="8" t="n">
        <v>40308</v>
      </c>
      <c r="D134" s="1" t="n">
        <v>16</v>
      </c>
      <c r="E134" s="1" t="n">
        <v>11</v>
      </c>
      <c r="F134" s="1" t="n">
        <v>22.5</v>
      </c>
      <c r="J134" s="1" t="n">
        <v>9.3</v>
      </c>
      <c r="L134" s="1" t="n">
        <v>3.7</v>
      </c>
      <c r="N134" s="1" t="n">
        <v>5.6</v>
      </c>
      <c r="P134" s="6"/>
      <c r="T134" s="7"/>
      <c r="V134" s="1" t="n">
        <v>1874.8</v>
      </c>
    </row>
    <row r="135" s="1" customFormat="true" ht="15" hidden="false" customHeight="false" outlineLevel="0" collapsed="false">
      <c r="C135" s="8" t="n">
        <v>40309</v>
      </c>
      <c r="D135" s="1" t="n">
        <v>15</v>
      </c>
      <c r="E135" s="1" t="n">
        <v>11.1</v>
      </c>
      <c r="F135" s="1" t="n">
        <v>19.6</v>
      </c>
      <c r="J135" s="1" t="n">
        <v>0.4</v>
      </c>
      <c r="L135" s="1" t="n">
        <v>3.9</v>
      </c>
      <c r="N135" s="1" t="n">
        <v>-3.5</v>
      </c>
      <c r="P135" s="6"/>
      <c r="T135" s="7"/>
      <c r="V135" s="1" t="n">
        <v>2173.4</v>
      </c>
    </row>
    <row r="136" s="1" customFormat="true" ht="15" hidden="false" customHeight="false" outlineLevel="0" collapsed="false">
      <c r="C136" s="8" t="n">
        <v>40310</v>
      </c>
      <c r="D136" s="1" t="n">
        <v>13</v>
      </c>
      <c r="E136" s="1" t="n">
        <v>10.5</v>
      </c>
      <c r="F136" s="1" t="n">
        <v>17.6</v>
      </c>
      <c r="J136" s="1" t="n">
        <v>9.6</v>
      </c>
      <c r="L136" s="1" t="n">
        <v>2.3</v>
      </c>
      <c r="N136" s="1" t="n">
        <v>7.3</v>
      </c>
      <c r="P136" s="6"/>
      <c r="T136" s="7"/>
      <c r="V136" s="1" t="n">
        <v>1091.7</v>
      </c>
    </row>
    <row r="137" s="1" customFormat="true" ht="15" hidden="false" customHeight="false" outlineLevel="0" collapsed="false">
      <c r="C137" s="8" t="n">
        <v>40311</v>
      </c>
      <c r="D137" s="1" t="n">
        <v>10.4</v>
      </c>
      <c r="E137" s="1" t="n">
        <v>9.1</v>
      </c>
      <c r="F137" s="1" t="n">
        <v>12.8</v>
      </c>
      <c r="J137" s="1" t="n">
        <v>4.1</v>
      </c>
      <c r="L137" s="1" t="n">
        <v>1.3</v>
      </c>
      <c r="N137" s="1" t="n">
        <v>2.8</v>
      </c>
      <c r="P137" s="6"/>
      <c r="T137" s="7"/>
      <c r="V137" s="1" t="n">
        <v>564.7</v>
      </c>
    </row>
    <row r="138" s="1" customFormat="true" ht="15" hidden="false" customHeight="false" outlineLevel="0" collapsed="false">
      <c r="C138" s="8" t="n">
        <v>40312</v>
      </c>
      <c r="D138" s="1" t="n">
        <v>11.1</v>
      </c>
      <c r="E138" s="1" t="n">
        <v>7.2</v>
      </c>
      <c r="F138" s="1" t="n">
        <v>14.4</v>
      </c>
      <c r="J138" s="1" t="n">
        <v>0</v>
      </c>
      <c r="L138" s="1" t="n">
        <v>2.4</v>
      </c>
      <c r="N138" s="1" t="n">
        <v>-2.4</v>
      </c>
      <c r="P138" s="6"/>
      <c r="T138" s="7"/>
      <c r="V138" s="1" t="n">
        <v>1462.2</v>
      </c>
    </row>
    <row r="139" s="1" customFormat="true" ht="15" hidden="false" customHeight="false" outlineLevel="0" collapsed="false">
      <c r="C139" s="8" t="n">
        <v>40313</v>
      </c>
      <c r="D139" s="1" t="n">
        <v>11.6</v>
      </c>
      <c r="E139" s="1" t="n">
        <v>8.8</v>
      </c>
      <c r="F139" s="1" t="n">
        <v>14</v>
      </c>
      <c r="J139" s="1" t="n">
        <v>0</v>
      </c>
      <c r="L139" s="1" t="n">
        <v>3</v>
      </c>
      <c r="N139" s="1" t="n">
        <v>-3</v>
      </c>
      <c r="P139" s="6"/>
      <c r="T139" s="7"/>
      <c r="V139" s="1" t="n">
        <v>1732.8</v>
      </c>
    </row>
    <row r="140" s="1" customFormat="true" ht="15" hidden="false" customHeight="false" outlineLevel="0" collapsed="false">
      <c r="C140" s="8" t="n">
        <v>40314</v>
      </c>
      <c r="D140" s="1" t="n">
        <v>12.5</v>
      </c>
      <c r="E140" s="1" t="n">
        <v>9.5</v>
      </c>
      <c r="F140" s="1" t="n">
        <v>16.3</v>
      </c>
      <c r="J140" s="1" t="n">
        <v>0.3</v>
      </c>
      <c r="L140" s="1" t="n">
        <v>3.6</v>
      </c>
      <c r="N140" s="1" t="n">
        <v>-3.3</v>
      </c>
      <c r="P140" s="6"/>
      <c r="T140" s="7"/>
      <c r="V140" s="1" t="n">
        <v>2035.6</v>
      </c>
    </row>
    <row r="141" s="1" customFormat="true" ht="15" hidden="false" customHeight="false" outlineLevel="0" collapsed="false">
      <c r="C141" s="8" t="n">
        <v>40315</v>
      </c>
      <c r="D141" s="1" t="n">
        <v>13.8</v>
      </c>
      <c r="E141" s="1" t="n">
        <v>10.1</v>
      </c>
      <c r="F141" s="1" t="n">
        <v>17.6</v>
      </c>
      <c r="J141" s="1" t="n">
        <v>0.1</v>
      </c>
      <c r="L141" s="1" t="n">
        <v>3.3</v>
      </c>
      <c r="N141" s="1" t="n">
        <v>-3.2</v>
      </c>
      <c r="P141" s="6"/>
      <c r="T141" s="7"/>
      <c r="V141" s="1" t="n">
        <v>1884.9</v>
      </c>
    </row>
    <row r="142" s="1" customFormat="true" ht="15" hidden="false" customHeight="false" outlineLevel="0" collapsed="false">
      <c r="C142" s="8" t="n">
        <v>40316</v>
      </c>
      <c r="D142" s="1" t="n">
        <v>15.2</v>
      </c>
      <c r="E142" s="1" t="n">
        <v>10.4</v>
      </c>
      <c r="F142" s="1" t="n">
        <v>19.5</v>
      </c>
      <c r="J142" s="1" t="n">
        <v>0</v>
      </c>
      <c r="L142" s="1" t="n">
        <v>4.1</v>
      </c>
      <c r="N142" s="1" t="n">
        <v>-4.1</v>
      </c>
      <c r="P142" s="6"/>
      <c r="T142" s="7"/>
      <c r="V142" s="1" t="n">
        <v>2323.2</v>
      </c>
    </row>
    <row r="143" s="1" customFormat="true" ht="15" hidden="false" customHeight="false" outlineLevel="0" collapsed="false">
      <c r="C143" s="8" t="n">
        <v>40317</v>
      </c>
      <c r="D143" s="1" t="n">
        <v>15.6</v>
      </c>
      <c r="E143" s="1" t="n">
        <v>11.8</v>
      </c>
      <c r="F143" s="1" t="n">
        <v>19.7</v>
      </c>
      <c r="J143" s="1" t="n">
        <v>0</v>
      </c>
      <c r="L143" s="1" t="n">
        <v>4.5</v>
      </c>
      <c r="N143" s="1" t="n">
        <v>-4.5</v>
      </c>
      <c r="P143" s="6"/>
      <c r="T143" s="7"/>
      <c r="V143" s="1" t="n">
        <v>2120.2</v>
      </c>
    </row>
    <row r="144" s="1" customFormat="true" ht="15" hidden="false" customHeight="false" outlineLevel="0" collapsed="false">
      <c r="C144" s="8" t="n">
        <v>40318</v>
      </c>
      <c r="D144" s="1" t="n">
        <v>16.8</v>
      </c>
      <c r="E144" s="1" t="n">
        <v>11.3</v>
      </c>
      <c r="F144" s="1" t="n">
        <v>21.9</v>
      </c>
      <c r="J144" s="1" t="n">
        <v>0</v>
      </c>
      <c r="L144" s="1" t="n">
        <v>5.8</v>
      </c>
      <c r="N144" s="1" t="n">
        <v>-5.8</v>
      </c>
      <c r="P144" s="6"/>
      <c r="T144" s="7"/>
      <c r="V144" s="1" t="n">
        <v>3095.9</v>
      </c>
    </row>
    <row r="145" s="1" customFormat="true" ht="15" hidden="false" customHeight="false" outlineLevel="0" collapsed="false">
      <c r="C145" s="8" t="n">
        <v>40319</v>
      </c>
      <c r="D145" s="1" t="n">
        <v>18.9</v>
      </c>
      <c r="E145" s="1" t="n">
        <v>13</v>
      </c>
      <c r="F145" s="1" t="n">
        <v>24.9</v>
      </c>
      <c r="J145" s="1" t="n">
        <v>0</v>
      </c>
      <c r="L145" s="1" t="n">
        <v>5.3</v>
      </c>
      <c r="N145" s="1" t="n">
        <v>-5.3</v>
      </c>
      <c r="P145" s="6"/>
      <c r="T145" s="7"/>
      <c r="V145" s="1" t="n">
        <v>2736.3</v>
      </c>
    </row>
    <row r="146" s="1" customFormat="true" ht="15" hidden="false" customHeight="false" outlineLevel="0" collapsed="false">
      <c r="C146" s="8" t="n">
        <v>40320</v>
      </c>
      <c r="D146" s="1" t="n">
        <v>20</v>
      </c>
      <c r="E146" s="1" t="n">
        <v>14.2</v>
      </c>
      <c r="F146" s="1" t="n">
        <v>25.1</v>
      </c>
      <c r="J146" s="1" t="n">
        <v>0</v>
      </c>
      <c r="L146" s="1" t="n">
        <v>5.4</v>
      </c>
      <c r="N146" s="1" t="n">
        <v>-5.4</v>
      </c>
      <c r="P146" s="6"/>
      <c r="T146" s="7"/>
      <c r="V146" s="1" t="n">
        <v>2790.3</v>
      </c>
    </row>
    <row r="147" s="1" customFormat="true" ht="15" hidden="false" customHeight="false" outlineLevel="0" collapsed="false">
      <c r="C147" s="8" t="n">
        <v>40321</v>
      </c>
      <c r="D147" s="1" t="n">
        <v>20.8</v>
      </c>
      <c r="E147" s="1" t="n">
        <v>15.8</v>
      </c>
      <c r="F147" s="1" t="n">
        <v>25.9</v>
      </c>
      <c r="J147" s="1" t="n">
        <v>0</v>
      </c>
      <c r="L147" s="1" t="n">
        <v>6.8</v>
      </c>
      <c r="N147" s="1" t="n">
        <v>-6.8</v>
      </c>
      <c r="P147" s="6"/>
      <c r="T147" s="7"/>
      <c r="V147" s="1" t="n">
        <v>3162.1</v>
      </c>
    </row>
    <row r="148" s="1" customFormat="true" ht="15" hidden="false" customHeight="false" outlineLevel="0" collapsed="false">
      <c r="C148" s="8" t="n">
        <v>40322</v>
      </c>
      <c r="D148" s="1" t="n">
        <v>20.7</v>
      </c>
      <c r="E148" s="1" t="n">
        <v>14.1</v>
      </c>
      <c r="F148" s="1" t="n">
        <v>27.5</v>
      </c>
      <c r="J148" s="1" t="n">
        <v>0</v>
      </c>
      <c r="L148" s="1" t="n">
        <v>7.1</v>
      </c>
      <c r="N148" s="1" t="n">
        <v>-7.1</v>
      </c>
      <c r="P148" s="6"/>
      <c r="T148" s="7"/>
      <c r="V148" s="1" t="n">
        <v>3111.4</v>
      </c>
    </row>
    <row r="149" s="1" customFormat="true" ht="15" hidden="false" customHeight="false" outlineLevel="0" collapsed="false">
      <c r="C149" s="8" t="n">
        <v>40323</v>
      </c>
      <c r="D149" s="1" t="n">
        <v>21</v>
      </c>
      <c r="E149" s="1" t="n">
        <v>15.8</v>
      </c>
      <c r="F149" s="1" t="n">
        <v>28.2</v>
      </c>
      <c r="J149" s="1" t="n">
        <v>2.9</v>
      </c>
      <c r="L149" s="1" t="n">
        <v>5.5</v>
      </c>
      <c r="N149" s="1" t="n">
        <v>-2.6</v>
      </c>
      <c r="P149" s="6"/>
      <c r="T149" s="7"/>
      <c r="V149" s="1" t="n">
        <v>2172.1</v>
      </c>
    </row>
    <row r="150" s="1" customFormat="true" ht="15" hidden="false" customHeight="false" outlineLevel="0" collapsed="false">
      <c r="C150" s="8" t="n">
        <v>40324</v>
      </c>
      <c r="D150" s="1" t="n">
        <v>19.5</v>
      </c>
      <c r="E150" s="1" t="n">
        <v>14.8</v>
      </c>
      <c r="F150" s="1" t="n">
        <v>25.9</v>
      </c>
      <c r="J150" s="1" t="n">
        <v>2.6</v>
      </c>
      <c r="L150" s="1" t="n">
        <v>4.3</v>
      </c>
      <c r="N150" s="1" t="n">
        <v>-1.7</v>
      </c>
      <c r="P150" s="6"/>
      <c r="T150" s="7"/>
      <c r="V150" s="1" t="n">
        <v>1804</v>
      </c>
    </row>
    <row r="151" s="1" customFormat="true" ht="15" hidden="false" customHeight="false" outlineLevel="0" collapsed="false">
      <c r="C151" s="8" t="n">
        <v>40325</v>
      </c>
      <c r="D151" s="1" t="n">
        <v>17.8</v>
      </c>
      <c r="E151" s="1" t="n">
        <v>14.3</v>
      </c>
      <c r="F151" s="1" t="n">
        <v>21.7</v>
      </c>
      <c r="J151" s="1" t="n">
        <v>0.7</v>
      </c>
      <c r="L151" s="1" t="n">
        <v>4.2</v>
      </c>
      <c r="N151" s="1" t="n">
        <v>-3.5</v>
      </c>
      <c r="P151" s="6"/>
      <c r="T151" s="7"/>
      <c r="V151" s="1" t="n">
        <v>2299.6</v>
      </c>
    </row>
    <row r="152" s="1" customFormat="true" ht="15" hidden="false" customHeight="false" outlineLevel="0" collapsed="false">
      <c r="C152" s="8" t="n">
        <v>40326</v>
      </c>
      <c r="D152" s="1" t="n">
        <v>16.4</v>
      </c>
      <c r="E152" s="1" t="n">
        <v>13.7</v>
      </c>
      <c r="F152" s="1" t="n">
        <v>18.2</v>
      </c>
      <c r="J152" s="1" t="n">
        <v>0</v>
      </c>
      <c r="L152" s="1" t="n">
        <v>2.2</v>
      </c>
      <c r="N152" s="1" t="n">
        <v>-2.2</v>
      </c>
      <c r="P152" s="6"/>
      <c r="T152" s="7"/>
      <c r="V152" s="1" t="n">
        <v>1158.1</v>
      </c>
    </row>
    <row r="153" s="1" customFormat="true" ht="15" hidden="false" customHeight="false" outlineLevel="0" collapsed="false">
      <c r="C153" s="8" t="n">
        <v>40327</v>
      </c>
      <c r="D153" s="1" t="n">
        <v>17.9</v>
      </c>
      <c r="E153" s="1" t="n">
        <v>14.4</v>
      </c>
      <c r="F153" s="1" t="n">
        <v>20.6</v>
      </c>
      <c r="J153" s="1" t="n">
        <v>0</v>
      </c>
      <c r="L153" s="1" t="n">
        <v>3.5</v>
      </c>
      <c r="N153" s="1" t="n">
        <v>-3.5</v>
      </c>
      <c r="P153" s="6"/>
      <c r="T153" s="7"/>
      <c r="V153" s="1" t="n">
        <v>1661.1</v>
      </c>
    </row>
    <row r="154" s="1" customFormat="true" ht="15" hidden="false" customHeight="false" outlineLevel="0" collapsed="false">
      <c r="C154" s="8" t="n">
        <v>40328</v>
      </c>
      <c r="D154" s="1" t="n">
        <v>18.5</v>
      </c>
      <c r="E154" s="1" t="n">
        <v>17.3</v>
      </c>
      <c r="F154" s="1" t="n">
        <v>20.7</v>
      </c>
      <c r="J154" s="1" t="n">
        <v>1.9</v>
      </c>
      <c r="L154" s="1" t="n">
        <v>3</v>
      </c>
      <c r="N154" s="1" t="n">
        <v>-1.1</v>
      </c>
      <c r="P154" s="6"/>
      <c r="T154" s="7"/>
      <c r="V154" s="1" t="n">
        <v>862.6</v>
      </c>
    </row>
    <row r="155" s="1" customFormat="true" ht="15" hidden="false" customHeight="false" outlineLevel="0" collapsed="false">
      <c r="C155" s="8" t="n">
        <v>40329</v>
      </c>
      <c r="D155" s="1" t="n">
        <v>19.1</v>
      </c>
      <c r="E155" s="1" t="n">
        <v>16.5</v>
      </c>
      <c r="F155" s="1" t="n">
        <v>23.4</v>
      </c>
      <c r="J155" s="1" t="n">
        <v>0</v>
      </c>
      <c r="L155" s="1" t="n">
        <v>4.1</v>
      </c>
      <c r="N155" s="1" t="n">
        <v>-4.1</v>
      </c>
      <c r="P155" s="6"/>
      <c r="T155" s="7"/>
      <c r="V155" s="1" t="n">
        <v>1305.1</v>
      </c>
    </row>
    <row r="156" s="1" customFormat="true" ht="15" hidden="false" customHeight="false" outlineLevel="0" collapsed="false">
      <c r="C156" s="8" t="n">
        <v>40330</v>
      </c>
      <c r="D156" s="1" t="n">
        <v>18.1</v>
      </c>
      <c r="E156" s="1" t="n">
        <v>15.7</v>
      </c>
      <c r="F156" s="1" t="n">
        <v>20.5</v>
      </c>
      <c r="J156" s="1" t="n">
        <v>0.2</v>
      </c>
      <c r="L156" s="1" t="n">
        <v>2.1</v>
      </c>
      <c r="N156" s="1" t="n">
        <v>-1.9</v>
      </c>
      <c r="P156" s="6"/>
      <c r="T156" s="7"/>
      <c r="V156" s="1" t="n">
        <v>522.1</v>
      </c>
    </row>
    <row r="157" s="1" customFormat="true" ht="15" hidden="false" customHeight="false" outlineLevel="0" collapsed="false">
      <c r="C157" s="8" t="n">
        <v>40331</v>
      </c>
      <c r="D157" s="1" t="n">
        <v>19.1</v>
      </c>
      <c r="E157" s="1" t="n">
        <v>16.3</v>
      </c>
      <c r="F157" s="1" t="n">
        <v>22.8</v>
      </c>
      <c r="J157" s="1" t="n">
        <v>0</v>
      </c>
      <c r="L157" s="1" t="n">
        <v>4.4</v>
      </c>
      <c r="N157" s="1" t="n">
        <v>-4.4</v>
      </c>
      <c r="P157" s="6"/>
      <c r="T157" s="7"/>
      <c r="V157" s="1" t="n">
        <v>1690.5</v>
      </c>
    </row>
    <row r="158" s="1" customFormat="true" ht="15" hidden="false" customHeight="false" outlineLevel="0" collapsed="false">
      <c r="C158" s="8" t="n">
        <v>40332</v>
      </c>
      <c r="D158" s="1" t="n">
        <v>20</v>
      </c>
      <c r="E158" s="1" t="n">
        <v>13.3</v>
      </c>
      <c r="F158" s="1" t="n">
        <v>25.9</v>
      </c>
      <c r="J158" s="1" t="n">
        <v>0</v>
      </c>
      <c r="L158" s="1" t="n">
        <v>6.1</v>
      </c>
      <c r="N158" s="1" t="n">
        <v>-6.1</v>
      </c>
      <c r="P158" s="6"/>
      <c r="T158" s="7"/>
      <c r="V158" s="1" t="n">
        <v>3172.2</v>
      </c>
    </row>
    <row r="159" s="1" customFormat="true" ht="15" hidden="false" customHeight="false" outlineLevel="0" collapsed="false">
      <c r="C159" s="8" t="n">
        <v>40333</v>
      </c>
      <c r="D159" s="1" t="n">
        <v>22.6</v>
      </c>
      <c r="E159" s="1" t="n">
        <v>16.8</v>
      </c>
      <c r="F159" s="1" t="n">
        <v>27.9</v>
      </c>
      <c r="J159" s="1" t="n">
        <v>0</v>
      </c>
      <c r="L159" s="1" t="n">
        <v>6.3</v>
      </c>
      <c r="N159" s="1" t="n">
        <v>-6.3</v>
      </c>
      <c r="P159" s="6"/>
      <c r="T159" s="7"/>
      <c r="V159" s="1" t="n">
        <v>2760.1</v>
      </c>
    </row>
    <row r="160" s="1" customFormat="true" ht="15" hidden="false" customHeight="false" outlineLevel="0" collapsed="false">
      <c r="C160" s="8" t="n">
        <v>40334</v>
      </c>
      <c r="D160" s="1" t="n">
        <v>23.5</v>
      </c>
      <c r="E160" s="1" t="n">
        <v>17.5</v>
      </c>
      <c r="F160" s="1" t="n">
        <v>28.5</v>
      </c>
      <c r="J160" s="1" t="n">
        <v>0.8</v>
      </c>
      <c r="L160" s="1" t="n">
        <v>6</v>
      </c>
      <c r="N160" s="1" t="n">
        <v>-5.2</v>
      </c>
      <c r="P160" s="6"/>
      <c r="T160" s="7"/>
      <c r="V160" s="1" t="n">
        <v>2803.4</v>
      </c>
    </row>
    <row r="161" s="1" customFormat="true" ht="15" hidden="false" customHeight="false" outlineLevel="0" collapsed="false">
      <c r="C161" s="10" t="n">
        <v>40335</v>
      </c>
      <c r="D161" s="1" t="n">
        <v>17.7</v>
      </c>
      <c r="E161" s="1" t="n">
        <v>17</v>
      </c>
      <c r="F161" s="1" t="n">
        <v>18.2</v>
      </c>
      <c r="J161" s="1" t="n">
        <v>0.3</v>
      </c>
      <c r="L161" s="1" t="n">
        <v>1.6</v>
      </c>
      <c r="N161" s="1" t="n">
        <v>-1.3</v>
      </c>
      <c r="O161" s="11"/>
      <c r="P161" s="12"/>
      <c r="T161" s="7" t="n">
        <v>0</v>
      </c>
      <c r="U161" s="1" t="s">
        <v>27</v>
      </c>
      <c r="V161" s="1" t="n">
        <v>560.9</v>
      </c>
    </row>
    <row r="162" s="1" customFormat="true" ht="15" hidden="false" customHeight="false" outlineLevel="0" collapsed="false">
      <c r="C162" s="8" t="n">
        <v>40336</v>
      </c>
      <c r="D162" s="1" t="n">
        <v>20.7</v>
      </c>
      <c r="E162" s="1" t="n">
        <v>14.7</v>
      </c>
      <c r="F162" s="1" t="n">
        <v>25.8</v>
      </c>
      <c r="J162" s="1" t="n">
        <v>2.3</v>
      </c>
      <c r="L162" s="1" t="n">
        <v>4.9</v>
      </c>
      <c r="N162" s="1" t="n">
        <v>-2.6</v>
      </c>
      <c r="P162" s="6"/>
      <c r="T162" s="7" t="n">
        <v>0</v>
      </c>
      <c r="V162" s="1" t="n">
        <v>2437.3</v>
      </c>
    </row>
    <row r="163" s="1" customFormat="true" ht="15" hidden="false" customHeight="false" outlineLevel="0" collapsed="false">
      <c r="C163" s="8" t="n">
        <v>40337</v>
      </c>
      <c r="D163" s="1" t="n">
        <v>18.4</v>
      </c>
      <c r="E163" s="1" t="n">
        <v>15.2</v>
      </c>
      <c r="F163" s="1" t="n">
        <v>20.3</v>
      </c>
      <c r="J163" s="1" t="n">
        <v>32</v>
      </c>
      <c r="L163" s="1" t="n">
        <v>1.5</v>
      </c>
      <c r="N163" s="1" t="n">
        <v>30.5</v>
      </c>
      <c r="P163" s="6"/>
      <c r="T163" s="7" t="n">
        <v>30.5</v>
      </c>
      <c r="V163" s="1" t="n">
        <v>576.1</v>
      </c>
    </row>
    <row r="164" s="1" customFormat="true" ht="15" hidden="false" customHeight="false" outlineLevel="0" collapsed="false">
      <c r="C164" s="8" t="n">
        <v>40338</v>
      </c>
      <c r="D164" s="1" t="n">
        <v>18.5</v>
      </c>
      <c r="E164" s="1" t="n">
        <v>15.8</v>
      </c>
      <c r="F164" s="1" t="n">
        <v>20.4</v>
      </c>
      <c r="J164" s="1" t="n">
        <v>7.6</v>
      </c>
      <c r="L164" s="1" t="n">
        <v>0.8</v>
      </c>
      <c r="N164" s="1" t="n">
        <v>6.8</v>
      </c>
      <c r="P164" s="6"/>
      <c r="T164" s="7" t="n">
        <v>37.3</v>
      </c>
      <c r="V164" s="1" t="n">
        <v>384.1</v>
      </c>
    </row>
    <row r="165" s="1" customFormat="true" ht="15" hidden="false" customHeight="false" outlineLevel="0" collapsed="false">
      <c r="C165" s="8" t="n">
        <v>40339</v>
      </c>
      <c r="D165" s="1" t="n">
        <v>22</v>
      </c>
      <c r="E165" s="1" t="n">
        <v>18.8</v>
      </c>
      <c r="F165" s="1" t="n">
        <v>26.1</v>
      </c>
      <c r="J165" s="1" t="n">
        <v>1.7</v>
      </c>
      <c r="L165" s="1" t="n">
        <v>4.7</v>
      </c>
      <c r="N165" s="1" t="n">
        <v>-3</v>
      </c>
      <c r="P165" s="6"/>
      <c r="T165" s="7" t="n">
        <v>34.3</v>
      </c>
      <c r="V165" s="1" t="n">
        <v>1786.3</v>
      </c>
    </row>
    <row r="166" s="1" customFormat="true" ht="15" hidden="false" customHeight="false" outlineLevel="0" collapsed="false">
      <c r="C166" s="8" t="n">
        <v>40340</v>
      </c>
      <c r="D166" s="1" t="n">
        <v>18.1</v>
      </c>
      <c r="E166" s="1" t="n">
        <v>16.9</v>
      </c>
      <c r="F166" s="1" t="n">
        <v>22</v>
      </c>
      <c r="J166" s="1" t="n">
        <v>14.6</v>
      </c>
      <c r="L166" s="1" t="n">
        <v>3.2</v>
      </c>
      <c r="N166" s="1" t="n">
        <v>11.4</v>
      </c>
      <c r="P166" s="6"/>
      <c r="T166" s="7" t="n">
        <v>45.7</v>
      </c>
      <c r="V166" s="1" t="n">
        <v>1384.9</v>
      </c>
    </row>
    <row r="167" s="1" customFormat="true" ht="15" hidden="false" customHeight="false" outlineLevel="0" collapsed="false">
      <c r="C167" s="8" t="n">
        <v>40341</v>
      </c>
      <c r="D167" s="1" t="n">
        <v>19.1</v>
      </c>
      <c r="E167" s="1" t="n">
        <v>13.1</v>
      </c>
      <c r="F167" s="1" t="n">
        <v>23.4</v>
      </c>
      <c r="J167" s="1" t="n">
        <v>2.6</v>
      </c>
      <c r="L167" s="1" t="n">
        <v>4.1</v>
      </c>
      <c r="N167" s="1" t="n">
        <v>-1.5</v>
      </c>
      <c r="P167" s="6"/>
      <c r="T167" s="7" t="n">
        <v>44.2</v>
      </c>
      <c r="V167" s="1" t="n">
        <v>2091.8</v>
      </c>
    </row>
    <row r="168" s="1" customFormat="true" ht="15" hidden="false" customHeight="false" outlineLevel="0" collapsed="false">
      <c r="C168" s="8" t="n">
        <v>40342</v>
      </c>
      <c r="D168" s="1" t="n">
        <v>19.4</v>
      </c>
      <c r="E168" s="1" t="n">
        <v>16.6</v>
      </c>
      <c r="F168" s="1" t="n">
        <v>24.3</v>
      </c>
      <c r="J168" s="1" t="n">
        <v>5.1</v>
      </c>
      <c r="L168" s="1" t="n">
        <v>3.9</v>
      </c>
      <c r="N168" s="1" t="n">
        <v>1.2</v>
      </c>
      <c r="P168" s="6"/>
      <c r="T168" s="7" t="n">
        <v>45.4</v>
      </c>
      <c r="V168" s="1" t="n">
        <v>1674.6</v>
      </c>
    </row>
    <row r="169" s="1" customFormat="true" ht="15" hidden="false" customHeight="false" outlineLevel="0" collapsed="false">
      <c r="C169" s="8" t="n">
        <v>40343</v>
      </c>
      <c r="D169" s="1" t="n">
        <v>14.2</v>
      </c>
      <c r="E169" s="1" t="n">
        <v>13.5</v>
      </c>
      <c r="F169" s="1" t="n">
        <v>14.6</v>
      </c>
      <c r="J169" s="1" t="n">
        <v>6.2</v>
      </c>
      <c r="L169" s="1" t="n">
        <v>1</v>
      </c>
      <c r="N169" s="1" t="n">
        <v>5.2</v>
      </c>
      <c r="P169" s="6"/>
      <c r="T169" s="7" t="n">
        <v>50.6</v>
      </c>
      <c r="V169" s="1" t="n">
        <v>504.9</v>
      </c>
    </row>
    <row r="170" s="1" customFormat="true" ht="15" hidden="false" customHeight="false" outlineLevel="0" collapsed="false">
      <c r="C170" s="8" t="n">
        <v>40344</v>
      </c>
      <c r="D170" s="1" t="n">
        <v>16</v>
      </c>
      <c r="E170" s="1" t="n">
        <v>12.5</v>
      </c>
      <c r="F170" s="1" t="n">
        <v>18.9</v>
      </c>
      <c r="J170" s="1" t="n">
        <v>1.7</v>
      </c>
      <c r="L170" s="1" t="n">
        <v>2.1</v>
      </c>
      <c r="N170" s="1" t="n">
        <v>-0.4</v>
      </c>
      <c r="P170" s="6"/>
      <c r="T170" s="7" t="n">
        <v>50.2</v>
      </c>
      <c r="V170" s="1" t="n">
        <v>884.9</v>
      </c>
    </row>
    <row r="171" s="1" customFormat="true" ht="15" hidden="false" customHeight="false" outlineLevel="0" collapsed="false">
      <c r="C171" s="8" t="n">
        <v>40345</v>
      </c>
      <c r="D171" s="1" t="n">
        <v>14.9</v>
      </c>
      <c r="E171" s="1" t="n">
        <v>13.1</v>
      </c>
      <c r="F171" s="1" t="n">
        <v>18.4</v>
      </c>
      <c r="J171" s="1" t="n">
        <v>4</v>
      </c>
      <c r="L171" s="1" t="n">
        <v>2.5</v>
      </c>
      <c r="N171" s="1" t="n">
        <v>1.5</v>
      </c>
      <c r="P171" s="6"/>
      <c r="T171" s="7" t="n">
        <v>51.7</v>
      </c>
      <c r="V171" s="1" t="n">
        <v>1071.4</v>
      </c>
    </row>
    <row r="172" s="1" customFormat="true" ht="15" hidden="false" customHeight="false" outlineLevel="0" collapsed="false">
      <c r="C172" s="8" t="n">
        <v>40346</v>
      </c>
      <c r="D172" s="1" t="n">
        <v>15.6</v>
      </c>
      <c r="E172" s="1" t="n">
        <v>13.2</v>
      </c>
      <c r="F172" s="1" t="n">
        <v>18.9</v>
      </c>
      <c r="J172" s="1" t="n">
        <v>0</v>
      </c>
      <c r="L172" s="1" t="n">
        <v>3</v>
      </c>
      <c r="N172" s="1" t="n">
        <v>-3</v>
      </c>
      <c r="P172" s="6"/>
      <c r="T172" s="7" t="n">
        <v>48.7</v>
      </c>
      <c r="V172" s="1" t="n">
        <v>1455.7</v>
      </c>
    </row>
    <row r="173" s="1" customFormat="true" ht="15" hidden="false" customHeight="false" outlineLevel="0" collapsed="false">
      <c r="C173" s="8" t="n">
        <v>40347</v>
      </c>
      <c r="D173" s="1" t="n">
        <v>17.1</v>
      </c>
      <c r="E173" s="1" t="n">
        <v>13.9</v>
      </c>
      <c r="F173" s="1" t="n">
        <v>20.5</v>
      </c>
      <c r="J173" s="1" t="n">
        <v>2.1</v>
      </c>
      <c r="L173" s="1" t="n">
        <v>2.7</v>
      </c>
      <c r="N173" s="1" t="n">
        <v>-0.6</v>
      </c>
      <c r="P173" s="6"/>
      <c r="T173" s="7" t="n">
        <v>48.1</v>
      </c>
      <c r="V173" s="1" t="n">
        <v>1244.3</v>
      </c>
    </row>
    <row r="174" s="1" customFormat="true" ht="15" hidden="false" customHeight="false" outlineLevel="0" collapsed="false">
      <c r="C174" s="8" t="n">
        <v>40348</v>
      </c>
      <c r="D174" s="1" t="n">
        <v>15.3</v>
      </c>
      <c r="E174" s="1" t="n">
        <v>15.5</v>
      </c>
      <c r="F174" s="1" t="n">
        <v>16.4</v>
      </c>
      <c r="J174" s="1" t="n">
        <v>17.2</v>
      </c>
      <c r="L174" s="1" t="n">
        <v>1.5</v>
      </c>
      <c r="N174" s="1" t="n">
        <v>15.7</v>
      </c>
      <c r="P174" s="6"/>
      <c r="T174" s="7" t="n">
        <v>63.8</v>
      </c>
      <c r="V174" s="1" t="n">
        <v>629</v>
      </c>
    </row>
    <row r="175" s="1" customFormat="true" ht="15" hidden="false" customHeight="false" outlineLevel="0" collapsed="false">
      <c r="C175" s="8" t="n">
        <v>40349</v>
      </c>
      <c r="D175" s="1" t="n">
        <v>14.2</v>
      </c>
      <c r="E175" s="1" t="n">
        <v>11.7</v>
      </c>
      <c r="F175" s="1" t="n">
        <v>17.5</v>
      </c>
      <c r="J175" s="1" t="n">
        <v>0.5</v>
      </c>
      <c r="L175" s="1" t="n">
        <v>4.5</v>
      </c>
      <c r="N175" s="1" t="n">
        <v>-4</v>
      </c>
      <c r="P175" s="6"/>
      <c r="T175" s="7" t="n">
        <v>59.8</v>
      </c>
      <c r="V175" s="1" t="n">
        <v>2458.2</v>
      </c>
    </row>
    <row r="176" s="1" customFormat="true" ht="15" hidden="false" customHeight="false" outlineLevel="0" collapsed="false">
      <c r="C176" s="8" t="n">
        <v>40350</v>
      </c>
      <c r="D176" s="1" t="n">
        <v>15.5</v>
      </c>
      <c r="E176" s="1" t="n">
        <v>12.4</v>
      </c>
      <c r="F176" s="1" t="n">
        <v>18.9</v>
      </c>
      <c r="J176" s="1" t="n">
        <v>0</v>
      </c>
      <c r="L176" s="1" t="n">
        <v>4.5</v>
      </c>
      <c r="N176" s="1" t="n">
        <v>-4.5</v>
      </c>
      <c r="P176" s="6"/>
      <c r="T176" s="7" t="n">
        <v>55.3</v>
      </c>
      <c r="V176" s="1" t="n">
        <v>2085.6</v>
      </c>
    </row>
    <row r="177" s="1" customFormat="true" ht="15" hidden="false" customHeight="false" outlineLevel="0" collapsed="false">
      <c r="C177" s="8" t="n">
        <v>40351</v>
      </c>
      <c r="D177" s="1" t="n">
        <v>17.4</v>
      </c>
      <c r="E177" s="1" t="n">
        <v>12.7</v>
      </c>
      <c r="F177" s="1" t="n">
        <v>22.3</v>
      </c>
      <c r="J177" s="1" t="n">
        <v>0</v>
      </c>
      <c r="L177" s="1" t="n">
        <v>5.4</v>
      </c>
      <c r="N177" s="1" t="n">
        <v>-5.4</v>
      </c>
      <c r="P177" s="6"/>
      <c r="T177" s="7" t="n">
        <v>49.9</v>
      </c>
      <c r="V177" s="1" t="n">
        <v>2789.4</v>
      </c>
    </row>
    <row r="178" s="1" customFormat="true" ht="15" hidden="false" customHeight="false" outlineLevel="0" collapsed="false">
      <c r="C178" s="8" t="n">
        <v>40352</v>
      </c>
      <c r="D178" s="1" t="n">
        <v>19.1</v>
      </c>
      <c r="E178" s="1" t="n">
        <v>13.8</v>
      </c>
      <c r="F178" s="1" t="n">
        <v>24.8</v>
      </c>
      <c r="J178" s="1" t="n">
        <v>0</v>
      </c>
      <c r="L178" s="1" t="n">
        <v>6</v>
      </c>
      <c r="N178" s="1" t="n">
        <v>-6</v>
      </c>
      <c r="P178" s="6"/>
      <c r="T178" s="7" t="n">
        <v>43.9</v>
      </c>
      <c r="V178" s="1" t="n">
        <v>3100.2</v>
      </c>
    </row>
    <row r="179" s="1" customFormat="true" ht="15" hidden="false" customHeight="false" outlineLevel="0" collapsed="false">
      <c r="C179" s="8" t="n">
        <v>40353</v>
      </c>
      <c r="D179" s="1" t="n">
        <v>21.1</v>
      </c>
      <c r="E179" s="1" t="n">
        <v>14.3</v>
      </c>
      <c r="F179" s="1" t="n">
        <v>28.1</v>
      </c>
      <c r="J179" s="1" t="n">
        <v>0</v>
      </c>
      <c r="L179" s="1" t="n">
        <v>5.6</v>
      </c>
      <c r="N179" s="1" t="n">
        <v>-5.6</v>
      </c>
      <c r="P179" s="6"/>
      <c r="T179" s="7" t="n">
        <v>38.3</v>
      </c>
      <c r="V179" s="1" t="n">
        <v>2862.1</v>
      </c>
    </row>
    <row r="180" s="1" customFormat="true" ht="15" hidden="false" customHeight="false" outlineLevel="0" collapsed="false">
      <c r="C180" s="8" t="n">
        <v>40354</v>
      </c>
      <c r="D180" s="1" t="n">
        <v>22.8</v>
      </c>
      <c r="E180" s="1" t="n">
        <v>15.8</v>
      </c>
      <c r="F180" s="1" t="n">
        <v>29.5</v>
      </c>
      <c r="J180" s="1" t="n">
        <v>0</v>
      </c>
      <c r="L180" s="1" t="n">
        <v>5.9</v>
      </c>
      <c r="N180" s="1" t="n">
        <v>-5.9</v>
      </c>
      <c r="P180" s="6"/>
      <c r="T180" s="7" t="n">
        <v>32.4</v>
      </c>
      <c r="V180" s="1" t="n">
        <v>2833.5</v>
      </c>
    </row>
    <row r="181" s="1" customFormat="true" ht="15" hidden="false" customHeight="false" outlineLevel="0" collapsed="false">
      <c r="C181" s="8" t="n">
        <v>40355</v>
      </c>
      <c r="D181" s="1" t="n">
        <v>23.9</v>
      </c>
      <c r="E181" s="1" t="n">
        <v>17</v>
      </c>
      <c r="F181" s="1" t="n">
        <v>30.6</v>
      </c>
      <c r="J181" s="1" t="n">
        <v>0</v>
      </c>
      <c r="L181" s="1" t="n">
        <v>5.4</v>
      </c>
      <c r="N181" s="1" t="n">
        <v>-5.4</v>
      </c>
      <c r="P181" s="6"/>
      <c r="T181" s="7" t="n">
        <v>27</v>
      </c>
      <c r="V181" s="1" t="n">
        <v>2519</v>
      </c>
    </row>
    <row r="182" s="1" customFormat="true" ht="15" hidden="false" customHeight="false" outlineLevel="0" collapsed="false">
      <c r="C182" s="8" t="n">
        <v>40356</v>
      </c>
      <c r="D182" s="1" t="n">
        <v>23.7</v>
      </c>
      <c r="E182" s="1" t="n">
        <v>18.3</v>
      </c>
      <c r="F182" s="1" t="n">
        <v>30</v>
      </c>
      <c r="J182" s="1" t="n">
        <v>0.8</v>
      </c>
      <c r="L182" s="1" t="n">
        <v>5.3</v>
      </c>
      <c r="N182" s="1" t="n">
        <v>-4.5</v>
      </c>
      <c r="P182" s="6"/>
      <c r="T182" s="7" t="n">
        <v>22.5</v>
      </c>
      <c r="V182" s="1" t="n">
        <v>2342.8</v>
      </c>
    </row>
    <row r="183" s="1" customFormat="true" ht="15" hidden="false" customHeight="false" outlineLevel="0" collapsed="false">
      <c r="C183" s="8" t="n">
        <v>40357</v>
      </c>
      <c r="D183" s="1" t="n">
        <v>24.1</v>
      </c>
      <c r="E183" s="1" t="n">
        <v>18.5</v>
      </c>
      <c r="F183" s="1" t="n">
        <v>28.7</v>
      </c>
      <c r="J183" s="1" t="n">
        <v>0.9</v>
      </c>
      <c r="L183" s="1" t="n">
        <v>4.7</v>
      </c>
      <c r="N183" s="1" t="n">
        <v>-3.8</v>
      </c>
      <c r="P183" s="6"/>
      <c r="T183" s="7" t="n">
        <v>18.7</v>
      </c>
      <c r="V183" s="1" t="n">
        <v>2047.7</v>
      </c>
    </row>
    <row r="184" s="1" customFormat="true" ht="15" hidden="false" customHeight="false" outlineLevel="0" collapsed="false">
      <c r="C184" s="8" t="n">
        <v>40358</v>
      </c>
      <c r="D184" s="1" t="n">
        <v>24.1</v>
      </c>
      <c r="E184" s="1" t="n">
        <v>19.2</v>
      </c>
      <c r="F184" s="1" t="n">
        <v>27.9</v>
      </c>
      <c r="J184" s="1" t="n">
        <v>0</v>
      </c>
      <c r="L184" s="1" t="n">
        <v>4.5</v>
      </c>
      <c r="N184" s="1" t="n">
        <v>-4.5</v>
      </c>
      <c r="P184" s="6"/>
      <c r="T184" s="7" t="n">
        <v>14.2</v>
      </c>
      <c r="V184" s="1" t="n">
        <v>1906.8</v>
      </c>
    </row>
    <row r="185" s="1" customFormat="true" ht="15" hidden="false" customHeight="false" outlineLevel="0" collapsed="false">
      <c r="C185" s="8" t="n">
        <v>40359</v>
      </c>
      <c r="D185" s="1" t="n">
        <v>24.5</v>
      </c>
      <c r="E185" s="1" t="n">
        <v>19.7</v>
      </c>
      <c r="F185" s="1" t="n">
        <v>29.9</v>
      </c>
      <c r="J185" s="1" t="n">
        <v>0</v>
      </c>
      <c r="L185" s="1" t="n">
        <v>5.8</v>
      </c>
      <c r="N185" s="1" t="n">
        <v>-5.8</v>
      </c>
      <c r="P185" s="6"/>
      <c r="T185" s="7" t="n">
        <v>8.4</v>
      </c>
      <c r="V185" s="1" t="n">
        <v>2627.7</v>
      </c>
    </row>
    <row r="186" s="1" customFormat="true" ht="15" hidden="false" customHeight="false" outlineLevel="0" collapsed="false">
      <c r="C186" s="8" t="n">
        <v>40360</v>
      </c>
      <c r="D186" s="1" t="n">
        <v>27</v>
      </c>
      <c r="E186" s="1" t="n">
        <v>20</v>
      </c>
      <c r="F186" s="1" t="n">
        <v>33.8</v>
      </c>
      <c r="J186" s="1" t="n">
        <v>0</v>
      </c>
      <c r="L186" s="1" t="n">
        <v>7.4</v>
      </c>
      <c r="N186" s="1" t="n">
        <v>-7.4</v>
      </c>
      <c r="P186" s="6"/>
      <c r="T186" s="7" t="n">
        <v>0.999999999999998</v>
      </c>
      <c r="V186" s="1" t="n">
        <v>3152.3</v>
      </c>
    </row>
    <row r="187" s="1" customFormat="true" ht="15" hidden="false" customHeight="false" outlineLevel="0" collapsed="false">
      <c r="C187" s="8" t="n">
        <v>40361</v>
      </c>
      <c r="D187" s="1" t="n">
        <v>26</v>
      </c>
      <c r="E187" s="1" t="n">
        <v>21.2</v>
      </c>
      <c r="F187" s="1" t="n">
        <v>32.2</v>
      </c>
      <c r="J187" s="1" t="n">
        <v>0</v>
      </c>
      <c r="L187" s="1" t="n">
        <v>6.3</v>
      </c>
      <c r="N187" s="1" t="n">
        <v>-6.3</v>
      </c>
      <c r="P187" s="6"/>
      <c r="T187" s="7" t="n">
        <v>0</v>
      </c>
      <c r="V187" s="1" t="n">
        <v>2271.7</v>
      </c>
    </row>
    <row r="188" s="1" customFormat="true" ht="15" hidden="false" customHeight="false" outlineLevel="0" collapsed="false">
      <c r="C188" s="8" t="n">
        <v>40362</v>
      </c>
      <c r="D188" s="1" t="n">
        <v>23</v>
      </c>
      <c r="E188" s="1" t="n">
        <v>20.4</v>
      </c>
      <c r="F188" s="1" t="n">
        <v>25.5</v>
      </c>
      <c r="J188" s="1" t="n">
        <v>0</v>
      </c>
      <c r="L188" s="1" t="n">
        <v>2.5</v>
      </c>
      <c r="N188" s="1" t="n">
        <v>-2.5</v>
      </c>
      <c r="P188" s="6"/>
      <c r="T188" s="7" t="n">
        <v>0</v>
      </c>
      <c r="V188" s="1" t="n">
        <v>908.2</v>
      </c>
    </row>
    <row r="189" s="1" customFormat="true" ht="15" hidden="false" customHeight="false" outlineLevel="0" collapsed="false">
      <c r="C189" s="8" t="n">
        <v>40363</v>
      </c>
      <c r="D189" s="1" t="n">
        <v>24.3</v>
      </c>
      <c r="E189" s="1" t="n">
        <v>21.3</v>
      </c>
      <c r="F189" s="1" t="n">
        <v>28.2</v>
      </c>
      <c r="J189" s="1" t="n">
        <v>0</v>
      </c>
      <c r="L189" s="1" t="n">
        <v>4.6</v>
      </c>
      <c r="N189" s="1" t="n">
        <v>-4.6</v>
      </c>
      <c r="P189" s="6"/>
      <c r="T189" s="7" t="n">
        <v>0</v>
      </c>
      <c r="V189" s="1" t="n">
        <v>1760.5</v>
      </c>
    </row>
    <row r="190" s="1" customFormat="true" ht="15" hidden="false" customHeight="false" outlineLevel="0" collapsed="false">
      <c r="C190" s="8" t="n">
        <v>40364</v>
      </c>
      <c r="D190" s="1" t="n">
        <v>23.2</v>
      </c>
      <c r="E190" s="1" t="n">
        <v>18.9</v>
      </c>
      <c r="F190" s="1" t="n">
        <v>27</v>
      </c>
      <c r="J190" s="1" t="n">
        <v>0</v>
      </c>
      <c r="L190" s="1" t="n">
        <v>5.3</v>
      </c>
      <c r="N190" s="1" t="n">
        <v>-5.3</v>
      </c>
      <c r="P190" s="6"/>
      <c r="T190" s="7" t="n">
        <v>0</v>
      </c>
      <c r="V190" s="1" t="n">
        <v>1890.1</v>
      </c>
    </row>
    <row r="191" s="1" customFormat="true" ht="15" hidden="false" customHeight="false" outlineLevel="0" collapsed="false">
      <c r="C191" s="8" t="n">
        <v>40365</v>
      </c>
      <c r="D191" s="1" t="n">
        <v>22.9</v>
      </c>
      <c r="E191" s="1" t="n">
        <v>18.7</v>
      </c>
      <c r="F191" s="1" t="n">
        <v>27.4</v>
      </c>
      <c r="J191" s="1" t="n">
        <v>0</v>
      </c>
      <c r="L191" s="1" t="n">
        <v>6</v>
      </c>
      <c r="N191" s="1" t="n">
        <v>-6</v>
      </c>
      <c r="P191" s="6"/>
      <c r="T191" s="7" t="n">
        <v>0</v>
      </c>
      <c r="V191" s="1" t="n">
        <v>2356.4</v>
      </c>
    </row>
    <row r="192" s="1" customFormat="true" ht="15" hidden="false" customHeight="false" outlineLevel="0" collapsed="false">
      <c r="C192" s="8" t="n">
        <v>40366</v>
      </c>
      <c r="D192" s="1" t="n">
        <v>24</v>
      </c>
      <c r="E192" s="1" t="n">
        <v>17.6</v>
      </c>
      <c r="F192" s="1" t="n">
        <v>30.9</v>
      </c>
      <c r="J192" s="1" t="n">
        <v>0</v>
      </c>
      <c r="L192" s="1" t="n">
        <v>7.2</v>
      </c>
      <c r="N192" s="1" t="n">
        <v>-7.2</v>
      </c>
      <c r="P192" s="6"/>
      <c r="T192" s="7" t="n">
        <v>0</v>
      </c>
      <c r="V192" s="1" t="n">
        <v>3197.7</v>
      </c>
    </row>
    <row r="193" s="1" customFormat="true" ht="15" hidden="false" customHeight="false" outlineLevel="0" collapsed="false">
      <c r="C193" s="8" t="n">
        <v>40367</v>
      </c>
      <c r="D193" s="1" t="n">
        <v>27</v>
      </c>
      <c r="E193" s="1" t="n">
        <v>18.1</v>
      </c>
      <c r="F193" s="1" t="n">
        <v>36.2</v>
      </c>
      <c r="J193" s="1" t="n">
        <v>0</v>
      </c>
      <c r="L193" s="1" t="n">
        <v>8</v>
      </c>
      <c r="N193" s="1" t="n">
        <v>-8</v>
      </c>
      <c r="P193" s="6"/>
      <c r="T193" s="7" t="n">
        <v>0</v>
      </c>
      <c r="V193" s="1" t="n">
        <v>2648.2</v>
      </c>
    </row>
    <row r="194" s="1" customFormat="true" ht="15" hidden="false" customHeight="false" outlineLevel="0" collapsed="false">
      <c r="C194" s="8" t="n">
        <v>40368</v>
      </c>
      <c r="D194" s="1" t="n">
        <v>23.7</v>
      </c>
      <c r="E194" s="1" t="n">
        <v>22.6</v>
      </c>
      <c r="F194" s="1" t="n">
        <v>26.3</v>
      </c>
      <c r="J194" s="1" t="n">
        <v>5.9</v>
      </c>
      <c r="L194" s="1" t="n">
        <v>2.6</v>
      </c>
      <c r="N194" s="1" t="n">
        <v>3.3</v>
      </c>
      <c r="P194" s="6"/>
      <c r="T194" s="7" t="n">
        <v>3.3</v>
      </c>
      <c r="V194" s="1" t="n">
        <v>670.5</v>
      </c>
    </row>
    <row r="195" s="1" customFormat="true" ht="15" hidden="false" customHeight="false" outlineLevel="0" collapsed="false">
      <c r="C195" s="8" t="n">
        <v>40369</v>
      </c>
      <c r="D195" s="1" t="n">
        <v>24.4</v>
      </c>
      <c r="E195" s="1" t="n">
        <v>18.1</v>
      </c>
      <c r="F195" s="1" t="n">
        <v>30.4</v>
      </c>
      <c r="J195" s="1" t="n">
        <v>0</v>
      </c>
      <c r="L195" s="1" t="n">
        <v>5.7</v>
      </c>
      <c r="N195" s="1" t="n">
        <v>-5.7</v>
      </c>
      <c r="P195" s="6"/>
      <c r="T195" s="7" t="n">
        <v>0</v>
      </c>
      <c r="V195" s="1" t="n">
        <v>2437.3</v>
      </c>
    </row>
    <row r="196" s="1" customFormat="true" ht="15" hidden="false" customHeight="false" outlineLevel="0" collapsed="false">
      <c r="C196" s="8" t="n">
        <v>40370</v>
      </c>
      <c r="D196" s="1" t="n">
        <v>26.8</v>
      </c>
      <c r="E196" s="1" t="n">
        <v>20.7</v>
      </c>
      <c r="F196" s="1" t="n">
        <v>32.4</v>
      </c>
      <c r="J196" s="1" t="n">
        <v>0</v>
      </c>
      <c r="L196" s="1" t="n">
        <v>6.5</v>
      </c>
      <c r="N196" s="1" t="n">
        <v>-6.5</v>
      </c>
      <c r="P196" s="6"/>
      <c r="T196" s="7" t="n">
        <v>0</v>
      </c>
      <c r="V196" s="1" t="n">
        <v>2866.4</v>
      </c>
    </row>
    <row r="197" s="1" customFormat="true" ht="15" hidden="false" customHeight="false" outlineLevel="0" collapsed="false">
      <c r="C197" s="8" t="n">
        <v>40371</v>
      </c>
      <c r="D197" s="1" t="n">
        <v>24.8</v>
      </c>
      <c r="E197" s="1" t="n">
        <v>20.5</v>
      </c>
      <c r="F197" s="1" t="n">
        <v>28</v>
      </c>
      <c r="J197" s="1" t="n">
        <v>0</v>
      </c>
      <c r="L197" s="1" t="n">
        <v>3.4</v>
      </c>
      <c r="N197" s="1" t="n">
        <v>-3.4</v>
      </c>
      <c r="P197" s="6"/>
      <c r="T197" s="7" t="n">
        <v>0</v>
      </c>
      <c r="V197" s="1" t="n">
        <v>1314.8</v>
      </c>
    </row>
    <row r="198" s="1" customFormat="true" ht="15" hidden="false" customHeight="false" outlineLevel="0" collapsed="false">
      <c r="C198" s="8" t="n">
        <v>40372</v>
      </c>
      <c r="D198" s="1" t="n">
        <v>25.8</v>
      </c>
      <c r="E198" s="1" t="n">
        <v>20.1</v>
      </c>
      <c r="F198" s="1" t="n">
        <v>31.2</v>
      </c>
      <c r="J198" s="1" t="n">
        <v>0</v>
      </c>
      <c r="L198" s="1" t="n">
        <v>4.5</v>
      </c>
      <c r="N198" s="1" t="n">
        <v>-4.5</v>
      </c>
      <c r="P198" s="6"/>
      <c r="T198" s="7" t="n">
        <v>0</v>
      </c>
      <c r="V198" s="1" t="n">
        <v>1715.7</v>
      </c>
    </row>
    <row r="199" s="1" customFormat="true" ht="15" hidden="false" customHeight="false" outlineLevel="0" collapsed="false">
      <c r="C199" s="8" t="n">
        <v>40373</v>
      </c>
      <c r="D199" s="1" t="n">
        <v>23.7</v>
      </c>
      <c r="E199" s="1" t="n">
        <v>22.2</v>
      </c>
      <c r="F199" s="1" t="n">
        <v>28.8</v>
      </c>
      <c r="J199" s="1" t="n">
        <v>0</v>
      </c>
      <c r="L199" s="1" t="n">
        <v>4.8</v>
      </c>
      <c r="N199" s="1" t="n">
        <v>-4.8</v>
      </c>
      <c r="P199" s="6"/>
      <c r="T199" s="7" t="n">
        <v>0</v>
      </c>
      <c r="V199" s="1" t="n">
        <v>1660</v>
      </c>
    </row>
    <row r="200" s="1" customFormat="true" ht="15" hidden="false" customHeight="false" outlineLevel="0" collapsed="false">
      <c r="C200" s="8" t="n">
        <v>40374</v>
      </c>
      <c r="D200" s="1" t="n">
        <v>22.9</v>
      </c>
      <c r="E200" s="1" t="n">
        <v>18.6</v>
      </c>
      <c r="F200" s="1" t="n">
        <v>28</v>
      </c>
      <c r="J200" s="1" t="n">
        <v>0</v>
      </c>
      <c r="L200" s="1" t="n">
        <v>5.2</v>
      </c>
      <c r="N200" s="1" t="n">
        <v>-5.2</v>
      </c>
      <c r="P200" s="6"/>
      <c r="T200" s="7" t="n">
        <v>0</v>
      </c>
      <c r="V200" s="1" t="n">
        <v>2290.1</v>
      </c>
    </row>
    <row r="201" s="1" customFormat="true" ht="15" hidden="false" customHeight="false" outlineLevel="0" collapsed="false">
      <c r="C201" s="8" t="n">
        <v>40375</v>
      </c>
      <c r="D201" s="1" t="n">
        <v>24.4</v>
      </c>
      <c r="E201" s="1" t="n">
        <v>17.6</v>
      </c>
      <c r="F201" s="1" t="n">
        <v>31.6</v>
      </c>
      <c r="J201" s="1" t="n">
        <v>0</v>
      </c>
      <c r="L201" s="1" t="n">
        <v>7</v>
      </c>
      <c r="N201" s="1" t="n">
        <v>-7</v>
      </c>
      <c r="P201" s="6"/>
      <c r="T201" s="7" t="n">
        <v>0</v>
      </c>
      <c r="V201" s="1" t="n">
        <v>2632.2</v>
      </c>
    </row>
    <row r="202" s="1" customFormat="true" ht="15" hidden="false" customHeight="false" outlineLevel="0" collapsed="false">
      <c r="C202" s="8" t="n">
        <v>40376</v>
      </c>
      <c r="D202" s="1" t="n">
        <v>20.8</v>
      </c>
      <c r="E202" s="1" t="n">
        <v>18.3</v>
      </c>
      <c r="F202" s="1" t="n">
        <v>22.8</v>
      </c>
      <c r="J202" s="1" t="n">
        <v>0</v>
      </c>
      <c r="L202" s="1" t="n">
        <v>4.5</v>
      </c>
      <c r="N202" s="1" t="n">
        <v>-4.5</v>
      </c>
      <c r="P202" s="6"/>
      <c r="T202" s="7" t="n">
        <v>0</v>
      </c>
      <c r="V202" s="1" t="n">
        <v>1740.2</v>
      </c>
    </row>
    <row r="203" s="1" customFormat="true" ht="15" hidden="false" customHeight="false" outlineLevel="0" collapsed="false">
      <c r="C203" s="8" t="n">
        <v>40377</v>
      </c>
      <c r="D203" s="1" t="n">
        <v>22.3</v>
      </c>
      <c r="E203" s="1" t="n">
        <v>17</v>
      </c>
      <c r="F203" s="1" t="n">
        <v>28.6</v>
      </c>
      <c r="J203" s="1" t="n">
        <v>0</v>
      </c>
      <c r="L203" s="1" t="n">
        <v>7.5</v>
      </c>
      <c r="N203" s="1" t="n">
        <v>-7.5</v>
      </c>
      <c r="P203" s="6"/>
      <c r="T203" s="7" t="n">
        <v>0</v>
      </c>
      <c r="V203" s="1" t="n">
        <v>3159.6</v>
      </c>
    </row>
    <row r="204" s="1" customFormat="true" ht="15" hidden="false" customHeight="false" outlineLevel="0" collapsed="false">
      <c r="C204" s="8" t="n">
        <v>40378</v>
      </c>
      <c r="D204" s="1" t="n">
        <v>24.6</v>
      </c>
      <c r="E204" s="1" t="n">
        <v>16.6</v>
      </c>
      <c r="F204" s="1" t="n">
        <v>31</v>
      </c>
      <c r="J204" s="1" t="n">
        <v>0</v>
      </c>
      <c r="L204" s="1" t="n">
        <v>7.5</v>
      </c>
      <c r="N204" s="1" t="n">
        <v>-7.5</v>
      </c>
      <c r="P204" s="6"/>
      <c r="T204" s="7" t="n">
        <v>0</v>
      </c>
      <c r="V204" s="1" t="n">
        <v>2957.9</v>
      </c>
    </row>
    <row r="205" s="1" customFormat="true" ht="15" hidden="false" customHeight="false" outlineLevel="0" collapsed="false">
      <c r="C205" s="8" t="n">
        <v>40379</v>
      </c>
      <c r="D205" s="1" t="n">
        <v>25.4</v>
      </c>
      <c r="E205" s="1" t="n">
        <v>18.6</v>
      </c>
      <c r="F205" s="1" t="n">
        <v>31.3</v>
      </c>
      <c r="J205" s="1" t="n">
        <v>4.5</v>
      </c>
      <c r="L205" s="1" t="n">
        <v>6.3</v>
      </c>
      <c r="N205" s="1" t="n">
        <v>-1.8</v>
      </c>
      <c r="P205" s="6"/>
      <c r="T205" s="7" t="n">
        <v>0</v>
      </c>
      <c r="V205" s="1" t="n">
        <v>2496.3</v>
      </c>
    </row>
    <row r="206" s="1" customFormat="true" ht="15" hidden="false" customHeight="false" outlineLevel="0" collapsed="false">
      <c r="C206" s="8" t="n">
        <v>40380</v>
      </c>
      <c r="D206" s="1" t="n">
        <v>20.6</v>
      </c>
      <c r="E206" s="1" t="n">
        <v>18.4</v>
      </c>
      <c r="F206" s="1" t="n">
        <v>22.6</v>
      </c>
      <c r="J206" s="1" t="n">
        <v>14.6</v>
      </c>
      <c r="L206" s="1" t="n">
        <v>2</v>
      </c>
      <c r="N206" s="1" t="n">
        <v>12.6</v>
      </c>
      <c r="P206" s="6"/>
      <c r="T206" s="7" t="n">
        <v>12.6</v>
      </c>
      <c r="V206" s="1" t="n">
        <v>621.2</v>
      </c>
    </row>
    <row r="207" s="1" customFormat="true" ht="15" hidden="false" customHeight="false" outlineLevel="0" collapsed="false">
      <c r="C207" s="8" t="n">
        <v>40381</v>
      </c>
      <c r="D207" s="1" t="n">
        <v>18</v>
      </c>
      <c r="E207" s="1" t="n">
        <v>15.1</v>
      </c>
      <c r="F207" s="1" t="n">
        <v>20.3</v>
      </c>
      <c r="J207" s="1" t="n">
        <v>7.8</v>
      </c>
      <c r="L207" s="1" t="n">
        <v>1.3</v>
      </c>
      <c r="N207" s="1" t="n">
        <v>6.5</v>
      </c>
      <c r="P207" s="6"/>
      <c r="T207" s="7" t="n">
        <v>19.1</v>
      </c>
      <c r="V207" s="1" t="n">
        <v>493.4</v>
      </c>
    </row>
    <row r="208" s="1" customFormat="true" ht="15" hidden="false" customHeight="false" outlineLevel="0" collapsed="false">
      <c r="C208" s="8" t="n">
        <v>40382</v>
      </c>
      <c r="D208" s="1" t="n">
        <v>19.7</v>
      </c>
      <c r="E208" s="1" t="n">
        <v>16.9</v>
      </c>
      <c r="F208" s="1" t="n">
        <v>23.5</v>
      </c>
      <c r="J208" s="1" t="n">
        <v>0</v>
      </c>
      <c r="L208" s="1" t="n">
        <v>4.9</v>
      </c>
      <c r="N208" s="1" t="n">
        <v>-4.9</v>
      </c>
      <c r="P208" s="6"/>
      <c r="T208" s="7" t="n">
        <v>14.2</v>
      </c>
      <c r="V208" s="1" t="n">
        <v>2053.2</v>
      </c>
    </row>
    <row r="209" s="1" customFormat="true" ht="15" hidden="false" customHeight="false" outlineLevel="0" collapsed="false">
      <c r="C209" s="8" t="n">
        <v>40383</v>
      </c>
      <c r="D209" s="1" t="n">
        <v>19.9</v>
      </c>
      <c r="E209" s="1" t="n">
        <v>15.7</v>
      </c>
      <c r="F209" s="1" t="n">
        <v>23.8</v>
      </c>
      <c r="J209" s="1" t="n">
        <v>0</v>
      </c>
      <c r="L209" s="1" t="n">
        <v>4.3</v>
      </c>
      <c r="N209" s="1" t="n">
        <v>-4.3</v>
      </c>
      <c r="P209" s="6"/>
      <c r="T209" s="7" t="n">
        <v>9.9</v>
      </c>
      <c r="V209" s="1" t="n">
        <v>2024</v>
      </c>
    </row>
    <row r="210" s="1" customFormat="true" ht="15" hidden="false" customHeight="false" outlineLevel="0" collapsed="false">
      <c r="C210" s="8" t="n">
        <v>40384</v>
      </c>
      <c r="D210" s="1" t="n">
        <v>20.1</v>
      </c>
      <c r="E210" s="1" t="n">
        <v>16.3</v>
      </c>
      <c r="F210" s="1" t="n">
        <v>25</v>
      </c>
      <c r="J210" s="1" t="n">
        <v>1.7</v>
      </c>
      <c r="L210" s="1" t="n">
        <v>4.6</v>
      </c>
      <c r="N210" s="1" t="n">
        <v>-2.9</v>
      </c>
      <c r="P210" s="6"/>
      <c r="T210" s="7" t="n">
        <v>7</v>
      </c>
      <c r="V210" s="1" t="n">
        <v>1738.4</v>
      </c>
    </row>
    <row r="211" s="1" customFormat="true" ht="15" hidden="false" customHeight="false" outlineLevel="0" collapsed="false">
      <c r="C211" s="8" t="n">
        <v>40385</v>
      </c>
      <c r="D211" s="1" t="n">
        <v>21.2</v>
      </c>
      <c r="E211" s="1" t="n">
        <v>17.8</v>
      </c>
      <c r="F211" s="1" t="n">
        <v>25</v>
      </c>
      <c r="J211" s="1" t="n">
        <v>0</v>
      </c>
      <c r="L211" s="1" t="n">
        <v>4.5</v>
      </c>
      <c r="N211" s="1" t="n">
        <v>-4.5</v>
      </c>
      <c r="P211" s="6"/>
      <c r="T211" s="7" t="n">
        <v>2.5</v>
      </c>
      <c r="V211" s="1" t="n">
        <v>1993.8</v>
      </c>
    </row>
    <row r="212" s="1" customFormat="true" ht="15" hidden="false" customHeight="false" outlineLevel="0" collapsed="false">
      <c r="C212" s="8" t="n">
        <v>40386</v>
      </c>
      <c r="D212" s="1" t="n">
        <v>23</v>
      </c>
      <c r="E212" s="1" t="n">
        <v>17.5</v>
      </c>
      <c r="F212" s="1" t="n">
        <v>28.1</v>
      </c>
      <c r="J212" s="1" t="n">
        <v>0</v>
      </c>
      <c r="L212" s="1" t="n">
        <v>5.2</v>
      </c>
      <c r="N212" s="1" t="n">
        <v>-5.2</v>
      </c>
      <c r="P212" s="6"/>
      <c r="T212" s="7" t="n">
        <v>0</v>
      </c>
      <c r="V212" s="1" t="n">
        <v>2329.3</v>
      </c>
    </row>
    <row r="213" s="1" customFormat="true" ht="15" hidden="false" customHeight="false" outlineLevel="0" collapsed="false">
      <c r="C213" s="8" t="n">
        <v>40387</v>
      </c>
      <c r="D213" s="1" t="n">
        <v>24.6</v>
      </c>
      <c r="E213" s="1" t="n">
        <v>18.1</v>
      </c>
      <c r="F213" s="1" t="n">
        <v>30.1</v>
      </c>
      <c r="J213" s="1" t="n">
        <v>0</v>
      </c>
      <c r="L213" s="1" t="n">
        <v>5.5</v>
      </c>
      <c r="N213" s="1" t="n">
        <v>-5.5</v>
      </c>
      <c r="P213" s="6"/>
      <c r="T213" s="7" t="n">
        <v>0</v>
      </c>
      <c r="V213" s="1" t="n">
        <v>2377.2</v>
      </c>
    </row>
    <row r="214" s="1" customFormat="true" ht="15" hidden="false" customHeight="false" outlineLevel="0" collapsed="false">
      <c r="C214" s="8" t="n">
        <v>40388</v>
      </c>
      <c r="D214" s="1" t="n">
        <v>22</v>
      </c>
      <c r="E214" s="1" t="n">
        <v>18.7</v>
      </c>
      <c r="F214" s="1" t="n">
        <v>26.6</v>
      </c>
      <c r="J214" s="1" t="n">
        <v>0</v>
      </c>
      <c r="L214" s="1" t="n">
        <v>5.2</v>
      </c>
      <c r="N214" s="1" t="n">
        <v>-5.2</v>
      </c>
      <c r="P214" s="6"/>
      <c r="T214" s="7" t="n">
        <v>0</v>
      </c>
      <c r="V214" s="1" t="n">
        <v>1802.7</v>
      </c>
    </row>
    <row r="215" s="1" customFormat="true" ht="15" hidden="false" customHeight="false" outlineLevel="0" collapsed="false">
      <c r="C215" s="8" t="n">
        <v>40389</v>
      </c>
      <c r="D215" s="1" t="n">
        <v>21.3</v>
      </c>
      <c r="E215" s="1" t="n">
        <v>16.2</v>
      </c>
      <c r="F215" s="1" t="n">
        <v>26.3</v>
      </c>
      <c r="J215" s="1" t="n">
        <v>0</v>
      </c>
      <c r="L215" s="1" t="n">
        <v>5.6</v>
      </c>
      <c r="N215" s="1" t="n">
        <v>-5.6</v>
      </c>
      <c r="P215" s="6"/>
      <c r="T215" s="7" t="n">
        <v>0</v>
      </c>
      <c r="V215" s="1" t="n">
        <v>2561.9</v>
      </c>
    </row>
    <row r="216" s="1" customFormat="true" ht="15" hidden="false" customHeight="false" outlineLevel="0" collapsed="false">
      <c r="C216" s="8" t="n">
        <v>40390</v>
      </c>
      <c r="D216" s="1" t="n">
        <v>24.2</v>
      </c>
      <c r="E216" s="1" t="n">
        <v>16.9</v>
      </c>
      <c r="F216" s="1" t="n">
        <v>31</v>
      </c>
      <c r="J216" s="1" t="n">
        <v>0</v>
      </c>
      <c r="L216" s="1" t="n">
        <v>6.7</v>
      </c>
      <c r="N216" s="1" t="n">
        <v>-6.7</v>
      </c>
      <c r="P216" s="6"/>
      <c r="T216" s="7" t="n">
        <v>0</v>
      </c>
      <c r="V216" s="1" t="n">
        <v>2952.8</v>
      </c>
    </row>
    <row r="217" s="1" customFormat="true" ht="15" hidden="false" customHeight="false" outlineLevel="0" collapsed="false">
      <c r="C217" s="8" t="n">
        <v>40391</v>
      </c>
      <c r="D217" s="1" t="n">
        <v>20.7</v>
      </c>
      <c r="E217" s="1" t="n">
        <v>14.2</v>
      </c>
      <c r="F217" s="1" t="n">
        <v>22.8</v>
      </c>
      <c r="J217" s="1" t="n">
        <v>6.7</v>
      </c>
      <c r="L217" s="1" t="n">
        <v>2</v>
      </c>
      <c r="N217" s="1" t="n">
        <v>4.7</v>
      </c>
      <c r="O217" s="1" t="n">
        <f aca="false">N217</f>
        <v>4.7</v>
      </c>
      <c r="P217" s="6"/>
      <c r="T217" s="7" t="n">
        <v>4.7</v>
      </c>
      <c r="V217" s="1" t="n">
        <v>1121.9</v>
      </c>
    </row>
    <row r="218" s="1" customFormat="true" ht="15" hidden="false" customHeight="false" outlineLevel="0" collapsed="false">
      <c r="C218" s="8" t="n">
        <v>40392</v>
      </c>
      <c r="D218" s="1" t="n">
        <v>18.2</v>
      </c>
      <c r="E218" s="1" t="n">
        <v>16.9</v>
      </c>
      <c r="F218" s="1" t="n">
        <v>18.3</v>
      </c>
      <c r="J218" s="1" t="n">
        <v>6.9</v>
      </c>
      <c r="L218" s="1" t="n">
        <v>0.9</v>
      </c>
      <c r="N218" s="1" t="n">
        <v>6</v>
      </c>
      <c r="O218" s="1" t="n">
        <f aca="false">O217+N218</f>
        <v>10.7</v>
      </c>
      <c r="P218" s="6"/>
      <c r="T218" s="7" t="n">
        <v>10.7</v>
      </c>
      <c r="V218" s="1" t="n">
        <v>433</v>
      </c>
    </row>
    <row r="219" s="1" customFormat="true" ht="15" hidden="false" customHeight="false" outlineLevel="0" collapsed="false">
      <c r="C219" s="8" t="n">
        <v>40393</v>
      </c>
      <c r="D219" s="1" t="n">
        <v>20.4</v>
      </c>
      <c r="E219" s="1" t="n">
        <v>17</v>
      </c>
      <c r="F219" s="1" t="n">
        <v>24</v>
      </c>
      <c r="J219" s="1" t="n">
        <v>0</v>
      </c>
      <c r="L219" s="1" t="n">
        <v>4.7</v>
      </c>
      <c r="N219" s="1" t="n">
        <v>-4.7</v>
      </c>
      <c r="O219" s="1" t="n">
        <f aca="false">O218+N219</f>
        <v>6</v>
      </c>
      <c r="P219" s="6"/>
      <c r="T219" s="7" t="n">
        <v>6</v>
      </c>
      <c r="V219" s="1" t="n">
        <v>2241.7</v>
      </c>
    </row>
    <row r="220" s="1" customFormat="true" ht="15" hidden="false" customHeight="false" outlineLevel="0" collapsed="false">
      <c r="C220" s="8" t="n">
        <v>40394</v>
      </c>
      <c r="D220" s="1" t="n">
        <v>20.1</v>
      </c>
      <c r="E220" s="1" t="n">
        <v>17.1</v>
      </c>
      <c r="F220" s="1" t="n">
        <v>23.6</v>
      </c>
      <c r="J220" s="1" t="n">
        <v>1.2</v>
      </c>
      <c r="L220" s="1" t="n">
        <v>3.4</v>
      </c>
      <c r="N220" s="1" t="n">
        <v>-2.2</v>
      </c>
      <c r="O220" s="1" t="n">
        <f aca="false">O219+N220</f>
        <v>3.8</v>
      </c>
      <c r="P220" s="6"/>
      <c r="T220" s="7" t="n">
        <v>3.8</v>
      </c>
      <c r="V220" s="1" t="n">
        <v>1226.3</v>
      </c>
    </row>
    <row r="221" s="1" customFormat="true" ht="15" hidden="false" customHeight="false" outlineLevel="0" collapsed="false">
      <c r="C221" s="8" t="n">
        <v>40395</v>
      </c>
      <c r="D221" s="1" t="n">
        <v>19.9</v>
      </c>
      <c r="E221" s="1" t="n">
        <v>17.3</v>
      </c>
      <c r="F221" s="1" t="n">
        <v>22.9</v>
      </c>
      <c r="J221" s="1" t="n">
        <v>0</v>
      </c>
      <c r="L221" s="1" t="n">
        <v>4.8</v>
      </c>
      <c r="N221" s="1" t="n">
        <v>-4.8</v>
      </c>
      <c r="O221" s="1" t="n">
        <v>0</v>
      </c>
      <c r="P221" s="6"/>
      <c r="T221" s="7" t="n">
        <v>0</v>
      </c>
      <c r="V221" s="1" t="n">
        <v>1908.5</v>
      </c>
    </row>
    <row r="222" s="1" customFormat="true" ht="15" hidden="false" customHeight="false" outlineLevel="0" collapsed="false">
      <c r="C222" s="8" t="n">
        <v>40396</v>
      </c>
      <c r="D222" s="1" t="n">
        <v>19.5</v>
      </c>
      <c r="E222" s="1" t="n">
        <v>14.3</v>
      </c>
      <c r="F222" s="1" t="n">
        <v>24.4</v>
      </c>
      <c r="J222" s="1" t="n">
        <v>0</v>
      </c>
      <c r="L222" s="1" t="n">
        <v>5.5</v>
      </c>
      <c r="N222" s="1" t="n">
        <v>-5.5</v>
      </c>
      <c r="O222" s="1" t="n">
        <v>0</v>
      </c>
      <c r="P222" s="6"/>
      <c r="T222" s="7" t="n">
        <v>0</v>
      </c>
      <c r="V222" s="1" t="n">
        <v>2753.4</v>
      </c>
    </row>
    <row r="223" s="1" customFormat="true" ht="15" hidden="false" customHeight="false" outlineLevel="0" collapsed="false">
      <c r="C223" s="8" t="n">
        <v>40397</v>
      </c>
      <c r="D223" s="1" t="n">
        <v>21.9</v>
      </c>
      <c r="E223" s="1" t="n">
        <v>14.1</v>
      </c>
      <c r="F223" s="1" t="n">
        <v>28.9</v>
      </c>
      <c r="J223" s="1" t="n">
        <v>0</v>
      </c>
      <c r="L223" s="1" t="n">
        <v>6.2</v>
      </c>
      <c r="N223" s="1" t="n">
        <v>-6.2</v>
      </c>
      <c r="O223" s="1" t="n">
        <v>0</v>
      </c>
      <c r="P223" s="6"/>
      <c r="T223" s="7" t="n">
        <v>0</v>
      </c>
      <c r="V223" s="1" t="n">
        <v>2890.1</v>
      </c>
    </row>
    <row r="224" s="1" customFormat="true" ht="15" hidden="false" customHeight="false" outlineLevel="0" collapsed="false">
      <c r="C224" s="8" t="n">
        <v>40398</v>
      </c>
      <c r="D224" s="1" t="n">
        <v>22.5</v>
      </c>
      <c r="E224" s="1" t="n">
        <v>17.3</v>
      </c>
      <c r="F224" s="1" t="n">
        <v>27.7</v>
      </c>
      <c r="J224" s="1" t="n">
        <v>0</v>
      </c>
      <c r="L224" s="1" t="n">
        <v>5.7</v>
      </c>
      <c r="N224" s="1" t="n">
        <v>-5.7</v>
      </c>
      <c r="O224" s="1" t="n">
        <v>0</v>
      </c>
      <c r="P224" s="6"/>
      <c r="T224" s="7" t="n">
        <v>0</v>
      </c>
      <c r="V224" s="1" t="n">
        <v>2577.9</v>
      </c>
    </row>
    <row r="225" s="1" customFormat="true" ht="15" hidden="false" customHeight="false" outlineLevel="0" collapsed="false">
      <c r="C225" s="8" t="n">
        <v>40399</v>
      </c>
      <c r="D225" s="1" t="n">
        <v>21.7</v>
      </c>
      <c r="E225" s="1" t="n">
        <v>18.6</v>
      </c>
      <c r="F225" s="1" t="n">
        <v>26.9</v>
      </c>
      <c r="J225" s="1" t="n">
        <v>0</v>
      </c>
      <c r="L225" s="1" t="n">
        <v>3.5</v>
      </c>
      <c r="N225" s="1" t="n">
        <v>-3.5</v>
      </c>
      <c r="O225" s="1" t="n">
        <v>0</v>
      </c>
      <c r="P225" s="6"/>
      <c r="T225" s="7" t="n">
        <v>0</v>
      </c>
      <c r="V225" s="1" t="n">
        <v>1133.2</v>
      </c>
    </row>
    <row r="226" s="1" customFormat="true" ht="15" hidden="false" customHeight="false" outlineLevel="0" collapsed="false">
      <c r="C226" s="8" t="n">
        <v>40400</v>
      </c>
      <c r="D226" s="1" t="n">
        <v>22.1</v>
      </c>
      <c r="E226" s="1" t="n">
        <v>15.4</v>
      </c>
      <c r="F226" s="1" t="n">
        <v>27.6</v>
      </c>
      <c r="J226" s="1" t="n">
        <v>0</v>
      </c>
      <c r="L226" s="1" t="n">
        <v>4.5</v>
      </c>
      <c r="N226" s="1" t="n">
        <v>-4.5</v>
      </c>
      <c r="O226" s="1" t="n">
        <v>0</v>
      </c>
      <c r="P226" s="6"/>
      <c r="T226" s="7" t="n">
        <v>0</v>
      </c>
      <c r="V226" s="1" t="n">
        <v>2302.7</v>
      </c>
    </row>
    <row r="227" s="1" customFormat="true" ht="15" hidden="false" customHeight="false" outlineLevel="0" collapsed="false">
      <c r="C227" s="8" t="n">
        <v>40401</v>
      </c>
      <c r="D227" s="1" t="n">
        <v>22.2</v>
      </c>
      <c r="E227" s="1" t="n">
        <v>17</v>
      </c>
      <c r="F227" s="1" t="n">
        <v>26.2</v>
      </c>
      <c r="J227" s="1" t="n">
        <v>1.1</v>
      </c>
      <c r="L227" s="1" t="n">
        <v>3.6</v>
      </c>
      <c r="N227" s="1" t="n">
        <v>-2.5</v>
      </c>
      <c r="O227" s="1" t="n">
        <v>0</v>
      </c>
      <c r="P227" s="6"/>
      <c r="T227" s="7" t="n">
        <v>0</v>
      </c>
      <c r="V227" s="1" t="n">
        <v>1313.5</v>
      </c>
    </row>
    <row r="228" s="1" customFormat="true" ht="15" hidden="false" customHeight="false" outlineLevel="0" collapsed="false">
      <c r="C228" s="8" t="n">
        <v>40402</v>
      </c>
      <c r="D228" s="1" t="n">
        <v>21.1</v>
      </c>
      <c r="E228" s="1" t="n">
        <v>18.9</v>
      </c>
      <c r="F228" s="1" t="n">
        <v>25.1</v>
      </c>
      <c r="J228" s="1" t="n">
        <v>0.1</v>
      </c>
      <c r="L228" s="1" t="n">
        <v>4</v>
      </c>
      <c r="N228" s="1" t="n">
        <v>-3.9</v>
      </c>
      <c r="O228" s="1" t="n">
        <v>0</v>
      </c>
      <c r="P228" s="6"/>
      <c r="T228" s="7" t="n">
        <v>0</v>
      </c>
      <c r="V228" s="1" t="n">
        <v>1173.9</v>
      </c>
    </row>
    <row r="229" s="1" customFormat="true" ht="15" hidden="false" customHeight="false" outlineLevel="0" collapsed="false">
      <c r="C229" s="8" t="n">
        <v>40403</v>
      </c>
      <c r="D229" s="1" t="n">
        <v>19.4</v>
      </c>
      <c r="E229" s="1" t="n">
        <v>15.1</v>
      </c>
      <c r="F229" s="1" t="n">
        <v>22.4</v>
      </c>
      <c r="J229" s="1" t="n">
        <v>0</v>
      </c>
      <c r="L229" s="1" t="n">
        <v>4</v>
      </c>
      <c r="N229" s="1" t="n">
        <v>-4</v>
      </c>
      <c r="O229" s="1" t="n">
        <v>0</v>
      </c>
      <c r="P229" s="6"/>
      <c r="T229" s="7" t="n">
        <v>0</v>
      </c>
      <c r="V229" s="1" t="n">
        <v>1465.3</v>
      </c>
    </row>
    <row r="230" s="1" customFormat="true" ht="15" hidden="false" customHeight="false" outlineLevel="0" collapsed="false">
      <c r="C230" s="8" t="n">
        <v>40404</v>
      </c>
      <c r="D230" s="1" t="n">
        <v>19.2</v>
      </c>
      <c r="E230" s="1" t="n">
        <v>15.4</v>
      </c>
      <c r="F230" s="1" t="n">
        <v>24.1</v>
      </c>
      <c r="J230" s="1" t="n">
        <v>0</v>
      </c>
      <c r="L230" s="1" t="n">
        <v>5.2</v>
      </c>
      <c r="N230" s="1" t="n">
        <v>-5.2</v>
      </c>
      <c r="O230" s="1" t="n">
        <v>0</v>
      </c>
      <c r="P230" s="6"/>
      <c r="T230" s="7" t="n">
        <v>0</v>
      </c>
      <c r="V230" s="1" t="n">
        <v>1959.8</v>
      </c>
    </row>
    <row r="231" s="1" customFormat="true" ht="15" hidden="false" customHeight="false" outlineLevel="0" collapsed="false">
      <c r="C231" s="8" t="n">
        <v>40405</v>
      </c>
      <c r="D231" s="1" t="n">
        <v>18</v>
      </c>
      <c r="E231" s="1" t="n">
        <v>15.3</v>
      </c>
      <c r="F231" s="1" t="n">
        <v>22.6</v>
      </c>
      <c r="J231" s="1" t="n">
        <v>1.5</v>
      </c>
      <c r="L231" s="1" t="n">
        <v>4.4</v>
      </c>
      <c r="N231" s="1" t="n">
        <v>-2.9</v>
      </c>
      <c r="O231" s="1" t="n">
        <v>0</v>
      </c>
      <c r="P231" s="6"/>
      <c r="T231" s="7" t="n">
        <v>0</v>
      </c>
      <c r="V231" s="1" t="n">
        <v>2046.2</v>
      </c>
    </row>
    <row r="232" s="1" customFormat="true" ht="15" hidden="false" customHeight="false" outlineLevel="0" collapsed="false">
      <c r="C232" s="8" t="n">
        <v>40406</v>
      </c>
      <c r="D232" s="1" t="n">
        <v>18.5</v>
      </c>
      <c r="E232" s="1" t="n">
        <v>12.9</v>
      </c>
      <c r="F232" s="1" t="n">
        <v>23.9</v>
      </c>
      <c r="J232" s="1" t="n">
        <v>0</v>
      </c>
      <c r="L232" s="1" t="n">
        <v>4.6</v>
      </c>
      <c r="N232" s="1" t="n">
        <v>-4.6</v>
      </c>
      <c r="O232" s="1" t="n">
        <v>0</v>
      </c>
      <c r="P232" s="6"/>
      <c r="T232" s="7" t="n">
        <v>0</v>
      </c>
      <c r="V232" s="1" t="n">
        <v>2306.1</v>
      </c>
    </row>
    <row r="233" s="1" customFormat="true" ht="15" hidden="false" customHeight="false" outlineLevel="0" collapsed="false">
      <c r="C233" s="8" t="n">
        <v>40407</v>
      </c>
      <c r="D233" s="1" t="n">
        <v>21.1</v>
      </c>
      <c r="E233" s="1" t="n">
        <v>12.7</v>
      </c>
      <c r="F233" s="1" t="n">
        <v>28</v>
      </c>
      <c r="J233" s="1" t="n">
        <v>0</v>
      </c>
      <c r="L233" s="1" t="n">
        <v>4.8</v>
      </c>
      <c r="N233" s="1" t="n">
        <v>-4.8</v>
      </c>
      <c r="O233" s="1" t="n">
        <v>0</v>
      </c>
      <c r="P233" s="6"/>
      <c r="T233" s="7" t="n">
        <v>0</v>
      </c>
      <c r="V233" s="1" t="n">
        <v>2352.3</v>
      </c>
    </row>
    <row r="234" s="1" customFormat="true" ht="15" hidden="false" customHeight="false" outlineLevel="0" collapsed="false">
      <c r="C234" s="8" t="n">
        <v>40408</v>
      </c>
      <c r="D234" s="1" t="n">
        <v>21.1</v>
      </c>
      <c r="E234" s="1" t="n">
        <v>16.2</v>
      </c>
      <c r="F234" s="1" t="n">
        <v>27.2</v>
      </c>
      <c r="J234" s="1" t="n">
        <v>0</v>
      </c>
      <c r="L234" s="1" t="n">
        <v>4.3</v>
      </c>
      <c r="N234" s="1" t="n">
        <v>-4.3</v>
      </c>
      <c r="O234" s="1" t="n">
        <v>0</v>
      </c>
      <c r="P234" s="6"/>
      <c r="T234" s="7" t="n">
        <v>0</v>
      </c>
      <c r="V234" s="1" t="n">
        <v>1734.8</v>
      </c>
    </row>
    <row r="235" s="1" customFormat="true" ht="15" hidden="false" customHeight="false" outlineLevel="0" collapsed="false">
      <c r="C235" s="8" t="n">
        <v>40409</v>
      </c>
      <c r="D235" s="1" t="n">
        <v>22.5</v>
      </c>
      <c r="E235" s="1" t="n">
        <v>15.3</v>
      </c>
      <c r="F235" s="1" t="n">
        <v>28.3</v>
      </c>
      <c r="J235" s="1" t="n">
        <v>0</v>
      </c>
      <c r="L235" s="1" t="n">
        <v>2.8</v>
      </c>
      <c r="N235" s="1" t="n">
        <v>-2.8</v>
      </c>
      <c r="O235" s="1" t="n">
        <v>0</v>
      </c>
      <c r="P235" s="6"/>
      <c r="T235" s="7" t="n">
        <v>0</v>
      </c>
      <c r="V235" s="1" t="n">
        <v>1301.5</v>
      </c>
    </row>
    <row r="236" s="1" customFormat="true" ht="15" hidden="false" customHeight="false" outlineLevel="0" collapsed="false">
      <c r="C236" s="8" t="n">
        <v>40410</v>
      </c>
      <c r="D236" s="1" t="n">
        <v>26.2</v>
      </c>
      <c r="E236" s="1" t="n">
        <v>20</v>
      </c>
      <c r="F236" s="1" t="n">
        <v>32.3</v>
      </c>
      <c r="J236" s="1" t="n">
        <v>0</v>
      </c>
      <c r="L236" s="1" t="n">
        <v>4.5</v>
      </c>
      <c r="N236" s="1" t="n">
        <v>-4.5</v>
      </c>
      <c r="O236" s="1" t="n">
        <v>0</v>
      </c>
      <c r="P236" s="6"/>
      <c r="T236" s="7" t="n">
        <v>0</v>
      </c>
      <c r="V236" s="1" t="n">
        <v>1838</v>
      </c>
    </row>
    <row r="237" s="1" customFormat="true" ht="15" hidden="false" customHeight="false" outlineLevel="0" collapsed="false">
      <c r="C237" s="8" t="n">
        <v>40411</v>
      </c>
      <c r="D237" s="1" t="n">
        <v>27.2</v>
      </c>
      <c r="E237" s="1" t="n">
        <v>19.3</v>
      </c>
      <c r="F237" s="1" t="n">
        <v>34.8</v>
      </c>
      <c r="J237" s="1" t="n">
        <v>0</v>
      </c>
      <c r="L237" s="1" t="n">
        <v>6.5</v>
      </c>
      <c r="N237" s="1" t="n">
        <v>-6.5</v>
      </c>
      <c r="O237" s="1" t="n">
        <v>0</v>
      </c>
      <c r="P237" s="6"/>
      <c r="T237" s="7" t="n">
        <v>0</v>
      </c>
      <c r="V237" s="1" t="n">
        <v>2651.6</v>
      </c>
    </row>
    <row r="238" s="1" customFormat="true" ht="15" hidden="false" customHeight="false" outlineLevel="0" collapsed="false">
      <c r="C238" s="8" t="n">
        <v>40412</v>
      </c>
      <c r="D238" s="1" t="n">
        <v>27.1</v>
      </c>
      <c r="E238" s="1" t="n">
        <v>18.5</v>
      </c>
      <c r="F238" s="1" t="n">
        <v>34</v>
      </c>
      <c r="J238" s="1" t="n">
        <v>0</v>
      </c>
      <c r="L238" s="1" t="n">
        <v>5.3</v>
      </c>
      <c r="N238" s="1" t="n">
        <v>-5.3</v>
      </c>
      <c r="O238" s="1" t="n">
        <v>0</v>
      </c>
      <c r="P238" s="6"/>
      <c r="T238" s="7" t="n">
        <v>0</v>
      </c>
      <c r="V238" s="1" t="n">
        <v>2148.5</v>
      </c>
    </row>
    <row r="239" s="1" customFormat="true" ht="15" hidden="false" customHeight="false" outlineLevel="0" collapsed="false">
      <c r="C239" s="8" t="n">
        <v>40413</v>
      </c>
      <c r="D239" s="1" t="n">
        <v>24.1</v>
      </c>
      <c r="E239" s="1" t="n">
        <v>20.1</v>
      </c>
      <c r="F239" s="1" t="n">
        <v>28</v>
      </c>
      <c r="J239" s="1" t="n">
        <v>0</v>
      </c>
      <c r="L239" s="1" t="n">
        <v>2.7</v>
      </c>
      <c r="N239" s="1" t="n">
        <v>-2.7</v>
      </c>
      <c r="O239" s="1" t="n">
        <v>0</v>
      </c>
      <c r="P239" s="6"/>
      <c r="T239" s="7" t="n">
        <v>0</v>
      </c>
      <c r="V239" s="1" t="n">
        <v>912.7</v>
      </c>
    </row>
    <row r="240" s="1" customFormat="true" ht="15" hidden="false" customHeight="false" outlineLevel="0" collapsed="false">
      <c r="C240" s="8" t="n">
        <v>40414</v>
      </c>
      <c r="D240" s="1" t="n">
        <v>21.9</v>
      </c>
      <c r="E240" s="1" t="n">
        <v>21.7</v>
      </c>
      <c r="F240" s="1" t="n">
        <v>24.6</v>
      </c>
      <c r="J240" s="1" t="n">
        <v>0</v>
      </c>
      <c r="L240" s="1" t="n">
        <v>4.2</v>
      </c>
      <c r="N240" s="1" t="n">
        <v>-4.2</v>
      </c>
      <c r="O240" s="1" t="n">
        <v>0</v>
      </c>
      <c r="P240" s="6"/>
      <c r="T240" s="7" t="n">
        <v>0</v>
      </c>
      <c r="V240" s="1" t="n">
        <v>1579.9</v>
      </c>
    </row>
    <row r="241" s="1" customFormat="true" ht="15" hidden="false" customHeight="false" outlineLevel="0" collapsed="false">
      <c r="C241" s="8" t="n">
        <v>40415</v>
      </c>
      <c r="D241" s="1" t="n">
        <v>23.6</v>
      </c>
      <c r="E241" s="1" t="n">
        <v>14.9</v>
      </c>
      <c r="F241" s="1" t="n">
        <v>31.4</v>
      </c>
      <c r="J241" s="1" t="n">
        <v>0</v>
      </c>
      <c r="L241" s="1" t="n">
        <v>5.6</v>
      </c>
      <c r="N241" s="1" t="n">
        <v>-5.6</v>
      </c>
      <c r="O241" s="1" t="n">
        <v>0</v>
      </c>
      <c r="P241" s="6"/>
      <c r="T241" s="7" t="n">
        <v>0</v>
      </c>
      <c r="V241" s="1" t="n">
        <v>2462.4</v>
      </c>
    </row>
    <row r="242" s="1" customFormat="true" ht="15" hidden="false" customHeight="false" outlineLevel="0" collapsed="false">
      <c r="C242" s="8" t="n">
        <v>40416</v>
      </c>
      <c r="D242" s="1" t="n">
        <v>28.3</v>
      </c>
      <c r="E242" s="1" t="n">
        <v>19.1</v>
      </c>
      <c r="F242" s="1" t="n">
        <v>39.1</v>
      </c>
      <c r="J242" s="1" t="n">
        <v>0</v>
      </c>
      <c r="L242" s="1" t="n">
        <v>6.4</v>
      </c>
      <c r="N242" s="1" t="n">
        <v>-6.4</v>
      </c>
      <c r="O242" s="1" t="n">
        <v>0</v>
      </c>
      <c r="P242" s="6"/>
      <c r="T242" s="7" t="n">
        <v>0</v>
      </c>
      <c r="V242" s="1" t="n">
        <v>1982.5</v>
      </c>
    </row>
    <row r="243" s="1" customFormat="true" ht="15" hidden="false" customHeight="false" outlineLevel="0" collapsed="false">
      <c r="C243" s="8" t="n">
        <v>40417</v>
      </c>
      <c r="D243" s="1" t="n">
        <v>25</v>
      </c>
      <c r="E243" s="1" t="n">
        <v>20.9</v>
      </c>
      <c r="F243" s="1" t="n">
        <v>33.3</v>
      </c>
      <c r="J243" s="1" t="n">
        <v>0</v>
      </c>
      <c r="L243" s="1" t="n">
        <v>7.2</v>
      </c>
      <c r="N243" s="1" t="n">
        <v>-7.2</v>
      </c>
      <c r="O243" s="1" t="n">
        <v>0</v>
      </c>
      <c r="P243" s="6"/>
      <c r="T243" s="7" t="n">
        <v>0</v>
      </c>
      <c r="V243" s="1" t="n">
        <v>1505.5</v>
      </c>
    </row>
    <row r="244" s="1" customFormat="true" ht="15" hidden="false" customHeight="false" outlineLevel="0" collapsed="false">
      <c r="C244" s="8" t="n">
        <v>40418</v>
      </c>
      <c r="D244" s="1" t="n">
        <v>21.1</v>
      </c>
      <c r="E244" s="1" t="n">
        <v>18.9</v>
      </c>
      <c r="F244" s="1" t="n">
        <v>25.5</v>
      </c>
      <c r="J244" s="1" t="n">
        <v>0</v>
      </c>
      <c r="L244" s="1" t="n">
        <v>5.6</v>
      </c>
      <c r="N244" s="1" t="n">
        <v>-5.6</v>
      </c>
      <c r="O244" s="1" t="n">
        <v>0</v>
      </c>
      <c r="P244" s="6"/>
      <c r="T244" s="7" t="n">
        <v>0</v>
      </c>
      <c r="V244" s="1" t="n">
        <v>1794.8</v>
      </c>
    </row>
    <row r="245" s="1" customFormat="true" ht="15" hidden="false" customHeight="false" outlineLevel="0" collapsed="false">
      <c r="C245" s="8" t="n">
        <v>40419</v>
      </c>
      <c r="D245" s="1" t="n">
        <v>19.6</v>
      </c>
      <c r="E245" s="1" t="n">
        <v>13</v>
      </c>
      <c r="F245" s="1" t="n">
        <v>26.3</v>
      </c>
      <c r="J245" s="1" t="n">
        <v>0</v>
      </c>
      <c r="L245" s="1" t="n">
        <v>6.1</v>
      </c>
      <c r="N245" s="1" t="n">
        <v>-6.1</v>
      </c>
      <c r="O245" s="1" t="n">
        <v>0</v>
      </c>
      <c r="P245" s="6"/>
      <c r="T245" s="7" t="n">
        <v>0</v>
      </c>
      <c r="V245" s="1" t="n">
        <v>2536.8</v>
      </c>
    </row>
    <row r="246" s="1" customFormat="true" ht="15" hidden="false" customHeight="false" outlineLevel="0" collapsed="false">
      <c r="C246" s="8" t="n">
        <v>40420</v>
      </c>
      <c r="D246" s="1" t="n">
        <v>18</v>
      </c>
      <c r="E246" s="1" t="n">
        <v>13.1</v>
      </c>
      <c r="F246" s="1" t="n">
        <v>22.4</v>
      </c>
      <c r="J246" s="1" t="n">
        <v>0</v>
      </c>
      <c r="L246" s="1" t="n">
        <v>4.7</v>
      </c>
      <c r="N246" s="1" t="n">
        <v>-4.7</v>
      </c>
      <c r="O246" s="1" t="n">
        <v>0</v>
      </c>
      <c r="P246" s="6"/>
      <c r="T246" s="7" t="n">
        <v>0</v>
      </c>
      <c r="V246" s="1" t="n">
        <v>1868.3</v>
      </c>
    </row>
    <row r="247" s="1" customFormat="true" ht="15" hidden="false" customHeight="false" outlineLevel="0" collapsed="false">
      <c r="C247" s="8" t="n">
        <v>40421</v>
      </c>
      <c r="D247" s="1" t="n">
        <v>17.7</v>
      </c>
      <c r="E247" s="1" t="n">
        <v>9.1</v>
      </c>
      <c r="F247" s="1" t="n">
        <v>25.5</v>
      </c>
      <c r="J247" s="1" t="n">
        <v>0</v>
      </c>
      <c r="L247" s="1" t="n">
        <v>4.9</v>
      </c>
      <c r="N247" s="1" t="n">
        <v>-4.9</v>
      </c>
      <c r="O247" s="1" t="n">
        <v>0</v>
      </c>
      <c r="P247" s="6"/>
      <c r="T247" s="7" t="n">
        <v>0</v>
      </c>
      <c r="V247" s="1" t="n">
        <v>2414.2</v>
      </c>
    </row>
    <row r="248" s="1" customFormat="true" ht="15" hidden="false" customHeight="false" outlineLevel="0" collapsed="false">
      <c r="C248" s="8" t="n">
        <v>40422</v>
      </c>
      <c r="D248" s="1" t="n">
        <v>20.3</v>
      </c>
      <c r="E248" s="1" t="n">
        <v>13.3</v>
      </c>
      <c r="F248" s="1" t="n">
        <v>28.5</v>
      </c>
      <c r="J248" s="1" t="n">
        <v>0</v>
      </c>
      <c r="L248" s="1" t="n">
        <v>5.5</v>
      </c>
      <c r="N248" s="1" t="n">
        <v>-5.5</v>
      </c>
      <c r="O248" s="1" t="n">
        <v>0</v>
      </c>
      <c r="P248" s="6"/>
      <c r="T248" s="7" t="n">
        <v>0</v>
      </c>
      <c r="V248" s="1" t="n">
        <v>2112.5</v>
      </c>
    </row>
    <row r="249" s="1" customFormat="true" ht="15" hidden="false" customHeight="false" outlineLevel="0" collapsed="false">
      <c r="C249" s="8" t="n">
        <v>40423</v>
      </c>
      <c r="D249" s="1" t="n">
        <v>21.3</v>
      </c>
      <c r="E249" s="1" t="n">
        <v>15.6</v>
      </c>
      <c r="F249" s="1" t="n">
        <v>27.6</v>
      </c>
      <c r="J249" s="1" t="n">
        <v>0</v>
      </c>
      <c r="L249" s="1" t="n">
        <v>3.5</v>
      </c>
      <c r="N249" s="1" t="n">
        <v>-3.5</v>
      </c>
      <c r="O249" s="1" t="n">
        <v>0</v>
      </c>
      <c r="P249" s="6"/>
      <c r="T249" s="7" t="n">
        <v>0</v>
      </c>
      <c r="V249" s="1" t="n">
        <v>1550.7</v>
      </c>
    </row>
    <row r="250" s="1" customFormat="true" ht="15" hidden="false" customHeight="false" outlineLevel="0" collapsed="false">
      <c r="C250" s="8" t="n">
        <v>40424</v>
      </c>
      <c r="D250" s="1" t="n">
        <v>22.3</v>
      </c>
      <c r="E250" s="1" t="n">
        <v>15.8</v>
      </c>
      <c r="F250" s="1" t="n">
        <v>27.6</v>
      </c>
      <c r="J250" s="1" t="n">
        <v>0</v>
      </c>
      <c r="L250" s="1" t="n">
        <v>5.1</v>
      </c>
      <c r="N250" s="1" t="n">
        <v>-5.1</v>
      </c>
      <c r="O250" s="1" t="n">
        <v>0</v>
      </c>
      <c r="P250" s="6"/>
      <c r="T250" s="7" t="n">
        <v>0</v>
      </c>
      <c r="V250" s="1" t="n">
        <v>2312.6</v>
      </c>
    </row>
    <row r="251" s="1" customFormat="true" ht="15" hidden="false" customHeight="false" outlineLevel="0" collapsed="false">
      <c r="C251" s="8" t="n">
        <v>40425</v>
      </c>
      <c r="D251" s="1" t="n">
        <v>20.7</v>
      </c>
      <c r="E251" s="1" t="n">
        <v>14.6</v>
      </c>
      <c r="F251" s="1" t="n">
        <v>28.3</v>
      </c>
      <c r="J251" s="1" t="n">
        <v>0</v>
      </c>
      <c r="L251" s="1" t="n">
        <v>3.5</v>
      </c>
      <c r="N251" s="1" t="n">
        <v>-3.5</v>
      </c>
      <c r="O251" s="1" t="n">
        <v>0</v>
      </c>
      <c r="P251" s="6"/>
      <c r="T251" s="7" t="n">
        <v>0</v>
      </c>
      <c r="V251" s="1" t="n">
        <v>1697.5</v>
      </c>
    </row>
    <row r="252" s="1" customFormat="true" ht="15" hidden="false" customHeight="false" outlineLevel="0" collapsed="false">
      <c r="C252" s="8" t="n">
        <v>40426</v>
      </c>
      <c r="D252" s="1" t="n">
        <v>22.5</v>
      </c>
      <c r="E252" s="1" t="n">
        <v>11.5</v>
      </c>
      <c r="F252" s="1" t="n">
        <v>30.9</v>
      </c>
      <c r="J252" s="1" t="n">
        <v>0</v>
      </c>
      <c r="L252" s="1" t="n">
        <v>5.4</v>
      </c>
      <c r="N252" s="1" t="n">
        <v>-5.4</v>
      </c>
      <c r="O252" s="1" t="n">
        <v>0</v>
      </c>
      <c r="P252" s="6"/>
      <c r="T252" s="7" t="n">
        <v>0</v>
      </c>
      <c r="V252" s="1" t="n">
        <v>2262.8</v>
      </c>
    </row>
    <row r="253" s="1" customFormat="true" ht="15" hidden="false" customHeight="false" outlineLevel="0" collapsed="false">
      <c r="C253" s="8" t="n">
        <v>40427</v>
      </c>
      <c r="D253" s="1" t="n">
        <v>21.3</v>
      </c>
      <c r="E253" s="1" t="n">
        <v>16.3</v>
      </c>
      <c r="F253" s="1" t="n">
        <v>26.8</v>
      </c>
      <c r="J253" s="1" t="n">
        <v>6.5</v>
      </c>
      <c r="L253" s="1" t="n">
        <v>2.3</v>
      </c>
      <c r="N253" s="1" t="n">
        <v>4.2</v>
      </c>
      <c r="O253" s="1" t="n">
        <f aca="false">O252+N253</f>
        <v>4.2</v>
      </c>
      <c r="P253" s="6"/>
      <c r="T253" s="7" t="n">
        <v>4.2</v>
      </c>
      <c r="V253" s="1" t="n">
        <v>849.5</v>
      </c>
    </row>
    <row r="254" s="1" customFormat="true" ht="15" hidden="false" customHeight="false" outlineLevel="0" collapsed="false">
      <c r="C254" s="8" t="n">
        <v>40428</v>
      </c>
      <c r="D254" s="1" t="n">
        <v>19.9</v>
      </c>
      <c r="E254" s="1" t="n">
        <v>17.2</v>
      </c>
      <c r="F254" s="1" t="n">
        <v>22.4</v>
      </c>
      <c r="J254" s="1" t="n">
        <v>3.9</v>
      </c>
      <c r="L254" s="1" t="n">
        <v>2</v>
      </c>
      <c r="N254" s="1" t="n">
        <v>1.9</v>
      </c>
      <c r="O254" s="1" t="n">
        <f aca="false">O253+N254</f>
        <v>6.1</v>
      </c>
      <c r="P254" s="6"/>
      <c r="T254" s="7" t="n">
        <v>6.1</v>
      </c>
      <c r="V254" s="1" t="n">
        <v>696.6</v>
      </c>
    </row>
    <row r="255" s="1" customFormat="true" ht="15" hidden="false" customHeight="false" outlineLevel="0" collapsed="false">
      <c r="A255" s="13" t="s">
        <v>28</v>
      </c>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1" customFormat="true" ht="15" hidden="false" customHeight="false" outlineLevel="0" collapsed="false">
      <c r="A256" s="14" t="s">
        <v>29</v>
      </c>
      <c r="B256" s="2"/>
      <c r="C256" s="8" t="n">
        <v>40429</v>
      </c>
      <c r="D256" s="1" t="n">
        <v>18.2</v>
      </c>
      <c r="E256" s="1" t="n">
        <v>14.7</v>
      </c>
      <c r="F256" s="1" t="n">
        <v>23.3</v>
      </c>
      <c r="G256" s="1" t="n">
        <f aca="false">D256</f>
        <v>18.2</v>
      </c>
      <c r="I256" s="15" t="s">
        <v>30</v>
      </c>
      <c r="J256" s="1" t="n">
        <v>1.6</v>
      </c>
      <c r="K256" s="1" t="n">
        <f aca="false">J256</f>
        <v>1.6</v>
      </c>
      <c r="L256" s="1" t="n">
        <v>4.3</v>
      </c>
      <c r="M256" s="1" t="n">
        <f aca="false">L256</f>
        <v>4.3</v>
      </c>
      <c r="N256" s="1" t="n">
        <v>-2.7</v>
      </c>
      <c r="O256" s="1" t="n">
        <f aca="false">O254+N256</f>
        <v>3.4</v>
      </c>
      <c r="P256" s="6" t="n">
        <v>1</v>
      </c>
      <c r="Q256" s="1" t="n">
        <v>0.35</v>
      </c>
      <c r="R256" s="16" t="n">
        <f aca="false">Q256*L256</f>
        <v>1.505</v>
      </c>
      <c r="S256" s="16" t="n">
        <f aca="false">J256-R256</f>
        <v>0.0950000000000002</v>
      </c>
      <c r="T256" s="17" t="n">
        <f aca="false">T254+S256</f>
        <v>6.195</v>
      </c>
      <c r="U256" s="15" t="s">
        <v>31</v>
      </c>
      <c r="V256" s="1" t="n">
        <v>1662.7</v>
      </c>
      <c r="X256" s="1" t="n">
        <f aca="false">V256</f>
        <v>1662.7</v>
      </c>
      <c r="Z256" s="15" t="s">
        <v>32</v>
      </c>
      <c r="AA256" s="1" t="n">
        <v>12.9280310846554</v>
      </c>
    </row>
    <row r="257" s="1" customFormat="true" ht="15" hidden="false" customHeight="false" outlineLevel="0" collapsed="false">
      <c r="A257" s="14"/>
      <c r="B257" s="2"/>
      <c r="C257" s="8" t="n">
        <v>40430</v>
      </c>
      <c r="D257" s="1" t="n">
        <v>18.4</v>
      </c>
      <c r="E257" s="1" t="n">
        <v>15</v>
      </c>
      <c r="F257" s="1" t="n">
        <v>21.1</v>
      </c>
      <c r="G257" s="1" t="n">
        <f aca="false">G256+D257</f>
        <v>36.6</v>
      </c>
      <c r="I257" s="1" t="n">
        <f aca="false">MIN(E256:E332)</f>
        <v>0</v>
      </c>
      <c r="J257" s="1" t="n">
        <v>0.1</v>
      </c>
      <c r="K257" s="1" t="n">
        <f aca="false">K256+J257</f>
        <v>1.7</v>
      </c>
      <c r="L257" s="1" t="n">
        <v>3.2</v>
      </c>
      <c r="M257" s="1" t="n">
        <f aca="false">M256+L257</f>
        <v>7.5</v>
      </c>
      <c r="N257" s="1" t="n">
        <v>-3.1</v>
      </c>
      <c r="O257" s="1" t="n">
        <f aca="false">O256+N257</f>
        <v>0.3</v>
      </c>
      <c r="P257" s="6" t="n">
        <v>2</v>
      </c>
      <c r="Q257" s="1" t="n">
        <v>0.35</v>
      </c>
      <c r="R257" s="16" t="n">
        <f aca="false">Q257*L257</f>
        <v>1.12</v>
      </c>
      <c r="S257" s="16" t="n">
        <f aca="false">J257-R257</f>
        <v>-1.02</v>
      </c>
      <c r="T257" s="17" t="n">
        <f aca="false">T256+S257</f>
        <v>5.175</v>
      </c>
      <c r="U257" s="1" t="n">
        <v>53</v>
      </c>
      <c r="V257" s="1" t="n">
        <v>1503.9</v>
      </c>
      <c r="X257" s="1" t="n">
        <f aca="false">X256+V257</f>
        <v>3166.6</v>
      </c>
      <c r="Z257" s="1" t="n">
        <v>72079.8</v>
      </c>
      <c r="AA257" s="1" t="n">
        <v>12.8790942490585</v>
      </c>
    </row>
    <row r="258" s="1" customFormat="true" ht="15" hidden="false" customHeight="false" outlineLevel="0" collapsed="false">
      <c r="A258" s="14"/>
      <c r="B258" s="2"/>
      <c r="C258" s="8" t="n">
        <v>40431</v>
      </c>
      <c r="D258" s="1" t="n">
        <v>18.9</v>
      </c>
      <c r="E258" s="1" t="n">
        <v>15</v>
      </c>
      <c r="F258" s="1" t="n">
        <v>23.6</v>
      </c>
      <c r="G258" s="1" t="n">
        <f aca="false">G257+D258</f>
        <v>55.5</v>
      </c>
      <c r="I258" s="15" t="s">
        <v>33</v>
      </c>
      <c r="J258" s="1" t="n">
        <v>0</v>
      </c>
      <c r="K258" s="1" t="n">
        <f aca="false">K257+J258</f>
        <v>1.7</v>
      </c>
      <c r="L258" s="1" t="n">
        <v>3.7</v>
      </c>
      <c r="M258" s="1" t="n">
        <f aca="false">M257+L258</f>
        <v>11.2</v>
      </c>
      <c r="N258" s="1" t="n">
        <v>-3.7</v>
      </c>
      <c r="O258" s="1" t="n">
        <v>0</v>
      </c>
      <c r="P258" s="6" t="n">
        <v>3</v>
      </c>
      <c r="Q258" s="1" t="n">
        <v>0.35</v>
      </c>
      <c r="R258" s="16" t="n">
        <f aca="false">Q258*L258</f>
        <v>1.295</v>
      </c>
      <c r="S258" s="16" t="n">
        <f aca="false">J258-R258</f>
        <v>-1.295</v>
      </c>
      <c r="T258" s="17" t="n">
        <f aca="false">T257+S258</f>
        <v>3.88</v>
      </c>
      <c r="U258" s="15" t="s">
        <v>34</v>
      </c>
      <c r="V258" s="1" t="n">
        <v>1703.1</v>
      </c>
      <c r="X258" s="1" t="n">
        <f aca="false">X257+V258</f>
        <v>4869.7</v>
      </c>
      <c r="Z258" s="15" t="s">
        <v>35</v>
      </c>
      <c r="AA258" s="1" t="n">
        <v>12.8300590613851</v>
      </c>
    </row>
    <row r="259" s="1" customFormat="true" ht="15" hidden="false" customHeight="false" outlineLevel="0" collapsed="false">
      <c r="A259" s="14"/>
      <c r="B259" s="2"/>
      <c r="C259" s="8" t="n">
        <v>40432</v>
      </c>
      <c r="D259" s="1" t="n">
        <v>19.8</v>
      </c>
      <c r="E259" s="1" t="n">
        <v>10.2</v>
      </c>
      <c r="F259" s="1" t="n">
        <v>27.8</v>
      </c>
      <c r="G259" s="1" t="n">
        <f aca="false">G258+D259</f>
        <v>75.3</v>
      </c>
      <c r="I259" s="1" t="n">
        <f aca="false">MAX(F256:F332)</f>
        <v>28.3</v>
      </c>
      <c r="J259" s="1" t="n">
        <v>0</v>
      </c>
      <c r="K259" s="1" t="n">
        <f aca="false">K258+J259</f>
        <v>1.7</v>
      </c>
      <c r="L259" s="1" t="n">
        <v>4.3</v>
      </c>
      <c r="M259" s="1" t="n">
        <f aca="false">M258+L259</f>
        <v>15.5</v>
      </c>
      <c r="N259" s="1" t="n">
        <v>-4.3</v>
      </c>
      <c r="O259" s="1" t="n">
        <v>0</v>
      </c>
      <c r="P259" s="6" t="n">
        <v>4</v>
      </c>
      <c r="Q259" s="1" t="n">
        <v>0.35</v>
      </c>
      <c r="R259" s="16" t="n">
        <f aca="false">Q259*L259</f>
        <v>1.505</v>
      </c>
      <c r="S259" s="16" t="n">
        <f aca="false">J259-R259</f>
        <v>-1.505</v>
      </c>
      <c r="T259" s="17" t="n">
        <f aca="false">T258+S259</f>
        <v>2.375</v>
      </c>
      <c r="U259" s="1" t="n">
        <v>4</v>
      </c>
      <c r="V259" s="1" t="n">
        <v>2033.7</v>
      </c>
      <c r="X259" s="1" t="n">
        <f aca="false">X258+V259</f>
        <v>6903.4</v>
      </c>
      <c r="Z259" s="18" t="n">
        <f aca="false">(X332/100)/I269</f>
        <v>0.685038965976051</v>
      </c>
      <c r="AA259" s="1" t="n">
        <v>12.7809319685861</v>
      </c>
    </row>
    <row r="260" s="1" customFormat="true" ht="15" hidden="false" customHeight="false" outlineLevel="0" collapsed="false">
      <c r="A260" s="14"/>
      <c r="B260" s="2"/>
      <c r="C260" s="8" t="n">
        <v>40433</v>
      </c>
      <c r="D260" s="1" t="n">
        <v>21.1</v>
      </c>
      <c r="E260" s="1" t="n">
        <v>16.8</v>
      </c>
      <c r="F260" s="1" t="n">
        <v>26</v>
      </c>
      <c r="G260" s="1" t="n">
        <f aca="false">G259+D260</f>
        <v>96.4</v>
      </c>
      <c r="I260" s="15" t="s">
        <v>36</v>
      </c>
      <c r="J260" s="1" t="n">
        <v>0</v>
      </c>
      <c r="K260" s="1" t="n">
        <f aca="false">K259+J260</f>
        <v>1.7</v>
      </c>
      <c r="L260" s="1" t="n">
        <v>4.2</v>
      </c>
      <c r="M260" s="1" t="n">
        <f aca="false">M259+L260</f>
        <v>19.7</v>
      </c>
      <c r="N260" s="1" t="n">
        <v>-4.2</v>
      </c>
      <c r="O260" s="1" t="n">
        <v>0</v>
      </c>
      <c r="P260" s="6" t="n">
        <v>5</v>
      </c>
      <c r="Q260" s="1" t="n">
        <v>0.35</v>
      </c>
      <c r="R260" s="16" t="n">
        <f aca="false">Q260*L260</f>
        <v>1.47</v>
      </c>
      <c r="S260" s="16" t="n">
        <f aca="false">J260-R260</f>
        <v>-1.47</v>
      </c>
      <c r="T260" s="17" t="n">
        <f aca="false">T259+S260</f>
        <v>0.905000000000001</v>
      </c>
      <c r="U260" s="15" t="s">
        <v>37</v>
      </c>
      <c r="V260" s="1" t="n">
        <v>1432.8</v>
      </c>
      <c r="X260" s="1" t="n">
        <f aca="false">X259+V260</f>
        <v>8336.2</v>
      </c>
      <c r="Z260" s="15" t="s">
        <v>38</v>
      </c>
      <c r="AA260" s="1" t="n">
        <v>12.7317192591215</v>
      </c>
    </row>
    <row r="261" s="1" customFormat="true" ht="15" hidden="false" customHeight="false" outlineLevel="0" collapsed="false">
      <c r="A261" s="14"/>
      <c r="B261" s="2"/>
      <c r="C261" s="8" t="n">
        <v>40434</v>
      </c>
      <c r="D261" s="1" t="n">
        <v>19.4</v>
      </c>
      <c r="E261" s="1" t="n">
        <v>15</v>
      </c>
      <c r="F261" s="1" t="n">
        <v>24.6</v>
      </c>
      <c r="G261" s="1" t="n">
        <f aca="false">G260+D261</f>
        <v>115.8</v>
      </c>
      <c r="I261" s="16" t="n">
        <f aca="false">AVERAGE(D256:D332)</f>
        <v>13.6649350649351</v>
      </c>
      <c r="J261" s="1" t="n">
        <v>0</v>
      </c>
      <c r="K261" s="1" t="n">
        <f aca="false">K260+J261</f>
        <v>1.7</v>
      </c>
      <c r="L261" s="1" t="n">
        <v>4.4</v>
      </c>
      <c r="M261" s="1" t="n">
        <f aca="false">M260+L261</f>
        <v>24.1</v>
      </c>
      <c r="N261" s="1" t="n">
        <v>-4.4</v>
      </c>
      <c r="O261" s="1" t="n">
        <v>0</v>
      </c>
      <c r="P261" s="6" t="n">
        <v>6</v>
      </c>
      <c r="Q261" s="1" t="n">
        <v>0.35</v>
      </c>
      <c r="R261" s="16" t="n">
        <f aca="false">Q261*L261</f>
        <v>1.54</v>
      </c>
      <c r="S261" s="16" t="n">
        <f aca="false">J261-R261</f>
        <v>-1.54</v>
      </c>
      <c r="T261" s="17" t="n">
        <v>0</v>
      </c>
      <c r="U261" s="1" t="n">
        <v>28</v>
      </c>
      <c r="V261" s="1" t="n">
        <v>1559.4</v>
      </c>
      <c r="X261" s="1" t="n">
        <f aca="false">X260+V261</f>
        <v>9895.6</v>
      </c>
      <c r="Z261" s="1" t="n">
        <v>35</v>
      </c>
      <c r="AA261" s="1" t="n">
        <v>12.6824270755802</v>
      </c>
    </row>
    <row r="262" s="1" customFormat="true" ht="15" hidden="false" customHeight="false" outlineLevel="0" collapsed="false">
      <c r="A262" s="14"/>
      <c r="B262" s="2"/>
      <c r="C262" s="8" t="n">
        <v>40435</v>
      </c>
      <c r="D262" s="1" t="n">
        <v>18.6</v>
      </c>
      <c r="E262" s="1" t="n">
        <v>11</v>
      </c>
      <c r="F262" s="1" t="n">
        <v>25.1</v>
      </c>
      <c r="G262" s="1" t="n">
        <f aca="false">G261+D262</f>
        <v>134.4</v>
      </c>
      <c r="I262" s="15" t="s">
        <v>39</v>
      </c>
      <c r="J262" s="1" t="n">
        <v>0</v>
      </c>
      <c r="K262" s="1" t="n">
        <f aca="false">K261+J262</f>
        <v>1.7</v>
      </c>
      <c r="L262" s="1" t="n">
        <v>3.5</v>
      </c>
      <c r="M262" s="1" t="n">
        <f aca="false">M261+L262</f>
        <v>27.6</v>
      </c>
      <c r="N262" s="1" t="n">
        <v>-3.5</v>
      </c>
      <c r="O262" s="1" t="n">
        <v>0</v>
      </c>
      <c r="P262" s="6" t="n">
        <v>7</v>
      </c>
      <c r="Q262" s="1" t="n">
        <v>0.35</v>
      </c>
      <c r="R262" s="16" t="n">
        <f aca="false">Q262*L262</f>
        <v>1.225</v>
      </c>
      <c r="S262" s="16" t="n">
        <f aca="false">J262-R262</f>
        <v>-1.225</v>
      </c>
      <c r="T262" s="17" t="n">
        <v>0</v>
      </c>
      <c r="U262" s="15" t="s">
        <v>40</v>
      </c>
      <c r="V262" s="1" t="n">
        <v>1648.6</v>
      </c>
      <c r="X262" s="1" t="n">
        <f aca="false">X261+V262</f>
        <v>11544.2</v>
      </c>
      <c r="AA262" s="1" t="n">
        <v>12.6330614274066</v>
      </c>
    </row>
    <row r="263" s="1" customFormat="true" ht="15" hidden="false" customHeight="false" outlineLevel="0" collapsed="false">
      <c r="A263" s="14"/>
      <c r="B263" s="2"/>
      <c r="C263" s="8" t="n">
        <v>40436</v>
      </c>
      <c r="D263" s="1" t="n">
        <v>20.2</v>
      </c>
      <c r="E263" s="1" t="n">
        <v>11.6</v>
      </c>
      <c r="F263" s="1" t="n">
        <v>28.1</v>
      </c>
      <c r="G263" s="1" t="n">
        <f aca="false">G262+D263</f>
        <v>154.6</v>
      </c>
      <c r="I263" s="1" t="n">
        <v>0</v>
      </c>
      <c r="J263" s="1" t="n">
        <v>0</v>
      </c>
      <c r="K263" s="1" t="n">
        <f aca="false">K262+J263</f>
        <v>1.7</v>
      </c>
      <c r="L263" s="1" t="n">
        <v>4.1</v>
      </c>
      <c r="M263" s="1" t="n">
        <f aca="false">M262+L263</f>
        <v>31.7</v>
      </c>
      <c r="N263" s="1" t="n">
        <v>-4.1</v>
      </c>
      <c r="O263" s="1" t="n">
        <v>0</v>
      </c>
      <c r="P263" s="6" t="n">
        <v>8</v>
      </c>
      <c r="Q263" s="1" t="n">
        <f aca="false">0.35+((P263-7)/70)*(1-0.35)</f>
        <v>0.359285714285714</v>
      </c>
      <c r="R263" s="16" t="n">
        <f aca="false">Q263*L263</f>
        <v>1.47307142857143</v>
      </c>
      <c r="S263" s="16" t="n">
        <f aca="false">J263-R263</f>
        <v>-1.47307142857143</v>
      </c>
      <c r="T263" s="17" t="n">
        <v>0</v>
      </c>
      <c r="U263" s="16" t="n">
        <f aca="false">MIN(T256:T332)</f>
        <v>0</v>
      </c>
      <c r="V263" s="1" t="n">
        <v>1829.4</v>
      </c>
      <c r="X263" s="1" t="n">
        <f aca="false">X262+V263</f>
        <v>13373.6</v>
      </c>
      <c r="AA263" s="1" t="n">
        <v>12.5836282037275</v>
      </c>
    </row>
    <row r="264" s="1" customFormat="true" ht="15" hidden="false" customHeight="false" outlineLevel="0" collapsed="false">
      <c r="A264" s="14"/>
      <c r="B264" s="2"/>
      <c r="C264" s="8" t="n">
        <v>40437</v>
      </c>
      <c r="D264" s="1" t="n">
        <v>16.4</v>
      </c>
      <c r="E264" s="1" t="n">
        <v>15.2</v>
      </c>
      <c r="F264" s="1" t="n">
        <v>17.1</v>
      </c>
      <c r="G264" s="1" t="n">
        <f aca="false">G263+D264</f>
        <v>171</v>
      </c>
      <c r="I264" s="15" t="s">
        <v>41</v>
      </c>
      <c r="J264" s="1" t="n">
        <v>4.4</v>
      </c>
      <c r="K264" s="1" t="n">
        <f aca="false">K263+J264</f>
        <v>6.1</v>
      </c>
      <c r="L264" s="1" t="n">
        <v>1.1</v>
      </c>
      <c r="M264" s="1" t="n">
        <f aca="false">M263+L264</f>
        <v>32.8</v>
      </c>
      <c r="N264" s="1" t="n">
        <v>3.3</v>
      </c>
      <c r="O264" s="1" t="n">
        <f aca="false">O263+N264</f>
        <v>3.3</v>
      </c>
      <c r="P264" s="6" t="n">
        <v>9</v>
      </c>
      <c r="Q264" s="1" t="n">
        <f aca="false">0.35+((P264-7)/70)*(1-0.35)</f>
        <v>0.368571428571429</v>
      </c>
      <c r="R264" s="16" t="n">
        <f aca="false">Q264*L264</f>
        <v>0.405428571428571</v>
      </c>
      <c r="S264" s="16" t="n">
        <f aca="false">J264-R264</f>
        <v>3.99457142857143</v>
      </c>
      <c r="T264" s="17" t="n">
        <f aca="false">T263+S264</f>
        <v>3.99457142857143</v>
      </c>
      <c r="U264" s="15" t="s">
        <v>42</v>
      </c>
      <c r="V264" s="1" t="n">
        <v>378.2</v>
      </c>
      <c r="X264" s="1" t="n">
        <f aca="false">X263+V264</f>
        <v>13751.8</v>
      </c>
      <c r="AA264" s="1" t="n">
        <v>12.5341331862727</v>
      </c>
    </row>
    <row r="265" s="1" customFormat="true" ht="15" hidden="false" customHeight="false" outlineLevel="0" collapsed="false">
      <c r="A265" s="14"/>
      <c r="B265" s="2"/>
      <c r="C265" s="8" t="n">
        <v>40438</v>
      </c>
      <c r="D265" s="1" t="n">
        <v>17.7</v>
      </c>
      <c r="E265" s="1" t="n">
        <v>15.1</v>
      </c>
      <c r="F265" s="1" t="n">
        <v>21.2</v>
      </c>
      <c r="G265" s="1" t="n">
        <f aca="false">G264+D265</f>
        <v>188.7</v>
      </c>
      <c r="I265" s="1" t="n">
        <v>9</v>
      </c>
      <c r="J265" s="1" t="n">
        <v>2.3</v>
      </c>
      <c r="K265" s="1" t="n">
        <f aca="false">K264+J265</f>
        <v>8.4</v>
      </c>
      <c r="L265" s="1" t="n">
        <v>1.5</v>
      </c>
      <c r="M265" s="1" t="n">
        <f aca="false">M264+L265</f>
        <v>34.3</v>
      </c>
      <c r="N265" s="1" t="n">
        <v>0.8</v>
      </c>
      <c r="O265" s="1" t="n">
        <f aca="false">O264+N265</f>
        <v>4.1</v>
      </c>
      <c r="P265" s="6" t="n">
        <v>10</v>
      </c>
      <c r="Q265" s="1" t="n">
        <f aca="false">0.35+((P265-7)/70)*(1-0.35)</f>
        <v>0.377857142857143</v>
      </c>
      <c r="R265" s="16" t="n">
        <f aca="false">Q265*L265</f>
        <v>0.566785714285714</v>
      </c>
      <c r="S265" s="16" t="n">
        <f aca="false">J265-R265</f>
        <v>1.73321428571429</v>
      </c>
      <c r="T265" s="17" t="n">
        <f aca="false">T264+S265</f>
        <v>5.72778571428572</v>
      </c>
      <c r="U265" s="16" t="n">
        <f aca="false">MAX(T256:T332)</f>
        <v>102.909714285714</v>
      </c>
      <c r="V265" s="1" t="n">
        <v>403.4</v>
      </c>
      <c r="X265" s="1" t="n">
        <f aca="false">X264+V265</f>
        <v>14155.2</v>
      </c>
      <c r="AA265" s="1" t="n">
        <v>12.4845820623847</v>
      </c>
    </row>
    <row r="266" s="1" customFormat="true" ht="15" hidden="false" customHeight="false" outlineLevel="0" collapsed="false">
      <c r="A266" s="14"/>
      <c r="B266" s="2"/>
      <c r="C266" s="8" t="n">
        <v>40439</v>
      </c>
      <c r="D266" s="1" t="n">
        <v>16.6</v>
      </c>
      <c r="E266" s="1" t="n">
        <v>14.1</v>
      </c>
      <c r="F266" s="1" t="n">
        <v>19.6</v>
      </c>
      <c r="G266" s="1" t="n">
        <f aca="false">G265+D266</f>
        <v>205.3</v>
      </c>
      <c r="I266" s="15" t="s">
        <v>43</v>
      </c>
      <c r="J266" s="1" t="n">
        <v>0.2</v>
      </c>
      <c r="K266" s="1" t="n">
        <f aca="false">K265+J266</f>
        <v>8.6</v>
      </c>
      <c r="L266" s="1" t="n">
        <v>2.9</v>
      </c>
      <c r="M266" s="1" t="n">
        <f aca="false">M265+L266</f>
        <v>37.2</v>
      </c>
      <c r="N266" s="1" t="n">
        <v>-2.7</v>
      </c>
      <c r="O266" s="1" t="n">
        <f aca="false">O265+N266</f>
        <v>1.4</v>
      </c>
      <c r="P266" s="6" t="n">
        <v>11</v>
      </c>
      <c r="Q266" s="1" t="n">
        <f aca="false">0.35+((P266-7)/70)*(1-0.35)</f>
        <v>0.387142857142857</v>
      </c>
      <c r="R266" s="16" t="n">
        <f aca="false">Q266*L266</f>
        <v>1.12271428571429</v>
      </c>
      <c r="S266" s="16" t="n">
        <f aca="false">J266-R266</f>
        <v>-0.922714285714286</v>
      </c>
      <c r="T266" s="17" t="n">
        <f aca="false">T265+S266</f>
        <v>4.80507142857143</v>
      </c>
      <c r="U266" s="15" t="s">
        <v>44</v>
      </c>
      <c r="V266" s="1" t="n">
        <v>1268.4</v>
      </c>
      <c r="X266" s="1" t="n">
        <f aca="false">X265+V266</f>
        <v>15423.6</v>
      </c>
      <c r="AA266" s="1" t="n">
        <v>12.4349804381154</v>
      </c>
    </row>
    <row r="267" s="1" customFormat="true" ht="15" hidden="false" customHeight="false" outlineLevel="0" collapsed="false">
      <c r="A267" s="14"/>
      <c r="B267" s="2"/>
      <c r="C267" s="8" t="n">
        <v>40440</v>
      </c>
      <c r="D267" s="1" t="n">
        <v>14.2</v>
      </c>
      <c r="E267" s="1" t="n">
        <v>7.7</v>
      </c>
      <c r="F267" s="1" t="n">
        <v>22.1</v>
      </c>
      <c r="G267" s="1" t="n">
        <f aca="false">G266+D267</f>
        <v>219.5</v>
      </c>
      <c r="I267" s="1" t="n">
        <v>8</v>
      </c>
      <c r="J267" s="1" t="n">
        <v>0</v>
      </c>
      <c r="K267" s="1" t="n">
        <f aca="false">K266+J267</f>
        <v>8.6</v>
      </c>
      <c r="L267" s="1" t="n">
        <v>3.8</v>
      </c>
      <c r="M267" s="1" t="n">
        <f aca="false">M266+L267</f>
        <v>41</v>
      </c>
      <c r="N267" s="1" t="n">
        <v>-3.8</v>
      </c>
      <c r="O267" s="1" t="n">
        <v>0</v>
      </c>
      <c r="P267" s="6" t="n">
        <v>12</v>
      </c>
      <c r="Q267" s="1" t="n">
        <f aca="false">0.35+((P267-7)/70)*(1-0.35)</f>
        <v>0.396428571428571</v>
      </c>
      <c r="R267" s="16" t="n">
        <f aca="false">Q267*L267</f>
        <v>1.50642857142857</v>
      </c>
      <c r="S267" s="16" t="n">
        <f aca="false">J267-R267</f>
        <v>-1.50642857142857</v>
      </c>
      <c r="T267" s="17" t="n">
        <f aca="false">T266+S267</f>
        <v>3.29864285714286</v>
      </c>
      <c r="U267" s="18" t="n">
        <f aca="false">AVERAGE(T256:T332)</f>
        <v>42.6601447124304</v>
      </c>
      <c r="V267" s="1" t="n">
        <v>2002.4</v>
      </c>
      <c r="X267" s="1" t="n">
        <f aca="false">X266+V267</f>
        <v>17426</v>
      </c>
      <c r="AA267" s="1" t="n">
        <v>12.3853338514052</v>
      </c>
    </row>
    <row r="268" s="1" customFormat="true" ht="15" hidden="false" customHeight="false" outlineLevel="0" collapsed="false">
      <c r="A268" s="14"/>
      <c r="B268" s="2"/>
      <c r="C268" s="8" t="n">
        <v>40441</v>
      </c>
      <c r="D268" s="1" t="n">
        <v>17</v>
      </c>
      <c r="E268" s="1" t="n">
        <v>6.9</v>
      </c>
      <c r="F268" s="1" t="n">
        <v>25.8</v>
      </c>
      <c r="G268" s="1" t="n">
        <f aca="false">G267+D268</f>
        <v>236.5</v>
      </c>
      <c r="I268" s="15" t="s">
        <v>45</v>
      </c>
      <c r="J268" s="1" t="n">
        <v>0</v>
      </c>
      <c r="K268" s="1" t="n">
        <f aca="false">K267+J268</f>
        <v>8.6</v>
      </c>
      <c r="L268" s="1" t="n">
        <v>4</v>
      </c>
      <c r="M268" s="1" t="n">
        <f aca="false">M267+L268</f>
        <v>45</v>
      </c>
      <c r="N268" s="1" t="n">
        <v>-4</v>
      </c>
      <c r="O268" s="1" t="n">
        <v>0</v>
      </c>
      <c r="P268" s="6" t="n">
        <v>13</v>
      </c>
      <c r="Q268" s="1" t="n">
        <f aca="false">0.35+((P268-7)/70)*(1-0.35)</f>
        <v>0.405714285714286</v>
      </c>
      <c r="R268" s="16" t="n">
        <f aca="false">Q268*L268</f>
        <v>1.62285714285714</v>
      </c>
      <c r="S268" s="16" t="n">
        <f aca="false">J268-R268</f>
        <v>-1.62285714285714</v>
      </c>
      <c r="T268" s="17" t="n">
        <f aca="false">T267+S268</f>
        <v>1.67578571428571</v>
      </c>
      <c r="V268" s="1" t="n">
        <v>1819.3</v>
      </c>
      <c r="X268" s="1" t="n">
        <f aca="false">X267+V268</f>
        <v>19245.3</v>
      </c>
      <c r="AA268" s="1" t="n">
        <v>12.3356477853431</v>
      </c>
    </row>
    <row r="269" s="1" customFormat="true" ht="15" hidden="false" customHeight="false" outlineLevel="0" collapsed="false">
      <c r="A269" s="14"/>
      <c r="B269" s="2"/>
      <c r="C269" s="8" t="n">
        <v>40442</v>
      </c>
      <c r="D269" s="1" t="n">
        <v>18.8</v>
      </c>
      <c r="E269" s="1" t="n">
        <v>16.3</v>
      </c>
      <c r="F269" s="1" t="n">
        <v>22.2</v>
      </c>
      <c r="G269" s="1" t="n">
        <f aca="false">G268+D269</f>
        <v>255.3</v>
      </c>
      <c r="I269" s="1" t="n">
        <v>1052.2</v>
      </c>
      <c r="J269" s="1" t="n">
        <v>0</v>
      </c>
      <c r="K269" s="1" t="n">
        <f aca="false">K268+J269</f>
        <v>8.6</v>
      </c>
      <c r="L269" s="1" t="n">
        <v>1.7</v>
      </c>
      <c r="M269" s="1" t="n">
        <f aca="false">M268+L269</f>
        <v>46.7</v>
      </c>
      <c r="N269" s="1" t="n">
        <v>-1.7</v>
      </c>
      <c r="O269" s="1" t="n">
        <v>0</v>
      </c>
      <c r="P269" s="6" t="n">
        <v>14</v>
      </c>
      <c r="Q269" s="1" t="n">
        <f aca="false">0.35+((P269-7)/70)*(1-0.35)</f>
        <v>0.415</v>
      </c>
      <c r="R269" s="16" t="n">
        <f aca="false">Q269*L269</f>
        <v>0.7055</v>
      </c>
      <c r="S269" s="16" t="n">
        <f aca="false">J269-R269</f>
        <v>-0.7055</v>
      </c>
      <c r="T269" s="17" t="n">
        <f aca="false">T268+S269</f>
        <v>0.970285714285715</v>
      </c>
      <c r="U269" s="16" t="n">
        <f aca="false">(U267*100)/122.1</f>
        <v>34.938693458174</v>
      </c>
      <c r="V269" s="1" t="n">
        <v>578.3</v>
      </c>
      <c r="X269" s="1" t="n">
        <f aca="false">X268+V269</f>
        <v>19823.6</v>
      </c>
      <c r="AA269" s="1" t="n">
        <v>12.2859276815076</v>
      </c>
    </row>
    <row r="270" s="1" customFormat="true" ht="15" hidden="false" customHeight="false" outlineLevel="0" collapsed="false">
      <c r="A270" s="14"/>
      <c r="B270" s="2"/>
      <c r="C270" s="8" t="n">
        <v>40443</v>
      </c>
      <c r="D270" s="1" t="n">
        <v>20.1</v>
      </c>
      <c r="E270" s="1" t="n">
        <v>12.6</v>
      </c>
      <c r="F270" s="1" t="n">
        <v>28.3</v>
      </c>
      <c r="G270" s="1" t="n">
        <f aca="false">G269+D270</f>
        <v>275.4</v>
      </c>
      <c r="J270" s="1" t="n">
        <v>0</v>
      </c>
      <c r="K270" s="1" t="n">
        <f aca="false">K269+J270</f>
        <v>8.6</v>
      </c>
      <c r="L270" s="1" t="n">
        <v>4.5</v>
      </c>
      <c r="M270" s="1" t="n">
        <f aca="false">M269+L270</f>
        <v>51.2</v>
      </c>
      <c r="N270" s="1" t="n">
        <v>-4.5</v>
      </c>
      <c r="O270" s="1" t="n">
        <v>0</v>
      </c>
      <c r="P270" s="6" t="n">
        <v>15</v>
      </c>
      <c r="Q270" s="1" t="n">
        <f aca="false">0.35+((P270-7)/70)*(1-0.35)</f>
        <v>0.424285714285714</v>
      </c>
      <c r="R270" s="16" t="n">
        <f aca="false">Q270*L270</f>
        <v>1.90928571428571</v>
      </c>
      <c r="S270" s="16" t="n">
        <f aca="false">J270-R270</f>
        <v>-1.90928571428571</v>
      </c>
      <c r="T270" s="17" t="n">
        <v>0</v>
      </c>
      <c r="V270" s="1" t="n">
        <v>1772.6</v>
      </c>
      <c r="X270" s="1" t="n">
        <f aca="false">X269+V270</f>
        <v>21596.2</v>
      </c>
      <c r="AA270" s="1" t="n">
        <v>12.2361789533854</v>
      </c>
    </row>
    <row r="271" s="1" customFormat="true" ht="15" hidden="false" customHeight="false" outlineLevel="0" collapsed="false">
      <c r="A271" s="14"/>
      <c r="B271" s="2"/>
      <c r="C271" s="8" t="n">
        <v>40444</v>
      </c>
      <c r="D271" s="1" t="n">
        <v>19.3</v>
      </c>
      <c r="E271" s="1" t="n">
        <v>14.4</v>
      </c>
      <c r="F271" s="1" t="n">
        <v>25.3</v>
      </c>
      <c r="G271" s="1" t="n">
        <f aca="false">G270+D271</f>
        <v>294.7</v>
      </c>
      <c r="J271" s="1" t="n">
        <v>17</v>
      </c>
      <c r="K271" s="1" t="n">
        <f aca="false">K270+J271</f>
        <v>25.6</v>
      </c>
      <c r="L271" s="1" t="n">
        <v>3.1</v>
      </c>
      <c r="M271" s="1" t="n">
        <f aca="false">M270+L271</f>
        <v>54.3</v>
      </c>
      <c r="N271" s="1" t="n">
        <v>13.9</v>
      </c>
      <c r="O271" s="1" t="n">
        <f aca="false">O270+N271</f>
        <v>13.9</v>
      </c>
      <c r="P271" s="6" t="n">
        <v>16</v>
      </c>
      <c r="Q271" s="1" t="n">
        <f aca="false">0.35+((P271-7)/70)*(1-0.35)</f>
        <v>0.433571428571429</v>
      </c>
      <c r="R271" s="16" t="n">
        <f aca="false">Q271*L271</f>
        <v>1.34407142857143</v>
      </c>
      <c r="S271" s="16" t="n">
        <f aca="false">J271-R271</f>
        <v>15.6559285714286</v>
      </c>
      <c r="T271" s="17" t="n">
        <f aca="false">T270+S271</f>
        <v>15.6559285714286</v>
      </c>
      <c r="V271" s="1" t="n">
        <v>1460.4</v>
      </c>
      <c r="X271" s="1" t="n">
        <f aca="false">X270+V271</f>
        <v>23056.6</v>
      </c>
      <c r="AA271" s="1" t="n">
        <v>12.1864069998693</v>
      </c>
    </row>
    <row r="272" s="1" customFormat="true" ht="15" hidden="false" customHeight="false" outlineLevel="0" collapsed="false">
      <c r="A272" s="14"/>
      <c r="B272" s="2"/>
      <c r="C272" s="8" t="n">
        <v>40445</v>
      </c>
      <c r="D272" s="1" t="n">
        <v>16.7</v>
      </c>
      <c r="E272" s="1" t="n">
        <v>14.9</v>
      </c>
      <c r="F272" s="1" t="n">
        <v>19.8</v>
      </c>
      <c r="G272" s="1" t="n">
        <f aca="false">G271+D272</f>
        <v>311.4</v>
      </c>
      <c r="J272" s="1" t="n">
        <v>4.6</v>
      </c>
      <c r="K272" s="1" t="n">
        <f aca="false">K271+J272</f>
        <v>30.2</v>
      </c>
      <c r="L272" s="1" t="n">
        <v>2.6</v>
      </c>
      <c r="M272" s="1" t="n">
        <f aca="false">M271+L272</f>
        <v>56.9</v>
      </c>
      <c r="N272" s="1" t="n">
        <v>2</v>
      </c>
      <c r="O272" s="1" t="n">
        <f aca="false">O271+N272</f>
        <v>15.9</v>
      </c>
      <c r="P272" s="6" t="n">
        <v>17</v>
      </c>
      <c r="Q272" s="1" t="n">
        <f aca="false">0.35+((P272-7)/70)*(1-0.35)</f>
        <v>0.442857142857143</v>
      </c>
      <c r="R272" s="16" t="n">
        <f aca="false">Q272*L272</f>
        <v>1.15142857142857</v>
      </c>
      <c r="S272" s="16" t="n">
        <f aca="false">J272-R272</f>
        <v>3.44857142857143</v>
      </c>
      <c r="T272" s="17" t="n">
        <f aca="false">T271+S272</f>
        <v>19.1045</v>
      </c>
      <c r="V272" s="1" t="n">
        <v>1070.6</v>
      </c>
      <c r="X272" s="1" t="n">
        <f aca="false">X271+V272</f>
        <v>24127.2</v>
      </c>
      <c r="AA272" s="1" t="n">
        <v>12.1366172188345</v>
      </c>
    </row>
    <row r="273" s="1" customFormat="true" ht="15" hidden="false" customHeight="false" outlineLevel="0" collapsed="false">
      <c r="A273" s="14"/>
      <c r="B273" s="2"/>
      <c r="C273" s="8" t="n">
        <v>40446</v>
      </c>
      <c r="D273" s="1" t="n">
        <v>15.2</v>
      </c>
      <c r="E273" s="1" t="n">
        <v>13.6</v>
      </c>
      <c r="F273" s="1" t="n">
        <v>19.2</v>
      </c>
      <c r="G273" s="1" t="n">
        <f aca="false">G272+D273</f>
        <v>326.6</v>
      </c>
      <c r="J273" s="1" t="n">
        <v>0</v>
      </c>
      <c r="K273" s="1" t="n">
        <f aca="false">K272+J273</f>
        <v>30.2</v>
      </c>
      <c r="L273" s="1" t="n">
        <v>3.5</v>
      </c>
      <c r="M273" s="1" t="n">
        <f aca="false">M272+L273</f>
        <v>60.4</v>
      </c>
      <c r="N273" s="1" t="n">
        <v>-3.5</v>
      </c>
      <c r="O273" s="1" t="n">
        <f aca="false">O272+N273</f>
        <v>12.4</v>
      </c>
      <c r="P273" s="6" t="n">
        <v>18</v>
      </c>
      <c r="Q273" s="1" t="n">
        <f aca="false">0.35+((P273-7)/70)*(1-0.35)</f>
        <v>0.452142857142857</v>
      </c>
      <c r="R273" s="16" t="n">
        <f aca="false">Q273*L273</f>
        <v>1.5825</v>
      </c>
      <c r="S273" s="16" t="n">
        <f aca="false">J273-R273</f>
        <v>-1.5825</v>
      </c>
      <c r="T273" s="17" t="n">
        <f aca="false">T272+S273</f>
        <v>17.522</v>
      </c>
      <c r="V273" s="1" t="n">
        <v>1537.3</v>
      </c>
      <c r="X273" s="1" t="n">
        <f aca="false">X272+V273</f>
        <v>25664.5</v>
      </c>
      <c r="AA273" s="1" t="n">
        <v>12.0868150207924</v>
      </c>
    </row>
    <row r="274" s="1" customFormat="true" ht="15" hidden="false" customHeight="false" outlineLevel="0" collapsed="false">
      <c r="A274" s="14"/>
      <c r="B274" s="2"/>
      <c r="C274" s="8" t="n">
        <v>40447</v>
      </c>
      <c r="D274" s="1" t="n">
        <v>12.6</v>
      </c>
      <c r="E274" s="1" t="n">
        <v>9.8</v>
      </c>
      <c r="F274" s="1" t="n">
        <v>17.1</v>
      </c>
      <c r="G274" s="1" t="n">
        <f aca="false">G273+D274</f>
        <v>339.2</v>
      </c>
      <c r="J274" s="1" t="n">
        <v>0</v>
      </c>
      <c r="K274" s="1" t="n">
        <f aca="false">K273+J274</f>
        <v>30.2</v>
      </c>
      <c r="L274" s="1" t="n">
        <v>3.3</v>
      </c>
      <c r="M274" s="1" t="n">
        <f aca="false">M273+L274</f>
        <v>63.7</v>
      </c>
      <c r="N274" s="1" t="n">
        <v>-3.3</v>
      </c>
      <c r="O274" s="1" t="n">
        <f aca="false">O273+N274</f>
        <v>9.1</v>
      </c>
      <c r="P274" s="6" t="n">
        <v>19</v>
      </c>
      <c r="Q274" s="1" t="n">
        <f aca="false">0.35+((P274-7)/70)*(1-0.35)</f>
        <v>0.461428571428571</v>
      </c>
      <c r="R274" s="16" t="n">
        <f aca="false">Q274*L274</f>
        <v>1.52271428571429</v>
      </c>
      <c r="S274" s="16" t="n">
        <f aca="false">J274-R274</f>
        <v>-1.52271428571429</v>
      </c>
      <c r="T274" s="17" t="n">
        <f aca="false">T273+S274</f>
        <v>15.9992857142857</v>
      </c>
      <c r="V274" s="1" t="n">
        <v>1740</v>
      </c>
      <c r="X274" s="1" t="n">
        <f aca="false">X273+V274</f>
        <v>27404.5</v>
      </c>
      <c r="AA274" s="1" t="n">
        <v>12.0370058426238</v>
      </c>
    </row>
    <row r="275" s="1" customFormat="true" ht="15" hidden="false" customHeight="false" outlineLevel="0" collapsed="false">
      <c r="A275" s="14"/>
      <c r="B275" s="2"/>
      <c r="C275" s="8" t="n">
        <v>40448</v>
      </c>
      <c r="D275" s="1" t="n">
        <v>12.9</v>
      </c>
      <c r="E275" s="1" t="n">
        <v>7.2</v>
      </c>
      <c r="F275" s="1" t="n">
        <v>19.1</v>
      </c>
      <c r="G275" s="1" t="n">
        <f aca="false">G274+D275</f>
        <v>352.1</v>
      </c>
      <c r="J275" s="1" t="n">
        <v>0</v>
      </c>
      <c r="K275" s="1" t="n">
        <f aca="false">K274+J275</f>
        <v>30.2</v>
      </c>
      <c r="L275" s="1" t="n">
        <v>2.6</v>
      </c>
      <c r="M275" s="1" t="n">
        <f aca="false">M274+L275</f>
        <v>66.3</v>
      </c>
      <c r="N275" s="1" t="n">
        <v>-2.6</v>
      </c>
      <c r="O275" s="1" t="n">
        <f aca="false">O274+N275</f>
        <v>6.5</v>
      </c>
      <c r="P275" s="6" t="n">
        <v>20</v>
      </c>
      <c r="Q275" s="1" t="n">
        <f aca="false">0.35+((P275-7)/70)*(1-0.35)</f>
        <v>0.470714285714286</v>
      </c>
      <c r="R275" s="16" t="n">
        <f aca="false">Q275*L275</f>
        <v>1.22385714285714</v>
      </c>
      <c r="S275" s="16" t="n">
        <f aca="false">J275-R275</f>
        <v>-1.22385714285714</v>
      </c>
      <c r="T275" s="17" t="n">
        <f aca="false">T274+S275</f>
        <v>14.7754285714286</v>
      </c>
      <c r="V275" s="1" t="n">
        <v>1373.5</v>
      </c>
      <c r="X275" s="1" t="n">
        <f aca="false">X274+V275</f>
        <v>28778</v>
      </c>
      <c r="AA275" s="1" t="n">
        <v>11.9871951613899</v>
      </c>
    </row>
    <row r="276" s="1" customFormat="true" ht="15" hidden="false" customHeight="false" outlineLevel="0" collapsed="false">
      <c r="A276" s="14"/>
      <c r="B276" s="2"/>
      <c r="C276" s="8" t="n">
        <v>40449</v>
      </c>
      <c r="D276" s="1" t="n">
        <v>13.2</v>
      </c>
      <c r="E276" s="1" t="n">
        <v>9.3</v>
      </c>
      <c r="F276" s="1" t="n">
        <v>18.9</v>
      </c>
      <c r="G276" s="1" t="n">
        <f aca="false">G275+D276</f>
        <v>365.3</v>
      </c>
      <c r="J276" s="1" t="n">
        <v>0</v>
      </c>
      <c r="K276" s="1" t="n">
        <f aca="false">K275+J276</f>
        <v>30.2</v>
      </c>
      <c r="L276" s="1" t="n">
        <v>2.6</v>
      </c>
      <c r="M276" s="1" t="n">
        <f aca="false">M275+L276</f>
        <v>68.9</v>
      </c>
      <c r="N276" s="1" t="n">
        <v>-2.6</v>
      </c>
      <c r="O276" s="1" t="n">
        <f aca="false">O275+N276</f>
        <v>3.9</v>
      </c>
      <c r="P276" s="6" t="n">
        <v>21</v>
      </c>
      <c r="Q276" s="1" t="n">
        <f aca="false">0.35+((P276-7)/70)*(1-0.35)</f>
        <v>0.48</v>
      </c>
      <c r="R276" s="16" t="n">
        <f aca="false">Q276*L276</f>
        <v>1.248</v>
      </c>
      <c r="S276" s="16" t="n">
        <f aca="false">J276-R276</f>
        <v>-1.248</v>
      </c>
      <c r="T276" s="17" t="n">
        <f aca="false">T275+S276</f>
        <v>13.5274285714286</v>
      </c>
      <c r="V276" s="1" t="n">
        <v>1366.5</v>
      </c>
      <c r="X276" s="1" t="n">
        <f aca="false">X275+V276</f>
        <v>30144.5</v>
      </c>
      <c r="AA276" s="1" t="n">
        <v>11.9373885082212</v>
      </c>
    </row>
    <row r="277" s="1" customFormat="true" ht="15" hidden="false" customHeight="false" outlineLevel="0" collapsed="false">
      <c r="A277" s="14"/>
      <c r="B277" s="2"/>
      <c r="C277" s="8" t="n">
        <v>40450</v>
      </c>
      <c r="D277" s="1" t="n">
        <v>14.1</v>
      </c>
      <c r="E277" s="1" t="n">
        <v>6.7</v>
      </c>
      <c r="F277" s="1" t="n">
        <v>19.9</v>
      </c>
      <c r="G277" s="1" t="n">
        <f aca="false">G276+D277</f>
        <v>379.4</v>
      </c>
      <c r="J277" s="1" t="n">
        <v>0</v>
      </c>
      <c r="K277" s="1" t="n">
        <f aca="false">K276+J277</f>
        <v>30.2</v>
      </c>
      <c r="L277" s="1" t="n">
        <v>2.6</v>
      </c>
      <c r="M277" s="1" t="n">
        <f aca="false">M276+L277</f>
        <v>71.5</v>
      </c>
      <c r="N277" s="1" t="n">
        <v>-2.6</v>
      </c>
      <c r="O277" s="1" t="n">
        <f aca="false">O276+N277</f>
        <v>1.3</v>
      </c>
      <c r="P277" s="6" t="n">
        <v>22</v>
      </c>
      <c r="Q277" s="1" t="n">
        <f aca="false">0.35+((P277-7)/70)*(1-0.35)</f>
        <v>0.489285714285714</v>
      </c>
      <c r="R277" s="16" t="n">
        <f aca="false">Q277*L277</f>
        <v>1.27214285714286</v>
      </c>
      <c r="S277" s="16" t="n">
        <f aca="false">J277-R277</f>
        <v>-1.27214285714286</v>
      </c>
      <c r="T277" s="17" t="n">
        <f aca="false">T276+S277</f>
        <v>12.2552857142857</v>
      </c>
      <c r="V277" s="1" t="n">
        <v>1552.3</v>
      </c>
      <c r="X277" s="1" t="n">
        <f aca="false">X276+V277</f>
        <v>31696.8</v>
      </c>
      <c r="AA277" s="1" t="n">
        <v>11.8875914822841</v>
      </c>
    </row>
    <row r="278" s="1" customFormat="true" ht="15" hidden="false" customHeight="false" outlineLevel="0" collapsed="false">
      <c r="A278" s="14"/>
      <c r="B278" s="2"/>
      <c r="C278" s="8" t="n">
        <v>40451</v>
      </c>
      <c r="D278" s="1" t="n">
        <v>14</v>
      </c>
      <c r="E278" s="1" t="n">
        <v>10.4</v>
      </c>
      <c r="F278" s="1" t="n">
        <v>15.8</v>
      </c>
      <c r="G278" s="1" t="n">
        <f aca="false">G277+D278</f>
        <v>393.4</v>
      </c>
      <c r="J278" s="1" t="n">
        <v>1.4</v>
      </c>
      <c r="K278" s="1" t="n">
        <f aca="false">K277+J278</f>
        <v>31.6</v>
      </c>
      <c r="L278" s="1" t="n">
        <v>0.9</v>
      </c>
      <c r="M278" s="1" t="n">
        <f aca="false">M277+L278</f>
        <v>72.4</v>
      </c>
      <c r="N278" s="1" t="n">
        <v>0.5</v>
      </c>
      <c r="O278" s="1" t="n">
        <f aca="false">O277+N278</f>
        <v>1.8</v>
      </c>
      <c r="P278" s="6" t="n">
        <v>23</v>
      </c>
      <c r="Q278" s="1" t="n">
        <f aca="false">0.35+((P278-7)/70)*(1-0.35)</f>
        <v>0.498571428571429</v>
      </c>
      <c r="R278" s="16" t="n">
        <f aca="false">Q278*L278</f>
        <v>0.448714285714286</v>
      </c>
      <c r="S278" s="16" t="n">
        <f aca="false">J278-R278</f>
        <v>0.951285714285714</v>
      </c>
      <c r="T278" s="17" t="n">
        <f aca="false">T277+S278</f>
        <v>13.2065714285714</v>
      </c>
      <c r="V278" s="1" t="n">
        <v>442.4</v>
      </c>
      <c r="X278" s="1" t="n">
        <f aca="false">X277+V278</f>
        <v>32139.2</v>
      </c>
      <c r="AA278" s="1" t="n">
        <v>11.8378097648246</v>
      </c>
    </row>
    <row r="279" s="1" customFormat="true" ht="15" hidden="false" customHeight="false" outlineLevel="0" collapsed="false">
      <c r="A279" s="14"/>
      <c r="B279" s="2"/>
      <c r="C279" s="8" t="n">
        <v>40452</v>
      </c>
      <c r="D279" s="1" t="n">
        <v>15.8</v>
      </c>
      <c r="E279" s="1" t="n">
        <v>8.7</v>
      </c>
      <c r="F279" s="1" t="n">
        <v>21.1</v>
      </c>
      <c r="G279" s="1" t="n">
        <f aca="false">G278+D279</f>
        <v>409.2</v>
      </c>
      <c r="J279" s="1" t="n">
        <v>0</v>
      </c>
      <c r="K279" s="1" t="n">
        <f aca="false">K278+J279</f>
        <v>31.6</v>
      </c>
      <c r="L279" s="1" t="n">
        <v>1.5</v>
      </c>
      <c r="M279" s="1" t="n">
        <f aca="false">M278+L279</f>
        <v>73.9</v>
      </c>
      <c r="N279" s="1" t="n">
        <v>-1.5</v>
      </c>
      <c r="O279" s="1" t="n">
        <f aca="false">O278+N279</f>
        <v>0.300000000000002</v>
      </c>
      <c r="P279" s="6" t="n">
        <v>24</v>
      </c>
      <c r="Q279" s="1" t="n">
        <f aca="false">0.35+((P279-7)/70)*(1-0.35)</f>
        <v>0.507857142857143</v>
      </c>
      <c r="R279" s="16" t="n">
        <f aca="false">Q279*L279</f>
        <v>0.761785714285714</v>
      </c>
      <c r="S279" s="16" t="n">
        <f aca="false">J279-R279</f>
        <v>-0.761785714285714</v>
      </c>
      <c r="T279" s="17" t="n">
        <f aca="false">T278+S279</f>
        <v>12.4447857142857</v>
      </c>
      <c r="V279" s="1" t="n">
        <v>858.8</v>
      </c>
      <c r="X279" s="1" t="n">
        <f aca="false">X278+V279</f>
        <v>32998</v>
      </c>
      <c r="AA279" s="1" t="n">
        <v>11.7880491332855</v>
      </c>
    </row>
    <row r="280" s="1" customFormat="true" ht="15" hidden="false" customHeight="false" outlineLevel="0" collapsed="false">
      <c r="A280" s="14"/>
      <c r="B280" s="2"/>
      <c r="C280" s="8" t="n">
        <v>40453</v>
      </c>
      <c r="D280" s="1" t="n">
        <v>17.9</v>
      </c>
      <c r="E280" s="1" t="n">
        <v>14.6</v>
      </c>
      <c r="F280" s="1" t="n">
        <v>21.4</v>
      </c>
      <c r="G280" s="1" t="n">
        <f aca="false">G279+D280</f>
        <v>427.1</v>
      </c>
      <c r="J280" s="1" t="n">
        <v>0</v>
      </c>
      <c r="K280" s="1" t="n">
        <f aca="false">K279+J280</f>
        <v>31.6</v>
      </c>
      <c r="L280" s="1" t="n">
        <v>3.2</v>
      </c>
      <c r="M280" s="1" t="n">
        <f aca="false">M279+L280</f>
        <v>77.1</v>
      </c>
      <c r="N280" s="1" t="n">
        <v>-3.2</v>
      </c>
      <c r="O280" s="1" t="n">
        <v>0</v>
      </c>
      <c r="P280" s="6" t="n">
        <v>25</v>
      </c>
      <c r="Q280" s="1" t="n">
        <f aca="false">0.35+((P280-7)/70)*(1-0.35)</f>
        <v>0.517142857142857</v>
      </c>
      <c r="R280" s="16" t="n">
        <f aca="false">Q280*L280</f>
        <v>1.65485714285714</v>
      </c>
      <c r="S280" s="16" t="n">
        <f aca="false">J280-R280</f>
        <v>-1.65485714285714</v>
      </c>
      <c r="T280" s="17" t="n">
        <f aca="false">T279+S280</f>
        <v>10.7899285714286</v>
      </c>
      <c r="V280" s="1" t="n">
        <v>1016</v>
      </c>
      <c r="X280" s="1" t="n">
        <f aca="false">X279+V280</f>
        <v>34014</v>
      </c>
      <c r="AA280" s="1" t="n">
        <v>11.7383154754975</v>
      </c>
    </row>
    <row r="281" s="1" customFormat="true" ht="15" hidden="false" customHeight="false" outlineLevel="0" collapsed="false">
      <c r="A281" s="14"/>
      <c r="B281" s="2"/>
      <c r="C281" s="8" t="n">
        <v>40454</v>
      </c>
      <c r="D281" s="1" t="n">
        <v>21.3</v>
      </c>
      <c r="E281" s="1" t="n">
        <v>17.8</v>
      </c>
      <c r="F281" s="1" t="n">
        <v>26.9</v>
      </c>
      <c r="G281" s="1" t="n">
        <f aca="false">G280+D281</f>
        <v>448.4</v>
      </c>
      <c r="J281" s="1" t="n">
        <v>0.6</v>
      </c>
      <c r="K281" s="1" t="n">
        <f aca="false">K280+J281</f>
        <v>32.2</v>
      </c>
      <c r="L281" s="1" t="n">
        <v>4.8</v>
      </c>
      <c r="M281" s="1" t="n">
        <f aca="false">M280+L281</f>
        <v>81.9</v>
      </c>
      <c r="N281" s="1" t="n">
        <v>-4.2</v>
      </c>
      <c r="O281" s="1" t="n">
        <v>0</v>
      </c>
      <c r="P281" s="6" t="n">
        <v>26</v>
      </c>
      <c r="Q281" s="1" t="n">
        <f aca="false">0.35+((P281-7)/70)*(1-0.35)</f>
        <v>0.526428571428572</v>
      </c>
      <c r="R281" s="16" t="n">
        <f aca="false">Q281*L281</f>
        <v>2.52685714285714</v>
      </c>
      <c r="S281" s="16" t="n">
        <f aca="false">J281-R281</f>
        <v>-1.92685714285714</v>
      </c>
      <c r="T281" s="17" t="n">
        <f aca="false">T280+S281</f>
        <v>8.86307142857143</v>
      </c>
      <c r="V281" s="1" t="n">
        <v>1514.8</v>
      </c>
      <c r="X281" s="1" t="n">
        <f aca="false">X280+V281</f>
        <v>35528.8</v>
      </c>
      <c r="AA281" s="1" t="n">
        <v>11.6886148039388</v>
      </c>
    </row>
    <row r="282" s="1" customFormat="true" ht="15" hidden="false" customHeight="false" outlineLevel="0" collapsed="false">
      <c r="A282" s="14"/>
      <c r="B282" s="2"/>
      <c r="C282" s="8" t="n">
        <v>40455</v>
      </c>
      <c r="D282" s="1" t="n">
        <v>16.5</v>
      </c>
      <c r="E282" s="1" t="n">
        <v>15</v>
      </c>
      <c r="F282" s="1" t="n">
        <v>17.4</v>
      </c>
      <c r="G282" s="1" t="n">
        <f aca="false">G281+D282</f>
        <v>464.9</v>
      </c>
      <c r="J282" s="1" t="n">
        <v>2.7</v>
      </c>
      <c r="K282" s="1" t="n">
        <f aca="false">K281+J282</f>
        <v>34.9</v>
      </c>
      <c r="L282" s="1" t="n">
        <v>1.3</v>
      </c>
      <c r="M282" s="1" t="n">
        <f aca="false">M281+L282</f>
        <v>83.2</v>
      </c>
      <c r="N282" s="1" t="n">
        <v>1.4</v>
      </c>
      <c r="O282" s="1" t="n">
        <f aca="false">O281+N282</f>
        <v>1.4</v>
      </c>
      <c r="P282" s="6" t="n">
        <v>27</v>
      </c>
      <c r="Q282" s="1" t="n">
        <f aca="false">0.35+((P282-7)/70)*(1-0.35)</f>
        <v>0.535714285714286</v>
      </c>
      <c r="R282" s="16" t="n">
        <f aca="false">Q282*L282</f>
        <v>0.696428571428571</v>
      </c>
      <c r="S282" s="16" t="n">
        <f aca="false">J282-R282</f>
        <v>2.00357142857143</v>
      </c>
      <c r="T282" s="17" t="n">
        <f aca="false">T281+S282</f>
        <v>10.8666428571429</v>
      </c>
      <c r="V282" s="1" t="n">
        <v>454.7</v>
      </c>
      <c r="X282" s="1" t="n">
        <f aca="false">X281+V282</f>
        <v>35983.5</v>
      </c>
      <c r="AA282" s="1" t="n">
        <v>11.63895327006</v>
      </c>
    </row>
    <row r="283" s="1" customFormat="true" ht="15" hidden="false" customHeight="false" outlineLevel="0" collapsed="false">
      <c r="A283" s="14"/>
      <c r="B283" s="2"/>
      <c r="C283" s="8" t="n">
        <v>40456</v>
      </c>
      <c r="D283" s="1" t="n">
        <v>17.1</v>
      </c>
      <c r="E283" s="1" t="n">
        <v>11.1</v>
      </c>
      <c r="F283" s="1" t="n">
        <v>22.9</v>
      </c>
      <c r="G283" s="1" t="n">
        <f aca="false">G282+D283</f>
        <v>482</v>
      </c>
      <c r="J283" s="1" t="n">
        <v>0</v>
      </c>
      <c r="K283" s="1" t="n">
        <f aca="false">K282+J283</f>
        <v>34.9</v>
      </c>
      <c r="L283" s="1" t="n">
        <v>3.2</v>
      </c>
      <c r="M283" s="1" t="n">
        <f aca="false">M282+L283</f>
        <v>86.4</v>
      </c>
      <c r="N283" s="1" t="n">
        <v>-3.2</v>
      </c>
      <c r="O283" s="1" t="n">
        <v>0</v>
      </c>
      <c r="P283" s="6" t="n">
        <v>28</v>
      </c>
      <c r="Q283" s="1" t="n">
        <f aca="false">0.35+((P283-7)/70)*(1-0.35)</f>
        <v>0.545</v>
      </c>
      <c r="R283" s="16" t="n">
        <f aca="false">Q283*L283</f>
        <v>1.744</v>
      </c>
      <c r="S283" s="16" t="n">
        <f aca="false">J283-R283</f>
        <v>-1.744</v>
      </c>
      <c r="T283" s="17" t="n">
        <f aca="false">T282+S283</f>
        <v>9.12264285714286</v>
      </c>
      <c r="V283" s="1" t="n">
        <v>1447.9</v>
      </c>
      <c r="X283" s="1" t="n">
        <f aca="false">X282+V283</f>
        <v>37431.4</v>
      </c>
      <c r="AA283" s="1" t="n">
        <v>11.5893371786689</v>
      </c>
    </row>
    <row r="284" s="1" customFormat="true" ht="15" hidden="false" customHeight="false" outlineLevel="0" collapsed="false">
      <c r="A284" s="14"/>
      <c r="B284" s="2"/>
      <c r="C284" s="8" t="n">
        <v>40457</v>
      </c>
      <c r="D284" s="1" t="n">
        <v>19.3</v>
      </c>
      <c r="E284" s="1" t="n">
        <v>16.3</v>
      </c>
      <c r="F284" s="1" t="n">
        <v>24.3</v>
      </c>
      <c r="G284" s="1" t="n">
        <f aca="false">G283+D284</f>
        <v>501.3</v>
      </c>
      <c r="J284" s="1" t="n">
        <v>0</v>
      </c>
      <c r="K284" s="1" t="n">
        <f aca="false">K283+J284</f>
        <v>34.9</v>
      </c>
      <c r="L284" s="1" t="n">
        <v>3.8</v>
      </c>
      <c r="M284" s="1" t="n">
        <f aca="false">M283+L284</f>
        <v>90.2</v>
      </c>
      <c r="N284" s="1" t="n">
        <v>-3.8</v>
      </c>
      <c r="O284" s="1" t="n">
        <v>0</v>
      </c>
      <c r="P284" s="6" t="n">
        <v>29</v>
      </c>
      <c r="Q284" s="1" t="n">
        <f aca="false">0.35+((P284-7)/70)*(1-0.35)</f>
        <v>0.554285714285714</v>
      </c>
      <c r="R284" s="16" t="n">
        <f aca="false">Q284*L284</f>
        <v>2.10628571428571</v>
      </c>
      <c r="S284" s="16" t="n">
        <f aca="false">J284-R284</f>
        <v>-2.10628571428571</v>
      </c>
      <c r="T284" s="17" t="n">
        <f aca="false">T283+S284</f>
        <v>7.01635714285715</v>
      </c>
      <c r="V284" s="1" t="n">
        <v>1487.1</v>
      </c>
      <c r="X284" s="1" t="n">
        <f aca="false">X283+V284</f>
        <v>38918.5</v>
      </c>
      <c r="AA284" s="1" t="n">
        <v>11.539773002368</v>
      </c>
    </row>
    <row r="285" s="1" customFormat="true" ht="15" hidden="false" customHeight="false" outlineLevel="0" collapsed="false">
      <c r="A285" s="14"/>
      <c r="B285" s="2"/>
      <c r="C285" s="8" t="n">
        <v>40458</v>
      </c>
      <c r="D285" s="1" t="n">
        <v>19.3</v>
      </c>
      <c r="E285" s="1" t="n">
        <v>16</v>
      </c>
      <c r="F285" s="1" t="n">
        <v>24.4</v>
      </c>
      <c r="G285" s="1" t="n">
        <f aca="false">G284+D285</f>
        <v>520.6</v>
      </c>
      <c r="J285" s="1" t="n">
        <v>0</v>
      </c>
      <c r="K285" s="1" t="n">
        <f aca="false">K284+J285</f>
        <v>34.9</v>
      </c>
      <c r="L285" s="1" t="n">
        <v>4.1</v>
      </c>
      <c r="M285" s="1" t="n">
        <f aca="false">M284+L285</f>
        <v>94.3</v>
      </c>
      <c r="N285" s="1" t="n">
        <v>-4.1</v>
      </c>
      <c r="O285" s="1" t="n">
        <v>0</v>
      </c>
      <c r="P285" s="6" t="n">
        <v>30</v>
      </c>
      <c r="Q285" s="1" t="n">
        <f aca="false">0.35+((P285-7)/70)*(1-0.35)</f>
        <v>0.563571428571429</v>
      </c>
      <c r="R285" s="16" t="n">
        <f aca="false">Q285*L285</f>
        <v>2.31064285714286</v>
      </c>
      <c r="S285" s="16" t="n">
        <f aca="false">J285-R285</f>
        <v>-2.31064285714286</v>
      </c>
      <c r="T285" s="17" t="n">
        <f aca="false">T284+S285</f>
        <v>4.70571428571429</v>
      </c>
      <c r="V285" s="1" t="n">
        <v>1288.8</v>
      </c>
      <c r="X285" s="1" t="n">
        <f aca="false">X284+V285</f>
        <v>40207.3</v>
      </c>
      <c r="AA285" s="1" t="n">
        <v>11.4902673960368</v>
      </c>
    </row>
    <row r="286" s="1" customFormat="true" ht="15" hidden="false" customHeight="false" outlineLevel="0" collapsed="false">
      <c r="A286" s="14"/>
      <c r="B286" s="2"/>
      <c r="C286" s="8" t="n">
        <v>40459</v>
      </c>
      <c r="D286" s="1" t="n">
        <v>19.9</v>
      </c>
      <c r="E286" s="1" t="n">
        <v>16.2</v>
      </c>
      <c r="F286" s="1" t="n">
        <v>25.2</v>
      </c>
      <c r="G286" s="1" t="n">
        <f aca="false">G285+D286</f>
        <v>540.5</v>
      </c>
      <c r="J286" s="1" t="n">
        <v>0</v>
      </c>
      <c r="K286" s="1" t="n">
        <f aca="false">K285+J286</f>
        <v>34.9</v>
      </c>
      <c r="L286" s="1" t="n">
        <v>3.9</v>
      </c>
      <c r="M286" s="1" t="n">
        <f aca="false">M285+L286</f>
        <v>98.2</v>
      </c>
      <c r="N286" s="1" t="n">
        <v>-3.9</v>
      </c>
      <c r="O286" s="1" t="n">
        <v>0</v>
      </c>
      <c r="P286" s="6" t="n">
        <v>31</v>
      </c>
      <c r="Q286" s="1" t="n">
        <f aca="false">0.35+((P286-7)/70)*(1-0.35)</f>
        <v>0.572857142857143</v>
      </c>
      <c r="R286" s="16" t="n">
        <f aca="false">Q286*L286</f>
        <v>2.23414285714286</v>
      </c>
      <c r="S286" s="16" t="n">
        <f aca="false">J286-R286</f>
        <v>-2.23414285714286</v>
      </c>
      <c r="T286" s="17" t="n">
        <f aca="false">T285+S286</f>
        <v>2.47157142857143</v>
      </c>
      <c r="V286" s="1" t="n">
        <v>1144.5</v>
      </c>
      <c r="X286" s="1" t="n">
        <f aca="false">X285+V286</f>
        <v>41351.8</v>
      </c>
      <c r="AA286" s="1" t="n">
        <v>11.4408272113498</v>
      </c>
    </row>
    <row r="287" s="1" customFormat="true" ht="15" hidden="false" customHeight="false" outlineLevel="0" collapsed="false">
      <c r="A287" s="14"/>
      <c r="B287" s="2"/>
      <c r="C287" s="8" t="n">
        <v>40460</v>
      </c>
      <c r="D287" s="1" t="n">
        <v>19</v>
      </c>
      <c r="E287" s="1" t="n">
        <v>17.6</v>
      </c>
      <c r="F287" s="1" t="n">
        <v>22.5</v>
      </c>
      <c r="G287" s="1" t="n">
        <f aca="false">G286+D287</f>
        <v>559.5</v>
      </c>
      <c r="J287" s="1" t="n">
        <v>8.4</v>
      </c>
      <c r="K287" s="1" t="n">
        <f aca="false">K286+J287</f>
        <v>43.3</v>
      </c>
      <c r="L287" s="1" t="n">
        <v>3.4</v>
      </c>
      <c r="M287" s="1" t="n">
        <f aca="false">M286+L287</f>
        <v>101.6</v>
      </c>
      <c r="N287" s="1" t="n">
        <v>5</v>
      </c>
      <c r="O287" s="1" t="n">
        <f aca="false">O286+N287</f>
        <v>5</v>
      </c>
      <c r="P287" s="6" t="n">
        <v>32</v>
      </c>
      <c r="Q287" s="1" t="n">
        <f aca="false">0.35+((P287-7)/70)*(1-0.35)</f>
        <v>0.582142857142857</v>
      </c>
      <c r="R287" s="16" t="n">
        <f aca="false">Q287*L287</f>
        <v>1.97928571428571</v>
      </c>
      <c r="S287" s="16" t="n">
        <f aca="false">J287-R287</f>
        <v>6.42071428571429</v>
      </c>
      <c r="T287" s="17" t="n">
        <f aca="false">T286+S287</f>
        <v>8.89228571428572</v>
      </c>
      <c r="V287" s="1" t="n">
        <v>981.9</v>
      </c>
      <c r="X287" s="1" t="n">
        <f aca="false">X286+V287</f>
        <v>42333.7</v>
      </c>
      <c r="AA287" s="1" t="n">
        <v>11.3914595113172</v>
      </c>
    </row>
    <row r="288" s="1" customFormat="true" ht="15" hidden="false" customHeight="false" outlineLevel="0" collapsed="false">
      <c r="A288" s="14"/>
      <c r="B288" s="2"/>
      <c r="C288" s="8" t="n">
        <v>40461</v>
      </c>
      <c r="D288" s="1" t="n">
        <v>15.5</v>
      </c>
      <c r="E288" s="1" t="n">
        <v>14.9</v>
      </c>
      <c r="F288" s="1" t="n">
        <v>15.8</v>
      </c>
      <c r="G288" s="1" t="n">
        <f aca="false">G287+D288</f>
        <v>575</v>
      </c>
      <c r="J288" s="1" t="n">
        <v>50.5</v>
      </c>
      <c r="K288" s="1" t="n">
        <f aca="false">K287+J288</f>
        <v>93.8</v>
      </c>
      <c r="L288" s="1" t="n">
        <v>0.5</v>
      </c>
      <c r="M288" s="1" t="n">
        <f aca="false">M287+L288</f>
        <v>102.1</v>
      </c>
      <c r="N288" s="1" t="n">
        <v>50</v>
      </c>
      <c r="O288" s="1" t="n">
        <f aca="false">O287+N288</f>
        <v>55</v>
      </c>
      <c r="P288" s="6" t="n">
        <v>33</v>
      </c>
      <c r="Q288" s="1" t="n">
        <f aca="false">0.35+((P288-7)/70)*(1-0.35)</f>
        <v>0.591428571428571</v>
      </c>
      <c r="R288" s="16" t="n">
        <f aca="false">Q288*L288</f>
        <v>0.295714285714286</v>
      </c>
      <c r="S288" s="16" t="n">
        <f aca="false">J288-R288</f>
        <v>50.2042857142857</v>
      </c>
      <c r="T288" s="17" t="n">
        <f aca="false">T287+S288</f>
        <v>59.0965714285714</v>
      </c>
      <c r="V288" s="1" t="n">
        <v>206.6</v>
      </c>
      <c r="X288" s="1" t="n">
        <f aca="false">X287+V288</f>
        <v>42540.3</v>
      </c>
      <c r="AA288" s="1" t="n">
        <v>11.342171584836</v>
      </c>
    </row>
    <row r="289" s="1" customFormat="true" ht="15" hidden="false" customHeight="false" outlineLevel="0" collapsed="false">
      <c r="A289" s="14"/>
      <c r="B289" s="2"/>
      <c r="C289" s="8" t="n">
        <v>40462</v>
      </c>
      <c r="D289" s="1" t="n">
        <v>15.7</v>
      </c>
      <c r="E289" s="1" t="n">
        <v>14.2</v>
      </c>
      <c r="F289" s="1" t="n">
        <v>18.9</v>
      </c>
      <c r="G289" s="1" t="n">
        <f aca="false">G288+D289</f>
        <v>590.7</v>
      </c>
      <c r="J289" s="1" t="n">
        <v>0.2</v>
      </c>
      <c r="K289" s="1" t="n">
        <f aca="false">K288+J289</f>
        <v>94</v>
      </c>
      <c r="L289" s="1" t="n">
        <v>1.4</v>
      </c>
      <c r="M289" s="1" t="n">
        <f aca="false">M288+L289</f>
        <v>103.5</v>
      </c>
      <c r="N289" s="1" t="n">
        <v>-1.2</v>
      </c>
      <c r="O289" s="1" t="n">
        <f aca="false">O288+N289</f>
        <v>53.8</v>
      </c>
      <c r="P289" s="6" t="n">
        <v>34</v>
      </c>
      <c r="Q289" s="1" t="n">
        <f aca="false">0.35+((P289-7)/70)*(1-0.35)</f>
        <v>0.600714285714286</v>
      </c>
      <c r="R289" s="16" t="n">
        <f aca="false">Q289*L289</f>
        <v>0.841</v>
      </c>
      <c r="S289" s="16" t="n">
        <f aca="false">J289-R289</f>
        <v>-0.641</v>
      </c>
      <c r="T289" s="17" t="n">
        <f aca="false">T288+S289</f>
        <v>58.4555714285714</v>
      </c>
      <c r="V289" s="1" t="n">
        <v>490</v>
      </c>
      <c r="X289" s="1" t="n">
        <f aca="false">X288+V289</f>
        <v>43030.3</v>
      </c>
      <c r="AA289" s="1" t="n">
        <v>11.2929709612354</v>
      </c>
    </row>
    <row r="290" s="1" customFormat="true" ht="15" hidden="false" customHeight="false" outlineLevel="0" collapsed="false">
      <c r="A290" s="14"/>
      <c r="B290" s="2"/>
      <c r="C290" s="8" t="n">
        <v>40463</v>
      </c>
      <c r="D290" s="1" t="n">
        <v>15.9</v>
      </c>
      <c r="E290" s="1" t="n">
        <v>12.4</v>
      </c>
      <c r="F290" s="1" t="n">
        <v>19.9</v>
      </c>
      <c r="G290" s="1" t="n">
        <f aca="false">G289+D290</f>
        <v>606.6</v>
      </c>
      <c r="J290" s="1" t="n">
        <v>0</v>
      </c>
      <c r="K290" s="1" t="n">
        <f aca="false">K289+J290</f>
        <v>94</v>
      </c>
      <c r="L290" s="1" t="n">
        <v>2.4</v>
      </c>
      <c r="M290" s="1" t="n">
        <f aca="false">M289+L290</f>
        <v>105.9</v>
      </c>
      <c r="N290" s="1" t="n">
        <v>-2.4</v>
      </c>
      <c r="O290" s="1" t="n">
        <f aca="false">O289+N290</f>
        <v>51.4</v>
      </c>
      <c r="P290" s="6" t="n">
        <v>35</v>
      </c>
      <c r="Q290" s="1" t="n">
        <f aca="false">0.35+((P290-7)/70)*(1-0.35)</f>
        <v>0.61</v>
      </c>
      <c r="R290" s="16" t="n">
        <f aca="false">Q290*L290</f>
        <v>1.464</v>
      </c>
      <c r="S290" s="16" t="n">
        <f aca="false">J290-R290</f>
        <v>-1.464</v>
      </c>
      <c r="T290" s="17" t="n">
        <f aca="false">T289+S290</f>
        <v>56.9915714285714</v>
      </c>
      <c r="V290" s="1" t="n">
        <v>1096.5</v>
      </c>
      <c r="X290" s="1" t="n">
        <f aca="false">X289+V290</f>
        <v>44126.8</v>
      </c>
      <c r="AA290" s="1" t="n">
        <v>11.2438654247982</v>
      </c>
    </row>
    <row r="291" s="1" customFormat="true" ht="15" hidden="false" customHeight="false" outlineLevel="0" collapsed="false">
      <c r="A291" s="14"/>
      <c r="B291" s="2"/>
      <c r="C291" s="8" t="n">
        <v>40464</v>
      </c>
      <c r="D291" s="1" t="n">
        <v>15.9</v>
      </c>
      <c r="E291" s="1" t="n">
        <v>13.1</v>
      </c>
      <c r="F291" s="1" t="n">
        <v>20.5</v>
      </c>
      <c r="G291" s="1" t="n">
        <f aca="false">G290+D291</f>
        <v>622.5</v>
      </c>
      <c r="J291" s="1" t="n">
        <v>0</v>
      </c>
      <c r="K291" s="1" t="n">
        <f aca="false">K290+J291</f>
        <v>94</v>
      </c>
      <c r="L291" s="1" t="n">
        <v>3.2</v>
      </c>
      <c r="M291" s="1" t="n">
        <f aca="false">M290+L291</f>
        <v>109.1</v>
      </c>
      <c r="N291" s="1" t="n">
        <v>-3.2</v>
      </c>
      <c r="O291" s="1" t="n">
        <f aca="false">O290+N291</f>
        <v>48.2</v>
      </c>
      <c r="P291" s="6" t="n">
        <v>36</v>
      </c>
      <c r="Q291" s="1" t="n">
        <f aca="false">0.35+((P291-7)/70)*(1-0.35)</f>
        <v>0.619285714285714</v>
      </c>
      <c r="R291" s="16" t="n">
        <f aca="false">Q291*L291</f>
        <v>1.98171428571429</v>
      </c>
      <c r="S291" s="16" t="n">
        <f aca="false">J291-R291</f>
        <v>-1.98171428571429</v>
      </c>
      <c r="T291" s="17" t="n">
        <f aca="false">T290+S291</f>
        <v>55.0098571428572</v>
      </c>
      <c r="V291" s="1" t="n">
        <v>1337.3</v>
      </c>
      <c r="X291" s="1" t="n">
        <f aca="false">X290+V291</f>
        <v>45464.1</v>
      </c>
      <c r="AA291" s="1" t="n">
        <v>11.1948630292391</v>
      </c>
    </row>
    <row r="292" s="1" customFormat="true" ht="15" hidden="false" customHeight="false" outlineLevel="0" collapsed="false">
      <c r="A292" s="14"/>
      <c r="B292" s="2"/>
      <c r="C292" s="8" t="n">
        <v>40465</v>
      </c>
      <c r="D292" s="1" t="n">
        <v>13.4</v>
      </c>
      <c r="E292" s="1" t="n">
        <v>11.7</v>
      </c>
      <c r="F292" s="1" t="n">
        <v>17.3</v>
      </c>
      <c r="G292" s="1" t="n">
        <f aca="false">G291+D292</f>
        <v>635.9</v>
      </c>
      <c r="J292" s="1" t="n">
        <v>0</v>
      </c>
      <c r="K292" s="1" t="n">
        <f aca="false">K291+J292</f>
        <v>94</v>
      </c>
      <c r="L292" s="1" t="n">
        <v>2.9</v>
      </c>
      <c r="M292" s="1" t="n">
        <f aca="false">M291+L292</f>
        <v>112</v>
      </c>
      <c r="N292" s="1" t="n">
        <v>-2.9</v>
      </c>
      <c r="O292" s="1" t="n">
        <f aca="false">O291+N292</f>
        <v>45.3</v>
      </c>
      <c r="P292" s="6" t="n">
        <v>37</v>
      </c>
      <c r="Q292" s="1" t="n">
        <f aca="false">0.35+((P292-7)/70)*(1-0.35)</f>
        <v>0.628571428571429</v>
      </c>
      <c r="R292" s="16" t="n">
        <f aca="false">Q292*L292</f>
        <v>1.82285714285714</v>
      </c>
      <c r="S292" s="16" t="n">
        <f aca="false">J292-R292</f>
        <v>-1.82285714285714</v>
      </c>
      <c r="T292" s="17" t="n">
        <f aca="false">T291+S292</f>
        <v>53.187</v>
      </c>
      <c r="V292" s="1" t="n">
        <v>1401.6</v>
      </c>
      <c r="X292" s="1" t="n">
        <f aca="false">X291+V292</f>
        <v>46865.7</v>
      </c>
      <c r="AA292" s="1" t="n">
        <v>11.1459721121146</v>
      </c>
    </row>
    <row r="293" s="1" customFormat="true" ht="15" hidden="false" customHeight="false" outlineLevel="0" collapsed="false">
      <c r="A293" s="14"/>
      <c r="B293" s="2"/>
      <c r="C293" s="8" t="n">
        <v>40466</v>
      </c>
      <c r="D293" s="1" t="n">
        <v>9.6</v>
      </c>
      <c r="E293" s="1" t="n">
        <v>6.9</v>
      </c>
      <c r="F293" s="1" t="n">
        <v>13.3</v>
      </c>
      <c r="G293" s="1" t="n">
        <f aca="false">G292+D293</f>
        <v>645.5</v>
      </c>
      <c r="J293" s="1" t="n">
        <v>0.1</v>
      </c>
      <c r="K293" s="1" t="n">
        <f aca="false">K292+J293</f>
        <v>94.1</v>
      </c>
      <c r="L293" s="1" t="n">
        <v>2</v>
      </c>
      <c r="M293" s="1" t="n">
        <f aca="false">M292+L293</f>
        <v>114</v>
      </c>
      <c r="N293" s="1" t="n">
        <v>-1.9</v>
      </c>
      <c r="O293" s="1" t="n">
        <f aca="false">O292+N293</f>
        <v>43.4</v>
      </c>
      <c r="P293" s="6" t="n">
        <v>38</v>
      </c>
      <c r="Q293" s="1" t="n">
        <f aca="false">0.35+((P293-7)/70)*(1-0.35)</f>
        <v>0.637857142857143</v>
      </c>
      <c r="R293" s="16" t="n">
        <f aca="false">Q293*L293</f>
        <v>1.27571428571429</v>
      </c>
      <c r="S293" s="16" t="n">
        <f aca="false">J293-R293</f>
        <v>-1.17571428571429</v>
      </c>
      <c r="T293" s="17" t="n">
        <f aca="false">T292+S293</f>
        <v>52.0112857142857</v>
      </c>
      <c r="V293" s="1" t="n">
        <v>1320.1</v>
      </c>
      <c r="X293" s="1" t="n">
        <f aca="false">X292+V293</f>
        <v>48185.8</v>
      </c>
      <c r="AA293" s="1" t="n">
        <v>11.0972013091412</v>
      </c>
    </row>
    <row r="294" s="1" customFormat="true" ht="15" hidden="false" customHeight="false" outlineLevel="0" collapsed="false">
      <c r="A294" s="14"/>
      <c r="B294" s="2"/>
      <c r="C294" s="8" t="n">
        <v>40467</v>
      </c>
      <c r="D294" s="1" t="n">
        <v>10.1</v>
      </c>
      <c r="E294" s="1" t="n">
        <v>8.7</v>
      </c>
      <c r="F294" s="1" t="n">
        <v>11.7</v>
      </c>
      <c r="G294" s="1" t="n">
        <f aca="false">G293+D294</f>
        <v>655.6</v>
      </c>
      <c r="J294" s="1" t="n">
        <v>0.3</v>
      </c>
      <c r="K294" s="1" t="n">
        <f aca="false">K293+J294</f>
        <v>94.4</v>
      </c>
      <c r="L294" s="1" t="n">
        <v>1</v>
      </c>
      <c r="M294" s="1" t="n">
        <f aca="false">M293+L294</f>
        <v>115</v>
      </c>
      <c r="N294" s="1" t="n">
        <v>-0.7</v>
      </c>
      <c r="O294" s="1" t="n">
        <f aca="false">O293+N294</f>
        <v>42.7</v>
      </c>
      <c r="P294" s="6" t="n">
        <v>39</v>
      </c>
      <c r="Q294" s="1" t="n">
        <f aca="false">0.35+((P294-7)/70)*(1-0.35)</f>
        <v>0.647142857142857</v>
      </c>
      <c r="R294" s="16" t="n">
        <f aca="false">Q294*L294</f>
        <v>0.647142857142857</v>
      </c>
      <c r="S294" s="16" t="n">
        <f aca="false">J294-R294</f>
        <v>-0.347142857142857</v>
      </c>
      <c r="T294" s="17" t="n">
        <f aca="false">T293+S294</f>
        <v>51.6641428571429</v>
      </c>
      <c r="V294" s="1" t="n">
        <v>596.2</v>
      </c>
      <c r="X294" s="1" t="n">
        <f aca="false">X293+V294</f>
        <v>48782</v>
      </c>
      <c r="AA294" s="1" t="n">
        <v>11.0485595683907</v>
      </c>
    </row>
    <row r="295" s="1" customFormat="true" ht="15" hidden="false" customHeight="false" outlineLevel="0" collapsed="false">
      <c r="A295" s="14"/>
      <c r="B295" s="2"/>
      <c r="C295" s="8" t="n">
        <v>40468</v>
      </c>
      <c r="D295" s="1" t="n">
        <v>9.5</v>
      </c>
      <c r="E295" s="1" t="n">
        <v>8.3</v>
      </c>
      <c r="F295" s="1" t="n">
        <v>12</v>
      </c>
      <c r="G295" s="1" t="n">
        <f aca="false">G294+D295</f>
        <v>665.1</v>
      </c>
      <c r="J295" s="1" t="n">
        <v>0</v>
      </c>
      <c r="K295" s="1" t="n">
        <f aca="false">K294+J295</f>
        <v>94.4</v>
      </c>
      <c r="L295" s="1" t="n">
        <v>2.4</v>
      </c>
      <c r="M295" s="1" t="n">
        <f aca="false">M294+L295</f>
        <v>117.4</v>
      </c>
      <c r="N295" s="1" t="n">
        <v>-2.4</v>
      </c>
      <c r="O295" s="1" t="n">
        <f aca="false">O294+N295</f>
        <v>40.3</v>
      </c>
      <c r="P295" s="6" t="n">
        <v>40</v>
      </c>
      <c r="Q295" s="1" t="n">
        <f aca="false">0.35+((P295-7)/70)*(1-0.35)</f>
        <v>0.656428571428571</v>
      </c>
      <c r="R295" s="16" t="n">
        <f aca="false">Q295*L295</f>
        <v>1.57542857142857</v>
      </c>
      <c r="S295" s="16" t="n">
        <f aca="false">J295-R295</f>
        <v>-1.57542857142857</v>
      </c>
      <c r="T295" s="17" t="n">
        <f aca="false">T294+S295</f>
        <v>50.0887142857143</v>
      </c>
      <c r="V295" s="1" t="n">
        <v>1137.7</v>
      </c>
      <c r="X295" s="1" t="n">
        <f aca="false">X294+V295</f>
        <v>49919.7</v>
      </c>
      <c r="AA295" s="1" t="n">
        <v>11.0000561643326</v>
      </c>
    </row>
    <row r="296" s="1" customFormat="true" ht="15" hidden="false" customHeight="false" outlineLevel="0" collapsed="false">
      <c r="A296" s="14"/>
      <c r="B296" s="2"/>
      <c r="C296" s="8" t="n">
        <v>40469</v>
      </c>
      <c r="D296" s="1" t="n">
        <v>7.1</v>
      </c>
      <c r="E296" s="1" t="n">
        <v>6.1</v>
      </c>
      <c r="F296" s="1" t="n">
        <v>8.9</v>
      </c>
      <c r="G296" s="1" t="n">
        <f aca="false">G295+D296</f>
        <v>672.2</v>
      </c>
      <c r="J296" s="1" t="n">
        <v>0</v>
      </c>
      <c r="K296" s="1" t="n">
        <f aca="false">K295+J296</f>
        <v>94.4</v>
      </c>
      <c r="L296" s="1" t="n">
        <v>1.8</v>
      </c>
      <c r="M296" s="1" t="n">
        <f aca="false">M295+L296</f>
        <v>119.2</v>
      </c>
      <c r="N296" s="1" t="n">
        <v>-1.8</v>
      </c>
      <c r="O296" s="1" t="n">
        <f aca="false">O295+N296</f>
        <v>38.5</v>
      </c>
      <c r="P296" s="6" t="n">
        <v>41</v>
      </c>
      <c r="Q296" s="1" t="n">
        <f aca="false">0.35+((P296-7)/70)*(1-0.35)</f>
        <v>0.665714285714286</v>
      </c>
      <c r="R296" s="16" t="n">
        <f aca="false">Q296*L296</f>
        <v>1.19828571428571</v>
      </c>
      <c r="S296" s="16" t="n">
        <f aca="false">J296-R296</f>
        <v>-1.19828571428571</v>
      </c>
      <c r="T296" s="17" t="n">
        <f aca="false">T295+S296</f>
        <v>48.8904285714286</v>
      </c>
      <c r="V296" s="1" t="n">
        <v>1017.3</v>
      </c>
      <c r="X296" s="1" t="n">
        <f aca="false">X295+V296</f>
        <v>50937</v>
      </c>
      <c r="AA296" s="1" t="n">
        <v>10.9517007116862</v>
      </c>
    </row>
    <row r="297" s="1" customFormat="true" ht="15" hidden="false" customHeight="false" outlineLevel="0" collapsed="false">
      <c r="A297" s="14"/>
      <c r="B297" s="2"/>
      <c r="C297" s="8" t="n">
        <v>40470</v>
      </c>
      <c r="D297" s="1" t="n">
        <v>10.9</v>
      </c>
      <c r="E297" s="1" t="n">
        <v>5.9</v>
      </c>
      <c r="F297" s="1" t="n">
        <v>16.3</v>
      </c>
      <c r="G297" s="1" t="n">
        <f aca="false">G296+D297</f>
        <v>683.1</v>
      </c>
      <c r="J297" s="1" t="n">
        <v>0.2</v>
      </c>
      <c r="K297" s="1" t="n">
        <f aca="false">K296+J297</f>
        <v>94.6</v>
      </c>
      <c r="L297" s="1" t="n">
        <v>2.2</v>
      </c>
      <c r="M297" s="1" t="n">
        <f aca="false">M296+L297</f>
        <v>121.4</v>
      </c>
      <c r="N297" s="1" t="n">
        <v>-2</v>
      </c>
      <c r="O297" s="1" t="n">
        <f aca="false">O296+N297</f>
        <v>36.5</v>
      </c>
      <c r="P297" s="6" t="n">
        <v>42</v>
      </c>
      <c r="Q297" s="1" t="n">
        <f aca="false">0.35+((P297-7)/70)*(1-0.35)</f>
        <v>0.675</v>
      </c>
      <c r="R297" s="16" t="n">
        <f aca="false">Q297*L297</f>
        <v>1.485</v>
      </c>
      <c r="S297" s="16" t="n">
        <f aca="false">J297-R297</f>
        <v>-1.285</v>
      </c>
      <c r="T297" s="17" t="n">
        <f aca="false">T296+S297</f>
        <v>47.6054285714286</v>
      </c>
      <c r="V297" s="1" t="n">
        <v>1130.7</v>
      </c>
      <c r="X297" s="1" t="n">
        <f aca="false">X296+V297</f>
        <v>52067.7</v>
      </c>
      <c r="AA297" s="1" t="n">
        <v>10.9035031790459</v>
      </c>
    </row>
    <row r="298" s="1" customFormat="true" ht="15" hidden="false" customHeight="false" outlineLevel="0" collapsed="false">
      <c r="A298" s="14"/>
      <c r="B298" s="2"/>
      <c r="C298" s="8" t="n">
        <v>40471</v>
      </c>
      <c r="D298" s="1" t="n">
        <v>11.4</v>
      </c>
      <c r="E298" s="1" t="n">
        <v>10.7</v>
      </c>
      <c r="F298" s="1" t="n">
        <v>14.6</v>
      </c>
      <c r="G298" s="1" t="n">
        <f aca="false">G297+D298</f>
        <v>694.5</v>
      </c>
      <c r="J298" s="1" t="n">
        <v>0.4</v>
      </c>
      <c r="K298" s="1" t="n">
        <f aca="false">K297+J298</f>
        <v>95</v>
      </c>
      <c r="L298" s="1" t="n">
        <v>1.8</v>
      </c>
      <c r="M298" s="1" t="n">
        <f aca="false">M297+L298</f>
        <v>123.2</v>
      </c>
      <c r="N298" s="1" t="n">
        <v>-1.4</v>
      </c>
      <c r="O298" s="1" t="n">
        <f aca="false">O297+N298</f>
        <v>35.1</v>
      </c>
      <c r="P298" s="6" t="n">
        <v>43</v>
      </c>
      <c r="Q298" s="1" t="n">
        <f aca="false">0.35+((P298-7)/70)*(1-0.35)</f>
        <v>0.684285714285714</v>
      </c>
      <c r="R298" s="16" t="n">
        <f aca="false">Q298*L298</f>
        <v>1.23171428571429</v>
      </c>
      <c r="S298" s="16" t="n">
        <f aca="false">J298-R298</f>
        <v>-0.831714285714286</v>
      </c>
      <c r="T298" s="17" t="n">
        <f aca="false">T297+S298</f>
        <v>46.7737142857143</v>
      </c>
      <c r="V298" s="1" t="n">
        <v>628.5</v>
      </c>
      <c r="X298" s="1" t="n">
        <f aca="false">X297+V298</f>
        <v>52696.2</v>
      </c>
      <c r="AA298" s="1" t="n">
        <v>10.8554739022345</v>
      </c>
    </row>
    <row r="299" s="1" customFormat="true" ht="15" hidden="false" customHeight="false" outlineLevel="0" collapsed="false">
      <c r="A299" s="14"/>
      <c r="B299" s="2"/>
      <c r="C299" s="8" t="n">
        <v>40472</v>
      </c>
      <c r="D299" s="1" t="n">
        <v>7.8</v>
      </c>
      <c r="E299" s="1" t="n">
        <v>3.2</v>
      </c>
      <c r="F299" s="1" t="n">
        <v>14.3</v>
      </c>
      <c r="G299" s="1" t="n">
        <f aca="false">G298+D299</f>
        <v>702.3</v>
      </c>
      <c r="J299" s="1" t="n">
        <v>0</v>
      </c>
      <c r="K299" s="1" t="n">
        <f aca="false">K298+J299</f>
        <v>95</v>
      </c>
      <c r="L299" s="1" t="n">
        <v>1.4</v>
      </c>
      <c r="M299" s="1" t="n">
        <f aca="false">M298+L299</f>
        <v>124.6</v>
      </c>
      <c r="N299" s="1" t="n">
        <v>-1.4</v>
      </c>
      <c r="O299" s="1" t="n">
        <f aca="false">O298+N299</f>
        <v>33.7</v>
      </c>
      <c r="P299" s="6" t="n">
        <v>44</v>
      </c>
      <c r="Q299" s="1" t="n">
        <f aca="false">0.35+((P299-7)/70)*(1-0.35)</f>
        <v>0.693571428571429</v>
      </c>
      <c r="R299" s="16" t="n">
        <f aca="false">Q299*L299</f>
        <v>0.971</v>
      </c>
      <c r="S299" s="16" t="n">
        <f aca="false">J299-R299</f>
        <v>-0.971</v>
      </c>
      <c r="T299" s="17" t="n">
        <f aca="false">T298+S299</f>
        <v>45.8027142857143</v>
      </c>
      <c r="V299" s="1" t="n">
        <v>927.8</v>
      </c>
      <c r="X299" s="1" t="n">
        <f aca="false">X298+V299</f>
        <v>53624</v>
      </c>
      <c r="AA299" s="1" t="n">
        <v>10.8076235973406</v>
      </c>
    </row>
    <row r="300" s="1" customFormat="true" ht="15" hidden="false" customHeight="false" outlineLevel="0" collapsed="false">
      <c r="A300" s="14"/>
      <c r="B300" s="2"/>
      <c r="C300" s="8" t="n">
        <v>40473</v>
      </c>
      <c r="D300" s="1" t="n">
        <v>10.9</v>
      </c>
      <c r="E300" s="1" t="n">
        <v>4.1</v>
      </c>
      <c r="F300" s="1" t="n">
        <v>19.8</v>
      </c>
      <c r="G300" s="1" t="n">
        <f aca="false">G299+D300</f>
        <v>713.2</v>
      </c>
      <c r="J300" s="1" t="n">
        <v>0</v>
      </c>
      <c r="K300" s="1" t="n">
        <f aca="false">K299+J300</f>
        <v>95</v>
      </c>
      <c r="L300" s="1" t="n">
        <v>2.2</v>
      </c>
      <c r="M300" s="1" t="n">
        <f aca="false">M299+L300</f>
        <v>126.8</v>
      </c>
      <c r="N300" s="1" t="n">
        <v>-2.2</v>
      </c>
      <c r="O300" s="1" t="n">
        <f aca="false">O299+N300</f>
        <v>31.5</v>
      </c>
      <c r="P300" s="6" t="n">
        <v>45</v>
      </c>
      <c r="Q300" s="1" t="n">
        <f aca="false">0.35+((P300-7)/70)*(1-0.35)</f>
        <v>0.702857142857143</v>
      </c>
      <c r="R300" s="16" t="n">
        <f aca="false">Q300*L300</f>
        <v>1.54628571428571</v>
      </c>
      <c r="S300" s="16" t="n">
        <f aca="false">J300-R300</f>
        <v>-1.54628571428571</v>
      </c>
      <c r="T300" s="17" t="n">
        <f aca="false">T299+S300</f>
        <v>44.2564285714286</v>
      </c>
      <c r="V300" s="1" t="n">
        <v>1082.9</v>
      </c>
      <c r="X300" s="1" t="n">
        <f aca="false">X299+V300</f>
        <v>54706.9</v>
      </c>
      <c r="AA300" s="1" t="n">
        <v>10.7599633733883</v>
      </c>
    </row>
    <row r="301" s="1" customFormat="true" ht="15" hidden="false" customHeight="false" outlineLevel="0" collapsed="false">
      <c r="A301" s="14"/>
      <c r="B301" s="2"/>
      <c r="C301" s="8" t="n">
        <v>40474</v>
      </c>
      <c r="D301" s="1" t="n">
        <v>12.9</v>
      </c>
      <c r="E301" s="1" t="n">
        <v>8.8</v>
      </c>
      <c r="F301" s="1" t="n">
        <v>18.2</v>
      </c>
      <c r="G301" s="1" t="n">
        <f aca="false">G300+D301</f>
        <v>726.1</v>
      </c>
      <c r="J301" s="1" t="n">
        <v>3.3</v>
      </c>
      <c r="K301" s="1" t="n">
        <f aca="false">K300+J301</f>
        <v>98.3</v>
      </c>
      <c r="L301" s="1" t="n">
        <v>1.8</v>
      </c>
      <c r="M301" s="1" t="n">
        <f aca="false">M300+L301</f>
        <v>128.6</v>
      </c>
      <c r="N301" s="1" t="n">
        <v>1.5</v>
      </c>
      <c r="O301" s="1" t="n">
        <f aca="false">O300+N301</f>
        <v>33</v>
      </c>
      <c r="P301" s="6" t="n">
        <v>46</v>
      </c>
      <c r="Q301" s="1" t="n">
        <f aca="false">0.35+((P301-7)/70)*(1-0.35)</f>
        <v>0.712142857142857</v>
      </c>
      <c r="R301" s="16" t="n">
        <f aca="false">Q301*L301</f>
        <v>1.28185714285714</v>
      </c>
      <c r="S301" s="16" t="n">
        <f aca="false">J301-R301</f>
        <v>2.01814285714286</v>
      </c>
      <c r="T301" s="17" t="n">
        <f aca="false">T300+S301</f>
        <v>46.2745714285714</v>
      </c>
      <c r="V301" s="1" t="n">
        <v>991.4</v>
      </c>
      <c r="X301" s="1" t="n">
        <f aca="false">X300+V301</f>
        <v>55698.3</v>
      </c>
      <c r="AA301" s="1" t="n">
        <v>10.7125047445855</v>
      </c>
    </row>
    <row r="302" s="1" customFormat="true" ht="15" hidden="false" customHeight="false" outlineLevel="0" collapsed="false">
      <c r="A302" s="14"/>
      <c r="B302" s="2"/>
      <c r="C302" s="8" t="n">
        <v>40475</v>
      </c>
      <c r="D302" s="1" t="n">
        <v>11.4</v>
      </c>
      <c r="E302" s="1" t="n">
        <v>10.5</v>
      </c>
      <c r="F302" s="1" t="n">
        <v>12.9</v>
      </c>
      <c r="G302" s="1" t="n">
        <f aca="false">G301+D302</f>
        <v>737.5</v>
      </c>
      <c r="J302" s="1" t="n">
        <v>16.9</v>
      </c>
      <c r="K302" s="1" t="n">
        <f aca="false">K301+J302</f>
        <v>115.2</v>
      </c>
      <c r="L302" s="1" t="n">
        <v>0.6</v>
      </c>
      <c r="M302" s="1" t="n">
        <f aca="false">M301+L302</f>
        <v>129.2</v>
      </c>
      <c r="N302" s="1" t="n">
        <v>16.3</v>
      </c>
      <c r="O302" s="1" t="n">
        <f aca="false">O301+N302</f>
        <v>49.3</v>
      </c>
      <c r="P302" s="6" t="n">
        <v>47</v>
      </c>
      <c r="Q302" s="1" t="n">
        <f aca="false">0.35+((P302-7)/70)*(1-0.35)</f>
        <v>0.721428571428571</v>
      </c>
      <c r="R302" s="16" t="n">
        <f aca="false">Q302*L302</f>
        <v>0.432857142857143</v>
      </c>
      <c r="S302" s="16" t="n">
        <f aca="false">J302-R302</f>
        <v>16.4671428571429</v>
      </c>
      <c r="T302" s="17" t="n">
        <f aca="false">T301+S302</f>
        <v>62.7417142857143</v>
      </c>
      <c r="V302" s="1" t="n">
        <v>186.3</v>
      </c>
      <c r="X302" s="1" t="n">
        <f aca="false">X301+V302</f>
        <v>55884.6</v>
      </c>
      <c r="AA302" s="1" t="n">
        <v>10.6652596420924</v>
      </c>
    </row>
    <row r="303" s="1" customFormat="true" ht="15" hidden="false" customHeight="false" outlineLevel="0" collapsed="false">
      <c r="A303" s="14"/>
      <c r="B303" s="2"/>
      <c r="C303" s="8" t="n">
        <v>40476</v>
      </c>
      <c r="D303" s="1" t="n">
        <v>8.7</v>
      </c>
      <c r="E303" s="1" t="n">
        <v>8.1</v>
      </c>
      <c r="F303" s="1" t="n">
        <v>11.2</v>
      </c>
      <c r="G303" s="1" t="n">
        <f aca="false">G302+D303</f>
        <v>746.2</v>
      </c>
      <c r="J303" s="1" t="n">
        <v>0</v>
      </c>
      <c r="K303" s="1" t="n">
        <f aca="false">K302+J303</f>
        <v>115.2</v>
      </c>
      <c r="L303" s="1" t="n">
        <v>2.1</v>
      </c>
      <c r="M303" s="1" t="n">
        <f aca="false">M302+L303</f>
        <v>131.3</v>
      </c>
      <c r="N303" s="1" t="n">
        <v>-2.1</v>
      </c>
      <c r="O303" s="1" t="n">
        <f aca="false">O302+N303</f>
        <v>47.2</v>
      </c>
      <c r="P303" s="6" t="n">
        <v>48</v>
      </c>
      <c r="Q303" s="1" t="n">
        <f aca="false">0.35+((P303-7)/70)*(1-0.35)</f>
        <v>0.730714285714286</v>
      </c>
      <c r="R303" s="16" t="n">
        <f aca="false">Q303*L303</f>
        <v>1.5345</v>
      </c>
      <c r="S303" s="16" t="n">
        <f aca="false">J303-R303</f>
        <v>-1.5345</v>
      </c>
      <c r="T303" s="17" t="n">
        <f aca="false">T302+S303</f>
        <v>61.2072142857143</v>
      </c>
      <c r="V303" s="1" t="n">
        <v>928.3</v>
      </c>
      <c r="X303" s="1" t="n">
        <f aca="false">X302+V303</f>
        <v>56812.9</v>
      </c>
      <c r="AA303" s="1" t="n">
        <v>10.618240425247</v>
      </c>
    </row>
    <row r="304" s="1" customFormat="true" ht="15" hidden="false" customHeight="false" outlineLevel="0" collapsed="false">
      <c r="A304" s="14"/>
      <c r="B304" s="2"/>
      <c r="C304" s="8" t="n">
        <v>40477</v>
      </c>
      <c r="D304" s="1" t="n">
        <v>7</v>
      </c>
      <c r="E304" s="1" t="n">
        <v>4</v>
      </c>
      <c r="F304" s="1" t="n">
        <v>12.6</v>
      </c>
      <c r="G304" s="1" t="n">
        <f aca="false">G303+D304</f>
        <v>753.2</v>
      </c>
      <c r="J304" s="1" t="n">
        <v>0</v>
      </c>
      <c r="K304" s="1" t="n">
        <f aca="false">K303+J304</f>
        <v>115.2</v>
      </c>
      <c r="L304" s="1" t="n">
        <v>2.3</v>
      </c>
      <c r="M304" s="1" t="n">
        <f aca="false">M303+L304</f>
        <v>133.6</v>
      </c>
      <c r="N304" s="1" t="n">
        <v>-2.3</v>
      </c>
      <c r="O304" s="1" t="n">
        <f aca="false">O303+N304</f>
        <v>44.9</v>
      </c>
      <c r="P304" s="6" t="n">
        <v>49</v>
      </c>
      <c r="Q304" s="1" t="n">
        <f aca="false">0.35+((P304-7)/70)*(1-0.35)</f>
        <v>0.74</v>
      </c>
      <c r="R304" s="16" t="n">
        <f aca="false">Q304*L304</f>
        <v>1.702</v>
      </c>
      <c r="S304" s="16" t="n">
        <f aca="false">J304-R304</f>
        <v>-1.702</v>
      </c>
      <c r="T304" s="17" t="n">
        <f aca="false">T303+S304</f>
        <v>59.5052142857143</v>
      </c>
      <c r="V304" s="1" t="n">
        <v>1282.9</v>
      </c>
      <c r="X304" s="1" t="n">
        <f aca="false">X303+V304</f>
        <v>58095.8</v>
      </c>
      <c r="AA304" s="1" t="n">
        <v>10.5714598921816</v>
      </c>
    </row>
    <row r="305" s="1" customFormat="true" ht="15" hidden="false" customHeight="false" outlineLevel="0" collapsed="false">
      <c r="A305" s="14"/>
      <c r="B305" s="2"/>
      <c r="C305" s="8" t="n">
        <v>40478</v>
      </c>
      <c r="D305" s="1" t="n">
        <v>7.5</v>
      </c>
      <c r="E305" s="1" t="n">
        <v>0.4</v>
      </c>
      <c r="F305" s="1" t="n">
        <v>14.8</v>
      </c>
      <c r="G305" s="1" t="n">
        <f aca="false">G304+D305</f>
        <v>760.7</v>
      </c>
      <c r="J305" s="1" t="n">
        <v>0</v>
      </c>
      <c r="K305" s="1" t="n">
        <f aca="false">K304+J305</f>
        <v>115.2</v>
      </c>
      <c r="L305" s="1" t="n">
        <v>1.9</v>
      </c>
      <c r="M305" s="1" t="n">
        <f aca="false">M304+L305</f>
        <v>135.5</v>
      </c>
      <c r="N305" s="1" t="n">
        <v>-1.9</v>
      </c>
      <c r="O305" s="1" t="n">
        <f aca="false">O304+N305</f>
        <v>43</v>
      </c>
      <c r="P305" s="6" t="n">
        <v>50</v>
      </c>
      <c r="Q305" s="1" t="n">
        <f aca="false">0.35+((P305-7)/70)*(1-0.35)</f>
        <v>0.749285714285714</v>
      </c>
      <c r="R305" s="16" t="n">
        <f aca="false">Q305*L305</f>
        <v>1.42364285714286</v>
      </c>
      <c r="S305" s="16" t="n">
        <f aca="false">J305-R305</f>
        <v>-1.42364285714286</v>
      </c>
      <c r="T305" s="17" t="n">
        <f aca="false">T304+S305</f>
        <v>58.0815714285714</v>
      </c>
      <c r="V305" s="1" t="n">
        <v>1232</v>
      </c>
      <c r="X305" s="1" t="n">
        <f aca="false">X304+V305</f>
        <v>59327.8</v>
      </c>
      <c r="AA305" s="1" t="n">
        <v>10.5249312897583</v>
      </c>
    </row>
    <row r="306" s="1" customFormat="true" ht="15" hidden="false" customHeight="false" outlineLevel="0" collapsed="false">
      <c r="A306" s="14"/>
      <c r="B306" s="2"/>
      <c r="C306" s="8" t="n">
        <v>40479</v>
      </c>
      <c r="D306" s="1" t="n">
        <v>9.2</v>
      </c>
      <c r="E306" s="1" t="n">
        <v>4.9</v>
      </c>
      <c r="F306" s="1" t="n">
        <v>13.6</v>
      </c>
      <c r="G306" s="1" t="n">
        <f aca="false">G305+D306</f>
        <v>769.9</v>
      </c>
      <c r="J306" s="1" t="n">
        <v>0</v>
      </c>
      <c r="K306" s="1" t="n">
        <f aca="false">K305+J306</f>
        <v>115.2</v>
      </c>
      <c r="L306" s="1" t="n">
        <v>1.8</v>
      </c>
      <c r="M306" s="1" t="n">
        <f aca="false">M305+L306</f>
        <v>137.3</v>
      </c>
      <c r="N306" s="1" t="n">
        <v>-1.8</v>
      </c>
      <c r="O306" s="1" t="n">
        <f aca="false">O305+N306</f>
        <v>41.2</v>
      </c>
      <c r="P306" s="6" t="n">
        <v>51</v>
      </c>
      <c r="Q306" s="1" t="n">
        <f aca="false">0.35+((P306-7)/70)*(1-0.35)</f>
        <v>0.758571428571429</v>
      </c>
      <c r="R306" s="16" t="n">
        <f aca="false">Q306*L306</f>
        <v>1.36542857142857</v>
      </c>
      <c r="S306" s="16" t="n">
        <f aca="false">J306-R306</f>
        <v>-1.36542857142857</v>
      </c>
      <c r="T306" s="17" t="n">
        <f aca="false">T305+S306</f>
        <v>56.7161428571429</v>
      </c>
      <c r="V306" s="1" t="n">
        <v>1212.8</v>
      </c>
      <c r="X306" s="1" t="n">
        <f aca="false">X305+V306</f>
        <v>60540.6</v>
      </c>
      <c r="AA306" s="1" t="n">
        <v>10.4786683227474</v>
      </c>
    </row>
    <row r="307" s="1" customFormat="true" ht="15" hidden="false" customHeight="false" outlineLevel="0" collapsed="false">
      <c r="A307" s="14"/>
      <c r="B307" s="2"/>
      <c r="C307" s="8" t="n">
        <v>40480</v>
      </c>
      <c r="D307" s="1" t="n">
        <v>13.9</v>
      </c>
      <c r="E307" s="1" t="n">
        <v>7</v>
      </c>
      <c r="F307" s="1" t="n">
        <v>18.8</v>
      </c>
      <c r="G307" s="1" t="n">
        <f aca="false">G306+D307</f>
        <v>783.8</v>
      </c>
      <c r="J307" s="1" t="n">
        <v>0.1</v>
      </c>
      <c r="K307" s="1" t="n">
        <f aca="false">K306+J307</f>
        <v>115.3</v>
      </c>
      <c r="L307" s="1" t="n">
        <v>1.4</v>
      </c>
      <c r="M307" s="1" t="n">
        <f aca="false">M306+L307</f>
        <v>138.7</v>
      </c>
      <c r="N307" s="1" t="n">
        <v>-1.3</v>
      </c>
      <c r="O307" s="1" t="n">
        <f aca="false">O306+N307</f>
        <v>39.9</v>
      </c>
      <c r="P307" s="6" t="n">
        <v>52</v>
      </c>
      <c r="Q307" s="1" t="n">
        <f aca="false">0.35+((P307-7)/70)*(1-0.35)</f>
        <v>0.767857142857143</v>
      </c>
      <c r="R307" s="16" t="n">
        <f aca="false">Q307*L307</f>
        <v>1.075</v>
      </c>
      <c r="S307" s="16" t="n">
        <f aca="false">J307-R307</f>
        <v>-0.975</v>
      </c>
      <c r="T307" s="17" t="n">
        <f aca="false">T306+S307</f>
        <v>55.7411428571429</v>
      </c>
      <c r="V307" s="1" t="n">
        <v>622.7</v>
      </c>
      <c r="X307" s="1" t="n">
        <f aca="false">X306+V307</f>
        <v>61163.3</v>
      </c>
      <c r="AA307" s="1" t="n">
        <v>10.4326851621711</v>
      </c>
    </row>
    <row r="308" s="1" customFormat="true" ht="15" hidden="false" customHeight="false" outlineLevel="0" collapsed="false">
      <c r="A308" s="14"/>
      <c r="B308" s="2"/>
      <c r="C308" s="8" t="n">
        <v>40481</v>
      </c>
      <c r="D308" s="1" t="n">
        <v>12.9</v>
      </c>
      <c r="E308" s="1" t="n">
        <v>10.3</v>
      </c>
      <c r="F308" s="1" t="n">
        <v>17</v>
      </c>
      <c r="G308" s="1" t="n">
        <f aca="false">G307+D308</f>
        <v>796.7</v>
      </c>
      <c r="J308" s="1" t="n">
        <v>0</v>
      </c>
      <c r="K308" s="1" t="n">
        <f aca="false">K307+J308</f>
        <v>115.3</v>
      </c>
      <c r="L308" s="1" t="n">
        <v>1.8</v>
      </c>
      <c r="M308" s="1" t="n">
        <f aca="false">M307+L308</f>
        <v>140.5</v>
      </c>
      <c r="N308" s="1" t="n">
        <v>-1.8</v>
      </c>
      <c r="O308" s="1" t="n">
        <f aca="false">O307+N308</f>
        <v>38.1</v>
      </c>
      <c r="P308" s="6" t="n">
        <v>53</v>
      </c>
      <c r="Q308" s="1" t="n">
        <f aca="false">0.35+((P308-7)/70)*(1-0.35)</f>
        <v>0.777142857142857</v>
      </c>
      <c r="R308" s="16" t="n">
        <f aca="false">Q308*L308</f>
        <v>1.39885714285714</v>
      </c>
      <c r="S308" s="16" t="n">
        <f aca="false">J308-R308</f>
        <v>-1.39885714285714</v>
      </c>
      <c r="T308" s="17" t="n">
        <f aca="false">T307+S308</f>
        <v>54.3422857142857</v>
      </c>
      <c r="V308" s="1" t="n">
        <v>958.3</v>
      </c>
      <c r="X308" s="1" t="n">
        <f aca="false">X307+V308</f>
        <v>62121.6</v>
      </c>
      <c r="AA308" s="1" t="n">
        <v>10.3869964527256</v>
      </c>
    </row>
    <row r="309" s="1" customFormat="true" ht="15" hidden="false" customHeight="false" outlineLevel="0" collapsed="false">
      <c r="A309" s="14"/>
      <c r="B309" s="2"/>
      <c r="C309" s="8" t="n">
        <v>40482</v>
      </c>
      <c r="D309" s="1" t="n">
        <v>11.1</v>
      </c>
      <c r="E309" s="1" t="n">
        <v>9.4</v>
      </c>
      <c r="F309" s="1" t="n">
        <v>12.7</v>
      </c>
      <c r="G309" s="1" t="n">
        <f aca="false">G308+D309</f>
        <v>807.8</v>
      </c>
      <c r="J309" s="1" t="n">
        <v>8.5</v>
      </c>
      <c r="K309" s="1" t="n">
        <f aca="false">K308+J309</f>
        <v>123.8</v>
      </c>
      <c r="L309" s="1" t="n">
        <v>0.5</v>
      </c>
      <c r="M309" s="1" t="n">
        <f aca="false">M308+L309</f>
        <v>141</v>
      </c>
      <c r="N309" s="1" t="n">
        <v>8</v>
      </c>
      <c r="O309" s="1" t="n">
        <f aca="false">O308+N309</f>
        <v>46.1</v>
      </c>
      <c r="P309" s="6" t="n">
        <v>54</v>
      </c>
      <c r="Q309" s="1" t="n">
        <f aca="false">0.35+((P309-7)/70)*(1-0.35)</f>
        <v>0.786428571428571</v>
      </c>
      <c r="R309" s="16" t="n">
        <f aca="false">Q309*L309</f>
        <v>0.393214285714286</v>
      </c>
      <c r="S309" s="16" t="n">
        <f aca="false">J309-R309</f>
        <v>8.10678571428571</v>
      </c>
      <c r="T309" s="17" t="n">
        <f aca="false">T308+S309</f>
        <v>62.4490714285714</v>
      </c>
      <c r="V309" s="1" t="n">
        <v>219.1</v>
      </c>
      <c r="X309" s="1" t="n">
        <f aca="false">X308+V309</f>
        <v>62340.7</v>
      </c>
      <c r="AA309" s="1" t="n">
        <v>10.3416173191965</v>
      </c>
    </row>
    <row r="310" s="1" customFormat="true" ht="15" hidden="false" customHeight="false" outlineLevel="0" collapsed="false">
      <c r="A310" s="14"/>
      <c r="B310" s="2"/>
      <c r="C310" s="8" t="n">
        <v>40483</v>
      </c>
      <c r="D310" s="1" t="n">
        <v>12.1</v>
      </c>
      <c r="E310" s="1" t="n">
        <v>10.7</v>
      </c>
      <c r="F310" s="1" t="n">
        <v>12.9</v>
      </c>
      <c r="G310" s="1" t="n">
        <f aca="false">G309+D310</f>
        <v>819.9</v>
      </c>
      <c r="J310" s="1" t="n">
        <v>1.9</v>
      </c>
      <c r="K310" s="1" t="n">
        <f aca="false">K309+J310</f>
        <v>125.7</v>
      </c>
      <c r="L310" s="1" t="n">
        <v>0.6</v>
      </c>
      <c r="M310" s="1" t="n">
        <f aca="false">M309+L310</f>
        <v>141.6</v>
      </c>
      <c r="N310" s="1" t="n">
        <v>1.3</v>
      </c>
      <c r="O310" s="1" t="n">
        <f aca="false">O309+N310</f>
        <v>47.4</v>
      </c>
      <c r="P310" s="6" t="n">
        <v>55</v>
      </c>
      <c r="Q310" s="1" t="n">
        <f aca="false">0.35+((P310-7)/70)*(1-0.35)</f>
        <v>0.795714285714286</v>
      </c>
      <c r="R310" s="16" t="n">
        <f aca="false">Q310*L310</f>
        <v>0.477428571428571</v>
      </c>
      <c r="S310" s="16" t="n">
        <f aca="false">J310-R310</f>
        <v>1.42257142857143</v>
      </c>
      <c r="T310" s="17" t="n">
        <f aca="false">T309+S310</f>
        <v>63.8716428571429</v>
      </c>
      <c r="V310" s="1" t="n">
        <v>218.2</v>
      </c>
      <c r="X310" s="1" t="n">
        <f aca="false">X309+V310</f>
        <v>62558.9</v>
      </c>
      <c r="AA310" s="1" t="n">
        <v>10.2965633717737</v>
      </c>
    </row>
    <row r="311" s="1" customFormat="true" ht="15" hidden="false" customHeight="false" outlineLevel="0" collapsed="false">
      <c r="A311" s="14"/>
      <c r="B311" s="2"/>
      <c r="C311" s="8" t="n">
        <v>40484</v>
      </c>
      <c r="D311" s="1" t="n">
        <v>13.5</v>
      </c>
      <c r="E311" s="1" t="n">
        <v>11.1</v>
      </c>
      <c r="F311" s="1" t="n">
        <v>16.3</v>
      </c>
      <c r="G311" s="1" t="n">
        <f aca="false">G310+D311</f>
        <v>833.4</v>
      </c>
      <c r="J311" s="1" t="n">
        <v>0.8</v>
      </c>
      <c r="K311" s="1" t="n">
        <f aca="false">K310+J311</f>
        <v>126.5</v>
      </c>
      <c r="L311" s="1" t="n">
        <v>1.9</v>
      </c>
      <c r="M311" s="1" t="n">
        <f aca="false">M310+L311</f>
        <v>143.5</v>
      </c>
      <c r="N311" s="1" t="n">
        <v>-1.1</v>
      </c>
      <c r="O311" s="1" t="n">
        <f aca="false">O310+N311</f>
        <v>46.3</v>
      </c>
      <c r="P311" s="6" t="n">
        <v>56</v>
      </c>
      <c r="Q311" s="1" t="n">
        <f aca="false">0.35+((P311-7)/70)*(1-0.35)</f>
        <v>0.805</v>
      </c>
      <c r="R311" s="16" t="n">
        <f aca="false">Q311*L311</f>
        <v>1.5295</v>
      </c>
      <c r="S311" s="16" t="n">
        <f aca="false">J311-R311</f>
        <v>-0.7295</v>
      </c>
      <c r="T311" s="17" t="n">
        <f aca="false">T310+S311</f>
        <v>63.1421428571429</v>
      </c>
      <c r="V311" s="1" t="n">
        <v>817.7</v>
      </c>
      <c r="X311" s="1" t="n">
        <f aca="false">X310+V311</f>
        <v>63376.6</v>
      </c>
      <c r="AA311" s="1" t="n">
        <v>10.2518507101715</v>
      </c>
    </row>
    <row r="312" s="1" customFormat="true" ht="15" hidden="false" customHeight="false" outlineLevel="0" collapsed="false">
      <c r="A312" s="14"/>
      <c r="B312" s="2"/>
      <c r="C312" s="8" t="n">
        <v>40485</v>
      </c>
      <c r="D312" s="1" t="n">
        <v>14.8</v>
      </c>
      <c r="E312" s="1" t="n">
        <v>13.2</v>
      </c>
      <c r="F312" s="1" t="n">
        <v>16.8</v>
      </c>
      <c r="G312" s="1" t="n">
        <f aca="false">G311+D312</f>
        <v>848.2</v>
      </c>
      <c r="J312" s="1" t="n">
        <v>0.6</v>
      </c>
      <c r="K312" s="1" t="n">
        <f aca="false">K311+J312</f>
        <v>127.1</v>
      </c>
      <c r="L312" s="1" t="n">
        <v>1</v>
      </c>
      <c r="M312" s="1" t="n">
        <f aca="false">M311+L312</f>
        <v>144.5</v>
      </c>
      <c r="N312" s="1" t="n">
        <v>-0.4</v>
      </c>
      <c r="O312" s="1" t="n">
        <f aca="false">O311+N312</f>
        <v>45.9</v>
      </c>
      <c r="P312" s="6" t="n">
        <v>57</v>
      </c>
      <c r="Q312" s="1" t="n">
        <f aca="false">0.35+((P312-7)/70)*(1-0.35)</f>
        <v>0.814285714285714</v>
      </c>
      <c r="R312" s="16" t="n">
        <f aca="false">Q312*L312</f>
        <v>0.814285714285714</v>
      </c>
      <c r="S312" s="16" t="n">
        <f aca="false">J312-R312</f>
        <v>-0.214285714285714</v>
      </c>
      <c r="T312" s="17" t="n">
        <f aca="false">T311+S312</f>
        <v>62.9278571428571</v>
      </c>
      <c r="V312" s="1" t="n">
        <v>301.4</v>
      </c>
      <c r="X312" s="1" t="n">
        <f aca="false">X311+V312</f>
        <v>63678</v>
      </c>
      <c r="AA312" s="1" t="n">
        <v>10.2074959264554</v>
      </c>
    </row>
    <row r="313" s="1" customFormat="true" ht="15" hidden="false" customHeight="false" outlineLevel="0" collapsed="false">
      <c r="A313" s="14"/>
      <c r="B313" s="2"/>
      <c r="C313" s="8" t="n">
        <v>40486</v>
      </c>
      <c r="D313" s="1" t="n">
        <v>14.2</v>
      </c>
      <c r="E313" s="1" t="n">
        <v>11.4</v>
      </c>
      <c r="F313" s="1" t="n">
        <v>17.3</v>
      </c>
      <c r="G313" s="1" t="n">
        <f aca="false">G312+D313</f>
        <v>862.4</v>
      </c>
      <c r="J313" s="1" t="n">
        <v>0</v>
      </c>
      <c r="K313" s="1" t="n">
        <f aca="false">K312+J313</f>
        <v>127.1</v>
      </c>
      <c r="L313" s="1" t="n">
        <v>1.6</v>
      </c>
      <c r="M313" s="1" t="n">
        <f aca="false">M312+L313</f>
        <v>146.1</v>
      </c>
      <c r="N313" s="1" t="n">
        <v>-1.6</v>
      </c>
      <c r="O313" s="1" t="n">
        <f aca="false">O312+N313</f>
        <v>44.3</v>
      </c>
      <c r="P313" s="6" t="n">
        <v>58</v>
      </c>
      <c r="Q313" s="1" t="n">
        <f aca="false">0.35+((P313-7)/70)*(1-0.35)</f>
        <v>0.823571428571429</v>
      </c>
      <c r="R313" s="16" t="n">
        <f aca="false">Q313*L313</f>
        <v>1.31771428571429</v>
      </c>
      <c r="S313" s="16" t="n">
        <f aca="false">J313-R313</f>
        <v>-1.31771428571429</v>
      </c>
      <c r="T313" s="17" t="n">
        <f aca="false">T312+S313</f>
        <v>61.6101428571429</v>
      </c>
      <c r="V313" s="1" t="n">
        <v>764.8</v>
      </c>
      <c r="X313" s="1" t="n">
        <f aca="false">X312+V313</f>
        <v>64442.8</v>
      </c>
      <c r="AA313" s="1" t="n">
        <v>10.1635161064736</v>
      </c>
    </row>
    <row r="314" s="1" customFormat="true" ht="15" hidden="false" customHeight="false" outlineLevel="0" collapsed="false">
      <c r="A314" s="14"/>
      <c r="B314" s="2"/>
      <c r="C314" s="8" t="n">
        <v>40487</v>
      </c>
      <c r="D314" s="1" t="n">
        <v>14.6</v>
      </c>
      <c r="E314" s="1" t="n">
        <v>14.1</v>
      </c>
      <c r="F314" s="1" t="n">
        <v>15.2</v>
      </c>
      <c r="G314" s="1" t="n">
        <f aca="false">G313+D314</f>
        <v>877</v>
      </c>
      <c r="J314" s="1" t="n">
        <v>0</v>
      </c>
      <c r="K314" s="1" t="n">
        <f aca="false">K313+J314</f>
        <v>127.1</v>
      </c>
      <c r="L314" s="1" t="n">
        <v>0.9</v>
      </c>
      <c r="M314" s="1" t="n">
        <f aca="false">M313+L314</f>
        <v>147</v>
      </c>
      <c r="N314" s="1" t="n">
        <v>-0.9</v>
      </c>
      <c r="O314" s="1" t="n">
        <f aca="false">O313+N314</f>
        <v>43.4</v>
      </c>
      <c r="P314" s="6" t="n">
        <v>59</v>
      </c>
      <c r="Q314" s="1" t="n">
        <f aca="false">0.35+((P314-7)/70)*(1-0.35)</f>
        <v>0.832857142857143</v>
      </c>
      <c r="R314" s="16" t="n">
        <f aca="false">Q314*L314</f>
        <v>0.749571428571429</v>
      </c>
      <c r="S314" s="16" t="n">
        <f aca="false">J314-R314</f>
        <v>-0.749571428571429</v>
      </c>
      <c r="T314" s="17" t="n">
        <f aca="false">T313+S314</f>
        <v>60.8605714285714</v>
      </c>
      <c r="V314" s="1" t="n">
        <v>224.5</v>
      </c>
      <c r="X314" s="1" t="n">
        <f aca="false">X313+V314</f>
        <v>64667.3</v>
      </c>
      <c r="AA314" s="1" t="n">
        <v>10.1199288297901</v>
      </c>
    </row>
    <row r="315" s="1" customFormat="true" ht="15" hidden="false" customHeight="false" outlineLevel="0" collapsed="false">
      <c r="A315" s="14"/>
      <c r="B315" s="2"/>
      <c r="C315" s="8" t="n">
        <v>40488</v>
      </c>
      <c r="D315" s="1" t="n">
        <v>14.3</v>
      </c>
      <c r="E315" s="1" t="n">
        <v>12.9</v>
      </c>
      <c r="F315" s="1" t="n">
        <v>16.4</v>
      </c>
      <c r="G315" s="1" t="n">
        <f aca="false">G314+D315</f>
        <v>891.3</v>
      </c>
      <c r="J315" s="1" t="n">
        <v>2.2</v>
      </c>
      <c r="K315" s="1" t="n">
        <f aca="false">K314+J315</f>
        <v>129.3</v>
      </c>
      <c r="L315" s="1" t="n">
        <v>0.7</v>
      </c>
      <c r="M315" s="1" t="n">
        <f aca="false">M314+L315</f>
        <v>147.7</v>
      </c>
      <c r="N315" s="1" t="n">
        <v>1.5</v>
      </c>
      <c r="O315" s="1" t="n">
        <f aca="false">O314+N315</f>
        <v>44.9</v>
      </c>
      <c r="P315" s="6" t="n">
        <v>60</v>
      </c>
      <c r="Q315" s="1" t="n">
        <f aca="false">0.35+((P315-7)/70)*(1-0.35)</f>
        <v>0.842142857142857</v>
      </c>
      <c r="R315" s="16" t="n">
        <f aca="false">Q315*L315</f>
        <v>0.5895</v>
      </c>
      <c r="S315" s="16" t="n">
        <f aca="false">J315-R315</f>
        <v>1.6105</v>
      </c>
      <c r="T315" s="17" t="n">
        <f aca="false">T314+S315</f>
        <v>62.4710714285714</v>
      </c>
      <c r="V315" s="1" t="n">
        <v>346.4</v>
      </c>
      <c r="X315" s="1" t="n">
        <f aca="false">X314+V315</f>
        <v>65013.7</v>
      </c>
      <c r="AA315" s="1" t="n">
        <v>10.0767521680136</v>
      </c>
    </row>
    <row r="316" s="1" customFormat="true" ht="15" hidden="false" customHeight="false" outlineLevel="0" collapsed="false">
      <c r="A316" s="14"/>
      <c r="B316" s="2"/>
      <c r="C316" s="8" t="n">
        <v>40489</v>
      </c>
      <c r="D316" s="1" t="n">
        <v>10.4</v>
      </c>
      <c r="E316" s="1" t="n">
        <v>8.7</v>
      </c>
      <c r="F316" s="1" t="n">
        <v>12.6</v>
      </c>
      <c r="G316" s="1" t="n">
        <f aca="false">G315+D316</f>
        <v>901.7</v>
      </c>
      <c r="J316" s="1" t="n">
        <v>5</v>
      </c>
      <c r="K316" s="1" t="n">
        <f aca="false">K315+J316</f>
        <v>134.3</v>
      </c>
      <c r="L316" s="1" t="n">
        <v>0.9</v>
      </c>
      <c r="M316" s="1" t="n">
        <f aca="false">M315+L316</f>
        <v>148.6</v>
      </c>
      <c r="N316" s="1" t="n">
        <v>4.1</v>
      </c>
      <c r="O316" s="1" t="n">
        <f aca="false">O315+N316</f>
        <v>49</v>
      </c>
      <c r="P316" s="6" t="n">
        <v>61</v>
      </c>
      <c r="Q316" s="1" t="n">
        <f aca="false">0.35+((P316-7)/70)*(1-0.35)</f>
        <v>0.851428571428571</v>
      </c>
      <c r="R316" s="16" t="n">
        <f aca="false">Q316*L316</f>
        <v>0.766285714285714</v>
      </c>
      <c r="S316" s="16" t="n">
        <f aca="false">J316-R316</f>
        <v>4.23371428571429</v>
      </c>
      <c r="T316" s="17" t="n">
        <f aca="false">T315+S316</f>
        <v>66.7047857142857</v>
      </c>
      <c r="V316" s="1" t="n">
        <v>301.4</v>
      </c>
      <c r="X316" s="1" t="n">
        <f aca="false">X315+V316</f>
        <v>65315.1</v>
      </c>
      <c r="AA316" s="1" t="n">
        <v>10.0340046814152</v>
      </c>
    </row>
    <row r="317" s="1" customFormat="true" ht="15" hidden="false" customHeight="false" outlineLevel="0" collapsed="false">
      <c r="A317" s="14"/>
      <c r="B317" s="2"/>
      <c r="C317" s="8" t="n">
        <v>40490</v>
      </c>
      <c r="D317" s="1" t="n">
        <v>8.5</v>
      </c>
      <c r="E317" s="1" t="n">
        <v>6.1</v>
      </c>
      <c r="F317" s="1" t="n">
        <v>9.7</v>
      </c>
      <c r="G317" s="1" t="n">
        <f aca="false">G316+D317</f>
        <v>910.2</v>
      </c>
      <c r="J317" s="1" t="n">
        <v>10.2</v>
      </c>
      <c r="K317" s="1" t="n">
        <f aca="false">K316+J317</f>
        <v>144.5</v>
      </c>
      <c r="L317" s="1" t="n">
        <v>0.7</v>
      </c>
      <c r="M317" s="1" t="n">
        <f aca="false">M316+L317</f>
        <v>149.3</v>
      </c>
      <c r="N317" s="1" t="n">
        <v>9.5</v>
      </c>
      <c r="O317" s="1" t="n">
        <f aca="false">O316+N317</f>
        <v>58.5</v>
      </c>
      <c r="P317" s="6" t="n">
        <v>62</v>
      </c>
      <c r="Q317" s="1" t="n">
        <f aca="false">0.35+((P317-7)/70)*(1-0.35)</f>
        <v>0.860714285714286</v>
      </c>
      <c r="R317" s="16" t="n">
        <f aca="false">Q317*L317</f>
        <v>0.6025</v>
      </c>
      <c r="S317" s="16" t="n">
        <f aca="false">J317-R317</f>
        <v>9.5975</v>
      </c>
      <c r="T317" s="17" t="n">
        <f aca="false">T316+S317</f>
        <v>76.3022857142857</v>
      </c>
      <c r="V317" s="1" t="n">
        <v>146.4</v>
      </c>
      <c r="X317" s="1" t="n">
        <f aca="false">X316+V317</f>
        <v>65461.5</v>
      </c>
      <c r="AA317" s="1" t="n">
        <v>9.99170541372749</v>
      </c>
    </row>
    <row r="318" s="1" customFormat="true" ht="15" hidden="false" customHeight="false" outlineLevel="0" collapsed="false">
      <c r="A318" s="14"/>
      <c r="B318" s="2"/>
      <c r="C318" s="8" t="n">
        <v>40491</v>
      </c>
      <c r="D318" s="1" t="n">
        <v>10.8</v>
      </c>
      <c r="E318" s="1" t="n">
        <v>8.8</v>
      </c>
      <c r="F318" s="1" t="n">
        <v>14.4</v>
      </c>
      <c r="G318" s="1" t="n">
        <f aca="false">G317+D318</f>
        <v>921</v>
      </c>
      <c r="J318" s="1" t="n">
        <v>4.1</v>
      </c>
      <c r="K318" s="1" t="n">
        <f aca="false">K317+J318</f>
        <v>148.6</v>
      </c>
      <c r="L318" s="1" t="n">
        <v>1.9</v>
      </c>
      <c r="M318" s="1" t="n">
        <f aca="false">M317+L318</f>
        <v>151.2</v>
      </c>
      <c r="N318" s="1" t="n">
        <v>2.2</v>
      </c>
      <c r="O318" s="1" t="n">
        <f aca="false">O317+N318</f>
        <v>60.7</v>
      </c>
      <c r="P318" s="6" t="n">
        <v>63</v>
      </c>
      <c r="Q318" s="1" t="n">
        <f aca="false">0.35+((P318-7)/70)*(1-0.35)</f>
        <v>0.87</v>
      </c>
      <c r="R318" s="16" t="n">
        <f aca="false">Q318*L318</f>
        <v>1.653</v>
      </c>
      <c r="S318" s="16" t="n">
        <f aca="false">J318-R318</f>
        <v>2.447</v>
      </c>
      <c r="T318" s="17" t="n">
        <f aca="false">T317+S318</f>
        <v>78.7492857142857</v>
      </c>
      <c r="V318" s="1" t="n">
        <v>238.1</v>
      </c>
      <c r="X318" s="1" t="n">
        <f aca="false">X317+V318</f>
        <v>65699.6</v>
      </c>
      <c r="AA318" s="1" t="n">
        <v>9.94987388501861</v>
      </c>
    </row>
    <row r="319" s="1" customFormat="true" ht="15" hidden="false" customHeight="false" outlineLevel="0" collapsed="false">
      <c r="A319" s="14"/>
      <c r="B319" s="2"/>
      <c r="C319" s="8" t="n">
        <v>40492</v>
      </c>
      <c r="D319" s="1" t="n">
        <v>9.4</v>
      </c>
      <c r="E319" s="1" t="n">
        <v>8.4</v>
      </c>
      <c r="F319" s="1" t="n">
        <v>11.8</v>
      </c>
      <c r="G319" s="1" t="n">
        <f aca="false">G318+D319</f>
        <v>930.4</v>
      </c>
      <c r="J319" s="1" t="n">
        <v>3.2</v>
      </c>
      <c r="K319" s="1" t="n">
        <f aca="false">K318+J319</f>
        <v>151.8</v>
      </c>
      <c r="L319" s="1" t="n">
        <v>1.3</v>
      </c>
      <c r="M319" s="1" t="n">
        <f aca="false">M318+L319</f>
        <v>152.5</v>
      </c>
      <c r="N319" s="1" t="n">
        <v>1.9</v>
      </c>
      <c r="O319" s="1" t="n">
        <f aca="false">O318+N319</f>
        <v>62.6</v>
      </c>
      <c r="P319" s="6" t="n">
        <v>64</v>
      </c>
      <c r="Q319" s="1" t="n">
        <f aca="false">0.35+((P319-7)/70)*(1-0.35)</f>
        <v>0.879285714285714</v>
      </c>
      <c r="R319" s="16" t="n">
        <f aca="false">Q319*L319</f>
        <v>1.14307142857143</v>
      </c>
      <c r="S319" s="16" t="n">
        <f aca="false">J319-R319</f>
        <v>2.05692857142857</v>
      </c>
      <c r="T319" s="17" t="n">
        <f aca="false">T318+S319</f>
        <v>80.8062142857143</v>
      </c>
      <c r="V319" s="1" t="n">
        <v>241.3</v>
      </c>
      <c r="X319" s="1" t="n">
        <f aca="false">X318+V319</f>
        <v>65940.9</v>
      </c>
      <c r="AA319" s="1" t="n">
        <v>9.90853008253434</v>
      </c>
    </row>
    <row r="320" s="1" customFormat="true" ht="15" hidden="false" customHeight="false" outlineLevel="0" collapsed="false">
      <c r="A320" s="14"/>
      <c r="B320" s="2"/>
      <c r="C320" s="8" t="n">
        <v>40493</v>
      </c>
      <c r="D320" s="1" t="n">
        <v>10.1</v>
      </c>
      <c r="E320" s="1" t="n">
        <v>4.1</v>
      </c>
      <c r="F320" s="1" t="n">
        <v>14.3</v>
      </c>
      <c r="G320" s="1" t="n">
        <f aca="false">G319+D320</f>
        <v>940.5</v>
      </c>
      <c r="J320" s="1" t="n">
        <v>1.7</v>
      </c>
      <c r="K320" s="1" t="n">
        <f aca="false">K319+J320</f>
        <v>153.5</v>
      </c>
      <c r="L320" s="1" t="n">
        <v>0.9</v>
      </c>
      <c r="M320" s="1" t="n">
        <f aca="false">M319+L320</f>
        <v>153.4</v>
      </c>
      <c r="N320" s="1" t="n">
        <v>0.8</v>
      </c>
      <c r="O320" s="1" t="n">
        <f aca="false">O319+N320</f>
        <v>63.4</v>
      </c>
      <c r="P320" s="6" t="n">
        <v>65</v>
      </c>
      <c r="Q320" s="1" t="n">
        <f aca="false">0.35+((P320-7)/70)*(1-0.35)</f>
        <v>0.888571428571429</v>
      </c>
      <c r="R320" s="16" t="n">
        <f aca="false">Q320*L320</f>
        <v>0.799714285714286</v>
      </c>
      <c r="S320" s="16" t="n">
        <f aca="false">J320-R320</f>
        <v>0.900285714285714</v>
      </c>
      <c r="T320" s="17" t="n">
        <f aca="false">T319+S320</f>
        <v>81.7065</v>
      </c>
      <c r="V320" s="1" t="n">
        <v>562.9</v>
      </c>
      <c r="X320" s="1" t="n">
        <f aca="false">X319+V320</f>
        <v>66503.8</v>
      </c>
      <c r="AA320" s="1" t="n">
        <v>9.86769444940539</v>
      </c>
    </row>
    <row r="321" s="1" customFormat="true" ht="15" hidden="false" customHeight="false" outlineLevel="0" collapsed="false">
      <c r="A321" s="14"/>
      <c r="B321" s="2"/>
      <c r="C321" s="8" t="n">
        <v>40494</v>
      </c>
      <c r="D321" s="1" t="n">
        <v>14.1</v>
      </c>
      <c r="E321" s="1" t="n">
        <v>12.3</v>
      </c>
      <c r="F321" s="1" t="n">
        <v>18.1</v>
      </c>
      <c r="G321" s="1" t="n">
        <f aca="false">G320+D321</f>
        <v>954.6</v>
      </c>
      <c r="J321" s="1" t="n">
        <v>0.7</v>
      </c>
      <c r="K321" s="1" t="n">
        <f aca="false">K320+J321</f>
        <v>154.2</v>
      </c>
      <c r="L321" s="1" t="n">
        <v>1.8</v>
      </c>
      <c r="M321" s="1" t="n">
        <f aca="false">M320+L321</f>
        <v>155.2</v>
      </c>
      <c r="N321" s="1" t="n">
        <v>-1.1</v>
      </c>
      <c r="O321" s="1" t="n">
        <f aca="false">O320+N321</f>
        <v>62.3</v>
      </c>
      <c r="P321" s="6" t="n">
        <v>66</v>
      </c>
      <c r="Q321" s="1" t="n">
        <f aca="false">0.35+((P321-7)/70)*(1-0.35)</f>
        <v>0.897857142857143</v>
      </c>
      <c r="R321" s="16" t="n">
        <f aca="false">Q321*L321</f>
        <v>1.61614285714286</v>
      </c>
      <c r="S321" s="16" t="n">
        <f aca="false">J321-R321</f>
        <v>-0.916142857142857</v>
      </c>
      <c r="T321" s="17" t="n">
        <f aca="false">T320+S321</f>
        <v>80.7903571428572</v>
      </c>
      <c r="V321" s="1" t="n">
        <v>322.6</v>
      </c>
      <c r="X321" s="1" t="n">
        <f aca="false">X320+V321</f>
        <v>66826.4</v>
      </c>
      <c r="AA321" s="1" t="n">
        <v>9.827387871119</v>
      </c>
    </row>
    <row r="322" s="1" customFormat="true" ht="15" hidden="false" customHeight="false" outlineLevel="0" collapsed="false">
      <c r="A322" s="14"/>
      <c r="B322" s="2"/>
      <c r="C322" s="8" t="n">
        <v>40495</v>
      </c>
      <c r="D322" s="1" t="n">
        <v>12</v>
      </c>
      <c r="E322" s="1" t="n">
        <v>5.7</v>
      </c>
      <c r="F322" s="1" t="n">
        <v>18.7</v>
      </c>
      <c r="G322" s="1" t="n">
        <f aca="false">G321+D322</f>
        <v>966.6</v>
      </c>
      <c r="J322" s="1" t="n">
        <v>0.1</v>
      </c>
      <c r="K322" s="1" t="n">
        <f aca="false">K321+J322</f>
        <v>154.3</v>
      </c>
      <c r="L322" s="1" t="n">
        <v>1.8</v>
      </c>
      <c r="M322" s="1" t="n">
        <f aca="false">M321+L322</f>
        <v>157</v>
      </c>
      <c r="N322" s="1" t="n">
        <v>-1.7</v>
      </c>
      <c r="O322" s="1" t="n">
        <f aca="false">O321+N322</f>
        <v>60.6</v>
      </c>
      <c r="P322" s="6" t="n">
        <v>67</v>
      </c>
      <c r="Q322" s="1" t="n">
        <f aca="false">0.35+((P322-7)/70)*(1-0.35)</f>
        <v>0.907142857142857</v>
      </c>
      <c r="R322" s="16" t="n">
        <f aca="false">Q322*L322</f>
        <v>1.63285714285714</v>
      </c>
      <c r="S322" s="16" t="n">
        <f aca="false">J322-R322</f>
        <v>-1.53285714285714</v>
      </c>
      <c r="T322" s="17" t="n">
        <f aca="false">T321+S322</f>
        <v>79.2575</v>
      </c>
      <c r="V322" s="1" t="n">
        <v>900.8</v>
      </c>
      <c r="X322" s="1" t="n">
        <f aca="false">X321+V322</f>
        <v>67727.2</v>
      </c>
      <c r="AA322" s="1" t="n">
        <v>9.7876316596586</v>
      </c>
    </row>
    <row r="323" s="1" customFormat="true" ht="15" hidden="false" customHeight="false" outlineLevel="0" collapsed="false">
      <c r="A323" s="14"/>
      <c r="B323" s="2"/>
      <c r="C323" s="8" t="n">
        <v>40496</v>
      </c>
      <c r="D323" s="1" t="n">
        <v>13.4</v>
      </c>
      <c r="E323" s="1" t="n">
        <v>11.9</v>
      </c>
      <c r="F323" s="1" t="n">
        <v>18.3</v>
      </c>
      <c r="G323" s="1" t="n">
        <f aca="false">G322+D323</f>
        <v>980</v>
      </c>
      <c r="J323" s="1" t="n">
        <v>8.6</v>
      </c>
      <c r="K323" s="1" t="n">
        <f aca="false">K322+J323</f>
        <v>162.9</v>
      </c>
      <c r="L323" s="1" t="n">
        <v>1.5</v>
      </c>
      <c r="M323" s="1" t="n">
        <f aca="false">M322+L323</f>
        <v>158.5</v>
      </c>
      <c r="N323" s="1" t="n">
        <v>7.1</v>
      </c>
      <c r="O323" s="1" t="n">
        <f aca="false">O322+N323</f>
        <v>67.7</v>
      </c>
      <c r="P323" s="6" t="n">
        <v>68</v>
      </c>
      <c r="Q323" s="1" t="n">
        <f aca="false">0.35+((P323-7)/70)*(1-0.35)</f>
        <v>0.916428571428572</v>
      </c>
      <c r="R323" s="16" t="n">
        <f aca="false">Q323*L323</f>
        <v>1.37464285714286</v>
      </c>
      <c r="S323" s="16" t="n">
        <f aca="false">J323-R323</f>
        <v>7.22535714285714</v>
      </c>
      <c r="T323" s="17" t="n">
        <f aca="false">T322+S323</f>
        <v>86.4828571428571</v>
      </c>
      <c r="V323" s="1" t="n">
        <v>556.8</v>
      </c>
      <c r="X323" s="1" t="n">
        <f aca="false">X322+V323</f>
        <v>68284</v>
      </c>
      <c r="AA323" s="1" t="n">
        <v>9.74844753522147</v>
      </c>
    </row>
    <row r="324" s="1" customFormat="true" ht="15" hidden="false" customHeight="false" outlineLevel="0" collapsed="false">
      <c r="A324" s="14"/>
      <c r="B324" s="2"/>
      <c r="C324" s="8" t="n">
        <v>40497</v>
      </c>
      <c r="D324" s="1" t="n">
        <v>9.9</v>
      </c>
      <c r="E324" s="1" t="n">
        <v>9.1</v>
      </c>
      <c r="F324" s="1" t="n">
        <v>11.4</v>
      </c>
      <c r="G324" s="1" t="n">
        <f aca="false">G323+D324</f>
        <v>989.9</v>
      </c>
      <c r="J324" s="1" t="n">
        <v>2.3</v>
      </c>
      <c r="K324" s="1" t="n">
        <f aca="false">K323+J324</f>
        <v>165.2</v>
      </c>
      <c r="L324" s="1" t="n">
        <v>1.1</v>
      </c>
      <c r="M324" s="1" t="n">
        <f aca="false">M323+L324</f>
        <v>159.6</v>
      </c>
      <c r="N324" s="1" t="n">
        <v>1.2</v>
      </c>
      <c r="O324" s="1" t="n">
        <f aca="false">O323+N324</f>
        <v>68.9</v>
      </c>
      <c r="P324" s="6" t="n">
        <v>69</v>
      </c>
      <c r="Q324" s="1" t="n">
        <f aca="false">0.35+((P324-7)/70)*(1-0.35)</f>
        <v>0.925714285714286</v>
      </c>
      <c r="R324" s="16" t="n">
        <f aca="false">Q324*L324</f>
        <v>1.01828571428571</v>
      </c>
      <c r="S324" s="16" t="n">
        <f aca="false">J324-R324</f>
        <v>1.28171428571429</v>
      </c>
      <c r="T324" s="17" t="n">
        <f aca="false">T323+S324</f>
        <v>87.7645714285714</v>
      </c>
      <c r="V324" s="1" t="n">
        <v>493.9</v>
      </c>
      <c r="X324" s="1" t="n">
        <f aca="false">X323+V324</f>
        <v>68777.9</v>
      </c>
      <c r="AA324" s="1" t="n">
        <v>9.70985760543049</v>
      </c>
    </row>
    <row r="325" s="1" customFormat="true" ht="15" hidden="false" customHeight="false" outlineLevel="0" collapsed="false">
      <c r="A325" s="14"/>
      <c r="B325" s="2"/>
      <c r="C325" s="8" t="n">
        <v>40498</v>
      </c>
      <c r="D325" s="1" t="n">
        <v>7.9</v>
      </c>
      <c r="E325" s="1" t="n">
        <v>6.5</v>
      </c>
      <c r="F325" s="1" t="n">
        <v>11.7</v>
      </c>
      <c r="G325" s="1" t="n">
        <f aca="false">G324+D325</f>
        <v>997.8</v>
      </c>
      <c r="J325" s="1" t="n">
        <v>0.1</v>
      </c>
      <c r="K325" s="1" t="n">
        <f aca="false">K324+J325</f>
        <v>165.3</v>
      </c>
      <c r="L325" s="1" t="n">
        <v>1.7</v>
      </c>
      <c r="M325" s="1" t="n">
        <f aca="false">M324+L325</f>
        <v>161.3</v>
      </c>
      <c r="N325" s="1" t="n">
        <v>-1.6</v>
      </c>
      <c r="O325" s="1" t="n">
        <f aca="false">O324+N325</f>
        <v>67.3</v>
      </c>
      <c r="P325" s="6" t="n">
        <v>70</v>
      </c>
      <c r="Q325" s="1" t="n">
        <f aca="false">0.35+((P325-7)/70)*(1-0.35)</f>
        <v>0.935</v>
      </c>
      <c r="R325" s="16" t="n">
        <f aca="false">Q325*L325</f>
        <v>1.5895</v>
      </c>
      <c r="S325" s="16" t="n">
        <f aca="false">J325-R325</f>
        <v>-1.4895</v>
      </c>
      <c r="T325" s="17" t="n">
        <f aca="false">T324+S325</f>
        <v>86.2750714285714</v>
      </c>
      <c r="V325" s="1" t="n">
        <v>822.2</v>
      </c>
      <c r="X325" s="1" t="n">
        <f aca="false">X324+V325</f>
        <v>69600.1</v>
      </c>
      <c r="AA325" s="1" t="n">
        <v>9.6718843419652</v>
      </c>
    </row>
    <row r="326" s="1" customFormat="true" ht="15" hidden="false" customHeight="false" outlineLevel="0" collapsed="false">
      <c r="A326" s="14"/>
      <c r="B326" s="2"/>
      <c r="C326" s="8" t="n">
        <v>40499</v>
      </c>
      <c r="D326" s="1" t="n">
        <v>5.4</v>
      </c>
      <c r="E326" s="1" t="n">
        <v>0</v>
      </c>
      <c r="F326" s="1" t="n">
        <v>10</v>
      </c>
      <c r="G326" s="1" t="n">
        <f aca="false">G325+D326</f>
        <v>1003.2</v>
      </c>
      <c r="J326" s="1" t="n">
        <v>8.5</v>
      </c>
      <c r="K326" s="1" t="n">
        <f aca="false">K325+J326</f>
        <v>173.8</v>
      </c>
      <c r="L326" s="1" t="n">
        <v>0.3</v>
      </c>
      <c r="M326" s="1" t="n">
        <f aca="false">M325+L326</f>
        <v>161.6</v>
      </c>
      <c r="N326" s="1" t="n">
        <v>8.2</v>
      </c>
      <c r="O326" s="1" t="n">
        <f aca="false">O325+N326</f>
        <v>75.5</v>
      </c>
      <c r="P326" s="6" t="n">
        <v>71</v>
      </c>
      <c r="Q326" s="1" t="n">
        <f aca="false">0.35+((P326-7)/70)*(1-0.35)</f>
        <v>0.944285714285714</v>
      </c>
      <c r="R326" s="16" t="n">
        <f aca="false">Q326*L326</f>
        <v>0.283285714285714</v>
      </c>
      <c r="S326" s="16" t="n">
        <f aca="false">J326-R326</f>
        <v>8.21671428571429</v>
      </c>
      <c r="T326" s="17" t="n">
        <f aca="false">T325+S326</f>
        <v>94.4917857142857</v>
      </c>
      <c r="V326" s="1" t="n">
        <v>120.3</v>
      </c>
      <c r="X326" s="1" t="n">
        <f aca="false">X325+V326</f>
        <v>69720.4</v>
      </c>
      <c r="AA326" s="1" t="n">
        <v>9.63455055454684</v>
      </c>
    </row>
    <row r="327" s="1" customFormat="true" ht="15" hidden="false" customHeight="false" outlineLevel="0" collapsed="false">
      <c r="A327" s="14"/>
      <c r="B327" s="2"/>
      <c r="C327" s="8" t="n">
        <v>40500</v>
      </c>
      <c r="D327" s="1" t="n">
        <v>9.4</v>
      </c>
      <c r="E327" s="1" t="n">
        <v>7.4</v>
      </c>
      <c r="F327" s="1" t="n">
        <v>13.1</v>
      </c>
      <c r="G327" s="1" t="n">
        <f aca="false">G326+D327</f>
        <v>1012.6</v>
      </c>
      <c r="J327" s="1" t="n">
        <v>0.2</v>
      </c>
      <c r="K327" s="1" t="n">
        <f aca="false">K326+J327</f>
        <v>174</v>
      </c>
      <c r="L327" s="1" t="n">
        <v>1.7</v>
      </c>
      <c r="M327" s="1" t="n">
        <f aca="false">M326+L327</f>
        <v>163.3</v>
      </c>
      <c r="N327" s="1" t="n">
        <v>-1.5</v>
      </c>
      <c r="O327" s="1" t="n">
        <f aca="false">O326+N327</f>
        <v>74</v>
      </c>
      <c r="P327" s="6" t="n">
        <v>72</v>
      </c>
      <c r="Q327" s="1" t="n">
        <f aca="false">0.35+((P327-7)/70)*(1-0.35)</f>
        <v>0.953571428571429</v>
      </c>
      <c r="R327" s="16" t="n">
        <f aca="false">Q327*L327</f>
        <v>1.62107142857143</v>
      </c>
      <c r="S327" s="16" t="n">
        <f aca="false">J327-R327</f>
        <v>-1.42107142857143</v>
      </c>
      <c r="T327" s="17" t="n">
        <f aca="false">T326+S327</f>
        <v>93.0707142857143</v>
      </c>
      <c r="V327" s="1" t="n">
        <v>706.8</v>
      </c>
      <c r="X327" s="1" t="n">
        <f aca="false">X326+V327</f>
        <v>70427.2</v>
      </c>
      <c r="AA327" s="1" t="n">
        <v>9.5978793622235</v>
      </c>
    </row>
    <row r="328" s="1" customFormat="true" ht="15" hidden="false" customHeight="false" outlineLevel="0" collapsed="false">
      <c r="A328" s="14"/>
      <c r="B328" s="2"/>
      <c r="C328" s="8" t="n">
        <v>40501</v>
      </c>
      <c r="D328" s="1" t="n">
        <v>8.2</v>
      </c>
      <c r="E328" s="1" t="n">
        <v>3.7</v>
      </c>
      <c r="F328" s="1" t="n">
        <v>11.1</v>
      </c>
      <c r="G328" s="1" t="n">
        <f aca="false">G327+D328</f>
        <v>1020.8</v>
      </c>
      <c r="J328" s="1" t="n">
        <v>0.2</v>
      </c>
      <c r="K328" s="1" t="n">
        <f aca="false">K327+J328</f>
        <v>174.2</v>
      </c>
      <c r="L328" s="1" t="n">
        <v>0.4</v>
      </c>
      <c r="M328" s="1" t="n">
        <f aca="false">M327+L328</f>
        <v>163.7</v>
      </c>
      <c r="N328" s="1" t="n">
        <v>-0.2</v>
      </c>
      <c r="O328" s="1" t="n">
        <f aca="false">O327+N328</f>
        <v>73.8</v>
      </c>
      <c r="P328" s="6" t="n">
        <v>73</v>
      </c>
      <c r="Q328" s="1" t="n">
        <f aca="false">0.35+((P328-7)/70)*(1-0.35)</f>
        <v>0.962857142857143</v>
      </c>
      <c r="R328" s="16" t="n">
        <f aca="false">Q328*L328</f>
        <v>0.385142857142857</v>
      </c>
      <c r="S328" s="16" t="n">
        <f aca="false">J328-R328</f>
        <v>-0.185142857142857</v>
      </c>
      <c r="T328" s="17" t="n">
        <f aca="false">T327+S328</f>
        <v>92.8855714285714</v>
      </c>
      <c r="V328" s="1" t="n">
        <v>436.1</v>
      </c>
      <c r="X328" s="1" t="n">
        <f aca="false">X327+V328</f>
        <v>70863.3</v>
      </c>
      <c r="AA328" s="1" t="n">
        <v>9.56189416191464</v>
      </c>
    </row>
    <row r="329" s="1" customFormat="true" ht="15" hidden="false" customHeight="false" outlineLevel="0" collapsed="false">
      <c r="A329" s="14"/>
      <c r="B329" s="2"/>
      <c r="C329" s="8" t="n">
        <v>40502</v>
      </c>
      <c r="D329" s="1" t="n">
        <v>8.8</v>
      </c>
      <c r="E329" s="1" t="n">
        <v>7.6</v>
      </c>
      <c r="F329" s="1" t="n">
        <v>11.8</v>
      </c>
      <c r="G329" s="1" t="n">
        <f aca="false">G328+D329</f>
        <v>1029.6</v>
      </c>
      <c r="J329" s="1" t="n">
        <v>1.7</v>
      </c>
      <c r="K329" s="1" t="n">
        <f aca="false">K328+J329</f>
        <v>175.9</v>
      </c>
      <c r="L329" s="1" t="n">
        <v>0.6</v>
      </c>
      <c r="M329" s="1" t="n">
        <f aca="false">M328+L329</f>
        <v>164.3</v>
      </c>
      <c r="N329" s="1" t="n">
        <v>1.1</v>
      </c>
      <c r="O329" s="1" t="n">
        <f aca="false">O328+N329</f>
        <v>74.9</v>
      </c>
      <c r="P329" s="6" t="n">
        <v>74</v>
      </c>
      <c r="Q329" s="1" t="n">
        <f aca="false">0.35+((P329-7)/70)*(1-0.35)</f>
        <v>0.972142857142857</v>
      </c>
      <c r="R329" s="16" t="n">
        <f aca="false">Q329*L329</f>
        <v>0.583285714285714</v>
      </c>
      <c r="S329" s="16" t="n">
        <f aca="false">J329-R329</f>
        <v>1.11671428571429</v>
      </c>
      <c r="T329" s="17" t="n">
        <f aca="false">T328+S329</f>
        <v>94.0022857142857</v>
      </c>
      <c r="V329" s="1" t="n">
        <v>389.4</v>
      </c>
      <c r="X329" s="1" t="n">
        <f aca="false">X328+V329</f>
        <v>71252.7</v>
      </c>
      <c r="AA329" s="1" t="n">
        <v>9.52661859418852</v>
      </c>
    </row>
    <row r="330" s="1" customFormat="true" ht="15" hidden="false" customHeight="false" outlineLevel="0" collapsed="false">
      <c r="A330" s="14"/>
      <c r="B330" s="2"/>
      <c r="C330" s="8" t="n">
        <v>40503</v>
      </c>
      <c r="D330" s="1" t="n">
        <v>8.4</v>
      </c>
      <c r="E330" s="1" t="n">
        <v>5.5</v>
      </c>
      <c r="F330" s="1" t="n">
        <v>11.8</v>
      </c>
      <c r="G330" s="1" t="n">
        <f aca="false">G329+D330</f>
        <v>1038</v>
      </c>
      <c r="J330" s="1" t="n">
        <v>9.3</v>
      </c>
      <c r="K330" s="1" t="n">
        <f aca="false">K329+J330</f>
        <v>185.2</v>
      </c>
      <c r="L330" s="1" t="n">
        <v>0.4</v>
      </c>
      <c r="M330" s="1" t="n">
        <f aca="false">M329+L330</f>
        <v>164.7</v>
      </c>
      <c r="N330" s="1" t="n">
        <v>8.9</v>
      </c>
      <c r="O330" s="1" t="n">
        <f aca="false">O329+N330</f>
        <v>83.8</v>
      </c>
      <c r="P330" s="6" t="n">
        <v>75</v>
      </c>
      <c r="Q330" s="1" t="n">
        <f aca="false">0.35+((P330-7)/70)*(1-0.35)</f>
        <v>0.981428571428571</v>
      </c>
      <c r="R330" s="16" t="n">
        <f aca="false">Q330*L330</f>
        <v>0.392571428571429</v>
      </c>
      <c r="S330" s="16" t="n">
        <f aca="false">J330-R330</f>
        <v>8.90742857142857</v>
      </c>
      <c r="T330" s="17" t="n">
        <f aca="false">T329+S330</f>
        <v>102.909714285714</v>
      </c>
      <c r="V330" s="1" t="n">
        <v>131.1</v>
      </c>
      <c r="X330" s="1" t="n">
        <f aca="false">X329+V330</f>
        <v>71383.8</v>
      </c>
      <c r="AA330" s="1" t="n">
        <v>9.49207650626241</v>
      </c>
    </row>
    <row r="331" s="1" customFormat="true" ht="15" hidden="false" customHeight="false" outlineLevel="0" collapsed="false">
      <c r="A331" s="14"/>
      <c r="B331" s="2"/>
      <c r="C331" s="8" t="n">
        <v>40504</v>
      </c>
      <c r="D331" s="1" t="n">
        <v>8</v>
      </c>
      <c r="E331" s="1" t="n">
        <v>7.5</v>
      </c>
      <c r="F331" s="1" t="n">
        <v>9</v>
      </c>
      <c r="G331" s="1" t="n">
        <f aca="false">G330+D331</f>
        <v>1046</v>
      </c>
      <c r="J331" s="1" t="n">
        <v>0.6</v>
      </c>
      <c r="K331" s="1" t="n">
        <f aca="false">K330+J331</f>
        <v>185.8</v>
      </c>
      <c r="L331" s="1" t="n">
        <v>0.8</v>
      </c>
      <c r="M331" s="1" t="n">
        <f aca="false">M330+L331</f>
        <v>165.5</v>
      </c>
      <c r="N331" s="1" t="n">
        <v>-0.2</v>
      </c>
      <c r="O331" s="1" t="n">
        <f aca="false">O330+N331</f>
        <v>83.6</v>
      </c>
      <c r="P331" s="6" t="n">
        <v>76</v>
      </c>
      <c r="Q331" s="1" t="n">
        <f aca="false">0.35+((P331-7)/70)*(1-0.35)</f>
        <v>0.990714285714286</v>
      </c>
      <c r="R331" s="16" t="n">
        <f aca="false">Q331*L331</f>
        <v>0.792571428571429</v>
      </c>
      <c r="S331" s="16" t="n">
        <f aca="false">J331-R331</f>
        <v>-0.192571428571429</v>
      </c>
      <c r="T331" s="17" t="n">
        <f aca="false">T330+S331</f>
        <v>102.717142857143</v>
      </c>
      <c r="V331" s="1" t="n">
        <v>302.1</v>
      </c>
      <c r="X331" s="1" t="n">
        <f aca="false">X330+V331</f>
        <v>71685.9</v>
      </c>
      <c r="AA331" s="1" t="n">
        <v>9.45829191223302</v>
      </c>
    </row>
    <row r="332" s="31" customFormat="true" ht="15" hidden="false" customHeight="false" outlineLevel="0" collapsed="false">
      <c r="A332" s="14"/>
      <c r="B332" s="29"/>
      <c r="C332" s="30" t="n">
        <v>40505</v>
      </c>
      <c r="D332" s="31" t="n">
        <v>6.2</v>
      </c>
      <c r="E332" s="31" t="n">
        <v>5.2</v>
      </c>
      <c r="F332" s="31" t="n">
        <v>9.4</v>
      </c>
      <c r="G332" s="31" t="n">
        <f aca="false">G331+D332</f>
        <v>1052.2</v>
      </c>
      <c r="J332" s="31" t="n">
        <v>0.1</v>
      </c>
      <c r="K332" s="31" t="n">
        <f aca="false">K331+J332</f>
        <v>185.9</v>
      </c>
      <c r="L332" s="31" t="n">
        <v>0.9</v>
      </c>
      <c r="M332" s="31" t="n">
        <f aca="false">M331+L332</f>
        <v>166.4</v>
      </c>
      <c r="N332" s="31" t="n">
        <v>-0.8</v>
      </c>
      <c r="O332" s="31" t="n">
        <f aca="false">O331+N332</f>
        <v>82.8</v>
      </c>
      <c r="P332" s="32" t="n">
        <v>77</v>
      </c>
      <c r="Q332" s="31" t="n">
        <f aca="false">0.35+((P332-7)/70)*(1-0.35)</f>
        <v>1</v>
      </c>
      <c r="R332" s="33" t="n">
        <f aca="false">Q332*L332</f>
        <v>0.9</v>
      </c>
      <c r="S332" s="33" t="n">
        <f aca="false">J332-R332</f>
        <v>-0.8</v>
      </c>
      <c r="T332" s="34" t="n">
        <f aca="false">T331+S332</f>
        <v>101.917142857143</v>
      </c>
      <c r="V332" s="31" t="n">
        <v>393.9</v>
      </c>
      <c r="X332" s="31" t="n">
        <f aca="false">X331+V332</f>
        <v>72079.8</v>
      </c>
      <c r="AA332" s="31" t="n">
        <v>9.42528895056387</v>
      </c>
    </row>
    <row r="333" s="1" customFormat="true" ht="15" hidden="false" customHeight="false" outlineLevel="0" collapsed="false">
      <c r="A333" s="24" t="s">
        <v>46</v>
      </c>
      <c r="B333" s="25"/>
      <c r="C333" s="8" t="n">
        <v>40506</v>
      </c>
      <c r="D333" s="1" t="n">
        <v>2.7</v>
      </c>
      <c r="E333" s="1" t="n">
        <v>-0.5</v>
      </c>
      <c r="F333" s="1" t="n">
        <v>5.3</v>
      </c>
      <c r="G333" s="1" t="n">
        <f aca="false">G332+D333</f>
        <v>1054.9</v>
      </c>
      <c r="H333" s="1" t="n">
        <f aca="false">D333</f>
        <v>2.7</v>
      </c>
      <c r="I333" s="26" t="s">
        <v>30</v>
      </c>
      <c r="J333" s="1" t="n">
        <v>0.2</v>
      </c>
      <c r="K333" s="1" t="n">
        <f aca="false">K332+J333</f>
        <v>186.1</v>
      </c>
      <c r="L333" s="1" t="n">
        <v>0.5</v>
      </c>
      <c r="M333" s="1" t="n">
        <f aca="false">M332+L333</f>
        <v>166.9</v>
      </c>
      <c r="N333" s="1" t="n">
        <v>-0.3</v>
      </c>
      <c r="O333" s="1" t="n">
        <f aca="false">O332+N333</f>
        <v>82.5</v>
      </c>
      <c r="P333" s="6" t="n">
        <v>78</v>
      </c>
      <c r="Q333" s="1" t="n">
        <v>1</v>
      </c>
      <c r="R333" s="16" t="n">
        <f aca="false">Q333*L333</f>
        <v>0.5</v>
      </c>
      <c r="S333" s="16" t="n">
        <f aca="false">J333-R333</f>
        <v>-0.3</v>
      </c>
      <c r="T333" s="17" t="n">
        <f aca="false">T332+S333</f>
        <v>101.617142857143</v>
      </c>
      <c r="U333" s="26" t="s">
        <v>31</v>
      </c>
      <c r="V333" s="1" t="n">
        <v>443.6</v>
      </c>
      <c r="X333" s="1" t="n">
        <f aca="false">X332+V333</f>
        <v>72523.4</v>
      </c>
      <c r="Y333" s="1" t="n">
        <f aca="false">V333</f>
        <v>443.6</v>
      </c>
      <c r="Z333" s="26" t="s">
        <v>32</v>
      </c>
      <c r="AA333" s="1" t="n">
        <v>9.39309183887681</v>
      </c>
    </row>
    <row r="334" s="1" customFormat="true" ht="15" hidden="false" customHeight="false" outlineLevel="0" collapsed="false">
      <c r="A334" s="24"/>
      <c r="B334" s="2"/>
      <c r="C334" s="8" t="n">
        <v>40507</v>
      </c>
      <c r="D334" s="1" t="n">
        <v>5</v>
      </c>
      <c r="E334" s="1" t="n">
        <v>2.2</v>
      </c>
      <c r="F334" s="1" t="n">
        <v>9.1</v>
      </c>
      <c r="G334" s="1" t="n">
        <f aca="false">G333+D334</f>
        <v>1059.9</v>
      </c>
      <c r="H334" s="1" t="n">
        <f aca="false">H333+D334</f>
        <v>7.7</v>
      </c>
      <c r="I334" s="1" t="n">
        <f aca="false">MIN(E333:E375)</f>
        <v>-5.5</v>
      </c>
      <c r="J334" s="1" t="n">
        <v>2.3</v>
      </c>
      <c r="K334" s="1" t="n">
        <f aca="false">K333+J334</f>
        <v>188.4</v>
      </c>
      <c r="L334" s="1" t="n">
        <v>0.7</v>
      </c>
      <c r="M334" s="1" t="n">
        <f aca="false">M333+L334</f>
        <v>167.6</v>
      </c>
      <c r="N334" s="1" t="n">
        <v>1.6</v>
      </c>
      <c r="O334" s="1" t="n">
        <f aca="false">O333+N334</f>
        <v>84.1</v>
      </c>
      <c r="P334" s="6" t="n">
        <v>79</v>
      </c>
      <c r="Q334" s="1" t="n">
        <v>1</v>
      </c>
      <c r="R334" s="16" t="n">
        <f aca="false">Q334*L334</f>
        <v>0.7</v>
      </c>
      <c r="S334" s="16" t="n">
        <f aca="false">J334-R334</f>
        <v>1.6</v>
      </c>
      <c r="T334" s="17" t="n">
        <f aca="false">T333+S334</f>
        <v>103.217142857143</v>
      </c>
      <c r="U334" s="1" t="n">
        <v>36</v>
      </c>
      <c r="V334" s="1" t="n">
        <v>159.6</v>
      </c>
      <c r="X334" s="1" t="n">
        <f aca="false">X333+V334</f>
        <v>72683</v>
      </c>
      <c r="Y334" s="1" t="n">
        <f aca="false">Y333+V334</f>
        <v>603.2</v>
      </c>
      <c r="Z334" s="1" t="n">
        <v>18424.7</v>
      </c>
      <c r="AA334" s="1" t="n">
        <v>9.36172482611705</v>
      </c>
    </row>
    <row r="335" s="1" customFormat="true" ht="15" hidden="false" customHeight="false" outlineLevel="0" collapsed="false">
      <c r="A335" s="24"/>
      <c r="B335" s="2"/>
      <c r="C335" s="8" t="n">
        <v>40508</v>
      </c>
      <c r="D335" s="1" t="n">
        <v>2.9</v>
      </c>
      <c r="E335" s="1" t="n">
        <v>2.4</v>
      </c>
      <c r="F335" s="1" t="n">
        <v>6.3</v>
      </c>
      <c r="G335" s="1" t="n">
        <f aca="false">G334+D335</f>
        <v>1062.8</v>
      </c>
      <c r="H335" s="1" t="n">
        <f aca="false">H334+D335</f>
        <v>10.6</v>
      </c>
      <c r="I335" s="26" t="s">
        <v>33</v>
      </c>
      <c r="J335" s="1" t="n">
        <v>0</v>
      </c>
      <c r="K335" s="1" t="n">
        <f aca="false">K334+J335</f>
        <v>188.4</v>
      </c>
      <c r="L335" s="1" t="n">
        <v>1.2</v>
      </c>
      <c r="M335" s="1" t="n">
        <f aca="false">M334+L335</f>
        <v>168.8</v>
      </c>
      <c r="N335" s="1" t="n">
        <v>-1.2</v>
      </c>
      <c r="O335" s="1" t="n">
        <f aca="false">O334+N335</f>
        <v>82.9</v>
      </c>
      <c r="P335" s="6" t="n">
        <v>80</v>
      </c>
      <c r="Q335" s="1" t="n">
        <v>1</v>
      </c>
      <c r="R335" s="16" t="n">
        <f aca="false">Q335*L335</f>
        <v>1.2</v>
      </c>
      <c r="S335" s="16" t="n">
        <f aca="false">J335-R335</f>
        <v>-1.2</v>
      </c>
      <c r="T335" s="17" t="n">
        <f aca="false">T334+S335</f>
        <v>102.017142857143</v>
      </c>
      <c r="U335" s="26" t="s">
        <v>34</v>
      </c>
      <c r="V335" s="1" t="n">
        <v>761.9</v>
      </c>
      <c r="X335" s="1" t="n">
        <f aca="false">X334+V335</f>
        <v>73444.9</v>
      </c>
      <c r="Y335" s="1" t="n">
        <f aca="false">Y334+V335</f>
        <v>1365.1</v>
      </c>
      <c r="Z335" s="26" t="s">
        <v>35</v>
      </c>
      <c r="AA335" s="1" t="n">
        <v>9.33121214218404</v>
      </c>
    </row>
    <row r="336" s="1" customFormat="true" ht="15" hidden="false" customHeight="false" outlineLevel="0" collapsed="false">
      <c r="A336" s="24"/>
      <c r="B336" s="2"/>
      <c r="C336" s="8" t="n">
        <v>40509</v>
      </c>
      <c r="D336" s="1" t="n">
        <v>3.1</v>
      </c>
      <c r="E336" s="1" t="n">
        <v>-1.3</v>
      </c>
      <c r="F336" s="1" t="n">
        <v>6.7</v>
      </c>
      <c r="G336" s="1" t="n">
        <f aca="false">G335+D336</f>
        <v>1065.9</v>
      </c>
      <c r="H336" s="1" t="n">
        <f aca="false">H335+D336</f>
        <v>13.7</v>
      </c>
      <c r="I336" s="1" t="n">
        <f aca="false">MAX(F333:F375)</f>
        <v>19.3</v>
      </c>
      <c r="J336" s="1" t="n">
        <v>1.8</v>
      </c>
      <c r="K336" s="1" t="n">
        <f aca="false">K335+J336</f>
        <v>190.2</v>
      </c>
      <c r="L336" s="1" t="n">
        <v>0.7</v>
      </c>
      <c r="M336" s="1" t="n">
        <f aca="false">M335+L336</f>
        <v>169.5</v>
      </c>
      <c r="N336" s="1" t="n">
        <v>1.1</v>
      </c>
      <c r="O336" s="1" t="n">
        <f aca="false">O335+N336</f>
        <v>84</v>
      </c>
      <c r="P336" s="6" t="n">
        <v>81</v>
      </c>
      <c r="Q336" s="1" t="n">
        <v>1</v>
      </c>
      <c r="R336" s="16" t="n">
        <f aca="false">Q336*L336</f>
        <v>0.7</v>
      </c>
      <c r="S336" s="16" t="n">
        <f aca="false">J336-R336</f>
        <v>1.1</v>
      </c>
      <c r="T336" s="17" t="n">
        <f aca="false">T335+S336</f>
        <v>103.117142857143</v>
      </c>
      <c r="U336" s="1" t="n">
        <v>0</v>
      </c>
      <c r="V336" s="1" t="n">
        <v>432.3</v>
      </c>
      <c r="X336" s="1" t="n">
        <f aca="false">X335+V336</f>
        <v>73877.2</v>
      </c>
      <c r="Y336" s="1" t="n">
        <f aca="false">Y335+V336</f>
        <v>1797.4</v>
      </c>
      <c r="Z336" s="18" t="n">
        <f aca="false">(Z334/100)/I346</f>
        <v>1.00297768100163</v>
      </c>
      <c r="AA336" s="1" t="n">
        <v>9.30157794514494</v>
      </c>
    </row>
    <row r="337" s="1" customFormat="true" ht="15" hidden="false" customHeight="false" outlineLevel="0" collapsed="false">
      <c r="A337" s="24"/>
      <c r="B337" s="2"/>
      <c r="C337" s="8" t="n">
        <v>40510</v>
      </c>
      <c r="D337" s="1" t="n">
        <v>3</v>
      </c>
      <c r="E337" s="1" t="n">
        <v>-1.6</v>
      </c>
      <c r="F337" s="1" t="n">
        <v>9</v>
      </c>
      <c r="G337" s="1" t="n">
        <f aca="false">G336+D337</f>
        <v>1068.9</v>
      </c>
      <c r="H337" s="1" t="n">
        <f aca="false">H336+D337</f>
        <v>16.7</v>
      </c>
      <c r="I337" s="26" t="s">
        <v>36</v>
      </c>
      <c r="J337" s="1" t="n">
        <v>0.1</v>
      </c>
      <c r="K337" s="1" t="n">
        <f aca="false">K336+J337</f>
        <v>190.3</v>
      </c>
      <c r="L337" s="1" t="n">
        <v>0.9</v>
      </c>
      <c r="M337" s="1" t="n">
        <f aca="false">M336+L337</f>
        <v>170.4</v>
      </c>
      <c r="N337" s="1" t="n">
        <v>-0.8</v>
      </c>
      <c r="O337" s="1" t="n">
        <f aca="false">O336+N337</f>
        <v>83.2</v>
      </c>
      <c r="P337" s="6" t="n">
        <v>82</v>
      </c>
      <c r="Q337" s="1" t="n">
        <v>1</v>
      </c>
      <c r="R337" s="16" t="n">
        <f aca="false">Q337*L337</f>
        <v>0.9</v>
      </c>
      <c r="S337" s="16" t="n">
        <f aca="false">J337-R337</f>
        <v>-0.8</v>
      </c>
      <c r="T337" s="17" t="n">
        <f aca="false">T336+S337</f>
        <v>102.317142857143</v>
      </c>
      <c r="U337" s="26" t="s">
        <v>37</v>
      </c>
      <c r="V337" s="1" t="n">
        <v>526.3</v>
      </c>
      <c r="X337" s="1" t="n">
        <f aca="false">X336+V337</f>
        <v>74403.5</v>
      </c>
      <c r="Y337" s="1" t="n">
        <f aca="false">Y336+V337</f>
        <v>2323.7</v>
      </c>
      <c r="Z337" s="26" t="s">
        <v>38</v>
      </c>
      <c r="AA337" s="1" t="n">
        <v>9.27284626617208</v>
      </c>
    </row>
    <row r="338" s="1" customFormat="true" ht="15" hidden="false" customHeight="false" outlineLevel="0" collapsed="false">
      <c r="A338" s="24"/>
      <c r="B338" s="2"/>
      <c r="C338" s="8" t="n">
        <v>40511</v>
      </c>
      <c r="D338" s="1" t="n">
        <v>2.5</v>
      </c>
      <c r="E338" s="1" t="n">
        <v>-1.9</v>
      </c>
      <c r="F338" s="1" t="n">
        <v>6.8</v>
      </c>
      <c r="G338" s="1" t="n">
        <f aca="false">G337+D338</f>
        <v>1071.4</v>
      </c>
      <c r="H338" s="1" t="n">
        <f aca="false">H337+D338</f>
        <v>19.2</v>
      </c>
      <c r="I338" s="16" t="n">
        <f aca="false">AVERAGE(D333:D375)</f>
        <v>4.17441860465116</v>
      </c>
      <c r="J338" s="1" t="n">
        <v>0.9</v>
      </c>
      <c r="K338" s="1" t="n">
        <f aca="false">K337+J338</f>
        <v>191.2</v>
      </c>
      <c r="L338" s="1" t="n">
        <v>0.6</v>
      </c>
      <c r="M338" s="1" t="n">
        <f aca="false">M337+L338</f>
        <v>171</v>
      </c>
      <c r="N338" s="1" t="n">
        <v>0.3</v>
      </c>
      <c r="O338" s="1" t="n">
        <f aca="false">O337+N338</f>
        <v>83.5</v>
      </c>
      <c r="P338" s="6" t="n">
        <v>83</v>
      </c>
      <c r="Q338" s="1" t="n">
        <v>1</v>
      </c>
      <c r="R338" s="16" t="n">
        <f aca="false">Q338*L338</f>
        <v>0.6</v>
      </c>
      <c r="S338" s="16" t="n">
        <f aca="false">J338-R338</f>
        <v>0.3</v>
      </c>
      <c r="T338" s="17" t="n">
        <f aca="false">T337+S338</f>
        <v>102.617142857143</v>
      </c>
      <c r="U338" s="1" t="n">
        <v>0</v>
      </c>
      <c r="V338" s="1" t="n">
        <v>720.6</v>
      </c>
      <c r="X338" s="1" t="n">
        <f aca="false">X337+V338</f>
        <v>75124.1000000001</v>
      </c>
      <c r="Y338" s="1" t="n">
        <f aca="false">Y337+V338</f>
        <v>3044.3</v>
      </c>
      <c r="Z338" s="1" t="n">
        <v>43</v>
      </c>
      <c r="AA338" s="1" t="n">
        <v>9.24504095237191</v>
      </c>
    </row>
    <row r="339" s="1" customFormat="true" ht="15" hidden="false" customHeight="false" outlineLevel="0" collapsed="false">
      <c r="A339" s="24"/>
      <c r="B339" s="2"/>
      <c r="C339" s="8" t="n">
        <v>40512</v>
      </c>
      <c r="D339" s="1" t="n">
        <v>4.5</v>
      </c>
      <c r="E339" s="1" t="n">
        <v>1.7</v>
      </c>
      <c r="F339" s="1" t="n">
        <v>8.6</v>
      </c>
      <c r="G339" s="1" t="n">
        <f aca="false">G338+D339</f>
        <v>1075.9</v>
      </c>
      <c r="H339" s="1" t="n">
        <f aca="false">H338+D339</f>
        <v>23.7</v>
      </c>
      <c r="I339" s="26" t="s">
        <v>39</v>
      </c>
      <c r="J339" s="1" t="n">
        <v>0</v>
      </c>
      <c r="K339" s="1" t="n">
        <f aca="false">K338+J339</f>
        <v>191.2</v>
      </c>
      <c r="L339" s="1" t="n">
        <v>0.9</v>
      </c>
      <c r="M339" s="1" t="n">
        <f aca="false">M338+L339</f>
        <v>171.9</v>
      </c>
      <c r="N339" s="1" t="n">
        <v>-0.9</v>
      </c>
      <c r="O339" s="1" t="n">
        <f aca="false">O338+N339</f>
        <v>82.6</v>
      </c>
      <c r="P339" s="6" t="n">
        <v>84</v>
      </c>
      <c r="Q339" s="1" t="n">
        <v>1</v>
      </c>
      <c r="R339" s="16" t="n">
        <f aca="false">Q339*L339</f>
        <v>0.9</v>
      </c>
      <c r="S339" s="16" t="n">
        <f aca="false">J339-R339</f>
        <v>-0.9</v>
      </c>
      <c r="T339" s="17" t="n">
        <f aca="false">T338+S339</f>
        <v>101.717142857143</v>
      </c>
      <c r="U339" s="26" t="s">
        <v>40</v>
      </c>
      <c r="V339" s="1" t="n">
        <v>209.9</v>
      </c>
      <c r="X339" s="1" t="n">
        <f aca="false">X338+V339</f>
        <v>75334</v>
      </c>
      <c r="Y339" s="1" t="n">
        <f aca="false">Y338+V339</f>
        <v>3254.2</v>
      </c>
      <c r="AA339" s="1" t="n">
        <v>9.21818560769833</v>
      </c>
    </row>
    <row r="340" s="1" customFormat="true" ht="15" hidden="false" customHeight="false" outlineLevel="0" collapsed="false">
      <c r="A340" s="24"/>
      <c r="B340" s="2"/>
      <c r="C340" s="8" t="n">
        <v>40513</v>
      </c>
      <c r="D340" s="1" t="n">
        <v>1.6</v>
      </c>
      <c r="E340" s="1" t="n">
        <v>0.6</v>
      </c>
      <c r="F340" s="1" t="n">
        <v>4.4</v>
      </c>
      <c r="G340" s="1" t="n">
        <f aca="false">G339+D340</f>
        <v>1077.5</v>
      </c>
      <c r="H340" s="1" t="n">
        <f aca="false">H339+D340</f>
        <v>25.3</v>
      </c>
      <c r="I340" s="1" t="n">
        <v>18</v>
      </c>
      <c r="J340" s="1" t="n">
        <v>0.2</v>
      </c>
      <c r="K340" s="1" t="n">
        <f aca="false">K339+J340</f>
        <v>191.4</v>
      </c>
      <c r="L340" s="1" t="n">
        <v>0.4</v>
      </c>
      <c r="M340" s="1" t="n">
        <f aca="false">M339+L340</f>
        <v>172.3</v>
      </c>
      <c r="N340" s="1" t="n">
        <v>-0.2</v>
      </c>
      <c r="O340" s="1" t="n">
        <f aca="false">O339+N340</f>
        <v>82.4</v>
      </c>
      <c r="P340" s="6" t="n">
        <v>85</v>
      </c>
      <c r="Q340" s="1" t="n">
        <v>1</v>
      </c>
      <c r="R340" s="16" t="n">
        <f aca="false">Q340*L340</f>
        <v>0.4</v>
      </c>
      <c r="S340" s="16" t="n">
        <f aca="false">J340-R340</f>
        <v>-0.2</v>
      </c>
      <c r="T340" s="17" t="n">
        <f aca="false">T339+S340</f>
        <v>101.517142857143</v>
      </c>
      <c r="U340" s="16" t="n">
        <f aca="false">MIN(T333:T375)</f>
        <v>89.8171428571428</v>
      </c>
      <c r="V340" s="1" t="n">
        <v>238.4</v>
      </c>
      <c r="X340" s="1" t="n">
        <f aca="false">X339+V340</f>
        <v>75572.4</v>
      </c>
      <c r="Y340" s="1" t="n">
        <f aca="false">Y339+V340</f>
        <v>3492.6</v>
      </c>
      <c r="AA340" s="1" t="n">
        <v>9.19230353216968</v>
      </c>
    </row>
    <row r="341" s="1" customFormat="true" ht="15" hidden="false" customHeight="false" outlineLevel="0" collapsed="false">
      <c r="A341" s="24"/>
      <c r="B341" s="2"/>
      <c r="C341" s="8" t="n">
        <v>40514</v>
      </c>
      <c r="D341" s="1" t="n">
        <v>2</v>
      </c>
      <c r="E341" s="1" t="n">
        <v>-1.7</v>
      </c>
      <c r="F341" s="1" t="n">
        <v>5.8</v>
      </c>
      <c r="G341" s="1" t="n">
        <f aca="false">G340+D341</f>
        <v>1079.5</v>
      </c>
      <c r="H341" s="1" t="n">
        <f aca="false">H340+D341</f>
        <v>27.3</v>
      </c>
      <c r="I341" s="26" t="s">
        <v>41</v>
      </c>
      <c r="J341" s="1" t="n">
        <v>0.5</v>
      </c>
      <c r="K341" s="1" t="n">
        <f aca="false">K340+J341</f>
        <v>191.9</v>
      </c>
      <c r="L341" s="1" t="n">
        <v>0.7</v>
      </c>
      <c r="M341" s="1" t="n">
        <f aca="false">M340+L341</f>
        <v>173</v>
      </c>
      <c r="N341" s="1" t="n">
        <v>-0.2</v>
      </c>
      <c r="O341" s="1" t="n">
        <f aca="false">O340+N341</f>
        <v>82.2</v>
      </c>
      <c r="P341" s="6" t="n">
        <v>86</v>
      </c>
      <c r="Q341" s="1" t="n">
        <v>1</v>
      </c>
      <c r="R341" s="16" t="n">
        <f aca="false">Q341*L341</f>
        <v>0.7</v>
      </c>
      <c r="S341" s="16" t="n">
        <f aca="false">J341-R341</f>
        <v>-0.2</v>
      </c>
      <c r="T341" s="17" t="n">
        <f aca="false">T340+S341</f>
        <v>101.317142857143</v>
      </c>
      <c r="U341" s="26" t="s">
        <v>42</v>
      </c>
      <c r="V341" s="1" t="n">
        <v>571.3</v>
      </c>
      <c r="X341" s="1" t="n">
        <f aca="false">X340+V341</f>
        <v>76143.7</v>
      </c>
      <c r="Y341" s="1" t="n">
        <f aca="false">Y340+V341</f>
        <v>4063.9</v>
      </c>
      <c r="AA341" s="1" t="n">
        <v>9.16741765963405</v>
      </c>
    </row>
    <row r="342" s="1" customFormat="true" ht="15" hidden="false" customHeight="false" outlineLevel="0" collapsed="false">
      <c r="A342" s="24"/>
      <c r="B342" s="2"/>
      <c r="C342" s="8" t="n">
        <v>40515</v>
      </c>
      <c r="D342" s="1" t="n">
        <v>2</v>
      </c>
      <c r="E342" s="1" t="n">
        <v>-0.4</v>
      </c>
      <c r="F342" s="1" t="n">
        <v>3.5</v>
      </c>
      <c r="G342" s="1" t="n">
        <f aca="false">G341+D342</f>
        <v>1081.5</v>
      </c>
      <c r="H342" s="1" t="n">
        <f aca="false">H341+D342</f>
        <v>29.3</v>
      </c>
      <c r="I342" s="1" t="n">
        <v>0</v>
      </c>
      <c r="J342" s="1" t="n">
        <v>0.1</v>
      </c>
      <c r="K342" s="1" t="n">
        <f aca="false">K341+J342</f>
        <v>192</v>
      </c>
      <c r="L342" s="1" t="n">
        <v>0.5</v>
      </c>
      <c r="M342" s="1" t="n">
        <f aca="false">M341+L342</f>
        <v>173.5</v>
      </c>
      <c r="N342" s="1" t="n">
        <v>-0.4</v>
      </c>
      <c r="O342" s="1" t="n">
        <f aca="false">O341+N342</f>
        <v>81.8</v>
      </c>
      <c r="P342" s="6" t="n">
        <v>87</v>
      </c>
      <c r="Q342" s="1" t="n">
        <v>1</v>
      </c>
      <c r="R342" s="16" t="n">
        <f aca="false">Q342*L342</f>
        <v>0.5</v>
      </c>
      <c r="S342" s="16" t="n">
        <f aca="false">J342-R342</f>
        <v>-0.4</v>
      </c>
      <c r="T342" s="17" t="n">
        <f aca="false">T341+S342</f>
        <v>100.917142857143</v>
      </c>
      <c r="U342" s="16" t="n">
        <f aca="false">MAX(T333:T375)</f>
        <v>105.617142857143</v>
      </c>
      <c r="V342" s="1" t="n">
        <v>360.5</v>
      </c>
      <c r="X342" s="1" t="n">
        <f aca="false">X341+V342</f>
        <v>76504.2</v>
      </c>
      <c r="Y342" s="1" t="n">
        <f aca="false">Y341+V342</f>
        <v>4424.4</v>
      </c>
      <c r="AA342" s="1" t="n">
        <v>9.14355049435255</v>
      </c>
    </row>
    <row r="343" s="1" customFormat="true" ht="15" hidden="false" customHeight="false" outlineLevel="0" collapsed="false">
      <c r="A343" s="24"/>
      <c r="B343" s="2"/>
      <c r="C343" s="8" t="n">
        <v>40516</v>
      </c>
      <c r="D343" s="1" t="n">
        <v>3.1</v>
      </c>
      <c r="E343" s="1" t="n">
        <v>0.2</v>
      </c>
      <c r="F343" s="1" t="n">
        <v>6.5</v>
      </c>
      <c r="G343" s="1" t="n">
        <f aca="false">G342+D343</f>
        <v>1084.6</v>
      </c>
      <c r="H343" s="1" t="n">
        <f aca="false">H342+D343</f>
        <v>32.4</v>
      </c>
      <c r="I343" s="26" t="s">
        <v>43</v>
      </c>
      <c r="J343" s="1" t="n">
        <v>0</v>
      </c>
      <c r="K343" s="1" t="n">
        <f aca="false">K342+J343</f>
        <v>192</v>
      </c>
      <c r="L343" s="1" t="n">
        <v>0.9</v>
      </c>
      <c r="M343" s="1" t="n">
        <f aca="false">M342+L343</f>
        <v>174.4</v>
      </c>
      <c r="N343" s="1" t="n">
        <v>-0.9</v>
      </c>
      <c r="O343" s="1" t="n">
        <f aca="false">O342+N343</f>
        <v>80.9</v>
      </c>
      <c r="P343" s="6" t="n">
        <v>88</v>
      </c>
      <c r="Q343" s="1" t="n">
        <v>1</v>
      </c>
      <c r="R343" s="16" t="n">
        <f aca="false">Q343*L343</f>
        <v>0.9</v>
      </c>
      <c r="S343" s="16" t="n">
        <f aca="false">J343-R343</f>
        <v>-0.9</v>
      </c>
      <c r="T343" s="17" t="n">
        <f aca="false">T342+S343</f>
        <v>100.017142857143</v>
      </c>
      <c r="U343" s="26" t="s">
        <v>44</v>
      </c>
      <c r="V343" s="1" t="n">
        <v>791</v>
      </c>
      <c r="X343" s="1" t="n">
        <f aca="false">X342+V343</f>
        <v>77295.2</v>
      </c>
      <c r="Y343" s="1" t="n">
        <f aca="false">Y342+V343</f>
        <v>5215.4</v>
      </c>
      <c r="AA343" s="1" t="n">
        <v>9.1207240466944</v>
      </c>
    </row>
    <row r="344" s="1" customFormat="true" ht="15" hidden="false" customHeight="false" outlineLevel="0" collapsed="false">
      <c r="A344" s="24"/>
      <c r="B344" s="2"/>
      <c r="C344" s="8" t="n">
        <v>40517</v>
      </c>
      <c r="D344" s="1" t="n">
        <v>7.8</v>
      </c>
      <c r="E344" s="1" t="n">
        <v>2.9</v>
      </c>
      <c r="F344" s="1" t="n">
        <v>10.9</v>
      </c>
      <c r="G344" s="1" t="n">
        <f aca="false">G343+D344</f>
        <v>1092.4</v>
      </c>
      <c r="H344" s="1" t="n">
        <f aca="false">H343+D344</f>
        <v>40.2</v>
      </c>
      <c r="I344" s="1" t="n">
        <v>16</v>
      </c>
      <c r="J344" s="1" t="n">
        <v>0.4</v>
      </c>
      <c r="K344" s="1" t="n">
        <f aca="false">K343+J344</f>
        <v>192.4</v>
      </c>
      <c r="L344" s="1" t="n">
        <v>1.2</v>
      </c>
      <c r="M344" s="1" t="n">
        <f aca="false">M343+L344</f>
        <v>175.6</v>
      </c>
      <c r="N344" s="1" t="n">
        <v>-0.8</v>
      </c>
      <c r="O344" s="1" t="n">
        <f aca="false">O343+N344</f>
        <v>80.1</v>
      </c>
      <c r="P344" s="6" t="n">
        <v>89</v>
      </c>
      <c r="Q344" s="1" t="n">
        <v>1</v>
      </c>
      <c r="R344" s="16" t="n">
        <f aca="false">Q344*L344</f>
        <v>1.2</v>
      </c>
      <c r="S344" s="16" t="n">
        <f aca="false">J344-R344</f>
        <v>-0.8</v>
      </c>
      <c r="T344" s="17" t="n">
        <f aca="false">T343+S344</f>
        <v>99.2171428571428</v>
      </c>
      <c r="U344" s="18" t="n">
        <f aca="false">AVERAGE(T333:T375)</f>
        <v>98.3217940199335</v>
      </c>
      <c r="V344" s="1" t="n">
        <v>209.7</v>
      </c>
      <c r="X344" s="1" t="n">
        <f aca="false">X343+V344</f>
        <v>77504.9</v>
      </c>
      <c r="Y344" s="1" t="n">
        <f aca="false">Y343+V344</f>
        <v>5425.1</v>
      </c>
      <c r="AA344" s="1" t="n">
        <v>9.09895976825992</v>
      </c>
    </row>
    <row r="345" s="1" customFormat="true" ht="15" hidden="false" customHeight="false" outlineLevel="0" collapsed="false">
      <c r="A345" s="24"/>
      <c r="B345" s="2"/>
      <c r="C345" s="8" t="n">
        <v>40518</v>
      </c>
      <c r="D345" s="1" t="n">
        <v>11.1</v>
      </c>
      <c r="E345" s="1" t="n">
        <v>9</v>
      </c>
      <c r="F345" s="1" t="n">
        <v>13.1</v>
      </c>
      <c r="G345" s="1" t="n">
        <f aca="false">G344+D345</f>
        <v>1103.5</v>
      </c>
      <c r="H345" s="1" t="n">
        <f aca="false">H344+D345</f>
        <v>51.3</v>
      </c>
      <c r="I345" s="26" t="s">
        <v>45</v>
      </c>
      <c r="J345" s="1" t="n">
        <v>1</v>
      </c>
      <c r="K345" s="1" t="n">
        <f aca="false">K344+J345</f>
        <v>193.4</v>
      </c>
      <c r="L345" s="1" t="n">
        <v>0.9</v>
      </c>
      <c r="M345" s="1" t="n">
        <f aca="false">M344+L345</f>
        <v>176.5</v>
      </c>
      <c r="N345" s="1" t="n">
        <v>0.1</v>
      </c>
      <c r="O345" s="1" t="n">
        <f aca="false">O344+N345</f>
        <v>80.2</v>
      </c>
      <c r="P345" s="6" t="n">
        <v>90</v>
      </c>
      <c r="Q345" s="1" t="n">
        <v>1</v>
      </c>
      <c r="R345" s="16" t="n">
        <f aca="false">Q345*L345</f>
        <v>0.9</v>
      </c>
      <c r="S345" s="16" t="n">
        <f aca="false">J345-R345</f>
        <v>0.1</v>
      </c>
      <c r="T345" s="17" t="n">
        <f aca="false">T344+S345</f>
        <v>99.3171428571428</v>
      </c>
      <c r="U345" s="26" t="s">
        <v>47</v>
      </c>
      <c r="V345" s="1" t="n">
        <v>128.2</v>
      </c>
      <c r="X345" s="1" t="n">
        <f aca="false">X344+V345</f>
        <v>77633.1</v>
      </c>
      <c r="Y345" s="1" t="n">
        <f aca="false">Y344+V345</f>
        <v>5553.3</v>
      </c>
      <c r="AA345" s="1" t="n">
        <v>9.07827848676845</v>
      </c>
    </row>
    <row r="346" s="1" customFormat="true" ht="15" hidden="false" customHeight="false" outlineLevel="0" collapsed="false">
      <c r="A346" s="24"/>
      <c r="B346" s="2"/>
      <c r="C346" s="8" t="n">
        <v>40519</v>
      </c>
      <c r="D346" s="1" t="n">
        <v>12.2</v>
      </c>
      <c r="E346" s="1" t="n">
        <v>8.5</v>
      </c>
      <c r="F346" s="1" t="n">
        <v>15.8</v>
      </c>
      <c r="G346" s="1" t="n">
        <f aca="false">G345+D346</f>
        <v>1115.7</v>
      </c>
      <c r="H346" s="1" t="n">
        <f aca="false">H345+D346</f>
        <v>63.5</v>
      </c>
      <c r="I346" s="1" t="n">
        <v>183.7</v>
      </c>
      <c r="J346" s="1" t="n">
        <v>0.7</v>
      </c>
      <c r="K346" s="1" t="n">
        <f aca="false">K345+J346</f>
        <v>194.1</v>
      </c>
      <c r="L346" s="1" t="n">
        <v>1.1</v>
      </c>
      <c r="M346" s="1" t="n">
        <f aca="false">M345+L346</f>
        <v>177.6</v>
      </c>
      <c r="N346" s="1" t="n">
        <v>-0.4</v>
      </c>
      <c r="O346" s="1" t="n">
        <f aca="false">O345+N346</f>
        <v>79.8</v>
      </c>
      <c r="P346" s="6" t="n">
        <v>91</v>
      </c>
      <c r="Q346" s="1" t="n">
        <v>1</v>
      </c>
      <c r="R346" s="16" t="n">
        <f aca="false">Q346*L346</f>
        <v>1.1</v>
      </c>
      <c r="S346" s="16" t="n">
        <f aca="false">J346-R346</f>
        <v>-0.4</v>
      </c>
      <c r="T346" s="17" t="n">
        <f aca="false">T345+S346</f>
        <v>98.9171428571428</v>
      </c>
      <c r="U346" s="16" t="n">
        <v>15</v>
      </c>
      <c r="V346" s="1" t="n">
        <v>504.1</v>
      </c>
      <c r="X346" s="1" t="n">
        <f aca="false">X345+V346</f>
        <v>78137.2</v>
      </c>
      <c r="Y346" s="1" t="n">
        <f aca="false">Y345+V346</f>
        <v>6057.4</v>
      </c>
      <c r="AA346" s="1" t="n">
        <v>9.05870034106662</v>
      </c>
    </row>
    <row r="347" s="1" customFormat="true" ht="15" hidden="false" customHeight="false" outlineLevel="0" collapsed="false">
      <c r="A347" s="24"/>
      <c r="B347" s="2"/>
      <c r="C347" s="8" t="n">
        <v>40520</v>
      </c>
      <c r="D347" s="1" t="n">
        <v>14</v>
      </c>
      <c r="E347" s="1" t="n">
        <v>11.8</v>
      </c>
      <c r="F347" s="1" t="n">
        <v>19.3</v>
      </c>
      <c r="G347" s="1" t="n">
        <f aca="false">G346+D347</f>
        <v>1129.7</v>
      </c>
      <c r="H347" s="1" t="n">
        <f aca="false">H346+D347</f>
        <v>77.5</v>
      </c>
      <c r="J347" s="1" t="n">
        <v>0</v>
      </c>
      <c r="K347" s="1" t="n">
        <f aca="false">K346+J347</f>
        <v>194.1</v>
      </c>
      <c r="L347" s="1" t="n">
        <v>1.7</v>
      </c>
      <c r="M347" s="1" t="n">
        <f aca="false">M346+L347</f>
        <v>179.3</v>
      </c>
      <c r="N347" s="1" t="n">
        <v>-1.7</v>
      </c>
      <c r="O347" s="1" t="n">
        <f aca="false">O346+N347</f>
        <v>78.1</v>
      </c>
      <c r="P347" s="6" t="n">
        <v>92</v>
      </c>
      <c r="Q347" s="1" t="n">
        <v>1</v>
      </c>
      <c r="R347" s="16" t="n">
        <f aca="false">Q347*L347</f>
        <v>1.7</v>
      </c>
      <c r="S347" s="16" t="n">
        <f aca="false">J347-R347</f>
        <v>-1.7</v>
      </c>
      <c r="T347" s="17" t="n">
        <f aca="false">T346+S347</f>
        <v>97.2171428571428</v>
      </c>
      <c r="V347" s="1" t="n">
        <v>703.1</v>
      </c>
      <c r="X347" s="1" t="n">
        <f aca="false">X346+V347</f>
        <v>78840.3000000001</v>
      </c>
      <c r="Y347" s="1" t="n">
        <f aca="false">Y346+V347</f>
        <v>6760.5</v>
      </c>
      <c r="AA347" s="1" t="n">
        <v>9.04024471662847</v>
      </c>
    </row>
    <row r="348" s="1" customFormat="true" ht="15" hidden="false" customHeight="false" outlineLevel="0" collapsed="false">
      <c r="A348" s="24"/>
      <c r="B348" s="2"/>
      <c r="C348" s="8" t="n">
        <v>40521</v>
      </c>
      <c r="D348" s="1" t="n">
        <v>4.8</v>
      </c>
      <c r="E348" s="1" t="n">
        <v>3.4</v>
      </c>
      <c r="F348" s="1" t="n">
        <v>6.4</v>
      </c>
      <c r="G348" s="1" t="n">
        <f aca="false">G347+D348</f>
        <v>1134.5</v>
      </c>
      <c r="H348" s="1" t="n">
        <f aca="false">H347+D348</f>
        <v>82.3</v>
      </c>
      <c r="J348" s="1" t="n">
        <v>0</v>
      </c>
      <c r="K348" s="1" t="n">
        <f aca="false">K347+J348</f>
        <v>194.1</v>
      </c>
      <c r="L348" s="1" t="n">
        <v>0.7</v>
      </c>
      <c r="M348" s="1" t="n">
        <f aca="false">M347+L348</f>
        <v>180</v>
      </c>
      <c r="N348" s="1" t="n">
        <v>-0.7</v>
      </c>
      <c r="O348" s="1" t="n">
        <f aca="false">O347+N348</f>
        <v>77.4</v>
      </c>
      <c r="P348" s="6" t="n">
        <v>93</v>
      </c>
      <c r="Q348" s="1" t="n">
        <v>1</v>
      </c>
      <c r="R348" s="16" t="n">
        <f aca="false">Q348*L348</f>
        <v>0.7</v>
      </c>
      <c r="S348" s="16" t="n">
        <f aca="false">J348-R348</f>
        <v>-0.7</v>
      </c>
      <c r="T348" s="17" t="n">
        <f aca="false">T347+S348</f>
        <v>96.5171428571428</v>
      </c>
      <c r="U348" s="16" t="n">
        <f aca="false">(U344*100)/122.1</f>
        <v>80.5256298279554</v>
      </c>
      <c r="V348" s="1" t="n">
        <v>230.3</v>
      </c>
      <c r="X348" s="1" t="n">
        <f aca="false">X347+V348</f>
        <v>79070.6000000001</v>
      </c>
      <c r="Y348" s="1" t="n">
        <f aca="false">Y347+V348</f>
        <v>6990.8</v>
      </c>
      <c r="AA348" s="1" t="n">
        <v>9.02293018193175</v>
      </c>
    </row>
    <row r="349" s="1" customFormat="true" ht="15" hidden="false" customHeight="false" outlineLevel="0" collapsed="false">
      <c r="A349" s="24"/>
      <c r="B349" s="2"/>
      <c r="C349" s="8" t="n">
        <v>40522</v>
      </c>
      <c r="D349" s="1" t="n">
        <v>0.4</v>
      </c>
      <c r="E349" s="1" t="n">
        <v>-2.4</v>
      </c>
      <c r="F349" s="1" t="n">
        <v>4</v>
      </c>
      <c r="G349" s="1" t="n">
        <f aca="false">G348+D349</f>
        <v>1134.9</v>
      </c>
      <c r="H349" s="1" t="n">
        <f aca="false">H348+D349</f>
        <v>82.7</v>
      </c>
      <c r="J349" s="1" t="n">
        <v>0</v>
      </c>
      <c r="K349" s="1" t="n">
        <f aca="false">K348+J349</f>
        <v>194.1</v>
      </c>
      <c r="L349" s="1" t="n">
        <v>0.9</v>
      </c>
      <c r="M349" s="1" t="n">
        <f aca="false">M348+L349</f>
        <v>180.9</v>
      </c>
      <c r="N349" s="1" t="n">
        <v>-0.9</v>
      </c>
      <c r="O349" s="1" t="n">
        <f aca="false">O348+N349</f>
        <v>76.5</v>
      </c>
      <c r="P349" s="6" t="n">
        <v>94</v>
      </c>
      <c r="Q349" s="1" t="n">
        <v>1</v>
      </c>
      <c r="R349" s="16" t="n">
        <f aca="false">Q349*L349</f>
        <v>0.9</v>
      </c>
      <c r="S349" s="16" t="n">
        <f aca="false">J349-R349</f>
        <v>-0.9</v>
      </c>
      <c r="T349" s="17" t="n">
        <f aca="false">T348+S349</f>
        <v>95.6171428571428</v>
      </c>
      <c r="V349" s="1" t="n">
        <v>882.2</v>
      </c>
      <c r="X349" s="1" t="n">
        <f aca="false">X348+V349</f>
        <v>79952.8000000001</v>
      </c>
      <c r="Y349" s="1" t="n">
        <f aca="false">Y348+V349</f>
        <v>7873</v>
      </c>
      <c r="AA349" s="1" t="n">
        <v>9.00677442610433</v>
      </c>
    </row>
    <row r="350" s="1" customFormat="true" ht="15" hidden="false" customHeight="false" outlineLevel="0" collapsed="false">
      <c r="A350" s="24"/>
      <c r="B350" s="27" t="n">
        <v>1</v>
      </c>
      <c r="C350" s="8" t="n">
        <v>40523</v>
      </c>
      <c r="D350" s="1" t="n">
        <v>1.2</v>
      </c>
      <c r="E350" s="1" t="n">
        <v>-3.3</v>
      </c>
      <c r="F350" s="1" t="n">
        <v>7.6</v>
      </c>
      <c r="G350" s="1" t="n">
        <f aca="false">G349+D350</f>
        <v>1136.1</v>
      </c>
      <c r="H350" s="1" t="n">
        <f aca="false">H349+D350</f>
        <v>83.9</v>
      </c>
      <c r="J350" s="1" t="n">
        <v>0</v>
      </c>
      <c r="K350" s="1" t="n">
        <f aca="false">K349+J350</f>
        <v>194.1</v>
      </c>
      <c r="L350" s="1" t="n">
        <v>1.2</v>
      </c>
      <c r="M350" s="1" t="n">
        <f aca="false">M349+L350</f>
        <v>182.1</v>
      </c>
      <c r="N350" s="1" t="n">
        <v>-1.2</v>
      </c>
      <c r="O350" s="1" t="n">
        <f aca="false">O349+N350</f>
        <v>75.3</v>
      </c>
      <c r="P350" s="6" t="n">
        <v>95</v>
      </c>
      <c r="Q350" s="1" t="n">
        <v>1</v>
      </c>
      <c r="R350" s="16" t="n">
        <f aca="false">Q350*L350</f>
        <v>1.2</v>
      </c>
      <c r="S350" s="16" t="n">
        <f aca="false">J350-R350</f>
        <v>-1.2</v>
      </c>
      <c r="T350" s="17" t="n">
        <f aca="false">T349+S350</f>
        <v>94.4171428571428</v>
      </c>
      <c r="V350" s="1" t="n">
        <v>822</v>
      </c>
      <c r="X350" s="1" t="n">
        <f aca="false">X349+V350</f>
        <v>80774.8000000001</v>
      </c>
      <c r="Y350" s="1" t="n">
        <f aca="false">Y349+V350</f>
        <v>8695</v>
      </c>
      <c r="AA350" s="28" t="n">
        <v>8.99179419824076</v>
      </c>
    </row>
    <row r="351" s="1" customFormat="true" ht="15" hidden="false" customHeight="false" outlineLevel="0" collapsed="false">
      <c r="A351" s="24"/>
      <c r="B351" s="27" t="n">
        <v>2</v>
      </c>
      <c r="C351" s="8" t="n">
        <v>40524</v>
      </c>
      <c r="D351" s="1" t="n">
        <v>2.7</v>
      </c>
      <c r="E351" s="1" t="n">
        <v>-2.3</v>
      </c>
      <c r="F351" s="1" t="n">
        <v>9.5</v>
      </c>
      <c r="G351" s="1" t="n">
        <f aca="false">G350+D351</f>
        <v>1138.8</v>
      </c>
      <c r="H351" s="1" t="n">
        <f aca="false">H350+D351</f>
        <v>86.6</v>
      </c>
      <c r="J351" s="1" t="n">
        <v>0</v>
      </c>
      <c r="K351" s="1" t="n">
        <f aca="false">K350+J351</f>
        <v>194.1</v>
      </c>
      <c r="L351" s="1" t="n">
        <v>0.9</v>
      </c>
      <c r="M351" s="1" t="n">
        <f aca="false">M350+L351</f>
        <v>183</v>
      </c>
      <c r="N351" s="1" t="n">
        <v>-0.9</v>
      </c>
      <c r="O351" s="1" t="n">
        <f aca="false">O350+N351</f>
        <v>74.4</v>
      </c>
      <c r="P351" s="6" t="n">
        <v>96</v>
      </c>
      <c r="Q351" s="1" t="n">
        <v>1</v>
      </c>
      <c r="R351" s="16" t="n">
        <f aca="false">Q351*L351</f>
        <v>0.9</v>
      </c>
      <c r="S351" s="16" t="n">
        <f aca="false">J351-R351</f>
        <v>-0.9</v>
      </c>
      <c r="T351" s="17" t="n">
        <f aca="false">T350+S351</f>
        <v>93.5171428571428</v>
      </c>
      <c r="V351" s="1" t="n">
        <v>539.5</v>
      </c>
      <c r="X351" s="1" t="n">
        <f aca="false">X350+V351</f>
        <v>81314.3000000001</v>
      </c>
      <c r="Y351" s="1" t="n">
        <f aca="false">Y350+V351</f>
        <v>9234.5</v>
      </c>
      <c r="AA351" s="28" t="n">
        <v>8.978005248791</v>
      </c>
    </row>
    <row r="352" s="1" customFormat="true" ht="15" hidden="false" customHeight="false" outlineLevel="0" collapsed="false">
      <c r="A352" s="24"/>
      <c r="B352" s="27" t="n">
        <v>3</v>
      </c>
      <c r="C352" s="8" t="n">
        <v>40525</v>
      </c>
      <c r="D352" s="1" t="n">
        <v>0.4</v>
      </c>
      <c r="E352" s="1" t="n">
        <v>-3.4</v>
      </c>
      <c r="F352" s="1" t="n">
        <v>5.9</v>
      </c>
      <c r="G352" s="1" t="n">
        <f aca="false">G351+D352</f>
        <v>1139.2</v>
      </c>
      <c r="H352" s="1" t="n">
        <f aca="false">H351+D352</f>
        <v>87</v>
      </c>
      <c r="J352" s="1" t="n">
        <v>0</v>
      </c>
      <c r="K352" s="1" t="n">
        <f aca="false">K351+J352</f>
        <v>194.1</v>
      </c>
      <c r="L352" s="1" t="n">
        <v>0.8</v>
      </c>
      <c r="M352" s="1" t="n">
        <f aca="false">M351+L352</f>
        <v>183.8</v>
      </c>
      <c r="N352" s="1" t="n">
        <v>-0.8</v>
      </c>
      <c r="O352" s="1" t="n">
        <f aca="false">O351+N352</f>
        <v>73.6</v>
      </c>
      <c r="P352" s="6" t="n">
        <v>97</v>
      </c>
      <c r="Q352" s="1" t="n">
        <v>1</v>
      </c>
      <c r="R352" s="16" t="n">
        <f aca="false">Q352*L352</f>
        <v>0.8</v>
      </c>
      <c r="S352" s="16" t="n">
        <f aca="false">J352-R352</f>
        <v>-0.8</v>
      </c>
      <c r="T352" s="17" t="n">
        <f aca="false">T351+S352</f>
        <v>92.7171428571428</v>
      </c>
      <c r="V352" s="1" t="n">
        <v>709.8</v>
      </c>
      <c r="X352" s="1" t="n">
        <f aca="false">X351+V352</f>
        <v>82024.1000000001</v>
      </c>
      <c r="Y352" s="1" t="n">
        <f aca="false">Y351+V352</f>
        <v>9944.3</v>
      </c>
      <c r="AA352" s="28" t="n">
        <v>8.96542227342109</v>
      </c>
    </row>
    <row r="353" s="1" customFormat="true" ht="15" hidden="false" customHeight="false" outlineLevel="0" collapsed="false">
      <c r="A353" s="24"/>
      <c r="B353" s="27" t="n">
        <v>4</v>
      </c>
      <c r="C353" s="8" t="n">
        <v>40526</v>
      </c>
      <c r="D353" s="1" t="n">
        <v>0</v>
      </c>
      <c r="E353" s="1" t="n">
        <v>-4</v>
      </c>
      <c r="F353" s="1" t="n">
        <v>5.6</v>
      </c>
      <c r="G353" s="1" t="n">
        <f aca="false">G352+D353</f>
        <v>1139.2</v>
      </c>
      <c r="H353" s="1" t="n">
        <f aca="false">H352+D353</f>
        <v>87</v>
      </c>
      <c r="J353" s="1" t="n">
        <v>0</v>
      </c>
      <c r="K353" s="1" t="n">
        <f aca="false">K352+J353</f>
        <v>194.1</v>
      </c>
      <c r="L353" s="1" t="n">
        <v>1</v>
      </c>
      <c r="M353" s="1" t="n">
        <f aca="false">M352+L353</f>
        <v>184.8</v>
      </c>
      <c r="N353" s="1" t="n">
        <v>-1</v>
      </c>
      <c r="O353" s="1" t="n">
        <f aca="false">O352+N353</f>
        <v>72.6</v>
      </c>
      <c r="P353" s="6" t="n">
        <v>98</v>
      </c>
      <c r="Q353" s="1" t="n">
        <v>1</v>
      </c>
      <c r="R353" s="16" t="n">
        <f aca="false">Q353*L353</f>
        <v>1</v>
      </c>
      <c r="S353" s="16" t="n">
        <f aca="false">J353-R353</f>
        <v>-1</v>
      </c>
      <c r="T353" s="17" t="n">
        <f aca="false">T352+S353</f>
        <v>91.7171428571428</v>
      </c>
      <c r="V353" s="1" t="n">
        <v>874.6</v>
      </c>
      <c r="X353" s="1" t="n">
        <f aca="false">X352+V353</f>
        <v>82898.7000000001</v>
      </c>
      <c r="Y353" s="1" t="n">
        <f aca="false">Y352+V353</f>
        <v>10818.9</v>
      </c>
      <c r="AA353" s="28" t="n">
        <v>8.95405885973949</v>
      </c>
    </row>
    <row r="354" s="1" customFormat="true" ht="15" hidden="false" customHeight="false" outlineLevel="0" collapsed="false">
      <c r="A354" s="24"/>
      <c r="B354" s="27" t="n">
        <v>5</v>
      </c>
      <c r="C354" s="8" t="n">
        <v>40527</v>
      </c>
      <c r="D354" s="1" t="n">
        <v>-1.7</v>
      </c>
      <c r="E354" s="1" t="n">
        <v>-2.4</v>
      </c>
      <c r="F354" s="1" t="n">
        <v>-0.3</v>
      </c>
      <c r="G354" s="1" t="n">
        <v>1139.2</v>
      </c>
      <c r="H354" s="1" t="n">
        <v>87</v>
      </c>
      <c r="J354" s="1" t="n">
        <v>0</v>
      </c>
      <c r="K354" s="1" t="n">
        <f aca="false">K353+J354</f>
        <v>194.1</v>
      </c>
      <c r="L354" s="1" t="n">
        <v>0.8</v>
      </c>
      <c r="M354" s="1" t="n">
        <f aca="false">M353+L354</f>
        <v>185.6</v>
      </c>
      <c r="N354" s="1" t="n">
        <v>-0.8</v>
      </c>
      <c r="O354" s="1" t="n">
        <f aca="false">O353+N354</f>
        <v>71.8</v>
      </c>
      <c r="P354" s="6" t="n">
        <v>99</v>
      </c>
      <c r="Q354" s="1" t="n">
        <v>1</v>
      </c>
      <c r="R354" s="16" t="n">
        <f aca="false">Q354*L354</f>
        <v>0.8</v>
      </c>
      <c r="S354" s="16" t="n">
        <f aca="false">J354-R354</f>
        <v>-0.8</v>
      </c>
      <c r="T354" s="17" t="n">
        <f aca="false">T353+S354</f>
        <v>90.9171428571428</v>
      </c>
      <c r="V354" s="1" t="n">
        <v>610.2</v>
      </c>
      <c r="X354" s="1" t="n">
        <f aca="false">X353+V354</f>
        <v>83508.9000000001</v>
      </c>
      <c r="Y354" s="1" t="n">
        <f aca="false">Y353+V354</f>
        <v>11429.1</v>
      </c>
      <c r="AA354" s="28" t="n">
        <v>8.94392743727141</v>
      </c>
    </row>
    <row r="355" s="1" customFormat="true" ht="15" hidden="false" customHeight="false" outlineLevel="0" collapsed="false">
      <c r="A355" s="24"/>
      <c r="B355" s="27" t="n">
        <v>6</v>
      </c>
      <c r="C355" s="8" t="n">
        <v>40528</v>
      </c>
      <c r="D355" s="1" t="n">
        <v>1.8</v>
      </c>
      <c r="E355" s="1" t="n">
        <v>-2.4</v>
      </c>
      <c r="F355" s="1" t="n">
        <v>6.9</v>
      </c>
      <c r="G355" s="1" t="n">
        <f aca="false">G354+D355</f>
        <v>1141</v>
      </c>
      <c r="H355" s="1" t="n">
        <f aca="false">H354+D355</f>
        <v>88.8</v>
      </c>
      <c r="J355" s="1" t="n">
        <v>0.1</v>
      </c>
      <c r="K355" s="1" t="n">
        <f aca="false">K354+J355</f>
        <v>194.2</v>
      </c>
      <c r="L355" s="1" t="n">
        <v>1.2</v>
      </c>
      <c r="M355" s="1" t="n">
        <f aca="false">M354+L355</f>
        <v>186.8</v>
      </c>
      <c r="N355" s="1" t="n">
        <v>-1.1</v>
      </c>
      <c r="O355" s="1" t="n">
        <f aca="false">O354+N355</f>
        <v>70.7</v>
      </c>
      <c r="P355" s="6" t="n">
        <v>100</v>
      </c>
      <c r="Q355" s="1" t="n">
        <v>1</v>
      </c>
      <c r="R355" s="16" t="n">
        <f aca="false">Q355*L355</f>
        <v>1.2</v>
      </c>
      <c r="S355" s="16" t="n">
        <f aca="false">J355-R355</f>
        <v>-1.1</v>
      </c>
      <c r="T355" s="17" t="n">
        <f aca="false">T354+S355</f>
        <v>89.8171428571428</v>
      </c>
      <c r="V355" s="1" t="n">
        <v>105.4</v>
      </c>
      <c r="X355" s="1" t="n">
        <f aca="false">X354+V355</f>
        <v>83614.3000000001</v>
      </c>
      <c r="Y355" s="1" t="n">
        <f aca="false">Y354+V355</f>
        <v>11534.5</v>
      </c>
      <c r="AA355" s="28" t="n">
        <v>8.93503923104878</v>
      </c>
    </row>
    <row r="356" s="1" customFormat="true" ht="15" hidden="false" customHeight="false" outlineLevel="0" collapsed="false">
      <c r="A356" s="24"/>
      <c r="B356" s="27" t="n">
        <v>7</v>
      </c>
      <c r="C356" s="8" t="n">
        <v>40529</v>
      </c>
      <c r="D356" s="1" t="n">
        <v>3.7</v>
      </c>
      <c r="E356" s="1" t="n">
        <v>2</v>
      </c>
      <c r="F356" s="1" t="n">
        <v>6.4</v>
      </c>
      <c r="G356" s="1" t="n">
        <f aca="false">G355+D356</f>
        <v>1144.7</v>
      </c>
      <c r="H356" s="1" t="n">
        <f aca="false">H355+D356</f>
        <v>92.5</v>
      </c>
      <c r="J356" s="1" t="n">
        <v>5</v>
      </c>
      <c r="K356" s="1" t="n">
        <f aca="false">K355+J356</f>
        <v>199.2</v>
      </c>
      <c r="L356" s="1" t="n">
        <v>0.8</v>
      </c>
      <c r="M356" s="1" t="n">
        <f aca="false">M355+L356</f>
        <v>187.6</v>
      </c>
      <c r="N356" s="1" t="n">
        <v>4.2</v>
      </c>
      <c r="O356" s="1" t="n">
        <f aca="false">O355+N356</f>
        <v>74.9</v>
      </c>
      <c r="P356" s="6" t="n">
        <v>101</v>
      </c>
      <c r="Q356" s="1" t="n">
        <v>1</v>
      </c>
      <c r="R356" s="16" t="n">
        <f aca="false">Q356*L356</f>
        <v>0.8</v>
      </c>
      <c r="S356" s="16" t="n">
        <f aca="false">J356-R356</f>
        <v>4.2</v>
      </c>
      <c r="T356" s="17" t="n">
        <f aca="false">T355+S356</f>
        <v>94.0171428571428</v>
      </c>
      <c r="V356" s="1" t="n">
        <v>99.9</v>
      </c>
      <c r="X356" s="1" t="n">
        <f aca="false">X355+V356</f>
        <v>83714.2</v>
      </c>
      <c r="Y356" s="1" t="n">
        <f aca="false">Y355+V356</f>
        <v>11634.4</v>
      </c>
      <c r="AA356" s="28" t="n">
        <v>8.92740421916313</v>
      </c>
    </row>
    <row r="357" s="1" customFormat="true" ht="15" hidden="false" customHeight="false" outlineLevel="0" collapsed="false">
      <c r="A357" s="24"/>
      <c r="B357" s="27" t="n">
        <v>8</v>
      </c>
      <c r="C357" s="8" t="n">
        <v>40530</v>
      </c>
      <c r="D357" s="1" t="n">
        <v>0.8</v>
      </c>
      <c r="E357" s="1" t="n">
        <v>-2.7</v>
      </c>
      <c r="F357" s="1" t="n">
        <v>4.2</v>
      </c>
      <c r="G357" s="1" t="n">
        <f aca="false">G356+D357</f>
        <v>1145.5</v>
      </c>
      <c r="H357" s="1" t="n">
        <f aca="false">H356+D357</f>
        <v>93.3</v>
      </c>
      <c r="J357" s="1" t="n">
        <v>0</v>
      </c>
      <c r="K357" s="1" t="n">
        <f aca="false">K356+J357</f>
        <v>199.2</v>
      </c>
      <c r="L357" s="1" t="n">
        <v>0.7</v>
      </c>
      <c r="M357" s="1" t="n">
        <f aca="false">M356+L357</f>
        <v>188.3</v>
      </c>
      <c r="N357" s="1" t="n">
        <v>-0.7</v>
      </c>
      <c r="O357" s="1" t="n">
        <f aca="false">O356+N357</f>
        <v>74.2</v>
      </c>
      <c r="P357" s="6" t="n">
        <v>102</v>
      </c>
      <c r="Q357" s="1" t="n">
        <v>1</v>
      </c>
      <c r="R357" s="16" t="n">
        <f aca="false">Q357*L357</f>
        <v>0.7</v>
      </c>
      <c r="S357" s="16" t="n">
        <f aca="false">J357-R357</f>
        <v>-0.7</v>
      </c>
      <c r="T357" s="17" t="n">
        <f aca="false">T356+S357</f>
        <v>93.3171428571428</v>
      </c>
      <c r="V357" s="1" t="n">
        <v>645.3</v>
      </c>
      <c r="X357" s="1" t="n">
        <f aca="false">X356+V357</f>
        <v>84359.5</v>
      </c>
      <c r="Y357" s="1" t="n">
        <f aca="false">Y356+V357</f>
        <v>12279.7</v>
      </c>
      <c r="AA357" s="28" t="n">
        <v>8.9210310946052</v>
      </c>
    </row>
    <row r="358" s="1" customFormat="true" ht="15" hidden="false" customHeight="false" outlineLevel="0" collapsed="false">
      <c r="A358" s="24"/>
      <c r="B358" s="27" t="n">
        <v>9</v>
      </c>
      <c r="C358" s="8" t="n">
        <v>40531</v>
      </c>
      <c r="D358" s="1" t="n">
        <v>3.5</v>
      </c>
      <c r="E358" s="1" t="n">
        <v>-0.1</v>
      </c>
      <c r="F358" s="1" t="n">
        <v>8</v>
      </c>
      <c r="G358" s="1" t="n">
        <f aca="false">G357+D358</f>
        <v>1149</v>
      </c>
      <c r="H358" s="1" t="n">
        <f aca="false">H357+D358</f>
        <v>96.8</v>
      </c>
      <c r="J358" s="1" t="n">
        <v>0</v>
      </c>
      <c r="K358" s="1" t="n">
        <f aca="false">K357+J358</f>
        <v>199.2</v>
      </c>
      <c r="L358" s="1" t="n">
        <v>0.7</v>
      </c>
      <c r="M358" s="1" t="n">
        <f aca="false">M357+L358</f>
        <v>189</v>
      </c>
      <c r="N358" s="1" t="n">
        <v>-0.7</v>
      </c>
      <c r="O358" s="1" t="n">
        <f aca="false">O357+N358</f>
        <v>73.5</v>
      </c>
      <c r="P358" s="6" t="n">
        <v>103</v>
      </c>
      <c r="Q358" s="1" t="n">
        <v>1</v>
      </c>
      <c r="R358" s="16" t="n">
        <f aca="false">Q358*L358</f>
        <v>0.7</v>
      </c>
      <c r="S358" s="16" t="n">
        <f aca="false">J358-R358</f>
        <v>-0.7</v>
      </c>
      <c r="T358" s="17" t="n">
        <f aca="false">T357+S358</f>
        <v>92.6171428571428</v>
      </c>
      <c r="V358" s="1" t="n">
        <v>315.8</v>
      </c>
      <c r="X358" s="1" t="n">
        <f aca="false">X357+V358</f>
        <v>84675.3000000001</v>
      </c>
      <c r="Y358" s="1" t="n">
        <f aca="false">Y357+V358</f>
        <v>12595.5</v>
      </c>
      <c r="AA358" s="28" t="n">
        <v>8.91592723168654</v>
      </c>
    </row>
    <row r="359" s="1" customFormat="true" ht="15" hidden="false" customHeight="false" outlineLevel="0" collapsed="false">
      <c r="A359" s="24"/>
      <c r="B359" s="2"/>
      <c r="C359" s="8" t="n">
        <v>40532</v>
      </c>
      <c r="D359" s="1" t="n">
        <v>5.7</v>
      </c>
      <c r="E359" s="1" t="n">
        <v>1.7</v>
      </c>
      <c r="F359" s="1" t="n">
        <v>9.7</v>
      </c>
      <c r="G359" s="1" t="n">
        <f aca="false">G358+D359</f>
        <v>1154.7</v>
      </c>
      <c r="H359" s="1" t="n">
        <f aca="false">H358+D359</f>
        <v>102.5</v>
      </c>
      <c r="J359" s="1" t="n">
        <v>0.2</v>
      </c>
      <c r="K359" s="1" t="n">
        <f aca="false">K358+J359</f>
        <v>199.4</v>
      </c>
      <c r="L359" s="1" t="n">
        <v>0.7</v>
      </c>
      <c r="M359" s="1" t="n">
        <f aca="false">M358+L359</f>
        <v>189.7</v>
      </c>
      <c r="N359" s="1" t="n">
        <v>-0.5</v>
      </c>
      <c r="O359" s="1" t="n">
        <f aca="false">O358+N359</f>
        <v>73</v>
      </c>
      <c r="P359" s="6" t="n">
        <v>104</v>
      </c>
      <c r="Q359" s="1" t="n">
        <v>1</v>
      </c>
      <c r="R359" s="16" t="n">
        <f aca="false">Q359*L359</f>
        <v>0.7</v>
      </c>
      <c r="S359" s="16" t="n">
        <f aca="false">J359-R359</f>
        <v>-0.5</v>
      </c>
      <c r="T359" s="17" t="n">
        <f aca="false">T358+S359</f>
        <v>92.1171428571428</v>
      </c>
      <c r="V359" s="1" t="n">
        <v>579.9</v>
      </c>
      <c r="X359" s="1" t="n">
        <f aca="false">X358+V359</f>
        <v>85255.2</v>
      </c>
      <c r="Y359" s="1" t="n">
        <f aca="false">Y358+V359</f>
        <v>13175.4</v>
      </c>
      <c r="AA359" s="28" t="n">
        <v>8.91209865730669</v>
      </c>
    </row>
    <row r="360" s="1" customFormat="true" ht="15" hidden="false" customHeight="false" outlineLevel="0" collapsed="false">
      <c r="A360" s="24"/>
      <c r="B360" s="2"/>
      <c r="C360" s="8" t="n">
        <v>40533</v>
      </c>
      <c r="D360" s="1" t="n">
        <v>7.8</v>
      </c>
      <c r="E360" s="1" t="n">
        <v>5.4</v>
      </c>
      <c r="F360" s="1" t="n">
        <v>9.2</v>
      </c>
      <c r="G360" s="1" t="n">
        <f aca="false">G359+D360</f>
        <v>1162.5</v>
      </c>
      <c r="H360" s="1" t="n">
        <f aca="false">H359+D360</f>
        <v>110.3</v>
      </c>
      <c r="J360" s="1" t="n">
        <v>0.2</v>
      </c>
      <c r="K360" s="1" t="n">
        <f aca="false">K359+J360</f>
        <v>199.6</v>
      </c>
      <c r="L360" s="1" t="n">
        <v>0.3</v>
      </c>
      <c r="M360" s="1" t="n">
        <f aca="false">M359+L360</f>
        <v>190</v>
      </c>
      <c r="N360" s="1" t="n">
        <v>-0.1</v>
      </c>
      <c r="O360" s="1" t="n">
        <f aca="false">O359+N360</f>
        <v>72.9</v>
      </c>
      <c r="P360" s="6" t="n">
        <v>105</v>
      </c>
      <c r="Q360" s="1" t="n">
        <v>1</v>
      </c>
      <c r="R360" s="16" t="n">
        <f aca="false">Q360*L360</f>
        <v>0.3</v>
      </c>
      <c r="S360" s="16" t="n">
        <f aca="false">J360-R360</f>
        <v>-0.1</v>
      </c>
      <c r="T360" s="17" t="n">
        <f aca="false">T359+S360</f>
        <v>92.0171428571428</v>
      </c>
      <c r="V360" s="1" t="n">
        <v>166.6</v>
      </c>
      <c r="X360" s="1" t="n">
        <f aca="false">X359+V360</f>
        <v>85421.8000000001</v>
      </c>
      <c r="Y360" s="1" t="n">
        <f aca="false">Y359+V360</f>
        <v>13342</v>
      </c>
      <c r="AA360" s="28" t="n">
        <v>8.90955002729394</v>
      </c>
    </row>
    <row r="361" s="1" customFormat="true" ht="15" hidden="false" customHeight="false" outlineLevel="0" collapsed="false">
      <c r="A361" s="24"/>
      <c r="B361" s="2"/>
      <c r="C361" s="8" t="n">
        <v>40534</v>
      </c>
      <c r="D361" s="1" t="n">
        <v>9.4</v>
      </c>
      <c r="E361" s="1" t="n">
        <v>6.6</v>
      </c>
      <c r="F361" s="1" t="n">
        <v>12</v>
      </c>
      <c r="G361" s="1" t="n">
        <f aca="false">G360+D361</f>
        <v>1171.9</v>
      </c>
      <c r="H361" s="1" t="n">
        <f aca="false">H360+D361</f>
        <v>119.7</v>
      </c>
      <c r="J361" s="1" t="n">
        <v>0.5</v>
      </c>
      <c r="K361" s="1" t="n">
        <f aca="false">K360+J361</f>
        <v>200.1</v>
      </c>
      <c r="L361" s="1" t="n">
        <v>0.3</v>
      </c>
      <c r="M361" s="1" t="n">
        <f aca="false">M360+L361</f>
        <v>190.3</v>
      </c>
      <c r="N361" s="1" t="n">
        <v>0.2</v>
      </c>
      <c r="O361" s="1" t="n">
        <f aca="false">O360+N361</f>
        <v>73.1</v>
      </c>
      <c r="P361" s="6" t="n">
        <v>106</v>
      </c>
      <c r="Q361" s="1" t="n">
        <v>1</v>
      </c>
      <c r="R361" s="16" t="n">
        <f aca="false">Q361*L361</f>
        <v>0.3</v>
      </c>
      <c r="S361" s="16" t="n">
        <f aca="false">J361-R361</f>
        <v>0.2</v>
      </c>
      <c r="T361" s="17" t="n">
        <f aca="false">T360+S361</f>
        <v>92.2171428571428</v>
      </c>
      <c r="V361" s="1" t="n">
        <v>234.4</v>
      </c>
      <c r="X361" s="1" t="n">
        <f aca="false">X360+V361</f>
        <v>85656.2</v>
      </c>
      <c r="Y361" s="1" t="n">
        <f aca="false">Y360+V361</f>
        <v>13576.4</v>
      </c>
      <c r="AA361" s="28" t="n">
        <v>8.9082846080094</v>
      </c>
    </row>
    <row r="362" s="1" customFormat="true" ht="15" hidden="false" customHeight="false" outlineLevel="0" collapsed="false">
      <c r="A362" s="24"/>
      <c r="B362" s="2"/>
      <c r="C362" s="8" t="n">
        <v>40535</v>
      </c>
      <c r="D362" s="1" t="n">
        <v>6.8</v>
      </c>
      <c r="E362" s="1" t="n">
        <v>5.5</v>
      </c>
      <c r="F362" s="1" t="n">
        <v>8.9</v>
      </c>
      <c r="G362" s="1" t="n">
        <f aca="false">G361+D362</f>
        <v>1178.7</v>
      </c>
      <c r="H362" s="1" t="n">
        <f aca="false">H361+D362</f>
        <v>126.5</v>
      </c>
      <c r="J362" s="1" t="n">
        <v>13.7</v>
      </c>
      <c r="K362" s="1" t="n">
        <f aca="false">K361+J362</f>
        <v>213.8</v>
      </c>
      <c r="L362" s="1" t="n">
        <v>0.3</v>
      </c>
      <c r="M362" s="1" t="n">
        <f aca="false">M361+L362</f>
        <v>190.6</v>
      </c>
      <c r="N362" s="1" t="n">
        <v>13.4</v>
      </c>
      <c r="O362" s="1" t="n">
        <f aca="false">O361+N362</f>
        <v>86.5</v>
      </c>
      <c r="P362" s="6" t="n">
        <v>107</v>
      </c>
      <c r="Q362" s="1" t="n">
        <v>1</v>
      </c>
      <c r="R362" s="16" t="n">
        <f aca="false">Q362*L362</f>
        <v>0.3</v>
      </c>
      <c r="S362" s="16" t="n">
        <f aca="false">J362-R362</f>
        <v>13.4</v>
      </c>
      <c r="T362" s="17" t="n">
        <f aca="false">T361+S362</f>
        <v>105.617142857143</v>
      </c>
      <c r="V362" s="1" t="n">
        <v>96.3</v>
      </c>
      <c r="X362" s="1" t="n">
        <f aca="false">X361+V362</f>
        <v>85752.5</v>
      </c>
      <c r="Y362" s="1" t="n">
        <f aca="false">Y361+V362</f>
        <v>13672.7</v>
      </c>
      <c r="AA362" s="28" t="n">
        <v>8.90830426336281</v>
      </c>
    </row>
    <row r="363" s="1" customFormat="true" ht="15" hidden="false" customHeight="false" outlineLevel="0" collapsed="false">
      <c r="A363" s="24"/>
      <c r="B363" s="27" t="n">
        <v>10</v>
      </c>
      <c r="C363" s="8" t="n">
        <v>40536</v>
      </c>
      <c r="D363" s="1" t="n">
        <v>2.8</v>
      </c>
      <c r="E363" s="1" t="n">
        <v>1.6</v>
      </c>
      <c r="F363" s="1" t="n">
        <v>4.1</v>
      </c>
      <c r="G363" s="1" t="n">
        <f aca="false">G362+D363</f>
        <v>1181.5</v>
      </c>
      <c r="H363" s="1" t="n">
        <f aca="false">H362+D363</f>
        <v>129.3</v>
      </c>
      <c r="J363" s="1" t="n">
        <v>0.1</v>
      </c>
      <c r="K363" s="1" t="n">
        <f aca="false">K362+J363</f>
        <v>213.9</v>
      </c>
      <c r="L363" s="1" t="n">
        <v>0.6</v>
      </c>
      <c r="M363" s="1" t="n">
        <f aca="false">M362+L363</f>
        <v>191.2</v>
      </c>
      <c r="N363" s="1" t="n">
        <v>-0.5</v>
      </c>
      <c r="O363" s="1" t="n">
        <f aca="false">O362+N363</f>
        <v>86</v>
      </c>
      <c r="P363" s="6" t="n">
        <v>108</v>
      </c>
      <c r="Q363" s="1" t="n">
        <v>1</v>
      </c>
      <c r="R363" s="16" t="n">
        <f aca="false">Q363*L363</f>
        <v>0.6</v>
      </c>
      <c r="S363" s="16" t="n">
        <f aca="false">J363-R363</f>
        <v>-0.5</v>
      </c>
      <c r="T363" s="17" t="n">
        <f aca="false">T362+S363</f>
        <v>105.117142857143</v>
      </c>
      <c r="V363" s="1" t="n">
        <v>142.5</v>
      </c>
      <c r="X363" s="1" t="n">
        <f aca="false">X362+V363</f>
        <v>85895</v>
      </c>
      <c r="Y363" s="1" t="n">
        <f aca="false">Y362+V363</f>
        <v>13815.2</v>
      </c>
      <c r="AA363" s="28" t="n">
        <v>8.90960944734578</v>
      </c>
    </row>
    <row r="364" s="1" customFormat="true" ht="15" hidden="false" customHeight="false" outlineLevel="0" collapsed="false">
      <c r="A364" s="24"/>
      <c r="B364" s="27" t="n">
        <v>11</v>
      </c>
      <c r="C364" s="8" t="n">
        <v>40537</v>
      </c>
      <c r="D364" s="1" t="n">
        <v>0.1</v>
      </c>
      <c r="E364" s="1" t="n">
        <v>-0.2</v>
      </c>
      <c r="F364" s="1" t="n">
        <v>0.7</v>
      </c>
      <c r="G364" s="1" t="n">
        <f aca="false">G363+D364</f>
        <v>1181.6</v>
      </c>
      <c r="H364" s="1" t="n">
        <f aca="false">H363+D364</f>
        <v>129.4</v>
      </c>
      <c r="J364" s="1" t="n">
        <v>0.1</v>
      </c>
      <c r="K364" s="1" t="n">
        <f aca="false">K363+J364</f>
        <v>214</v>
      </c>
      <c r="L364" s="1" t="n">
        <v>0.9</v>
      </c>
      <c r="M364" s="1" t="n">
        <f aca="false">M363+L364</f>
        <v>192.1</v>
      </c>
      <c r="N364" s="1" t="n">
        <v>-0.8</v>
      </c>
      <c r="O364" s="1" t="n">
        <f aca="false">O363+N364</f>
        <v>85.2</v>
      </c>
      <c r="P364" s="6" t="n">
        <v>109</v>
      </c>
      <c r="Q364" s="1" t="n">
        <v>1</v>
      </c>
      <c r="R364" s="16" t="n">
        <f aca="false">Q364*L364</f>
        <v>0.9</v>
      </c>
      <c r="S364" s="16" t="n">
        <f aca="false">J364-R364</f>
        <v>-0.8</v>
      </c>
      <c r="T364" s="17" t="n">
        <f aca="false">T363+S364</f>
        <v>104.317142857143</v>
      </c>
      <c r="V364" s="1" t="n">
        <v>272.7</v>
      </c>
      <c r="X364" s="1" t="n">
        <f aca="false">X363+V364</f>
        <v>86167.7</v>
      </c>
      <c r="Y364" s="1" t="n">
        <f aca="false">Y363+V364</f>
        <v>14087.9</v>
      </c>
      <c r="AA364" s="28" t="n">
        <v>8.91219920214333</v>
      </c>
    </row>
    <row r="365" s="1" customFormat="true" ht="15" hidden="false" customHeight="false" outlineLevel="0" collapsed="false">
      <c r="A365" s="24"/>
      <c r="B365" s="27" t="n">
        <v>12</v>
      </c>
      <c r="C365" s="8" t="n">
        <v>40538</v>
      </c>
      <c r="D365" s="1" t="n">
        <v>-2.5</v>
      </c>
      <c r="E365" s="1" t="n">
        <v>-4.7</v>
      </c>
      <c r="F365" s="1" t="n">
        <v>0.5</v>
      </c>
      <c r="G365" s="1" t="n">
        <v>1181.6</v>
      </c>
      <c r="H365" s="1" t="n">
        <v>129.4</v>
      </c>
      <c r="J365" s="1" t="n">
        <v>0</v>
      </c>
      <c r="K365" s="1" t="n">
        <f aca="false">K364+J365</f>
        <v>214</v>
      </c>
      <c r="L365" s="1" t="n">
        <v>0.8</v>
      </c>
      <c r="M365" s="1" t="n">
        <f aca="false">M364+L365</f>
        <v>192.9</v>
      </c>
      <c r="N365" s="1" t="n">
        <v>-0.8</v>
      </c>
      <c r="O365" s="1" t="n">
        <f aca="false">O364+N365</f>
        <v>84.4</v>
      </c>
      <c r="P365" s="6" t="n">
        <v>110</v>
      </c>
      <c r="Q365" s="1" t="n">
        <v>1</v>
      </c>
      <c r="R365" s="16" t="n">
        <f aca="false">Q365*L365</f>
        <v>0.8</v>
      </c>
      <c r="S365" s="16" t="n">
        <f aca="false">J365-R365</f>
        <v>-0.8</v>
      </c>
      <c r="T365" s="17" t="n">
        <f aca="false">T364+S365</f>
        <v>103.517142857143</v>
      </c>
      <c r="V365" s="1" t="n">
        <v>821</v>
      </c>
      <c r="X365" s="1" t="n">
        <f aca="false">X364+V365</f>
        <v>86988.7</v>
      </c>
      <c r="Y365" s="1" t="n">
        <f aca="false">Y364+V365</f>
        <v>14908.9</v>
      </c>
      <c r="AA365" s="28" t="n">
        <v>8.91607116183954</v>
      </c>
    </row>
    <row r="366" s="1" customFormat="true" ht="15" hidden="false" customHeight="false" outlineLevel="0" collapsed="false">
      <c r="A366" s="24"/>
      <c r="B366" s="27" t="n">
        <v>13</v>
      </c>
      <c r="C366" s="8" t="n">
        <v>40539</v>
      </c>
      <c r="D366" s="1" t="n">
        <v>0.9</v>
      </c>
      <c r="E366" s="1" t="n">
        <v>-5.5</v>
      </c>
      <c r="F366" s="1" t="n">
        <v>6.4</v>
      </c>
      <c r="G366" s="1" t="n">
        <f aca="false">G365+D366</f>
        <v>1182.5</v>
      </c>
      <c r="H366" s="1" t="n">
        <f aca="false">H365+D366</f>
        <v>130.3</v>
      </c>
      <c r="J366" s="1" t="n">
        <v>0</v>
      </c>
      <c r="K366" s="1" t="n">
        <f aca="false">K365+J366</f>
        <v>214</v>
      </c>
      <c r="L366" s="1" t="n">
        <v>1.1</v>
      </c>
      <c r="M366" s="1" t="n">
        <f aca="false">M365+L366</f>
        <v>194</v>
      </c>
      <c r="N366" s="1" t="n">
        <v>-1.1</v>
      </c>
      <c r="O366" s="1" t="n">
        <f aca="false">O365+N366</f>
        <v>83.3</v>
      </c>
      <c r="P366" s="6" t="n">
        <v>111</v>
      </c>
      <c r="Q366" s="1" t="n">
        <v>1</v>
      </c>
      <c r="R366" s="16" t="n">
        <f aca="false">Q366*L366</f>
        <v>1.1</v>
      </c>
      <c r="S366" s="16" t="n">
        <f aca="false">J366-R366</f>
        <v>-1.1</v>
      </c>
      <c r="T366" s="17" t="n">
        <f aca="false">T365+S366</f>
        <v>102.417142857143</v>
      </c>
      <c r="V366" s="1" t="n">
        <v>465.8</v>
      </c>
      <c r="X366" s="1" t="n">
        <f aca="false">X365+V366</f>
        <v>87454.5</v>
      </c>
      <c r="Y366" s="1" t="n">
        <f aca="false">Y365+V366</f>
        <v>15374.7</v>
      </c>
      <c r="AA366" s="28" t="n">
        <v>8.9212215616872</v>
      </c>
    </row>
    <row r="367" s="1" customFormat="true" ht="15" hidden="false" customHeight="false" outlineLevel="0" collapsed="false">
      <c r="A367" s="24"/>
      <c r="B367" s="2"/>
      <c r="C367" s="8" t="n">
        <v>40540</v>
      </c>
      <c r="D367" s="1" t="n">
        <v>6.1</v>
      </c>
      <c r="E367" s="1" t="n">
        <v>2.7</v>
      </c>
      <c r="F367" s="1" t="n">
        <v>10.3</v>
      </c>
      <c r="G367" s="1" t="n">
        <f aca="false">G366+D367</f>
        <v>1188.6</v>
      </c>
      <c r="H367" s="1" t="n">
        <f aca="false">H366+D367</f>
        <v>136.4</v>
      </c>
      <c r="J367" s="1" t="n">
        <v>0</v>
      </c>
      <c r="K367" s="1" t="n">
        <f aca="false">K366+J367</f>
        <v>214</v>
      </c>
      <c r="L367" s="1" t="n">
        <v>0.9</v>
      </c>
      <c r="M367" s="1" t="n">
        <f aca="false">M366+L367</f>
        <v>194.9</v>
      </c>
      <c r="N367" s="1" t="n">
        <v>-0.9</v>
      </c>
      <c r="O367" s="1" t="n">
        <f aca="false">O366+N367</f>
        <v>82.4</v>
      </c>
      <c r="P367" s="6" t="n">
        <v>112</v>
      </c>
      <c r="Q367" s="1" t="n">
        <v>1</v>
      </c>
      <c r="R367" s="16" t="n">
        <f aca="false">Q367*L367</f>
        <v>0.9</v>
      </c>
      <c r="S367" s="16" t="n">
        <f aca="false">J367-R367</f>
        <v>-0.9</v>
      </c>
      <c r="T367" s="17" t="n">
        <f aca="false">T366+S367</f>
        <v>101.517142857143</v>
      </c>
      <c r="V367" s="1" t="n">
        <v>370.2</v>
      </c>
      <c r="X367" s="1" t="n">
        <f aca="false">X366+V367</f>
        <v>87824.7</v>
      </c>
      <c r="Y367" s="1" t="n">
        <f aca="false">Y366+V367</f>
        <v>15744.9</v>
      </c>
      <c r="AA367" s="28" t="n">
        <v>8.9276452528666</v>
      </c>
    </row>
    <row r="368" s="1" customFormat="true" ht="15" hidden="false" customHeight="false" outlineLevel="0" collapsed="false">
      <c r="A368" s="24"/>
      <c r="B368" s="2"/>
      <c r="C368" s="8" t="n">
        <v>40541</v>
      </c>
      <c r="D368" s="1" t="n">
        <v>7.8</v>
      </c>
      <c r="E368" s="1" t="n">
        <v>5.2</v>
      </c>
      <c r="F368" s="1" t="n">
        <v>11.4</v>
      </c>
      <c r="G368" s="1" t="n">
        <f aca="false">G367+D368</f>
        <v>1196.4</v>
      </c>
      <c r="H368" s="1" t="n">
        <f aca="false">H367+D368</f>
        <v>144.2</v>
      </c>
      <c r="J368" s="1" t="n">
        <v>0.2</v>
      </c>
      <c r="K368" s="1" t="n">
        <f aca="false">K367+J368</f>
        <v>214.2</v>
      </c>
      <c r="L368" s="1" t="n">
        <v>0.9</v>
      </c>
      <c r="M368" s="1" t="n">
        <f aca="false">M367+L368</f>
        <v>195.8</v>
      </c>
      <c r="N368" s="1" t="n">
        <v>-0.7</v>
      </c>
      <c r="O368" s="1" t="n">
        <f aca="false">O367+N368</f>
        <v>81.7</v>
      </c>
      <c r="P368" s="6" t="n">
        <v>113</v>
      </c>
      <c r="Q368" s="1" t="n">
        <v>1</v>
      </c>
      <c r="R368" s="16" t="n">
        <f aca="false">Q368*L368</f>
        <v>0.9</v>
      </c>
      <c r="S368" s="16" t="n">
        <f aca="false">J368-R368</f>
        <v>-0.7</v>
      </c>
      <c r="T368" s="17" t="n">
        <f aca="false">T367+S368</f>
        <v>100.817142857143</v>
      </c>
      <c r="V368" s="1" t="n">
        <v>146.6</v>
      </c>
      <c r="X368" s="1" t="n">
        <f aca="false">X367+V368</f>
        <v>87971.3000000001</v>
      </c>
      <c r="Y368" s="1" t="n">
        <f aca="false">Y367+V368</f>
        <v>15891.5</v>
      </c>
      <c r="AA368" s="28" t="n">
        <v>8.93533572261402</v>
      </c>
    </row>
    <row r="369" s="1" customFormat="true" ht="15" hidden="false" customHeight="false" outlineLevel="0" collapsed="false">
      <c r="A369" s="24"/>
      <c r="B369" s="2"/>
      <c r="C369" s="8" t="n">
        <v>40542</v>
      </c>
      <c r="D369" s="1" t="n">
        <v>9.3</v>
      </c>
      <c r="E369" s="1" t="n">
        <v>5.5</v>
      </c>
      <c r="F369" s="1" t="n">
        <v>11.3</v>
      </c>
      <c r="G369" s="1" t="n">
        <f aca="false">G368+D369</f>
        <v>1205.7</v>
      </c>
      <c r="H369" s="1" t="n">
        <f aca="false">H368+D369</f>
        <v>153.5</v>
      </c>
      <c r="J369" s="1" t="n">
        <v>0.4</v>
      </c>
      <c r="K369" s="1" t="n">
        <f aca="false">K368+J369</f>
        <v>214.6</v>
      </c>
      <c r="L369" s="1" t="n">
        <v>0.6</v>
      </c>
      <c r="M369" s="1" t="n">
        <f aca="false">M368+L369</f>
        <v>196.4</v>
      </c>
      <c r="N369" s="1" t="n">
        <v>-0.2</v>
      </c>
      <c r="O369" s="1" t="n">
        <f aca="false">O368+N369</f>
        <v>81.5</v>
      </c>
      <c r="P369" s="6" t="n">
        <v>114</v>
      </c>
      <c r="Q369" s="1" t="n">
        <v>1</v>
      </c>
      <c r="R369" s="16" t="n">
        <f aca="false">Q369*L369</f>
        <v>0.6</v>
      </c>
      <c r="S369" s="16" t="n">
        <f aca="false">J369-R369</f>
        <v>-0.2</v>
      </c>
      <c r="T369" s="17" t="n">
        <f aca="false">T368+S369</f>
        <v>100.617142857143</v>
      </c>
      <c r="V369" s="1" t="n">
        <v>329.6</v>
      </c>
      <c r="X369" s="1" t="n">
        <f aca="false">X368+V369</f>
        <v>88300.9000000001</v>
      </c>
      <c r="Y369" s="1" t="n">
        <f aca="false">Y368+V369</f>
        <v>16221.1</v>
      </c>
      <c r="AA369" s="28" t="n">
        <v>8.94428511955844</v>
      </c>
    </row>
    <row r="370" s="1" customFormat="true" ht="15" hidden="false" customHeight="false" outlineLevel="0" collapsed="false">
      <c r="A370" s="24"/>
      <c r="B370" s="2"/>
      <c r="C370" s="8" t="n">
        <v>40543</v>
      </c>
      <c r="D370" s="1" t="n">
        <v>10.3</v>
      </c>
      <c r="E370" s="1" t="n">
        <v>9</v>
      </c>
      <c r="F370" s="1" t="n">
        <v>15.3</v>
      </c>
      <c r="G370" s="1" t="n">
        <f aca="false">G369+D370</f>
        <v>1216</v>
      </c>
      <c r="H370" s="1" t="n">
        <f aca="false">H369+D370</f>
        <v>163.8</v>
      </c>
      <c r="J370" s="1" t="n">
        <v>0</v>
      </c>
      <c r="K370" s="1" t="n">
        <f aca="false">K369+J370</f>
        <v>214.6</v>
      </c>
      <c r="L370" s="1" t="n">
        <v>1.7</v>
      </c>
      <c r="M370" s="1" t="n">
        <f aca="false">M369+L370</f>
        <v>198.1</v>
      </c>
      <c r="N370" s="1" t="n">
        <v>-1.7</v>
      </c>
      <c r="O370" s="1" t="n">
        <f aca="false">O369+N370</f>
        <v>79.8</v>
      </c>
      <c r="P370" s="6" t="n">
        <v>115</v>
      </c>
      <c r="Q370" s="1" t="n">
        <v>1</v>
      </c>
      <c r="R370" s="16" t="n">
        <f aca="false">Q370*L370</f>
        <v>1.7</v>
      </c>
      <c r="S370" s="16" t="n">
        <f aca="false">J370-R370</f>
        <v>-1.7</v>
      </c>
      <c r="T370" s="17" t="n">
        <f aca="false">T369+S370</f>
        <v>98.9171428571428</v>
      </c>
      <c r="V370" s="1" t="n">
        <v>279.9</v>
      </c>
      <c r="X370" s="1" t="n">
        <f aca="false">X369+V370</f>
        <v>88580.8000000001</v>
      </c>
      <c r="Y370" s="1" t="n">
        <f aca="false">Y369+V370</f>
        <v>16501</v>
      </c>
      <c r="AA370" s="28" t="n">
        <v>8.95448428406422</v>
      </c>
    </row>
    <row r="371" s="1" customFormat="true" ht="15" hidden="false" customHeight="false" outlineLevel="0" collapsed="false">
      <c r="A371" s="24"/>
      <c r="B371" s="2"/>
      <c r="C371" s="8" t="n">
        <v>40544</v>
      </c>
      <c r="D371" s="1" t="n">
        <v>6.8</v>
      </c>
      <c r="E371" s="1" t="n">
        <v>3.7</v>
      </c>
      <c r="F371" s="1" t="n">
        <v>10.2</v>
      </c>
      <c r="G371" s="1" t="n">
        <f aca="false">G370+D371</f>
        <v>1222.8</v>
      </c>
      <c r="H371" s="1" t="n">
        <f aca="false">H370+D371</f>
        <v>170.6</v>
      </c>
      <c r="J371" s="1" t="n">
        <v>0</v>
      </c>
      <c r="K371" s="1" t="n">
        <f aca="false">K370+J371</f>
        <v>214.6</v>
      </c>
      <c r="L371" s="1" t="n">
        <v>0.4</v>
      </c>
      <c r="M371" s="1" t="n">
        <f aca="false">M370+L371</f>
        <v>198.5</v>
      </c>
      <c r="N371" s="1" t="n">
        <v>-0.4</v>
      </c>
      <c r="O371" s="1" t="n">
        <f aca="false">O370+N371</f>
        <v>79.4</v>
      </c>
      <c r="P371" s="6" t="n">
        <v>116</v>
      </c>
      <c r="Q371" s="1" t="n">
        <v>1</v>
      </c>
      <c r="R371" s="16" t="n">
        <f aca="false">Q371*L371</f>
        <v>0.4</v>
      </c>
      <c r="S371" s="16" t="n">
        <f aca="false">J371-R371</f>
        <v>-0.4</v>
      </c>
      <c r="T371" s="17" t="n">
        <f aca="false">T370+S371</f>
        <v>98.5171428571428</v>
      </c>
      <c r="V371" s="1" t="n">
        <v>242.5</v>
      </c>
      <c r="X371" s="1" t="n">
        <f aca="false">X370+V371</f>
        <v>88823.3000000001</v>
      </c>
      <c r="Y371" s="1" t="n">
        <f aca="false">Y370+V371</f>
        <v>16743.5</v>
      </c>
      <c r="AA371" s="28" t="n">
        <v>8.96961256944915</v>
      </c>
    </row>
    <row r="372" s="1" customFormat="true" ht="15" hidden="false" customHeight="false" outlineLevel="0" collapsed="false">
      <c r="A372" s="24"/>
      <c r="B372" s="27" t="n">
        <v>14</v>
      </c>
      <c r="C372" s="8" t="n">
        <v>40545</v>
      </c>
      <c r="D372" s="1" t="n">
        <v>2.5</v>
      </c>
      <c r="E372" s="1" t="n">
        <v>1.3</v>
      </c>
      <c r="F372" s="1" t="n">
        <v>3</v>
      </c>
      <c r="G372" s="1" t="n">
        <f aca="false">G371+D372</f>
        <v>1225.3</v>
      </c>
      <c r="H372" s="1" t="n">
        <f aca="false">H371+D372</f>
        <v>173.1</v>
      </c>
      <c r="J372" s="1" t="n">
        <v>0</v>
      </c>
      <c r="K372" s="1" t="n">
        <f aca="false">K371+J372</f>
        <v>214.6</v>
      </c>
      <c r="L372" s="1" t="n">
        <v>0.2</v>
      </c>
      <c r="M372" s="1" t="n">
        <f aca="false">M371+L372</f>
        <v>198.7</v>
      </c>
      <c r="N372" s="1" t="n">
        <v>-0.2</v>
      </c>
      <c r="O372" s="1" t="n">
        <f aca="false">O371+N372</f>
        <v>79.2</v>
      </c>
      <c r="P372" s="6" t="n">
        <v>117</v>
      </c>
      <c r="Q372" s="1" t="n">
        <v>1</v>
      </c>
      <c r="R372" s="16" t="n">
        <f aca="false">Q372*L372</f>
        <v>0.2</v>
      </c>
      <c r="S372" s="16" t="n">
        <f aca="false">J372-R372</f>
        <v>-0.2</v>
      </c>
      <c r="T372" s="17" t="n">
        <f aca="false">T371+S372</f>
        <v>98.3171428571428</v>
      </c>
      <c r="V372" s="1" t="n">
        <v>222.9</v>
      </c>
      <c r="X372" s="1" t="n">
        <f aca="false">X371+V372</f>
        <v>89046.2</v>
      </c>
      <c r="Y372" s="1" t="n">
        <f aca="false">Y371+V372</f>
        <v>16966.4</v>
      </c>
      <c r="AA372" s="28" t="n">
        <v>8.98264637504559</v>
      </c>
    </row>
    <row r="373" s="1" customFormat="true" ht="15" hidden="false" customHeight="false" outlineLevel="0" collapsed="false">
      <c r="A373" s="24"/>
      <c r="B373" s="27" t="n">
        <v>15</v>
      </c>
      <c r="C373" s="8" t="n">
        <v>40546</v>
      </c>
      <c r="D373" s="1" t="n">
        <v>2.4</v>
      </c>
      <c r="E373" s="1" t="n">
        <v>1.6</v>
      </c>
      <c r="F373" s="1" t="n">
        <v>3</v>
      </c>
      <c r="G373" s="1" t="n">
        <f aca="false">G372+D373</f>
        <v>1227.7</v>
      </c>
      <c r="H373" s="1" t="n">
        <f aca="false">H372+D373</f>
        <v>175.5</v>
      </c>
      <c r="J373" s="1" t="n">
        <v>0</v>
      </c>
      <c r="K373" s="1" t="n">
        <f aca="false">K372+J373</f>
        <v>214.6</v>
      </c>
      <c r="L373" s="1" t="n">
        <v>0.7</v>
      </c>
      <c r="M373" s="1" t="n">
        <f aca="false">M372+L373</f>
        <v>199.4</v>
      </c>
      <c r="N373" s="1" t="n">
        <v>-0.7</v>
      </c>
      <c r="O373" s="1" t="n">
        <f aca="false">O372+N373</f>
        <v>78.5</v>
      </c>
      <c r="P373" s="6" t="n">
        <v>118</v>
      </c>
      <c r="Q373" s="1" t="n">
        <v>1</v>
      </c>
      <c r="R373" s="16" t="n">
        <f aca="false">Q373*L373</f>
        <v>0.7</v>
      </c>
      <c r="S373" s="16" t="n">
        <f aca="false">J373-R373</f>
        <v>-0.7</v>
      </c>
      <c r="T373" s="17" t="n">
        <f aca="false">T372+S373</f>
        <v>97.6171428571428</v>
      </c>
      <c r="V373" s="1" t="n">
        <v>323.1</v>
      </c>
      <c r="X373" s="1" t="n">
        <f aca="false">X372+V373</f>
        <v>89369.3000000001</v>
      </c>
      <c r="Y373" s="1" t="n">
        <f aca="false">Y372+V373</f>
        <v>17289.5</v>
      </c>
      <c r="AA373" s="28" t="n">
        <v>8.99689089088048</v>
      </c>
    </row>
    <row r="374" s="1" customFormat="true" ht="15" hidden="false" customHeight="false" outlineLevel="0" collapsed="false">
      <c r="A374" s="24"/>
      <c r="B374" s="2"/>
      <c r="C374" s="8" t="n">
        <v>40547</v>
      </c>
      <c r="D374" s="1" t="n">
        <v>2.4</v>
      </c>
      <c r="E374" s="1" t="n">
        <v>0.1</v>
      </c>
      <c r="F374" s="1" t="n">
        <v>4.1</v>
      </c>
      <c r="G374" s="1" t="n">
        <f aca="false">G373+D374</f>
        <v>1230.1</v>
      </c>
      <c r="H374" s="1" t="n">
        <f aca="false">H373+D374</f>
        <v>177.9</v>
      </c>
      <c r="J374" s="1" t="n">
        <v>0.6</v>
      </c>
      <c r="K374" s="1" t="n">
        <f aca="false">K373+J374</f>
        <v>215.2</v>
      </c>
      <c r="L374" s="1" t="n">
        <v>0.7</v>
      </c>
      <c r="M374" s="1" t="n">
        <f aca="false">M373+L374</f>
        <v>200.1</v>
      </c>
      <c r="N374" s="1" t="n">
        <v>-0.1</v>
      </c>
      <c r="O374" s="1" t="n">
        <f aca="false">O373+N374</f>
        <v>78.4</v>
      </c>
      <c r="P374" s="6" t="n">
        <v>119</v>
      </c>
      <c r="Q374" s="1" t="n">
        <v>1</v>
      </c>
      <c r="R374" s="16" t="n">
        <f aca="false">Q374*L374</f>
        <v>0.7</v>
      </c>
      <c r="S374" s="16" t="n">
        <f aca="false">J374-R374</f>
        <v>-0.1</v>
      </c>
      <c r="T374" s="17" t="n">
        <f aca="false">T373+S374</f>
        <v>97.5171428571428</v>
      </c>
      <c r="V374" s="1" t="n">
        <v>598.7</v>
      </c>
      <c r="X374" s="1" t="n">
        <f aca="false">X373+V374</f>
        <v>89968</v>
      </c>
      <c r="Y374" s="1" t="n">
        <f aca="false">Y373+V374</f>
        <v>17888.2</v>
      </c>
      <c r="AA374" s="1" t="n">
        <v>9.01233178429434</v>
      </c>
    </row>
    <row r="375" s="31" customFormat="true" ht="15" hidden="false" customHeight="false" outlineLevel="0" collapsed="false">
      <c r="A375" s="24"/>
      <c r="B375" s="29"/>
      <c r="C375" s="30" t="n">
        <v>40548</v>
      </c>
      <c r="D375" s="31" t="n">
        <v>5.8</v>
      </c>
      <c r="E375" s="31" t="n">
        <v>2.1</v>
      </c>
      <c r="F375" s="31" t="n">
        <v>9.7</v>
      </c>
      <c r="G375" s="31" t="n">
        <f aca="false">G374+D375</f>
        <v>1235.9</v>
      </c>
      <c r="H375" s="31" t="n">
        <f aca="false">H374+D375</f>
        <v>183.7</v>
      </c>
      <c r="J375" s="31" t="n">
        <v>0</v>
      </c>
      <c r="K375" s="31" t="n">
        <f aca="false">K374+J375</f>
        <v>215.2</v>
      </c>
      <c r="L375" s="31" t="n">
        <v>1.1</v>
      </c>
      <c r="M375" s="31" t="n">
        <f aca="false">M374+L375</f>
        <v>201.2</v>
      </c>
      <c r="N375" s="31" t="n">
        <v>-1.1</v>
      </c>
      <c r="O375" s="31" t="n">
        <f aca="false">O374+N375</f>
        <v>77.3</v>
      </c>
      <c r="P375" s="32" t="n">
        <v>120</v>
      </c>
      <c r="Q375" s="31" t="n">
        <v>1</v>
      </c>
      <c r="R375" s="33" t="n">
        <f aca="false">Q375*L375</f>
        <v>1.1</v>
      </c>
      <c r="S375" s="33" t="n">
        <f aca="false">J375-R375</f>
        <v>-1.1</v>
      </c>
      <c r="T375" s="34" t="n">
        <f aca="false">T374+S375</f>
        <v>96.4171428571428</v>
      </c>
      <c r="V375" s="31" t="n">
        <v>536.5</v>
      </c>
      <c r="X375" s="31" t="n">
        <f aca="false">X374+V375</f>
        <v>90504.5</v>
      </c>
      <c r="Y375" s="31" t="n">
        <f aca="false">Y374+V375</f>
        <v>18424.7</v>
      </c>
      <c r="AA375" s="31" t="n">
        <v>9.02895364770701</v>
      </c>
    </row>
    <row r="376" s="1" customFormat="true" ht="15" hidden="false" customHeight="true" outlineLevel="0" collapsed="false">
      <c r="A376" s="35" t="s">
        <v>48</v>
      </c>
      <c r="B376" s="2"/>
      <c r="C376" s="8" t="n">
        <v>40549</v>
      </c>
      <c r="D376" s="1" t="n">
        <v>10.6</v>
      </c>
      <c r="E376" s="1" t="n">
        <v>6.8</v>
      </c>
      <c r="F376" s="1" t="n">
        <v>12.4</v>
      </c>
      <c r="G376" s="1" t="n">
        <f aca="false">G375+D376</f>
        <v>1246.5</v>
      </c>
      <c r="H376" s="1" t="n">
        <v>10.6</v>
      </c>
      <c r="I376" s="36" t="s">
        <v>30</v>
      </c>
      <c r="J376" s="1" t="n">
        <v>0</v>
      </c>
      <c r="K376" s="1" t="n">
        <f aca="false">K375+J376</f>
        <v>215.2</v>
      </c>
      <c r="L376" s="1" t="n">
        <v>0.5</v>
      </c>
      <c r="M376" s="1" t="n">
        <f aca="false">M375+L376</f>
        <v>201.7</v>
      </c>
      <c r="N376" s="1" t="n">
        <v>-0.5</v>
      </c>
      <c r="O376" s="1" t="n">
        <f aca="false">O375+N376</f>
        <v>76.8</v>
      </c>
      <c r="P376" s="6" t="n">
        <v>121</v>
      </c>
      <c r="Q376" s="18" t="n">
        <f aca="false">1+((P376-120)/73)*(1.15-1)</f>
        <v>1.00205479452055</v>
      </c>
      <c r="R376" s="16" t="n">
        <f aca="false">Q376*L376</f>
        <v>0.501027397260274</v>
      </c>
      <c r="S376" s="16" t="n">
        <f aca="false">J376-R376</f>
        <v>-0.501027397260274</v>
      </c>
      <c r="T376" s="17" t="n">
        <f aca="false">T375+S376</f>
        <v>95.9161154598825</v>
      </c>
      <c r="U376" s="36" t="s">
        <v>31</v>
      </c>
      <c r="V376" s="1" t="n">
        <v>270.3</v>
      </c>
      <c r="X376" s="1" t="n">
        <f aca="false">X375+V376</f>
        <v>90774.8000000001</v>
      </c>
      <c r="Y376" s="1" t="n">
        <v>270.3</v>
      </c>
      <c r="Z376" s="36" t="s">
        <v>32</v>
      </c>
      <c r="AA376" s="1" t="n">
        <v>9.0467400537615</v>
      </c>
    </row>
    <row r="377" s="1" customFormat="true" ht="15" hidden="false" customHeight="false" outlineLevel="0" collapsed="false">
      <c r="A377" s="35"/>
      <c r="B377" s="2" t="n">
        <v>6</v>
      </c>
      <c r="C377" s="8" t="n">
        <v>40550</v>
      </c>
      <c r="D377" s="1" t="n">
        <v>11.1</v>
      </c>
      <c r="E377" s="1" t="n">
        <v>10.1</v>
      </c>
      <c r="F377" s="1" t="n">
        <v>13.6</v>
      </c>
      <c r="G377" s="1" t="n">
        <f aca="false">G376+D377</f>
        <v>1257.6</v>
      </c>
      <c r="H377" s="1" t="n">
        <f aca="false">H376+D377</f>
        <v>21.7</v>
      </c>
      <c r="I377" s="1" t="n">
        <f aca="false">MIN(E376:E448)</f>
        <v>-4.6</v>
      </c>
      <c r="J377" s="1" t="n">
        <v>0</v>
      </c>
      <c r="K377" s="1" t="n">
        <f aca="false">K376+J377</f>
        <v>215.2</v>
      </c>
      <c r="L377" s="1" t="n">
        <v>1</v>
      </c>
      <c r="M377" s="1" t="n">
        <f aca="false">M376+L377</f>
        <v>202.7</v>
      </c>
      <c r="N377" s="1" t="n">
        <v>-1</v>
      </c>
      <c r="O377" s="1" t="n">
        <f aca="false">O376+N377</f>
        <v>75.8</v>
      </c>
      <c r="P377" s="6" t="n">
        <v>122</v>
      </c>
      <c r="Q377" s="18" t="n">
        <f aca="false">1+((P377-120)/73)*(1.15-1)</f>
        <v>1.0041095890411</v>
      </c>
      <c r="R377" s="16" t="n">
        <f aca="false">Q377*L377</f>
        <v>1.0041095890411</v>
      </c>
      <c r="S377" s="16" t="n">
        <f aca="false">J377-R377</f>
        <v>-1.0041095890411</v>
      </c>
      <c r="T377" s="17" t="n">
        <f aca="false">T376+S377</f>
        <v>94.9120058708414</v>
      </c>
      <c r="U377" s="1" t="n">
        <v>57</v>
      </c>
      <c r="V377" s="1" t="n">
        <v>342.5</v>
      </c>
      <c r="X377" s="1" t="n">
        <f aca="false">X376+V377</f>
        <v>91117.3000000001</v>
      </c>
      <c r="Y377" s="1" t="n">
        <f aca="false">Y376+V377</f>
        <v>612.8</v>
      </c>
      <c r="Z377" s="1" t="n">
        <v>56159.3</v>
      </c>
      <c r="AA377" s="1" t="n">
        <v>9.0656736130913</v>
      </c>
    </row>
    <row r="378" s="1" customFormat="true" ht="15" hidden="false" customHeight="false" outlineLevel="0" collapsed="false">
      <c r="A378" s="35"/>
      <c r="B378" s="2"/>
      <c r="C378" s="8" t="n">
        <v>40551</v>
      </c>
      <c r="D378" s="1" t="n">
        <v>11.3</v>
      </c>
      <c r="E378" s="1" t="n">
        <v>8.1</v>
      </c>
      <c r="F378" s="1" t="n">
        <v>15.4</v>
      </c>
      <c r="G378" s="1" t="n">
        <f aca="false">G377+D378</f>
        <v>1268.9</v>
      </c>
      <c r="H378" s="1" t="n">
        <f aca="false">H377+D378</f>
        <v>33</v>
      </c>
      <c r="I378" s="36" t="s">
        <v>33</v>
      </c>
      <c r="J378" s="1" t="n">
        <v>0.5</v>
      </c>
      <c r="K378" s="1" t="n">
        <f aca="false">K377+J378</f>
        <v>215.7</v>
      </c>
      <c r="L378" s="1" t="n">
        <v>0.9</v>
      </c>
      <c r="M378" s="1" t="n">
        <f aca="false">M377+L378</f>
        <v>203.6</v>
      </c>
      <c r="N378" s="1" t="n">
        <v>-0.4</v>
      </c>
      <c r="O378" s="1" t="n">
        <f aca="false">O377+N378</f>
        <v>75.4</v>
      </c>
      <c r="P378" s="6" t="n">
        <v>123</v>
      </c>
      <c r="Q378" s="18" t="n">
        <f aca="false">1+((P378-120)/73)*(1.15-1)</f>
        <v>1.00616438356164</v>
      </c>
      <c r="R378" s="16" t="n">
        <f aca="false">Q378*L378</f>
        <v>0.905547945205479</v>
      </c>
      <c r="S378" s="16" t="n">
        <f aca="false">J378-R378</f>
        <v>-0.405547945205479</v>
      </c>
      <c r="T378" s="17" t="n">
        <f aca="false">T377+S378</f>
        <v>94.5064579256359</v>
      </c>
      <c r="U378" s="36" t="s">
        <v>34</v>
      </c>
      <c r="V378" s="1" t="n">
        <v>328.5</v>
      </c>
      <c r="X378" s="1" t="n">
        <f aca="false">X377+V378</f>
        <v>91445.8000000001</v>
      </c>
      <c r="Y378" s="1" t="n">
        <f aca="false">Y377+V378</f>
        <v>941.3</v>
      </c>
      <c r="Z378" s="36" t="s">
        <v>35</v>
      </c>
      <c r="AA378" s="1" t="n">
        <v>9.0857360343127</v>
      </c>
    </row>
    <row r="379" s="1" customFormat="true" ht="15" hidden="false" customHeight="false" outlineLevel="0" collapsed="false">
      <c r="A379" s="35"/>
      <c r="B379" s="2"/>
      <c r="C379" s="8" t="n">
        <v>40552</v>
      </c>
      <c r="D379" s="1" t="n">
        <v>7.2</v>
      </c>
      <c r="E379" s="1" t="n">
        <v>5.5</v>
      </c>
      <c r="F379" s="1" t="n">
        <v>9.3</v>
      </c>
      <c r="G379" s="1" t="n">
        <f aca="false">G378+D379</f>
        <v>1276.1</v>
      </c>
      <c r="H379" s="1" t="n">
        <f aca="false">H378+D379</f>
        <v>40.2</v>
      </c>
      <c r="I379" s="1" t="n">
        <f aca="false">MAX(F376:F448)</f>
        <v>16.6</v>
      </c>
      <c r="J379" s="1" t="n">
        <v>4.4</v>
      </c>
      <c r="K379" s="1" t="n">
        <f aca="false">K378+J379</f>
        <v>220.1</v>
      </c>
      <c r="L379" s="1" t="n">
        <v>0.3</v>
      </c>
      <c r="M379" s="1" t="n">
        <f aca="false">M378+L379</f>
        <v>203.9</v>
      </c>
      <c r="N379" s="1" t="n">
        <v>4.1</v>
      </c>
      <c r="O379" s="1" t="n">
        <f aca="false">O378+N379</f>
        <v>79.5</v>
      </c>
      <c r="P379" s="6" t="n">
        <v>124</v>
      </c>
      <c r="Q379" s="18" t="n">
        <f aca="false">1+((P379-120)/73)*(1.15-1)</f>
        <v>1.00821917808219</v>
      </c>
      <c r="R379" s="16" t="n">
        <f aca="false">Q379*L379</f>
        <v>0.302465753424658</v>
      </c>
      <c r="S379" s="16" t="n">
        <f aca="false">J379-R379</f>
        <v>4.09753424657534</v>
      </c>
      <c r="T379" s="17" t="n">
        <f aca="false">T378+S379</f>
        <v>98.6039921722113</v>
      </c>
      <c r="U379" s="1" t="n">
        <v>0</v>
      </c>
      <c r="V379" s="1" t="n">
        <v>168.8</v>
      </c>
      <c r="X379" s="1" t="n">
        <f aca="false">X378+V379</f>
        <v>91614.6000000001</v>
      </c>
      <c r="Y379" s="1" t="n">
        <f aca="false">Y378+V379</f>
        <v>1110.1</v>
      </c>
      <c r="Z379" s="18" t="n">
        <f aca="false">(Z377/100)/I389</f>
        <v>1.05741479947279</v>
      </c>
      <c r="AA379" s="1" t="n">
        <v>9.10690818584026</v>
      </c>
    </row>
    <row r="380" s="1" customFormat="true" ht="15" hidden="false" customHeight="false" outlineLevel="0" collapsed="false">
      <c r="A380" s="35"/>
      <c r="B380" s="2"/>
      <c r="C380" s="8" t="n">
        <v>40553</v>
      </c>
      <c r="D380" s="1" t="n">
        <v>3.6</v>
      </c>
      <c r="E380" s="1" t="n">
        <v>-0.7</v>
      </c>
      <c r="F380" s="1" t="n">
        <v>7.9</v>
      </c>
      <c r="G380" s="1" t="n">
        <f aca="false">G379+D380</f>
        <v>1279.7</v>
      </c>
      <c r="H380" s="1" t="n">
        <f aca="false">H379+D380</f>
        <v>43.8</v>
      </c>
      <c r="I380" s="36" t="s">
        <v>36</v>
      </c>
      <c r="J380" s="1" t="n">
        <v>5.9</v>
      </c>
      <c r="K380" s="1" t="n">
        <f aca="false">K379+J380</f>
        <v>226</v>
      </c>
      <c r="L380" s="1" t="n">
        <v>0.8</v>
      </c>
      <c r="M380" s="1" t="n">
        <f aca="false">M379+L380</f>
        <v>204.7</v>
      </c>
      <c r="N380" s="1" t="n">
        <v>5.1</v>
      </c>
      <c r="O380" s="1" t="n">
        <f aca="false">O379+N380</f>
        <v>84.6</v>
      </c>
      <c r="P380" s="6" t="n">
        <v>125</v>
      </c>
      <c r="Q380" s="18" t="n">
        <f aca="false">1+((P380-120)/73)*(1.15-1)</f>
        <v>1.01027397260274</v>
      </c>
      <c r="R380" s="16" t="n">
        <f aca="false">Q380*L380</f>
        <v>0.808219178082192</v>
      </c>
      <c r="S380" s="16" t="n">
        <f aca="false">J380-R380</f>
        <v>5.09178082191781</v>
      </c>
      <c r="T380" s="17" t="n">
        <f aca="false">T379+S380</f>
        <v>103.695772994129</v>
      </c>
      <c r="U380" s="36" t="s">
        <v>37</v>
      </c>
      <c r="V380" s="1" t="n">
        <v>722.3</v>
      </c>
      <c r="X380" s="1" t="n">
        <f aca="false">X379+V380</f>
        <v>92336.9000000001</v>
      </c>
      <c r="Y380" s="1" t="n">
        <f aca="false">Y379+V380</f>
        <v>1832.4</v>
      </c>
      <c r="Z380" s="36" t="s">
        <v>38</v>
      </c>
      <c r="AA380" s="1" t="n">
        <v>9.12917015912375</v>
      </c>
    </row>
    <row r="381" s="1" customFormat="true" ht="15" hidden="false" customHeight="false" outlineLevel="0" collapsed="false">
      <c r="A381" s="35"/>
      <c r="B381" s="2"/>
      <c r="C381" s="8" t="n">
        <v>40554</v>
      </c>
      <c r="D381" s="1" t="n">
        <v>8.9</v>
      </c>
      <c r="E381" s="1" t="n">
        <v>3.2</v>
      </c>
      <c r="F381" s="1" t="n">
        <v>14.2</v>
      </c>
      <c r="G381" s="1" t="n">
        <f aca="false">G380+D381</f>
        <v>1288.6</v>
      </c>
      <c r="H381" s="1" t="n">
        <f aca="false">H380+D381</f>
        <v>52.7</v>
      </c>
      <c r="I381" s="16" t="n">
        <f aca="false">AVERAGE(D376:D448)</f>
        <v>7.23972602739726</v>
      </c>
      <c r="J381" s="1" t="n">
        <v>5.6</v>
      </c>
      <c r="K381" s="1" t="n">
        <f aca="false">K380+J381</f>
        <v>231.6</v>
      </c>
      <c r="L381" s="1" t="n">
        <v>0.7</v>
      </c>
      <c r="M381" s="1" t="n">
        <f aca="false">M380+L381</f>
        <v>205.4</v>
      </c>
      <c r="N381" s="1" t="n">
        <v>4.9</v>
      </c>
      <c r="O381" s="1" t="n">
        <f aca="false">O380+N381</f>
        <v>89.5</v>
      </c>
      <c r="P381" s="6" t="n">
        <v>126</v>
      </c>
      <c r="Q381" s="18" t="n">
        <f aca="false">1+((P381-120)/73)*(1.15-1)</f>
        <v>1.01232876712329</v>
      </c>
      <c r="R381" s="16" t="n">
        <f aca="false">Q381*L381</f>
        <v>0.708630136986301</v>
      </c>
      <c r="S381" s="16" t="n">
        <f aca="false">J381-R381</f>
        <v>4.8913698630137</v>
      </c>
      <c r="T381" s="17" t="n">
        <f aca="false">T380+S381</f>
        <v>108.587142857143</v>
      </c>
      <c r="U381" s="1" t="n">
        <v>0</v>
      </c>
      <c r="V381" s="1" t="n">
        <v>164</v>
      </c>
      <c r="X381" s="1" t="n">
        <f aca="false">X380+V381</f>
        <v>92500.9000000001</v>
      </c>
      <c r="Y381" s="1" t="n">
        <f aca="false">Y380+V381</f>
        <v>1996.4</v>
      </c>
      <c r="Z381" s="1" t="n">
        <v>47</v>
      </c>
      <c r="AA381" s="1" t="n">
        <v>9.15250133290929</v>
      </c>
    </row>
    <row r="382" s="1" customFormat="true" ht="15" hidden="false" customHeight="false" outlineLevel="0" collapsed="false">
      <c r="A382" s="35"/>
      <c r="B382" s="2"/>
      <c r="C382" s="8" t="n">
        <v>40555</v>
      </c>
      <c r="D382" s="1" t="n">
        <v>10.1</v>
      </c>
      <c r="E382" s="1" t="n">
        <v>8</v>
      </c>
      <c r="F382" s="1" t="n">
        <v>12.8</v>
      </c>
      <c r="G382" s="1" t="n">
        <f aca="false">G381+D382</f>
        <v>1298.7</v>
      </c>
      <c r="H382" s="1" t="n">
        <f aca="false">H381+D382</f>
        <v>62.8</v>
      </c>
      <c r="I382" s="36" t="s">
        <v>39</v>
      </c>
      <c r="J382" s="1" t="n">
        <v>1.9</v>
      </c>
      <c r="K382" s="1" t="n">
        <f aca="false">K381+J382</f>
        <v>233.5</v>
      </c>
      <c r="L382" s="1" t="n">
        <v>0.5</v>
      </c>
      <c r="M382" s="1" t="n">
        <f aca="false">M381+L382</f>
        <v>205.9</v>
      </c>
      <c r="N382" s="1" t="n">
        <v>1.4</v>
      </c>
      <c r="O382" s="1" t="n">
        <f aca="false">O381+N382</f>
        <v>90.9</v>
      </c>
      <c r="P382" s="6" t="n">
        <v>127</v>
      </c>
      <c r="Q382" s="18" t="n">
        <f aca="false">1+((P382-120)/73)*(1.15-1)</f>
        <v>1.01438356164384</v>
      </c>
      <c r="R382" s="16" t="n">
        <f aca="false">Q382*L382</f>
        <v>0.507191780821918</v>
      </c>
      <c r="S382" s="16" t="n">
        <f aca="false">J382-R382</f>
        <v>1.39280821917808</v>
      </c>
      <c r="T382" s="17" t="n">
        <f aca="false">T381+S382</f>
        <v>109.979951076321</v>
      </c>
      <c r="U382" s="36" t="s">
        <v>40</v>
      </c>
      <c r="V382" s="1" t="n">
        <v>150.5</v>
      </c>
      <c r="X382" s="1" t="n">
        <f aca="false">X381+V382</f>
        <v>92651.4000000001</v>
      </c>
      <c r="Y382" s="1" t="n">
        <f aca="false">Y381+V382</f>
        <v>2146.9</v>
      </c>
      <c r="AA382" s="1" t="n">
        <v>9.17688043813597</v>
      </c>
    </row>
    <row r="383" s="1" customFormat="true" ht="15" hidden="false" customHeight="false" outlineLevel="0" collapsed="false">
      <c r="A383" s="35"/>
      <c r="B383" s="2"/>
      <c r="C383" s="8" t="n">
        <v>40556</v>
      </c>
      <c r="D383" s="1" t="n">
        <v>11.8</v>
      </c>
      <c r="E383" s="1" t="n">
        <v>11.5</v>
      </c>
      <c r="F383" s="1" t="n">
        <v>16.1</v>
      </c>
      <c r="G383" s="1" t="n">
        <f aca="false">G382+D383</f>
        <v>1310.5</v>
      </c>
      <c r="H383" s="1" t="n">
        <f aca="false">H382+D383</f>
        <v>74.6</v>
      </c>
      <c r="I383" s="1" t="n">
        <v>13</v>
      </c>
      <c r="J383" s="1" t="n">
        <v>0.2</v>
      </c>
      <c r="K383" s="1" t="n">
        <f aca="false">K382+J383</f>
        <v>233.7</v>
      </c>
      <c r="L383" s="1" t="n">
        <v>1.2</v>
      </c>
      <c r="M383" s="1" t="n">
        <f aca="false">M382+L383</f>
        <v>207.1</v>
      </c>
      <c r="N383" s="1" t="n">
        <v>-1</v>
      </c>
      <c r="O383" s="1" t="n">
        <f aca="false">O382+N383</f>
        <v>89.9</v>
      </c>
      <c r="P383" s="6" t="n">
        <v>128</v>
      </c>
      <c r="Q383" s="18" t="n">
        <f aca="false">1+((P383-120)/73)*(1.15-1)</f>
        <v>1.01643835616438</v>
      </c>
      <c r="R383" s="16" t="n">
        <f aca="false">Q383*L383</f>
        <v>1.21972602739726</v>
      </c>
      <c r="S383" s="16" t="n">
        <f aca="false">J383-R383</f>
        <v>-1.01972602739726</v>
      </c>
      <c r="T383" s="17" t="n">
        <f aca="false">T382+S383</f>
        <v>108.960225048924</v>
      </c>
      <c r="U383" s="16" t="n">
        <f aca="false">MIN(T376:T448)</f>
        <v>71.0741291585127</v>
      </c>
      <c r="V383" s="1" t="n">
        <v>412.3</v>
      </c>
      <c r="X383" s="1" t="n">
        <f aca="false">X382+V383</f>
        <v>93063.7000000001</v>
      </c>
      <c r="Y383" s="1" t="n">
        <f aca="false">Y382+V383</f>
        <v>2559.2</v>
      </c>
      <c r="AA383" s="1" t="n">
        <v>9.20228562309054</v>
      </c>
    </row>
    <row r="384" s="1" customFormat="true" ht="15" hidden="false" customHeight="false" outlineLevel="0" collapsed="false">
      <c r="A384" s="35"/>
      <c r="B384" s="2" t="n">
        <v>7</v>
      </c>
      <c r="C384" s="8" t="n">
        <v>40557</v>
      </c>
      <c r="D384" s="1" t="n">
        <v>6.4</v>
      </c>
      <c r="E384" s="1" t="n">
        <v>5</v>
      </c>
      <c r="F384" s="1" t="n">
        <v>8.3</v>
      </c>
      <c r="G384" s="1" t="n">
        <f aca="false">G383+D384</f>
        <v>1316.9</v>
      </c>
      <c r="H384" s="1" t="n">
        <f aca="false">H383+D384</f>
        <v>81</v>
      </c>
      <c r="I384" s="36" t="s">
        <v>41</v>
      </c>
      <c r="J384" s="1" t="n">
        <v>0.2</v>
      </c>
      <c r="K384" s="1" t="n">
        <f aca="false">K383+J384</f>
        <v>233.9</v>
      </c>
      <c r="L384" s="1" t="n">
        <v>0.8</v>
      </c>
      <c r="M384" s="1" t="n">
        <f aca="false">M383+L384</f>
        <v>207.9</v>
      </c>
      <c r="N384" s="1" t="n">
        <v>-0.6</v>
      </c>
      <c r="O384" s="1" t="n">
        <f aca="false">O383+N384</f>
        <v>89.3</v>
      </c>
      <c r="P384" s="6" t="n">
        <v>129</v>
      </c>
      <c r="Q384" s="18" t="n">
        <f aca="false">1+((P384-120)/73)*(1.15-1)</f>
        <v>1.01849315068493</v>
      </c>
      <c r="R384" s="16" t="n">
        <f aca="false">Q384*L384</f>
        <v>0.814794520547945</v>
      </c>
      <c r="S384" s="16" t="n">
        <f aca="false">J384-R384</f>
        <v>-0.614794520547945</v>
      </c>
      <c r="T384" s="17" t="n">
        <f aca="false">T383+S384</f>
        <v>108.345430528376</v>
      </c>
      <c r="U384" s="36" t="s">
        <v>42</v>
      </c>
      <c r="V384" s="1" t="n">
        <v>340.4</v>
      </c>
      <c r="X384" s="1" t="n">
        <f aca="false">X383+V384</f>
        <v>93404.1000000001</v>
      </c>
      <c r="Y384" s="1" t="n">
        <f aca="false">Y383+V384</f>
        <v>2899.6</v>
      </c>
      <c r="AA384" s="1" t="n">
        <v>9.22869451845773</v>
      </c>
    </row>
    <row r="385" s="1" customFormat="true" ht="15" hidden="false" customHeight="false" outlineLevel="0" collapsed="false">
      <c r="A385" s="35"/>
      <c r="B385" s="2"/>
      <c r="C385" s="8" t="n">
        <v>40558</v>
      </c>
      <c r="D385" s="1" t="n">
        <v>6.8</v>
      </c>
      <c r="E385" s="1" t="n">
        <v>5.2</v>
      </c>
      <c r="F385" s="1" t="n">
        <v>9.1</v>
      </c>
      <c r="G385" s="1" t="n">
        <f aca="false">G384+D385</f>
        <v>1323.7</v>
      </c>
      <c r="H385" s="1" t="n">
        <f aca="false">H384+D385</f>
        <v>87.8</v>
      </c>
      <c r="I385" s="1" t="n">
        <v>0</v>
      </c>
      <c r="J385" s="1" t="n">
        <v>0.2</v>
      </c>
      <c r="K385" s="1" t="n">
        <f aca="false">K384+J385</f>
        <v>234.1</v>
      </c>
      <c r="L385" s="1" t="n">
        <v>0.9</v>
      </c>
      <c r="M385" s="1" t="n">
        <f aca="false">M384+L385</f>
        <v>208.8</v>
      </c>
      <c r="N385" s="1" t="n">
        <v>-0.7</v>
      </c>
      <c r="O385" s="1" t="n">
        <f aca="false">O384+N385</f>
        <v>88.6</v>
      </c>
      <c r="P385" s="6" t="n">
        <v>130</v>
      </c>
      <c r="Q385" s="18" t="n">
        <f aca="false">1+((P385-120)/73)*(1.15-1)</f>
        <v>1.02054794520548</v>
      </c>
      <c r="R385" s="16" t="n">
        <f aca="false">Q385*L385</f>
        <v>0.918493150684932</v>
      </c>
      <c r="S385" s="16" t="n">
        <f aca="false">J385-R385</f>
        <v>-0.718493150684932</v>
      </c>
      <c r="T385" s="17" t="n">
        <f aca="false">T384+S385</f>
        <v>107.626937377691</v>
      </c>
      <c r="U385" s="16" t="n">
        <f aca="false">MAX(T376:T448)</f>
        <v>109.979951076321</v>
      </c>
      <c r="V385" s="1" t="n">
        <v>476.3</v>
      </c>
      <c r="X385" s="1" t="n">
        <f aca="false">X384+V385</f>
        <v>93880.4000000001</v>
      </c>
      <c r="Y385" s="1" t="n">
        <f aca="false">Y384+V385</f>
        <v>3375.9</v>
      </c>
      <c r="AA385" s="1" t="n">
        <v>9.25608430192132</v>
      </c>
    </row>
    <row r="386" s="1" customFormat="true" ht="15" hidden="false" customHeight="false" outlineLevel="0" collapsed="false">
      <c r="A386" s="35"/>
      <c r="B386" s="2"/>
      <c r="C386" s="8" t="n">
        <v>40559</v>
      </c>
      <c r="D386" s="1" t="n">
        <v>8.2</v>
      </c>
      <c r="E386" s="1" t="n">
        <v>3.1</v>
      </c>
      <c r="F386" s="1" t="n">
        <v>12.5</v>
      </c>
      <c r="G386" s="1" t="n">
        <f aca="false">G385+D386</f>
        <v>1331.9</v>
      </c>
      <c r="H386" s="1" t="n">
        <f aca="false">H385+D386</f>
        <v>96</v>
      </c>
      <c r="I386" s="36" t="s">
        <v>43</v>
      </c>
      <c r="J386" s="1" t="n">
        <v>0.1</v>
      </c>
      <c r="K386" s="1" t="n">
        <f aca="false">K385+J386</f>
        <v>234.2</v>
      </c>
      <c r="L386" s="1" t="n">
        <v>1.1</v>
      </c>
      <c r="M386" s="1" t="n">
        <f aca="false">M385+L386</f>
        <v>209.9</v>
      </c>
      <c r="N386" s="1" t="n">
        <v>-1</v>
      </c>
      <c r="O386" s="1" t="n">
        <f aca="false">O385+N386</f>
        <v>87.6</v>
      </c>
      <c r="P386" s="6" t="n">
        <v>131</v>
      </c>
      <c r="Q386" s="18" t="n">
        <f aca="false">1+((P386-120)/73)*(1.15-1)</f>
        <v>1.02260273972603</v>
      </c>
      <c r="R386" s="16" t="n">
        <f aca="false">Q386*L386</f>
        <v>1.12486301369863</v>
      </c>
      <c r="S386" s="16" t="n">
        <f aca="false">J386-R386</f>
        <v>-1.02486301369863</v>
      </c>
      <c r="T386" s="17" t="n">
        <f aca="false">T385+S386</f>
        <v>106.602074363992</v>
      </c>
      <c r="U386" s="36" t="s">
        <v>44</v>
      </c>
      <c r="V386" s="1" t="n">
        <v>886.1</v>
      </c>
      <c r="X386" s="1" t="n">
        <f aca="false">X385+V386</f>
        <v>94766.5000000001</v>
      </c>
      <c r="Y386" s="1" t="n">
        <f aca="false">Y385+V386</f>
        <v>4262</v>
      </c>
      <c r="AA386" s="1" t="n">
        <v>9.28443176199099</v>
      </c>
    </row>
    <row r="387" s="1" customFormat="true" ht="15" hidden="false" customHeight="false" outlineLevel="0" collapsed="false">
      <c r="A387" s="35"/>
      <c r="B387" s="2"/>
      <c r="C387" s="8" t="n">
        <v>40560</v>
      </c>
      <c r="D387" s="1" t="n">
        <v>9.5</v>
      </c>
      <c r="E387" s="1" t="n">
        <v>4.9</v>
      </c>
      <c r="F387" s="1" t="n">
        <v>15.9</v>
      </c>
      <c r="G387" s="1" t="n">
        <f aca="false">G386+D387</f>
        <v>1341.4</v>
      </c>
      <c r="H387" s="1" t="n">
        <f aca="false">H386+D387</f>
        <v>105.5</v>
      </c>
      <c r="I387" s="1" t="n">
        <v>28</v>
      </c>
      <c r="J387" s="1" t="n">
        <v>0</v>
      </c>
      <c r="K387" s="1" t="n">
        <f aca="false">K386+J387</f>
        <v>234.2</v>
      </c>
      <c r="L387" s="1" t="n">
        <v>1.2</v>
      </c>
      <c r="M387" s="1" t="n">
        <f aca="false">M386+L387</f>
        <v>211.1</v>
      </c>
      <c r="N387" s="1" t="n">
        <v>-1.2</v>
      </c>
      <c r="O387" s="1" t="n">
        <f aca="false">O386+N387</f>
        <v>86.4</v>
      </c>
      <c r="P387" s="6" t="n">
        <v>132</v>
      </c>
      <c r="Q387" s="18" t="n">
        <f aca="false">1+((P387-120)/73)*(1.15-1)</f>
        <v>1.02465753424658</v>
      </c>
      <c r="R387" s="16" t="n">
        <f aca="false">Q387*L387</f>
        <v>1.22958904109589</v>
      </c>
      <c r="S387" s="16" t="n">
        <f aca="false">J387-R387</f>
        <v>-1.22958904109589</v>
      </c>
      <c r="T387" s="17" t="n">
        <f aca="false">T386+S387</f>
        <v>105.372485322896</v>
      </c>
      <c r="U387" s="18" t="n">
        <f aca="false">AVERAGE(T376:T448)</f>
        <v>92.3615339248854</v>
      </c>
      <c r="V387" s="1" t="n">
        <v>488.4</v>
      </c>
      <c r="X387" s="1" t="n">
        <f aca="false">X386+V387</f>
        <v>95254.9000000001</v>
      </c>
      <c r="Y387" s="1" t="n">
        <f aca="false">Y386+V387</f>
        <v>4750.4</v>
      </c>
      <c r="AA387" s="1" t="n">
        <v>9.31371336075173</v>
      </c>
    </row>
    <row r="388" s="1" customFormat="true" ht="15" hidden="false" customHeight="false" outlineLevel="0" collapsed="false">
      <c r="A388" s="35"/>
      <c r="B388" s="2"/>
      <c r="C388" s="8" t="n">
        <v>40561</v>
      </c>
      <c r="D388" s="1" t="n">
        <v>8.5</v>
      </c>
      <c r="E388" s="1" t="n">
        <v>5.8</v>
      </c>
      <c r="F388" s="1" t="n">
        <v>13.9</v>
      </c>
      <c r="G388" s="1" t="n">
        <f aca="false">G387+D388</f>
        <v>1349.9</v>
      </c>
      <c r="H388" s="1" t="n">
        <f aca="false">H387+D388</f>
        <v>114</v>
      </c>
      <c r="I388" s="36" t="s">
        <v>45</v>
      </c>
      <c r="J388" s="1" t="n">
        <v>0</v>
      </c>
      <c r="K388" s="1" t="n">
        <f aca="false">K387+J388</f>
        <v>234.2</v>
      </c>
      <c r="L388" s="1" t="n">
        <v>1</v>
      </c>
      <c r="M388" s="1" t="n">
        <f aca="false">M387+L388</f>
        <v>212.1</v>
      </c>
      <c r="N388" s="1" t="n">
        <v>-1</v>
      </c>
      <c r="O388" s="1" t="n">
        <f aca="false">O387+N388</f>
        <v>85.4</v>
      </c>
      <c r="P388" s="6" t="n">
        <v>133</v>
      </c>
      <c r="Q388" s="18" t="n">
        <f aca="false">1+((P388-120)/73)*(1.15-1)</f>
        <v>1.02671232876712</v>
      </c>
      <c r="R388" s="16" t="n">
        <f aca="false">Q388*L388</f>
        <v>1.02671232876712</v>
      </c>
      <c r="S388" s="16" t="n">
        <f aca="false">J388-R388</f>
        <v>-1.02671232876712</v>
      </c>
      <c r="T388" s="17" t="n">
        <f aca="false">T387+S388</f>
        <v>104.345772994129</v>
      </c>
      <c r="V388" s="1" t="n">
        <v>565.7</v>
      </c>
      <c r="X388" s="1" t="n">
        <f aca="false">X387+V388</f>
        <v>95820.6000000001</v>
      </c>
      <c r="Y388" s="1" t="n">
        <f aca="false">Y387+V388</f>
        <v>5316.1</v>
      </c>
      <c r="AA388" s="1" t="n">
        <v>9.34390529525624</v>
      </c>
    </row>
    <row r="389" s="1" customFormat="true" ht="15" hidden="false" customHeight="false" outlineLevel="0" collapsed="false">
      <c r="A389" s="35"/>
      <c r="B389" s="2"/>
      <c r="C389" s="8" t="n">
        <v>40562</v>
      </c>
      <c r="D389" s="1" t="n">
        <v>6.3</v>
      </c>
      <c r="E389" s="1" t="n">
        <v>5.6</v>
      </c>
      <c r="F389" s="1" t="n">
        <v>10.4</v>
      </c>
      <c r="G389" s="1" t="n">
        <f aca="false">G388+D389</f>
        <v>1356.2</v>
      </c>
      <c r="H389" s="1" t="n">
        <f aca="false">H388+D389</f>
        <v>120.3</v>
      </c>
      <c r="I389" s="1" t="n">
        <v>531.1</v>
      </c>
      <c r="J389" s="1" t="n">
        <v>0</v>
      </c>
      <c r="K389" s="1" t="n">
        <f aca="false">K388+J389</f>
        <v>234.2</v>
      </c>
      <c r="L389" s="1" t="n">
        <v>1</v>
      </c>
      <c r="M389" s="1" t="n">
        <f aca="false">M388+L389</f>
        <v>213.1</v>
      </c>
      <c r="N389" s="1" t="n">
        <v>-1</v>
      </c>
      <c r="O389" s="1" t="n">
        <f aca="false">O388+N389</f>
        <v>84.4</v>
      </c>
      <c r="P389" s="6" t="n">
        <v>134</v>
      </c>
      <c r="Q389" s="18" t="n">
        <f aca="false">1+((P389-120)/73)*(1.15-1)</f>
        <v>1.02876712328767</v>
      </c>
      <c r="R389" s="16" t="n">
        <f aca="false">Q389*L389</f>
        <v>1.02876712328767</v>
      </c>
      <c r="S389" s="16" t="n">
        <f aca="false">J389-R389</f>
        <v>-1.02876712328767</v>
      </c>
      <c r="T389" s="17" t="n">
        <f aca="false">T388+S389</f>
        <v>103.317005870841</v>
      </c>
      <c r="U389" s="16" t="n">
        <f aca="false">(U387*100)/122.1</f>
        <v>75.644171928653</v>
      </c>
      <c r="V389" s="1" t="n">
        <v>627.8</v>
      </c>
      <c r="X389" s="1" t="n">
        <f aca="false">X388+V389</f>
        <v>96448.4000000001</v>
      </c>
      <c r="Y389" s="1" t="n">
        <f aca="false">Y388+V389</f>
        <v>5943.9</v>
      </c>
      <c r="AA389" s="1" t="n">
        <v>9.37498355730527</v>
      </c>
    </row>
    <row r="390" s="1" customFormat="true" ht="15" hidden="false" customHeight="false" outlineLevel="0" collapsed="false">
      <c r="A390" s="35"/>
      <c r="B390" s="2"/>
      <c r="C390" s="8" t="n">
        <v>40563</v>
      </c>
      <c r="D390" s="1" t="n">
        <v>2.1</v>
      </c>
      <c r="E390" s="1" t="n">
        <v>-1.4</v>
      </c>
      <c r="F390" s="1" t="n">
        <v>5.1</v>
      </c>
      <c r="G390" s="1" t="n">
        <f aca="false">G389+D390</f>
        <v>1358.3</v>
      </c>
      <c r="H390" s="1" t="n">
        <f aca="false">H389+D390</f>
        <v>122.4</v>
      </c>
      <c r="J390" s="1" t="n">
        <v>0</v>
      </c>
      <c r="K390" s="1" t="n">
        <f aca="false">K389+J390</f>
        <v>234.2</v>
      </c>
      <c r="L390" s="1" t="n">
        <v>1.1</v>
      </c>
      <c r="M390" s="1" t="n">
        <f aca="false">M389+L390</f>
        <v>214.2</v>
      </c>
      <c r="N390" s="1" t="n">
        <v>-1.1</v>
      </c>
      <c r="O390" s="1" t="n">
        <f aca="false">O389+N390</f>
        <v>83.3</v>
      </c>
      <c r="P390" s="6" t="n">
        <v>135</v>
      </c>
      <c r="Q390" s="18" t="n">
        <f aca="false">1+((P390-120)/73)*(1.15-1)</f>
        <v>1.03082191780822</v>
      </c>
      <c r="R390" s="16" t="n">
        <f aca="false">Q390*L390</f>
        <v>1.13390410958904</v>
      </c>
      <c r="S390" s="16" t="n">
        <f aca="false">J390-R390</f>
        <v>-1.13390410958904</v>
      </c>
      <c r="T390" s="17" t="n">
        <f aca="false">T389+S390</f>
        <v>102.183101761252</v>
      </c>
      <c r="V390" s="1" t="n">
        <v>1057.6</v>
      </c>
      <c r="X390" s="1" t="n">
        <f aca="false">X389+V390</f>
        <v>97506.0000000001</v>
      </c>
      <c r="Y390" s="1" t="n">
        <f aca="false">Y389+V390</f>
        <v>7001.5</v>
      </c>
      <c r="AA390" s="1" t="n">
        <v>9.40692399138618</v>
      </c>
    </row>
    <row r="391" s="1" customFormat="true" ht="15" hidden="false" customHeight="false" outlineLevel="0" collapsed="false">
      <c r="A391" s="35"/>
      <c r="B391" s="2" t="n">
        <v>8</v>
      </c>
      <c r="C391" s="8" t="n">
        <v>40564</v>
      </c>
      <c r="D391" s="1" t="n">
        <v>0.7</v>
      </c>
      <c r="E391" s="1" t="n">
        <v>-0.9</v>
      </c>
      <c r="F391" s="1" t="n">
        <v>4.2</v>
      </c>
      <c r="G391" s="1" t="n">
        <f aca="false">G390+D391</f>
        <v>1359</v>
      </c>
      <c r="H391" s="1" t="n">
        <f aca="false">H390+D391</f>
        <v>123.1</v>
      </c>
      <c r="J391" s="1" t="n">
        <v>0</v>
      </c>
      <c r="K391" s="1" t="n">
        <f aca="false">K390+J391</f>
        <v>234.2</v>
      </c>
      <c r="L391" s="1" t="n">
        <v>1.2</v>
      </c>
      <c r="M391" s="1" t="n">
        <f aca="false">M390+L391</f>
        <v>215.4</v>
      </c>
      <c r="N391" s="1" t="n">
        <v>-1.2</v>
      </c>
      <c r="O391" s="1" t="n">
        <f aca="false">O390+N391</f>
        <v>82.1</v>
      </c>
      <c r="P391" s="6" t="n">
        <v>136</v>
      </c>
      <c r="Q391" s="18" t="n">
        <f aca="false">1+((P391-120)/73)*(1.15-1)</f>
        <v>1.03287671232877</v>
      </c>
      <c r="R391" s="16" t="n">
        <f aca="false">Q391*L391</f>
        <v>1.23945205479452</v>
      </c>
      <c r="S391" s="16" t="n">
        <f aca="false">J391-R391</f>
        <v>-1.23945205479452</v>
      </c>
      <c r="T391" s="17" t="n">
        <f aca="false">T390+S391</f>
        <v>100.943649706458</v>
      </c>
      <c r="V391" s="1" t="n">
        <v>811.2</v>
      </c>
      <c r="X391" s="1" t="n">
        <f aca="false">X390+V391</f>
        <v>98317.2000000001</v>
      </c>
      <c r="Y391" s="1" t="n">
        <f aca="false">Y390+V391</f>
        <v>7812.7</v>
      </c>
      <c r="AA391" s="1" t="n">
        <v>9.43970235056625</v>
      </c>
    </row>
    <row r="392" s="1" customFormat="true" ht="15" hidden="false" customHeight="false" outlineLevel="0" collapsed="false">
      <c r="A392" s="35"/>
      <c r="B392" s="2"/>
      <c r="C392" s="8" t="n">
        <v>40565</v>
      </c>
      <c r="D392" s="1" t="n">
        <v>-1.3</v>
      </c>
      <c r="E392" s="1" t="n">
        <v>-3.3</v>
      </c>
      <c r="F392" s="1" t="n">
        <v>-0.1</v>
      </c>
      <c r="G392" s="1" t="n">
        <v>1359</v>
      </c>
      <c r="H392" s="1" t="n">
        <v>123.1</v>
      </c>
      <c r="J392" s="1" t="n">
        <v>0</v>
      </c>
      <c r="K392" s="1" t="n">
        <f aca="false">K391+J392</f>
        <v>234.2</v>
      </c>
      <c r="L392" s="1" t="n">
        <v>0.7</v>
      </c>
      <c r="M392" s="1" t="n">
        <f aca="false">M391+L392</f>
        <v>216.1</v>
      </c>
      <c r="N392" s="1" t="n">
        <v>-0.7</v>
      </c>
      <c r="O392" s="1" t="n">
        <f aca="false">O391+N392</f>
        <v>81.4</v>
      </c>
      <c r="P392" s="6" t="n">
        <v>137</v>
      </c>
      <c r="Q392" s="18" t="n">
        <f aca="false">1+((P392-120)/73)*(1.15-1)</f>
        <v>1.03493150684932</v>
      </c>
      <c r="R392" s="16" t="n">
        <f aca="false">Q392*L392</f>
        <v>0.724452054794521</v>
      </c>
      <c r="S392" s="16" t="n">
        <f aca="false">J392-R392</f>
        <v>-0.724452054794521</v>
      </c>
      <c r="T392" s="17" t="n">
        <f aca="false">T391+S392</f>
        <v>100.219197651663</v>
      </c>
      <c r="V392" s="1" t="n">
        <v>561.8</v>
      </c>
      <c r="X392" s="1" t="n">
        <f aca="false">X391+V392</f>
        <v>98879.0000000001</v>
      </c>
      <c r="Y392" s="1" t="n">
        <f aca="false">Y391+V392</f>
        <v>8374.5</v>
      </c>
      <c r="AA392" s="1" t="n">
        <v>9.47329435016272</v>
      </c>
    </row>
    <row r="393" s="1" customFormat="true" ht="15" hidden="false" customHeight="false" outlineLevel="0" collapsed="false">
      <c r="A393" s="35"/>
      <c r="B393" s="2"/>
      <c r="C393" s="8" t="n">
        <v>40566</v>
      </c>
      <c r="D393" s="1" t="n">
        <v>-0.2</v>
      </c>
      <c r="E393" s="1" t="n">
        <v>-1.6</v>
      </c>
      <c r="F393" s="1" t="n">
        <v>3.4</v>
      </c>
      <c r="G393" s="1" t="n">
        <v>1359</v>
      </c>
      <c r="H393" s="1" t="n">
        <v>123.1</v>
      </c>
      <c r="J393" s="1" t="n">
        <v>0</v>
      </c>
      <c r="K393" s="1" t="n">
        <f aca="false">K392+J393</f>
        <v>234.2</v>
      </c>
      <c r="L393" s="1" t="n">
        <v>1.1</v>
      </c>
      <c r="M393" s="1" t="n">
        <f aca="false">M392+L393</f>
        <v>217.2</v>
      </c>
      <c r="N393" s="1" t="n">
        <v>-1.1</v>
      </c>
      <c r="O393" s="1" t="n">
        <f aca="false">O392+N393</f>
        <v>80.3</v>
      </c>
      <c r="P393" s="6" t="n">
        <v>138</v>
      </c>
      <c r="Q393" s="18" t="n">
        <f aca="false">1+((P393-120)/73)*(1.15-1)</f>
        <v>1.03698630136986</v>
      </c>
      <c r="R393" s="16" t="n">
        <f aca="false">Q393*L393</f>
        <v>1.14068493150685</v>
      </c>
      <c r="S393" s="16" t="n">
        <f aca="false">J393-R393</f>
        <v>-1.14068493150685</v>
      </c>
      <c r="T393" s="17" t="n">
        <f aca="false">T392+S393</f>
        <v>99.0785127201565</v>
      </c>
      <c r="V393" s="1" t="n">
        <v>984.1</v>
      </c>
      <c r="X393" s="1" t="n">
        <f aca="false">X392+V393</f>
        <v>99863.1000000001</v>
      </c>
      <c r="Y393" s="1" t="n">
        <f aca="false">Y392+V393</f>
        <v>9358.6</v>
      </c>
      <c r="AA393" s="1" t="n">
        <v>9.50767571903778</v>
      </c>
    </row>
    <row r="394" s="1" customFormat="true" ht="15" hidden="false" customHeight="false" outlineLevel="0" collapsed="false">
      <c r="A394" s="35"/>
      <c r="B394" s="2"/>
      <c r="C394" s="8" t="n">
        <v>40567</v>
      </c>
      <c r="D394" s="1" t="n">
        <v>-1</v>
      </c>
      <c r="E394" s="1" t="n">
        <v>-4.6</v>
      </c>
      <c r="F394" s="1" t="n">
        <v>4.2</v>
      </c>
      <c r="G394" s="1" t="n">
        <v>1359</v>
      </c>
      <c r="H394" s="1" t="n">
        <v>123.1</v>
      </c>
      <c r="J394" s="1" t="n">
        <v>0</v>
      </c>
      <c r="K394" s="1" t="n">
        <f aca="false">K393+J394</f>
        <v>234.2</v>
      </c>
      <c r="L394" s="1" t="n">
        <v>1</v>
      </c>
      <c r="M394" s="1" t="n">
        <f aca="false">M393+L394</f>
        <v>218.2</v>
      </c>
      <c r="N394" s="1" t="n">
        <v>-1</v>
      </c>
      <c r="O394" s="1" t="n">
        <f aca="false">O393+N394</f>
        <v>79.3</v>
      </c>
      <c r="P394" s="6" t="n">
        <v>139</v>
      </c>
      <c r="Q394" s="18" t="n">
        <f aca="false">1+((P394-120)/73)*(1.15-1)</f>
        <v>1.03904109589041</v>
      </c>
      <c r="R394" s="16" t="n">
        <f aca="false">Q394*L394</f>
        <v>1.03904109589041</v>
      </c>
      <c r="S394" s="16" t="n">
        <f aca="false">J394-R394</f>
        <v>-1.03904109589041</v>
      </c>
      <c r="T394" s="17" t="n">
        <f aca="false">T393+S394</f>
        <v>98.0394716242661</v>
      </c>
      <c r="V394" s="1" t="n">
        <v>1104.9</v>
      </c>
      <c r="X394" s="1" t="n">
        <f aca="false">X393+V394</f>
        <v>100968</v>
      </c>
      <c r="Y394" s="1" t="n">
        <f aca="false">Y393+V394</f>
        <v>10463.5</v>
      </c>
      <c r="AA394" s="1" t="n">
        <v>9.5428222483918</v>
      </c>
    </row>
    <row r="395" s="1" customFormat="true" ht="15" hidden="false" customHeight="false" outlineLevel="0" collapsed="false">
      <c r="A395" s="35"/>
      <c r="B395" s="2"/>
      <c r="C395" s="8" t="n">
        <v>40568</v>
      </c>
      <c r="D395" s="1" t="n">
        <v>0.5</v>
      </c>
      <c r="E395" s="1" t="n">
        <v>-3.3</v>
      </c>
      <c r="F395" s="1" t="n">
        <v>5</v>
      </c>
      <c r="G395" s="1" t="n">
        <f aca="false">G394+D395</f>
        <v>1359.5</v>
      </c>
      <c r="H395" s="1" t="n">
        <f aca="false">H394+D395</f>
        <v>123.6</v>
      </c>
      <c r="J395" s="1" t="n">
        <v>0</v>
      </c>
      <c r="K395" s="1" t="n">
        <f aca="false">K394+J395</f>
        <v>234.2</v>
      </c>
      <c r="L395" s="1" t="n">
        <v>0.7</v>
      </c>
      <c r="M395" s="1" t="n">
        <f aca="false">M394+L395</f>
        <v>218.9</v>
      </c>
      <c r="N395" s="1" t="n">
        <v>-0.7</v>
      </c>
      <c r="O395" s="1" t="n">
        <f aca="false">O394+N395</f>
        <v>78.6</v>
      </c>
      <c r="P395" s="6" t="n">
        <v>140</v>
      </c>
      <c r="Q395" s="18" t="n">
        <f aca="false">1+((P395-120)/73)*(1.15-1)</f>
        <v>1.04109589041096</v>
      </c>
      <c r="R395" s="16" t="n">
        <f aca="false">Q395*L395</f>
        <v>0.728767123287671</v>
      </c>
      <c r="S395" s="16" t="n">
        <f aca="false">J395-R395</f>
        <v>-0.728767123287671</v>
      </c>
      <c r="T395" s="17" t="n">
        <f aca="false">T394+S395</f>
        <v>97.3107045009784</v>
      </c>
      <c r="V395" s="1" t="n">
        <v>556.5</v>
      </c>
      <c r="X395" s="1" t="n">
        <f aca="false">X394+V395</f>
        <v>101524.5</v>
      </c>
      <c r="Y395" s="1" t="n">
        <f aca="false">Y394+V395</f>
        <v>11020</v>
      </c>
      <c r="AA395" s="1" t="n">
        <v>9.57870983795261</v>
      </c>
    </row>
    <row r="396" s="1" customFormat="true" ht="15" hidden="false" customHeight="false" outlineLevel="0" collapsed="false">
      <c r="A396" s="35"/>
      <c r="B396" s="2"/>
      <c r="C396" s="8" t="n">
        <v>40569</v>
      </c>
      <c r="D396" s="1" t="n">
        <v>1.7</v>
      </c>
      <c r="E396" s="1" t="n">
        <v>-1.5</v>
      </c>
      <c r="F396" s="1" t="n">
        <v>6.8</v>
      </c>
      <c r="G396" s="1" t="n">
        <f aca="false">G395+D396</f>
        <v>1361.2</v>
      </c>
      <c r="H396" s="1" t="n">
        <f aca="false">H395+D396</f>
        <v>125.3</v>
      </c>
      <c r="J396" s="1" t="n">
        <v>0</v>
      </c>
      <c r="K396" s="1" t="n">
        <f aca="false">K395+J396</f>
        <v>234.2</v>
      </c>
      <c r="L396" s="1" t="n">
        <v>0.8</v>
      </c>
      <c r="M396" s="1" t="n">
        <f aca="false">M395+L396</f>
        <v>219.7</v>
      </c>
      <c r="N396" s="1" t="n">
        <v>-0.8</v>
      </c>
      <c r="O396" s="1" t="n">
        <f aca="false">O395+N396</f>
        <v>77.8</v>
      </c>
      <c r="P396" s="6" t="n">
        <v>141</v>
      </c>
      <c r="Q396" s="18" t="n">
        <f aca="false">1+((P396-120)/73)*(1.15-1)</f>
        <v>1.04315068493151</v>
      </c>
      <c r="R396" s="16" t="n">
        <f aca="false">Q396*L396</f>
        <v>0.834520547945206</v>
      </c>
      <c r="S396" s="16" t="n">
        <f aca="false">J396-R396</f>
        <v>-0.834520547945206</v>
      </c>
      <c r="T396" s="17" t="n">
        <f aca="false">T395+S396</f>
        <v>96.4761839530332</v>
      </c>
      <c r="V396" s="1" t="n">
        <v>395.5</v>
      </c>
      <c r="X396" s="1" t="n">
        <f aca="false">X395+V396</f>
        <v>101920</v>
      </c>
      <c r="Y396" s="1" t="n">
        <f aca="false">Y395+V396</f>
        <v>11415.5</v>
      </c>
      <c r="AA396" s="1" t="n">
        <v>9.61531453948244</v>
      </c>
    </row>
    <row r="397" s="1" customFormat="true" ht="15" hidden="false" customHeight="false" outlineLevel="0" collapsed="false">
      <c r="A397" s="35"/>
      <c r="B397" s="2"/>
      <c r="C397" s="8" t="n">
        <v>40570</v>
      </c>
      <c r="D397" s="1" t="n">
        <v>3.2</v>
      </c>
      <c r="E397" s="1" t="n">
        <v>-3.2</v>
      </c>
      <c r="F397" s="1" t="n">
        <v>9.8</v>
      </c>
      <c r="G397" s="1" t="n">
        <f aca="false">G396+D397</f>
        <v>1364.4</v>
      </c>
      <c r="H397" s="1" t="n">
        <f aca="false">H396+D397</f>
        <v>128.5</v>
      </c>
      <c r="J397" s="1" t="n">
        <v>0</v>
      </c>
      <c r="K397" s="1" t="n">
        <f aca="false">K396+J397</f>
        <v>234.2</v>
      </c>
      <c r="L397" s="1" t="n">
        <v>0.7</v>
      </c>
      <c r="M397" s="1" t="n">
        <f aca="false">M396+L397</f>
        <v>220.4</v>
      </c>
      <c r="N397" s="1" t="n">
        <v>-0.7</v>
      </c>
      <c r="O397" s="1" t="n">
        <f aca="false">O396+N397</f>
        <v>77.1</v>
      </c>
      <c r="P397" s="6" t="n">
        <v>142</v>
      </c>
      <c r="Q397" s="18" t="n">
        <f aca="false">1+((P397-120)/73)*(1.15-1)</f>
        <v>1.04520547945205</v>
      </c>
      <c r="R397" s="16" t="n">
        <f aca="false">Q397*L397</f>
        <v>0.731643835616438</v>
      </c>
      <c r="S397" s="16" t="n">
        <f aca="false">J397-R397</f>
        <v>-0.731643835616438</v>
      </c>
      <c r="T397" s="17" t="n">
        <f aca="false">T396+S397</f>
        <v>95.7445401174168</v>
      </c>
      <c r="V397" s="1" t="n">
        <v>533.3</v>
      </c>
      <c r="X397" s="1" t="n">
        <f aca="false">X396+V397</f>
        <v>102453.3</v>
      </c>
      <c r="Y397" s="1" t="n">
        <f aca="false">Y396+V397</f>
        <v>11948.8</v>
      </c>
      <c r="AA397" s="1" t="n">
        <v>9.65261259754642</v>
      </c>
    </row>
    <row r="398" s="1" customFormat="true" ht="15" hidden="false" customHeight="false" outlineLevel="0" collapsed="false">
      <c r="A398" s="35"/>
      <c r="B398" s="2" t="n">
        <v>9</v>
      </c>
      <c r="C398" s="8" t="n">
        <v>40571</v>
      </c>
      <c r="D398" s="1" t="n">
        <v>7</v>
      </c>
      <c r="E398" s="1" t="n">
        <v>3.1</v>
      </c>
      <c r="F398" s="1" t="n">
        <v>11.8</v>
      </c>
      <c r="G398" s="1" t="n">
        <f aca="false">G397+D398</f>
        <v>1371.4</v>
      </c>
      <c r="H398" s="1" t="n">
        <f aca="false">H397+D398</f>
        <v>135.5</v>
      </c>
      <c r="J398" s="1" t="n">
        <v>0</v>
      </c>
      <c r="K398" s="1" t="n">
        <f aca="false">K397+J398</f>
        <v>234.2</v>
      </c>
      <c r="L398" s="1" t="n">
        <v>1.6</v>
      </c>
      <c r="M398" s="1" t="n">
        <f aca="false">M397+L398</f>
        <v>222</v>
      </c>
      <c r="N398" s="1" t="n">
        <v>-1.6</v>
      </c>
      <c r="O398" s="1" t="n">
        <f aca="false">O397+N398</f>
        <v>75.5</v>
      </c>
      <c r="P398" s="6" t="n">
        <v>143</v>
      </c>
      <c r="Q398" s="18" t="n">
        <f aca="false">1+((P398-120)/73)*(1.15-1)</f>
        <v>1.0472602739726</v>
      </c>
      <c r="R398" s="16" t="n">
        <f aca="false">Q398*L398</f>
        <v>1.67561643835616</v>
      </c>
      <c r="S398" s="16" t="n">
        <f aca="false">J398-R398</f>
        <v>-1.67561643835616</v>
      </c>
      <c r="T398" s="17" t="n">
        <f aca="false">T397+S398</f>
        <v>94.0689236790606</v>
      </c>
      <c r="V398" s="1" t="n">
        <v>694.2</v>
      </c>
      <c r="X398" s="1" t="n">
        <f aca="false">X397+V398</f>
        <v>103147.5</v>
      </c>
      <c r="Y398" s="1" t="n">
        <f aca="false">Y397+V398</f>
        <v>12643</v>
      </c>
      <c r="AA398" s="1" t="n">
        <v>9.69058048750774</v>
      </c>
    </row>
    <row r="399" s="1" customFormat="true" ht="15" hidden="false" customHeight="false" outlineLevel="0" collapsed="false">
      <c r="A399" s="35"/>
      <c r="B399" s="2"/>
      <c r="C399" s="8" t="n">
        <v>40572</v>
      </c>
      <c r="D399" s="1" t="n">
        <v>5.2</v>
      </c>
      <c r="E399" s="1" t="n">
        <v>3.5</v>
      </c>
      <c r="F399" s="1" t="n">
        <v>6.5</v>
      </c>
      <c r="G399" s="1" t="n">
        <f aca="false">G398+D399</f>
        <v>1376.6</v>
      </c>
      <c r="H399" s="1" t="n">
        <f aca="false">H398+D399</f>
        <v>140.7</v>
      </c>
      <c r="J399" s="1" t="n">
        <v>9.7</v>
      </c>
      <c r="K399" s="1" t="n">
        <f aca="false">K398+J399</f>
        <v>243.9</v>
      </c>
      <c r="L399" s="1" t="n">
        <v>0.4</v>
      </c>
      <c r="M399" s="1" t="n">
        <f aca="false">M398+L399</f>
        <v>222.4</v>
      </c>
      <c r="N399" s="1" t="n">
        <v>9.3</v>
      </c>
      <c r="O399" s="1" t="n">
        <f aca="false">O398+N399</f>
        <v>84.8</v>
      </c>
      <c r="P399" s="6" t="n">
        <v>144</v>
      </c>
      <c r="Q399" s="18" t="n">
        <f aca="false">1+((P399-120)/73)*(1.15-1)</f>
        <v>1.04931506849315</v>
      </c>
      <c r="R399" s="16" t="n">
        <f aca="false">Q399*L399</f>
        <v>0.41972602739726</v>
      </c>
      <c r="S399" s="16" t="n">
        <f aca="false">J399-R399</f>
        <v>9.28027397260274</v>
      </c>
      <c r="T399" s="17" t="n">
        <f aca="false">T398+S399</f>
        <v>103.349197651663</v>
      </c>
      <c r="V399" s="1" t="n">
        <v>124.2</v>
      </c>
      <c r="X399" s="1" t="n">
        <f aca="false">X398+V399</f>
        <v>103271.7</v>
      </c>
      <c r="Y399" s="1" t="n">
        <f aca="false">Y398+V399</f>
        <v>12767.2</v>
      </c>
      <c r="AA399" s="1" t="n">
        <v>9.72919495073467</v>
      </c>
    </row>
    <row r="400" s="1" customFormat="true" ht="15" hidden="false" customHeight="false" outlineLevel="0" collapsed="false">
      <c r="A400" s="35"/>
      <c r="B400" s="2"/>
      <c r="C400" s="8" t="n">
        <v>40573</v>
      </c>
      <c r="D400" s="1" t="n">
        <v>4.1</v>
      </c>
      <c r="E400" s="1" t="n">
        <v>3.4</v>
      </c>
      <c r="F400" s="1" t="n">
        <v>5.1</v>
      </c>
      <c r="G400" s="1" t="n">
        <f aca="false">G399+D400</f>
        <v>1380.7</v>
      </c>
      <c r="H400" s="1" t="n">
        <f aca="false">H399+D400</f>
        <v>144.8</v>
      </c>
      <c r="J400" s="1" t="n">
        <v>0</v>
      </c>
      <c r="K400" s="1" t="n">
        <f aca="false">K399+J400</f>
        <v>243.9</v>
      </c>
      <c r="L400" s="1" t="n">
        <v>0.2</v>
      </c>
      <c r="M400" s="1" t="n">
        <f aca="false">M399+L400</f>
        <v>222.6</v>
      </c>
      <c r="N400" s="1" t="n">
        <v>-0.2</v>
      </c>
      <c r="O400" s="1" t="n">
        <f aca="false">O399+N400</f>
        <v>84.6</v>
      </c>
      <c r="P400" s="6" t="n">
        <v>145</v>
      </c>
      <c r="Q400" s="18" t="n">
        <f aca="false">1+((P400-120)/73)*(1.15-1)</f>
        <v>1.0513698630137</v>
      </c>
      <c r="R400" s="16" t="n">
        <f aca="false">Q400*L400</f>
        <v>0.21027397260274</v>
      </c>
      <c r="S400" s="16" t="n">
        <f aca="false">J400-R400</f>
        <v>-0.21027397260274</v>
      </c>
      <c r="T400" s="17" t="n">
        <f aca="false">T399+S400</f>
        <v>103.138923679061</v>
      </c>
      <c r="V400" s="1" t="n">
        <v>66.5</v>
      </c>
      <c r="X400" s="1" t="n">
        <f aca="false">X399+V400</f>
        <v>103338.2</v>
      </c>
      <c r="Y400" s="1" t="n">
        <f aca="false">Y399+V400</f>
        <v>12833.7</v>
      </c>
      <c r="AA400" s="1" t="n">
        <v>9.7684330270224</v>
      </c>
    </row>
    <row r="401" s="1" customFormat="true" ht="15" hidden="false" customHeight="false" outlineLevel="0" collapsed="false">
      <c r="A401" s="35"/>
      <c r="B401" s="2"/>
      <c r="C401" s="8" t="n">
        <v>40574</v>
      </c>
      <c r="D401" s="1" t="n">
        <v>1.1</v>
      </c>
      <c r="E401" s="1" t="n">
        <v>0.1</v>
      </c>
      <c r="F401" s="1" t="n">
        <v>2.3</v>
      </c>
      <c r="G401" s="1" t="n">
        <f aca="false">G400+D401</f>
        <v>1381.8</v>
      </c>
      <c r="H401" s="1" t="n">
        <f aca="false">H400+D401</f>
        <v>145.9</v>
      </c>
      <c r="J401" s="1" t="n">
        <v>0</v>
      </c>
      <c r="K401" s="1" t="n">
        <f aca="false">K400+J401</f>
        <v>243.9</v>
      </c>
      <c r="L401" s="1" t="n">
        <v>0.5</v>
      </c>
      <c r="M401" s="1" t="n">
        <f aca="false">M400+L401</f>
        <v>223.1</v>
      </c>
      <c r="N401" s="1" t="n">
        <v>-0.5</v>
      </c>
      <c r="O401" s="1" t="n">
        <f aca="false">O400+N401</f>
        <v>84.1</v>
      </c>
      <c r="P401" s="6" t="n">
        <v>146</v>
      </c>
      <c r="Q401" s="18" t="n">
        <f aca="false">1+((P401-120)/73)*(1.15-1)</f>
        <v>1.05342465753425</v>
      </c>
      <c r="R401" s="16" t="n">
        <f aca="false">Q401*L401</f>
        <v>0.526712328767123</v>
      </c>
      <c r="S401" s="16" t="n">
        <f aca="false">J401-R401</f>
        <v>-0.526712328767123</v>
      </c>
      <c r="T401" s="17" t="n">
        <f aca="false">T400+S401</f>
        <v>102.612211350293</v>
      </c>
      <c r="V401" s="1" t="n">
        <v>270.2</v>
      </c>
      <c r="X401" s="1" t="n">
        <f aca="false">X400+V401</f>
        <v>103608.4</v>
      </c>
      <c r="Y401" s="1" t="n">
        <f aca="false">Y400+V401</f>
        <v>13103.9</v>
      </c>
      <c r="AA401" s="1" t="n">
        <v>9.80827208424999</v>
      </c>
    </row>
    <row r="402" s="1" customFormat="true" ht="15" hidden="false" customHeight="false" outlineLevel="0" collapsed="false">
      <c r="A402" s="35"/>
      <c r="B402" s="2"/>
      <c r="C402" s="8" t="n">
        <v>40575</v>
      </c>
      <c r="D402" s="1" t="n">
        <v>-0.1</v>
      </c>
      <c r="E402" s="1" t="n">
        <v>-1.1</v>
      </c>
      <c r="F402" s="1" t="n">
        <v>0.6</v>
      </c>
      <c r="G402" s="1" t="n">
        <v>1381.8</v>
      </c>
      <c r="H402" s="1" t="n">
        <v>145.9</v>
      </c>
      <c r="J402" s="1" t="n">
        <v>0</v>
      </c>
      <c r="K402" s="1" t="n">
        <f aca="false">K401+J402</f>
        <v>243.9</v>
      </c>
      <c r="L402" s="1" t="n">
        <v>0.6</v>
      </c>
      <c r="M402" s="1" t="n">
        <f aca="false">M401+L402</f>
        <v>223.7</v>
      </c>
      <c r="N402" s="1" t="n">
        <v>-0.6</v>
      </c>
      <c r="O402" s="1" t="n">
        <f aca="false">O401+N402</f>
        <v>83.5</v>
      </c>
      <c r="P402" s="6" t="n">
        <v>147</v>
      </c>
      <c r="Q402" s="18" t="n">
        <f aca="false">1+((P402-120)/73)*(1.15-1)</f>
        <v>1.05547945205479</v>
      </c>
      <c r="R402" s="16" t="n">
        <f aca="false">Q402*L402</f>
        <v>0.633287671232877</v>
      </c>
      <c r="S402" s="16" t="n">
        <f aca="false">J402-R402</f>
        <v>-0.633287671232877</v>
      </c>
      <c r="T402" s="17" t="n">
        <f aca="false">T401+S402</f>
        <v>101.978923679061</v>
      </c>
      <c r="V402" s="1" t="n">
        <v>454.2</v>
      </c>
      <c r="X402" s="1" t="n">
        <f aca="false">X401+V402</f>
        <v>104062.6</v>
      </c>
      <c r="Y402" s="1" t="n">
        <f aca="false">Y401+V402</f>
        <v>13558.1</v>
      </c>
      <c r="AA402" s="1" t="n">
        <v>9.84868984530758</v>
      </c>
    </row>
    <row r="403" s="1" customFormat="true" ht="15" hidden="false" customHeight="false" outlineLevel="0" collapsed="false">
      <c r="A403" s="35"/>
      <c r="B403" s="2"/>
      <c r="C403" s="8" t="n">
        <v>40576</v>
      </c>
      <c r="D403" s="1" t="n">
        <v>2.7</v>
      </c>
      <c r="E403" s="1" t="n">
        <v>-0.4</v>
      </c>
      <c r="F403" s="1" t="n">
        <v>5.9</v>
      </c>
      <c r="G403" s="1" t="n">
        <f aca="false">G402+D403</f>
        <v>1384.5</v>
      </c>
      <c r="H403" s="1" t="n">
        <f aca="false">H402+D403</f>
        <v>148.6</v>
      </c>
      <c r="J403" s="1" t="n">
        <v>0</v>
      </c>
      <c r="K403" s="1" t="n">
        <f aca="false">K402+J403</f>
        <v>243.9</v>
      </c>
      <c r="L403" s="1" t="n">
        <v>1.1</v>
      </c>
      <c r="M403" s="1" t="n">
        <f aca="false">M402+L403</f>
        <v>224.8</v>
      </c>
      <c r="N403" s="1" t="n">
        <v>-1.1</v>
      </c>
      <c r="O403" s="1" t="n">
        <f aca="false">O402+N403</f>
        <v>82.4</v>
      </c>
      <c r="P403" s="6" t="n">
        <v>148</v>
      </c>
      <c r="Q403" s="18" t="n">
        <f aca="false">1+((P403-120)/73)*(1.15-1)</f>
        <v>1.05753424657534</v>
      </c>
      <c r="R403" s="16" t="n">
        <f aca="false">Q403*L403</f>
        <v>1.16328767123288</v>
      </c>
      <c r="S403" s="16" t="n">
        <f aca="false">J403-R403</f>
        <v>-1.16328767123288</v>
      </c>
      <c r="T403" s="17" t="n">
        <f aca="false">T402+S403</f>
        <v>100.815636007828</v>
      </c>
      <c r="V403" s="1" t="n">
        <v>681.6</v>
      </c>
      <c r="X403" s="1" t="n">
        <f aca="false">X402+V403</f>
        <v>104744.2</v>
      </c>
      <c r="Y403" s="1" t="n">
        <f aca="false">Y402+V403</f>
        <v>14239.7</v>
      </c>
      <c r="AA403" s="1" t="n">
        <v>9.88966441234268</v>
      </c>
    </row>
    <row r="404" s="1" customFormat="true" ht="15" hidden="false" customHeight="false" outlineLevel="0" collapsed="false">
      <c r="A404" s="35"/>
      <c r="B404" s="2"/>
      <c r="C404" s="8" t="n">
        <v>40577</v>
      </c>
      <c r="D404" s="1" t="n">
        <v>8.2</v>
      </c>
      <c r="E404" s="1" t="n">
        <v>5.1</v>
      </c>
      <c r="F404" s="1" t="n">
        <v>11.7</v>
      </c>
      <c r="G404" s="1" t="n">
        <f aca="false">G403+D404</f>
        <v>1392.7</v>
      </c>
      <c r="H404" s="1" t="n">
        <f aca="false">H403+D404</f>
        <v>156.8</v>
      </c>
      <c r="J404" s="1" t="n">
        <v>0</v>
      </c>
      <c r="K404" s="1" t="n">
        <f aca="false">K403+J404</f>
        <v>243.9</v>
      </c>
      <c r="L404" s="1" t="n">
        <v>1</v>
      </c>
      <c r="M404" s="1" t="n">
        <f aca="false">M403+L404</f>
        <v>225.8</v>
      </c>
      <c r="N404" s="1" t="n">
        <v>-1</v>
      </c>
      <c r="O404" s="1" t="n">
        <f aca="false">O403+N404</f>
        <v>81.4</v>
      </c>
      <c r="P404" s="6" t="n">
        <v>149</v>
      </c>
      <c r="Q404" s="18" t="n">
        <f aca="false">1+((P404-120)/73)*(1.15-1)</f>
        <v>1.05958904109589</v>
      </c>
      <c r="R404" s="16" t="n">
        <f aca="false">Q404*L404</f>
        <v>1.05958904109589</v>
      </c>
      <c r="S404" s="16" t="n">
        <f aca="false">J404-R404</f>
        <v>-1.05958904109589</v>
      </c>
      <c r="T404" s="17" t="n">
        <f aca="false">T403+S404</f>
        <v>99.7560469667318</v>
      </c>
      <c r="V404" s="1" t="n">
        <v>271.7</v>
      </c>
      <c r="X404" s="1" t="n">
        <f aca="false">X403+V404</f>
        <v>105015.9</v>
      </c>
      <c r="Y404" s="1" t="n">
        <f aca="false">Y403+V404</f>
        <v>14511.4</v>
      </c>
      <c r="AA404" s="1" t="n">
        <v>9.93117428838646</v>
      </c>
    </row>
    <row r="405" s="1" customFormat="true" ht="15" hidden="false" customHeight="false" outlineLevel="0" collapsed="false">
      <c r="A405" s="35"/>
      <c r="B405" s="2" t="n">
        <v>10</v>
      </c>
      <c r="C405" s="8" t="n">
        <v>40578</v>
      </c>
      <c r="D405" s="1" t="n">
        <v>9.5</v>
      </c>
      <c r="E405" s="1" t="n">
        <v>7.4</v>
      </c>
      <c r="F405" s="1" t="n">
        <v>13.9</v>
      </c>
      <c r="G405" s="1" t="n">
        <f aca="false">G404+D405</f>
        <v>1402.2</v>
      </c>
      <c r="H405" s="1" t="n">
        <f aca="false">H404+D405</f>
        <v>166.3</v>
      </c>
      <c r="J405" s="1" t="n">
        <v>0</v>
      </c>
      <c r="K405" s="1" t="n">
        <f aca="false">K404+J405</f>
        <v>243.9</v>
      </c>
      <c r="L405" s="1" t="n">
        <v>1.6</v>
      </c>
      <c r="M405" s="1" t="n">
        <f aca="false">M404+L405</f>
        <v>227.4</v>
      </c>
      <c r="N405" s="1" t="n">
        <v>-1.6</v>
      </c>
      <c r="O405" s="1" t="n">
        <f aca="false">O404+N405</f>
        <v>79.8</v>
      </c>
      <c r="P405" s="6" t="n">
        <v>150</v>
      </c>
      <c r="Q405" s="18" t="n">
        <f aca="false">1+((P405-120)/73)*(1.15-1)</f>
        <v>1.06164383561644</v>
      </c>
      <c r="R405" s="16" t="n">
        <f aca="false">Q405*L405</f>
        <v>1.6986301369863</v>
      </c>
      <c r="S405" s="16" t="n">
        <f aca="false">J405-R405</f>
        <v>-1.6986301369863</v>
      </c>
      <c r="T405" s="17" t="n">
        <f aca="false">T404+S405</f>
        <v>98.0574168297456</v>
      </c>
      <c r="V405" s="1" t="n">
        <v>512.2</v>
      </c>
      <c r="X405" s="1" t="n">
        <f aca="false">X404+V405</f>
        <v>105528.1</v>
      </c>
      <c r="Y405" s="1" t="n">
        <f aca="false">Y404+V405</f>
        <v>15023.6</v>
      </c>
      <c r="AA405" s="1" t="n">
        <v>9.9731983964314</v>
      </c>
    </row>
    <row r="406" s="1" customFormat="true" ht="15" hidden="false" customHeight="false" outlineLevel="0" collapsed="false">
      <c r="A406" s="35"/>
      <c r="B406" s="2"/>
      <c r="C406" s="8" t="n">
        <v>40579</v>
      </c>
      <c r="D406" s="1" t="n">
        <v>6.7</v>
      </c>
      <c r="E406" s="1" t="n">
        <v>1.8</v>
      </c>
      <c r="F406" s="1" t="n">
        <v>14.1</v>
      </c>
      <c r="G406" s="1" t="n">
        <f aca="false">G405+D406</f>
        <v>1408.9</v>
      </c>
      <c r="H406" s="1" t="n">
        <f aca="false">H405+D406</f>
        <v>173</v>
      </c>
      <c r="J406" s="1" t="n">
        <v>0.1</v>
      </c>
      <c r="K406" s="1" t="n">
        <f aca="false">K405+J406</f>
        <v>244</v>
      </c>
      <c r="L406" s="1" t="n">
        <v>1.6</v>
      </c>
      <c r="M406" s="1" t="n">
        <f aca="false">M405+L406</f>
        <v>229</v>
      </c>
      <c r="N406" s="1" t="n">
        <v>-1.5</v>
      </c>
      <c r="O406" s="1" t="n">
        <f aca="false">O405+N406</f>
        <v>78.3</v>
      </c>
      <c r="P406" s="6" t="n">
        <v>151</v>
      </c>
      <c r="Q406" s="18" t="n">
        <f aca="false">1+((P406-120)/73)*(1.15-1)</f>
        <v>1.06369863013699</v>
      </c>
      <c r="R406" s="16" t="n">
        <f aca="false">Q406*L406</f>
        <v>1.70191780821918</v>
      </c>
      <c r="S406" s="16" t="n">
        <f aca="false">J406-R406</f>
        <v>-1.60191780821918</v>
      </c>
      <c r="T406" s="17" t="n">
        <f aca="false">T405+S406</f>
        <v>96.4554990215264</v>
      </c>
      <c r="V406" s="1" t="n">
        <v>1011.1</v>
      </c>
      <c r="X406" s="1" t="n">
        <f aca="false">X405+V406</f>
        <v>106539.2</v>
      </c>
      <c r="Y406" s="1" t="n">
        <f aca="false">Y405+V406</f>
        <v>16034.7</v>
      </c>
      <c r="AA406" s="1" t="n">
        <v>10.0157160960406</v>
      </c>
    </row>
    <row r="407" s="1" customFormat="true" ht="15" hidden="false" customHeight="false" outlineLevel="0" collapsed="false">
      <c r="A407" s="35"/>
      <c r="B407" s="2"/>
      <c r="C407" s="8" t="n">
        <v>40580</v>
      </c>
      <c r="D407" s="1" t="n">
        <v>2.1</v>
      </c>
      <c r="E407" s="1" t="n">
        <v>-1</v>
      </c>
      <c r="F407" s="1" t="n">
        <v>6.9</v>
      </c>
      <c r="G407" s="1" t="n">
        <f aca="false">G406+D407</f>
        <v>1411</v>
      </c>
      <c r="H407" s="1" t="n">
        <f aca="false">H406+D407</f>
        <v>175.1</v>
      </c>
      <c r="J407" s="1" t="n">
        <v>0</v>
      </c>
      <c r="K407" s="1" t="n">
        <f aca="false">K406+J407</f>
        <v>244</v>
      </c>
      <c r="L407" s="1" t="n">
        <v>1.4</v>
      </c>
      <c r="M407" s="1" t="n">
        <f aca="false">M406+L407</f>
        <v>230.4</v>
      </c>
      <c r="N407" s="1" t="n">
        <v>-1.4</v>
      </c>
      <c r="O407" s="1" t="n">
        <f aca="false">O406+N407</f>
        <v>76.9</v>
      </c>
      <c r="P407" s="6" t="n">
        <v>152</v>
      </c>
      <c r="Q407" s="18" t="n">
        <f aca="false">1+((P407-120)/73)*(1.15-1)</f>
        <v>1.06575342465753</v>
      </c>
      <c r="R407" s="16" t="n">
        <f aca="false">Q407*L407</f>
        <v>1.49205479452055</v>
      </c>
      <c r="S407" s="16" t="n">
        <f aca="false">J407-R407</f>
        <v>-1.49205479452055</v>
      </c>
      <c r="T407" s="17" t="n">
        <f aca="false">T406+S407</f>
        <v>94.9634442270058</v>
      </c>
      <c r="V407" s="1" t="n">
        <v>898.7</v>
      </c>
      <c r="X407" s="1" t="n">
        <f aca="false">X406+V407</f>
        <v>107437.9</v>
      </c>
      <c r="Y407" s="1" t="n">
        <f aca="false">Y406+V407</f>
        <v>16933.4</v>
      </c>
      <c r="AA407" s="1" t="n">
        <v>10.0587071975768</v>
      </c>
    </row>
    <row r="408" s="1" customFormat="true" ht="15" hidden="false" customHeight="false" outlineLevel="0" collapsed="false">
      <c r="A408" s="35"/>
      <c r="B408" s="2"/>
      <c r="C408" s="8" t="n">
        <v>40581</v>
      </c>
      <c r="D408" s="1" t="n">
        <v>5.7</v>
      </c>
      <c r="E408" s="1" t="n">
        <v>-1.3</v>
      </c>
      <c r="F408" s="1" t="n">
        <v>15.2</v>
      </c>
      <c r="G408" s="1" t="n">
        <f aca="false">G407+D408</f>
        <v>1416.7</v>
      </c>
      <c r="H408" s="1" t="n">
        <f aca="false">H407+D408</f>
        <v>180.8</v>
      </c>
      <c r="J408" s="1" t="n">
        <v>0.1</v>
      </c>
      <c r="K408" s="1" t="n">
        <f aca="false">K407+J408</f>
        <v>244.1</v>
      </c>
      <c r="L408" s="1" t="n">
        <v>2</v>
      </c>
      <c r="M408" s="1" t="n">
        <f aca="false">M407+L408</f>
        <v>232.4</v>
      </c>
      <c r="N408" s="1" t="n">
        <v>-1.9</v>
      </c>
      <c r="O408" s="1" t="n">
        <f aca="false">O407+N408</f>
        <v>75</v>
      </c>
      <c r="P408" s="6" t="n">
        <v>153</v>
      </c>
      <c r="Q408" s="18" t="n">
        <f aca="false">1+((P408-120)/73)*(1.15-1)</f>
        <v>1.06780821917808</v>
      </c>
      <c r="R408" s="16" t="n">
        <f aca="false">Q408*L408</f>
        <v>2.13561643835616</v>
      </c>
      <c r="S408" s="16" t="n">
        <f aca="false">J408-R408</f>
        <v>-2.03561643835616</v>
      </c>
      <c r="T408" s="17" t="n">
        <f aca="false">T407+S408</f>
        <v>92.9278277886497</v>
      </c>
      <c r="V408" s="1" t="n">
        <v>1230.8</v>
      </c>
      <c r="X408" s="1" t="n">
        <f aca="false">X407+V408</f>
        <v>108668.7</v>
      </c>
      <c r="Y408" s="1" t="n">
        <f aca="false">Y407+V408</f>
        <v>18164.2</v>
      </c>
      <c r="AA408" s="1" t="n">
        <v>10.1021519741451</v>
      </c>
    </row>
    <row r="409" s="1" customFormat="true" ht="15" hidden="false" customHeight="false" outlineLevel="0" collapsed="false">
      <c r="A409" s="35"/>
      <c r="B409" s="2"/>
      <c r="C409" s="8" t="n">
        <v>40582</v>
      </c>
      <c r="D409" s="1" t="n">
        <v>6.4</v>
      </c>
      <c r="E409" s="1" t="n">
        <v>0.6</v>
      </c>
      <c r="F409" s="1" t="n">
        <v>13.5</v>
      </c>
      <c r="G409" s="1" t="n">
        <f aca="false">G408+D409</f>
        <v>1423.1</v>
      </c>
      <c r="H409" s="1" t="n">
        <f aca="false">H408+D409</f>
        <v>187.2</v>
      </c>
      <c r="J409" s="1" t="n">
        <v>0.1</v>
      </c>
      <c r="K409" s="1" t="n">
        <f aca="false">K408+J409</f>
        <v>244.2</v>
      </c>
      <c r="L409" s="1" t="n">
        <v>1.3</v>
      </c>
      <c r="M409" s="1" t="n">
        <f aca="false">M408+L409</f>
        <v>233.7</v>
      </c>
      <c r="N409" s="1" t="n">
        <v>-1.2</v>
      </c>
      <c r="O409" s="1" t="n">
        <f aca="false">O408+N409</f>
        <v>73.8</v>
      </c>
      <c r="P409" s="6" t="n">
        <v>154</v>
      </c>
      <c r="Q409" s="18" t="n">
        <f aca="false">1+((P409-120)/73)*(1.15-1)</f>
        <v>1.06986301369863</v>
      </c>
      <c r="R409" s="16" t="n">
        <f aca="false">Q409*L409</f>
        <v>1.39082191780822</v>
      </c>
      <c r="S409" s="16" t="n">
        <f aca="false">J409-R409</f>
        <v>-1.29082191780822</v>
      </c>
      <c r="T409" s="17" t="n">
        <f aca="false">T408+S409</f>
        <v>91.6370058708415</v>
      </c>
      <c r="V409" s="1" t="n">
        <v>861.2</v>
      </c>
      <c r="X409" s="1" t="n">
        <f aca="false">X408+V409</f>
        <v>109529.9</v>
      </c>
      <c r="Y409" s="1" t="n">
        <f aca="false">Y408+V409</f>
        <v>19025.4</v>
      </c>
      <c r="AA409" s="1" t="n">
        <v>10.146031171348</v>
      </c>
    </row>
    <row r="410" s="1" customFormat="true" ht="15" hidden="false" customHeight="false" outlineLevel="0" collapsed="false">
      <c r="A410" s="35"/>
      <c r="B410" s="2"/>
      <c r="C410" s="8" t="n">
        <v>40583</v>
      </c>
      <c r="D410" s="1" t="n">
        <v>6.7</v>
      </c>
      <c r="E410" s="1" t="n">
        <v>0.7</v>
      </c>
      <c r="F410" s="1" t="n">
        <v>14.8</v>
      </c>
      <c r="G410" s="1" t="n">
        <f aca="false">G409+D410</f>
        <v>1429.8</v>
      </c>
      <c r="H410" s="1" t="n">
        <f aca="false">H409+D410</f>
        <v>193.9</v>
      </c>
      <c r="J410" s="1" t="n">
        <v>0.1</v>
      </c>
      <c r="K410" s="1" t="n">
        <f aca="false">K409+J410</f>
        <v>244.3</v>
      </c>
      <c r="L410" s="1" t="n">
        <v>2.3</v>
      </c>
      <c r="M410" s="1" t="n">
        <f aca="false">M409+L410</f>
        <v>236</v>
      </c>
      <c r="N410" s="1" t="n">
        <v>-2.2</v>
      </c>
      <c r="O410" s="1" t="n">
        <f aca="false">O409+N410</f>
        <v>71.6</v>
      </c>
      <c r="P410" s="6" t="n">
        <v>155</v>
      </c>
      <c r="Q410" s="18" t="n">
        <f aca="false">1+((P410-120)/73)*(1.15-1)</f>
        <v>1.07191780821918</v>
      </c>
      <c r="R410" s="16" t="n">
        <f aca="false">Q410*L410</f>
        <v>2.46541095890411</v>
      </c>
      <c r="S410" s="16" t="n">
        <f aca="false">J410-R410</f>
        <v>-2.36541095890411</v>
      </c>
      <c r="T410" s="17" t="n">
        <f aca="false">T409+S410</f>
        <v>89.2715949119373</v>
      </c>
      <c r="V410" s="1" t="n">
        <v>1278.5</v>
      </c>
      <c r="X410" s="1" t="n">
        <f aca="false">X409+V410</f>
        <v>110808.4</v>
      </c>
      <c r="Y410" s="1" t="n">
        <f aca="false">Y409+V410</f>
        <v>20303.9</v>
      </c>
      <c r="AA410" s="1" t="n">
        <v>10.1903260149566</v>
      </c>
    </row>
    <row r="411" s="1" customFormat="true" ht="15" hidden="false" customHeight="false" outlineLevel="0" collapsed="false">
      <c r="A411" s="35"/>
      <c r="B411" s="2"/>
      <c r="C411" s="8" t="n">
        <v>40584</v>
      </c>
      <c r="D411" s="1" t="n">
        <v>5.7</v>
      </c>
      <c r="E411" s="1" t="n">
        <v>0.9</v>
      </c>
      <c r="F411" s="1" t="n">
        <v>9.1</v>
      </c>
      <c r="G411" s="1" t="n">
        <f aca="false">G410+D411</f>
        <v>1435.5</v>
      </c>
      <c r="H411" s="1" t="n">
        <f aca="false">H410+D411</f>
        <v>199.6</v>
      </c>
      <c r="J411" s="1" t="n">
        <v>0.2</v>
      </c>
      <c r="K411" s="1" t="n">
        <f aca="false">K410+J411</f>
        <v>244.5</v>
      </c>
      <c r="L411" s="1" t="n">
        <v>1.1</v>
      </c>
      <c r="M411" s="1" t="n">
        <f aca="false">M410+L411</f>
        <v>237.1</v>
      </c>
      <c r="N411" s="1" t="n">
        <v>-0.9</v>
      </c>
      <c r="O411" s="1" t="n">
        <f aca="false">O410+N411</f>
        <v>70.7</v>
      </c>
      <c r="P411" s="6" t="n">
        <v>156</v>
      </c>
      <c r="Q411" s="18" t="n">
        <f aca="false">1+((P411-120)/73)*(1.15-1)</f>
        <v>1.07397260273973</v>
      </c>
      <c r="R411" s="16" t="n">
        <f aca="false">Q411*L411</f>
        <v>1.1813698630137</v>
      </c>
      <c r="S411" s="16" t="n">
        <f aca="false">J411-R411</f>
        <v>-0.981369863013699</v>
      </c>
      <c r="T411" s="17" t="n">
        <f aca="false">T410+S411</f>
        <v>88.2902250489237</v>
      </c>
      <c r="V411" s="1" t="n">
        <v>942.2</v>
      </c>
      <c r="X411" s="1" t="n">
        <f aca="false">X410+V411</f>
        <v>111750.6</v>
      </c>
      <c r="Y411" s="1" t="n">
        <f aca="false">Y410+V411</f>
        <v>21246.1</v>
      </c>
      <c r="AA411" s="1" t="n">
        <v>10.2350182166019</v>
      </c>
    </row>
    <row r="412" s="1" customFormat="true" ht="15" hidden="false" customHeight="false" outlineLevel="0" collapsed="false">
      <c r="A412" s="35"/>
      <c r="B412" s="2"/>
      <c r="C412" s="8" t="n">
        <v>40585</v>
      </c>
      <c r="D412" s="1" t="n">
        <v>8</v>
      </c>
      <c r="E412" s="1" t="n">
        <v>5.2</v>
      </c>
      <c r="F412" s="1" t="n">
        <v>13.9</v>
      </c>
      <c r="G412" s="1" t="n">
        <f aca="false">G411+D412</f>
        <v>1443.5</v>
      </c>
      <c r="H412" s="1" t="n">
        <f aca="false">H411+D412</f>
        <v>207.6</v>
      </c>
      <c r="J412" s="1" t="n">
        <v>0</v>
      </c>
      <c r="K412" s="1" t="n">
        <f aca="false">K411+J412</f>
        <v>244.5</v>
      </c>
      <c r="L412" s="1" t="n">
        <v>1.9</v>
      </c>
      <c r="M412" s="1" t="n">
        <f aca="false">M411+L412</f>
        <v>239</v>
      </c>
      <c r="N412" s="1" t="n">
        <v>-1.9</v>
      </c>
      <c r="O412" s="1" t="n">
        <f aca="false">O411+N412</f>
        <v>68.8</v>
      </c>
      <c r="P412" s="6" t="n">
        <v>157</v>
      </c>
      <c r="Q412" s="18" t="n">
        <f aca="false">1+((P412-120)/73)*(1.15-1)</f>
        <v>1.07602739726027</v>
      </c>
      <c r="R412" s="16" t="n">
        <f aca="false">Q412*L412</f>
        <v>2.04445205479452</v>
      </c>
      <c r="S412" s="16" t="n">
        <f aca="false">J412-R412</f>
        <v>-2.04445205479452</v>
      </c>
      <c r="T412" s="17" t="n">
        <f aca="false">T411+S412</f>
        <v>86.2457729941291</v>
      </c>
      <c r="V412" s="1" t="n">
        <v>974.4</v>
      </c>
      <c r="X412" s="1" t="n">
        <f aca="false">X411+V412</f>
        <v>112725</v>
      </c>
      <c r="Y412" s="1" t="n">
        <f aca="false">Y411+V412</f>
        <v>22220.5</v>
      </c>
      <c r="AA412" s="1" t="n">
        <v>10.2800899775938</v>
      </c>
    </row>
    <row r="413" s="1" customFormat="true" ht="15" hidden="false" customHeight="false" outlineLevel="0" collapsed="false">
      <c r="A413" s="35"/>
      <c r="B413" s="2"/>
      <c r="C413" s="8" t="n">
        <v>40586</v>
      </c>
      <c r="D413" s="1" t="n">
        <v>7.4</v>
      </c>
      <c r="E413" s="1" t="n">
        <v>2.2</v>
      </c>
      <c r="F413" s="1" t="n">
        <v>14.4</v>
      </c>
      <c r="G413" s="1" t="n">
        <f aca="false">G412+D413</f>
        <v>1450.9</v>
      </c>
      <c r="H413" s="1" t="n">
        <f aca="false">H412+D413</f>
        <v>215</v>
      </c>
      <c r="J413" s="1" t="n">
        <v>1.6</v>
      </c>
      <c r="K413" s="1" t="n">
        <f aca="false">K412+J413</f>
        <v>246.1</v>
      </c>
      <c r="L413" s="1" t="n">
        <v>1.5</v>
      </c>
      <c r="M413" s="1" t="n">
        <f aca="false">M412+L413</f>
        <v>240.5</v>
      </c>
      <c r="N413" s="1" t="n">
        <v>0.1</v>
      </c>
      <c r="O413" s="1" t="n">
        <f aca="false">O412+N413</f>
        <v>68.9</v>
      </c>
      <c r="P413" s="6" t="n">
        <v>158</v>
      </c>
      <c r="Q413" s="18" t="n">
        <f aca="false">1+((P413-120)/73)*(1.15-1)</f>
        <v>1.07808219178082</v>
      </c>
      <c r="R413" s="16" t="n">
        <f aca="false">Q413*L413</f>
        <v>1.61712328767123</v>
      </c>
      <c r="S413" s="16" t="n">
        <f aca="false">J413-R413</f>
        <v>-0.0171232876712328</v>
      </c>
      <c r="T413" s="17" t="n">
        <f aca="false">T412+S413</f>
        <v>86.2286497064579</v>
      </c>
      <c r="V413" s="1" t="n">
        <v>934.8</v>
      </c>
      <c r="X413" s="1" t="n">
        <f aca="false">X412+V413</f>
        <v>113659.8</v>
      </c>
      <c r="Y413" s="1" t="n">
        <f aca="false">Y412+V413</f>
        <v>23155.3</v>
      </c>
      <c r="AA413" s="1" t="n">
        <v>10.325523990975</v>
      </c>
    </row>
    <row r="414" s="1" customFormat="true" ht="15" hidden="false" customHeight="false" outlineLevel="0" collapsed="false">
      <c r="A414" s="35"/>
      <c r="B414" s="2"/>
      <c r="C414" s="8" t="n">
        <v>40587</v>
      </c>
      <c r="D414" s="1" t="n">
        <v>7.1</v>
      </c>
      <c r="E414" s="1" t="n">
        <v>3</v>
      </c>
      <c r="F414" s="1" t="n">
        <v>11.3</v>
      </c>
      <c r="G414" s="1" t="n">
        <f aca="false">G413+D414</f>
        <v>1458</v>
      </c>
      <c r="H414" s="1" t="n">
        <f aca="false">H413+D414</f>
        <v>222.1</v>
      </c>
      <c r="J414" s="1" t="n">
        <v>1.2</v>
      </c>
      <c r="K414" s="1" t="n">
        <f aca="false">K413+J414</f>
        <v>247.3</v>
      </c>
      <c r="L414" s="1" t="n">
        <v>0.9</v>
      </c>
      <c r="M414" s="1" t="n">
        <f aca="false">M413+L414</f>
        <v>241.4</v>
      </c>
      <c r="N414" s="1" t="n">
        <v>0.3</v>
      </c>
      <c r="O414" s="1" t="n">
        <f aca="false">O413+N414</f>
        <v>69.2</v>
      </c>
      <c r="P414" s="6" t="n">
        <v>159</v>
      </c>
      <c r="Q414" s="18" t="n">
        <f aca="false">1+((P414-120)/73)*(1.15-1)</f>
        <v>1.08013698630137</v>
      </c>
      <c r="R414" s="16" t="n">
        <f aca="false">Q414*L414</f>
        <v>0.972123287671233</v>
      </c>
      <c r="S414" s="16" t="n">
        <f aca="false">J414-R414</f>
        <v>0.227876712328767</v>
      </c>
      <c r="T414" s="17" t="n">
        <f aca="false">T413+S414</f>
        <v>86.4565264187867</v>
      </c>
      <c r="V414" s="1" t="n">
        <v>655.3</v>
      </c>
      <c r="X414" s="1" t="n">
        <f aca="false">X413+V414</f>
        <v>114315.1</v>
      </c>
      <c r="Y414" s="1" t="n">
        <f aca="false">Y413+V414</f>
        <v>23810.6</v>
      </c>
      <c r="AA414" s="1" t="n">
        <v>10.3713034419173</v>
      </c>
    </row>
    <row r="415" s="1" customFormat="true" ht="15" hidden="false" customHeight="false" outlineLevel="0" collapsed="false">
      <c r="A415" s="35"/>
      <c r="B415" s="2"/>
      <c r="C415" s="8" t="n">
        <v>40588</v>
      </c>
      <c r="D415" s="1" t="n">
        <v>7.5</v>
      </c>
      <c r="E415" s="1" t="n">
        <v>6.5</v>
      </c>
      <c r="F415" s="1" t="n">
        <v>9.4</v>
      </c>
      <c r="G415" s="1" t="n">
        <f aca="false">G414+D415</f>
        <v>1465.5</v>
      </c>
      <c r="H415" s="1" t="n">
        <f aca="false">H414+D415</f>
        <v>229.6</v>
      </c>
      <c r="J415" s="1" t="n">
        <v>0.9</v>
      </c>
      <c r="K415" s="1" t="n">
        <f aca="false">K414+J415</f>
        <v>248.2</v>
      </c>
      <c r="L415" s="1" t="n">
        <v>0.8</v>
      </c>
      <c r="M415" s="1" t="n">
        <f aca="false">M414+L415</f>
        <v>242.2</v>
      </c>
      <c r="N415" s="1" t="n">
        <v>0.1</v>
      </c>
      <c r="O415" s="1" t="n">
        <f aca="false">O414+N415</f>
        <v>69.2999999999999</v>
      </c>
      <c r="P415" s="6" t="n">
        <v>160</v>
      </c>
      <c r="Q415" s="18" t="n">
        <f aca="false">1+((P415-120)/73)*(1.15-1)</f>
        <v>1.08219178082192</v>
      </c>
      <c r="R415" s="16" t="n">
        <f aca="false">Q415*L415</f>
        <v>0.865753424657534</v>
      </c>
      <c r="S415" s="16" t="n">
        <f aca="false">J415-R415</f>
        <v>0.0342465753424658</v>
      </c>
      <c r="T415" s="17" t="n">
        <f aca="false">T414+S415</f>
        <v>86.4907729941291</v>
      </c>
      <c r="V415" s="1" t="n">
        <v>430.4</v>
      </c>
      <c r="X415" s="1" t="n">
        <f aca="false">X414+V415</f>
        <v>114745.5</v>
      </c>
      <c r="Y415" s="1" t="n">
        <f aca="false">Y414+V415</f>
        <v>24241</v>
      </c>
      <c r="AA415" s="1" t="n">
        <v>10.4174120065662</v>
      </c>
    </row>
    <row r="416" s="1" customFormat="true" ht="15" hidden="false" customHeight="false" outlineLevel="0" collapsed="false">
      <c r="A416" s="35"/>
      <c r="B416" s="2"/>
      <c r="C416" s="8" t="n">
        <v>40589</v>
      </c>
      <c r="D416" s="1" t="n">
        <v>9.5</v>
      </c>
      <c r="E416" s="1" t="n">
        <v>4.3</v>
      </c>
      <c r="F416" s="1" t="n">
        <v>16.2</v>
      </c>
      <c r="G416" s="1" t="n">
        <f aca="false">G415+D416</f>
        <v>1475</v>
      </c>
      <c r="H416" s="1" t="n">
        <f aca="false">H415+D416</f>
        <v>239.1</v>
      </c>
      <c r="J416" s="1" t="n">
        <v>2.9</v>
      </c>
      <c r="K416" s="1" t="n">
        <f aca="false">K415+J416</f>
        <v>251.1</v>
      </c>
      <c r="L416" s="1" t="n">
        <v>1.9</v>
      </c>
      <c r="M416" s="1" t="n">
        <f aca="false">M415+L416</f>
        <v>244.1</v>
      </c>
      <c r="N416" s="1" t="n">
        <v>1</v>
      </c>
      <c r="O416" s="1" t="n">
        <f aca="false">O415+N416</f>
        <v>70.2999999999999</v>
      </c>
      <c r="P416" s="6" t="n">
        <v>161</v>
      </c>
      <c r="Q416" s="18" t="n">
        <f aca="false">1+((P416-120)/73)*(1.15-1)</f>
        <v>1.08424657534247</v>
      </c>
      <c r="R416" s="16" t="n">
        <f aca="false">Q416*L416</f>
        <v>2.06006849315069</v>
      </c>
      <c r="S416" s="16" t="n">
        <f aca="false">J416-R416</f>
        <v>0.839931506849315</v>
      </c>
      <c r="T416" s="17" t="n">
        <f aca="false">T415+S416</f>
        <v>87.3307045009784</v>
      </c>
      <c r="V416" s="1" t="n">
        <v>1086</v>
      </c>
      <c r="X416" s="1" t="n">
        <f aca="false">X415+V416</f>
        <v>115831.5</v>
      </c>
      <c r="Y416" s="1" t="n">
        <f aca="false">Y415+V416</f>
        <v>25327</v>
      </c>
      <c r="AA416" s="1" t="n">
        <v>10.4638338494391</v>
      </c>
    </row>
    <row r="417" s="1" customFormat="true" ht="15" hidden="false" customHeight="false" outlineLevel="0" collapsed="false">
      <c r="A417" s="35"/>
      <c r="B417" s="2"/>
      <c r="C417" s="8" t="n">
        <v>40590</v>
      </c>
      <c r="D417" s="1" t="n">
        <v>8.7</v>
      </c>
      <c r="E417" s="1" t="n">
        <v>5.1</v>
      </c>
      <c r="F417" s="1" t="n">
        <v>13.5</v>
      </c>
      <c r="G417" s="1" t="n">
        <f aca="false">G416+D417</f>
        <v>1483.7</v>
      </c>
      <c r="H417" s="1" t="n">
        <f aca="false">H416+D417</f>
        <v>247.8</v>
      </c>
      <c r="J417" s="1" t="n">
        <v>0</v>
      </c>
      <c r="K417" s="1" t="n">
        <f aca="false">K416+J417</f>
        <v>251.1</v>
      </c>
      <c r="L417" s="1" t="n">
        <v>1.8</v>
      </c>
      <c r="M417" s="1" t="n">
        <f aca="false">M416+L417</f>
        <v>245.9</v>
      </c>
      <c r="N417" s="1" t="n">
        <v>-1.8</v>
      </c>
      <c r="O417" s="1" t="n">
        <f aca="false">O416+N417</f>
        <v>68.4999999999999</v>
      </c>
      <c r="P417" s="6" t="n">
        <v>162</v>
      </c>
      <c r="Q417" s="18" t="n">
        <f aca="false">1+((P417-120)/73)*(1.15-1)</f>
        <v>1.08630136986301</v>
      </c>
      <c r="R417" s="16" t="n">
        <f aca="false">Q417*L417</f>
        <v>1.95534246575342</v>
      </c>
      <c r="S417" s="16" t="n">
        <f aca="false">J417-R417</f>
        <v>-1.95534246575342</v>
      </c>
      <c r="T417" s="17" t="n">
        <f aca="false">T416+S417</f>
        <v>85.375362035225</v>
      </c>
      <c r="V417" s="1" t="n">
        <v>1155.3</v>
      </c>
      <c r="X417" s="1" t="n">
        <f aca="false">X416+V417</f>
        <v>116986.8</v>
      </c>
      <c r="Y417" s="1" t="n">
        <f aca="false">Y416+V417</f>
        <v>26482.3</v>
      </c>
      <c r="AA417" s="1" t="n">
        <v>10.5105536194789</v>
      </c>
    </row>
    <row r="418" s="1" customFormat="true" ht="15" hidden="false" customHeight="false" outlineLevel="0" collapsed="false">
      <c r="A418" s="35"/>
      <c r="B418" s="2"/>
      <c r="C418" s="8" t="n">
        <v>40591</v>
      </c>
      <c r="D418" s="1" t="n">
        <v>7.7</v>
      </c>
      <c r="E418" s="1" t="n">
        <v>4.5</v>
      </c>
      <c r="F418" s="1" t="n">
        <v>11.2</v>
      </c>
      <c r="G418" s="1" t="n">
        <f aca="false">G417+D418</f>
        <v>1491.4</v>
      </c>
      <c r="H418" s="1" t="n">
        <f aca="false">H417+D418</f>
        <v>255.5</v>
      </c>
      <c r="J418" s="1" t="n">
        <v>0</v>
      </c>
      <c r="K418" s="1" t="n">
        <f aca="false">K417+J418</f>
        <v>251.1</v>
      </c>
      <c r="L418" s="1" t="n">
        <v>1</v>
      </c>
      <c r="M418" s="1" t="n">
        <f aca="false">M417+L418</f>
        <v>246.9</v>
      </c>
      <c r="N418" s="1" t="n">
        <v>-1</v>
      </c>
      <c r="O418" s="1" t="n">
        <f aca="false">O417+N418</f>
        <v>67.4999999999999</v>
      </c>
      <c r="P418" s="6" t="n">
        <v>163</v>
      </c>
      <c r="Q418" s="18" t="n">
        <f aca="false">1+((P418-120)/73)*(1.15-1)</f>
        <v>1.08835616438356</v>
      </c>
      <c r="R418" s="16" t="n">
        <f aca="false">Q418*L418</f>
        <v>1.08835616438356</v>
      </c>
      <c r="S418" s="16" t="n">
        <f aca="false">J418-R418</f>
        <v>-1.08835616438356</v>
      </c>
      <c r="T418" s="17" t="n">
        <f aca="false">T417+S418</f>
        <v>84.2870058708415</v>
      </c>
      <c r="V418" s="1" t="n">
        <v>636.7</v>
      </c>
      <c r="X418" s="1" t="n">
        <f aca="false">X417+V418</f>
        <v>117623.5</v>
      </c>
      <c r="Y418" s="1" t="n">
        <f aca="false">Y417+V418</f>
        <v>27119</v>
      </c>
      <c r="AA418" s="1" t="n">
        <v>10.5575564448635</v>
      </c>
    </row>
    <row r="419" s="1" customFormat="true" ht="15" hidden="false" customHeight="false" outlineLevel="0" collapsed="false">
      <c r="A419" s="35"/>
      <c r="B419" s="2"/>
      <c r="C419" s="8" t="n">
        <v>40592</v>
      </c>
      <c r="D419" s="1" t="n">
        <v>9.2</v>
      </c>
      <c r="E419" s="1" t="n">
        <v>7.8</v>
      </c>
      <c r="F419" s="1" t="n">
        <v>13.8</v>
      </c>
      <c r="G419" s="1" t="n">
        <f aca="false">G418+D419</f>
        <v>1500.6</v>
      </c>
      <c r="H419" s="1" t="n">
        <f aca="false">H418+D419</f>
        <v>264.7</v>
      </c>
      <c r="J419" s="1" t="n">
        <v>0</v>
      </c>
      <c r="K419" s="1" t="n">
        <f aca="false">K418+J419</f>
        <v>251.1</v>
      </c>
      <c r="L419" s="1" t="n">
        <v>2.3</v>
      </c>
      <c r="M419" s="1" t="n">
        <f aca="false">M418+L419</f>
        <v>249.2</v>
      </c>
      <c r="N419" s="1" t="n">
        <v>-2.3</v>
      </c>
      <c r="O419" s="1" t="n">
        <f aca="false">O418+N419</f>
        <v>65.2</v>
      </c>
      <c r="P419" s="6" t="n">
        <v>164</v>
      </c>
      <c r="Q419" s="18" t="n">
        <f aca="false">1+((P419-120)/73)*(1.15-1)</f>
        <v>1.09041095890411</v>
      </c>
      <c r="R419" s="16" t="n">
        <f aca="false">Q419*L419</f>
        <v>2.50794520547945</v>
      </c>
      <c r="S419" s="16" t="n">
        <f aca="false">J419-R419</f>
        <v>-2.50794520547945</v>
      </c>
      <c r="T419" s="17" t="n">
        <f aca="false">T418+S419</f>
        <v>81.779060665362</v>
      </c>
      <c r="V419" s="1" t="n">
        <v>1084.7</v>
      </c>
      <c r="X419" s="1" t="n">
        <f aca="false">X418+V419</f>
        <v>118708.2</v>
      </c>
      <c r="Y419" s="1" t="n">
        <f aca="false">Y418+V419</f>
        <v>28203.7</v>
      </c>
      <c r="AA419" s="1" t="n">
        <v>10.6048279266671</v>
      </c>
    </row>
    <row r="420" s="1" customFormat="true" ht="15" hidden="false" customHeight="false" outlineLevel="0" collapsed="false">
      <c r="A420" s="35"/>
      <c r="B420" s="2"/>
      <c r="C420" s="8" t="n">
        <v>40593</v>
      </c>
      <c r="D420" s="1" t="n">
        <v>7.7</v>
      </c>
      <c r="E420" s="1" t="n">
        <v>2.2</v>
      </c>
      <c r="F420" s="1" t="n">
        <v>13.5</v>
      </c>
      <c r="G420" s="1" t="n">
        <f aca="false">G419+D420</f>
        <v>1508.3</v>
      </c>
      <c r="H420" s="1" t="n">
        <f aca="false">H419+D420</f>
        <v>272.4</v>
      </c>
      <c r="J420" s="1" t="n">
        <v>3.2</v>
      </c>
      <c r="K420" s="1" t="n">
        <f aca="false">K419+J420</f>
        <v>254.3</v>
      </c>
      <c r="L420" s="1" t="n">
        <v>0.7</v>
      </c>
      <c r="M420" s="1" t="n">
        <f aca="false">M419+L420</f>
        <v>249.9</v>
      </c>
      <c r="N420" s="1" t="n">
        <v>2.5</v>
      </c>
      <c r="O420" s="1" t="n">
        <f aca="false">O419+N420</f>
        <v>67.7</v>
      </c>
      <c r="P420" s="6" t="n">
        <v>165</v>
      </c>
      <c r="Q420" s="18" t="n">
        <f aca="false">1+((P420-120)/73)*(1.15-1)</f>
        <v>1.09246575342466</v>
      </c>
      <c r="R420" s="16" t="n">
        <f aca="false">Q420*L420</f>
        <v>0.76472602739726</v>
      </c>
      <c r="S420" s="16" t="n">
        <f aca="false">J420-R420</f>
        <v>2.43527397260274</v>
      </c>
      <c r="T420" s="17" t="n">
        <f aca="false">T419+S420</f>
        <v>84.2143346379647</v>
      </c>
      <c r="V420" s="1" t="n">
        <v>382.3</v>
      </c>
      <c r="X420" s="1" t="n">
        <f aca="false">X419+V420</f>
        <v>119090.5</v>
      </c>
      <c r="Y420" s="1" t="n">
        <f aca="false">Y419+V420</f>
        <v>28586</v>
      </c>
      <c r="AA420" s="1" t="n">
        <v>10.6523541314681</v>
      </c>
    </row>
    <row r="421" s="1" customFormat="true" ht="15" hidden="false" customHeight="false" outlineLevel="0" collapsed="false">
      <c r="A421" s="35"/>
      <c r="B421" s="2"/>
      <c r="C421" s="8" t="n">
        <v>40594</v>
      </c>
      <c r="D421" s="1" t="n">
        <v>9</v>
      </c>
      <c r="E421" s="1" t="n">
        <v>8.2</v>
      </c>
      <c r="F421" s="1" t="n">
        <v>11.4</v>
      </c>
      <c r="G421" s="1" t="n">
        <f aca="false">G420+D421</f>
        <v>1517.3</v>
      </c>
      <c r="H421" s="1" t="n">
        <f aca="false">H420+D421</f>
        <v>281.4</v>
      </c>
      <c r="J421" s="1" t="n">
        <v>0.3</v>
      </c>
      <c r="K421" s="1" t="n">
        <f aca="false">K420+J421</f>
        <v>254.6</v>
      </c>
      <c r="L421" s="1" t="n">
        <v>1.5</v>
      </c>
      <c r="M421" s="1" t="n">
        <f aca="false">M420+L421</f>
        <v>251.4</v>
      </c>
      <c r="N421" s="1" t="n">
        <v>-1.2</v>
      </c>
      <c r="O421" s="1" t="n">
        <f aca="false">O420+N421</f>
        <v>66.4999999999999</v>
      </c>
      <c r="P421" s="6" t="n">
        <v>166</v>
      </c>
      <c r="Q421" s="18" t="n">
        <f aca="false">1+((P421-120)/73)*(1.15-1)</f>
        <v>1.09452054794521</v>
      </c>
      <c r="R421" s="16" t="n">
        <f aca="false">Q421*L421</f>
        <v>1.64178082191781</v>
      </c>
      <c r="S421" s="16" t="n">
        <f aca="false">J421-R421</f>
        <v>-1.34178082191781</v>
      </c>
      <c r="T421" s="17" t="n">
        <f aca="false">T420+S421</f>
        <v>82.8725538160469</v>
      </c>
      <c r="V421" s="1" t="n">
        <v>1020.1</v>
      </c>
      <c r="X421" s="1" t="n">
        <f aca="false">X420+V421</f>
        <v>120110.6</v>
      </c>
      <c r="Y421" s="1" t="n">
        <f aca="false">Y420+V421</f>
        <v>29606.1</v>
      </c>
      <c r="AA421" s="1" t="n">
        <v>10.7001215829912</v>
      </c>
    </row>
    <row r="422" s="1" customFormat="true" ht="15" hidden="false" customHeight="false" outlineLevel="0" collapsed="false">
      <c r="A422" s="35"/>
      <c r="B422" s="2"/>
      <c r="C422" s="8" t="n">
        <v>40595</v>
      </c>
      <c r="D422" s="1" t="n">
        <v>9</v>
      </c>
      <c r="E422" s="1" t="n">
        <v>4.2</v>
      </c>
      <c r="F422" s="1" t="n">
        <v>11.5</v>
      </c>
      <c r="G422" s="1" t="n">
        <f aca="false">G421+D422</f>
        <v>1526.3</v>
      </c>
      <c r="H422" s="1" t="n">
        <f aca="false">H421+D422</f>
        <v>290.4</v>
      </c>
      <c r="J422" s="1" t="n">
        <v>12.6</v>
      </c>
      <c r="K422" s="1" t="n">
        <f aca="false">K421+J422</f>
        <v>267.2</v>
      </c>
      <c r="L422" s="1" t="n">
        <v>0.8</v>
      </c>
      <c r="M422" s="1" t="n">
        <f aca="false">M421+L422</f>
        <v>252.2</v>
      </c>
      <c r="N422" s="1" t="n">
        <v>11.8</v>
      </c>
      <c r="O422" s="1" t="n">
        <f aca="false">O421+N422</f>
        <v>78.2999999999999</v>
      </c>
      <c r="P422" s="6" t="n">
        <v>167</v>
      </c>
      <c r="Q422" s="18" t="n">
        <f aca="false">1+((P422-120)/73)*(1.15-1)</f>
        <v>1.09657534246575</v>
      </c>
      <c r="R422" s="16" t="n">
        <f aca="false">Q422*L422</f>
        <v>0.877260273972603</v>
      </c>
      <c r="S422" s="16" t="n">
        <f aca="false">J422-R422</f>
        <v>11.7227397260274</v>
      </c>
      <c r="T422" s="17" t="n">
        <f aca="false">T421+S422</f>
        <v>94.5952935420743</v>
      </c>
      <c r="V422" s="1" t="n">
        <v>523.7</v>
      </c>
      <c r="X422" s="1" t="n">
        <f aca="false">X421+V422</f>
        <v>120634.3</v>
      </c>
      <c r="Y422" s="1" t="n">
        <f aca="false">Y421+V422</f>
        <v>30129.8</v>
      </c>
      <c r="AA422" s="1" t="n">
        <v>10.7481172528709</v>
      </c>
    </row>
    <row r="423" s="1" customFormat="true" ht="15" hidden="false" customHeight="false" outlineLevel="0" collapsed="false">
      <c r="A423" s="35"/>
      <c r="B423" s="2"/>
      <c r="C423" s="8" t="n">
        <v>40596</v>
      </c>
      <c r="D423" s="1" t="n">
        <v>8.9</v>
      </c>
      <c r="E423" s="1" t="n">
        <v>7.7</v>
      </c>
      <c r="F423" s="1" t="n">
        <v>10</v>
      </c>
      <c r="G423" s="1" t="n">
        <f aca="false">G422+D423</f>
        <v>1535.2</v>
      </c>
      <c r="H423" s="1" t="n">
        <f aca="false">H422+D423</f>
        <v>299.3</v>
      </c>
      <c r="J423" s="1" t="n">
        <v>2.5</v>
      </c>
      <c r="K423" s="1" t="n">
        <f aca="false">K422+J423</f>
        <v>269.7</v>
      </c>
      <c r="L423" s="1" t="n">
        <v>0.6</v>
      </c>
      <c r="M423" s="1" t="n">
        <f aca="false">M422+L423</f>
        <v>252.8</v>
      </c>
      <c r="N423" s="1" t="n">
        <v>1.9</v>
      </c>
      <c r="O423" s="1" t="n">
        <f aca="false">O422+N423</f>
        <v>80.2</v>
      </c>
      <c r="P423" s="6" t="n">
        <v>168</v>
      </c>
      <c r="Q423" s="18" t="n">
        <f aca="false">1+((P423-120)/73)*(1.15-1)</f>
        <v>1.0986301369863</v>
      </c>
      <c r="R423" s="16" t="n">
        <f aca="false">Q423*L423</f>
        <v>0.659178082191781</v>
      </c>
      <c r="S423" s="16" t="n">
        <f aca="false">J423-R423</f>
        <v>1.84082191780822</v>
      </c>
      <c r="T423" s="17" t="n">
        <f aca="false">T422+S423</f>
        <v>96.4361154598825</v>
      </c>
      <c r="V423" s="1" t="n">
        <v>167.6</v>
      </c>
      <c r="X423" s="1" t="n">
        <f aca="false">X422+V423</f>
        <v>120801.9</v>
      </c>
      <c r="Y423" s="1" t="n">
        <f aca="false">Y422+V423</f>
        <v>30297.4</v>
      </c>
      <c r="AA423" s="1" t="n">
        <v>10.7963285506172</v>
      </c>
    </row>
    <row r="424" s="1" customFormat="true" ht="15" hidden="false" customHeight="false" outlineLevel="0" collapsed="false">
      <c r="A424" s="35"/>
      <c r="B424" s="2"/>
      <c r="C424" s="8" t="n">
        <v>40597</v>
      </c>
      <c r="D424" s="1" t="n">
        <v>9.4</v>
      </c>
      <c r="E424" s="1" t="n">
        <v>6.6</v>
      </c>
      <c r="F424" s="1" t="n">
        <v>11.1</v>
      </c>
      <c r="G424" s="1" t="n">
        <f aca="false">G423+D424</f>
        <v>1544.6</v>
      </c>
      <c r="H424" s="1" t="n">
        <f aca="false">H423+D424</f>
        <v>308.7</v>
      </c>
      <c r="J424" s="1" t="n">
        <v>0.9</v>
      </c>
      <c r="K424" s="1" t="n">
        <f aca="false">K423+J424</f>
        <v>270.6</v>
      </c>
      <c r="L424" s="1" t="n">
        <v>1</v>
      </c>
      <c r="M424" s="1" t="n">
        <f aca="false">M423+L424</f>
        <v>253.8</v>
      </c>
      <c r="N424" s="1" t="n">
        <v>-0.1</v>
      </c>
      <c r="O424" s="1" t="n">
        <f aca="false">O423+N424</f>
        <v>80.1</v>
      </c>
      <c r="P424" s="6" t="n">
        <v>169</v>
      </c>
      <c r="Q424" s="18" t="n">
        <f aca="false">1+((P424-120)/73)*(1.15-1)</f>
        <v>1.10068493150685</v>
      </c>
      <c r="R424" s="16" t="n">
        <f aca="false">Q424*L424</f>
        <v>1.10068493150685</v>
      </c>
      <c r="S424" s="16" t="n">
        <f aca="false">J424-R424</f>
        <v>-0.200684931506849</v>
      </c>
      <c r="T424" s="17" t="n">
        <f aca="false">T423+S424</f>
        <v>96.2354305283757</v>
      </c>
      <c r="V424" s="1" t="n">
        <v>681.3</v>
      </c>
      <c r="X424" s="1" t="n">
        <f aca="false">X423+V424</f>
        <v>121483.2</v>
      </c>
      <c r="Y424" s="1" t="n">
        <f aca="false">Y423+V424</f>
        <v>30978.7</v>
      </c>
      <c r="AA424" s="1" t="n">
        <v>10.8447433128613</v>
      </c>
    </row>
    <row r="425" s="1" customFormat="true" ht="15" hidden="false" customHeight="false" outlineLevel="0" collapsed="false">
      <c r="A425" s="35"/>
      <c r="B425" s="2"/>
      <c r="C425" s="8" t="n">
        <v>40598</v>
      </c>
      <c r="D425" s="1" t="n">
        <v>11.8</v>
      </c>
      <c r="E425" s="1" t="n">
        <v>10.2</v>
      </c>
      <c r="F425" s="1" t="n">
        <v>14.3</v>
      </c>
      <c r="G425" s="1" t="n">
        <f aca="false">G424+D425</f>
        <v>1556.4</v>
      </c>
      <c r="H425" s="1" t="n">
        <f aca="false">H424+D425</f>
        <v>320.5</v>
      </c>
      <c r="J425" s="1" t="n">
        <v>0.7</v>
      </c>
      <c r="K425" s="1" t="n">
        <f aca="false">K424+J425</f>
        <v>271.3</v>
      </c>
      <c r="L425" s="1" t="n">
        <v>1.4</v>
      </c>
      <c r="M425" s="1" t="n">
        <f aca="false">M424+L425</f>
        <v>255.2</v>
      </c>
      <c r="N425" s="1" t="n">
        <v>-0.7</v>
      </c>
      <c r="O425" s="1" t="n">
        <f aca="false">O424+N425</f>
        <v>79.4</v>
      </c>
      <c r="P425" s="6" t="n">
        <v>170</v>
      </c>
      <c r="Q425" s="18" t="n">
        <f aca="false">1+((P425-120)/73)*(1.15-1)</f>
        <v>1.1027397260274</v>
      </c>
      <c r="R425" s="16" t="n">
        <f aca="false">Q425*L425</f>
        <v>1.54383561643836</v>
      </c>
      <c r="S425" s="16" t="n">
        <f aca="false">J425-R425</f>
        <v>-0.843835616438356</v>
      </c>
      <c r="T425" s="17" t="n">
        <f aca="false">T424+S425</f>
        <v>95.3915949119374</v>
      </c>
      <c r="V425" s="1" t="n">
        <v>682.6</v>
      </c>
      <c r="X425" s="1" t="n">
        <f aca="false">X424+V425</f>
        <v>122165.8</v>
      </c>
      <c r="Y425" s="1" t="n">
        <f aca="false">Y424+V425</f>
        <v>31661.3</v>
      </c>
      <c r="AA425" s="1" t="n">
        <v>10.8933497919536</v>
      </c>
    </row>
    <row r="426" s="1" customFormat="true" ht="15" hidden="false" customHeight="false" outlineLevel="0" collapsed="false">
      <c r="A426" s="35"/>
      <c r="B426" s="2"/>
      <c r="C426" s="8" t="n">
        <v>40599</v>
      </c>
      <c r="D426" s="1" t="n">
        <v>11.2</v>
      </c>
      <c r="E426" s="1" t="n">
        <v>10.6</v>
      </c>
      <c r="F426" s="1" t="n">
        <v>13.7</v>
      </c>
      <c r="G426" s="1" t="n">
        <f aca="false">G425+D426</f>
        <v>1567.6</v>
      </c>
      <c r="H426" s="1" t="n">
        <f aca="false">H425+D426</f>
        <v>331.7</v>
      </c>
      <c r="J426" s="1" t="n">
        <v>0</v>
      </c>
      <c r="K426" s="1" t="n">
        <f aca="false">K425+J426</f>
        <v>271.3</v>
      </c>
      <c r="L426" s="1" t="n">
        <v>1.6</v>
      </c>
      <c r="M426" s="1" t="n">
        <f aca="false">M425+L426</f>
        <v>256.8</v>
      </c>
      <c r="N426" s="1" t="n">
        <v>-1.6</v>
      </c>
      <c r="O426" s="1" t="n">
        <f aca="false">O425+N426</f>
        <v>77.8</v>
      </c>
      <c r="P426" s="6" t="n">
        <v>171</v>
      </c>
      <c r="Q426" s="18" t="n">
        <f aca="false">1+((P426-120)/73)*(1.15-1)</f>
        <v>1.10479452054795</v>
      </c>
      <c r="R426" s="16" t="n">
        <f aca="false">Q426*L426</f>
        <v>1.76767123287671</v>
      </c>
      <c r="S426" s="16" t="n">
        <f aca="false">J426-R426</f>
        <v>-1.76767123287671</v>
      </c>
      <c r="T426" s="17" t="n">
        <f aca="false">T425+S426</f>
        <v>93.6239236790606</v>
      </c>
      <c r="V426" s="1" t="n">
        <v>658.3</v>
      </c>
      <c r="X426" s="1" t="n">
        <f aca="false">X425+V426</f>
        <v>122824.1</v>
      </c>
      <c r="Y426" s="1" t="n">
        <f aca="false">Y425+V426</f>
        <v>32319.6</v>
      </c>
      <c r="AA426" s="1" t="n">
        <v>10.942136643984</v>
      </c>
      <c r="AB426" s="37" t="s">
        <v>71</v>
      </c>
    </row>
    <row r="427" s="1" customFormat="true" ht="15" hidden="false" customHeight="false" outlineLevel="0" collapsed="false">
      <c r="A427" s="35"/>
      <c r="B427" s="2"/>
      <c r="C427" s="8" t="n">
        <v>40600</v>
      </c>
      <c r="D427" s="1" t="n">
        <v>9.5</v>
      </c>
      <c r="E427" s="1" t="n">
        <v>5.6</v>
      </c>
      <c r="F427" s="1" t="n">
        <v>13.8</v>
      </c>
      <c r="G427" s="1" t="n">
        <f aca="false">G426+D427</f>
        <v>1577.1</v>
      </c>
      <c r="H427" s="1" t="n">
        <f aca="false">H426+D427</f>
        <v>341.2</v>
      </c>
      <c r="J427" s="1" t="n">
        <v>3</v>
      </c>
      <c r="K427" s="1" t="n">
        <f aca="false">K426+J427</f>
        <v>274.3</v>
      </c>
      <c r="L427" s="1" t="n">
        <v>1</v>
      </c>
      <c r="M427" s="1" t="n">
        <f aca="false">M426+L427</f>
        <v>257.8</v>
      </c>
      <c r="N427" s="1" t="n">
        <v>2</v>
      </c>
      <c r="O427" s="1" t="n">
        <f aca="false">O426+N427</f>
        <v>79.8</v>
      </c>
      <c r="P427" s="6" t="n">
        <v>172</v>
      </c>
      <c r="Q427" s="18" t="n">
        <f aca="false">1+((P427-120)/73)*(1.15-1)</f>
        <v>1.10684931506849</v>
      </c>
      <c r="R427" s="16" t="n">
        <f aca="false">Q427*L427</f>
        <v>1.10684931506849</v>
      </c>
      <c r="S427" s="16" t="n">
        <f aca="false">J427-R427</f>
        <v>1.89315068493151</v>
      </c>
      <c r="T427" s="17" t="n">
        <f aca="false">T426+S427</f>
        <v>95.5170743639922</v>
      </c>
      <c r="V427" s="1" t="n">
        <v>298.8</v>
      </c>
      <c r="X427" s="1" t="n">
        <f aca="false">X426+V427</f>
        <v>123122.9</v>
      </c>
      <c r="Y427" s="1" t="n">
        <f aca="false">Y426+V427</f>
        <v>32618.4</v>
      </c>
      <c r="AA427" s="1" t="n">
        <v>10.9910929162871</v>
      </c>
      <c r="AB427" s="16" t="n">
        <f aca="false">AVERAGE(T436:T449)</f>
        <v>75.8025097847358</v>
      </c>
    </row>
    <row r="428" s="1" customFormat="true" ht="15" hidden="false" customHeight="false" outlineLevel="0" collapsed="false">
      <c r="A428" s="35"/>
      <c r="B428" s="2"/>
      <c r="C428" s="8" t="n">
        <v>40601</v>
      </c>
      <c r="D428" s="1" t="n">
        <v>7.4</v>
      </c>
      <c r="E428" s="1" t="n">
        <v>6.6</v>
      </c>
      <c r="F428" s="1" t="n">
        <v>9.6</v>
      </c>
      <c r="G428" s="1" t="n">
        <f aca="false">G427+D428</f>
        <v>1584.5</v>
      </c>
      <c r="H428" s="1" t="n">
        <f aca="false">H427+D428</f>
        <v>348.6</v>
      </c>
      <c r="J428" s="1" t="n">
        <v>2.6</v>
      </c>
      <c r="K428" s="1" t="n">
        <f aca="false">K427+J428</f>
        <v>276.9</v>
      </c>
      <c r="L428" s="1" t="n">
        <v>1.7</v>
      </c>
      <c r="M428" s="1" t="n">
        <f aca="false">M427+L428</f>
        <v>259.5</v>
      </c>
      <c r="N428" s="1" t="n">
        <v>0.9</v>
      </c>
      <c r="O428" s="1" t="n">
        <f aca="false">O427+N428</f>
        <v>80.7</v>
      </c>
      <c r="P428" s="6" t="n">
        <v>173</v>
      </c>
      <c r="Q428" s="18" t="n">
        <f aca="false">1+((P428-120)/73)*(1.15-1)</f>
        <v>1.10890410958904</v>
      </c>
      <c r="R428" s="16" t="n">
        <f aca="false">Q428*L428</f>
        <v>1.88513698630137</v>
      </c>
      <c r="S428" s="16" t="n">
        <f aca="false">J428-R428</f>
        <v>0.71486301369863</v>
      </c>
      <c r="T428" s="17" t="n">
        <f aca="false">T427+S428</f>
        <v>96.2319373776908</v>
      </c>
      <c r="V428" s="1" t="n">
        <v>1030.9</v>
      </c>
      <c r="X428" s="1" t="n">
        <f aca="false">X427+V428</f>
        <v>124153.8</v>
      </c>
      <c r="Y428" s="1" t="n">
        <f aca="false">Y427+V428</f>
        <v>33649.3</v>
      </c>
      <c r="AA428" s="1" t="n">
        <v>11.0402080344946</v>
      </c>
      <c r="AB428" s="37" t="s">
        <v>52</v>
      </c>
    </row>
    <row r="429" s="1" customFormat="true" ht="15" hidden="false" customHeight="false" outlineLevel="0" collapsed="false">
      <c r="A429" s="35"/>
      <c r="B429" s="2"/>
      <c r="C429" s="8" t="n">
        <v>40602</v>
      </c>
      <c r="D429" s="1" t="n">
        <v>6.4</v>
      </c>
      <c r="E429" s="1" t="n">
        <v>4.1</v>
      </c>
      <c r="F429" s="1" t="n">
        <v>9</v>
      </c>
      <c r="G429" s="1" t="n">
        <f aca="false">G428+D429</f>
        <v>1590.9</v>
      </c>
      <c r="H429" s="1" t="n">
        <f aca="false">H428+D429</f>
        <v>355</v>
      </c>
      <c r="J429" s="1" t="n">
        <v>0.1</v>
      </c>
      <c r="K429" s="1" t="n">
        <f aca="false">K428+J429</f>
        <v>277</v>
      </c>
      <c r="L429" s="1" t="n">
        <v>1.2</v>
      </c>
      <c r="M429" s="1" t="n">
        <f aca="false">M428+L429</f>
        <v>260.7</v>
      </c>
      <c r="N429" s="1" t="n">
        <v>-1.1</v>
      </c>
      <c r="O429" s="1" t="n">
        <f aca="false">O428+N429</f>
        <v>79.6</v>
      </c>
      <c r="P429" s="6" t="n">
        <v>174</v>
      </c>
      <c r="Q429" s="18" t="n">
        <f aca="false">1+((P429-120)/73)*(1.15-1)</f>
        <v>1.11095890410959</v>
      </c>
      <c r="R429" s="16" t="n">
        <f aca="false">Q429*L429</f>
        <v>1.33315068493151</v>
      </c>
      <c r="S429" s="16" t="n">
        <f aca="false">J429-R429</f>
        <v>-1.23315068493151</v>
      </c>
      <c r="T429" s="17" t="n">
        <f aca="false">T428+S429</f>
        <v>94.9987866927593</v>
      </c>
      <c r="V429" s="1" t="n">
        <v>641.5</v>
      </c>
      <c r="X429" s="1" t="n">
        <f aca="false">X428+V429</f>
        <v>124795.3</v>
      </c>
      <c r="Y429" s="1" t="n">
        <f aca="false">Y428+V429</f>
        <v>34290.8</v>
      </c>
      <c r="AA429" s="1" t="n">
        <v>11.0894717891895</v>
      </c>
      <c r="AB429" s="1" t="n">
        <v>6</v>
      </c>
    </row>
    <row r="430" s="1" customFormat="true" ht="15" hidden="false" customHeight="false" outlineLevel="0" collapsed="false">
      <c r="A430" s="35"/>
      <c r="B430" s="2"/>
      <c r="C430" s="8" t="n">
        <v>40603</v>
      </c>
      <c r="D430" s="1" t="n">
        <v>5</v>
      </c>
      <c r="E430" s="1" t="n">
        <v>3.8</v>
      </c>
      <c r="F430" s="1" t="n">
        <v>5.4</v>
      </c>
      <c r="G430" s="1" t="n">
        <f aca="false">G429+D430</f>
        <v>1595.9</v>
      </c>
      <c r="H430" s="1" t="n">
        <f aca="false">H429+D430</f>
        <v>360</v>
      </c>
      <c r="J430" s="1" t="n">
        <v>0.2</v>
      </c>
      <c r="K430" s="1" t="n">
        <f aca="false">K429+J430</f>
        <v>277.2</v>
      </c>
      <c r="L430" s="1" t="n">
        <v>0.9</v>
      </c>
      <c r="M430" s="1" t="n">
        <f aca="false">M429+L430</f>
        <v>261.6</v>
      </c>
      <c r="N430" s="1" t="n">
        <v>-0.7</v>
      </c>
      <c r="O430" s="1" t="n">
        <f aca="false">O429+N430</f>
        <v>78.9</v>
      </c>
      <c r="P430" s="6" t="n">
        <v>175</v>
      </c>
      <c r="Q430" s="18" t="n">
        <f aca="false">1+((P430-120)/73)*(1.15-1)</f>
        <v>1.11301369863014</v>
      </c>
      <c r="R430" s="16" t="n">
        <f aca="false">Q430*L430</f>
        <v>1.00171232876712</v>
      </c>
      <c r="S430" s="16" t="n">
        <f aca="false">J430-R430</f>
        <v>-0.801712328767123</v>
      </c>
      <c r="T430" s="17" t="n">
        <f aca="false">T429+S430</f>
        <v>94.1970743639922</v>
      </c>
      <c r="V430" s="1" t="n">
        <v>636.7</v>
      </c>
      <c r="X430" s="1" t="n">
        <f aca="false">X429+V430</f>
        <v>125432</v>
      </c>
      <c r="Y430" s="1" t="n">
        <f aca="false">Y429+V430</f>
        <v>34927.5</v>
      </c>
      <c r="AA430" s="1" t="n">
        <v>11.1388743222142</v>
      </c>
      <c r="AB430" s="37" t="s">
        <v>54</v>
      </c>
    </row>
    <row r="431" s="1" customFormat="true" ht="15" hidden="false" customHeight="false" outlineLevel="0" collapsed="false">
      <c r="A431" s="35"/>
      <c r="B431" s="2"/>
      <c r="C431" s="8" t="n">
        <v>40604</v>
      </c>
      <c r="D431" s="1" t="n">
        <v>5.2</v>
      </c>
      <c r="E431" s="1" t="n">
        <v>5</v>
      </c>
      <c r="F431" s="1" t="n">
        <v>6</v>
      </c>
      <c r="G431" s="1" t="n">
        <f aca="false">G430+D431</f>
        <v>1601.1</v>
      </c>
      <c r="H431" s="1" t="n">
        <f aca="false">H430+D431</f>
        <v>365.2</v>
      </c>
      <c r="J431" s="1" t="n">
        <v>0</v>
      </c>
      <c r="K431" s="1" t="n">
        <f aca="false">K430+J431</f>
        <v>277.2</v>
      </c>
      <c r="L431" s="1" t="n">
        <v>1.1</v>
      </c>
      <c r="M431" s="1" t="n">
        <f aca="false">M430+L431</f>
        <v>262.7</v>
      </c>
      <c r="N431" s="1" t="n">
        <v>-1.1</v>
      </c>
      <c r="O431" s="1" t="n">
        <f aca="false">O430+N431</f>
        <v>77.8</v>
      </c>
      <c r="P431" s="6" t="n">
        <v>176</v>
      </c>
      <c r="Q431" s="18" t="n">
        <f aca="false">1+((P431-120)/73)*(1.15-1)</f>
        <v>1.11506849315069</v>
      </c>
      <c r="R431" s="16" t="n">
        <f aca="false">Q431*L431</f>
        <v>1.22657534246575</v>
      </c>
      <c r="S431" s="16" t="n">
        <f aca="false">J431-R431</f>
        <v>-1.22657534246575</v>
      </c>
      <c r="T431" s="17" t="n">
        <f aca="false">T430+S431</f>
        <v>92.9704990215264</v>
      </c>
      <c r="V431" s="1" t="n">
        <v>868.9</v>
      </c>
      <c r="X431" s="1" t="n">
        <f aca="false">X430+V431</f>
        <v>126300.9</v>
      </c>
      <c r="Y431" s="1" t="n">
        <f aca="false">Y430+V431</f>
        <v>35796.4</v>
      </c>
      <c r="AA431" s="1" t="n">
        <v>11.1884061126811</v>
      </c>
      <c r="AB431" s="1" t="n">
        <v>4</v>
      </c>
    </row>
    <row r="432" s="1" customFormat="true" ht="15" hidden="false" customHeight="false" outlineLevel="0" collapsed="false">
      <c r="A432" s="35"/>
      <c r="B432" s="2"/>
      <c r="C432" s="8" t="n">
        <v>40605</v>
      </c>
      <c r="D432" s="1" t="n">
        <v>4.2</v>
      </c>
      <c r="E432" s="1" t="n">
        <v>3</v>
      </c>
      <c r="F432" s="1" t="n">
        <v>6.1</v>
      </c>
      <c r="G432" s="1" t="n">
        <f aca="false">G431+D432</f>
        <v>1605.3</v>
      </c>
      <c r="H432" s="1" t="n">
        <f aca="false">H431+D432</f>
        <v>369.4</v>
      </c>
      <c r="J432" s="1" t="n">
        <v>0.5</v>
      </c>
      <c r="K432" s="1" t="n">
        <f aca="false">K431+J432</f>
        <v>277.7</v>
      </c>
      <c r="L432" s="1" t="n">
        <v>1.4</v>
      </c>
      <c r="M432" s="1" t="n">
        <f aca="false">M431+L432</f>
        <v>264.1</v>
      </c>
      <c r="N432" s="1" t="n">
        <v>-0.9</v>
      </c>
      <c r="O432" s="1" t="n">
        <f aca="false">O431+N432</f>
        <v>76.9</v>
      </c>
      <c r="P432" s="6" t="n">
        <v>177</v>
      </c>
      <c r="Q432" s="18" t="n">
        <f aca="false">1+((P432-120)/73)*(1.15-1)</f>
        <v>1.11712328767123</v>
      </c>
      <c r="R432" s="16" t="n">
        <f aca="false">Q432*L432</f>
        <v>1.56397260273973</v>
      </c>
      <c r="S432" s="16" t="n">
        <f aca="false">J432-R432</f>
        <v>-1.06397260273973</v>
      </c>
      <c r="T432" s="17" t="n">
        <f aca="false">T431+S432</f>
        <v>91.9065264187867</v>
      </c>
      <c r="V432" s="1" t="n">
        <v>1036.9</v>
      </c>
      <c r="X432" s="1" t="n">
        <f aca="false">X431+V432</f>
        <v>127337.8</v>
      </c>
      <c r="Y432" s="1" t="n">
        <f aca="false">Y431+V432</f>
        <v>36833.3</v>
      </c>
      <c r="AA432" s="1" t="n">
        <v>11.2380579627293</v>
      </c>
      <c r="AB432" s="37" t="s">
        <v>56</v>
      </c>
    </row>
    <row r="433" s="1" customFormat="true" ht="15" hidden="false" customHeight="false" outlineLevel="0" collapsed="false">
      <c r="A433" s="35"/>
      <c r="B433" s="2"/>
      <c r="C433" s="8" t="n">
        <v>40606</v>
      </c>
      <c r="D433" s="1" t="n">
        <v>6.2</v>
      </c>
      <c r="E433" s="1" t="n">
        <v>0</v>
      </c>
      <c r="F433" s="1" t="n">
        <v>13.4</v>
      </c>
      <c r="G433" s="1" t="n">
        <f aca="false">G432+D433</f>
        <v>1611.5</v>
      </c>
      <c r="H433" s="1" t="n">
        <f aca="false">H432+D433</f>
        <v>375.6</v>
      </c>
      <c r="J433" s="1" t="n">
        <v>0</v>
      </c>
      <c r="K433" s="1" t="n">
        <f aca="false">K432+J433</f>
        <v>277.7</v>
      </c>
      <c r="L433" s="1" t="n">
        <v>2.1</v>
      </c>
      <c r="M433" s="1" t="n">
        <f aca="false">M432+L433</f>
        <v>266.2</v>
      </c>
      <c r="N433" s="1" t="n">
        <v>-2.1</v>
      </c>
      <c r="O433" s="1" t="n">
        <f aca="false">O432+N433</f>
        <v>74.8</v>
      </c>
      <c r="P433" s="6" t="n">
        <v>178</v>
      </c>
      <c r="Q433" s="18" t="n">
        <f aca="false">1+((P433-120)/73)*(1.15-1)</f>
        <v>1.11917808219178</v>
      </c>
      <c r="R433" s="16" t="n">
        <f aca="false">Q433*L433</f>
        <v>2.35027397260274</v>
      </c>
      <c r="S433" s="16" t="n">
        <f aca="false">J433-R433</f>
        <v>-2.35027397260274</v>
      </c>
      <c r="T433" s="17" t="n">
        <f aca="false">T432+S433</f>
        <v>89.556252446184</v>
      </c>
      <c r="V433" s="1" t="n">
        <v>1458.2</v>
      </c>
      <c r="X433" s="1" t="n">
        <f aca="false">X432+V433</f>
        <v>128796</v>
      </c>
      <c r="Y433" s="1" t="n">
        <f aca="false">Y432+V433</f>
        <v>38291.5</v>
      </c>
      <c r="AA433" s="1" t="n">
        <v>11.2878209830676</v>
      </c>
      <c r="AB433" s="1" t="n">
        <v>0</v>
      </c>
    </row>
    <row r="434" s="1" customFormat="true" ht="15" hidden="false" customHeight="false" outlineLevel="0" collapsed="false">
      <c r="A434" s="35"/>
      <c r="B434" s="2"/>
      <c r="C434" s="8" t="n">
        <v>40607</v>
      </c>
      <c r="D434" s="1" t="n">
        <v>7.3</v>
      </c>
      <c r="E434" s="1" t="n">
        <v>0.8</v>
      </c>
      <c r="F434" s="1" t="n">
        <v>14.9</v>
      </c>
      <c r="G434" s="1" t="n">
        <f aca="false">G433+D434</f>
        <v>1618.8</v>
      </c>
      <c r="H434" s="1" t="n">
        <f aca="false">H433+D434</f>
        <v>382.9</v>
      </c>
      <c r="J434" s="1" t="n">
        <v>0</v>
      </c>
      <c r="K434" s="1" t="n">
        <f aca="false">K433+J434</f>
        <v>277.7</v>
      </c>
      <c r="L434" s="1" t="n">
        <v>2.3</v>
      </c>
      <c r="M434" s="1" t="n">
        <f aca="false">M433+L434</f>
        <v>268.5</v>
      </c>
      <c r="N434" s="1" t="n">
        <v>-2.3</v>
      </c>
      <c r="O434" s="1" t="n">
        <f aca="false">O433+N434</f>
        <v>72.5</v>
      </c>
      <c r="P434" s="6" t="n">
        <v>179</v>
      </c>
      <c r="Q434" s="18" t="n">
        <f aca="false">1+((P434-120)/73)*(1.15-1)</f>
        <v>1.12123287671233</v>
      </c>
      <c r="R434" s="16" t="n">
        <f aca="false">Q434*L434</f>
        <v>2.57883561643836</v>
      </c>
      <c r="S434" s="16" t="n">
        <f aca="false">J434-R434</f>
        <v>-2.57883561643836</v>
      </c>
      <c r="T434" s="17" t="n">
        <f aca="false">T433+S434</f>
        <v>86.9774168297456</v>
      </c>
      <c r="V434" s="1" t="n">
        <v>1735.3</v>
      </c>
      <c r="X434" s="1" t="n">
        <f aca="false">X433+V434</f>
        <v>130531.3</v>
      </c>
      <c r="Y434" s="1" t="n">
        <f aca="false">Y433+V434</f>
        <v>40026.8</v>
      </c>
      <c r="AA434" s="1" t="n">
        <v>11.3376865783416</v>
      </c>
      <c r="AB434" s="37" t="s">
        <v>58</v>
      </c>
    </row>
    <row r="435" s="1" customFormat="true" ht="15" hidden="false" customHeight="false" outlineLevel="0" collapsed="false">
      <c r="A435" s="35"/>
      <c r="B435" s="2"/>
      <c r="C435" s="8" t="n">
        <v>40608</v>
      </c>
      <c r="D435" s="1" t="n">
        <v>7.1</v>
      </c>
      <c r="E435" s="1" t="n">
        <v>1.2</v>
      </c>
      <c r="F435" s="1" t="n">
        <v>14.4</v>
      </c>
      <c r="G435" s="1" t="n">
        <f aca="false">G434+D435</f>
        <v>1625.9</v>
      </c>
      <c r="H435" s="1" t="n">
        <f aca="false">H434+D435</f>
        <v>390</v>
      </c>
      <c r="J435" s="1" t="n">
        <v>0</v>
      </c>
      <c r="K435" s="1" t="n">
        <f aca="false">K434+J435</f>
        <v>277.7</v>
      </c>
      <c r="L435" s="1" t="n">
        <v>2.3</v>
      </c>
      <c r="M435" s="1" t="n">
        <f aca="false">M434+L435</f>
        <v>270.8</v>
      </c>
      <c r="N435" s="1" t="n">
        <v>-2.3</v>
      </c>
      <c r="O435" s="1" t="n">
        <f aca="false">O434+N435</f>
        <v>70.2</v>
      </c>
      <c r="P435" s="6" t="n">
        <v>180</v>
      </c>
      <c r="Q435" s="18" t="n">
        <f aca="false">1+((P435-120)/73)*(1.15-1)</f>
        <v>1.12328767123288</v>
      </c>
      <c r="R435" s="16" t="n">
        <f aca="false">Q435*L435</f>
        <v>2.58356164383562</v>
      </c>
      <c r="S435" s="16" t="n">
        <f aca="false">J435-R435</f>
        <v>-2.58356164383562</v>
      </c>
      <c r="T435" s="17" t="n">
        <f aca="false">T434+S435</f>
        <v>84.39385518591</v>
      </c>
      <c r="V435" s="1" t="n">
        <v>1768.1</v>
      </c>
      <c r="X435" s="1" t="n">
        <f aca="false">X434+V435</f>
        <v>132299.4</v>
      </c>
      <c r="Y435" s="1" t="n">
        <f aca="false">Y434+V435</f>
        <v>41794.9</v>
      </c>
      <c r="AA435" s="1" t="n">
        <v>11.3876464323572</v>
      </c>
      <c r="AB435" s="1" t="n">
        <f aca="false">SUM(J440:J449)</f>
        <v>20.2</v>
      </c>
    </row>
    <row r="436" s="1" customFormat="true" ht="15" hidden="false" customHeight="false" outlineLevel="0" collapsed="false">
      <c r="A436" s="35"/>
      <c r="B436" s="2"/>
      <c r="C436" s="8" t="n">
        <v>40609</v>
      </c>
      <c r="D436" s="1" t="n">
        <v>8.5</v>
      </c>
      <c r="E436" s="1" t="n">
        <v>0.4</v>
      </c>
      <c r="F436" s="1" t="n">
        <v>16.3</v>
      </c>
      <c r="G436" s="1" t="n">
        <f aca="false">G435+D436</f>
        <v>1634.4</v>
      </c>
      <c r="H436" s="1" t="n">
        <f aca="false">H435+D436</f>
        <v>398.5</v>
      </c>
      <c r="J436" s="38" t="n">
        <v>0</v>
      </c>
      <c r="K436" s="1" t="n">
        <f aca="false">K435+J436</f>
        <v>277.7</v>
      </c>
      <c r="L436" s="1" t="n">
        <v>2.8</v>
      </c>
      <c r="M436" s="1" t="n">
        <f aca="false">M435+L436</f>
        <v>273.6</v>
      </c>
      <c r="N436" s="1" t="n">
        <v>-2.8</v>
      </c>
      <c r="O436" s="1" t="n">
        <f aca="false">O435+N436</f>
        <v>67.4</v>
      </c>
      <c r="P436" s="6" t="n">
        <v>181</v>
      </c>
      <c r="Q436" s="18" t="n">
        <f aca="false">1+((P436-120)/73)*(1.15-1)</f>
        <v>1.12534246575342</v>
      </c>
      <c r="R436" s="16" t="n">
        <f aca="false">Q436*L436</f>
        <v>3.15095890410959</v>
      </c>
      <c r="S436" s="16" t="n">
        <f aca="false">J436-R436</f>
        <v>-3.15095890410959</v>
      </c>
      <c r="T436" s="39" t="n">
        <f aca="false">T435+S436</f>
        <v>81.2428962818004</v>
      </c>
      <c r="V436" s="1" t="n">
        <v>1810.9</v>
      </c>
      <c r="X436" s="1" t="n">
        <f aca="false">X435+V436</f>
        <v>134110.3</v>
      </c>
      <c r="Y436" s="1" t="n">
        <f aca="false">Y435+V436</f>
        <v>43605.8</v>
      </c>
      <c r="AA436" s="1" t="n">
        <v>11.4376924931915</v>
      </c>
    </row>
    <row r="437" s="1" customFormat="true" ht="15" hidden="false" customHeight="false" outlineLevel="0" collapsed="false">
      <c r="A437" s="35"/>
      <c r="B437" s="2"/>
      <c r="C437" s="8" t="n">
        <v>40610</v>
      </c>
      <c r="D437" s="1" t="n">
        <v>10.5</v>
      </c>
      <c r="E437" s="1" t="n">
        <v>9.4</v>
      </c>
      <c r="F437" s="1" t="n">
        <v>13.6</v>
      </c>
      <c r="G437" s="1" t="n">
        <f aca="false">G436+D437</f>
        <v>1644.9</v>
      </c>
      <c r="H437" s="1" t="n">
        <f aca="false">H436+D437</f>
        <v>409</v>
      </c>
      <c r="J437" s="38" t="n">
        <v>0</v>
      </c>
      <c r="K437" s="1" t="n">
        <f aca="false">K436+J437</f>
        <v>277.7</v>
      </c>
      <c r="L437" s="1" t="n">
        <v>3.4</v>
      </c>
      <c r="M437" s="1" t="n">
        <f aca="false">M436+L437</f>
        <v>277</v>
      </c>
      <c r="N437" s="1" t="n">
        <v>-3.4</v>
      </c>
      <c r="O437" s="1" t="n">
        <f aca="false">O436+N437</f>
        <v>64</v>
      </c>
      <c r="P437" s="6" t="n">
        <v>182</v>
      </c>
      <c r="Q437" s="18" t="n">
        <f aca="false">1+((P437-120)/73)*(1.15-1)</f>
        <v>1.12739726027397</v>
      </c>
      <c r="R437" s="16" t="n">
        <f aca="false">Q437*L437</f>
        <v>3.83315068493151</v>
      </c>
      <c r="S437" s="16" t="n">
        <f aca="false">J437-R437</f>
        <v>-3.83315068493151</v>
      </c>
      <c r="T437" s="39" t="n">
        <f aca="false">T436+S437</f>
        <v>77.4097455968689</v>
      </c>
      <c r="V437" s="1" t="n">
        <v>1667.6</v>
      </c>
      <c r="X437" s="1" t="n">
        <f aca="false">X436+V437</f>
        <v>135777.9</v>
      </c>
      <c r="Y437" s="1" t="n">
        <f aca="false">Y436+V437</f>
        <v>45273.4</v>
      </c>
      <c r="AA437" s="1" t="n">
        <v>11.4878169582182</v>
      </c>
    </row>
    <row r="438" s="1" customFormat="true" ht="15" hidden="false" customHeight="false" outlineLevel="0" collapsed="false">
      <c r="A438" s="35"/>
      <c r="B438" s="2"/>
      <c r="C438" s="8" t="n">
        <v>40611</v>
      </c>
      <c r="D438" s="1" t="n">
        <v>10.2</v>
      </c>
      <c r="E438" s="1" t="n">
        <v>7</v>
      </c>
      <c r="F438" s="1" t="n">
        <v>14.7</v>
      </c>
      <c r="G438" s="1" t="n">
        <f aca="false">G437+D438</f>
        <v>1655.1</v>
      </c>
      <c r="H438" s="1" t="n">
        <f aca="false">H437+D438</f>
        <v>419.2</v>
      </c>
      <c r="J438" s="38" t="n">
        <v>0</v>
      </c>
      <c r="K438" s="1" t="n">
        <f aca="false">K437+J438</f>
        <v>277.7</v>
      </c>
      <c r="L438" s="1" t="n">
        <v>2.4</v>
      </c>
      <c r="M438" s="1" t="n">
        <f aca="false">M437+L438</f>
        <v>279.4</v>
      </c>
      <c r="N438" s="1" t="n">
        <v>-2.4</v>
      </c>
      <c r="O438" s="1" t="n">
        <f aca="false">O437+N438</f>
        <v>61.6</v>
      </c>
      <c r="P438" s="6" t="n">
        <v>183</v>
      </c>
      <c r="Q438" s="18" t="n">
        <f aca="false">1+((P438-120)/73)*(1.15-1)</f>
        <v>1.12945205479452</v>
      </c>
      <c r="R438" s="16" t="n">
        <f aca="false">Q438*L438</f>
        <v>2.71068493150685</v>
      </c>
      <c r="S438" s="16" t="n">
        <f aca="false">J438-R438</f>
        <v>-2.71068493150685</v>
      </c>
      <c r="T438" s="39" t="n">
        <f aca="false">T437+S438</f>
        <v>74.699060665362</v>
      </c>
      <c r="V438" s="1" t="n">
        <v>1512.7</v>
      </c>
      <c r="X438" s="1" t="n">
        <f aca="false">X437+V438</f>
        <v>137290.6</v>
      </c>
      <c r="Y438" s="1" t="n">
        <f aca="false">Y437+V438</f>
        <v>46786.1</v>
      </c>
      <c r="AA438" s="1" t="n">
        <v>11.5380122590723</v>
      </c>
    </row>
    <row r="439" s="42" customFormat="true" ht="15" hidden="false" customHeight="false" outlineLevel="0" collapsed="false">
      <c r="A439" s="35"/>
      <c r="B439" s="40" t="s">
        <v>72</v>
      </c>
      <c r="C439" s="41" t="n">
        <v>40612</v>
      </c>
      <c r="D439" s="42" t="n">
        <v>7.5</v>
      </c>
      <c r="E439" s="42" t="n">
        <v>3.5</v>
      </c>
      <c r="F439" s="42" t="n">
        <v>11.6</v>
      </c>
      <c r="G439" s="42" t="n">
        <f aca="false">G438+D439</f>
        <v>1662.6</v>
      </c>
      <c r="H439" s="42" t="n">
        <f aca="false">H438+D439</f>
        <v>426.7</v>
      </c>
      <c r="J439" s="42" t="n">
        <v>0</v>
      </c>
      <c r="K439" s="42" t="n">
        <f aca="false">K438+J439</f>
        <v>277.7</v>
      </c>
      <c r="L439" s="42" t="n">
        <v>1.2</v>
      </c>
      <c r="M439" s="42" t="n">
        <f aca="false">M438+L439</f>
        <v>280.6</v>
      </c>
      <c r="N439" s="42" t="n">
        <v>-1.2</v>
      </c>
      <c r="O439" s="42" t="n">
        <f aca="false">O438+N439</f>
        <v>60.4</v>
      </c>
      <c r="P439" s="43" t="n">
        <v>184</v>
      </c>
      <c r="Q439" s="44" t="n">
        <f aca="false">1+((P439-120)/73)*(1.15-1)</f>
        <v>1.13150684931507</v>
      </c>
      <c r="R439" s="45" t="n">
        <f aca="false">Q439*L439</f>
        <v>1.35780821917808</v>
      </c>
      <c r="S439" s="45" t="n">
        <f aca="false">J439-R439</f>
        <v>-1.35780821917808</v>
      </c>
      <c r="T439" s="46" t="n">
        <f aca="false">T438+S439</f>
        <v>73.3412524461839</v>
      </c>
      <c r="V439" s="42" t="n">
        <v>830.5</v>
      </c>
      <c r="X439" s="42" t="n">
        <f aca="false">X438+V439</f>
        <v>138121.1</v>
      </c>
      <c r="Y439" s="42" t="n">
        <f aca="false">Y438+V439</f>
        <v>47616.6</v>
      </c>
      <c r="AA439" s="42" t="n">
        <v>11.5882710465742</v>
      </c>
    </row>
    <row r="440" s="1" customFormat="true" ht="15" hidden="false" customHeight="false" outlineLevel="0" collapsed="false">
      <c r="A440" s="35"/>
      <c r="B440" s="2"/>
      <c r="C440" s="8" t="n">
        <v>40613</v>
      </c>
      <c r="D440" s="1" t="n">
        <v>8.6</v>
      </c>
      <c r="E440" s="1" t="n">
        <v>1.6</v>
      </c>
      <c r="F440" s="1" t="n">
        <v>14</v>
      </c>
      <c r="G440" s="1" t="n">
        <f aca="false">G439+D440</f>
        <v>1671.2</v>
      </c>
      <c r="H440" s="1" t="n">
        <f aca="false">H439+D440</f>
        <v>435.3</v>
      </c>
      <c r="J440" s="38" t="n">
        <v>0</v>
      </c>
      <c r="K440" s="1" t="n">
        <f aca="false">K439+J440</f>
        <v>277.7</v>
      </c>
      <c r="L440" s="1" t="n">
        <v>2</v>
      </c>
      <c r="M440" s="1" t="n">
        <f aca="false">M439+L440</f>
        <v>282.6</v>
      </c>
      <c r="N440" s="1" t="n">
        <v>-2</v>
      </c>
      <c r="O440" s="1" t="n">
        <f aca="false">O439+N440</f>
        <v>58.4</v>
      </c>
      <c r="P440" s="6" t="n">
        <v>185</v>
      </c>
      <c r="Q440" s="18" t="n">
        <f aca="false">1+((P440-120)/73)*(1.15-1)</f>
        <v>1.13356164383562</v>
      </c>
      <c r="R440" s="16" t="n">
        <f aca="false">Q440*L440</f>
        <v>2.26712328767123</v>
      </c>
      <c r="S440" s="16" t="n">
        <f aca="false">J440-R440</f>
        <v>-2.26712328767123</v>
      </c>
      <c r="T440" s="39" t="n">
        <f aca="false">T439+S440</f>
        <v>71.0741291585127</v>
      </c>
      <c r="V440" s="1" t="n">
        <v>1736.6</v>
      </c>
      <c r="X440" s="1" t="n">
        <f aca="false">X439+V440</f>
        <v>139857.7</v>
      </c>
      <c r="Y440" s="1" t="n">
        <f aca="false">Y439+V440</f>
        <v>49353.2</v>
      </c>
      <c r="AA440" s="1" t="n">
        <v>11.638586175635</v>
      </c>
    </row>
    <row r="441" s="1" customFormat="true" ht="15" hidden="false" customHeight="false" outlineLevel="0" collapsed="false">
      <c r="A441" s="35"/>
      <c r="B441" s="2"/>
      <c r="C441" s="8" t="n">
        <v>40614</v>
      </c>
      <c r="D441" s="1" t="n">
        <v>11.1</v>
      </c>
      <c r="E441" s="1" t="n">
        <v>9</v>
      </c>
      <c r="F441" s="1" t="n">
        <v>11.5</v>
      </c>
      <c r="G441" s="1" t="n">
        <f aca="false">G440+D441</f>
        <v>1682.3</v>
      </c>
      <c r="H441" s="1" t="n">
        <f aca="false">H440+D441</f>
        <v>446.4</v>
      </c>
      <c r="J441" s="38" t="n">
        <v>6</v>
      </c>
      <c r="K441" s="1" t="n">
        <f aca="false">K440+J441</f>
        <v>283.7</v>
      </c>
      <c r="L441" s="1" t="n">
        <v>1.1</v>
      </c>
      <c r="M441" s="1" t="n">
        <f aca="false">M440+L441</f>
        <v>283.7</v>
      </c>
      <c r="N441" s="1" t="n">
        <v>4.9</v>
      </c>
      <c r="O441" s="1" t="n">
        <f aca="false">O440+N441</f>
        <v>63.3</v>
      </c>
      <c r="P441" s="6" t="n">
        <v>186</v>
      </c>
      <c r="Q441" s="18" t="n">
        <f aca="false">1+((P441-120)/73)*(1.15-1)</f>
        <v>1.13561643835616</v>
      </c>
      <c r="R441" s="16" t="n">
        <f aca="false">Q441*L441</f>
        <v>1.24917808219178</v>
      </c>
      <c r="S441" s="16" t="n">
        <f aca="false">J441-R441</f>
        <v>4.75082191780822</v>
      </c>
      <c r="T441" s="39" t="n">
        <f aca="false">T440+S441</f>
        <v>75.8249510763209</v>
      </c>
      <c r="V441" s="1" t="n">
        <v>309.6</v>
      </c>
      <c r="X441" s="1" t="n">
        <f aca="false">X440+V441</f>
        <v>140167.3</v>
      </c>
      <c r="Y441" s="1" t="n">
        <f aca="false">Y440+V441</f>
        <v>49662.8</v>
      </c>
      <c r="AA441" s="1" t="n">
        <v>11.6889506901574</v>
      </c>
    </row>
    <row r="442" s="1" customFormat="true" ht="15" hidden="false" customHeight="false" outlineLevel="0" collapsed="false">
      <c r="A442" s="35"/>
      <c r="B442" s="2"/>
      <c r="C442" s="8" t="n">
        <v>40615</v>
      </c>
      <c r="D442" s="1" t="n">
        <v>12</v>
      </c>
      <c r="E442" s="1" t="n">
        <v>8.5</v>
      </c>
      <c r="F442" s="1" t="n">
        <v>15.8</v>
      </c>
      <c r="G442" s="1" t="n">
        <f aca="false">G441+D442</f>
        <v>1694.3</v>
      </c>
      <c r="H442" s="1" t="n">
        <f aca="false">H441+D442</f>
        <v>458.4</v>
      </c>
      <c r="J442" s="38" t="n">
        <v>0.1</v>
      </c>
      <c r="K442" s="1" t="n">
        <f aca="false">K441+J442</f>
        <v>283.8</v>
      </c>
      <c r="L442" s="1" t="n">
        <v>2</v>
      </c>
      <c r="M442" s="1" t="n">
        <f aca="false">M441+L442</f>
        <v>285.7</v>
      </c>
      <c r="N442" s="1" t="n">
        <v>-1.9</v>
      </c>
      <c r="O442" s="1" t="n">
        <f aca="false">O441+N442</f>
        <v>61.4</v>
      </c>
      <c r="P442" s="6" t="n">
        <v>187</v>
      </c>
      <c r="Q442" s="18" t="n">
        <f aca="false">1+((P442-120)/73)*(1.15-1)</f>
        <v>1.13767123287671</v>
      </c>
      <c r="R442" s="16" t="n">
        <f aca="false">Q442*L442</f>
        <v>2.27534246575342</v>
      </c>
      <c r="S442" s="16" t="n">
        <f aca="false">J442-R442</f>
        <v>-2.17534246575342</v>
      </c>
      <c r="T442" s="39" t="n">
        <f aca="false">T441+S442</f>
        <v>73.6496086105675</v>
      </c>
      <c r="V442" s="1" t="n">
        <v>1177.5</v>
      </c>
      <c r="X442" s="1" t="n">
        <f aca="false">X441+V442</f>
        <v>141344.8</v>
      </c>
      <c r="Y442" s="1" t="n">
        <f aca="false">Y441+V442</f>
        <v>50840.3</v>
      </c>
      <c r="AA442" s="1" t="n">
        <v>11.7393578079484</v>
      </c>
    </row>
    <row r="443" s="1" customFormat="true" ht="15" hidden="false" customHeight="false" outlineLevel="0" collapsed="false">
      <c r="A443" s="35"/>
      <c r="B443" s="2"/>
      <c r="C443" s="8" t="n">
        <v>40616</v>
      </c>
      <c r="D443" s="1" t="n">
        <v>13.1</v>
      </c>
      <c r="E443" s="1" t="n">
        <v>9.7</v>
      </c>
      <c r="F443" s="1" t="n">
        <v>16.6</v>
      </c>
      <c r="G443" s="1" t="n">
        <f aca="false">G442+D443</f>
        <v>1707.4</v>
      </c>
      <c r="H443" s="1" t="n">
        <f aca="false">H442+D443</f>
        <v>471.5</v>
      </c>
      <c r="J443" s="38" t="n">
        <v>0.2</v>
      </c>
      <c r="K443" s="1" t="n">
        <f aca="false">K442+J443</f>
        <v>284</v>
      </c>
      <c r="L443" s="1" t="n">
        <v>2.2</v>
      </c>
      <c r="M443" s="1" t="n">
        <f aca="false">M442+L443</f>
        <v>287.9</v>
      </c>
      <c r="N443" s="1" t="n">
        <v>-2</v>
      </c>
      <c r="O443" s="1" t="n">
        <f aca="false">O442+N443</f>
        <v>59.4</v>
      </c>
      <c r="P443" s="6" t="n">
        <v>188</v>
      </c>
      <c r="Q443" s="18" t="n">
        <f aca="false">1+((P443-120)/73)*(1.15-1)</f>
        <v>1.13972602739726</v>
      </c>
      <c r="R443" s="16" t="n">
        <f aca="false">Q443*L443</f>
        <v>2.50739726027397</v>
      </c>
      <c r="S443" s="16" t="n">
        <f aca="false">J443-R443</f>
        <v>-2.30739726027397</v>
      </c>
      <c r="T443" s="39" t="n">
        <f aca="false">T442+S443</f>
        <v>71.3422113502935</v>
      </c>
      <c r="V443" s="1" t="n">
        <v>805.3</v>
      </c>
      <c r="X443" s="1" t="n">
        <f aca="false">X442+V443</f>
        <v>142150.1</v>
      </c>
      <c r="Y443" s="1" t="n">
        <f aca="false">Y442+V443</f>
        <v>51645.6</v>
      </c>
      <c r="AA443" s="1" t="n">
        <v>11.7898009056566</v>
      </c>
    </row>
    <row r="444" s="1" customFormat="true" ht="15" hidden="false" customHeight="false" outlineLevel="0" collapsed="false">
      <c r="A444" s="35"/>
      <c r="B444" s="2"/>
      <c r="C444" s="8" t="n">
        <v>40617</v>
      </c>
      <c r="D444" s="1" t="n">
        <v>13.2</v>
      </c>
      <c r="E444" s="1" t="n">
        <v>12.8</v>
      </c>
      <c r="F444" s="1" t="n">
        <v>14.7</v>
      </c>
      <c r="G444" s="1" t="n">
        <f aca="false">G443+D444</f>
        <v>1720.6</v>
      </c>
      <c r="H444" s="1" t="n">
        <f aca="false">H443+D444</f>
        <v>484.7</v>
      </c>
      <c r="J444" s="38" t="n">
        <v>9.3</v>
      </c>
      <c r="K444" s="1" t="n">
        <f aca="false">K443+J444</f>
        <v>293.3</v>
      </c>
      <c r="L444" s="1" t="n">
        <v>1.6</v>
      </c>
      <c r="M444" s="1" t="n">
        <f aca="false">M443+L444</f>
        <v>289.5</v>
      </c>
      <c r="N444" s="1" t="n">
        <v>7.7</v>
      </c>
      <c r="O444" s="1" t="n">
        <f aca="false">O443+N444</f>
        <v>67.1</v>
      </c>
      <c r="P444" s="6" t="n">
        <v>189</v>
      </c>
      <c r="Q444" s="18" t="n">
        <f aca="false">1+((P444-120)/73)*(1.15-1)</f>
        <v>1.14178082191781</v>
      </c>
      <c r="R444" s="16" t="n">
        <f aca="false">Q444*L444</f>
        <v>1.82684931506849</v>
      </c>
      <c r="S444" s="16" t="n">
        <f aca="false">J444-R444</f>
        <v>7.47315068493151</v>
      </c>
      <c r="T444" s="39" t="n">
        <f aca="false">T443+S444</f>
        <v>78.815362035225</v>
      </c>
      <c r="V444" s="1" t="n">
        <v>330.5</v>
      </c>
      <c r="X444" s="1" t="n">
        <f aca="false">X443+V444</f>
        <v>142480.6</v>
      </c>
      <c r="Y444" s="1" t="n">
        <f aca="false">Y443+V444</f>
        <v>51976.1</v>
      </c>
      <c r="AA444" s="1" t="n">
        <v>11.8402735037437</v>
      </c>
    </row>
    <row r="445" s="1" customFormat="true" ht="15" hidden="false" customHeight="false" outlineLevel="0" collapsed="false">
      <c r="A445" s="35"/>
      <c r="B445" s="2"/>
      <c r="C445" s="8" t="n">
        <v>40618</v>
      </c>
      <c r="D445" s="1" t="n">
        <v>11.8</v>
      </c>
      <c r="E445" s="1" t="n">
        <v>10.5</v>
      </c>
      <c r="F445" s="1" t="n">
        <v>13.2</v>
      </c>
      <c r="G445" s="1" t="n">
        <f aca="false">G444+D445</f>
        <v>1732.4</v>
      </c>
      <c r="H445" s="1" t="n">
        <f aca="false">H444+D445</f>
        <v>496.5</v>
      </c>
      <c r="J445" s="38" t="n">
        <v>4.5</v>
      </c>
      <c r="K445" s="1" t="n">
        <f aca="false">K444+J445</f>
        <v>297.8</v>
      </c>
      <c r="L445" s="1" t="n">
        <v>0.8</v>
      </c>
      <c r="M445" s="1" t="n">
        <f aca="false">M444+L445</f>
        <v>290.3</v>
      </c>
      <c r="N445" s="1" t="n">
        <v>3.7</v>
      </c>
      <c r="O445" s="1" t="n">
        <f aca="false">O444+N445</f>
        <v>70.8</v>
      </c>
      <c r="P445" s="6" t="n">
        <v>190</v>
      </c>
      <c r="Q445" s="18" t="n">
        <f aca="false">1+((P445-120)/73)*(1.15-1)</f>
        <v>1.14383561643836</v>
      </c>
      <c r="R445" s="16" t="n">
        <f aca="false">Q445*L445</f>
        <v>0.915068493150685</v>
      </c>
      <c r="S445" s="16" t="n">
        <f aca="false">J445-R445</f>
        <v>3.58493150684932</v>
      </c>
      <c r="T445" s="39" t="n">
        <f aca="false">T444+S445</f>
        <v>82.4002935420744</v>
      </c>
      <c r="V445" s="1" t="n">
        <v>351.2</v>
      </c>
      <c r="X445" s="1" t="n">
        <f aca="false">X444+V445</f>
        <v>142831.8</v>
      </c>
      <c r="Y445" s="1" t="n">
        <f aca="false">Y444+V445</f>
        <v>52327.3</v>
      </c>
      <c r="AA445" s="1" t="n">
        <v>11.8907692515022</v>
      </c>
    </row>
    <row r="446" s="49" customFormat="true" ht="15" hidden="false" customHeight="false" outlineLevel="0" collapsed="false">
      <c r="A446" s="35"/>
      <c r="B446" s="47"/>
      <c r="C446" s="48" t="n">
        <v>40619</v>
      </c>
      <c r="D446" s="49" t="n">
        <v>11.2</v>
      </c>
      <c r="E446" s="49" t="n">
        <v>11.1</v>
      </c>
      <c r="F446" s="49" t="n">
        <v>12</v>
      </c>
      <c r="G446" s="49" t="n">
        <f aca="false">G445+D446</f>
        <v>1743.6</v>
      </c>
      <c r="H446" s="49" t="n">
        <f aca="false">H445+D446</f>
        <v>507.7</v>
      </c>
      <c r="J446" s="50" t="n">
        <v>0</v>
      </c>
      <c r="K446" s="49" t="n">
        <f aca="false">K445+J446</f>
        <v>297.8</v>
      </c>
      <c r="L446" s="49" t="n">
        <v>2.3</v>
      </c>
      <c r="M446" s="49" t="n">
        <f aca="false">M445+L446</f>
        <v>292.6</v>
      </c>
      <c r="N446" s="49" t="n">
        <v>-2.3</v>
      </c>
      <c r="O446" s="49" t="n">
        <f aca="false">O445+N446</f>
        <v>68.5</v>
      </c>
      <c r="P446" s="51" t="n">
        <v>191</v>
      </c>
      <c r="Q446" s="18" t="n">
        <f aca="false">1+((P446-120)/73)*(1.15-1)</f>
        <v>1.1458904109589</v>
      </c>
      <c r="R446" s="52" t="n">
        <f aca="false">Q446*L446</f>
        <v>2.63554794520548</v>
      </c>
      <c r="S446" s="16" t="n">
        <f aca="false">J446-R446</f>
        <v>-2.63554794520548</v>
      </c>
      <c r="T446" s="39" t="n">
        <f aca="false">T445+S446</f>
        <v>79.7647455968689</v>
      </c>
      <c r="V446" s="49" t="n">
        <v>1040.2</v>
      </c>
      <c r="X446" s="49" t="n">
        <f aca="false">X445+V446</f>
        <v>143872</v>
      </c>
      <c r="Y446" s="1" t="n">
        <f aca="false">Y445+V446</f>
        <v>53367.5</v>
      </c>
      <c r="AA446" s="49" t="n">
        <v>11.9412819121242</v>
      </c>
    </row>
    <row r="447" s="54" customFormat="true" ht="15" hidden="false" customHeight="true" outlineLevel="0" collapsed="false">
      <c r="A447" s="35"/>
      <c r="B447" s="53"/>
      <c r="C447" s="48" t="n">
        <v>40620</v>
      </c>
      <c r="D447" s="49" t="n">
        <v>11.4</v>
      </c>
      <c r="E447" s="49" t="n">
        <v>7.5</v>
      </c>
      <c r="F447" s="49" t="n">
        <v>15.9</v>
      </c>
      <c r="G447" s="49" t="n">
        <f aca="false">G446+D447</f>
        <v>1755</v>
      </c>
      <c r="H447" s="1" t="n">
        <f aca="false">H446+D447</f>
        <v>519.1</v>
      </c>
      <c r="I447" s="49"/>
      <c r="J447" s="50" t="n">
        <v>0.1</v>
      </c>
      <c r="K447" s="1" t="n">
        <f aca="false">K446+J447</f>
        <v>297.9</v>
      </c>
      <c r="L447" s="49" t="n">
        <v>2.7</v>
      </c>
      <c r="M447" s="1" t="n">
        <f aca="false">M446+L447</f>
        <v>295.3</v>
      </c>
      <c r="N447" s="49" t="n">
        <v>-2.6</v>
      </c>
      <c r="O447" s="1" t="n">
        <f aca="false">O446+N447</f>
        <v>65.9</v>
      </c>
      <c r="P447" s="6" t="n">
        <v>192</v>
      </c>
      <c r="Q447" s="18" t="n">
        <f aca="false">1+((P447-120)/73)*(1.15-1)</f>
        <v>1.14794520547945</v>
      </c>
      <c r="R447" s="16" t="n">
        <f aca="false">Q447*L447</f>
        <v>3.09945205479452</v>
      </c>
      <c r="S447" s="16" t="n">
        <f aca="false">J447-R447</f>
        <v>-2.99945205479452</v>
      </c>
      <c r="T447" s="39" t="n">
        <f aca="false">T446+S447</f>
        <v>76.7652935420744</v>
      </c>
      <c r="U447" s="49"/>
      <c r="V447" s="49" t="n">
        <v>1375.9</v>
      </c>
      <c r="W447" s="49"/>
      <c r="X447" s="1" t="n">
        <f aca="false">X446+V447</f>
        <v>145247.9</v>
      </c>
      <c r="Y447" s="1" t="n">
        <f aca="false">Y446+V447</f>
        <v>54743.4</v>
      </c>
      <c r="Z447" s="49"/>
      <c r="AA447" s="1" t="n">
        <v>11.9918053478304</v>
      </c>
      <c r="AB447" s="49"/>
      <c r="AC447" s="49"/>
      <c r="AD447" s="49"/>
      <c r="AE447" s="49"/>
      <c r="AF447" s="49"/>
      <c r="AG447" s="49"/>
      <c r="AH447" s="49"/>
      <c r="AI447" s="49"/>
      <c r="AJ447" s="49"/>
      <c r="AK447" s="49"/>
      <c r="AL447" s="49"/>
      <c r="AM447" s="49"/>
      <c r="AN447" s="49"/>
      <c r="AO447" s="49"/>
      <c r="AP447" s="49"/>
      <c r="AQ447" s="49"/>
      <c r="AR447" s="49"/>
      <c r="AS447" s="49"/>
      <c r="AT447" s="49"/>
      <c r="AU447" s="49"/>
      <c r="AV447" s="49"/>
      <c r="AW447" s="49"/>
      <c r="AX447" s="49"/>
      <c r="AY447" s="49"/>
      <c r="AZ447" s="49"/>
      <c r="BA447" s="49"/>
      <c r="BB447" s="49"/>
      <c r="BC447" s="49"/>
      <c r="BD447" s="49"/>
      <c r="BE447" s="49"/>
      <c r="BF447" s="49"/>
      <c r="BG447" s="49"/>
      <c r="BH447" s="49"/>
      <c r="BI447" s="49"/>
      <c r="BJ447" s="49"/>
      <c r="BK447" s="49"/>
      <c r="BL447" s="49"/>
      <c r="BM447" s="49"/>
      <c r="BN447" s="49"/>
      <c r="BO447" s="49"/>
      <c r="BP447" s="49"/>
      <c r="BQ447" s="49"/>
      <c r="BR447" s="49"/>
      <c r="BS447" s="49"/>
      <c r="BT447" s="49"/>
      <c r="BU447" s="49"/>
      <c r="BV447" s="49"/>
      <c r="BW447" s="49"/>
      <c r="BX447" s="49"/>
      <c r="BY447" s="49"/>
      <c r="BZ447" s="49"/>
      <c r="CA447" s="49"/>
      <c r="CB447" s="49"/>
      <c r="CC447" s="49"/>
      <c r="CD447" s="49"/>
      <c r="CE447" s="49"/>
      <c r="CF447" s="49"/>
      <c r="CG447" s="49"/>
      <c r="CH447" s="49"/>
      <c r="CI447" s="49"/>
      <c r="CJ447" s="49"/>
      <c r="CK447" s="49"/>
      <c r="CL447" s="49"/>
      <c r="CM447" s="49"/>
      <c r="CN447" s="49"/>
      <c r="CO447" s="49"/>
      <c r="CP447" s="49"/>
      <c r="CQ447" s="49"/>
      <c r="CR447" s="49"/>
      <c r="CS447" s="49"/>
      <c r="CT447" s="49"/>
      <c r="CU447" s="49"/>
      <c r="CV447" s="49"/>
      <c r="CW447" s="49"/>
      <c r="CX447" s="49"/>
      <c r="CY447" s="49"/>
      <c r="CZ447" s="49"/>
      <c r="DA447" s="49"/>
    </row>
    <row r="448" s="31" customFormat="true" ht="15" hidden="false" customHeight="false" outlineLevel="0" collapsed="false">
      <c r="A448" s="35"/>
      <c r="B448" s="29"/>
      <c r="C448" s="30" t="n">
        <v>40621</v>
      </c>
      <c r="D448" s="31" t="n">
        <v>12</v>
      </c>
      <c r="E448" s="31" t="n">
        <v>10</v>
      </c>
      <c r="F448" s="31" t="n">
        <v>15.9</v>
      </c>
      <c r="G448" s="31" t="n">
        <f aca="false">G447+D448</f>
        <v>1767</v>
      </c>
      <c r="H448" s="31" t="n">
        <f aca="false">H447+D448</f>
        <v>531.1</v>
      </c>
      <c r="J448" s="81" t="n">
        <v>0</v>
      </c>
      <c r="K448" s="31" t="n">
        <f aca="false">K447+J448</f>
        <v>297.9</v>
      </c>
      <c r="L448" s="31" t="n">
        <v>2.7</v>
      </c>
      <c r="M448" s="31" t="n">
        <f aca="false">M447+L448</f>
        <v>298</v>
      </c>
      <c r="N448" s="31" t="n">
        <v>-2.7</v>
      </c>
      <c r="O448" s="31" t="n">
        <f aca="false">O447+N448</f>
        <v>63.2</v>
      </c>
      <c r="P448" s="32" t="n">
        <v>193</v>
      </c>
      <c r="Q448" s="82" t="n">
        <f aca="false">1+((P448-120)/73)*(1.15-1)</f>
        <v>1.15</v>
      </c>
      <c r="R448" s="33" t="n">
        <f aca="false">Q448*L448</f>
        <v>3.105</v>
      </c>
      <c r="S448" s="33" t="n">
        <f aca="false">J448-R448</f>
        <v>-3.105</v>
      </c>
      <c r="T448" s="83" t="n">
        <f aca="false">T447+S448</f>
        <v>73.6602935420744</v>
      </c>
      <c r="V448" s="31" t="n">
        <v>1415.9</v>
      </c>
      <c r="X448" s="31" t="n">
        <f aca="false">X447+V448</f>
        <v>146663.8</v>
      </c>
      <c r="Y448" s="31" t="n">
        <f aca="false">Y447+V448</f>
        <v>56159.3</v>
      </c>
      <c r="AA448" s="31" t="n">
        <v>12.0423335050639</v>
      </c>
    </row>
    <row r="449" s="1" customFormat="true" ht="15" hidden="false" customHeight="false" outlineLevel="0" collapsed="false">
      <c r="A449" s="63" t="s">
        <v>64</v>
      </c>
      <c r="C449" s="8" t="n">
        <v>40622</v>
      </c>
      <c r="D449" s="1" t="n">
        <v>10</v>
      </c>
      <c r="E449" s="1" t="n">
        <v>7.2</v>
      </c>
      <c r="F449" s="1" t="n">
        <v>14.9</v>
      </c>
      <c r="G449" s="1" t="n">
        <f aca="false">G448+D449</f>
        <v>1777</v>
      </c>
      <c r="H449" s="1" t="n">
        <v>10</v>
      </c>
      <c r="I449" s="64" t="s">
        <v>30</v>
      </c>
      <c r="J449" s="38" t="n">
        <v>0</v>
      </c>
      <c r="K449" s="1" t="n">
        <f aca="false">K448+J449</f>
        <v>297.9</v>
      </c>
      <c r="L449" s="1" t="n">
        <v>2.1</v>
      </c>
      <c r="M449" s="1" t="n">
        <f aca="false">M448+L449</f>
        <v>300.1</v>
      </c>
      <c r="N449" s="1" t="n">
        <v>-2.1</v>
      </c>
      <c r="O449" s="1" t="n">
        <f aca="false">O448+N449</f>
        <v>61.1</v>
      </c>
      <c r="P449" s="6" t="n">
        <v>194</v>
      </c>
      <c r="Q449" s="49" t="n">
        <v>1.15</v>
      </c>
      <c r="R449" s="16" t="n">
        <f aca="false">Q449*L449</f>
        <v>2.415</v>
      </c>
      <c r="S449" s="16" t="n">
        <f aca="false">J449-R449</f>
        <v>-2.415</v>
      </c>
      <c r="T449" s="39" t="n">
        <f aca="false">T448+S449</f>
        <v>71.2452935420744</v>
      </c>
      <c r="U449" s="64" t="s">
        <v>31</v>
      </c>
      <c r="V449" s="1" t="n">
        <v>1234.9</v>
      </c>
      <c r="X449" s="1" t="n">
        <f aca="false">X448+V449</f>
        <v>147898.7</v>
      </c>
      <c r="Y449" s="1" t="n">
        <v>1234.9</v>
      </c>
      <c r="Z449" s="64" t="s">
        <v>32</v>
      </c>
      <c r="AA449" s="1" t="n">
        <v>12.092860399753</v>
      </c>
    </row>
    <row r="450" s="1" customFormat="true" ht="15" hidden="false" customHeight="false" outlineLevel="0" collapsed="false">
      <c r="A450" s="63"/>
      <c r="C450" s="8" t="n">
        <v>40623</v>
      </c>
      <c r="D450" s="1" t="n">
        <v>9.5</v>
      </c>
      <c r="E450" s="1" t="n">
        <v>3.6</v>
      </c>
      <c r="F450" s="1" t="n">
        <v>15.6</v>
      </c>
      <c r="G450" s="1" t="n">
        <f aca="false">G449+D450</f>
        <v>1786.5</v>
      </c>
      <c r="H450" s="1" t="n">
        <f aca="false">H449+D450</f>
        <v>19.5</v>
      </c>
      <c r="I450" s="1" t="n">
        <f aca="false">MIN(E449:E469)</f>
        <v>3.5</v>
      </c>
      <c r="J450" s="1" t="n">
        <v>0</v>
      </c>
      <c r="K450" s="1" t="n">
        <f aca="false">K449+J450</f>
        <v>297.9</v>
      </c>
      <c r="L450" s="1" t="n">
        <v>2.6</v>
      </c>
      <c r="M450" s="1" t="n">
        <f aca="false">M449+L450</f>
        <v>302.7</v>
      </c>
      <c r="N450" s="1" t="n">
        <v>-2.6</v>
      </c>
      <c r="O450" s="1" t="n">
        <f aca="false">O449+N450</f>
        <v>58.5</v>
      </c>
      <c r="P450" s="6" t="n">
        <v>195</v>
      </c>
      <c r="Q450" s="49" t="n">
        <v>1.15</v>
      </c>
      <c r="R450" s="16" t="n">
        <f aca="false">Q450*L450</f>
        <v>2.99</v>
      </c>
      <c r="S450" s="16" t="n">
        <f aca="false">J450-R450</f>
        <v>-2.99</v>
      </c>
      <c r="T450" s="17" t="n">
        <f aca="false">T449+S450</f>
        <v>68.2552935420744</v>
      </c>
      <c r="U450" s="1" t="n">
        <v>17</v>
      </c>
      <c r="V450" s="1" t="n">
        <v>1808.3</v>
      </c>
      <c r="X450" s="1" t="n">
        <f aca="false">X449+V450</f>
        <v>149707</v>
      </c>
      <c r="Y450" s="1" t="n">
        <f aca="false">Y449+V450</f>
        <v>3043.2</v>
      </c>
      <c r="Z450" s="1" t="n">
        <v>33462.1</v>
      </c>
      <c r="AA450" s="1" t="n">
        <v>12.1433801026478</v>
      </c>
    </row>
    <row r="451" s="1" customFormat="true" ht="15" hidden="false" customHeight="false" outlineLevel="0" collapsed="false">
      <c r="A451" s="63"/>
      <c r="C451" s="8" t="n">
        <v>40624</v>
      </c>
      <c r="D451" s="1" t="n">
        <v>10.5</v>
      </c>
      <c r="E451" s="1" t="n">
        <v>6.3</v>
      </c>
      <c r="F451" s="1" t="n">
        <v>17</v>
      </c>
      <c r="G451" s="1" t="n">
        <f aca="false">G450+D451</f>
        <v>1797</v>
      </c>
      <c r="H451" s="1" t="n">
        <f aca="false">H450+D451</f>
        <v>30</v>
      </c>
      <c r="I451" s="64" t="s">
        <v>33</v>
      </c>
      <c r="J451" s="1" t="n">
        <v>0</v>
      </c>
      <c r="K451" s="1" t="n">
        <f aca="false">K450+J451</f>
        <v>297.9</v>
      </c>
      <c r="L451" s="1" t="n">
        <v>3.8</v>
      </c>
      <c r="M451" s="1" t="n">
        <f aca="false">M450+L451</f>
        <v>306.5</v>
      </c>
      <c r="N451" s="1" t="n">
        <v>-3.8</v>
      </c>
      <c r="O451" s="1" t="n">
        <f aca="false">O450+N451</f>
        <v>54.7</v>
      </c>
      <c r="P451" s="6" t="n">
        <v>196</v>
      </c>
      <c r="Q451" s="49" t="n">
        <v>1.15</v>
      </c>
      <c r="R451" s="16" t="n">
        <f aca="false">Q451*L451</f>
        <v>4.37</v>
      </c>
      <c r="S451" s="16" t="n">
        <f aca="false">J451-R451</f>
        <v>-4.37</v>
      </c>
      <c r="T451" s="17" t="n">
        <f aca="false">T450+S451</f>
        <v>63.8852935420744</v>
      </c>
      <c r="U451" s="64" t="s">
        <v>34</v>
      </c>
      <c r="V451" s="1" t="n">
        <v>1818.1</v>
      </c>
      <c r="X451" s="1" t="n">
        <f aca="false">X450+V451</f>
        <v>151525.1</v>
      </c>
      <c r="Y451" s="1" t="n">
        <f aca="false">Y450+V451</f>
        <v>4861.3</v>
      </c>
      <c r="Z451" s="64" t="s">
        <v>35</v>
      </c>
      <c r="AA451" s="1" t="n">
        <v>12.193886724733</v>
      </c>
    </row>
    <row r="452" s="1" customFormat="true" ht="15" hidden="false" customHeight="false" outlineLevel="0" collapsed="false">
      <c r="A452" s="63"/>
      <c r="C452" s="8" t="n">
        <v>40625</v>
      </c>
      <c r="D452" s="1" t="n">
        <v>11.2</v>
      </c>
      <c r="E452" s="1" t="n">
        <v>3.5</v>
      </c>
      <c r="F452" s="1" t="n">
        <v>18.8</v>
      </c>
      <c r="G452" s="1" t="n">
        <f aca="false">G451+D452</f>
        <v>1808.2</v>
      </c>
      <c r="H452" s="1" t="n">
        <f aca="false">H451+D452</f>
        <v>41.2</v>
      </c>
      <c r="I452" s="1" t="n">
        <f aca="false">MAX(F449:F469)</f>
        <v>28.1</v>
      </c>
      <c r="J452" s="1" t="n">
        <v>0</v>
      </c>
      <c r="K452" s="1" t="n">
        <f aca="false">K451+J452</f>
        <v>297.9</v>
      </c>
      <c r="L452" s="1" t="n">
        <v>4.2</v>
      </c>
      <c r="M452" s="1" t="n">
        <f aca="false">M451+L452</f>
        <v>310.7</v>
      </c>
      <c r="N452" s="1" t="n">
        <v>-4.2</v>
      </c>
      <c r="O452" s="1" t="n">
        <f aca="false">O451+N452</f>
        <v>50.5</v>
      </c>
      <c r="P452" s="6" t="n">
        <v>197</v>
      </c>
      <c r="Q452" s="49" t="n">
        <v>1.15</v>
      </c>
      <c r="R452" s="16" t="n">
        <f aca="false">Q452*L452</f>
        <v>4.83</v>
      </c>
      <c r="S452" s="16" t="n">
        <f aca="false">J452-R452</f>
        <v>-4.83</v>
      </c>
      <c r="T452" s="17" t="n">
        <f aca="false">T451+S452</f>
        <v>59.0552935420744</v>
      </c>
      <c r="U452" s="1" t="n">
        <v>0</v>
      </c>
      <c r="V452" s="1" t="n">
        <v>2130.6</v>
      </c>
      <c r="X452" s="1" t="n">
        <f aca="false">X451+V452</f>
        <v>153655.7</v>
      </c>
      <c r="Y452" s="1" t="n">
        <f aca="false">Y451+V452</f>
        <v>6991.9</v>
      </c>
      <c r="Z452" s="18" t="n">
        <f aca="false">(Z450/100)/I462</f>
        <v>1.20237513474668</v>
      </c>
      <c r="AA452" s="1" t="n">
        <v>12.2443744027198</v>
      </c>
    </row>
    <row r="453" s="1" customFormat="true" ht="15" hidden="false" customHeight="false" outlineLevel="0" collapsed="false">
      <c r="A453" s="63"/>
      <c r="C453" s="8" t="n">
        <v>40626</v>
      </c>
      <c r="D453" s="1" t="n">
        <v>11.8</v>
      </c>
      <c r="E453" s="1" t="n">
        <v>5.4</v>
      </c>
      <c r="F453" s="1" t="n">
        <v>19.5</v>
      </c>
      <c r="G453" s="1" t="n">
        <f aca="false">G452+D453</f>
        <v>1820</v>
      </c>
      <c r="H453" s="1" t="n">
        <f aca="false">H452+D453</f>
        <v>53</v>
      </c>
      <c r="I453" s="64" t="s">
        <v>36</v>
      </c>
      <c r="J453" s="1" t="n">
        <v>0</v>
      </c>
      <c r="K453" s="1" t="n">
        <f aca="false">K452+J453</f>
        <v>297.9</v>
      </c>
      <c r="L453" s="1" t="n">
        <v>4.2</v>
      </c>
      <c r="M453" s="1" t="n">
        <f aca="false">M452+L453</f>
        <v>314.9</v>
      </c>
      <c r="N453" s="1" t="n">
        <v>-4.2</v>
      </c>
      <c r="O453" s="1" t="n">
        <f aca="false">O452+N453</f>
        <v>46.3</v>
      </c>
      <c r="P453" s="6" t="n">
        <v>198</v>
      </c>
      <c r="Q453" s="49" t="n">
        <v>1.15</v>
      </c>
      <c r="R453" s="16" t="n">
        <f aca="false">Q453*L453</f>
        <v>4.83</v>
      </c>
      <c r="S453" s="16" t="n">
        <f aca="false">J453-R453</f>
        <v>-4.83</v>
      </c>
      <c r="T453" s="17" t="n">
        <f aca="false">T452+S453</f>
        <v>54.2252935420744</v>
      </c>
      <c r="U453" s="64" t="s">
        <v>37</v>
      </c>
      <c r="V453" s="1" t="n">
        <v>2107.8</v>
      </c>
      <c r="X453" s="1" t="n">
        <f aca="false">X452+V453</f>
        <v>155763.5</v>
      </c>
      <c r="Y453" s="1" t="n">
        <f aca="false">Y452+V453</f>
        <v>9099.7</v>
      </c>
      <c r="Z453" s="64" t="s">
        <v>38</v>
      </c>
      <c r="AA453" s="1" t="n">
        <v>12.2948372846191</v>
      </c>
    </row>
    <row r="454" s="1" customFormat="true" ht="15" hidden="false" customHeight="false" outlineLevel="0" collapsed="false">
      <c r="A454" s="63" t="s">
        <v>65</v>
      </c>
      <c r="C454" s="8" t="n">
        <v>40627</v>
      </c>
      <c r="D454" s="1" t="n">
        <v>11.4</v>
      </c>
      <c r="E454" s="1" t="n">
        <v>6.7</v>
      </c>
      <c r="F454" s="1" t="n">
        <v>17.9</v>
      </c>
      <c r="G454" s="1" t="n">
        <f aca="false">G453+D454</f>
        <v>1831.4</v>
      </c>
      <c r="H454" s="1" t="n">
        <f aca="false">H453+D454</f>
        <v>64.4</v>
      </c>
      <c r="I454" s="16" t="n">
        <f aca="false">AVERAGE(D449:D469)</f>
        <v>13.252380952381</v>
      </c>
      <c r="J454" s="1" t="n">
        <v>0</v>
      </c>
      <c r="K454" s="1" t="n">
        <f aca="false">K453+J454</f>
        <v>297.9</v>
      </c>
      <c r="L454" s="1" t="n">
        <v>3.2</v>
      </c>
      <c r="M454" s="1" t="n">
        <f aca="false">M453+L454</f>
        <v>318.1</v>
      </c>
      <c r="N454" s="1" t="n">
        <v>-3.2</v>
      </c>
      <c r="O454" s="1" t="n">
        <f aca="false">O453+N454</f>
        <v>43.1</v>
      </c>
      <c r="P454" s="6" t="n">
        <v>199</v>
      </c>
      <c r="Q454" s="49" t="n">
        <v>1.15</v>
      </c>
      <c r="R454" s="16" t="n">
        <f aca="false">Q454*L454</f>
        <v>3.68</v>
      </c>
      <c r="S454" s="16" t="n">
        <f aca="false">J454-R454</f>
        <v>-3.68</v>
      </c>
      <c r="T454" s="17" t="n">
        <f aca="false">T453+S454</f>
        <v>50.5452935420744</v>
      </c>
      <c r="U454" s="1" t="n">
        <v>4</v>
      </c>
      <c r="V454" s="1" t="n">
        <v>1895.4</v>
      </c>
      <c r="X454" s="1" t="n">
        <f aca="false">X453+V454</f>
        <v>157658.9</v>
      </c>
      <c r="Y454" s="1" t="n">
        <f aca="false">Y453+V454</f>
        <v>10995.1</v>
      </c>
      <c r="Z454" s="1" t="n">
        <v>4</v>
      </c>
      <c r="AA454" s="1" t="n">
        <v>12.345269515398</v>
      </c>
    </row>
    <row r="455" s="1" customFormat="true" ht="15" hidden="false" customHeight="false" outlineLevel="0" collapsed="false">
      <c r="A455" s="63"/>
      <c r="C455" s="8" t="n">
        <v>40628</v>
      </c>
      <c r="D455" s="1" t="n">
        <v>13.1</v>
      </c>
      <c r="E455" s="1" t="n">
        <v>6.1</v>
      </c>
      <c r="F455" s="1" t="n">
        <v>20.7</v>
      </c>
      <c r="G455" s="1" t="n">
        <f aca="false">G454+D455</f>
        <v>1844.5</v>
      </c>
      <c r="H455" s="1" t="n">
        <f aca="false">H454+D455</f>
        <v>77.5</v>
      </c>
      <c r="I455" s="64" t="s">
        <v>39</v>
      </c>
      <c r="J455" s="1" t="n">
        <v>0.2</v>
      </c>
      <c r="K455" s="1" t="n">
        <f aca="false">K454+J455</f>
        <v>298.1</v>
      </c>
      <c r="L455" s="1" t="n">
        <v>2.8</v>
      </c>
      <c r="M455" s="1" t="n">
        <f aca="false">M454+L455</f>
        <v>320.9</v>
      </c>
      <c r="N455" s="1" t="n">
        <v>-2.6</v>
      </c>
      <c r="O455" s="1" t="n">
        <f aca="false">O454+N455</f>
        <v>40.5</v>
      </c>
      <c r="P455" s="6" t="n">
        <v>200</v>
      </c>
      <c r="Q455" s="49" t="n">
        <v>1.15</v>
      </c>
      <c r="R455" s="16" t="n">
        <f aca="false">Q455*L455</f>
        <v>3.22</v>
      </c>
      <c r="S455" s="16" t="n">
        <f aca="false">J455-R455</f>
        <v>-3.02</v>
      </c>
      <c r="T455" s="17" t="n">
        <f aca="false">T454+S455</f>
        <v>47.5252935420744</v>
      </c>
      <c r="U455" s="54" t="s">
        <v>40</v>
      </c>
      <c r="V455" s="1" t="n">
        <v>1629.9</v>
      </c>
      <c r="X455" s="1" t="n">
        <f aca="false">X454+V455</f>
        <v>159288.8</v>
      </c>
      <c r="Y455" s="1" t="n">
        <f aca="false">Y454+V455</f>
        <v>12625</v>
      </c>
      <c r="AA455" s="1" t="n">
        <v>12.3956652227219</v>
      </c>
    </row>
    <row r="456" s="1" customFormat="true" ht="15" hidden="false" customHeight="false" outlineLevel="0" collapsed="false">
      <c r="A456" s="63"/>
      <c r="C456" s="8" t="n">
        <v>40629</v>
      </c>
      <c r="D456" s="1" t="n">
        <v>12.8</v>
      </c>
      <c r="E456" s="1" t="n">
        <v>9.7</v>
      </c>
      <c r="F456" s="1" t="n">
        <v>17.2</v>
      </c>
      <c r="G456" s="1" t="n">
        <f aca="false">G455+D456</f>
        <v>1857.3</v>
      </c>
      <c r="H456" s="1" t="n">
        <f aca="false">H455+D456</f>
        <v>90.3</v>
      </c>
      <c r="I456" s="1" t="n">
        <v>0</v>
      </c>
      <c r="J456" s="1" t="n">
        <v>6.7</v>
      </c>
      <c r="K456" s="1" t="n">
        <f aca="false">K455+J456</f>
        <v>304.8</v>
      </c>
      <c r="L456" s="1" t="n">
        <v>1.7</v>
      </c>
      <c r="M456" s="1" t="n">
        <f aca="false">M455+L456</f>
        <v>322.6</v>
      </c>
      <c r="N456" s="1" t="n">
        <v>5</v>
      </c>
      <c r="O456" s="1" t="n">
        <f aca="false">O455+N456</f>
        <v>45.5</v>
      </c>
      <c r="P456" s="6" t="n">
        <v>201</v>
      </c>
      <c r="Q456" s="49" t="n">
        <v>1.15</v>
      </c>
      <c r="R456" s="16" t="n">
        <f aca="false">Q456*L456</f>
        <v>1.955</v>
      </c>
      <c r="S456" s="16" t="n">
        <f aca="false">J456-R456</f>
        <v>4.745</v>
      </c>
      <c r="T456" s="17" t="n">
        <f aca="false">T455+S456</f>
        <v>52.2702935420744</v>
      </c>
      <c r="U456" s="16" t="n">
        <f aca="false">MIN(T449:T469)</f>
        <v>17.5852935420744</v>
      </c>
      <c r="V456" s="1" t="n">
        <v>992.4</v>
      </c>
      <c r="X456" s="1" t="n">
        <f aca="false">X455+V456</f>
        <v>160281.2</v>
      </c>
      <c r="Y456" s="1" t="n">
        <f aca="false">Y455+V456</f>
        <v>13617.4</v>
      </c>
      <c r="AA456" s="1" t="n">
        <v>12.4460185027842</v>
      </c>
    </row>
    <row r="457" s="54" customFormat="true" ht="15" hidden="false" customHeight="false" outlineLevel="0" collapsed="false">
      <c r="A457" s="65"/>
      <c r="B457" s="49"/>
      <c r="C457" s="48" t="n">
        <v>40630</v>
      </c>
      <c r="D457" s="49" t="n">
        <v>11.2</v>
      </c>
      <c r="E457" s="49" t="n">
        <v>10.1</v>
      </c>
      <c r="F457" s="49" t="n">
        <v>12.6</v>
      </c>
      <c r="G457" s="49" t="n">
        <f aca="false">G456+D457</f>
        <v>1868.5</v>
      </c>
      <c r="H457" s="49" t="n">
        <f aca="false">H456+D457</f>
        <v>101.5</v>
      </c>
      <c r="I457" s="54" t="s">
        <v>41</v>
      </c>
      <c r="J457" s="49" t="n">
        <v>3.4</v>
      </c>
      <c r="K457" s="49" t="n">
        <f aca="false">K456+J457</f>
        <v>308.2</v>
      </c>
      <c r="L457" s="49" t="n">
        <v>1</v>
      </c>
      <c r="M457" s="49" t="n">
        <f aca="false">M456+L457</f>
        <v>323.6</v>
      </c>
      <c r="N457" s="49" t="n">
        <v>2.4</v>
      </c>
      <c r="O457" s="49" t="n">
        <f aca="false">O456+N457</f>
        <v>47.9</v>
      </c>
      <c r="P457" s="51" t="n">
        <v>202</v>
      </c>
      <c r="Q457" s="49" t="n">
        <v>1.15</v>
      </c>
      <c r="R457" s="52" t="n">
        <f aca="false">Q457*L457</f>
        <v>1.15</v>
      </c>
      <c r="S457" s="16" t="n">
        <f aca="false">J457-R457</f>
        <v>2.25</v>
      </c>
      <c r="T457" s="17" t="n">
        <f aca="false">T456+S457</f>
        <v>54.5202935420744</v>
      </c>
      <c r="U457" s="64" t="s">
        <v>42</v>
      </c>
      <c r="V457" s="49" t="n">
        <v>429.3</v>
      </c>
      <c r="W457" s="49"/>
      <c r="X457" s="49" t="n">
        <f aca="false">X456+V457</f>
        <v>160710.5</v>
      </c>
      <c r="Y457" s="1" t="n">
        <f aca="false">Y456+V457</f>
        <v>14046.7</v>
      </c>
      <c r="Z457" s="49"/>
      <c r="AA457" s="49" t="n">
        <v>12.4963234062244</v>
      </c>
      <c r="AB457" s="49"/>
      <c r="AC457" s="49"/>
      <c r="AD457" s="49"/>
      <c r="AE457" s="49"/>
      <c r="AF457" s="49"/>
      <c r="AG457" s="49"/>
      <c r="AH457" s="49"/>
      <c r="AI457" s="49"/>
      <c r="AJ457" s="49"/>
      <c r="AK457" s="49"/>
      <c r="AL457" s="49"/>
      <c r="AM457" s="49"/>
      <c r="AN457" s="49"/>
      <c r="AO457" s="49"/>
      <c r="AP457" s="49"/>
      <c r="AQ457" s="49"/>
      <c r="AR457" s="49"/>
      <c r="AS457" s="49"/>
      <c r="AT457" s="49"/>
      <c r="AU457" s="49"/>
      <c r="AV457" s="49"/>
      <c r="AW457" s="49"/>
      <c r="AX457" s="49"/>
      <c r="AY457" s="49"/>
      <c r="AZ457" s="49"/>
      <c r="BA457" s="49"/>
      <c r="BB457" s="49"/>
      <c r="BC457" s="49"/>
      <c r="BD457" s="49"/>
      <c r="BE457" s="49"/>
      <c r="BF457" s="49"/>
      <c r="BG457" s="49"/>
      <c r="BH457" s="49"/>
      <c r="BI457" s="49"/>
      <c r="BJ457" s="49"/>
      <c r="BK457" s="49"/>
      <c r="BL457" s="49"/>
      <c r="BM457" s="49"/>
      <c r="BN457" s="49"/>
      <c r="BO457" s="49"/>
      <c r="BP457" s="49"/>
      <c r="BQ457" s="49"/>
      <c r="BR457" s="49"/>
      <c r="BS457" s="49"/>
      <c r="BT457" s="49"/>
      <c r="BU457" s="49"/>
      <c r="BV457" s="49"/>
      <c r="BW457" s="49"/>
      <c r="BX457" s="49"/>
      <c r="BY457" s="49"/>
      <c r="BZ457" s="49"/>
      <c r="CA457" s="49"/>
      <c r="CB457" s="49"/>
      <c r="CC457" s="49"/>
      <c r="CD457" s="49"/>
      <c r="CE457" s="49"/>
      <c r="CF457" s="49"/>
      <c r="CG457" s="49"/>
      <c r="CH457" s="49"/>
      <c r="CI457" s="49"/>
      <c r="CJ457" s="49"/>
      <c r="CK457" s="49"/>
      <c r="CL457" s="49"/>
      <c r="CM457" s="49"/>
      <c r="CN457" s="49"/>
      <c r="CO457" s="49"/>
      <c r="CP457" s="49"/>
      <c r="CQ457" s="49"/>
      <c r="CR457" s="49"/>
      <c r="CS457" s="49"/>
      <c r="CT457" s="49"/>
      <c r="CU457" s="49"/>
      <c r="CV457" s="49"/>
      <c r="CW457" s="49"/>
      <c r="CX457" s="49"/>
      <c r="CY457" s="49"/>
      <c r="CZ457" s="49"/>
      <c r="DA457" s="49"/>
      <c r="DB457" s="49"/>
    </row>
    <row r="458" s="1" customFormat="true" ht="15" hidden="false" customHeight="true" outlineLevel="0" collapsed="false">
      <c r="A458" s="66"/>
      <c r="C458" s="8" t="n">
        <v>40631</v>
      </c>
      <c r="D458" s="1" t="n">
        <v>11.5</v>
      </c>
      <c r="E458" s="1" t="n">
        <v>8.2</v>
      </c>
      <c r="F458" s="1" t="n">
        <v>16</v>
      </c>
      <c r="G458" s="1" t="n">
        <f aca="false">G457+D458</f>
        <v>1880</v>
      </c>
      <c r="H458" s="1" t="n">
        <f aca="false">H457+D458</f>
        <v>113</v>
      </c>
      <c r="I458" s="1" t="n">
        <v>4</v>
      </c>
      <c r="J458" s="1" t="n">
        <v>4.6</v>
      </c>
      <c r="K458" s="1" t="n">
        <f aca="false">K457+J458</f>
        <v>312.8</v>
      </c>
      <c r="L458" s="1" t="n">
        <v>2.2</v>
      </c>
      <c r="M458" s="1" t="n">
        <f aca="false">M457+L458</f>
        <v>325.8</v>
      </c>
      <c r="N458" s="1" t="n">
        <v>2.4</v>
      </c>
      <c r="O458" s="1" t="n">
        <f aca="false">O457+N458</f>
        <v>50.3</v>
      </c>
      <c r="P458" s="6" t="n">
        <v>203</v>
      </c>
      <c r="Q458" s="49" t="n">
        <v>1.15</v>
      </c>
      <c r="R458" s="16" t="n">
        <f aca="false">Q458*L458</f>
        <v>2.53</v>
      </c>
      <c r="S458" s="16" t="n">
        <f aca="false">J458-R458</f>
        <v>2.07</v>
      </c>
      <c r="T458" s="17" t="n">
        <f aca="false">T457+S458</f>
        <v>56.5902935420744</v>
      </c>
      <c r="U458" s="16" t="n">
        <f aca="false">MAX(T449:T469)</f>
        <v>71.2452935420744</v>
      </c>
      <c r="V458" s="1" t="n">
        <v>1253.2</v>
      </c>
      <c r="X458" s="1" t="n">
        <f aca="false">X457+V458</f>
        <v>161963.7</v>
      </c>
      <c r="Y458" s="1" t="n">
        <f aca="false">Y457+V458</f>
        <v>15299.9</v>
      </c>
      <c r="AA458" s="1" t="n">
        <v>12.5465739241402</v>
      </c>
    </row>
    <row r="459" s="1" customFormat="true" ht="15" hidden="false" customHeight="false" outlineLevel="0" collapsed="false">
      <c r="A459" s="66"/>
      <c r="C459" s="8" t="n">
        <v>40632</v>
      </c>
      <c r="D459" s="1" t="n">
        <v>11.7</v>
      </c>
      <c r="E459" s="1" t="n">
        <v>8.5</v>
      </c>
      <c r="F459" s="1" t="n">
        <v>13.6</v>
      </c>
      <c r="G459" s="1" t="n">
        <f aca="false">G458+D459</f>
        <v>1891.7</v>
      </c>
      <c r="H459" s="1" t="n">
        <f aca="false">H458+D459</f>
        <v>124.7</v>
      </c>
      <c r="I459" s="64" t="s">
        <v>43</v>
      </c>
      <c r="J459" s="1" t="n">
        <v>3</v>
      </c>
      <c r="K459" s="1" t="n">
        <f aca="false">K458+J459</f>
        <v>315.8</v>
      </c>
      <c r="L459" s="1" t="n">
        <v>1.2</v>
      </c>
      <c r="M459" s="1" t="n">
        <f aca="false">M458+L459</f>
        <v>327</v>
      </c>
      <c r="N459" s="1" t="n">
        <v>1.8</v>
      </c>
      <c r="O459" s="1" t="n">
        <f aca="false">O458+N459</f>
        <v>52.1</v>
      </c>
      <c r="P459" s="6" t="n">
        <v>204</v>
      </c>
      <c r="Q459" s="49" t="n">
        <v>1.15</v>
      </c>
      <c r="R459" s="16" t="n">
        <f aca="false">Q459*L459</f>
        <v>1.38</v>
      </c>
      <c r="S459" s="16" t="n">
        <f aca="false">J459-R459</f>
        <v>1.62</v>
      </c>
      <c r="T459" s="17" t="n">
        <f aca="false">T458+S459</f>
        <v>58.2102935420744</v>
      </c>
      <c r="U459" s="64" t="s">
        <v>44</v>
      </c>
      <c r="V459" s="1" t="n">
        <v>648.8</v>
      </c>
      <c r="X459" s="1" t="n">
        <f aca="false">X458+V459</f>
        <v>162612.5</v>
      </c>
      <c r="Y459" s="1" t="n">
        <f aca="false">Y458+V459</f>
        <v>15948.7</v>
      </c>
      <c r="AA459" s="1" t="n">
        <v>12.5967639741929</v>
      </c>
    </row>
    <row r="460" s="1" customFormat="true" ht="15" hidden="false" customHeight="false" outlineLevel="0" collapsed="false">
      <c r="A460" s="66"/>
      <c r="C460" s="8" t="n">
        <v>40633</v>
      </c>
      <c r="D460" s="1" t="n">
        <v>14</v>
      </c>
      <c r="E460" s="1" t="n">
        <v>13.1</v>
      </c>
      <c r="F460" s="1" t="n">
        <v>16.3</v>
      </c>
      <c r="G460" s="1" t="n">
        <f aca="false">G459+D460</f>
        <v>1905.7</v>
      </c>
      <c r="H460" s="1" t="n">
        <f aca="false">H459+D460</f>
        <v>138.7</v>
      </c>
      <c r="I460" s="1" t="n">
        <v>3</v>
      </c>
      <c r="J460" s="1" t="n">
        <v>0.2</v>
      </c>
      <c r="K460" s="1" t="n">
        <f aca="false">K459+J460</f>
        <v>316</v>
      </c>
      <c r="L460" s="1" t="n">
        <v>1.4</v>
      </c>
      <c r="M460" s="1" t="n">
        <f aca="false">M459+L460</f>
        <v>328.4</v>
      </c>
      <c r="N460" s="1" t="n">
        <v>-1.2</v>
      </c>
      <c r="O460" s="1" t="n">
        <f aca="false">O459+N460</f>
        <v>50.9</v>
      </c>
      <c r="P460" s="6" t="n">
        <v>205</v>
      </c>
      <c r="Q460" s="49" t="n">
        <v>1.15</v>
      </c>
      <c r="R460" s="16" t="n">
        <f aca="false">Q460*L460</f>
        <v>1.61</v>
      </c>
      <c r="S460" s="16" t="n">
        <f aca="false">J460-R460</f>
        <v>-1.41</v>
      </c>
      <c r="T460" s="17" t="n">
        <f aca="false">T459+S460</f>
        <v>56.8002935420744</v>
      </c>
      <c r="U460" s="18" t="n">
        <f aca="false">AVERAGE(T449:T469)</f>
        <v>49.2881506849315</v>
      </c>
      <c r="V460" s="1" t="n">
        <v>496.1</v>
      </c>
      <c r="X460" s="1" t="n">
        <f aca="false">X459+V460</f>
        <v>163108.6</v>
      </c>
      <c r="Y460" s="1" t="n">
        <f aca="false">Y459+V460</f>
        <v>16444.8</v>
      </c>
      <c r="AA460" s="1" t="n">
        <v>12.6468873868126</v>
      </c>
    </row>
    <row r="461" s="1" customFormat="true" ht="15" hidden="false" customHeight="false" outlineLevel="0" collapsed="false">
      <c r="A461" s="66"/>
      <c r="C461" s="8" t="n">
        <v>40634</v>
      </c>
      <c r="D461" s="1" t="n">
        <v>15.1</v>
      </c>
      <c r="E461" s="1" t="n">
        <v>5.7</v>
      </c>
      <c r="F461" s="1" t="n">
        <v>21.7</v>
      </c>
      <c r="G461" s="1" t="n">
        <f aca="false">G460+D461</f>
        <v>1920.8</v>
      </c>
      <c r="H461" s="1" t="n">
        <f aca="false">H460+D461</f>
        <v>153.8</v>
      </c>
      <c r="I461" s="64" t="s">
        <v>45</v>
      </c>
      <c r="J461" s="1" t="n">
        <v>0</v>
      </c>
      <c r="K461" s="1" t="n">
        <f aca="false">K460+J461</f>
        <v>316</v>
      </c>
      <c r="L461" s="1" t="n">
        <v>2.9</v>
      </c>
      <c r="M461" s="1" t="n">
        <f aca="false">M460+L461</f>
        <v>331.3</v>
      </c>
      <c r="N461" s="1" t="n">
        <v>-2.9</v>
      </c>
      <c r="O461" s="1" t="n">
        <f aca="false">O460+N461</f>
        <v>48</v>
      </c>
      <c r="P461" s="6" t="n">
        <v>206</v>
      </c>
      <c r="Q461" s="49" t="n">
        <v>1.15</v>
      </c>
      <c r="R461" s="16" t="n">
        <f aca="false">Q461*L461</f>
        <v>3.335</v>
      </c>
      <c r="S461" s="16" t="n">
        <f aca="false">J461-R461</f>
        <v>-3.335</v>
      </c>
      <c r="T461" s="17" t="n">
        <f aca="false">T460+S461</f>
        <v>53.4652935420744</v>
      </c>
      <c r="V461" s="1" t="n">
        <v>1883.3</v>
      </c>
      <c r="X461" s="1" t="n">
        <f aca="false">X460+V461</f>
        <v>164991.9</v>
      </c>
      <c r="Y461" s="1" t="n">
        <f aca="false">Y460+V461</f>
        <v>18328.1</v>
      </c>
      <c r="AA461" s="1" t="n">
        <v>12.6969378915059</v>
      </c>
    </row>
    <row r="462" s="1" customFormat="true" ht="15" hidden="false" customHeight="false" outlineLevel="0" collapsed="false">
      <c r="A462" s="66"/>
      <c r="C462" s="8" t="n">
        <v>40635</v>
      </c>
      <c r="D462" s="1" t="n">
        <v>15.1</v>
      </c>
      <c r="E462" s="1" t="n">
        <v>11.6</v>
      </c>
      <c r="F462" s="1" t="n">
        <v>19.7</v>
      </c>
      <c r="G462" s="1" t="n">
        <f aca="false">G461+D462</f>
        <v>1935.9</v>
      </c>
      <c r="H462" s="1" t="n">
        <f aca="false">H461+D462</f>
        <v>168.9</v>
      </c>
      <c r="I462" s="1" t="n">
        <v>278.3</v>
      </c>
      <c r="J462" s="1" t="n">
        <v>0</v>
      </c>
      <c r="K462" s="1" t="n">
        <f aca="false">K461+J462</f>
        <v>316</v>
      </c>
      <c r="L462" s="1" t="n">
        <v>3.5</v>
      </c>
      <c r="M462" s="1" t="n">
        <f aca="false">M461+L462</f>
        <v>334.8</v>
      </c>
      <c r="N462" s="1" t="n">
        <v>-3.5</v>
      </c>
      <c r="O462" s="1" t="n">
        <f aca="false">O461+N462</f>
        <v>44.5</v>
      </c>
      <c r="P462" s="6" t="n">
        <v>207</v>
      </c>
      <c r="Q462" s="49" t="n">
        <v>1.15</v>
      </c>
      <c r="R462" s="16" t="n">
        <f aca="false">Q462*L462</f>
        <v>4.025</v>
      </c>
      <c r="S462" s="16" t="n">
        <f aca="false">J462-R462</f>
        <v>-4.025</v>
      </c>
      <c r="T462" s="17" t="n">
        <f aca="false">T461+S462</f>
        <v>49.4402935420744</v>
      </c>
      <c r="U462" s="16" t="n">
        <f aca="false">(U460*100)/122.1</f>
        <v>40.3670357779947</v>
      </c>
      <c r="V462" s="1" t="n">
        <v>1622.1</v>
      </c>
      <c r="X462" s="1" t="n">
        <f aca="false">X461+V462</f>
        <v>166614</v>
      </c>
      <c r="Y462" s="1" t="n">
        <f aca="false">Y461+V462</f>
        <v>19950.2</v>
      </c>
      <c r="AA462" s="1" t="n">
        <v>12.7469091032715</v>
      </c>
    </row>
    <row r="463" s="1" customFormat="true" ht="15" hidden="false" customHeight="false" outlineLevel="0" collapsed="false">
      <c r="A463" s="66"/>
      <c r="C463" s="8" t="n">
        <v>40636</v>
      </c>
      <c r="D463" s="1" t="n">
        <v>13.3</v>
      </c>
      <c r="E463" s="1" t="n">
        <v>12.7</v>
      </c>
      <c r="F463" s="1" t="n">
        <v>14.7</v>
      </c>
      <c r="G463" s="1" t="n">
        <f aca="false">G462+D463</f>
        <v>1949.2</v>
      </c>
      <c r="H463" s="1" t="n">
        <f aca="false">H462+D463</f>
        <v>182.2</v>
      </c>
      <c r="J463" s="1" t="n">
        <v>0</v>
      </c>
      <c r="K463" s="1" t="n">
        <f aca="false">K462+J463</f>
        <v>316</v>
      </c>
      <c r="L463" s="1" t="n">
        <v>1</v>
      </c>
      <c r="M463" s="1" t="n">
        <f aca="false">M462+L463</f>
        <v>335.8</v>
      </c>
      <c r="N463" s="1" t="n">
        <v>-1</v>
      </c>
      <c r="O463" s="1" t="n">
        <f aca="false">O462+N463</f>
        <v>43.5</v>
      </c>
      <c r="P463" s="6" t="n">
        <v>208</v>
      </c>
      <c r="Q463" s="49" t="n">
        <v>1.15</v>
      </c>
      <c r="R463" s="16" t="n">
        <f aca="false">Q463*L463</f>
        <v>1.15</v>
      </c>
      <c r="S463" s="16" t="n">
        <f aca="false">J463-R463</f>
        <v>-1.15</v>
      </c>
      <c r="T463" s="17" t="n">
        <f aca="false">T462+S463</f>
        <v>48.2902935420744</v>
      </c>
      <c r="V463" s="1" t="n">
        <v>334</v>
      </c>
      <c r="X463" s="1" t="n">
        <f aca="false">X462+V463</f>
        <v>166948</v>
      </c>
      <c r="Y463" s="1" t="n">
        <f aca="false">Y462+V463</f>
        <v>20284.2</v>
      </c>
      <c r="AA463" s="1" t="n">
        <v>12.7967945091298</v>
      </c>
    </row>
    <row r="464" s="1" customFormat="true" ht="15" hidden="false" customHeight="false" outlineLevel="0" collapsed="false">
      <c r="A464" s="66"/>
      <c r="C464" s="8" t="n">
        <v>40637</v>
      </c>
      <c r="D464" s="1" t="n">
        <v>12.7</v>
      </c>
      <c r="E464" s="1" t="n">
        <v>10.4</v>
      </c>
      <c r="F464" s="1" t="n">
        <v>17.7</v>
      </c>
      <c r="G464" s="1" t="n">
        <f aca="false">G463+D464</f>
        <v>1961.9</v>
      </c>
      <c r="H464" s="1" t="n">
        <f aca="false">H463+D464</f>
        <v>194.9</v>
      </c>
      <c r="J464" s="1" t="n">
        <v>0</v>
      </c>
      <c r="K464" s="1" t="n">
        <f aca="false">K463+J464</f>
        <v>316</v>
      </c>
      <c r="L464" s="1" t="n">
        <v>3</v>
      </c>
      <c r="M464" s="1" t="n">
        <f aca="false">M463+L464</f>
        <v>338.8</v>
      </c>
      <c r="N464" s="1" t="n">
        <v>-3</v>
      </c>
      <c r="O464" s="1" t="n">
        <f aca="false">O463+N464</f>
        <v>40.5</v>
      </c>
      <c r="P464" s="6" t="n">
        <v>209</v>
      </c>
      <c r="Q464" s="49" t="n">
        <v>1.15</v>
      </c>
      <c r="R464" s="16" t="n">
        <f aca="false">Q464*L464</f>
        <v>3.45</v>
      </c>
      <c r="S464" s="16" t="n">
        <f aca="false">J464-R464</f>
        <v>-3.45</v>
      </c>
      <c r="T464" s="17" t="n">
        <f aca="false">T463+S464</f>
        <v>44.8402935420744</v>
      </c>
      <c r="V464" s="1" t="n">
        <v>1501.8</v>
      </c>
      <c r="X464" s="1" t="n">
        <f aca="false">X463+V464</f>
        <v>168449.8</v>
      </c>
      <c r="Y464" s="1" t="n">
        <f aca="false">Y463+V464</f>
        <v>21786</v>
      </c>
      <c r="AA464" s="1" t="n">
        <v>12.8465874547739</v>
      </c>
    </row>
    <row r="465" s="1" customFormat="true" ht="15" hidden="false" customHeight="false" outlineLevel="0" collapsed="false">
      <c r="A465" s="66"/>
      <c r="C465" s="8" t="n">
        <v>40638</v>
      </c>
      <c r="D465" s="1" t="n">
        <v>13.2</v>
      </c>
      <c r="E465" s="1" t="n">
        <v>5</v>
      </c>
      <c r="F465" s="1" t="n">
        <v>20.5</v>
      </c>
      <c r="G465" s="1" t="n">
        <f aca="false">G464+D465</f>
        <v>1975.1</v>
      </c>
      <c r="H465" s="1" t="n">
        <f aca="false">H464+D465</f>
        <v>208.1</v>
      </c>
      <c r="J465" s="1" t="n">
        <v>0</v>
      </c>
      <c r="K465" s="1" t="n">
        <f aca="false">K464+J465</f>
        <v>316</v>
      </c>
      <c r="L465" s="1" t="n">
        <v>3.6</v>
      </c>
      <c r="M465" s="1" t="n">
        <f aca="false">M464+L465</f>
        <v>342.4</v>
      </c>
      <c r="N465" s="1" t="n">
        <v>-3.6</v>
      </c>
      <c r="O465" s="1" t="n">
        <f aca="false">O464+N465</f>
        <v>36.9</v>
      </c>
      <c r="P465" s="6" t="n">
        <v>210</v>
      </c>
      <c r="Q465" s="49" t="n">
        <v>1.15</v>
      </c>
      <c r="R465" s="16" t="n">
        <f aca="false">Q465*L465</f>
        <v>4.14</v>
      </c>
      <c r="S465" s="16" t="n">
        <f aca="false">J465-R465</f>
        <v>-4.14</v>
      </c>
      <c r="T465" s="17" t="n">
        <f aca="false">T464+S465</f>
        <v>40.7002935420744</v>
      </c>
      <c r="V465" s="1" t="n">
        <v>2163.9</v>
      </c>
      <c r="X465" s="1" t="n">
        <f aca="false">X464+V465</f>
        <v>170613.7</v>
      </c>
      <c r="Y465" s="1" t="n">
        <f aca="false">Y464+V465</f>
        <v>23949.9</v>
      </c>
      <c r="AA465" s="1" t="n">
        <v>12.8962811313497</v>
      </c>
    </row>
    <row r="466" s="1" customFormat="true" ht="15" hidden="false" customHeight="false" outlineLevel="0" collapsed="false">
      <c r="A466" s="66"/>
      <c r="C466" s="8" t="n">
        <v>40639</v>
      </c>
      <c r="D466" s="1" t="n">
        <v>15.3</v>
      </c>
      <c r="E466" s="1" t="n">
        <v>6.1</v>
      </c>
      <c r="F466" s="1" t="n">
        <v>25.6</v>
      </c>
      <c r="G466" s="1" t="n">
        <f aca="false">G465+D466</f>
        <v>1990.4</v>
      </c>
      <c r="H466" s="1" t="n">
        <f aca="false">H465+D466</f>
        <v>223.4</v>
      </c>
      <c r="J466" s="1" t="n">
        <v>0</v>
      </c>
      <c r="K466" s="1" t="n">
        <f aca="false">K465+J466</f>
        <v>316</v>
      </c>
      <c r="L466" s="1" t="n">
        <v>5</v>
      </c>
      <c r="M466" s="1" t="n">
        <f aca="false">M465+L466</f>
        <v>347.4</v>
      </c>
      <c r="N466" s="1" t="n">
        <v>-5</v>
      </c>
      <c r="O466" s="1" t="n">
        <f aca="false">O465+N466</f>
        <v>31.9</v>
      </c>
      <c r="P466" s="6" t="n">
        <v>211</v>
      </c>
      <c r="Q466" s="49" t="n">
        <v>1.15</v>
      </c>
      <c r="R466" s="16" t="n">
        <f aca="false">Q466*L466</f>
        <v>5.75</v>
      </c>
      <c r="S466" s="16" t="n">
        <f aca="false">J466-R466</f>
        <v>-5.75</v>
      </c>
      <c r="T466" s="17" t="n">
        <f aca="false">T465+S466</f>
        <v>34.9502935420744</v>
      </c>
      <c r="V466" s="1" t="n">
        <v>2268.2</v>
      </c>
      <c r="X466" s="1" t="n">
        <f aca="false">X465+V466</f>
        <v>172881.9</v>
      </c>
      <c r="Y466" s="1" t="n">
        <f aca="false">Y465+V466</f>
        <v>26218.1</v>
      </c>
      <c r="AA466" s="1" t="n">
        <v>12.9458685623751</v>
      </c>
    </row>
    <row r="467" s="1" customFormat="true" ht="15" hidden="false" customHeight="false" outlineLevel="0" collapsed="false">
      <c r="A467" s="66"/>
      <c r="C467" s="8" t="n">
        <v>40640</v>
      </c>
      <c r="D467" s="1" t="n">
        <v>18</v>
      </c>
      <c r="E467" s="1" t="n">
        <v>9.2</v>
      </c>
      <c r="F467" s="1" t="n">
        <v>25.5</v>
      </c>
      <c r="G467" s="1" t="n">
        <f aca="false">G466+D467</f>
        <v>2008.4</v>
      </c>
      <c r="H467" s="1" t="n">
        <f aca="false">H466+D467</f>
        <v>241.4</v>
      </c>
      <c r="J467" s="1" t="n">
        <v>0</v>
      </c>
      <c r="K467" s="1" t="n">
        <f aca="false">K466+J467</f>
        <v>316</v>
      </c>
      <c r="L467" s="1" t="n">
        <v>4.9</v>
      </c>
      <c r="M467" s="1" t="n">
        <f aca="false">M466+L467</f>
        <v>352.3</v>
      </c>
      <c r="N467" s="1" t="n">
        <v>-4.9</v>
      </c>
      <c r="O467" s="1" t="n">
        <f aca="false">O466+N467</f>
        <v>27</v>
      </c>
      <c r="P467" s="6" t="n">
        <v>212</v>
      </c>
      <c r="Q467" s="49" t="n">
        <v>1.15</v>
      </c>
      <c r="R467" s="16" t="n">
        <f aca="false">Q467*L467</f>
        <v>5.635</v>
      </c>
      <c r="S467" s="16" t="n">
        <f aca="false">J467-R467</f>
        <v>-5.635</v>
      </c>
      <c r="T467" s="17" t="n">
        <f aca="false">T466+S467</f>
        <v>29.3152935420744</v>
      </c>
      <c r="V467" s="1" t="n">
        <v>2452.7</v>
      </c>
      <c r="X467" s="1" t="n">
        <f aca="false">X466+V467</f>
        <v>175334.6</v>
      </c>
      <c r="Y467" s="1" t="n">
        <f aca="false">Y466+V467</f>
        <v>28670.8</v>
      </c>
      <c r="AA467" s="1" t="n">
        <v>12.9953425908089</v>
      </c>
    </row>
    <row r="468" s="1" customFormat="true" ht="15" hidden="false" customHeight="false" outlineLevel="0" collapsed="false">
      <c r="A468" s="66"/>
      <c r="C468" s="8" t="n">
        <v>40641</v>
      </c>
      <c r="D468" s="1" t="n">
        <v>18.5</v>
      </c>
      <c r="E468" s="1" t="n">
        <v>9.8</v>
      </c>
      <c r="F468" s="1" t="n">
        <v>28.1</v>
      </c>
      <c r="G468" s="1" t="n">
        <f aca="false">G467+D468</f>
        <v>2026.9</v>
      </c>
      <c r="H468" s="1" t="n">
        <f aca="false">H467+D468</f>
        <v>259.9</v>
      </c>
      <c r="J468" s="1" t="n">
        <v>0</v>
      </c>
      <c r="K468" s="1" t="n">
        <f aca="false">K467+J468</f>
        <v>316</v>
      </c>
      <c r="L468" s="1" t="n">
        <v>5.2</v>
      </c>
      <c r="M468" s="1" t="n">
        <f aca="false">M467+L468</f>
        <v>357.5</v>
      </c>
      <c r="N468" s="1" t="n">
        <v>-5.2</v>
      </c>
      <c r="O468" s="1" t="n">
        <f aca="false">O467+N468</f>
        <v>21.8</v>
      </c>
      <c r="P468" s="6" t="n">
        <v>213</v>
      </c>
      <c r="Q468" s="49" t="n">
        <v>1.15</v>
      </c>
      <c r="R468" s="16" t="n">
        <f aca="false">Q468*L468</f>
        <v>5.98</v>
      </c>
      <c r="S468" s="16" t="n">
        <f aca="false">J468-R468</f>
        <v>-5.98</v>
      </c>
      <c r="T468" s="17" t="n">
        <f aca="false">T467+S468</f>
        <v>23.3352935420744</v>
      </c>
      <c r="V468" s="1" t="n">
        <v>2455.4</v>
      </c>
      <c r="X468" s="1" t="n">
        <f aca="false">X467+V468</f>
        <v>177790</v>
      </c>
      <c r="Y468" s="1" t="n">
        <f aca="false">Y467+V468</f>
        <v>31126.2</v>
      </c>
      <c r="AA468" s="1" t="n">
        <v>13.0446958662831</v>
      </c>
    </row>
    <row r="469" s="31" customFormat="true" ht="15" hidden="false" customHeight="false" outlineLevel="0" collapsed="false">
      <c r="A469" s="67" t="s">
        <v>66</v>
      </c>
      <c r="C469" s="30" t="n">
        <v>40642</v>
      </c>
      <c r="D469" s="31" t="n">
        <v>18.4</v>
      </c>
      <c r="E469" s="31" t="n">
        <v>8.6</v>
      </c>
      <c r="F469" s="31" t="n">
        <v>27.7</v>
      </c>
      <c r="G469" s="31" t="n">
        <f aca="false">G468+D469</f>
        <v>2045.3</v>
      </c>
      <c r="H469" s="31" t="n">
        <f aca="false">H468+D469</f>
        <v>278.3</v>
      </c>
      <c r="J469" s="31" t="n">
        <v>0</v>
      </c>
      <c r="K469" s="31" t="n">
        <f aca="false">K468+J469</f>
        <v>316</v>
      </c>
      <c r="L469" s="31" t="n">
        <v>5</v>
      </c>
      <c r="M469" s="31" t="n">
        <f aca="false">M468+L469</f>
        <v>362.5</v>
      </c>
      <c r="N469" s="31" t="n">
        <v>-5</v>
      </c>
      <c r="O469" s="31" t="n">
        <f aca="false">O468+N469</f>
        <v>16.8</v>
      </c>
      <c r="P469" s="32" t="n">
        <v>214</v>
      </c>
      <c r="Q469" s="31" t="n">
        <v>1.15</v>
      </c>
      <c r="R469" s="33" t="n">
        <f aca="false">Q469*L469</f>
        <v>5.75</v>
      </c>
      <c r="S469" s="33" t="n">
        <f aca="false">J469-R469</f>
        <v>-5.75</v>
      </c>
      <c r="T469" s="34" t="n">
        <f aca="false">T468+S469</f>
        <v>17.5852935420744</v>
      </c>
      <c r="V469" s="31" t="n">
        <v>2335.9</v>
      </c>
      <c r="X469" s="31" t="n">
        <f aca="false">X468+V469</f>
        <v>180125.9</v>
      </c>
      <c r="Y469" s="31" t="n">
        <f aca="false">Y468+V469</f>
        <v>33462.1</v>
      </c>
      <c r="AA469" s="31" t="n">
        <v>13.0939208325112</v>
      </c>
    </row>
    <row r="470" s="1" customFormat="true" ht="15" hidden="false" customHeight="false" outlineLevel="0" collapsed="false">
      <c r="A470" s="84" t="n">
        <v>300</v>
      </c>
      <c r="B470" s="2"/>
      <c r="C470" s="8" t="n">
        <v>40643</v>
      </c>
      <c r="D470" s="1" t="n">
        <v>15.3</v>
      </c>
      <c r="E470" s="1" t="n">
        <v>13.7</v>
      </c>
      <c r="F470" s="1" t="n">
        <v>17.5</v>
      </c>
      <c r="G470" s="1" t="n">
        <f aca="false">G469+D470</f>
        <v>2060.6</v>
      </c>
      <c r="H470" s="1" t="n">
        <v>15.3</v>
      </c>
      <c r="I470" s="71" t="s">
        <v>30</v>
      </c>
      <c r="J470" s="1" t="n">
        <v>0</v>
      </c>
      <c r="K470" s="1" t="n">
        <f aca="false">K469+J470</f>
        <v>316</v>
      </c>
      <c r="L470" s="1" t="n">
        <v>2.2</v>
      </c>
      <c r="M470" s="1" t="n">
        <f aca="false">M469+L470</f>
        <v>364.7</v>
      </c>
      <c r="N470" s="1" t="n">
        <v>-2.2</v>
      </c>
      <c r="O470" s="1" t="n">
        <f aca="false">O469+N470</f>
        <v>14.6</v>
      </c>
      <c r="P470" s="6" t="n">
        <v>215</v>
      </c>
      <c r="Q470" s="49" t="n">
        <v>1.15</v>
      </c>
      <c r="R470" s="16" t="n">
        <f aca="false">Q470*L470</f>
        <v>2.53</v>
      </c>
      <c r="S470" s="16" t="n">
        <f aca="false">J470-R470</f>
        <v>-2.53</v>
      </c>
      <c r="T470" s="17" t="n">
        <f aca="false">T469+S470</f>
        <v>15.0552935420744</v>
      </c>
      <c r="U470" s="71" t="s">
        <v>31</v>
      </c>
      <c r="V470" s="1" t="n">
        <v>817.1</v>
      </c>
      <c r="X470" s="1" t="n">
        <f aca="false">X469+V470</f>
        <v>180943</v>
      </c>
      <c r="Y470" s="1" t="n">
        <v>817.1</v>
      </c>
      <c r="Z470" s="71" t="s">
        <v>32</v>
      </c>
      <c r="AA470" s="1" t="n">
        <v>13.1430097148896</v>
      </c>
    </row>
    <row r="471" s="1" customFormat="true" ht="15" hidden="false" customHeight="false" outlineLevel="0" collapsed="false">
      <c r="A471" s="84"/>
      <c r="B471" s="2"/>
      <c r="C471" s="8" t="n">
        <v>40644</v>
      </c>
      <c r="D471" s="1" t="n">
        <v>15.7</v>
      </c>
      <c r="E471" s="1" t="n">
        <v>13.3</v>
      </c>
      <c r="F471" s="1" t="n">
        <v>19.9</v>
      </c>
      <c r="G471" s="1" t="n">
        <f aca="false">G470+D471</f>
        <v>2076.3</v>
      </c>
      <c r="H471" s="1" t="n">
        <f aca="false">H470+D471</f>
        <v>31</v>
      </c>
      <c r="I471" s="1" t="n">
        <f aca="false">MIN(E470:E490)</f>
        <v>4.3</v>
      </c>
      <c r="J471" s="1" t="n">
        <v>0.3</v>
      </c>
      <c r="K471" s="1" t="n">
        <f aca="false">K470+J471</f>
        <v>316.3</v>
      </c>
      <c r="L471" s="1" t="n">
        <v>3.4</v>
      </c>
      <c r="M471" s="1" t="n">
        <f aca="false">M470+L471</f>
        <v>368.1</v>
      </c>
      <c r="N471" s="1" t="n">
        <v>-3.1</v>
      </c>
      <c r="O471" s="1" t="n">
        <f aca="false">O470+N471</f>
        <v>11.5</v>
      </c>
      <c r="P471" s="6" t="n">
        <v>216</v>
      </c>
      <c r="Q471" s="49" t="n">
        <v>1.15</v>
      </c>
      <c r="R471" s="16" t="n">
        <f aca="false">Q471*L471</f>
        <v>3.91</v>
      </c>
      <c r="S471" s="16" t="n">
        <f aca="false">J471-R471</f>
        <v>-3.61</v>
      </c>
      <c r="T471" s="17" t="n">
        <f aca="false">T470+S471</f>
        <v>11.4452935420744</v>
      </c>
      <c r="U471" s="1" t="n">
        <v>19</v>
      </c>
      <c r="V471" s="1" t="n">
        <v>1493.6</v>
      </c>
      <c r="X471" s="1" t="n">
        <f aca="false">X470+V471</f>
        <v>182436.6</v>
      </c>
      <c r="Y471" s="1" t="n">
        <f aca="false">Y470+V471</f>
        <v>2310.7</v>
      </c>
      <c r="Z471" s="1" t="n">
        <v>39855.2</v>
      </c>
      <c r="AA471" s="1" t="n">
        <v>13.1919545083099</v>
      </c>
    </row>
    <row r="472" s="1" customFormat="true" ht="15" hidden="false" customHeight="false" outlineLevel="0" collapsed="false">
      <c r="A472" s="84"/>
      <c r="B472" s="2"/>
      <c r="C472" s="8" t="n">
        <v>40645</v>
      </c>
      <c r="D472" s="1" t="n">
        <v>13.2</v>
      </c>
      <c r="E472" s="1" t="n">
        <v>12.4</v>
      </c>
      <c r="F472" s="1" t="n">
        <v>15.9</v>
      </c>
      <c r="G472" s="1" t="n">
        <f aca="false">G471+D472</f>
        <v>2089.5</v>
      </c>
      <c r="H472" s="1" t="n">
        <f aca="false">H471+D472</f>
        <v>44.2</v>
      </c>
      <c r="I472" s="71" t="s">
        <v>33</v>
      </c>
      <c r="J472" s="1" t="n">
        <v>0.6</v>
      </c>
      <c r="K472" s="1" t="n">
        <f aca="false">K471+J472</f>
        <v>316.9</v>
      </c>
      <c r="L472" s="1" t="n">
        <v>2.2</v>
      </c>
      <c r="M472" s="1" t="n">
        <f aca="false">M471+L472</f>
        <v>370.3</v>
      </c>
      <c r="N472" s="1" t="n">
        <v>-1.6</v>
      </c>
      <c r="O472" s="1" t="n">
        <f aca="false">O471+N472</f>
        <v>9.89999999999997</v>
      </c>
      <c r="P472" s="6" t="n">
        <v>217</v>
      </c>
      <c r="Q472" s="49" t="n">
        <v>1.15</v>
      </c>
      <c r="R472" s="16" t="n">
        <f aca="false">Q472*L472</f>
        <v>2.53</v>
      </c>
      <c r="S472" s="16" t="n">
        <f aca="false">J472-R472</f>
        <v>-1.93</v>
      </c>
      <c r="T472" s="17" t="n">
        <f aca="false">T471+S472</f>
        <v>9.51529354207437</v>
      </c>
      <c r="U472" s="71" t="s">
        <v>34</v>
      </c>
      <c r="V472" s="1" t="n">
        <v>990.5</v>
      </c>
      <c r="X472" s="1" t="n">
        <f aca="false">X471+V472</f>
        <v>183427.1</v>
      </c>
      <c r="Y472" s="1" t="n">
        <f aca="false">Y471+V472</f>
        <v>3301.2</v>
      </c>
      <c r="Z472" s="71" t="s">
        <v>35</v>
      </c>
      <c r="AA472" s="1" t="n">
        <v>13.2407469652017</v>
      </c>
    </row>
    <row r="473" s="1" customFormat="true" ht="15" hidden="false" customHeight="false" outlineLevel="0" collapsed="false">
      <c r="A473" s="84"/>
      <c r="B473" s="2"/>
      <c r="C473" s="8" t="n">
        <v>40646</v>
      </c>
      <c r="D473" s="1" t="n">
        <v>11</v>
      </c>
      <c r="E473" s="1" t="n">
        <v>4.3</v>
      </c>
      <c r="F473" s="1" t="n">
        <v>18.2</v>
      </c>
      <c r="G473" s="1" t="n">
        <f aca="false">G472+D473</f>
        <v>2100.5</v>
      </c>
      <c r="H473" s="1" t="n">
        <f aca="false">H472+D473</f>
        <v>55.2</v>
      </c>
      <c r="I473" s="1" t="n">
        <f aca="false">MAX(F470:F490)</f>
        <v>23</v>
      </c>
      <c r="J473" s="1" t="n">
        <v>0</v>
      </c>
      <c r="K473" s="1" t="n">
        <f aca="false">K472+J473</f>
        <v>316.9</v>
      </c>
      <c r="L473" s="1" t="n">
        <v>3</v>
      </c>
      <c r="M473" s="1" t="n">
        <f aca="false">M472+L473</f>
        <v>373.3</v>
      </c>
      <c r="N473" s="1" t="n">
        <v>-3</v>
      </c>
      <c r="O473" s="1" t="n">
        <f aca="false">O472+N473</f>
        <v>6.89999999999997</v>
      </c>
      <c r="P473" s="6" t="n">
        <v>218</v>
      </c>
      <c r="Q473" s="49" t="n">
        <v>1.15</v>
      </c>
      <c r="R473" s="16" t="n">
        <f aca="false">Q473*L473</f>
        <v>3.45</v>
      </c>
      <c r="S473" s="16" t="n">
        <f aca="false">J473-R473</f>
        <v>-3.45</v>
      </c>
      <c r="T473" s="17" t="n">
        <f aca="false">T472+S473</f>
        <v>6.06529354207437</v>
      </c>
      <c r="U473" s="1" t="n">
        <v>12</v>
      </c>
      <c r="V473" s="1" t="n">
        <v>1960.7</v>
      </c>
      <c r="X473" s="1" t="n">
        <f aca="false">X472+V473</f>
        <v>185387.8</v>
      </c>
      <c r="Y473" s="1" t="n">
        <f aca="false">Y472+V473</f>
        <v>5261.9</v>
      </c>
      <c r="Z473" s="18" t="n">
        <f aca="false">(Z471/100)/I483</f>
        <v>1.27373601789709</v>
      </c>
      <c r="AA473" s="1" t="n">
        <v>13.2893785838275</v>
      </c>
    </row>
    <row r="474" s="1" customFormat="true" ht="15" hidden="false" customHeight="false" outlineLevel="0" collapsed="false">
      <c r="A474" s="84"/>
      <c r="B474" s="2"/>
      <c r="C474" s="8" t="n">
        <v>40647</v>
      </c>
      <c r="D474" s="1" t="n">
        <v>12.9</v>
      </c>
      <c r="E474" s="1" t="n">
        <v>5.7</v>
      </c>
      <c r="F474" s="1" t="n">
        <v>21</v>
      </c>
      <c r="G474" s="1" t="n">
        <f aca="false">G473+D474</f>
        <v>2113.4</v>
      </c>
      <c r="H474" s="1" t="n">
        <f aca="false">H473+D474</f>
        <v>68.1</v>
      </c>
      <c r="I474" s="71" t="s">
        <v>36</v>
      </c>
      <c r="J474" s="1" t="n">
        <v>0</v>
      </c>
      <c r="K474" s="1" t="n">
        <f aca="false">K473+J474</f>
        <v>316.9</v>
      </c>
      <c r="L474" s="1" t="n">
        <v>4.1</v>
      </c>
      <c r="M474" s="1" t="n">
        <f aca="false">M473+L474</f>
        <v>377.4</v>
      </c>
      <c r="N474" s="1" t="n">
        <v>-4.1</v>
      </c>
      <c r="O474" s="1" t="n">
        <f aca="false">O473+N474</f>
        <v>2.79999999999997</v>
      </c>
      <c r="P474" s="6" t="n">
        <v>219</v>
      </c>
      <c r="Q474" s="49" t="n">
        <v>1.15</v>
      </c>
      <c r="R474" s="16" t="n">
        <f aca="false">Q474*L474</f>
        <v>4.715</v>
      </c>
      <c r="S474" s="16" t="n">
        <f aca="false">J474-R474</f>
        <v>-4.715</v>
      </c>
      <c r="T474" s="17" t="n">
        <f aca="false">T473+S474</f>
        <v>1.35029354207437</v>
      </c>
      <c r="U474" s="71" t="s">
        <v>37</v>
      </c>
      <c r="V474" s="1" t="n">
        <v>2031.7</v>
      </c>
      <c r="X474" s="1" t="n">
        <f aca="false">X473+V474</f>
        <v>187419.5</v>
      </c>
      <c r="Y474" s="1" t="n">
        <f aca="false">Y473+V474</f>
        <v>7293.6</v>
      </c>
      <c r="Z474" s="71" t="s">
        <v>38</v>
      </c>
      <c r="AA474" s="1" t="n">
        <v>13.3378405968548</v>
      </c>
    </row>
    <row r="475" s="1" customFormat="true" ht="15" hidden="false" customHeight="false" outlineLevel="0" collapsed="false">
      <c r="A475" s="84"/>
      <c r="B475" s="2"/>
      <c r="C475" s="8" t="n">
        <v>40648</v>
      </c>
      <c r="D475" s="1" t="n">
        <v>12.6</v>
      </c>
      <c r="E475" s="1" t="n">
        <v>7.6</v>
      </c>
      <c r="F475" s="1" t="n">
        <v>18.1</v>
      </c>
      <c r="G475" s="1" t="n">
        <f aca="false">G474+D475</f>
        <v>2126</v>
      </c>
      <c r="H475" s="1" t="n">
        <f aca="false">H474+D475</f>
        <v>80.7</v>
      </c>
      <c r="I475" s="16" t="n">
        <f aca="false">AVERAGE(D470:D490)</f>
        <v>14.9</v>
      </c>
      <c r="J475" s="1" t="n">
        <v>0</v>
      </c>
      <c r="K475" s="1" t="n">
        <f aca="false">K474+J475</f>
        <v>316.9</v>
      </c>
      <c r="L475" s="1" t="n">
        <v>3.9</v>
      </c>
      <c r="M475" s="1" t="n">
        <f aca="false">M474+L475</f>
        <v>381.3</v>
      </c>
      <c r="N475" s="1" t="n">
        <v>-3.9</v>
      </c>
      <c r="O475" s="1" t="n">
        <v>0</v>
      </c>
      <c r="P475" s="6" t="n">
        <v>220</v>
      </c>
      <c r="Q475" s="49" t="n">
        <v>1.15</v>
      </c>
      <c r="R475" s="16" t="n">
        <f aca="false">Q475*L475</f>
        <v>4.485</v>
      </c>
      <c r="S475" s="16" t="n">
        <f aca="false">J475-R475</f>
        <v>-4.485</v>
      </c>
      <c r="T475" s="17" t="n">
        <v>0</v>
      </c>
      <c r="U475" s="1" t="n">
        <v>9</v>
      </c>
      <c r="V475" s="1" t="n">
        <v>2244.7</v>
      </c>
      <c r="X475" s="1" t="n">
        <f aca="false">X474+V475</f>
        <v>189664.2</v>
      </c>
      <c r="Y475" s="1" t="n">
        <f aca="false">Y474+V475</f>
        <v>9538.3</v>
      </c>
      <c r="Z475" s="1" t="n">
        <v>3</v>
      </c>
      <c r="AA475" s="1" t="n">
        <v>13.3861239602305</v>
      </c>
    </row>
    <row r="476" s="1" customFormat="true" ht="15" hidden="false" customHeight="false" outlineLevel="0" collapsed="false">
      <c r="A476" s="84"/>
      <c r="B476" s="2"/>
      <c r="C476" s="8" t="n">
        <v>40649</v>
      </c>
      <c r="D476" s="1" t="n">
        <v>12.6</v>
      </c>
      <c r="E476" s="1" t="n">
        <v>4.5</v>
      </c>
      <c r="F476" s="1" t="n">
        <v>20.2</v>
      </c>
      <c r="G476" s="1" t="n">
        <f aca="false">G475+D476</f>
        <v>2138.6</v>
      </c>
      <c r="H476" s="1" t="n">
        <f aca="false">H475+D476</f>
        <v>93.3</v>
      </c>
      <c r="I476" s="71" t="s">
        <v>39</v>
      </c>
      <c r="J476" s="1" t="n">
        <v>0</v>
      </c>
      <c r="K476" s="1" t="n">
        <f aca="false">K475+J476</f>
        <v>316.9</v>
      </c>
      <c r="L476" s="1" t="n">
        <v>4.2</v>
      </c>
      <c r="M476" s="1" t="n">
        <f aca="false">M475+L476</f>
        <v>385.5</v>
      </c>
      <c r="N476" s="1" t="n">
        <v>-4.2</v>
      </c>
      <c r="O476" s="1" t="n">
        <v>0</v>
      </c>
      <c r="P476" s="6" t="n">
        <v>221</v>
      </c>
      <c r="Q476" s="49" t="n">
        <v>1.15</v>
      </c>
      <c r="R476" s="16" t="n">
        <f aca="false">Q476*L476</f>
        <v>4.83</v>
      </c>
      <c r="S476" s="16" t="n">
        <f aca="false">J476-R476</f>
        <v>-4.83</v>
      </c>
      <c r="T476" s="17" t="n">
        <v>0</v>
      </c>
      <c r="U476" s="71" t="s">
        <v>40</v>
      </c>
      <c r="V476" s="1" t="n">
        <v>2555.7</v>
      </c>
      <c r="X476" s="1" t="n">
        <f aca="false">X475+V476</f>
        <v>192219.9</v>
      </c>
      <c r="Y476" s="1" t="n">
        <f aca="false">Y475+V476</f>
        <v>12094</v>
      </c>
      <c r="AA476" s="1" t="n">
        <v>13.4342193423876</v>
      </c>
    </row>
    <row r="477" s="1" customFormat="true" ht="15" hidden="false" customHeight="false" outlineLevel="0" collapsed="false">
      <c r="A477" s="84"/>
      <c r="B477" s="2"/>
      <c r="C477" s="8" t="n">
        <v>40650</v>
      </c>
      <c r="D477" s="1" t="n">
        <v>14.1</v>
      </c>
      <c r="E477" s="1" t="n">
        <v>6</v>
      </c>
      <c r="F477" s="1" t="n">
        <v>22.4</v>
      </c>
      <c r="G477" s="1" t="n">
        <f aca="false">G476+D477</f>
        <v>2152.7</v>
      </c>
      <c r="H477" s="1" t="n">
        <f aca="false">H476+D477</f>
        <v>107.4</v>
      </c>
      <c r="I477" s="1" t="n">
        <v>0</v>
      </c>
      <c r="J477" s="1" t="n">
        <v>0</v>
      </c>
      <c r="K477" s="1" t="n">
        <f aca="false">K476+J477</f>
        <v>316.9</v>
      </c>
      <c r="L477" s="1" t="n">
        <v>4.4</v>
      </c>
      <c r="M477" s="1" t="n">
        <f aca="false">M476+L477</f>
        <v>389.9</v>
      </c>
      <c r="N477" s="1" t="n">
        <v>-4.4</v>
      </c>
      <c r="O477" s="1" t="n">
        <v>0</v>
      </c>
      <c r="P477" s="6" t="n">
        <v>222</v>
      </c>
      <c r="Q477" s="49" t="n">
        <v>1.15</v>
      </c>
      <c r="R477" s="16" t="n">
        <f aca="false">Q477*L477</f>
        <v>5.06</v>
      </c>
      <c r="S477" s="16" t="n">
        <f aca="false">J477-R477</f>
        <v>-5.06</v>
      </c>
      <c r="T477" s="17" t="n">
        <v>0</v>
      </c>
      <c r="U477" s="52" t="n">
        <v>0</v>
      </c>
      <c r="V477" s="1" t="n">
        <v>2398.4</v>
      </c>
      <c r="X477" s="1" t="n">
        <f aca="false">X476+V477</f>
        <v>194618.3</v>
      </c>
      <c r="Y477" s="1" t="n">
        <f aca="false">Y476+V477</f>
        <v>14492.4</v>
      </c>
      <c r="AA477" s="1" t="n">
        <v>13.4821171138138</v>
      </c>
    </row>
    <row r="478" s="1" customFormat="true" ht="15" hidden="false" customHeight="false" outlineLevel="0" collapsed="false">
      <c r="A478" s="84"/>
      <c r="B478" s="2"/>
      <c r="C478" s="8" t="n">
        <v>40651</v>
      </c>
      <c r="D478" s="1" t="n">
        <v>15.7</v>
      </c>
      <c r="E478" s="1" t="n">
        <v>10.4</v>
      </c>
      <c r="F478" s="1" t="n">
        <v>22.3</v>
      </c>
      <c r="G478" s="1" t="n">
        <f aca="false">G477+D478</f>
        <v>2168.4</v>
      </c>
      <c r="H478" s="1" t="n">
        <f aca="false">H477+D478</f>
        <v>123.1</v>
      </c>
      <c r="I478" s="71" t="s">
        <v>41</v>
      </c>
      <c r="J478" s="1" t="n">
        <v>0</v>
      </c>
      <c r="K478" s="1" t="n">
        <f aca="false">K477+J478</f>
        <v>316.9</v>
      </c>
      <c r="L478" s="1" t="n">
        <v>5.1</v>
      </c>
      <c r="M478" s="1" t="n">
        <f aca="false">M477+L478</f>
        <v>395</v>
      </c>
      <c r="N478" s="1" t="n">
        <v>-5.1</v>
      </c>
      <c r="O478" s="1" t="n">
        <v>0</v>
      </c>
      <c r="P478" s="6" t="n">
        <v>223</v>
      </c>
      <c r="Q478" s="49" t="n">
        <v>1.15</v>
      </c>
      <c r="R478" s="16" t="n">
        <f aca="false">Q478*L478</f>
        <v>5.865</v>
      </c>
      <c r="S478" s="16" t="n">
        <f aca="false">J478-R478</f>
        <v>-5.865</v>
      </c>
      <c r="T478" s="17" t="n">
        <v>0</v>
      </c>
      <c r="U478" s="71" t="s">
        <v>42</v>
      </c>
      <c r="V478" s="1" t="n">
        <v>2630.6</v>
      </c>
      <c r="X478" s="1" t="n">
        <f aca="false">X477+V478</f>
        <v>197248.9</v>
      </c>
      <c r="Y478" s="1" t="n">
        <f aca="false">Y477+V478</f>
        <v>17123</v>
      </c>
      <c r="AA478" s="1" t="n">
        <v>13.529807337017</v>
      </c>
    </row>
    <row r="479" s="49" customFormat="true" ht="15" hidden="false" customHeight="false" outlineLevel="0" collapsed="false">
      <c r="A479" s="84"/>
      <c r="B479" s="47"/>
      <c r="C479" s="48" t="n">
        <v>40652</v>
      </c>
      <c r="D479" s="49" t="n">
        <v>14.2</v>
      </c>
      <c r="E479" s="49" t="n">
        <v>8.9</v>
      </c>
      <c r="F479" s="49" t="n">
        <v>19.9</v>
      </c>
      <c r="G479" s="49" t="n">
        <f aca="false">G478+D479</f>
        <v>2182.6</v>
      </c>
      <c r="H479" s="49" t="n">
        <f aca="false">H478+D479</f>
        <v>137.3</v>
      </c>
      <c r="I479" s="49" t="n">
        <v>0</v>
      </c>
      <c r="J479" s="49" t="n">
        <v>0</v>
      </c>
      <c r="K479" s="49" t="n">
        <f aca="false">K478+J479</f>
        <v>316.9</v>
      </c>
      <c r="L479" s="49" t="n">
        <v>4.6</v>
      </c>
      <c r="M479" s="49" t="n">
        <f aca="false">M478+L479</f>
        <v>399.6</v>
      </c>
      <c r="N479" s="49" t="n">
        <v>-4.6</v>
      </c>
      <c r="O479" s="49" t="n">
        <v>0</v>
      </c>
      <c r="P479" s="51" t="n">
        <v>224</v>
      </c>
      <c r="Q479" s="49" t="n">
        <v>1.15</v>
      </c>
      <c r="R479" s="52" t="n">
        <f aca="false">Q479*L479</f>
        <v>5.29</v>
      </c>
      <c r="S479" s="16" t="n">
        <f aca="false">J479-R479</f>
        <v>-5.29</v>
      </c>
      <c r="T479" s="17" t="n">
        <v>0</v>
      </c>
      <c r="U479" s="16" t="n">
        <f aca="false">MAX(T470:T490)</f>
        <v>15.0552935420744</v>
      </c>
      <c r="V479" s="49" t="n">
        <v>2301.2</v>
      </c>
      <c r="X479" s="49" t="n">
        <f aca="false">X478+V479</f>
        <v>199550.1</v>
      </c>
      <c r="Y479" s="1" t="n">
        <f aca="false">Y478+V479</f>
        <v>19424.2</v>
      </c>
      <c r="AA479" s="49" t="n">
        <v>13.5772797569234</v>
      </c>
    </row>
    <row r="480" s="1" customFormat="true" ht="15" hidden="false" customHeight="true" outlineLevel="0" collapsed="false">
      <c r="A480" s="84"/>
      <c r="B480" s="2"/>
      <c r="C480" s="8" t="n">
        <v>40653</v>
      </c>
      <c r="D480" s="1" t="n">
        <v>15.5</v>
      </c>
      <c r="E480" s="1" t="n">
        <v>11.4</v>
      </c>
      <c r="F480" s="1" t="n">
        <v>20.6</v>
      </c>
      <c r="G480" s="1" t="n">
        <f aca="false">G479+D480</f>
        <v>2198.1</v>
      </c>
      <c r="H480" s="1" t="n">
        <f aca="false">H479+D480</f>
        <v>152.8</v>
      </c>
      <c r="I480" s="71" t="s">
        <v>43</v>
      </c>
      <c r="J480" s="1" t="n">
        <v>0.2</v>
      </c>
      <c r="K480" s="1" t="n">
        <f aca="false">K479+J480</f>
        <v>317.1</v>
      </c>
      <c r="L480" s="1" t="n">
        <v>4.7</v>
      </c>
      <c r="M480" s="1" t="n">
        <f aca="false">M479+L480</f>
        <v>404.3</v>
      </c>
      <c r="N480" s="1" t="n">
        <v>-4.5</v>
      </c>
      <c r="O480" s="1" t="n">
        <v>0</v>
      </c>
      <c r="P480" s="6" t="n">
        <v>225</v>
      </c>
      <c r="Q480" s="49" t="n">
        <v>1.15</v>
      </c>
      <c r="R480" s="16" t="n">
        <f aca="false">Q480*L480</f>
        <v>5.405</v>
      </c>
      <c r="S480" s="16" t="n">
        <f aca="false">J480-R480</f>
        <v>-5.205</v>
      </c>
      <c r="T480" s="17" t="n">
        <v>0</v>
      </c>
      <c r="U480" s="71" t="s">
        <v>44</v>
      </c>
      <c r="V480" s="1" t="n">
        <v>2018.1</v>
      </c>
      <c r="X480" s="1" t="n">
        <f aca="false">X479+V480</f>
        <v>201568.2</v>
      </c>
      <c r="Y480" s="1" t="n">
        <f aca="false">Y479+V480</f>
        <v>21442.3</v>
      </c>
      <c r="AA480" s="1" t="n">
        <v>13.6245237917452</v>
      </c>
    </row>
    <row r="481" s="1" customFormat="true" ht="15" hidden="false" customHeight="false" outlineLevel="0" collapsed="false">
      <c r="A481" s="84"/>
      <c r="B481" s="2"/>
      <c r="C481" s="8" t="n">
        <v>40654</v>
      </c>
      <c r="D481" s="1" t="n">
        <v>16.5</v>
      </c>
      <c r="E481" s="1" t="n">
        <v>11.9</v>
      </c>
      <c r="F481" s="1" t="n">
        <v>22.2</v>
      </c>
      <c r="G481" s="1" t="n">
        <f aca="false">G480+D481</f>
        <v>2214.6</v>
      </c>
      <c r="H481" s="1" t="n">
        <f aca="false">H480+D481</f>
        <v>169.3</v>
      </c>
      <c r="I481" s="1" t="n">
        <v>2</v>
      </c>
      <c r="J481" s="1" t="n">
        <v>0</v>
      </c>
      <c r="K481" s="1" t="n">
        <f aca="false">K480+J481</f>
        <v>317.1</v>
      </c>
      <c r="L481" s="1" t="n">
        <v>5.5</v>
      </c>
      <c r="M481" s="1" t="n">
        <f aca="false">M480+L481</f>
        <v>409.8</v>
      </c>
      <c r="N481" s="1" t="n">
        <v>-5.5</v>
      </c>
      <c r="O481" s="1" t="n">
        <v>0</v>
      </c>
      <c r="P481" s="6" t="n">
        <v>226</v>
      </c>
      <c r="Q481" s="49" t="n">
        <v>1.15</v>
      </c>
      <c r="R481" s="16" t="n">
        <f aca="false">Q481*L481</f>
        <v>6.325</v>
      </c>
      <c r="S481" s="16" t="n">
        <f aca="false">J481-R481</f>
        <v>-6.325</v>
      </c>
      <c r="T481" s="17" t="n">
        <v>0</v>
      </c>
      <c r="U481" s="18" t="n">
        <f aca="false">AVERAGE(T470:T490)</f>
        <v>2.77673655763675</v>
      </c>
      <c r="V481" s="1" t="n">
        <v>2298.7</v>
      </c>
      <c r="X481" s="1" t="n">
        <f aca="false">X480+V481</f>
        <v>203866.9</v>
      </c>
      <c r="Y481" s="1" t="n">
        <f aca="false">Y480+V481</f>
        <v>23741</v>
      </c>
      <c r="AA481" s="1" t="n">
        <v>13.6715285243625</v>
      </c>
    </row>
    <row r="482" s="1" customFormat="true" ht="15" hidden="false" customHeight="false" outlineLevel="0" collapsed="false">
      <c r="A482" s="84"/>
      <c r="B482" s="2"/>
      <c r="C482" s="8" t="n">
        <v>40655</v>
      </c>
      <c r="D482" s="1" t="n">
        <v>15.5</v>
      </c>
      <c r="E482" s="1" t="n">
        <v>11.7</v>
      </c>
      <c r="F482" s="1" t="n">
        <v>21.1</v>
      </c>
      <c r="G482" s="1" t="n">
        <f aca="false">G481+D482</f>
        <v>2230.1</v>
      </c>
      <c r="H482" s="1" t="n">
        <f aca="false">H481+D482</f>
        <v>184.8</v>
      </c>
      <c r="I482" s="71" t="s">
        <v>45</v>
      </c>
      <c r="J482" s="1" t="n">
        <v>0</v>
      </c>
      <c r="K482" s="1" t="n">
        <f aca="false">K481+J482</f>
        <v>317.1</v>
      </c>
      <c r="L482" s="1" t="n">
        <v>4.6</v>
      </c>
      <c r="M482" s="1" t="n">
        <f aca="false">M481+L482</f>
        <v>414.4</v>
      </c>
      <c r="N482" s="1" t="n">
        <v>-4.6</v>
      </c>
      <c r="O482" s="1" t="n">
        <v>0</v>
      </c>
      <c r="P482" s="6" t="n">
        <v>227</v>
      </c>
      <c r="Q482" s="49" t="n">
        <v>1.15</v>
      </c>
      <c r="R482" s="16" t="n">
        <f aca="false">Q482*L482</f>
        <v>5.29</v>
      </c>
      <c r="S482" s="16" t="n">
        <f aca="false">J482-R482</f>
        <v>-5.29</v>
      </c>
      <c r="T482" s="17" t="n">
        <v>0</v>
      </c>
      <c r="V482" s="1" t="n">
        <v>1453.3</v>
      </c>
      <c r="X482" s="1" t="n">
        <f aca="false">X481+V482</f>
        <v>205320.2</v>
      </c>
      <c r="Y482" s="1" t="n">
        <f aca="false">Y481+V482</f>
        <v>25194.3</v>
      </c>
      <c r="AA482" s="1" t="n">
        <v>13.7182826942591</v>
      </c>
    </row>
    <row r="483" s="1" customFormat="true" ht="15" hidden="false" customHeight="false" outlineLevel="0" collapsed="false">
      <c r="A483" s="84"/>
      <c r="B483" s="2"/>
      <c r="C483" s="8" t="n">
        <v>40656</v>
      </c>
      <c r="D483" s="1" t="n">
        <v>13.7</v>
      </c>
      <c r="E483" s="1" t="n">
        <v>12.1</v>
      </c>
      <c r="F483" s="1" t="n">
        <v>15.1</v>
      </c>
      <c r="G483" s="1" t="n">
        <f aca="false">G482+D483</f>
        <v>2243.8</v>
      </c>
      <c r="H483" s="1" t="n">
        <f aca="false">H482+D483</f>
        <v>198.5</v>
      </c>
      <c r="I483" s="1" t="n">
        <v>312.9</v>
      </c>
      <c r="J483" s="1" t="n">
        <v>5.6</v>
      </c>
      <c r="K483" s="1" t="n">
        <f aca="false">K482+J483</f>
        <v>322.7</v>
      </c>
      <c r="L483" s="1" t="n">
        <v>1.2</v>
      </c>
      <c r="M483" s="1" t="n">
        <f aca="false">M482+L483</f>
        <v>415.6</v>
      </c>
      <c r="N483" s="1" t="n">
        <v>4.4</v>
      </c>
      <c r="O483" s="1" t="n">
        <f aca="false">O482+N483</f>
        <v>4.4</v>
      </c>
      <c r="P483" s="6" t="n">
        <v>228</v>
      </c>
      <c r="Q483" s="49" t="n">
        <v>1.15</v>
      </c>
      <c r="R483" s="16" t="n">
        <f aca="false">Q483*L483</f>
        <v>1.38</v>
      </c>
      <c r="S483" s="16" t="n">
        <f aca="false">J483-R483</f>
        <v>4.22</v>
      </c>
      <c r="T483" s="17" t="n">
        <f aca="false">T482+S483</f>
        <v>4.22</v>
      </c>
      <c r="U483" s="16" t="n">
        <f aca="false">(U481*100)/122.1</f>
        <v>2.27414951485402</v>
      </c>
      <c r="V483" s="1" t="n">
        <v>591.6</v>
      </c>
      <c r="X483" s="1" t="n">
        <f aca="false">X482+V483</f>
        <v>205911.8</v>
      </c>
      <c r="Y483" s="1" t="n">
        <f aca="false">Y482+V483</f>
        <v>25785.9</v>
      </c>
      <c r="AA483" s="1" t="n">
        <v>13.7647746900623</v>
      </c>
    </row>
    <row r="484" s="1" customFormat="true" ht="15" hidden="false" customHeight="false" outlineLevel="0" collapsed="false">
      <c r="A484" s="84"/>
      <c r="B484" s="2"/>
      <c r="C484" s="8" t="n">
        <v>40657</v>
      </c>
      <c r="D484" s="1" t="n">
        <v>16.4</v>
      </c>
      <c r="E484" s="1" t="n">
        <v>13.3</v>
      </c>
      <c r="F484" s="1" t="n">
        <v>19.6</v>
      </c>
      <c r="G484" s="1" t="n">
        <f aca="false">G483+D484</f>
        <v>2260.2</v>
      </c>
      <c r="H484" s="1" t="n">
        <f aca="false">H483+D484</f>
        <v>214.9</v>
      </c>
      <c r="J484" s="1" t="n">
        <v>0</v>
      </c>
      <c r="K484" s="1" t="n">
        <f aca="false">K483+J484</f>
        <v>322.7</v>
      </c>
      <c r="L484" s="1" t="n">
        <v>2.8</v>
      </c>
      <c r="M484" s="1" t="n">
        <f aca="false">M483+L484</f>
        <v>418.4</v>
      </c>
      <c r="N484" s="1" t="n">
        <v>-2.8</v>
      </c>
      <c r="O484" s="1" t="n">
        <f aca="false">O483+N484</f>
        <v>1.6</v>
      </c>
      <c r="P484" s="6" t="n">
        <v>229</v>
      </c>
      <c r="Q484" s="49" t="n">
        <v>1.15</v>
      </c>
      <c r="R484" s="16" t="n">
        <f aca="false">Q484*L484</f>
        <v>3.22</v>
      </c>
      <c r="S484" s="16" t="n">
        <f aca="false">J484-R484</f>
        <v>-3.22</v>
      </c>
      <c r="T484" s="17" t="n">
        <f aca="false">T483+S484</f>
        <v>1</v>
      </c>
      <c r="V484" s="1" t="n">
        <v>1608.7</v>
      </c>
      <c r="X484" s="1" t="n">
        <f aca="false">X483+V484</f>
        <v>207520.5</v>
      </c>
      <c r="Y484" s="1" t="n">
        <f aca="false">Y483+V484</f>
        <v>27394.6</v>
      </c>
      <c r="AA484" s="1" t="n">
        <v>13.8109925427327</v>
      </c>
    </row>
    <row r="485" s="1" customFormat="true" ht="15" hidden="false" customHeight="false" outlineLevel="0" collapsed="false">
      <c r="A485" s="84"/>
      <c r="B485" s="2"/>
      <c r="C485" s="8" t="n">
        <v>40658</v>
      </c>
      <c r="D485" s="1" t="n">
        <v>16</v>
      </c>
      <c r="E485" s="1" t="n">
        <v>13.3</v>
      </c>
      <c r="F485" s="1" t="n">
        <v>20.2</v>
      </c>
      <c r="G485" s="1" t="n">
        <f aca="false">G484+D485</f>
        <v>2276.2</v>
      </c>
      <c r="H485" s="1" t="n">
        <f aca="false">H484+D485</f>
        <v>230.9</v>
      </c>
      <c r="J485" s="1" t="n">
        <v>9.3</v>
      </c>
      <c r="K485" s="1" t="n">
        <f aca="false">K484+J485</f>
        <v>332</v>
      </c>
      <c r="L485" s="1" t="n">
        <v>2.5</v>
      </c>
      <c r="M485" s="1" t="n">
        <f aca="false">M484+L485</f>
        <v>420.9</v>
      </c>
      <c r="N485" s="1" t="n">
        <v>6.8</v>
      </c>
      <c r="O485" s="1" t="n">
        <f aca="false">O484+N485</f>
        <v>8.4</v>
      </c>
      <c r="P485" s="6" t="n">
        <v>230</v>
      </c>
      <c r="Q485" s="49" t="n">
        <v>1.15</v>
      </c>
      <c r="R485" s="16" t="n">
        <f aca="false">Q485*L485</f>
        <v>2.875</v>
      </c>
      <c r="S485" s="16" t="n">
        <f aca="false">J485-R485</f>
        <v>6.425</v>
      </c>
      <c r="T485" s="17" t="n">
        <f aca="false">T484+S485</f>
        <v>7.425</v>
      </c>
      <c r="V485" s="1" t="n">
        <v>889.8</v>
      </c>
      <c r="X485" s="1" t="n">
        <f aca="false">X484+V485</f>
        <v>208410.3</v>
      </c>
      <c r="Y485" s="1" t="n">
        <f aca="false">Y484+V485</f>
        <v>28284.4</v>
      </c>
      <c r="AA485" s="1" t="n">
        <v>13.8569239194571</v>
      </c>
    </row>
    <row r="486" s="1" customFormat="true" ht="15" hidden="false" customHeight="false" outlineLevel="0" collapsed="false">
      <c r="A486" s="84"/>
      <c r="B486" s="2"/>
      <c r="C486" s="8" t="n">
        <v>40659</v>
      </c>
      <c r="D486" s="1" t="n">
        <v>17.7</v>
      </c>
      <c r="E486" s="1" t="n">
        <v>14.1</v>
      </c>
      <c r="F486" s="1" t="n">
        <v>22.1</v>
      </c>
      <c r="G486" s="1" t="n">
        <f aca="false">G485+D486</f>
        <v>2293.9</v>
      </c>
      <c r="H486" s="1" t="n">
        <f aca="false">H485+D486</f>
        <v>248.6</v>
      </c>
      <c r="J486" s="1" t="n">
        <v>0.1</v>
      </c>
      <c r="K486" s="1" t="n">
        <f aca="false">K485+J486</f>
        <v>332.1</v>
      </c>
      <c r="L486" s="1" t="n">
        <v>4.6</v>
      </c>
      <c r="M486" s="1" t="n">
        <f aca="false">M485+L486</f>
        <v>425.5</v>
      </c>
      <c r="N486" s="1" t="n">
        <v>-4.5</v>
      </c>
      <c r="O486" s="1" t="n">
        <f aca="false">O485+N486</f>
        <v>3.9</v>
      </c>
      <c r="P486" s="6" t="n">
        <v>231</v>
      </c>
      <c r="Q486" s="49" t="n">
        <v>1.15</v>
      </c>
      <c r="R486" s="16" t="n">
        <f aca="false">Q486*L486</f>
        <v>5.29</v>
      </c>
      <c r="S486" s="16" t="n">
        <f aca="false">J486-R486</f>
        <v>-5.19</v>
      </c>
      <c r="T486" s="17" t="n">
        <f aca="false">T485+S486</f>
        <v>2.235</v>
      </c>
      <c r="V486" s="1" t="n">
        <v>2190</v>
      </c>
      <c r="X486" s="1" t="n">
        <f aca="false">X485+V486</f>
        <v>210600.3</v>
      </c>
      <c r="Y486" s="1" t="n">
        <f aca="false">Y485+V486</f>
        <v>30474.4</v>
      </c>
      <c r="AA486" s="1" t="n">
        <v>13.9025561182971</v>
      </c>
    </row>
    <row r="487" s="1" customFormat="true" ht="15" hidden="false" customHeight="false" outlineLevel="0" collapsed="false">
      <c r="A487" s="84"/>
      <c r="B487" s="2"/>
      <c r="C487" s="8" t="n">
        <v>40660</v>
      </c>
      <c r="D487" s="1" t="n">
        <v>16.9</v>
      </c>
      <c r="E487" s="1" t="n">
        <v>13.4</v>
      </c>
      <c r="F487" s="1" t="n">
        <v>21.8</v>
      </c>
      <c r="G487" s="1" t="n">
        <f aca="false">G486+D487</f>
        <v>2310.8</v>
      </c>
      <c r="H487" s="1" t="n">
        <f aca="false">H486+D487</f>
        <v>265.5</v>
      </c>
      <c r="J487" s="1" t="n">
        <v>0</v>
      </c>
      <c r="K487" s="1" t="n">
        <f aca="false">K486+J487</f>
        <v>332.1</v>
      </c>
      <c r="L487" s="1" t="n">
        <v>4.4</v>
      </c>
      <c r="M487" s="1" t="n">
        <f aca="false">M486+L487</f>
        <v>429.9</v>
      </c>
      <c r="N487" s="1" t="n">
        <v>-4.4</v>
      </c>
      <c r="O487" s="1" t="n">
        <v>0</v>
      </c>
      <c r="P487" s="6" t="n">
        <v>232</v>
      </c>
      <c r="Q487" s="49" t="n">
        <v>1.15</v>
      </c>
      <c r="R487" s="16" t="n">
        <f aca="false">Q487*L487</f>
        <v>5.06</v>
      </c>
      <c r="S487" s="16" t="n">
        <f aca="false">J487-R487</f>
        <v>-5.06</v>
      </c>
      <c r="T487" s="17" t="n">
        <v>0</v>
      </c>
      <c r="V487" s="1" t="n">
        <v>2167.8</v>
      </c>
      <c r="X487" s="1" t="n">
        <f aca="false">X486+V487</f>
        <v>212768.1</v>
      </c>
      <c r="Y487" s="1" t="n">
        <f aca="false">Y486+V487</f>
        <v>32642.2</v>
      </c>
      <c r="AA487" s="1" t="n">
        <v>13.9478760636504</v>
      </c>
    </row>
    <row r="488" s="1" customFormat="true" ht="15" hidden="false" customHeight="false" outlineLevel="0" collapsed="false">
      <c r="A488" s="84"/>
      <c r="B488" s="2"/>
      <c r="C488" s="8" t="n">
        <v>40661</v>
      </c>
      <c r="D488" s="1" t="n">
        <v>15.7</v>
      </c>
      <c r="E488" s="1" t="n">
        <v>9.7</v>
      </c>
      <c r="F488" s="1" t="n">
        <v>21.3</v>
      </c>
      <c r="G488" s="1" t="n">
        <f aca="false">G487+D488</f>
        <v>2326.5</v>
      </c>
      <c r="H488" s="1" t="n">
        <f aca="false">H487+D488</f>
        <v>281.2</v>
      </c>
      <c r="J488" s="1" t="n">
        <v>0</v>
      </c>
      <c r="K488" s="1" t="n">
        <f aca="false">K487+J488</f>
        <v>332.1</v>
      </c>
      <c r="L488" s="1" t="n">
        <v>4.4</v>
      </c>
      <c r="M488" s="1" t="n">
        <f aca="false">M487+L488</f>
        <v>434.3</v>
      </c>
      <c r="N488" s="1" t="n">
        <v>-4.4</v>
      </c>
      <c r="O488" s="1" t="n">
        <v>0</v>
      </c>
      <c r="P488" s="6" t="n">
        <v>233</v>
      </c>
      <c r="Q488" s="49" t="n">
        <v>1.15</v>
      </c>
      <c r="R488" s="16" t="n">
        <f aca="false">Q488*L488</f>
        <v>5.06</v>
      </c>
      <c r="S488" s="16" t="n">
        <f aca="false">J488-R488</f>
        <v>-5.06</v>
      </c>
      <c r="T488" s="17" t="n">
        <v>0</v>
      </c>
      <c r="V488" s="1" t="n">
        <v>2498.3</v>
      </c>
      <c r="X488" s="1" t="n">
        <f aca="false">X487+V488</f>
        <v>215266.4</v>
      </c>
      <c r="Y488" s="1" t="n">
        <f aca="false">Y487+V488</f>
        <v>35140.5</v>
      </c>
      <c r="AA488" s="1" t="n">
        <v>13.9928703025815</v>
      </c>
    </row>
    <row r="489" s="1" customFormat="true" ht="15" hidden="false" customHeight="false" outlineLevel="0" collapsed="false">
      <c r="A489" s="84"/>
      <c r="B489" s="2"/>
      <c r="C489" s="8" t="n">
        <v>40662</v>
      </c>
      <c r="D489" s="1" t="n">
        <v>14.9</v>
      </c>
      <c r="E489" s="1" t="n">
        <v>7.8</v>
      </c>
      <c r="F489" s="1" t="n">
        <v>21</v>
      </c>
      <c r="G489" s="1" t="n">
        <f aca="false">G488+D489</f>
        <v>2341.4</v>
      </c>
      <c r="H489" s="1" t="n">
        <f aca="false">H488+D489</f>
        <v>296.1</v>
      </c>
      <c r="J489" s="1" t="n">
        <v>0</v>
      </c>
      <c r="K489" s="1" t="n">
        <f aca="false">K488+J489</f>
        <v>332.1</v>
      </c>
      <c r="L489" s="1" t="n">
        <v>4</v>
      </c>
      <c r="M489" s="1" t="n">
        <f aca="false">M488+L489</f>
        <v>438.3</v>
      </c>
      <c r="N489" s="1" t="n">
        <v>-4</v>
      </c>
      <c r="O489" s="1" t="n">
        <v>0</v>
      </c>
      <c r="P489" s="6" t="n">
        <v>234</v>
      </c>
      <c r="Q489" s="49" t="n">
        <v>1.15</v>
      </c>
      <c r="R489" s="16" t="n">
        <f aca="false">Q489*L489</f>
        <v>4.6</v>
      </c>
      <c r="S489" s="16" t="n">
        <f aca="false">J489-R489</f>
        <v>-4.6</v>
      </c>
      <c r="T489" s="17" t="n">
        <v>0</v>
      </c>
      <c r="V489" s="1" t="n">
        <v>2345.4</v>
      </c>
      <c r="X489" s="1" t="n">
        <f aca="false">X488+V489</f>
        <v>217611.8</v>
      </c>
      <c r="Y489" s="1" t="n">
        <f aca="false">Y488+V489</f>
        <v>37485.9</v>
      </c>
      <c r="AA489" s="1" t="n">
        <v>14.0375250020838</v>
      </c>
    </row>
    <row r="490" s="31" customFormat="true" ht="15" hidden="false" customHeight="false" outlineLevel="0" collapsed="false">
      <c r="A490" s="84"/>
      <c r="B490" s="29" t="n">
        <v>300</v>
      </c>
      <c r="C490" s="30" t="n">
        <v>40663</v>
      </c>
      <c r="D490" s="31" t="n">
        <v>16.8</v>
      </c>
      <c r="E490" s="31" t="n">
        <v>11.8</v>
      </c>
      <c r="F490" s="31" t="n">
        <v>23</v>
      </c>
      <c r="G490" s="31" t="n">
        <f aca="false">G489+D490</f>
        <v>2358.2</v>
      </c>
      <c r="H490" s="31" t="n">
        <f aca="false">H489+D490</f>
        <v>312.9</v>
      </c>
      <c r="J490" s="31" t="n">
        <v>0</v>
      </c>
      <c r="K490" s="31" t="n">
        <f aca="false">K489+J490</f>
        <v>332.1</v>
      </c>
      <c r="L490" s="31" t="n">
        <v>5.2</v>
      </c>
      <c r="M490" s="31" t="n">
        <f aca="false">M489+L490</f>
        <v>443.5</v>
      </c>
      <c r="N490" s="31" t="n">
        <v>-5.2</v>
      </c>
      <c r="O490" s="31" t="n">
        <v>0</v>
      </c>
      <c r="P490" s="32" t="n">
        <v>235</v>
      </c>
      <c r="Q490" s="31" t="n">
        <v>1.15</v>
      </c>
      <c r="R490" s="33" t="n">
        <f aca="false">Q490*L490</f>
        <v>5.98</v>
      </c>
      <c r="S490" s="33" t="n">
        <f aca="false">J490-R490</f>
        <v>-5.98</v>
      </c>
      <c r="T490" s="34" t="n">
        <v>0</v>
      </c>
      <c r="V490" s="31" t="n">
        <v>2369.3</v>
      </c>
      <c r="X490" s="31" t="n">
        <f aca="false">X489+V490</f>
        <v>219981.1</v>
      </c>
      <c r="Y490" s="31" t="n">
        <f aca="false">Y489+V490</f>
        <v>39855.2</v>
      </c>
      <c r="AA490" s="31" t="n">
        <v>14.0818259473327</v>
      </c>
    </row>
    <row r="491" s="1" customFormat="true" ht="15" hidden="false" customHeight="false" outlineLevel="0" collapsed="false">
      <c r="A491" s="85" t="n">
        <v>600</v>
      </c>
      <c r="B491" s="2"/>
      <c r="C491" s="8" t="n">
        <v>40664</v>
      </c>
      <c r="D491" s="1" t="n">
        <v>17.3</v>
      </c>
      <c r="E491" s="1" t="n">
        <v>11.8</v>
      </c>
      <c r="F491" s="1" t="n">
        <v>22.5</v>
      </c>
      <c r="G491" s="1" t="n">
        <f aca="false">G490+D491</f>
        <v>2375.5</v>
      </c>
      <c r="H491" s="1" t="n">
        <v>17.3</v>
      </c>
      <c r="I491" s="73" t="s">
        <v>30</v>
      </c>
      <c r="J491" s="1" t="n">
        <v>0</v>
      </c>
      <c r="K491" s="1" t="n">
        <f aca="false">K490+J491</f>
        <v>332.1</v>
      </c>
      <c r="L491" s="1" t="n">
        <v>3.7</v>
      </c>
      <c r="M491" s="1" t="n">
        <f aca="false">M490+L491</f>
        <v>447.2</v>
      </c>
      <c r="N491" s="1" t="n">
        <v>-3.7</v>
      </c>
      <c r="O491" s="1" t="n">
        <v>0</v>
      </c>
      <c r="P491" s="6" t="n">
        <v>236</v>
      </c>
      <c r="Q491" s="1" t="n">
        <f aca="false">1.15+((P491-235)/40)*(0.35-1.15)</f>
        <v>1.13</v>
      </c>
      <c r="R491" s="16" t="n">
        <f aca="false">Q491*L491</f>
        <v>4.181</v>
      </c>
      <c r="S491" s="16" t="n">
        <f aca="false">J491-R491</f>
        <v>-4.181</v>
      </c>
      <c r="T491" s="17" t="n">
        <v>0</v>
      </c>
      <c r="U491" s="73" t="s">
        <v>31</v>
      </c>
      <c r="V491" s="1" t="n">
        <v>1869.9</v>
      </c>
      <c r="X491" s="1" t="n">
        <f aca="false">X490+V491</f>
        <v>221851</v>
      </c>
      <c r="Y491" s="1" t="n">
        <v>1869.9</v>
      </c>
      <c r="Z491" s="73" t="s">
        <v>32</v>
      </c>
      <c r="AA491" s="1" t="n">
        <v>14.1257585409945</v>
      </c>
    </row>
    <row r="492" s="1" customFormat="true" ht="15" hidden="false" customHeight="false" outlineLevel="0" collapsed="false">
      <c r="A492" s="85"/>
      <c r="B492" s="2"/>
      <c r="C492" s="8" t="n">
        <v>40665</v>
      </c>
      <c r="D492" s="1" t="n">
        <v>17.5</v>
      </c>
      <c r="E492" s="1" t="n">
        <v>14.3</v>
      </c>
      <c r="F492" s="1" t="n">
        <v>21</v>
      </c>
      <c r="G492" s="1" t="n">
        <f aca="false">G491+D492</f>
        <v>2393</v>
      </c>
      <c r="H492" s="1" t="n">
        <f aca="false">H491+D492</f>
        <v>34.8</v>
      </c>
      <c r="I492" s="1" t="n">
        <f aca="false">MIN(E491:E507)</f>
        <v>10</v>
      </c>
      <c r="J492" s="1" t="n">
        <v>1.4</v>
      </c>
      <c r="K492" s="1" t="n">
        <f aca="false">K491+J492</f>
        <v>333.5</v>
      </c>
      <c r="L492" s="1" t="n">
        <v>4.2</v>
      </c>
      <c r="M492" s="1" t="n">
        <f aca="false">M491+L492</f>
        <v>451.4</v>
      </c>
      <c r="N492" s="1" t="n">
        <v>-2.8</v>
      </c>
      <c r="O492" s="1" t="n">
        <v>0</v>
      </c>
      <c r="P492" s="6" t="n">
        <v>237</v>
      </c>
      <c r="Q492" s="1" t="n">
        <f aca="false">1.15+((P492-235)/40)*(0.35-1.15)</f>
        <v>1.11</v>
      </c>
      <c r="R492" s="16" t="n">
        <f aca="false">Q492*L492</f>
        <v>4.662</v>
      </c>
      <c r="S492" s="16" t="n">
        <f aca="false">J492-R492</f>
        <v>-3.262</v>
      </c>
      <c r="T492" s="17" t="n">
        <v>0</v>
      </c>
      <c r="U492" s="1" t="n">
        <v>15</v>
      </c>
      <c r="V492" s="1" t="n">
        <v>2064.2</v>
      </c>
      <c r="X492" s="1" t="n">
        <f aca="false">X491+V492</f>
        <v>223915.2</v>
      </c>
      <c r="Y492" s="1" t="n">
        <f aca="false">Y491+V492</f>
        <v>3934.1</v>
      </c>
      <c r="Z492" s="1" t="n">
        <v>34533.7</v>
      </c>
      <c r="AA492" s="1" t="n">
        <v>14.1693078036548</v>
      </c>
    </row>
    <row r="493" s="1" customFormat="true" ht="15" hidden="false" customHeight="false" outlineLevel="0" collapsed="false">
      <c r="A493" s="85"/>
      <c r="B493" s="2"/>
      <c r="C493" s="8" t="n">
        <v>40666</v>
      </c>
      <c r="D493" s="1" t="n">
        <v>17.2</v>
      </c>
      <c r="E493" s="1" t="n">
        <v>14.7</v>
      </c>
      <c r="F493" s="1" t="n">
        <v>20.3</v>
      </c>
      <c r="G493" s="1" t="n">
        <f aca="false">G492+D493</f>
        <v>2410.2</v>
      </c>
      <c r="H493" s="1" t="n">
        <f aca="false">H492+D493</f>
        <v>52</v>
      </c>
      <c r="I493" s="73" t="s">
        <v>33</v>
      </c>
      <c r="J493" s="1" t="n">
        <v>5.7</v>
      </c>
      <c r="K493" s="1" t="n">
        <f aca="false">K492+J493</f>
        <v>339.2</v>
      </c>
      <c r="L493" s="1" t="n">
        <v>3</v>
      </c>
      <c r="M493" s="1" t="n">
        <f aca="false">M492+L493</f>
        <v>454.4</v>
      </c>
      <c r="N493" s="1" t="n">
        <v>2.7</v>
      </c>
      <c r="O493" s="1" t="n">
        <f aca="false">O492+N493</f>
        <v>2.7</v>
      </c>
      <c r="P493" s="6" t="n">
        <v>238</v>
      </c>
      <c r="Q493" s="1" t="n">
        <f aca="false">1.15+((P493-235)/40)*(0.35-1.15)</f>
        <v>1.09</v>
      </c>
      <c r="R493" s="16" t="n">
        <f aca="false">Q493*L493</f>
        <v>3.27</v>
      </c>
      <c r="S493" s="16" t="n">
        <f aca="false">J493-R493</f>
        <v>2.43</v>
      </c>
      <c r="T493" s="17" t="n">
        <f aca="false">T492+S493</f>
        <v>2.43</v>
      </c>
      <c r="U493" s="73" t="s">
        <v>34</v>
      </c>
      <c r="V493" s="1" t="n">
        <v>1311.3</v>
      </c>
      <c r="X493" s="1" t="n">
        <f aca="false">X492+V493</f>
        <v>225226.5</v>
      </c>
      <c r="Y493" s="1" t="n">
        <f aca="false">Y492+V493</f>
        <v>5245.4</v>
      </c>
      <c r="Z493" s="73" t="s">
        <v>35</v>
      </c>
      <c r="AA493" s="1" t="n">
        <v>14.2124583754325</v>
      </c>
    </row>
    <row r="494" s="1" customFormat="true" ht="15" hidden="false" customHeight="false" outlineLevel="0" collapsed="false">
      <c r="A494" s="85"/>
      <c r="B494" s="2"/>
      <c r="C494" s="8" t="n">
        <v>40667</v>
      </c>
      <c r="D494" s="1" t="n">
        <v>16.7</v>
      </c>
      <c r="E494" s="1" t="n">
        <v>12.8</v>
      </c>
      <c r="F494" s="1" t="n">
        <v>20.9</v>
      </c>
      <c r="G494" s="1" t="n">
        <f aca="false">G493+D494</f>
        <v>2426.9</v>
      </c>
      <c r="H494" s="1" t="n">
        <f aca="false">H493+D494</f>
        <v>68.7</v>
      </c>
      <c r="I494" s="1" t="n">
        <f aca="false">MAX(F491:F507)</f>
        <v>27.9</v>
      </c>
      <c r="J494" s="1" t="n">
        <v>0</v>
      </c>
      <c r="K494" s="1" t="n">
        <f aca="false">K493+J494</f>
        <v>339.2</v>
      </c>
      <c r="L494" s="1" t="n">
        <v>3.9</v>
      </c>
      <c r="M494" s="1" t="n">
        <f aca="false">M493+L494</f>
        <v>458.3</v>
      </c>
      <c r="N494" s="1" t="n">
        <v>-3.9</v>
      </c>
      <c r="O494" s="1" t="n">
        <v>0</v>
      </c>
      <c r="P494" s="6" t="n">
        <v>239</v>
      </c>
      <c r="Q494" s="1" t="n">
        <f aca="false">1.15+((P494-235)/40)*(0.35-1.15)</f>
        <v>1.07</v>
      </c>
      <c r="R494" s="16" t="n">
        <f aca="false">Q494*L494</f>
        <v>4.173</v>
      </c>
      <c r="S494" s="16" t="n">
        <f aca="false">J494-R494</f>
        <v>-4.173</v>
      </c>
      <c r="T494" s="17" t="n">
        <v>0</v>
      </c>
      <c r="U494" s="1" t="n">
        <v>13</v>
      </c>
      <c r="V494" s="1" t="n">
        <v>1985.8</v>
      </c>
      <c r="X494" s="1" t="n">
        <f aca="false">X493+V494</f>
        <v>227212.3</v>
      </c>
      <c r="Y494" s="1" t="n">
        <f aca="false">Y493+V494</f>
        <v>7231.2</v>
      </c>
      <c r="Z494" s="18" t="n">
        <f aca="false">(Z492/100)/I504</f>
        <v>1.12671125611746</v>
      </c>
      <c r="AA494" s="1" t="n">
        <v>14.2551945188435</v>
      </c>
    </row>
    <row r="495" s="1" customFormat="true" ht="15" hidden="false" customHeight="false" outlineLevel="0" collapsed="false">
      <c r="A495" s="85"/>
      <c r="B495" s="2"/>
      <c r="C495" s="8" t="n">
        <v>40668</v>
      </c>
      <c r="D495" s="1" t="n">
        <v>17.7</v>
      </c>
      <c r="E495" s="1" t="n">
        <v>10.5</v>
      </c>
      <c r="F495" s="1" t="n">
        <v>23.7</v>
      </c>
      <c r="G495" s="1" t="n">
        <f aca="false">G494+D495</f>
        <v>2444.6</v>
      </c>
      <c r="H495" s="1" t="n">
        <f aca="false">H494+D495</f>
        <v>86.4</v>
      </c>
      <c r="I495" s="73" t="s">
        <v>36</v>
      </c>
      <c r="J495" s="1" t="n">
        <v>0</v>
      </c>
      <c r="K495" s="1" t="n">
        <f aca="false">K494+J495</f>
        <v>339.2</v>
      </c>
      <c r="L495" s="1" t="n">
        <v>4.6</v>
      </c>
      <c r="M495" s="1" t="n">
        <f aca="false">M494+L495</f>
        <v>462.9</v>
      </c>
      <c r="N495" s="1" t="n">
        <v>-4.6</v>
      </c>
      <c r="O495" s="1" t="n">
        <v>0</v>
      </c>
      <c r="P495" s="6" t="n">
        <v>240</v>
      </c>
      <c r="Q495" s="1" t="n">
        <f aca="false">1.15+((P495-235)/40)*(0.35-1.15)</f>
        <v>1.05</v>
      </c>
      <c r="R495" s="16" t="n">
        <f aca="false">Q495*L495</f>
        <v>4.83</v>
      </c>
      <c r="S495" s="16" t="n">
        <f aca="false">J495-R495</f>
        <v>-4.83</v>
      </c>
      <c r="T495" s="17" t="n">
        <v>0</v>
      </c>
      <c r="U495" s="73" t="s">
        <v>37</v>
      </c>
      <c r="V495" s="1" t="n">
        <v>2298.3</v>
      </c>
      <c r="X495" s="1" t="n">
        <f aca="false">X494+V495</f>
        <v>229510.6</v>
      </c>
      <c r="Y495" s="1" t="n">
        <f aca="false">Y494+V495</f>
        <v>9529.5</v>
      </c>
      <c r="Z495" s="73" t="s">
        <v>38</v>
      </c>
      <c r="AA495" s="1" t="n">
        <v>14.2975001229827</v>
      </c>
    </row>
    <row r="496" s="1" customFormat="true" ht="15" hidden="false" customHeight="false" outlineLevel="0" collapsed="false">
      <c r="A496" s="85"/>
      <c r="B496" s="2"/>
      <c r="C496" s="8" t="n">
        <v>40669</v>
      </c>
      <c r="D496" s="1" t="n">
        <v>18.6</v>
      </c>
      <c r="E496" s="1" t="n">
        <v>15.7</v>
      </c>
      <c r="F496" s="1" t="n">
        <v>22.5</v>
      </c>
      <c r="G496" s="1" t="n">
        <f aca="false">G495+D496</f>
        <v>2463.2</v>
      </c>
      <c r="H496" s="1" t="n">
        <f aca="false">H495+D496</f>
        <v>105</v>
      </c>
      <c r="I496" s="16" t="n">
        <f aca="false">AVERAGE(D491:D507)</f>
        <v>18.0294117647059</v>
      </c>
      <c r="J496" s="1" t="n">
        <v>0</v>
      </c>
      <c r="K496" s="1" t="n">
        <f aca="false">K495+J496</f>
        <v>339.2</v>
      </c>
      <c r="L496" s="1" t="n">
        <v>5.6</v>
      </c>
      <c r="M496" s="1" t="n">
        <f aca="false">M495+L496</f>
        <v>468.5</v>
      </c>
      <c r="N496" s="1" t="n">
        <v>-5.6</v>
      </c>
      <c r="O496" s="1" t="n">
        <v>0</v>
      </c>
      <c r="P496" s="6" t="n">
        <v>241</v>
      </c>
      <c r="Q496" s="1" t="n">
        <f aca="false">1.15+((P496-235)/40)*(0.35-1.15)</f>
        <v>1.03</v>
      </c>
      <c r="R496" s="16" t="n">
        <f aca="false">Q496*L496</f>
        <v>5.768</v>
      </c>
      <c r="S496" s="16" t="n">
        <f aca="false">J496-R496</f>
        <v>-5.768</v>
      </c>
      <c r="T496" s="17" t="n">
        <v>0</v>
      </c>
      <c r="U496" s="49" t="n">
        <v>4</v>
      </c>
      <c r="V496" s="1" t="n">
        <v>2426.6</v>
      </c>
      <c r="X496" s="1" t="n">
        <f aca="false">X495+V496</f>
        <v>231937.2</v>
      </c>
      <c r="Y496" s="1" t="n">
        <f aca="false">Y495+V496</f>
        <v>11956.1</v>
      </c>
      <c r="Z496" s="1" t="n">
        <v>1</v>
      </c>
      <c r="AA496" s="1" t="n">
        <v>14.3393587090866</v>
      </c>
    </row>
    <row r="497" s="1" customFormat="true" ht="15" hidden="false" customHeight="false" outlineLevel="0" collapsed="false">
      <c r="A497" s="85"/>
      <c r="B497" s="2"/>
      <c r="C497" s="8" t="n">
        <v>40670</v>
      </c>
      <c r="D497" s="1" t="n">
        <v>16.9</v>
      </c>
      <c r="E497" s="1" t="n">
        <v>16.1</v>
      </c>
      <c r="F497" s="1" t="n">
        <v>17.7</v>
      </c>
      <c r="G497" s="1" t="n">
        <f aca="false">G496+D497</f>
        <v>2480.1</v>
      </c>
      <c r="H497" s="1" t="n">
        <f aca="false">H496+D497</f>
        <v>121.9</v>
      </c>
      <c r="I497" s="73" t="s">
        <v>39</v>
      </c>
      <c r="J497" s="1" t="n">
        <v>0</v>
      </c>
      <c r="K497" s="1" t="n">
        <f aca="false">K496+J497</f>
        <v>339.2</v>
      </c>
      <c r="L497" s="1" t="n">
        <v>2.9</v>
      </c>
      <c r="M497" s="1" t="n">
        <f aca="false">M496+L497</f>
        <v>471.4</v>
      </c>
      <c r="N497" s="1" t="n">
        <v>-2.9</v>
      </c>
      <c r="O497" s="1" t="n">
        <v>0</v>
      </c>
      <c r="P497" s="6" t="n">
        <v>242</v>
      </c>
      <c r="Q497" s="1" t="n">
        <f aca="false">1.15+((P497-235)/40)*(0.35-1.15)</f>
        <v>1.01</v>
      </c>
      <c r="R497" s="16" t="n">
        <f aca="false">Q497*L497</f>
        <v>2.929</v>
      </c>
      <c r="S497" s="16" t="n">
        <f aca="false">J497-R497</f>
        <v>-2.929</v>
      </c>
      <c r="T497" s="17" t="n">
        <v>0</v>
      </c>
      <c r="U497" s="73" t="s">
        <v>40</v>
      </c>
      <c r="V497" s="1" t="n">
        <v>904.6</v>
      </c>
      <c r="X497" s="1" t="n">
        <f aca="false">X496+V497</f>
        <v>232841.8</v>
      </c>
      <c r="Y497" s="1" t="n">
        <f aca="false">Y496+V497</f>
        <v>12860.7</v>
      </c>
      <c r="AA497" s="1" t="n">
        <v>14.3807534375437</v>
      </c>
    </row>
    <row r="498" s="49" customFormat="true" ht="15" hidden="false" customHeight="false" outlineLevel="0" collapsed="false">
      <c r="A498" s="85"/>
      <c r="B498" s="47"/>
      <c r="C498" s="48" t="n">
        <v>40671</v>
      </c>
      <c r="D498" s="49" t="n">
        <v>19.5</v>
      </c>
      <c r="E498" s="49" t="n">
        <v>15.8</v>
      </c>
      <c r="F498" s="49" t="n">
        <v>24</v>
      </c>
      <c r="G498" s="49" t="n">
        <f aca="false">G497+D498</f>
        <v>2499.6</v>
      </c>
      <c r="H498" s="49" t="n">
        <f aca="false">H497+D498</f>
        <v>141.4</v>
      </c>
      <c r="I498" s="49" t="n">
        <v>0</v>
      </c>
      <c r="J498" s="49" t="n">
        <v>0</v>
      </c>
      <c r="K498" s="49" t="n">
        <f aca="false">K497+J498</f>
        <v>339.2</v>
      </c>
      <c r="L498" s="49" t="n">
        <v>5.1</v>
      </c>
      <c r="M498" s="49" t="n">
        <f aca="false">M497+L498</f>
        <v>476.5</v>
      </c>
      <c r="N498" s="49" t="n">
        <v>-5.1</v>
      </c>
      <c r="O498" s="49" t="n">
        <v>0</v>
      </c>
      <c r="P498" s="51" t="n">
        <v>243</v>
      </c>
      <c r="Q498" s="1" t="n">
        <f aca="false">1.15+((P498-235)/40)*(0.35-1.15)</f>
        <v>0.99</v>
      </c>
      <c r="R498" s="52" t="n">
        <f aca="false">Q498*L498</f>
        <v>5.049</v>
      </c>
      <c r="S498" s="16" t="n">
        <f aca="false">J498-R498</f>
        <v>-5.049</v>
      </c>
      <c r="T498" s="17" t="n">
        <v>0</v>
      </c>
      <c r="U498" s="1" t="n">
        <v>0</v>
      </c>
      <c r="V498" s="49" t="n">
        <v>2496.4</v>
      </c>
      <c r="W498" s="49" t="n">
        <f aca="false">(Y498/100)/H498</f>
        <v>1.08607496463932</v>
      </c>
      <c r="X498" s="49" t="n">
        <f aca="false">X497+V498</f>
        <v>235338.2</v>
      </c>
      <c r="Y498" s="1" t="n">
        <f aca="false">Y497+V498</f>
        <v>15357.1</v>
      </c>
      <c r="AA498" s="49" t="n">
        <v>14.4216671164141</v>
      </c>
    </row>
    <row r="499" s="1" customFormat="true" ht="15" hidden="false" customHeight="true" outlineLevel="0" collapsed="false">
      <c r="A499" s="85"/>
      <c r="B499" s="2"/>
      <c r="C499" s="8" t="n">
        <v>40672</v>
      </c>
      <c r="D499" s="1" t="n">
        <v>19.7</v>
      </c>
      <c r="E499" s="1" t="n">
        <v>13.6</v>
      </c>
      <c r="F499" s="1" t="n">
        <v>27.7</v>
      </c>
      <c r="G499" s="1" t="n">
        <f aca="false">G498+D499</f>
        <v>2519.3</v>
      </c>
      <c r="H499" s="1" t="n">
        <f aca="false">H498+D499</f>
        <v>161.1</v>
      </c>
      <c r="I499" s="73" t="s">
        <v>41</v>
      </c>
      <c r="J499" s="1" t="n">
        <v>0</v>
      </c>
      <c r="K499" s="1" t="n">
        <f aca="false">K498+J499</f>
        <v>339.2</v>
      </c>
      <c r="L499" s="1" t="n">
        <v>5.6</v>
      </c>
      <c r="M499" s="1" t="n">
        <f aca="false">M498+L499</f>
        <v>482.1</v>
      </c>
      <c r="N499" s="1" t="n">
        <v>-5.6</v>
      </c>
      <c r="O499" s="1" t="n">
        <v>0</v>
      </c>
      <c r="P499" s="6" t="n">
        <v>244</v>
      </c>
      <c r="Q499" s="1" t="n">
        <f aca="false">1.15+((P499-235)/40)*(0.35-1.15)</f>
        <v>0.97</v>
      </c>
      <c r="R499" s="16" t="n">
        <f aca="false">Q499*L499</f>
        <v>5.432</v>
      </c>
      <c r="S499" s="16" t="n">
        <f aca="false">J499-R499</f>
        <v>-5.432</v>
      </c>
      <c r="T499" s="17" t="n">
        <v>0</v>
      </c>
      <c r="U499" s="73" t="s">
        <v>42</v>
      </c>
      <c r="V499" s="1" t="n">
        <v>2480.7</v>
      </c>
      <c r="X499" s="1" t="n">
        <f aca="false">X498+V499</f>
        <v>237818.9</v>
      </c>
      <c r="Y499" s="1" t="n">
        <f aca="false">Y498+V499</f>
        <v>17837.8</v>
      </c>
      <c r="AA499" s="1" t="n">
        <v>14.4620822115202</v>
      </c>
    </row>
    <row r="500" s="1" customFormat="true" ht="15" hidden="false" customHeight="false" outlineLevel="0" collapsed="false">
      <c r="A500" s="85"/>
      <c r="B500" s="2"/>
      <c r="C500" s="8" t="n">
        <v>40673</v>
      </c>
      <c r="D500" s="1" t="n">
        <v>19.4</v>
      </c>
      <c r="E500" s="1" t="n">
        <v>15</v>
      </c>
      <c r="F500" s="1" t="n">
        <v>23.4</v>
      </c>
      <c r="G500" s="1" t="n">
        <f aca="false">G499+D500</f>
        <v>2538.7</v>
      </c>
      <c r="H500" s="1" t="n">
        <f aca="false">H499+D500</f>
        <v>180.5</v>
      </c>
      <c r="I500" s="1" t="n">
        <v>4</v>
      </c>
      <c r="J500" s="1" t="n">
        <v>0</v>
      </c>
      <c r="K500" s="1" t="n">
        <f aca="false">K499+J500</f>
        <v>339.2</v>
      </c>
      <c r="L500" s="1" t="n">
        <v>4.7</v>
      </c>
      <c r="M500" s="1" t="n">
        <f aca="false">M499+L500</f>
        <v>486.8</v>
      </c>
      <c r="N500" s="1" t="n">
        <v>-4.7</v>
      </c>
      <c r="O500" s="1" t="n">
        <v>0</v>
      </c>
      <c r="P500" s="6" t="n">
        <v>245</v>
      </c>
      <c r="Q500" s="1" t="n">
        <f aca="false">1.15+((P500-235)/40)*(0.35-1.15)</f>
        <v>0.95</v>
      </c>
      <c r="R500" s="16" t="n">
        <f aca="false">Q500*L500</f>
        <v>4.465</v>
      </c>
      <c r="S500" s="16" t="n">
        <f aca="false">J500-R500</f>
        <v>-4.465</v>
      </c>
      <c r="T500" s="17" t="n">
        <v>0</v>
      </c>
      <c r="U500" s="16" t="n">
        <f aca="false">MAX(T491:T507)</f>
        <v>8.947</v>
      </c>
      <c r="V500" s="1" t="n">
        <v>2199.4</v>
      </c>
      <c r="X500" s="1" t="n">
        <f aca="false">X499+V500</f>
        <v>240018.3</v>
      </c>
      <c r="Y500" s="1" t="n">
        <f aca="false">Y499+V500</f>
        <v>20037.2</v>
      </c>
      <c r="AA500" s="1" t="n">
        <v>14.5019808581661</v>
      </c>
    </row>
    <row r="501" s="1" customFormat="true" ht="15" hidden="false" customHeight="false" outlineLevel="0" collapsed="false">
      <c r="A501" s="85"/>
      <c r="B501" s="2"/>
      <c r="C501" s="8" t="n">
        <v>40674</v>
      </c>
      <c r="D501" s="1" t="n">
        <v>21.1</v>
      </c>
      <c r="E501" s="1" t="n">
        <v>13.8</v>
      </c>
      <c r="F501" s="1" t="n">
        <v>27.9</v>
      </c>
      <c r="G501" s="1" t="n">
        <f aca="false">G500+D501</f>
        <v>2559.8</v>
      </c>
      <c r="H501" s="1" t="n">
        <f aca="false">H500+D501</f>
        <v>201.6</v>
      </c>
      <c r="I501" s="73" t="s">
        <v>43</v>
      </c>
      <c r="J501" s="1" t="n">
        <v>0</v>
      </c>
      <c r="K501" s="1" t="n">
        <f aca="false">K500+J501</f>
        <v>339.2</v>
      </c>
      <c r="L501" s="1" t="n">
        <v>4.9</v>
      </c>
      <c r="M501" s="1" t="n">
        <f aca="false">M500+L501</f>
        <v>491.7</v>
      </c>
      <c r="N501" s="1" t="n">
        <v>-4.9</v>
      </c>
      <c r="O501" s="1" t="n">
        <v>0</v>
      </c>
      <c r="P501" s="6" t="n">
        <v>246</v>
      </c>
      <c r="Q501" s="1" t="n">
        <f aca="false">1.15+((P501-235)/40)*(0.35-1.15)</f>
        <v>0.93</v>
      </c>
      <c r="R501" s="16" t="n">
        <f aca="false">Q501*L501</f>
        <v>4.557</v>
      </c>
      <c r="S501" s="16" t="n">
        <f aca="false">J501-R501</f>
        <v>-4.557</v>
      </c>
      <c r="T501" s="17" t="n">
        <v>0</v>
      </c>
      <c r="U501" s="73" t="s">
        <v>44</v>
      </c>
      <c r="V501" s="1" t="n">
        <v>2249.9</v>
      </c>
      <c r="X501" s="1" t="n">
        <f aca="false">X500+V501</f>
        <v>242268.2</v>
      </c>
      <c r="Y501" s="1" t="n">
        <f aca="false">Y500+V501</f>
        <v>22287.1</v>
      </c>
      <c r="AA501" s="1" t="n">
        <v>14.5413448745408</v>
      </c>
    </row>
    <row r="502" s="1" customFormat="true" ht="15" hidden="false" customHeight="false" outlineLevel="0" collapsed="false">
      <c r="A502" s="85"/>
      <c r="B502" s="2"/>
      <c r="C502" s="8" t="n">
        <v>40675</v>
      </c>
      <c r="D502" s="1" t="n">
        <v>19</v>
      </c>
      <c r="E502" s="1" t="n">
        <v>17.4</v>
      </c>
      <c r="F502" s="1" t="n">
        <v>20.8</v>
      </c>
      <c r="G502" s="1" t="n">
        <f aca="false">G501+D502</f>
        <v>2578.8</v>
      </c>
      <c r="H502" s="1" t="n">
        <f aca="false">H501+D502</f>
        <v>220.6</v>
      </c>
      <c r="I502" s="1" t="n">
        <v>0</v>
      </c>
      <c r="J502" s="1" t="n">
        <v>0.1</v>
      </c>
      <c r="K502" s="1" t="n">
        <f aca="false">K501+J502</f>
        <v>339.3</v>
      </c>
      <c r="L502" s="1" t="n">
        <v>2.5</v>
      </c>
      <c r="M502" s="1" t="n">
        <f aca="false">M501+L502</f>
        <v>494.2</v>
      </c>
      <c r="N502" s="1" t="n">
        <v>-2.4</v>
      </c>
      <c r="O502" s="1" t="n">
        <v>0</v>
      </c>
      <c r="P502" s="6" t="n">
        <v>247</v>
      </c>
      <c r="Q502" s="1" t="n">
        <f aca="false">1.15+((P502-235)/40)*(0.35-1.15)</f>
        <v>0.91</v>
      </c>
      <c r="R502" s="16" t="n">
        <f aca="false">Q502*L502</f>
        <v>2.275</v>
      </c>
      <c r="S502" s="16" t="n">
        <f aca="false">J502-R502</f>
        <v>-2.175</v>
      </c>
      <c r="T502" s="17" t="n">
        <v>0</v>
      </c>
      <c r="U502" s="18" t="n">
        <f aca="false">AVERAGE(T491:T507)</f>
        <v>0.958176470588235</v>
      </c>
      <c r="V502" s="1" t="n">
        <v>991.4</v>
      </c>
      <c r="X502" s="1" t="n">
        <f aca="false">X501+V502</f>
        <v>243259.6</v>
      </c>
      <c r="Y502" s="1" t="n">
        <f aca="false">Y501+V502</f>
        <v>23278.5</v>
      </c>
      <c r="AA502" s="1" t="n">
        <v>14.580155776856</v>
      </c>
    </row>
    <row r="503" s="1" customFormat="true" ht="15" hidden="false" customHeight="false" outlineLevel="0" collapsed="false">
      <c r="A503" s="85"/>
      <c r="B503" s="2"/>
      <c r="C503" s="8" t="n">
        <v>40676</v>
      </c>
      <c r="D503" s="1" t="n">
        <v>21.3</v>
      </c>
      <c r="E503" s="1" t="n">
        <v>17.4</v>
      </c>
      <c r="F503" s="1" t="n">
        <v>26.2</v>
      </c>
      <c r="G503" s="1" t="n">
        <f aca="false">G502+D503</f>
        <v>2600.1</v>
      </c>
      <c r="H503" s="1" t="n">
        <f aca="false">H502+D503</f>
        <v>241.9</v>
      </c>
      <c r="I503" s="73" t="s">
        <v>45</v>
      </c>
      <c r="J503" s="1" t="n">
        <v>0</v>
      </c>
      <c r="K503" s="1" t="n">
        <f aca="false">K502+J503</f>
        <v>339.3</v>
      </c>
      <c r="L503" s="1" t="n">
        <v>4.2</v>
      </c>
      <c r="M503" s="1" t="n">
        <f aca="false">M502+L503</f>
        <v>498.4</v>
      </c>
      <c r="N503" s="1" t="n">
        <v>-4.2</v>
      </c>
      <c r="O503" s="1" t="n">
        <v>0</v>
      </c>
      <c r="P503" s="6" t="n">
        <v>248</v>
      </c>
      <c r="Q503" s="1" t="n">
        <f aca="false">1.15+((P503-235)/40)*(0.35-1.15)</f>
        <v>0.89</v>
      </c>
      <c r="R503" s="16" t="n">
        <f aca="false">Q503*L503</f>
        <v>3.738</v>
      </c>
      <c r="S503" s="16" t="n">
        <f aca="false">J503-R503</f>
        <v>-3.738</v>
      </c>
      <c r="T503" s="17" t="n">
        <v>0</v>
      </c>
      <c r="V503" s="1" t="n">
        <v>1876.9</v>
      </c>
      <c r="X503" s="1" t="n">
        <f aca="false">X502+V503</f>
        <v>245136.5</v>
      </c>
      <c r="Y503" s="1" t="n">
        <f aca="false">Y502+V503</f>
        <v>25155.4</v>
      </c>
      <c r="AA503" s="1" t="n">
        <v>14.6183947962635</v>
      </c>
    </row>
    <row r="504" s="1" customFormat="true" ht="15" hidden="false" customHeight="false" outlineLevel="0" collapsed="false">
      <c r="A504" s="85"/>
      <c r="B504" s="2"/>
      <c r="C504" s="8" t="n">
        <v>40677</v>
      </c>
      <c r="D504" s="1" t="n">
        <v>15.2</v>
      </c>
      <c r="E504" s="1" t="n">
        <v>14.8</v>
      </c>
      <c r="F504" s="1" t="n">
        <v>16.8</v>
      </c>
      <c r="G504" s="1" t="n">
        <f aca="false">G503+D504</f>
        <v>2615.3</v>
      </c>
      <c r="H504" s="1" t="n">
        <f aca="false">H503+D504</f>
        <v>257.1</v>
      </c>
      <c r="I504" s="1" t="n">
        <v>306.5</v>
      </c>
      <c r="J504" s="1" t="n">
        <v>10.6</v>
      </c>
      <c r="K504" s="1" t="n">
        <f aca="false">K503+J504</f>
        <v>349.9</v>
      </c>
      <c r="L504" s="1" t="n">
        <v>1.9</v>
      </c>
      <c r="M504" s="1" t="n">
        <f aca="false">M503+L504</f>
        <v>500.3</v>
      </c>
      <c r="N504" s="1" t="n">
        <v>8.7</v>
      </c>
      <c r="O504" s="1" t="n">
        <f aca="false">O503+N504</f>
        <v>8.7</v>
      </c>
      <c r="P504" s="6" t="n">
        <v>249</v>
      </c>
      <c r="Q504" s="1" t="n">
        <f aca="false">1.15+((P504-235)/40)*(0.35-1.15)</f>
        <v>0.87</v>
      </c>
      <c r="R504" s="16" t="n">
        <f aca="false">Q504*L504</f>
        <v>1.653</v>
      </c>
      <c r="S504" s="16" t="n">
        <f aca="false">J504-R504</f>
        <v>8.947</v>
      </c>
      <c r="T504" s="17" t="n">
        <f aca="false">T503+S504</f>
        <v>8.947</v>
      </c>
      <c r="U504" s="16" t="n">
        <f aca="false">(U502*100)/122.1</f>
        <v>0.784747314159079</v>
      </c>
      <c r="V504" s="1" t="n">
        <v>723.5</v>
      </c>
      <c r="X504" s="1" t="n">
        <f aca="false">X503+V504</f>
        <v>245860</v>
      </c>
      <c r="Y504" s="1" t="n">
        <f aca="false">Y503+V504</f>
        <v>25878.9</v>
      </c>
      <c r="AA504" s="1" t="n">
        <v>14.6560428975923</v>
      </c>
    </row>
    <row r="505" s="1" customFormat="true" ht="15" hidden="false" customHeight="false" outlineLevel="0" collapsed="false">
      <c r="A505" s="85"/>
      <c r="B505" s="2"/>
      <c r="C505" s="8" t="n">
        <v>40678</v>
      </c>
      <c r="D505" s="1" t="n">
        <v>14.7</v>
      </c>
      <c r="E505" s="1" t="n">
        <v>11.5</v>
      </c>
      <c r="F505" s="1" t="n">
        <v>18.4</v>
      </c>
      <c r="G505" s="1" t="n">
        <f aca="false">G504+D505</f>
        <v>2630</v>
      </c>
      <c r="H505" s="1" t="n">
        <f aca="false">H504+D505</f>
        <v>271.8</v>
      </c>
      <c r="J505" s="1" t="n">
        <v>0</v>
      </c>
      <c r="K505" s="1" t="n">
        <f aca="false">K504+J505</f>
        <v>349.9</v>
      </c>
      <c r="L505" s="1" t="n">
        <v>5</v>
      </c>
      <c r="M505" s="1" t="n">
        <f aca="false">M504+L505</f>
        <v>505.3</v>
      </c>
      <c r="N505" s="1" t="n">
        <v>-5</v>
      </c>
      <c r="O505" s="1" t="n">
        <f aca="false">O504+N505</f>
        <v>3.7</v>
      </c>
      <c r="P505" s="6" t="n">
        <v>250</v>
      </c>
      <c r="Q505" s="1" t="n">
        <f aca="false">1.15+((P505-235)/40)*(0.35-1.15)</f>
        <v>0.85</v>
      </c>
      <c r="R505" s="16" t="n">
        <f aca="false">Q505*L505</f>
        <v>4.25</v>
      </c>
      <c r="S505" s="16" t="n">
        <f aca="false">J505-R505</f>
        <v>-4.25</v>
      </c>
      <c r="T505" s="17" t="n">
        <f aca="false">T504+S505</f>
        <v>4.697</v>
      </c>
      <c r="V505" s="1" t="n">
        <v>2464.2</v>
      </c>
      <c r="X505" s="1" t="n">
        <f aca="false">X504+V505</f>
        <v>248324.2</v>
      </c>
      <c r="Y505" s="1" t="n">
        <f aca="false">Y504+V505</f>
        <v>28343.1</v>
      </c>
      <c r="AA505" s="1" t="n">
        <v>14.6930807999393</v>
      </c>
    </row>
    <row r="506" s="1" customFormat="true" ht="15" hidden="false" customHeight="false" outlineLevel="0" collapsed="false">
      <c r="A506" s="85"/>
      <c r="B506" s="2"/>
      <c r="C506" s="8" t="n">
        <v>40679</v>
      </c>
      <c r="D506" s="1" t="n">
        <v>15.9</v>
      </c>
      <c r="E506" s="1" t="n">
        <v>10</v>
      </c>
      <c r="F506" s="1" t="n">
        <v>21.7</v>
      </c>
      <c r="G506" s="1" t="n">
        <f aca="false">G505+D506</f>
        <v>2645.9</v>
      </c>
      <c r="H506" s="1" t="n">
        <f aca="false">H505+D506</f>
        <v>287.7</v>
      </c>
      <c r="J506" s="1" t="n">
        <v>0</v>
      </c>
      <c r="K506" s="1" t="n">
        <f aca="false">K505+J506</f>
        <v>349.9</v>
      </c>
      <c r="L506" s="1" t="n">
        <v>5.4</v>
      </c>
      <c r="M506" s="1" t="n">
        <f aca="false">M505+L506</f>
        <v>510.7</v>
      </c>
      <c r="N506" s="1" t="n">
        <v>-5.4</v>
      </c>
      <c r="O506" s="1" t="n">
        <v>0</v>
      </c>
      <c r="P506" s="6" t="n">
        <v>251</v>
      </c>
      <c r="Q506" s="1" t="n">
        <f aca="false">1.15+((P506-235)/40)*(0.35-1.15)</f>
        <v>0.83</v>
      </c>
      <c r="R506" s="16" t="n">
        <f aca="false">Q506*L506</f>
        <v>4.482</v>
      </c>
      <c r="S506" s="16" t="n">
        <f aca="false">J506-R506</f>
        <v>-4.482</v>
      </c>
      <c r="T506" s="17" t="n">
        <f aca="false">T505+S506</f>
        <v>0.215000000000001</v>
      </c>
      <c r="V506" s="1" t="n">
        <v>3100.2</v>
      </c>
      <c r="X506" s="1" t="n">
        <f aca="false">X505+V506</f>
        <v>251424.4</v>
      </c>
      <c r="Y506" s="1" t="n">
        <f aca="false">Y505+V506</f>
        <v>31443.3</v>
      </c>
      <c r="AA506" s="1" t="n">
        <v>14.7294889991378</v>
      </c>
    </row>
    <row r="507" s="31" customFormat="true" ht="15" hidden="false" customHeight="false" outlineLevel="0" collapsed="false">
      <c r="A507" s="85"/>
      <c r="B507" s="29" t="n">
        <v>600</v>
      </c>
      <c r="C507" s="30" t="n">
        <v>40680</v>
      </c>
      <c r="D507" s="31" t="n">
        <v>18.8</v>
      </c>
      <c r="E507" s="31" t="n">
        <v>11.5</v>
      </c>
      <c r="F507" s="31" t="n">
        <v>25.8</v>
      </c>
      <c r="G507" s="31" t="n">
        <f aca="false">G506+D507</f>
        <v>2664.7</v>
      </c>
      <c r="H507" s="31" t="n">
        <f aca="false">H506+D507</f>
        <v>306.5</v>
      </c>
      <c r="J507" s="31" t="n">
        <v>0</v>
      </c>
      <c r="K507" s="31" t="n">
        <f aca="false">K506+J507</f>
        <v>349.9</v>
      </c>
      <c r="L507" s="31" t="n">
        <v>5.9</v>
      </c>
      <c r="M507" s="31" t="n">
        <f aca="false">M506+L507</f>
        <v>516.6</v>
      </c>
      <c r="N507" s="31" t="n">
        <v>-5.9</v>
      </c>
      <c r="O507" s="31" t="n">
        <v>0</v>
      </c>
      <c r="P507" s="32" t="n">
        <v>252</v>
      </c>
      <c r="Q507" s="31" t="n">
        <f aca="false">1.15+((P507-235)/40)*(0.35-1.15)</f>
        <v>0.81</v>
      </c>
      <c r="R507" s="33" t="n">
        <f aca="false">Q507*L507</f>
        <v>4.779</v>
      </c>
      <c r="S507" s="33" t="n">
        <f aca="false">J507-R507</f>
        <v>-4.779</v>
      </c>
      <c r="T507" s="34" t="n">
        <v>0</v>
      </c>
      <c r="V507" s="31" t="n">
        <v>3090.4</v>
      </c>
      <c r="X507" s="31" t="n">
        <f aca="false">X506+V507</f>
        <v>254514.8</v>
      </c>
      <c r="Y507" s="31" t="n">
        <f aca="false">Y506+V507</f>
        <v>34533.7</v>
      </c>
      <c r="AA507" s="31" t="n">
        <v>14.7652477921223</v>
      </c>
    </row>
    <row r="508" s="1" customFormat="true" ht="15" hidden="false" customHeight="false" outlineLevel="0" collapsed="false">
      <c r="A508" s="74" t="n">
        <v>1000</v>
      </c>
      <c r="B508" s="2"/>
      <c r="C508" s="8" t="n">
        <v>40681</v>
      </c>
      <c r="D508" s="1" t="n">
        <v>20.1</v>
      </c>
      <c r="E508" s="1" t="n">
        <v>13.6</v>
      </c>
      <c r="F508" s="1" t="n">
        <v>27.4</v>
      </c>
      <c r="G508" s="1" t="n">
        <f aca="false">G507+D508</f>
        <v>2684.8</v>
      </c>
      <c r="H508" s="1" t="n">
        <v>20.1</v>
      </c>
      <c r="I508" s="75" t="s">
        <v>30</v>
      </c>
      <c r="J508" s="1" t="n">
        <v>0</v>
      </c>
      <c r="K508" s="1" t="n">
        <f aca="false">K507+J508</f>
        <v>349.9</v>
      </c>
      <c r="L508" s="1" t="n">
        <v>6.4</v>
      </c>
      <c r="M508" s="1" t="n">
        <f aca="false">M507+L508</f>
        <v>523</v>
      </c>
      <c r="N508" s="1" t="n">
        <v>-6.4</v>
      </c>
      <c r="O508" s="1" t="n">
        <v>0</v>
      </c>
      <c r="P508" s="6" t="n">
        <v>253</v>
      </c>
      <c r="Q508" s="1" t="n">
        <f aca="false">1.15+((P508-235)/40)*(0.35-1.15)</f>
        <v>0.79</v>
      </c>
      <c r="R508" s="16" t="n">
        <f aca="false">Q508*L508</f>
        <v>5.056</v>
      </c>
      <c r="S508" s="16" t="n">
        <f aca="false">J508-R508</f>
        <v>-5.056</v>
      </c>
      <c r="T508" s="17" t="n">
        <v>0</v>
      </c>
      <c r="U508" s="75" t="s">
        <v>31</v>
      </c>
      <c r="V508" s="1" t="n">
        <v>2663</v>
      </c>
      <c r="X508" s="1" t="n">
        <f aca="false">X507+V508</f>
        <v>257177.8</v>
      </c>
      <c r="Y508" s="1" t="n">
        <v>2663</v>
      </c>
      <c r="Z508" s="75" t="s">
        <v>32</v>
      </c>
      <c r="AA508" s="1" t="n">
        <v>14.8003373031977</v>
      </c>
    </row>
    <row r="509" s="1" customFormat="true" ht="15" hidden="false" customHeight="false" outlineLevel="0" collapsed="false">
      <c r="A509" s="74"/>
      <c r="B509" s="2"/>
      <c r="C509" s="8" t="n">
        <v>40682</v>
      </c>
      <c r="D509" s="1" t="n">
        <v>19.3</v>
      </c>
      <c r="E509" s="1" t="n">
        <v>14.8</v>
      </c>
      <c r="F509" s="1" t="n">
        <v>26.3</v>
      </c>
      <c r="G509" s="1" t="n">
        <f aca="false">G508+D509</f>
        <v>2704.1</v>
      </c>
      <c r="H509" s="1" t="n">
        <f aca="false">H508+D509</f>
        <v>39.4</v>
      </c>
      <c r="I509" s="1" t="n">
        <f aca="false">MIN(E508:E529)</f>
        <v>11.1</v>
      </c>
      <c r="J509" s="1" t="n">
        <v>0</v>
      </c>
      <c r="K509" s="1" t="n">
        <f aca="false">K508+J509</f>
        <v>349.9</v>
      </c>
      <c r="L509" s="1" t="n">
        <v>4.3</v>
      </c>
      <c r="M509" s="1" t="n">
        <f aca="false">M508+L509</f>
        <v>527.3</v>
      </c>
      <c r="N509" s="1" t="n">
        <v>-4.3</v>
      </c>
      <c r="O509" s="1" t="n">
        <v>0</v>
      </c>
      <c r="P509" s="6" t="n">
        <v>254</v>
      </c>
      <c r="Q509" s="1" t="n">
        <f aca="false">1.15+((P509-235)/40)*(0.35-1.15)</f>
        <v>0.77</v>
      </c>
      <c r="R509" s="16" t="n">
        <f aca="false">Q509*L509</f>
        <v>3.311</v>
      </c>
      <c r="S509" s="16" t="n">
        <f aca="false">J509-R509</f>
        <v>-3.311</v>
      </c>
      <c r="T509" s="17" t="n">
        <v>0</v>
      </c>
      <c r="U509" s="1" t="n">
        <v>16</v>
      </c>
      <c r="V509" s="1" t="n">
        <v>1779.3</v>
      </c>
      <c r="X509" s="1" t="n">
        <f aca="false">X508+V509</f>
        <v>258957.1</v>
      </c>
      <c r="Y509" s="1" t="n">
        <f aca="false">Y508+V509</f>
        <v>4442.3</v>
      </c>
      <c r="Z509" s="1" t="n">
        <v>41129.3</v>
      </c>
      <c r="AA509" s="1" t="n">
        <v>14.83473751221</v>
      </c>
    </row>
    <row r="510" s="1" customFormat="true" ht="15" hidden="false" customHeight="false" outlineLevel="0" collapsed="false">
      <c r="A510" s="74"/>
      <c r="B510" s="2"/>
      <c r="C510" s="8" t="n">
        <v>40683</v>
      </c>
      <c r="D510" s="1" t="n">
        <v>20.3</v>
      </c>
      <c r="E510" s="1" t="n">
        <v>13.3</v>
      </c>
      <c r="F510" s="1" t="n">
        <v>25.9</v>
      </c>
      <c r="G510" s="1" t="n">
        <f aca="false">G509+D510</f>
        <v>2724.4</v>
      </c>
      <c r="H510" s="1" t="n">
        <f aca="false">H509+D510</f>
        <v>59.7</v>
      </c>
      <c r="I510" s="75" t="s">
        <v>33</v>
      </c>
      <c r="J510" s="1" t="n">
        <v>0</v>
      </c>
      <c r="K510" s="1" t="n">
        <f aca="false">K509+J510</f>
        <v>349.9</v>
      </c>
      <c r="L510" s="1" t="n">
        <v>4.7</v>
      </c>
      <c r="M510" s="1" t="n">
        <f aca="false">M509+L510</f>
        <v>532</v>
      </c>
      <c r="N510" s="1" t="n">
        <v>-4.7</v>
      </c>
      <c r="O510" s="1" t="n">
        <v>0</v>
      </c>
      <c r="P510" s="6" t="n">
        <v>255</v>
      </c>
      <c r="Q510" s="1" t="n">
        <f aca="false">1.15+((P510-235)/40)*(0.35-1.15)</f>
        <v>0.75</v>
      </c>
      <c r="R510" s="16" t="n">
        <f aca="false">Q510*L510</f>
        <v>3.525</v>
      </c>
      <c r="S510" s="16" t="n">
        <f aca="false">J510-R510</f>
        <v>-3.525</v>
      </c>
      <c r="T510" s="17" t="n">
        <v>0</v>
      </c>
      <c r="U510" s="75" t="s">
        <v>34</v>
      </c>
      <c r="V510" s="1" t="n">
        <v>2336.6</v>
      </c>
      <c r="X510" s="1" t="n">
        <f aca="false">X509+V510</f>
        <v>261293.7</v>
      </c>
      <c r="Y510" s="1" t="n">
        <f aca="false">Y509+V510</f>
        <v>6778.9</v>
      </c>
      <c r="Z510" s="75" t="s">
        <v>35</v>
      </c>
      <c r="AA510" s="1" t="n">
        <v>14.8684282846063</v>
      </c>
    </row>
    <row r="511" s="1" customFormat="true" ht="15" hidden="false" customHeight="false" outlineLevel="0" collapsed="false">
      <c r="A511" s="74"/>
      <c r="B511" s="2"/>
      <c r="C511" s="8" t="n">
        <v>40684</v>
      </c>
      <c r="D511" s="1" t="n">
        <v>21.6</v>
      </c>
      <c r="E511" s="1" t="n">
        <v>15.7</v>
      </c>
      <c r="F511" s="1" t="n">
        <v>26.7</v>
      </c>
      <c r="G511" s="1" t="n">
        <f aca="false">G510+D511</f>
        <v>2746</v>
      </c>
      <c r="H511" s="1" t="n">
        <f aca="false">H510+D511</f>
        <v>81.3</v>
      </c>
      <c r="I511" s="1" t="n">
        <f aca="false">MAX(F508:F529)</f>
        <v>30.8</v>
      </c>
      <c r="J511" s="1" t="n">
        <v>0</v>
      </c>
      <c r="K511" s="1" t="n">
        <f aca="false">K510+J511</f>
        <v>349.9</v>
      </c>
      <c r="L511" s="1" t="n">
        <v>5.2</v>
      </c>
      <c r="M511" s="1" t="n">
        <f aca="false">M510+L511</f>
        <v>537.2</v>
      </c>
      <c r="N511" s="1" t="n">
        <v>-5.2</v>
      </c>
      <c r="O511" s="1" t="n">
        <v>0</v>
      </c>
      <c r="P511" s="6" t="n">
        <v>256</v>
      </c>
      <c r="Q511" s="1" t="n">
        <f aca="false">1.15+((P511-235)/40)*(0.35-1.15)</f>
        <v>0.73</v>
      </c>
      <c r="R511" s="16" t="n">
        <f aca="false">Q511*L511</f>
        <v>3.796</v>
      </c>
      <c r="S511" s="16" t="n">
        <f aca="false">J511-R511</f>
        <v>-3.796</v>
      </c>
      <c r="T511" s="17" t="n">
        <v>0</v>
      </c>
      <c r="U511" s="1" t="n">
        <v>12</v>
      </c>
      <c r="V511" s="1" t="n">
        <v>2418.5</v>
      </c>
      <c r="X511" s="1" t="n">
        <f aca="false">X510+V511</f>
        <v>263712.2</v>
      </c>
      <c r="Y511" s="1" t="n">
        <f aca="false">Y510+V511</f>
        <v>9197.4</v>
      </c>
      <c r="Z511" s="18" t="n">
        <f aca="false">(Z509/100)/I521</f>
        <v>1.00906035328754</v>
      </c>
      <c r="AA511" s="1" t="n">
        <v>14.9013894033589</v>
      </c>
    </row>
    <row r="512" s="1" customFormat="true" ht="15" hidden="false" customHeight="false" outlineLevel="0" collapsed="false">
      <c r="A512" s="74"/>
      <c r="B512" s="2"/>
      <c r="C512" s="8" t="n">
        <v>40685</v>
      </c>
      <c r="D512" s="1" t="n">
        <v>18.3</v>
      </c>
      <c r="E512" s="1" t="n">
        <v>16.7</v>
      </c>
      <c r="F512" s="1" t="n">
        <v>20.6</v>
      </c>
      <c r="G512" s="1" t="n">
        <f aca="false">G511+D512</f>
        <v>2764.3</v>
      </c>
      <c r="H512" s="1" t="n">
        <f aca="false">H511+D512</f>
        <v>99.6</v>
      </c>
      <c r="I512" s="75" t="s">
        <v>36</v>
      </c>
      <c r="J512" s="1" t="n">
        <v>0</v>
      </c>
      <c r="K512" s="1" t="n">
        <f aca="false">K511+J512</f>
        <v>349.9</v>
      </c>
      <c r="L512" s="1" t="n">
        <v>3</v>
      </c>
      <c r="M512" s="1" t="n">
        <f aca="false">M511+L512</f>
        <v>540.2</v>
      </c>
      <c r="N512" s="1" t="n">
        <v>-3</v>
      </c>
      <c r="O512" s="1" t="n">
        <v>0</v>
      </c>
      <c r="P512" s="6" t="n">
        <v>257</v>
      </c>
      <c r="Q512" s="1" t="n">
        <f aca="false">1.15+((P512-235)/40)*(0.35-1.15)</f>
        <v>0.71</v>
      </c>
      <c r="R512" s="16" t="n">
        <f aca="false">Q512*L512</f>
        <v>2.13</v>
      </c>
      <c r="S512" s="16" t="n">
        <f aca="false">J512-R512</f>
        <v>-2.13</v>
      </c>
      <c r="T512" s="17" t="n">
        <v>0</v>
      </c>
      <c r="U512" s="75" t="s">
        <v>37</v>
      </c>
      <c r="V512" s="1" t="n">
        <v>1009.4</v>
      </c>
      <c r="X512" s="1" t="n">
        <f aca="false">X511+V512</f>
        <v>264721.6</v>
      </c>
      <c r="Y512" s="1" t="n">
        <f aca="false">Y511+V512</f>
        <v>10206.8</v>
      </c>
      <c r="Z512" s="75" t="s">
        <v>38</v>
      </c>
      <c r="AA512" s="1" t="n">
        <v>14.9336006027159</v>
      </c>
    </row>
    <row r="513" s="1" customFormat="true" ht="15" hidden="false" customHeight="false" outlineLevel="0" collapsed="false">
      <c r="A513" s="74"/>
      <c r="B513" s="2"/>
      <c r="C513" s="8" t="n">
        <v>40686</v>
      </c>
      <c r="D513" s="1" t="n">
        <v>20.8</v>
      </c>
      <c r="E513" s="1" t="n">
        <v>14</v>
      </c>
      <c r="F513" s="1" t="n">
        <v>28.3</v>
      </c>
      <c r="G513" s="1" t="n">
        <f aca="false">G512+D513</f>
        <v>2785.1</v>
      </c>
      <c r="H513" s="1" t="n">
        <f aca="false">H512+D513</f>
        <v>120.4</v>
      </c>
      <c r="I513" s="16" t="n">
        <f aca="false">AVERAGE(D508:D529)</f>
        <v>18.5272727272727</v>
      </c>
      <c r="J513" s="1" t="n">
        <v>0</v>
      </c>
      <c r="K513" s="1" t="n">
        <f aca="false">K512+J513</f>
        <v>349.9</v>
      </c>
      <c r="L513" s="1" t="n">
        <v>6.3</v>
      </c>
      <c r="M513" s="1" t="n">
        <f aca="false">M512+L513</f>
        <v>546.5</v>
      </c>
      <c r="N513" s="1" t="n">
        <v>-6.3</v>
      </c>
      <c r="O513" s="1" t="n">
        <v>0</v>
      </c>
      <c r="P513" s="6" t="n">
        <v>258</v>
      </c>
      <c r="Q513" s="1" t="n">
        <f aca="false">1.15+((P513-235)/40)*(0.35-1.15)</f>
        <v>0.69</v>
      </c>
      <c r="R513" s="16" t="n">
        <f aca="false">Q513*L513</f>
        <v>4.347</v>
      </c>
      <c r="S513" s="16" t="n">
        <f aca="false">J513-R513</f>
        <v>-4.347</v>
      </c>
      <c r="T513" s="17" t="n">
        <v>0</v>
      </c>
      <c r="U513" s="1" t="n">
        <v>10</v>
      </c>
      <c r="V513" s="1" t="n">
        <v>3001.2</v>
      </c>
      <c r="X513" s="1" t="n">
        <f aca="false">X512+V513</f>
        <v>267722.8</v>
      </c>
      <c r="Y513" s="1" t="n">
        <f aca="false">Y512+V513</f>
        <v>13208</v>
      </c>
      <c r="Z513" s="1" t="n">
        <v>1</v>
      </c>
      <c r="AA513" s="1" t="n">
        <v>14.9650416037285</v>
      </c>
    </row>
    <row r="514" s="1" customFormat="true" ht="15" hidden="false" customHeight="false" outlineLevel="0" collapsed="false">
      <c r="A514" s="74"/>
      <c r="B514" s="2"/>
      <c r="C514" s="8" t="n">
        <v>40687</v>
      </c>
      <c r="D514" s="1" t="n">
        <v>21</v>
      </c>
      <c r="E514" s="1" t="n">
        <v>16</v>
      </c>
      <c r="F514" s="1" t="n">
        <v>25.7</v>
      </c>
      <c r="G514" s="1" t="n">
        <f aca="false">G513+D514</f>
        <v>2806.1</v>
      </c>
      <c r="H514" s="1" t="n">
        <f aca="false">H513+D514</f>
        <v>141.4</v>
      </c>
      <c r="I514" s="75" t="s">
        <v>39</v>
      </c>
      <c r="J514" s="1" t="n">
        <v>0</v>
      </c>
      <c r="K514" s="1" t="n">
        <f aca="false">K513+J514</f>
        <v>349.9</v>
      </c>
      <c r="L514" s="1" t="n">
        <v>6.9</v>
      </c>
      <c r="M514" s="1" t="n">
        <f aca="false">M513+L514</f>
        <v>553.4</v>
      </c>
      <c r="N514" s="1" t="n">
        <v>-6.9</v>
      </c>
      <c r="O514" s="1" t="n">
        <v>0</v>
      </c>
      <c r="P514" s="6" t="n">
        <v>259</v>
      </c>
      <c r="Q514" s="1" t="n">
        <f aca="false">1.15+((P514-235)/40)*(0.35-1.15)</f>
        <v>0.67</v>
      </c>
      <c r="R514" s="16" t="n">
        <f aca="false">Q514*L514</f>
        <v>4.623</v>
      </c>
      <c r="S514" s="16" t="n">
        <f aca="false">J514-R514</f>
        <v>-4.623</v>
      </c>
      <c r="T514" s="17" t="n">
        <v>0</v>
      </c>
      <c r="U514" s="75" t="s">
        <v>40</v>
      </c>
      <c r="V514" s="1" t="n">
        <v>3104.3</v>
      </c>
      <c r="X514" s="1" t="n">
        <f aca="false">X513+V514</f>
        <v>270827.1</v>
      </c>
      <c r="Y514" s="1" t="n">
        <f aca="false">Y513+V514</f>
        <v>16312.3</v>
      </c>
      <c r="AA514" s="1" t="n">
        <v>14.9956921514894</v>
      </c>
    </row>
    <row r="515" s="1" customFormat="true" ht="15" hidden="false" customHeight="false" outlineLevel="0" collapsed="false">
      <c r="A515" s="74"/>
      <c r="B515" s="2"/>
      <c r="C515" s="8" t="n">
        <v>40688</v>
      </c>
      <c r="D515" s="1" t="n">
        <v>23</v>
      </c>
      <c r="E515" s="1" t="n">
        <v>16.3</v>
      </c>
      <c r="F515" s="1" t="n">
        <v>30.8</v>
      </c>
      <c r="G515" s="1" t="n">
        <f aca="false">G514+D515</f>
        <v>2829.1</v>
      </c>
      <c r="H515" s="1" t="n">
        <f aca="false">H514+D515</f>
        <v>164.4</v>
      </c>
      <c r="I515" s="1" t="n">
        <v>0</v>
      </c>
      <c r="J515" s="1" t="n">
        <v>0</v>
      </c>
      <c r="K515" s="1" t="n">
        <f aca="false">K514+J515</f>
        <v>349.9</v>
      </c>
      <c r="L515" s="1" t="n">
        <v>6.7</v>
      </c>
      <c r="M515" s="1" t="n">
        <f aca="false">M514+L515</f>
        <v>560.1</v>
      </c>
      <c r="N515" s="1" t="n">
        <v>-6.7</v>
      </c>
      <c r="O515" s="1" t="n">
        <v>0</v>
      </c>
      <c r="P515" s="6" t="n">
        <v>260</v>
      </c>
      <c r="Q515" s="1" t="n">
        <f aca="false">1.15+((P515-235)/40)*(0.35-1.15)</f>
        <v>0.65</v>
      </c>
      <c r="R515" s="16" t="n">
        <f aca="false">Q515*L515</f>
        <v>4.355</v>
      </c>
      <c r="S515" s="16" t="n">
        <f aca="false">J515-R515</f>
        <v>-4.355</v>
      </c>
      <c r="T515" s="17" t="n">
        <v>0</v>
      </c>
      <c r="U515" s="16" t="n">
        <v>0</v>
      </c>
      <c r="V515" s="1" t="n">
        <v>2982.7</v>
      </c>
      <c r="X515" s="1" t="n">
        <f aca="false">X514+V515</f>
        <v>273809.8</v>
      </c>
      <c r="Y515" s="1" t="n">
        <f aca="false">Y514+V515</f>
        <v>19295</v>
      </c>
      <c r="AA515" s="1" t="n">
        <v>15.0255320540036</v>
      </c>
    </row>
    <row r="516" s="1" customFormat="true" ht="15" hidden="false" customHeight="false" outlineLevel="0" collapsed="false">
      <c r="A516" s="74"/>
      <c r="B516" s="2"/>
      <c r="C516" s="8" t="n">
        <v>40689</v>
      </c>
      <c r="D516" s="1" t="n">
        <v>19.5</v>
      </c>
      <c r="E516" s="1" t="n">
        <v>16.8</v>
      </c>
      <c r="F516" s="1" t="n">
        <v>21.6</v>
      </c>
      <c r="G516" s="1" t="n">
        <f aca="false">G515+D516</f>
        <v>2848.6</v>
      </c>
      <c r="H516" s="1" t="n">
        <f aca="false">H515+D516</f>
        <v>183.9</v>
      </c>
      <c r="I516" s="75" t="s">
        <v>41</v>
      </c>
      <c r="J516" s="1" t="n">
        <v>0.1</v>
      </c>
      <c r="K516" s="1" t="n">
        <f aca="false">K515+J516</f>
        <v>350</v>
      </c>
      <c r="L516" s="1" t="n">
        <v>3.2</v>
      </c>
      <c r="M516" s="1" t="n">
        <f aca="false">M515+L516</f>
        <v>563.3</v>
      </c>
      <c r="N516" s="1" t="n">
        <v>-3.1</v>
      </c>
      <c r="O516" s="1" t="n">
        <v>0</v>
      </c>
      <c r="P516" s="6" t="n">
        <v>261</v>
      </c>
      <c r="Q516" s="1" t="n">
        <f aca="false">1.15+((P516-235)/40)*(0.35-1.15)</f>
        <v>0.63</v>
      </c>
      <c r="R516" s="16" t="n">
        <f aca="false">Q516*L516</f>
        <v>2.016</v>
      </c>
      <c r="S516" s="16" t="n">
        <f aca="false">J516-R516</f>
        <v>-1.916</v>
      </c>
      <c r="T516" s="17" t="n">
        <v>0</v>
      </c>
      <c r="U516" s="75" t="s">
        <v>42</v>
      </c>
      <c r="V516" s="1" t="n">
        <v>1034.9</v>
      </c>
      <c r="X516" s="1" t="n">
        <f aca="false">X515+V516</f>
        <v>274844.7</v>
      </c>
      <c r="Y516" s="1" t="n">
        <f aca="false">Y515+V516</f>
        <v>20329.9</v>
      </c>
      <c r="AA516" s="1" t="n">
        <v>15.0545412225981</v>
      </c>
    </row>
    <row r="517" s="1" customFormat="true" ht="15" hidden="false" customHeight="false" outlineLevel="0" collapsed="false">
      <c r="A517" s="74"/>
      <c r="B517" s="2"/>
      <c r="C517" s="8" t="n">
        <v>40690</v>
      </c>
      <c r="D517" s="1" t="n">
        <v>16.8</v>
      </c>
      <c r="E517" s="1" t="n">
        <v>11.8</v>
      </c>
      <c r="F517" s="1" t="n">
        <v>19.7</v>
      </c>
      <c r="G517" s="1" t="n">
        <f aca="false">G516+D517</f>
        <v>2865.4</v>
      </c>
      <c r="H517" s="1" t="n">
        <f aca="false">H516+D517</f>
        <v>200.7</v>
      </c>
      <c r="I517" s="1" t="n">
        <v>9</v>
      </c>
      <c r="J517" s="1" t="n">
        <v>0</v>
      </c>
      <c r="K517" s="1" t="n">
        <f aca="false">K516+J517</f>
        <v>350</v>
      </c>
      <c r="L517" s="1" t="n">
        <v>3.6</v>
      </c>
      <c r="M517" s="1" t="n">
        <f aca="false">M516+L517</f>
        <v>566.9</v>
      </c>
      <c r="N517" s="1" t="n">
        <v>-3.6</v>
      </c>
      <c r="O517" s="1" t="n">
        <v>0</v>
      </c>
      <c r="P517" s="6" t="n">
        <v>262</v>
      </c>
      <c r="Q517" s="1" t="n">
        <f aca="false">1.15+((P517-235)/40)*(0.35-1.15)</f>
        <v>0.61</v>
      </c>
      <c r="R517" s="16" t="n">
        <f aca="false">Q517*L517</f>
        <v>2.196</v>
      </c>
      <c r="S517" s="16" t="n">
        <f aca="false">J517-R517</f>
        <v>-2.196</v>
      </c>
      <c r="T517" s="17" t="n">
        <v>0</v>
      </c>
      <c r="U517" s="52" t="n">
        <v>32.5</v>
      </c>
      <c r="V517" s="1" t="n">
        <v>1447.4</v>
      </c>
      <c r="X517" s="1" t="n">
        <f aca="false">X516+V517</f>
        <v>276292.1</v>
      </c>
      <c r="Y517" s="1" t="n">
        <f aca="false">Y516+V517</f>
        <v>21777.3</v>
      </c>
      <c r="AA517" s="1" t="n">
        <v>15.0826997137605</v>
      </c>
    </row>
    <row r="518" s="1" customFormat="true" ht="15" hidden="false" customHeight="false" outlineLevel="0" collapsed="false">
      <c r="A518" s="74"/>
      <c r="B518" s="2"/>
      <c r="C518" s="8" t="n">
        <v>40691</v>
      </c>
      <c r="D518" s="1" t="n">
        <v>17.7</v>
      </c>
      <c r="E518" s="1" t="n">
        <v>12.2</v>
      </c>
      <c r="F518" s="1" t="n">
        <v>23.7</v>
      </c>
      <c r="G518" s="1" t="n">
        <f aca="false">G517+D518</f>
        <v>2883.1</v>
      </c>
      <c r="H518" s="1" t="n">
        <f aca="false">H517+D518</f>
        <v>218.4</v>
      </c>
      <c r="I518" s="75" t="s">
        <v>43</v>
      </c>
      <c r="J518" s="1" t="n">
        <v>0</v>
      </c>
      <c r="K518" s="1" t="n">
        <f aca="false">K517+J518</f>
        <v>350</v>
      </c>
      <c r="L518" s="1" t="n">
        <v>6.1</v>
      </c>
      <c r="M518" s="1" t="n">
        <f aca="false">M517+L518</f>
        <v>573</v>
      </c>
      <c r="N518" s="1" t="n">
        <v>-6.1</v>
      </c>
      <c r="O518" s="1" t="n">
        <v>0</v>
      </c>
      <c r="P518" s="6" t="n">
        <v>263</v>
      </c>
      <c r="Q518" s="1" t="n">
        <f aca="false">1.15+((P518-235)/40)*(0.35-1.15)</f>
        <v>0.59</v>
      </c>
      <c r="R518" s="16" t="n">
        <f aca="false">Q518*L518</f>
        <v>3.599</v>
      </c>
      <c r="S518" s="16" t="n">
        <f aca="false">J518-R518</f>
        <v>-3.599</v>
      </c>
      <c r="T518" s="17" t="n">
        <v>0</v>
      </c>
      <c r="U518" s="75" t="s">
        <v>44</v>
      </c>
      <c r="V518" s="1" t="n">
        <v>3177.4</v>
      </c>
      <c r="X518" s="1" t="n">
        <f aca="false">X517+V518</f>
        <v>279469.5</v>
      </c>
      <c r="Y518" s="1" t="n">
        <f aca="false">Y517+V518</f>
        <v>24954.7</v>
      </c>
      <c r="AA518" s="1" t="n">
        <v>15.109987772282</v>
      </c>
    </row>
    <row r="519" s="49" customFormat="true" ht="15" hidden="false" customHeight="false" outlineLevel="0" collapsed="false">
      <c r="A519" s="74"/>
      <c r="B519" s="47"/>
      <c r="C519" s="48" t="n">
        <v>40692</v>
      </c>
      <c r="D519" s="49" t="n">
        <v>21.2</v>
      </c>
      <c r="E519" s="49" t="n">
        <v>12.6</v>
      </c>
      <c r="F519" s="49" t="n">
        <v>29.4</v>
      </c>
      <c r="G519" s="49" t="n">
        <f aca="false">G518+D519</f>
        <v>2904.3</v>
      </c>
      <c r="H519" s="49" t="n">
        <f aca="false">H518+D519</f>
        <v>239.6</v>
      </c>
      <c r="I519" s="49" t="n">
        <v>0</v>
      </c>
      <c r="J519" s="49" t="n">
        <v>0.3</v>
      </c>
      <c r="K519" s="49" t="n">
        <f aca="false">K518+J519</f>
        <v>350.3</v>
      </c>
      <c r="L519" s="49" t="n">
        <v>6.5</v>
      </c>
      <c r="M519" s="49" t="n">
        <f aca="false">M518+L519</f>
        <v>579.5</v>
      </c>
      <c r="N519" s="49" t="n">
        <v>-6.2</v>
      </c>
      <c r="O519" s="49" t="n">
        <v>0</v>
      </c>
      <c r="P519" s="51" t="n">
        <v>264</v>
      </c>
      <c r="Q519" s="1" t="n">
        <f aca="false">1.15+((P519-235)/40)*(0.35-1.15)</f>
        <v>0.57</v>
      </c>
      <c r="R519" s="52" t="n">
        <f aca="false">Q519*L519</f>
        <v>3.705</v>
      </c>
      <c r="S519" s="16" t="n">
        <f aca="false">J519-R519</f>
        <v>-3.405</v>
      </c>
      <c r="T519" s="17" t="n">
        <v>0</v>
      </c>
      <c r="U519" s="77" t="n">
        <f aca="false">AVERAGE(T508:T529)</f>
        <v>8.85545454545455</v>
      </c>
      <c r="V519" s="49" t="n">
        <v>2884.4</v>
      </c>
      <c r="X519" s="49" t="n">
        <f aca="false">X518+V519</f>
        <v>282353.9</v>
      </c>
      <c r="Y519" s="1" t="n">
        <f aca="false">Y518+V519</f>
        <v>27839.1</v>
      </c>
      <c r="AA519" s="49" t="n">
        <v>15.136385875566</v>
      </c>
    </row>
    <row r="520" s="1" customFormat="true" ht="15" hidden="false" customHeight="true" outlineLevel="0" collapsed="false">
      <c r="A520" s="74"/>
      <c r="B520" s="76"/>
      <c r="C520" s="8" t="n">
        <v>40693</v>
      </c>
      <c r="D520" s="1" t="n">
        <v>20.7</v>
      </c>
      <c r="E520" s="1" t="n">
        <v>18.2</v>
      </c>
      <c r="F520" s="1" t="n">
        <v>25.3</v>
      </c>
      <c r="G520" s="1" t="n">
        <f aca="false">G519+D520</f>
        <v>2925</v>
      </c>
      <c r="H520" s="1" t="n">
        <f aca="false">H519+D520</f>
        <v>260.3</v>
      </c>
      <c r="I520" s="75" t="s">
        <v>45</v>
      </c>
      <c r="J520" s="1" t="n">
        <v>13.4</v>
      </c>
      <c r="K520" s="1" t="n">
        <f aca="false">K519+J520</f>
        <v>363.7</v>
      </c>
      <c r="L520" s="1" t="n">
        <v>4.1</v>
      </c>
      <c r="M520" s="1" t="n">
        <f aca="false">M519+L520</f>
        <v>583.6</v>
      </c>
      <c r="N520" s="1" t="n">
        <v>9.3</v>
      </c>
      <c r="O520" s="1" t="n">
        <f aca="false">O519+N520</f>
        <v>9.3</v>
      </c>
      <c r="P520" s="6" t="n">
        <v>265</v>
      </c>
      <c r="Q520" s="1" t="n">
        <f aca="false">1.15+((P520-235)/40)*(0.35-1.15)</f>
        <v>0.55</v>
      </c>
      <c r="R520" s="16" t="n">
        <f aca="false">Q520*L520</f>
        <v>2.255</v>
      </c>
      <c r="S520" s="16" t="n">
        <f aca="false">J520-R520</f>
        <v>11.145</v>
      </c>
      <c r="T520" s="17" t="n">
        <f aca="false">T519+S520</f>
        <v>11.145</v>
      </c>
      <c r="V520" s="1" t="n">
        <v>1465.7</v>
      </c>
      <c r="X520" s="1" t="n">
        <f aca="false">X519+V520</f>
        <v>283819.6</v>
      </c>
      <c r="Y520" s="1" t="n">
        <f aca="false">Y519+V520</f>
        <v>29304.8</v>
      </c>
      <c r="AA520" s="1" t="n">
        <v>15.1618747789451</v>
      </c>
    </row>
    <row r="521" s="1" customFormat="true" ht="15" hidden="false" customHeight="false" outlineLevel="0" collapsed="false">
      <c r="A521" s="74"/>
      <c r="B521" s="76"/>
      <c r="C521" s="8" t="n">
        <v>40694</v>
      </c>
      <c r="D521" s="1" t="n">
        <v>15.3</v>
      </c>
      <c r="E521" s="1" t="n">
        <v>12.6</v>
      </c>
      <c r="F521" s="1" t="n">
        <v>17.4</v>
      </c>
      <c r="G521" s="1" t="n">
        <f aca="false">G520+D521</f>
        <v>2940.3</v>
      </c>
      <c r="H521" s="1" t="n">
        <f aca="false">H520+D521</f>
        <v>275.6</v>
      </c>
      <c r="I521" s="1" t="n">
        <v>407.6</v>
      </c>
      <c r="J521" s="1" t="n">
        <v>2.6</v>
      </c>
      <c r="K521" s="1" t="n">
        <f aca="false">K520+J521</f>
        <v>366.3</v>
      </c>
      <c r="L521" s="1" t="n">
        <v>2.3</v>
      </c>
      <c r="M521" s="1" t="n">
        <f aca="false">M520+L521</f>
        <v>585.9</v>
      </c>
      <c r="N521" s="1" t="n">
        <v>0.3</v>
      </c>
      <c r="O521" s="1" t="n">
        <f aca="false">O520+N521</f>
        <v>9.6</v>
      </c>
      <c r="P521" s="6" t="n">
        <v>266</v>
      </c>
      <c r="Q521" s="1" t="n">
        <f aca="false">1.15+((P521-235)/40)*(0.35-1.15)</f>
        <v>0.53</v>
      </c>
      <c r="R521" s="16" t="n">
        <f aca="false">Q521*L521</f>
        <v>1.219</v>
      </c>
      <c r="S521" s="16" t="n">
        <f aca="false">J521-R521</f>
        <v>1.381</v>
      </c>
      <c r="T521" s="17" t="n">
        <f aca="false">T520+S521</f>
        <v>12.526</v>
      </c>
      <c r="U521" s="16" t="n">
        <f aca="false">(U519*100)/122.1</f>
        <v>7.2526245253518</v>
      </c>
      <c r="V521" s="1" t="n">
        <v>908.5</v>
      </c>
      <c r="X521" s="1" t="n">
        <f aca="false">X520+V521</f>
        <v>284728.1</v>
      </c>
      <c r="Y521" s="1" t="n">
        <f aca="false">Y520+V521</f>
        <v>30213.3</v>
      </c>
      <c r="AA521" s="1" t="n">
        <v>15.1864355618377</v>
      </c>
    </row>
    <row r="522" s="1" customFormat="true" ht="15" hidden="false" customHeight="false" outlineLevel="0" collapsed="false">
      <c r="A522" s="74"/>
      <c r="B522" s="76"/>
      <c r="C522" s="8" t="n">
        <v>40695</v>
      </c>
      <c r="D522" s="1" t="n">
        <v>13</v>
      </c>
      <c r="E522" s="1" t="n">
        <v>11.1</v>
      </c>
      <c r="F522" s="1" t="n">
        <v>17.2</v>
      </c>
      <c r="G522" s="1" t="n">
        <f aca="false">G521+D522</f>
        <v>2953.3</v>
      </c>
      <c r="H522" s="1" t="n">
        <f aca="false">H521+D522</f>
        <v>288.6</v>
      </c>
      <c r="J522" s="1" t="n">
        <v>9.5</v>
      </c>
      <c r="K522" s="1" t="n">
        <f aca="false">K521+J522</f>
        <v>375.8</v>
      </c>
      <c r="L522" s="1" t="n">
        <v>3.6</v>
      </c>
      <c r="M522" s="1" t="n">
        <f aca="false">M521+L522</f>
        <v>589.5</v>
      </c>
      <c r="N522" s="1" t="n">
        <v>5.9</v>
      </c>
      <c r="O522" s="1" t="n">
        <f aca="false">O521+N522</f>
        <v>15.5</v>
      </c>
      <c r="P522" s="6" t="n">
        <v>267</v>
      </c>
      <c r="Q522" s="1" t="n">
        <f aca="false">1.15+((P522-235)/40)*(0.35-1.15)</f>
        <v>0.51</v>
      </c>
      <c r="R522" s="16" t="n">
        <f aca="false">Q522*L522</f>
        <v>1.836</v>
      </c>
      <c r="S522" s="16" t="n">
        <f aca="false">J522-R522</f>
        <v>7.664</v>
      </c>
      <c r="T522" s="17" t="n">
        <f aca="false">T521+S522</f>
        <v>20.19</v>
      </c>
      <c r="V522" s="1" t="n">
        <v>1387</v>
      </c>
      <c r="X522" s="1" t="n">
        <f aca="false">X521+V522</f>
        <v>286115.1</v>
      </c>
      <c r="Y522" s="1" t="n">
        <f aca="false">Y521+V522</f>
        <v>31600.3</v>
      </c>
      <c r="AA522" s="1" t="n">
        <v>15.2100496745591</v>
      </c>
    </row>
    <row r="523" s="1" customFormat="true" ht="15" hidden="false" customHeight="false" outlineLevel="0" collapsed="false">
      <c r="A523" s="74"/>
      <c r="B523" s="76"/>
      <c r="C523" s="8" t="n">
        <v>40696</v>
      </c>
      <c r="D523" s="1" t="n">
        <v>14.2</v>
      </c>
      <c r="E523" s="1" t="n">
        <v>11.3</v>
      </c>
      <c r="F523" s="1" t="n">
        <v>17.2</v>
      </c>
      <c r="G523" s="1" t="n">
        <f aca="false">G522+D523</f>
        <v>2967.5</v>
      </c>
      <c r="H523" s="1" t="n">
        <f aca="false">H522+D523</f>
        <v>302.8</v>
      </c>
      <c r="J523" s="1" t="n">
        <v>0.2</v>
      </c>
      <c r="K523" s="1" t="n">
        <f aca="false">K522+J523</f>
        <v>376</v>
      </c>
      <c r="L523" s="1" t="n">
        <v>1.9</v>
      </c>
      <c r="M523" s="1" t="n">
        <f aca="false">M522+L523</f>
        <v>591.4</v>
      </c>
      <c r="N523" s="1" t="n">
        <v>-1.7</v>
      </c>
      <c r="O523" s="1" t="n">
        <f aca="false">O522+N523</f>
        <v>13.8</v>
      </c>
      <c r="P523" s="6" t="n">
        <v>268</v>
      </c>
      <c r="Q523" s="1" t="n">
        <f aca="false">1.15+((P523-235)/40)*(0.35-1.15)</f>
        <v>0.49</v>
      </c>
      <c r="R523" s="16" t="n">
        <f aca="false">Q523*L523</f>
        <v>0.931</v>
      </c>
      <c r="S523" s="16" t="n">
        <f aca="false">J523-R523</f>
        <v>-0.731</v>
      </c>
      <c r="T523" s="17" t="n">
        <f aca="false">T522+S523</f>
        <v>19.459</v>
      </c>
      <c r="V523" s="1" t="n">
        <v>988.7</v>
      </c>
      <c r="X523" s="1" t="n">
        <f aca="false">X522+V523</f>
        <v>287103.8</v>
      </c>
      <c r="Y523" s="1" t="n">
        <f aca="false">Y522+V523</f>
        <v>32589</v>
      </c>
      <c r="AA523" s="1" t="n">
        <v>15.2326989855888</v>
      </c>
    </row>
    <row r="524" s="1" customFormat="true" ht="15" hidden="false" customHeight="false" outlineLevel="0" collapsed="false">
      <c r="A524" s="74"/>
      <c r="B524" s="76"/>
      <c r="C524" s="8" t="n">
        <v>40697</v>
      </c>
      <c r="D524" s="1" t="n">
        <v>17.9</v>
      </c>
      <c r="E524" s="1" t="n">
        <v>12.4</v>
      </c>
      <c r="F524" s="1" t="n">
        <v>24.5</v>
      </c>
      <c r="G524" s="1" t="n">
        <f aca="false">G523+D524</f>
        <v>2985.4</v>
      </c>
      <c r="H524" s="1" t="n">
        <f aca="false">H523+D524</f>
        <v>320.7</v>
      </c>
      <c r="J524" s="1" t="n">
        <v>0</v>
      </c>
      <c r="K524" s="1" t="n">
        <f aca="false">K523+J524</f>
        <v>376</v>
      </c>
      <c r="L524" s="1" t="n">
        <v>3.7</v>
      </c>
      <c r="M524" s="1" t="n">
        <f aca="false">M523+L524</f>
        <v>595.1</v>
      </c>
      <c r="N524" s="1" t="n">
        <v>-3.7</v>
      </c>
      <c r="O524" s="1" t="n">
        <f aca="false">O523+N524</f>
        <v>10.1</v>
      </c>
      <c r="P524" s="6" t="n">
        <v>269</v>
      </c>
      <c r="Q524" s="1" t="n">
        <f aca="false">1.15+((P524-235)/40)*(0.35-1.15)</f>
        <v>0.47</v>
      </c>
      <c r="R524" s="16" t="n">
        <f aca="false">Q524*L524</f>
        <v>1.739</v>
      </c>
      <c r="S524" s="16" t="n">
        <f aca="false">J524-R524</f>
        <v>-1.739</v>
      </c>
      <c r="T524" s="17" t="n">
        <f aca="false">T523+S524</f>
        <v>17.72</v>
      </c>
      <c r="V524" s="1" t="n">
        <v>1864.5</v>
      </c>
      <c r="X524" s="1" t="n">
        <f aca="false">X523+V524</f>
        <v>288968.3</v>
      </c>
      <c r="Y524" s="1" t="n">
        <f aca="false">Y523+V524</f>
        <v>34453.5</v>
      </c>
      <c r="AA524" s="1" t="n">
        <v>15.2543658290831</v>
      </c>
    </row>
    <row r="525" s="1" customFormat="true" ht="15" hidden="false" customHeight="false" outlineLevel="0" collapsed="false">
      <c r="A525" s="74"/>
      <c r="B525" s="76"/>
      <c r="C525" s="8" t="n">
        <v>40698</v>
      </c>
      <c r="D525" s="1" t="n">
        <v>17.7</v>
      </c>
      <c r="E525" s="1" t="n">
        <v>13.8</v>
      </c>
      <c r="F525" s="1" t="n">
        <v>21.4</v>
      </c>
      <c r="G525" s="1" t="n">
        <f aca="false">G524+D525</f>
        <v>3003.1</v>
      </c>
      <c r="H525" s="1" t="n">
        <f aca="false">H524+D525</f>
        <v>338.4</v>
      </c>
      <c r="J525" s="1" t="n">
        <v>0.9</v>
      </c>
      <c r="K525" s="1" t="n">
        <f aca="false">K524+J525</f>
        <v>376.9</v>
      </c>
      <c r="L525" s="1" t="n">
        <v>1.9</v>
      </c>
      <c r="M525" s="1" t="n">
        <f aca="false">M524+L525</f>
        <v>597</v>
      </c>
      <c r="N525" s="1" t="n">
        <v>-1</v>
      </c>
      <c r="O525" s="1" t="n">
        <f aca="false">O524+N525</f>
        <v>9.1</v>
      </c>
      <c r="P525" s="6" t="n">
        <v>270</v>
      </c>
      <c r="Q525" s="1" t="n">
        <f aca="false">1.15+((P525-235)/40)*(0.35-1.15)</f>
        <v>0.45</v>
      </c>
      <c r="R525" s="16" t="n">
        <f aca="false">Q525*L525</f>
        <v>0.855</v>
      </c>
      <c r="S525" s="16" t="n">
        <f aca="false">J525-R525</f>
        <v>0.0450000000000002</v>
      </c>
      <c r="T525" s="17" t="n">
        <f aca="false">T524+S525</f>
        <v>17.765</v>
      </c>
      <c r="V525" s="1" t="n">
        <v>1136.4</v>
      </c>
      <c r="X525" s="1" t="n">
        <f aca="false">X524+V525</f>
        <v>290104.7</v>
      </c>
      <c r="Y525" s="1" t="n">
        <f aca="false">Y524+V525</f>
        <v>35589.9</v>
      </c>
      <c r="AA525" s="1" t="n">
        <v>15.2750330524105</v>
      </c>
    </row>
    <row r="526" s="1" customFormat="true" ht="15" hidden="false" customHeight="false" outlineLevel="0" collapsed="false">
      <c r="A526" s="74"/>
      <c r="B526" s="76"/>
      <c r="C526" s="8" t="n">
        <v>40699</v>
      </c>
      <c r="D526" s="1" t="n">
        <v>18.9</v>
      </c>
      <c r="E526" s="1" t="n">
        <v>15</v>
      </c>
      <c r="F526" s="1" t="n">
        <v>22.8</v>
      </c>
      <c r="G526" s="1" t="n">
        <f aca="false">G525+D526</f>
        <v>3022</v>
      </c>
      <c r="H526" s="1" t="n">
        <f aca="false">H525+D526</f>
        <v>357.3</v>
      </c>
      <c r="J526" s="1" t="n">
        <v>0.1</v>
      </c>
      <c r="K526" s="1" t="n">
        <f aca="false">K525+J526</f>
        <v>377</v>
      </c>
      <c r="L526" s="1" t="n">
        <v>3.8</v>
      </c>
      <c r="M526" s="1" t="n">
        <f aca="false">M525+L526</f>
        <v>600.8</v>
      </c>
      <c r="N526" s="1" t="n">
        <v>-3.7</v>
      </c>
      <c r="O526" s="1" t="n">
        <f aca="false">O525+N526</f>
        <v>5.4</v>
      </c>
      <c r="P526" s="6" t="n">
        <v>271</v>
      </c>
      <c r="Q526" s="1" t="n">
        <f aca="false">1.15+((P526-235)/40)*(0.35-1.15)</f>
        <v>0.43</v>
      </c>
      <c r="R526" s="16" t="n">
        <f aca="false">Q526*L526</f>
        <v>1.634</v>
      </c>
      <c r="S526" s="16" t="n">
        <f aca="false">J526-R526</f>
        <v>-1.534</v>
      </c>
      <c r="T526" s="17" t="n">
        <f aca="false">T525+S526</f>
        <v>16.231</v>
      </c>
      <c r="V526" s="1" t="n">
        <v>1913.3</v>
      </c>
      <c r="X526" s="1" t="n">
        <f aca="false">X525+V526</f>
        <v>292018</v>
      </c>
      <c r="Y526" s="1" t="n">
        <f aca="false">Y525+V526</f>
        <v>37503.2</v>
      </c>
      <c r="AA526" s="1" t="n">
        <v>15.2946840634769</v>
      </c>
    </row>
    <row r="527" s="1" customFormat="true" ht="15" hidden="false" customHeight="false" outlineLevel="0" collapsed="false">
      <c r="A527" s="74"/>
      <c r="B527" s="76"/>
      <c r="C527" s="8" t="n">
        <v>40700</v>
      </c>
      <c r="D527" s="1" t="n">
        <v>20</v>
      </c>
      <c r="E527" s="1" t="n">
        <v>16.2</v>
      </c>
      <c r="F527" s="1" t="n">
        <v>24.6</v>
      </c>
      <c r="G527" s="1" t="n">
        <f aca="false">G526+D527</f>
        <v>3042</v>
      </c>
      <c r="H527" s="1" t="n">
        <f aca="false">H526+D527</f>
        <v>377.3</v>
      </c>
      <c r="J527" s="1" t="n">
        <v>0.4</v>
      </c>
      <c r="K527" s="1" t="n">
        <f aca="false">K526+J527</f>
        <v>377.4</v>
      </c>
      <c r="L527" s="1" t="n">
        <v>4.2</v>
      </c>
      <c r="M527" s="1" t="n">
        <f aca="false">M526+L527</f>
        <v>605</v>
      </c>
      <c r="N527" s="1" t="n">
        <v>-3.8</v>
      </c>
      <c r="O527" s="1" t="n">
        <f aca="false">O526+N527</f>
        <v>1.6</v>
      </c>
      <c r="P527" s="6" t="n">
        <v>272</v>
      </c>
      <c r="Q527" s="1" t="n">
        <f aca="false">1.15+((P527-235)/40)*(0.35-1.15)</f>
        <v>0.41</v>
      </c>
      <c r="R527" s="16" t="n">
        <f aca="false">Q527*L527</f>
        <v>1.722</v>
      </c>
      <c r="S527" s="16" t="n">
        <f aca="false">J527-R527</f>
        <v>-1.322</v>
      </c>
      <c r="T527" s="17" t="n">
        <f aca="false">T526+S527</f>
        <v>14.909</v>
      </c>
      <c r="V527" s="1" t="n">
        <v>1864.9</v>
      </c>
      <c r="X527" s="1" t="n">
        <f aca="false">X526+V527</f>
        <v>293882.9</v>
      </c>
      <c r="Y527" s="1" t="n">
        <f aca="false">Y526+V527</f>
        <v>39368.1</v>
      </c>
      <c r="AA527" s="1" t="n">
        <v>15.3133028775991</v>
      </c>
    </row>
    <row r="528" s="1" customFormat="true" ht="15" hidden="false" customHeight="false" outlineLevel="0" collapsed="false">
      <c r="A528" s="74"/>
      <c r="B528" s="76"/>
      <c r="C528" s="8" t="n">
        <v>40701</v>
      </c>
      <c r="D528" s="1" t="n">
        <v>15.6</v>
      </c>
      <c r="E528" s="1" t="n">
        <v>14.7</v>
      </c>
      <c r="F528" s="1" t="n">
        <v>17</v>
      </c>
      <c r="G528" s="1" t="n">
        <f aca="false">G527+D528</f>
        <v>3057.6</v>
      </c>
      <c r="H528" s="1" t="n">
        <f aca="false">H527+D528</f>
        <v>392.9</v>
      </c>
      <c r="J528" s="1" t="n">
        <v>18</v>
      </c>
      <c r="K528" s="1" t="n">
        <f aca="false">K527+J528</f>
        <v>395.4</v>
      </c>
      <c r="L528" s="1" t="n">
        <v>1.4</v>
      </c>
      <c r="M528" s="1" t="n">
        <f aca="false">M527+L528</f>
        <v>606.4</v>
      </c>
      <c r="N528" s="1" t="n">
        <v>16.6</v>
      </c>
      <c r="O528" s="1" t="n">
        <f aca="false">O527+N528</f>
        <v>18.2</v>
      </c>
      <c r="P528" s="6" t="n">
        <v>273</v>
      </c>
      <c r="Q528" s="1" t="n">
        <f aca="false">1.15+((P528-235)/40)*(0.35-1.15)</f>
        <v>0.39</v>
      </c>
      <c r="R528" s="16" t="n">
        <f aca="false">Q528*L528</f>
        <v>0.546</v>
      </c>
      <c r="S528" s="16" t="n">
        <f aca="false">J528-R528</f>
        <v>17.454</v>
      </c>
      <c r="T528" s="17" t="n">
        <f aca="false">T527+S528</f>
        <v>32.363</v>
      </c>
      <c r="V528" s="1" t="n">
        <v>589.2</v>
      </c>
      <c r="X528" s="1" t="n">
        <f aca="false">X527+V528</f>
        <v>294472.1</v>
      </c>
      <c r="Y528" s="1" t="n">
        <f aca="false">Y527+V528</f>
        <v>39957.3</v>
      </c>
      <c r="AA528" s="1" t="n">
        <v>15.3308741636784</v>
      </c>
    </row>
    <row r="529" s="31" customFormat="true" ht="15" hidden="false" customHeight="false" outlineLevel="0" collapsed="false">
      <c r="A529" s="74"/>
      <c r="B529" s="86" t="n">
        <v>1000</v>
      </c>
      <c r="C529" s="30" t="n">
        <v>40702</v>
      </c>
      <c r="D529" s="31" t="n">
        <v>14.7</v>
      </c>
      <c r="E529" s="31" t="n">
        <v>13.9</v>
      </c>
      <c r="F529" s="31" t="n">
        <v>16.3</v>
      </c>
      <c r="G529" s="31" t="n">
        <f aca="false">G528+D529</f>
        <v>3072.3</v>
      </c>
      <c r="H529" s="31" t="n">
        <f aca="false">H528+D529</f>
        <v>407.6</v>
      </c>
      <c r="J529" s="31" t="n">
        <v>1</v>
      </c>
      <c r="K529" s="31" t="n">
        <f aca="false">K528+J529</f>
        <v>396.4</v>
      </c>
      <c r="L529" s="31" t="n">
        <v>2.3</v>
      </c>
      <c r="M529" s="31" t="n">
        <f aca="false">M528+L529</f>
        <v>608.7</v>
      </c>
      <c r="N529" s="31" t="n">
        <v>-1.3</v>
      </c>
      <c r="O529" s="31" t="n">
        <f aca="false">O528+N529</f>
        <v>16.9</v>
      </c>
      <c r="P529" s="32" t="n">
        <v>274</v>
      </c>
      <c r="Q529" s="31" t="n">
        <f aca="false">1.15+((P529-235)/40)*(0.35-1.15)</f>
        <v>0.37</v>
      </c>
      <c r="R529" s="33" t="n">
        <f aca="false">Q529*L529</f>
        <v>0.851</v>
      </c>
      <c r="S529" s="33" t="n">
        <f aca="false">J529-R529</f>
        <v>0.149</v>
      </c>
      <c r="T529" s="34" t="n">
        <f aca="false">T528+S529</f>
        <v>32.512</v>
      </c>
      <c r="V529" s="31" t="n">
        <v>1172</v>
      </c>
      <c r="X529" s="31" t="n">
        <f aca="false">X528+V529</f>
        <v>295644.1</v>
      </c>
      <c r="Y529" s="31" t="n">
        <f aca="false">Y528+V529</f>
        <v>41129.3</v>
      </c>
      <c r="AA529" s="31" t="n">
        <v>15.3473832894206</v>
      </c>
    </row>
    <row r="530" s="1" customFormat="true" ht="15" hidden="false" customHeight="false" outlineLevel="0" collapsed="false">
      <c r="A530" s="87"/>
      <c r="B530" s="76"/>
      <c r="C530" s="8" t="n">
        <v>40703</v>
      </c>
      <c r="D530" s="1" t="n">
        <v>16.8</v>
      </c>
      <c r="E530" s="1" t="n">
        <v>12.7</v>
      </c>
      <c r="F530" s="1" t="n">
        <v>20</v>
      </c>
      <c r="G530" s="1" t="n">
        <f aca="false">G529+D530</f>
        <v>3089.1</v>
      </c>
      <c r="H530" s="1" t="n">
        <f aca="false">H529+D530</f>
        <v>424.4</v>
      </c>
      <c r="J530" s="1" t="n">
        <v>0.5</v>
      </c>
      <c r="K530" s="1" t="n">
        <f aca="false">K529+J530</f>
        <v>396.9</v>
      </c>
      <c r="L530" s="1" t="n">
        <v>3.7</v>
      </c>
      <c r="M530" s="1" t="n">
        <f aca="false">M529+L530</f>
        <v>612.4</v>
      </c>
      <c r="N530" s="1" t="n">
        <v>-3.2</v>
      </c>
      <c r="O530" s="1" t="n">
        <f aca="false">O529+N530</f>
        <v>13.7</v>
      </c>
      <c r="P530" s="6" t="n">
        <v>275</v>
      </c>
      <c r="Q530" s="1" t="n">
        <f aca="false">1.15+((P530-235)/40)*(0.35-1.15)</f>
        <v>0.35</v>
      </c>
      <c r="R530" s="16" t="n">
        <f aca="false">Q530*L530</f>
        <v>1.295</v>
      </c>
      <c r="S530" s="16" t="n">
        <f aca="false">J530-R530</f>
        <v>-0.795</v>
      </c>
      <c r="T530" s="17" t="n">
        <f aca="false">T529+S530</f>
        <v>31.717</v>
      </c>
      <c r="V530" s="1" t="n">
        <v>1966.2</v>
      </c>
      <c r="X530" s="1" t="n">
        <f aca="false">X529+V530</f>
        <v>297610.3</v>
      </c>
      <c r="Y530" s="1" t="n">
        <v>1966.2</v>
      </c>
      <c r="AA530" s="1" t="n">
        <v>15.3628163653462</v>
      </c>
    </row>
    <row r="531" s="1" customFormat="true" ht="15" hidden="false" customHeight="false" outlineLevel="0" collapsed="false">
      <c r="A531" s="80" t="s">
        <v>67</v>
      </c>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sheetData>
  <mergeCells count="15">
    <mergeCell ref="D1:I2"/>
    <mergeCell ref="J1:U2"/>
    <mergeCell ref="V1:Z2"/>
    <mergeCell ref="J3:O3"/>
    <mergeCell ref="P3:T3"/>
    <mergeCell ref="G4:H4"/>
    <mergeCell ref="X4:Y4"/>
    <mergeCell ref="A255:Z255"/>
    <mergeCell ref="A256:A332"/>
    <mergeCell ref="A333:A375"/>
    <mergeCell ref="A376:A448"/>
    <mergeCell ref="A470:A490"/>
    <mergeCell ref="A491:A507"/>
    <mergeCell ref="A508:A529"/>
    <mergeCell ref="A531:Z531"/>
  </mergeCells>
  <conditionalFormatting sqref="T1:T531">
    <cfRule type="cellIs" priority="2" operator="equal" aboveAverage="0" equalAverage="0" bottom="0" percent="0" rank="0" text="" dxfId="8">
      <formula>0</formula>
    </cfRule>
    <cfRule type="cellIs" priority="3" operator="lessThanOrEqual" aboveAverage="0" equalAverage="0" bottom="0" percent="0" rank="0" text="" dxfId="9">
      <formula>40.7</formula>
    </cfRule>
  </conditionalFormatting>
  <conditionalFormatting sqref="S256:S530">
    <cfRule type="cellIs" priority="4" operator="lessThanOrEqual" aboveAverage="0" equalAverage="0" bottom="0" percent="0" rank="0" text="" dxfId="10">
      <formula>0</formula>
    </cfRule>
  </conditionalFormatting>
  <conditionalFormatting sqref="V1:V531">
    <cfRule type="cellIs" priority="5" operator="between" aboveAverage="0" equalAverage="0" bottom="0" percent="0" rank="0" text="" dxfId="11">
      <formula>899.99</formula>
      <formula>0</formula>
    </cfRule>
  </conditionalFormatting>
  <conditionalFormatting sqref="N5:N254 N256:N530">
    <cfRule type="cellIs" priority="6" operator="between" aboveAverage="0" equalAverage="0" bottom="0" percent="0" rank="0" text="" dxfId="12">
      <formula>0.0001</formula>
      <formula>-50</formula>
    </cfRule>
  </conditionalFormatting>
  <conditionalFormatting sqref="D5:F254 D256:F530 I263 I265 I267 I269 I346 I340 I342 I344 I389 I383 I385 I387 I450 I452 I456 I458 I460 I462 I477 I479 I481 I483 I504 I502 I500 I498 I515 I517 I519 I521">
    <cfRule type="cellIs" priority="7" operator="between" aboveAverage="0" equalAverage="0" bottom="0" percent="0" rank="0" text="" dxfId="13">
      <formula>25</formula>
      <formula>40</formula>
    </cfRule>
    <cfRule type="cellIs" priority="8" operator="between" aboveAverage="0" equalAverage="0" bottom="0" percent="0" rank="0" text="" dxfId="14">
      <formula>0.1</formula>
      <formula>5</formula>
    </cfRule>
    <cfRule type="cellIs" priority="9" operator="between" aboveAverage="0" equalAverage="0" bottom="0" percent="0" rank="0" text="" dxfId="15">
      <formula>0</formula>
      <formula>-20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LibreOffice/25.2.7.2$Windows_X86_64 LibreOffice_project/5cbfd1ab6520636bb5f7b99185aa69bd7456825d</Application>
  <AppVersion>15.0000</AppVersion>
  <Company>INRA - RENNES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2019-11-19T08:08:43Z</dcterms:created>
  <dc:creator>adminigepp</dc:creator>
  <dc:description/>
  <dc:language>fr-FR</dc:language>
  <cp:lastModifiedBy/>
  <dcterms:modified xsi:type="dcterms:W3CDTF">2025-12-09T13:44:51Z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