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ecorlouer\Documents\AA_FICHIERS_ELABORATION_IPC\Actualisation_2019_N\R2011\"/>
    </mc:Choice>
  </mc:AlternateContent>
  <bookViews>
    <workbookView xWindow="0" yWindow="0" windowWidth="28800" windowHeight="11700" activeTab="1"/>
  </bookViews>
  <sheets>
    <sheet name=" N-" sheetId="1" r:id="rId1"/>
    <sheet name="N+" sheetId="2" r:id="rId2"/>
  </sheet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C211" i="2" l="1"/>
  <c r="AC207" i="2"/>
  <c r="AC209" i="2"/>
  <c r="AC205" i="2"/>
  <c r="AC203" i="2"/>
  <c r="AB226" i="2"/>
  <c r="AB218" i="2"/>
  <c r="AB195" i="2"/>
  <c r="AB187" i="2"/>
  <c r="AB226" i="1"/>
  <c r="AB218" i="1"/>
  <c r="Q340" i="2"/>
  <c r="R340" i="2" s="1"/>
  <c r="S340" i="2" s="1"/>
  <c r="Q339" i="2"/>
  <c r="R339" i="2" s="1"/>
  <c r="S339" i="2" s="1"/>
  <c r="Q338" i="2"/>
  <c r="R338" i="2" s="1"/>
  <c r="S338" i="2" s="1"/>
  <c r="Q337" i="2"/>
  <c r="R337" i="2" s="1"/>
  <c r="S337" i="2" s="1"/>
  <c r="Q336" i="2"/>
  <c r="R336" i="2" s="1"/>
  <c r="S336" i="2" s="1"/>
  <c r="Q335" i="2"/>
  <c r="R335" i="2" s="1"/>
  <c r="S335" i="2" s="1"/>
  <c r="Y334" i="2"/>
  <c r="Y335" i="2" s="1"/>
  <c r="Y336" i="2" s="1"/>
  <c r="Y337" i="2" s="1"/>
  <c r="Y338" i="2" s="1"/>
  <c r="Y339" i="2" s="1"/>
  <c r="Y340" i="2" s="1"/>
  <c r="S334" i="2"/>
  <c r="Q334" i="2"/>
  <c r="R334" i="2" s="1"/>
  <c r="H334" i="2"/>
  <c r="H335" i="2" s="1"/>
  <c r="H336" i="2" s="1"/>
  <c r="H337" i="2" s="1"/>
  <c r="H338" i="2" s="1"/>
  <c r="H339" i="2" s="1"/>
  <c r="H340" i="2" s="1"/>
  <c r="Q333" i="2"/>
  <c r="R333" i="2" s="1"/>
  <c r="S333" i="2" s="1"/>
  <c r="Q332" i="2"/>
  <c r="R332" i="2" s="1"/>
  <c r="S332" i="2" s="1"/>
  <c r="R331" i="2"/>
  <c r="S331" i="2" s="1"/>
  <c r="Q331" i="2"/>
  <c r="Q330" i="2"/>
  <c r="R330" i="2" s="1"/>
  <c r="S330" i="2" s="1"/>
  <c r="R329" i="2"/>
  <c r="S329" i="2" s="1"/>
  <c r="Q329" i="2"/>
  <c r="S328" i="2"/>
  <c r="Q328" i="2"/>
  <c r="R328" i="2" s="1"/>
  <c r="R327" i="2"/>
  <c r="S327" i="2" s="1"/>
  <c r="Q327" i="2"/>
  <c r="Q326" i="2"/>
  <c r="R326" i="2" s="1"/>
  <c r="S326" i="2" s="1"/>
  <c r="R325" i="2"/>
  <c r="S325" i="2" s="1"/>
  <c r="Q325" i="2"/>
  <c r="Q324" i="2"/>
  <c r="R324" i="2" s="1"/>
  <c r="S324" i="2" s="1"/>
  <c r="R323" i="2"/>
  <c r="S323" i="2" s="1"/>
  <c r="Q323" i="2"/>
  <c r="Q322" i="2"/>
  <c r="R322" i="2" s="1"/>
  <c r="S322" i="2" s="1"/>
  <c r="R321" i="2"/>
  <c r="S321" i="2" s="1"/>
  <c r="Q321" i="2"/>
  <c r="O321" i="2"/>
  <c r="O322" i="2" s="1"/>
  <c r="O323" i="2" s="1"/>
  <c r="O324" i="2" s="1"/>
  <c r="O325" i="2" s="1"/>
  <c r="O326" i="2" s="1"/>
  <c r="O327" i="2" s="1"/>
  <c r="O328" i="2" s="1"/>
  <c r="O329" i="2" s="1"/>
  <c r="O330" i="2" s="1"/>
  <c r="O331" i="2" s="1"/>
  <c r="O332" i="2" s="1"/>
  <c r="O333" i="2" s="1"/>
  <c r="O334" i="2" s="1"/>
  <c r="Q320" i="2"/>
  <c r="R320" i="2" s="1"/>
  <c r="S320" i="2" s="1"/>
  <c r="R319" i="2"/>
  <c r="S319" i="2" s="1"/>
  <c r="Q319" i="2"/>
  <c r="R318" i="2"/>
  <c r="S318" i="2" s="1"/>
  <c r="Q318" i="2"/>
  <c r="R317" i="2"/>
  <c r="S317" i="2" s="1"/>
  <c r="Q317" i="2"/>
  <c r="Q316" i="2"/>
  <c r="R316" i="2" s="1"/>
  <c r="S316" i="2" s="1"/>
  <c r="Q315" i="2"/>
  <c r="R315" i="2" s="1"/>
  <c r="S315" i="2" s="1"/>
  <c r="R314" i="2"/>
  <c r="S314" i="2" s="1"/>
  <c r="Q314" i="2"/>
  <c r="O314" i="2"/>
  <c r="O315" i="2" s="1"/>
  <c r="O316" i="2" s="1"/>
  <c r="O317" i="2" s="1"/>
  <c r="O318" i="2" s="1"/>
  <c r="Q313" i="2"/>
  <c r="R313" i="2" s="1"/>
  <c r="S313" i="2" s="1"/>
  <c r="T313" i="2" s="1"/>
  <c r="T314" i="2" s="1"/>
  <c r="T315" i="2" s="1"/>
  <c r="T316" i="2" s="1"/>
  <c r="T317" i="2" s="1"/>
  <c r="T318" i="2" s="1"/>
  <c r="T319" i="2" s="1"/>
  <c r="T320" i="2" s="1"/>
  <c r="T321" i="2" s="1"/>
  <c r="T322" i="2" s="1"/>
  <c r="T323" i="2" s="1"/>
  <c r="T324" i="2" s="1"/>
  <c r="T325" i="2" s="1"/>
  <c r="T326" i="2" s="1"/>
  <c r="T327" i="2" s="1"/>
  <c r="T328" i="2" s="1"/>
  <c r="T329" i="2" s="1"/>
  <c r="T330" i="2" s="1"/>
  <c r="T331" i="2" s="1"/>
  <c r="T332" i="2" s="1"/>
  <c r="T333" i="2" s="1"/>
  <c r="T334" i="2" s="1"/>
  <c r="T335" i="2" s="1"/>
  <c r="T336" i="2" s="1"/>
  <c r="T337" i="2" s="1"/>
  <c r="T338" i="2" s="1"/>
  <c r="T339" i="2" s="1"/>
  <c r="T340" i="2" s="1"/>
  <c r="O313" i="2"/>
  <c r="Y312" i="2"/>
  <c r="Y313" i="2" s="1"/>
  <c r="Y314" i="2" s="1"/>
  <c r="Y315" i="2" s="1"/>
  <c r="Y316" i="2" s="1"/>
  <c r="Y317" i="2" s="1"/>
  <c r="Y318" i="2" s="1"/>
  <c r="Y319" i="2" s="1"/>
  <c r="Y320" i="2" s="1"/>
  <c r="Y321" i="2" s="1"/>
  <c r="Y322" i="2" s="1"/>
  <c r="Y323" i="2" s="1"/>
  <c r="Y324" i="2" s="1"/>
  <c r="Y325" i="2" s="1"/>
  <c r="Y326" i="2" s="1"/>
  <c r="Y327" i="2" s="1"/>
  <c r="Y328" i="2" s="1"/>
  <c r="Y329" i="2" s="1"/>
  <c r="Y330" i="2" s="1"/>
  <c r="Y331" i="2" s="1"/>
  <c r="Y332" i="2" s="1"/>
  <c r="Q312" i="2"/>
  <c r="R312" i="2" s="1"/>
  <c r="S312" i="2" s="1"/>
  <c r="R311" i="2"/>
  <c r="S311" i="2" s="1"/>
  <c r="Q311" i="2"/>
  <c r="I311" i="2"/>
  <c r="R310" i="2"/>
  <c r="S310" i="2" s="1"/>
  <c r="Q310" i="2"/>
  <c r="Z309" i="2"/>
  <c r="S309" i="2"/>
  <c r="Q309" i="2"/>
  <c r="R309" i="2" s="1"/>
  <c r="I309" i="2"/>
  <c r="S308" i="2"/>
  <c r="T308" i="2" s="1"/>
  <c r="Q308" i="2"/>
  <c r="R308" i="2" s="1"/>
  <c r="H308" i="2"/>
  <c r="H309" i="2" s="1"/>
  <c r="H310" i="2" s="1"/>
  <c r="H311" i="2" s="1"/>
  <c r="H312" i="2" s="1"/>
  <c r="H313" i="2" s="1"/>
  <c r="H314" i="2" s="1"/>
  <c r="H315" i="2" s="1"/>
  <c r="H316" i="2" s="1"/>
  <c r="H317" i="2" s="1"/>
  <c r="H318" i="2" s="1"/>
  <c r="H319" i="2" s="1"/>
  <c r="H320" i="2" s="1"/>
  <c r="H321" i="2" s="1"/>
  <c r="H322" i="2" s="1"/>
  <c r="H323" i="2" s="1"/>
  <c r="H324" i="2" s="1"/>
  <c r="H325" i="2" s="1"/>
  <c r="H326" i="2" s="1"/>
  <c r="H327" i="2" s="1"/>
  <c r="H328" i="2" s="1"/>
  <c r="H329" i="2" s="1"/>
  <c r="H330" i="2" s="1"/>
  <c r="H331" i="2" s="1"/>
  <c r="H332" i="2" s="1"/>
  <c r="Y307" i="2"/>
  <c r="Y308" i="2" s="1"/>
  <c r="Y309" i="2" s="1"/>
  <c r="Y310" i="2" s="1"/>
  <c r="Y311" i="2" s="1"/>
  <c r="Q307" i="2"/>
  <c r="R307" i="2" s="1"/>
  <c r="S307" i="2" s="1"/>
  <c r="I307" i="2"/>
  <c r="H307" i="2"/>
  <c r="Q306" i="2"/>
  <c r="R306" i="2" s="1"/>
  <c r="S306" i="2" s="1"/>
  <c r="R305" i="2"/>
  <c r="S305" i="2" s="1"/>
  <c r="Q305" i="2"/>
  <c r="R304" i="2"/>
  <c r="S304" i="2" s="1"/>
  <c r="Q304" i="2"/>
  <c r="Q303" i="2"/>
  <c r="R303" i="2" s="1"/>
  <c r="S303" i="2" s="1"/>
  <c r="R302" i="2"/>
  <c r="S302" i="2" s="1"/>
  <c r="Q302" i="2"/>
  <c r="S301" i="2"/>
  <c r="Q301" i="2"/>
  <c r="R301" i="2" s="1"/>
  <c r="R300" i="2"/>
  <c r="S300" i="2" s="1"/>
  <c r="Q300" i="2"/>
  <c r="S299" i="2"/>
  <c r="Q299" i="2"/>
  <c r="R299" i="2" s="1"/>
  <c r="Y298" i="2"/>
  <c r="Y299" i="2" s="1"/>
  <c r="Y300" i="2" s="1"/>
  <c r="Y301" i="2" s="1"/>
  <c r="Y302" i="2" s="1"/>
  <c r="Y303" i="2" s="1"/>
  <c r="Y304" i="2" s="1"/>
  <c r="Y305" i="2" s="1"/>
  <c r="Q298" i="2"/>
  <c r="R298" i="2" s="1"/>
  <c r="S298" i="2" s="1"/>
  <c r="R297" i="2"/>
  <c r="S297" i="2" s="1"/>
  <c r="Q297" i="2"/>
  <c r="R296" i="2"/>
  <c r="S296" i="2" s="1"/>
  <c r="Q296" i="2"/>
  <c r="Q295" i="2"/>
  <c r="R295" i="2" s="1"/>
  <c r="S295" i="2" s="1"/>
  <c r="Q294" i="2"/>
  <c r="R294" i="2" s="1"/>
  <c r="S294" i="2" s="1"/>
  <c r="R293" i="2"/>
  <c r="S293" i="2" s="1"/>
  <c r="Q293" i="2"/>
  <c r="S292" i="2"/>
  <c r="Q292" i="2"/>
  <c r="R292" i="2" s="1"/>
  <c r="Y291" i="2"/>
  <c r="Y292" i="2" s="1"/>
  <c r="Y293" i="2" s="1"/>
  <c r="Y294" i="2" s="1"/>
  <c r="Y295" i="2" s="1"/>
  <c r="Y296" i="2" s="1"/>
  <c r="Y297" i="2" s="1"/>
  <c r="R291" i="2"/>
  <c r="S291" i="2" s="1"/>
  <c r="Q291" i="2"/>
  <c r="Q290" i="2"/>
  <c r="R290" i="2" s="1"/>
  <c r="S290" i="2" s="1"/>
  <c r="I290" i="2"/>
  <c r="S289" i="2"/>
  <c r="Q289" i="2"/>
  <c r="R289" i="2" s="1"/>
  <c r="H289" i="2"/>
  <c r="H290" i="2" s="1"/>
  <c r="H291" i="2" s="1"/>
  <c r="H292" i="2" s="1"/>
  <c r="H293" i="2" s="1"/>
  <c r="H294" i="2" s="1"/>
  <c r="H295" i="2" s="1"/>
  <c r="H296" i="2" s="1"/>
  <c r="H297" i="2" s="1"/>
  <c r="H298" i="2" s="1"/>
  <c r="H299" i="2" s="1"/>
  <c r="H300" i="2" s="1"/>
  <c r="H301" i="2" s="1"/>
  <c r="H302" i="2" s="1"/>
  <c r="H303" i="2" s="1"/>
  <c r="H304" i="2" s="1"/>
  <c r="H305" i="2" s="1"/>
  <c r="Z288" i="2"/>
  <c r="S288" i="2"/>
  <c r="Q288" i="2"/>
  <c r="R288" i="2" s="1"/>
  <c r="I288" i="2"/>
  <c r="S287" i="2"/>
  <c r="Q287" i="2"/>
  <c r="R287" i="2" s="1"/>
  <c r="H287" i="2"/>
  <c r="H288" i="2" s="1"/>
  <c r="Y286" i="2"/>
  <c r="Y287" i="2" s="1"/>
  <c r="Y288" i="2" s="1"/>
  <c r="Y289" i="2" s="1"/>
  <c r="Y290" i="2" s="1"/>
  <c r="R286" i="2"/>
  <c r="S286" i="2" s="1"/>
  <c r="Q286" i="2"/>
  <c r="I286" i="2"/>
  <c r="H286" i="2"/>
  <c r="Q285" i="2"/>
  <c r="R285" i="2" s="1"/>
  <c r="S285" i="2" s="1"/>
  <c r="S284" i="2"/>
  <c r="R284" i="2"/>
  <c r="S283" i="2"/>
  <c r="R283" i="2"/>
  <c r="S282" i="2"/>
  <c r="R282" i="2"/>
  <c r="S281" i="2"/>
  <c r="R281" i="2"/>
  <c r="S280" i="2"/>
  <c r="R280" i="2"/>
  <c r="S279" i="2"/>
  <c r="R279" i="2"/>
  <c r="S278" i="2"/>
  <c r="R278" i="2"/>
  <c r="R277" i="2"/>
  <c r="S277" i="2" s="1"/>
  <c r="R276" i="2"/>
  <c r="S276" i="2" s="1"/>
  <c r="S275" i="2"/>
  <c r="R275" i="2"/>
  <c r="S274" i="2"/>
  <c r="R274" i="2"/>
  <c r="R273" i="2"/>
  <c r="S273" i="2" s="1"/>
  <c r="R272" i="2"/>
  <c r="S272" i="2" s="1"/>
  <c r="S271" i="2"/>
  <c r="R271" i="2"/>
  <c r="O271" i="2"/>
  <c r="O272" i="2" s="1"/>
  <c r="O273" i="2" s="1"/>
  <c r="O274" i="2" s="1"/>
  <c r="O275" i="2" s="1"/>
  <c r="O276" i="2" s="1"/>
  <c r="O277" i="2" s="1"/>
  <c r="O278" i="2" s="1"/>
  <c r="O279" i="2" s="1"/>
  <c r="O280" i="2" s="1"/>
  <c r="O281" i="2" s="1"/>
  <c r="O282" i="2" s="1"/>
  <c r="O283" i="2" s="1"/>
  <c r="O284" i="2" s="1"/>
  <c r="O285" i="2" s="1"/>
  <c r="O286" i="2" s="1"/>
  <c r="O287" i="2" s="1"/>
  <c r="O288" i="2" s="1"/>
  <c r="O289" i="2" s="1"/>
  <c r="O290" i="2" s="1"/>
  <c r="O291" i="2" s="1"/>
  <c r="O292" i="2" s="1"/>
  <c r="O293" i="2" s="1"/>
  <c r="O294" i="2" s="1"/>
  <c r="O295" i="2" s="1"/>
  <c r="O296" i="2" s="1"/>
  <c r="O297" i="2" s="1"/>
  <c r="O298" i="2" s="1"/>
  <c r="O299" i="2" s="1"/>
  <c r="O300" i="2" s="1"/>
  <c r="O301" i="2" s="1"/>
  <c r="O302" i="2" s="1"/>
  <c r="O303" i="2" s="1"/>
  <c r="O304" i="2" s="1"/>
  <c r="O305" i="2" s="1"/>
  <c r="O306" i="2" s="1"/>
  <c r="O307" i="2" s="1"/>
  <c r="O308" i="2" s="1"/>
  <c r="O309" i="2" s="1"/>
  <c r="O310" i="2" s="1"/>
  <c r="S270" i="2"/>
  <c r="R270" i="2"/>
  <c r="S269" i="2"/>
  <c r="R269" i="2"/>
  <c r="I269" i="2"/>
  <c r="S268" i="2"/>
  <c r="R268" i="2"/>
  <c r="Z267" i="2"/>
  <c r="Y267" i="2"/>
  <c r="Y268" i="2" s="1"/>
  <c r="Y269" i="2" s="1"/>
  <c r="Y270" i="2" s="1"/>
  <c r="Y271" i="2" s="1"/>
  <c r="Y272" i="2" s="1"/>
  <c r="Y273" i="2" s="1"/>
  <c r="Y274" i="2" s="1"/>
  <c r="Y275" i="2" s="1"/>
  <c r="Y276" i="2" s="1"/>
  <c r="Y277" i="2" s="1"/>
  <c r="Y278" i="2" s="1"/>
  <c r="Y279" i="2" s="1"/>
  <c r="Y280" i="2" s="1"/>
  <c r="Y281" i="2" s="1"/>
  <c r="Y282" i="2" s="1"/>
  <c r="Y283" i="2" s="1"/>
  <c r="Y284" i="2" s="1"/>
  <c r="S267" i="2"/>
  <c r="R267" i="2"/>
  <c r="S266" i="2"/>
  <c r="R266" i="2"/>
  <c r="Y265" i="2"/>
  <c r="Y266" i="2" s="1"/>
  <c r="R265" i="2"/>
  <c r="S265" i="2" s="1"/>
  <c r="H265" i="2"/>
  <c r="H266" i="2" s="1"/>
  <c r="H267" i="2" s="1"/>
  <c r="H268" i="2" s="1"/>
  <c r="H269" i="2" s="1"/>
  <c r="H270" i="2" s="1"/>
  <c r="H271" i="2" s="1"/>
  <c r="H272" i="2" s="1"/>
  <c r="H273" i="2" s="1"/>
  <c r="H274" i="2" s="1"/>
  <c r="H275" i="2" s="1"/>
  <c r="H276" i="2" s="1"/>
  <c r="H277" i="2" s="1"/>
  <c r="H278" i="2" s="1"/>
  <c r="H279" i="2" s="1"/>
  <c r="H280" i="2" s="1"/>
  <c r="H281" i="2" s="1"/>
  <c r="H282" i="2" s="1"/>
  <c r="H283" i="2" s="1"/>
  <c r="H284" i="2" s="1"/>
  <c r="S264" i="2"/>
  <c r="R264" i="2"/>
  <c r="R263" i="2"/>
  <c r="S263" i="2" s="1"/>
  <c r="S262" i="2"/>
  <c r="R262" i="2"/>
  <c r="S261" i="2"/>
  <c r="R261" i="2"/>
  <c r="R260" i="2"/>
  <c r="S260" i="2" s="1"/>
  <c r="R259" i="2"/>
  <c r="S259" i="2" s="1"/>
  <c r="S258" i="2"/>
  <c r="R258" i="2"/>
  <c r="S257" i="2"/>
  <c r="R257" i="2"/>
  <c r="S256" i="2"/>
  <c r="R256" i="2"/>
  <c r="R255" i="2"/>
  <c r="S255" i="2" s="1"/>
  <c r="S254" i="2"/>
  <c r="R254" i="2"/>
  <c r="R253" i="2"/>
  <c r="S253" i="2" s="1"/>
  <c r="R252" i="2"/>
  <c r="S252" i="2" s="1"/>
  <c r="R251" i="2"/>
  <c r="S251" i="2" s="1"/>
  <c r="R250" i="2"/>
  <c r="S250" i="2" s="1"/>
  <c r="R249" i="2"/>
  <c r="S249" i="2" s="1"/>
  <c r="S248" i="2"/>
  <c r="R248" i="2"/>
  <c r="I248" i="2"/>
  <c r="S247" i="2"/>
  <c r="R247" i="2"/>
  <c r="Z246" i="2"/>
  <c r="R246" i="2"/>
  <c r="S246" i="2" s="1"/>
  <c r="Y245" i="2"/>
  <c r="Y246" i="2" s="1"/>
  <c r="Y247" i="2" s="1"/>
  <c r="Y248" i="2" s="1"/>
  <c r="Y249" i="2" s="1"/>
  <c r="Y250" i="2" s="1"/>
  <c r="Y251" i="2" s="1"/>
  <c r="Y252" i="2" s="1"/>
  <c r="Y253" i="2" s="1"/>
  <c r="Y254" i="2" s="1"/>
  <c r="Y255" i="2" s="1"/>
  <c r="Y256" i="2" s="1"/>
  <c r="Y257" i="2" s="1"/>
  <c r="Y258" i="2" s="1"/>
  <c r="Y259" i="2" s="1"/>
  <c r="Y260" i="2" s="1"/>
  <c r="Y261" i="2" s="1"/>
  <c r="Y262" i="2" s="1"/>
  <c r="Y263" i="2" s="1"/>
  <c r="S245" i="2"/>
  <c r="R245" i="2"/>
  <c r="H245" i="2"/>
  <c r="H246" i="2" s="1"/>
  <c r="H247" i="2" s="1"/>
  <c r="H248" i="2" s="1"/>
  <c r="H249" i="2" s="1"/>
  <c r="H250" i="2" s="1"/>
  <c r="H251" i="2" s="1"/>
  <c r="H252" i="2" s="1"/>
  <c r="H253" i="2" s="1"/>
  <c r="H254" i="2" s="1"/>
  <c r="H255" i="2" s="1"/>
  <c r="H256" i="2" s="1"/>
  <c r="H257" i="2" s="1"/>
  <c r="H258" i="2" s="1"/>
  <c r="H259" i="2" s="1"/>
  <c r="H260" i="2" s="1"/>
  <c r="H261" i="2" s="1"/>
  <c r="H262" i="2" s="1"/>
  <c r="H263" i="2" s="1"/>
  <c r="Y244" i="2"/>
  <c r="S244" i="2"/>
  <c r="R244" i="2"/>
  <c r="H244" i="2"/>
  <c r="S243" i="2"/>
  <c r="R243" i="2"/>
  <c r="R242" i="2"/>
  <c r="S242" i="2" s="1"/>
  <c r="Q242" i="2"/>
  <c r="R241" i="2"/>
  <c r="S241" i="2" s="1"/>
  <c r="Q241" i="2"/>
  <c r="S240" i="2"/>
  <c r="R240" i="2"/>
  <c r="Q240" i="2"/>
  <c r="S239" i="2"/>
  <c r="Q239" i="2"/>
  <c r="R239" i="2" s="1"/>
  <c r="Q238" i="2"/>
  <c r="R238" i="2" s="1"/>
  <c r="S238" i="2" s="1"/>
  <c r="Q237" i="2"/>
  <c r="R237" i="2" s="1"/>
  <c r="S237" i="2" s="1"/>
  <c r="Q236" i="2"/>
  <c r="R236" i="2" s="1"/>
  <c r="S236" i="2" s="1"/>
  <c r="R235" i="2"/>
  <c r="S235" i="2" s="1"/>
  <c r="Q235" i="2"/>
  <c r="R234" i="2"/>
  <c r="S234" i="2" s="1"/>
  <c r="Q234" i="2"/>
  <c r="R233" i="2"/>
  <c r="S233" i="2" s="1"/>
  <c r="Q233" i="2"/>
  <c r="O233" i="2"/>
  <c r="O234" i="2" s="1"/>
  <c r="O235" i="2" s="1"/>
  <c r="O236" i="2" s="1"/>
  <c r="O237" i="2" s="1"/>
  <c r="O238" i="2" s="1"/>
  <c r="O239" i="2" s="1"/>
  <c r="O240" i="2" s="1"/>
  <c r="O241" i="2" s="1"/>
  <c r="O242" i="2" s="1"/>
  <c r="O243" i="2" s="1"/>
  <c r="O244" i="2" s="1"/>
  <c r="O245" i="2" s="1"/>
  <c r="O246" i="2" s="1"/>
  <c r="O247" i="2" s="1"/>
  <c r="O248" i="2" s="1"/>
  <c r="O249" i="2" s="1"/>
  <c r="O250" i="2" s="1"/>
  <c r="O251" i="2" s="1"/>
  <c r="O252" i="2" s="1"/>
  <c r="O253" i="2" s="1"/>
  <c r="O254" i="2" s="1"/>
  <c r="O255" i="2" s="1"/>
  <c r="O256" i="2" s="1"/>
  <c r="O257" i="2" s="1"/>
  <c r="O258" i="2" s="1"/>
  <c r="O259" i="2" s="1"/>
  <c r="O260" i="2" s="1"/>
  <c r="O261" i="2" s="1"/>
  <c r="O262" i="2" s="1"/>
  <c r="O263" i="2" s="1"/>
  <c r="O264" i="2" s="1"/>
  <c r="O265" i="2" s="1"/>
  <c r="O266" i="2" s="1"/>
  <c r="O267" i="2" s="1"/>
  <c r="O268" i="2" s="1"/>
  <c r="O269" i="2" s="1"/>
  <c r="O270" i="2" s="1"/>
  <c r="S232" i="2"/>
  <c r="R232" i="2"/>
  <c r="Q232" i="2"/>
  <c r="Q231" i="2"/>
  <c r="R231" i="2" s="1"/>
  <c r="S231" i="2" s="1"/>
  <c r="S230" i="2"/>
  <c r="Q230" i="2"/>
  <c r="R230" i="2" s="1"/>
  <c r="Q229" i="2"/>
  <c r="R229" i="2" s="1"/>
  <c r="S229" i="2" s="1"/>
  <c r="Q228" i="2"/>
  <c r="R228" i="2" s="1"/>
  <c r="S228" i="2" s="1"/>
  <c r="R227" i="2"/>
  <c r="S227" i="2" s="1"/>
  <c r="Q227" i="2"/>
  <c r="R226" i="2"/>
  <c r="S226" i="2" s="1"/>
  <c r="Q226" i="2"/>
  <c r="R225" i="2"/>
  <c r="S225" i="2" s="1"/>
  <c r="Q225" i="2"/>
  <c r="R224" i="2"/>
  <c r="S224" i="2" s="1"/>
  <c r="Q224" i="2"/>
  <c r="S223" i="2"/>
  <c r="Q223" i="2"/>
  <c r="R223" i="2" s="1"/>
  <c r="Q222" i="2"/>
  <c r="R222" i="2" s="1"/>
  <c r="S222" i="2" s="1"/>
  <c r="R221" i="2"/>
  <c r="S221" i="2" s="1"/>
  <c r="Q221" i="2"/>
  <c r="Q220" i="2"/>
  <c r="R220" i="2" s="1"/>
  <c r="S220" i="2" s="1"/>
  <c r="R219" i="2"/>
  <c r="S219" i="2" s="1"/>
  <c r="Q219" i="2"/>
  <c r="R218" i="2"/>
  <c r="S218" i="2" s="1"/>
  <c r="Q218" i="2"/>
  <c r="Q217" i="2"/>
  <c r="R217" i="2" s="1"/>
  <c r="S217" i="2" s="1"/>
  <c r="O217" i="2"/>
  <c r="O218" i="2" s="1"/>
  <c r="O219" i="2" s="1"/>
  <c r="O220" i="2" s="1"/>
  <c r="O221" i="2" s="1"/>
  <c r="O222" i="2" s="1"/>
  <c r="O223" i="2" s="1"/>
  <c r="O224" i="2" s="1"/>
  <c r="O225" i="2" s="1"/>
  <c r="O226" i="2" s="1"/>
  <c r="O227" i="2" s="1"/>
  <c r="O228" i="2" s="1"/>
  <c r="O229" i="2" s="1"/>
  <c r="O230" i="2" s="1"/>
  <c r="O231" i="2" s="1"/>
  <c r="O232" i="2" s="1"/>
  <c r="Q216" i="2"/>
  <c r="R216" i="2" s="1"/>
  <c r="S216" i="2" s="1"/>
  <c r="R215" i="2"/>
  <c r="S215" i="2" s="1"/>
  <c r="Q215" i="2"/>
  <c r="Q214" i="2"/>
  <c r="R214" i="2" s="1"/>
  <c r="S214" i="2" s="1"/>
  <c r="S213" i="2"/>
  <c r="R213" i="2"/>
  <c r="Q213" i="2"/>
  <c r="O213" i="2"/>
  <c r="R212" i="2"/>
  <c r="S212" i="2" s="1"/>
  <c r="Q212" i="2"/>
  <c r="G212" i="2"/>
  <c r="G213" i="2" s="1"/>
  <c r="G214" i="2" s="1"/>
  <c r="G215" i="2" s="1"/>
  <c r="G216" i="2" s="1"/>
  <c r="G217" i="2" s="1"/>
  <c r="G218" i="2" s="1"/>
  <c r="G219" i="2" s="1"/>
  <c r="G220" i="2" s="1"/>
  <c r="G221" i="2" s="1"/>
  <c r="G222" i="2" s="1"/>
  <c r="G223" i="2" s="1"/>
  <c r="G224" i="2" s="1"/>
  <c r="G225" i="2" s="1"/>
  <c r="G226" i="2" s="1"/>
  <c r="G227" i="2" s="1"/>
  <c r="G228" i="2" s="1"/>
  <c r="G229" i="2" s="1"/>
  <c r="G230" i="2" s="1"/>
  <c r="G231" i="2" s="1"/>
  <c r="G232" i="2" s="1"/>
  <c r="G233" i="2" s="1"/>
  <c r="G234" i="2" s="1"/>
  <c r="G235" i="2" s="1"/>
  <c r="G236" i="2" s="1"/>
  <c r="G237" i="2" s="1"/>
  <c r="G238" i="2" s="1"/>
  <c r="G239" i="2" s="1"/>
  <c r="G240" i="2" s="1"/>
  <c r="G241" i="2" s="1"/>
  <c r="G242" i="2" s="1"/>
  <c r="G243" i="2" s="1"/>
  <c r="G244" i="2" s="1"/>
  <c r="G245" i="2" s="1"/>
  <c r="G246" i="2" s="1"/>
  <c r="G247" i="2" s="1"/>
  <c r="G248" i="2" s="1"/>
  <c r="G249" i="2" s="1"/>
  <c r="G250" i="2" s="1"/>
  <c r="G251" i="2" s="1"/>
  <c r="G252" i="2" s="1"/>
  <c r="G253" i="2" s="1"/>
  <c r="G254" i="2" s="1"/>
  <c r="G255" i="2" s="1"/>
  <c r="G256" i="2" s="1"/>
  <c r="G257" i="2" s="1"/>
  <c r="G258" i="2" s="1"/>
  <c r="G259" i="2" s="1"/>
  <c r="G260" i="2" s="1"/>
  <c r="G261" i="2" s="1"/>
  <c r="G262" i="2" s="1"/>
  <c r="G263" i="2" s="1"/>
  <c r="G264" i="2" s="1"/>
  <c r="G265" i="2" s="1"/>
  <c r="G266" i="2" s="1"/>
  <c r="G267" i="2" s="1"/>
  <c r="G268" i="2" s="1"/>
  <c r="G269" i="2" s="1"/>
  <c r="G270" i="2" s="1"/>
  <c r="G271" i="2" s="1"/>
  <c r="G272" i="2" s="1"/>
  <c r="G273" i="2" s="1"/>
  <c r="G274" i="2" s="1"/>
  <c r="G275" i="2" s="1"/>
  <c r="G276" i="2" s="1"/>
  <c r="G277" i="2" s="1"/>
  <c r="G278" i="2" s="1"/>
  <c r="G279" i="2" s="1"/>
  <c r="G280" i="2" s="1"/>
  <c r="G281" i="2" s="1"/>
  <c r="G282" i="2" s="1"/>
  <c r="G283" i="2" s="1"/>
  <c r="G284" i="2" s="1"/>
  <c r="G285" i="2" s="1"/>
  <c r="G286" i="2" s="1"/>
  <c r="G287" i="2" s="1"/>
  <c r="G288" i="2" s="1"/>
  <c r="G289" i="2" s="1"/>
  <c r="G290" i="2" s="1"/>
  <c r="G291" i="2" s="1"/>
  <c r="G292" i="2" s="1"/>
  <c r="G293" i="2" s="1"/>
  <c r="G294" i="2" s="1"/>
  <c r="G295" i="2" s="1"/>
  <c r="G296" i="2" s="1"/>
  <c r="G297" i="2" s="1"/>
  <c r="G298" i="2" s="1"/>
  <c r="G299" i="2" s="1"/>
  <c r="G300" i="2" s="1"/>
  <c r="G301" i="2" s="1"/>
  <c r="G302" i="2" s="1"/>
  <c r="G303" i="2" s="1"/>
  <c r="G304" i="2" s="1"/>
  <c r="G305" i="2" s="1"/>
  <c r="G306" i="2" s="1"/>
  <c r="G307" i="2" s="1"/>
  <c r="G308" i="2" s="1"/>
  <c r="G309" i="2" s="1"/>
  <c r="G310" i="2" s="1"/>
  <c r="G311" i="2" s="1"/>
  <c r="G312" i="2" s="1"/>
  <c r="G313" i="2" s="1"/>
  <c r="G314" i="2" s="1"/>
  <c r="G315" i="2" s="1"/>
  <c r="G316" i="2" s="1"/>
  <c r="G317" i="2" s="1"/>
  <c r="G318" i="2" s="1"/>
  <c r="G319" i="2" s="1"/>
  <c r="G320" i="2" s="1"/>
  <c r="G321" i="2" s="1"/>
  <c r="G322" i="2" s="1"/>
  <c r="G323" i="2" s="1"/>
  <c r="G324" i="2" s="1"/>
  <c r="G325" i="2" s="1"/>
  <c r="G326" i="2" s="1"/>
  <c r="G327" i="2" s="1"/>
  <c r="G328" i="2" s="1"/>
  <c r="G329" i="2" s="1"/>
  <c r="G330" i="2" s="1"/>
  <c r="G331" i="2" s="1"/>
  <c r="G332" i="2" s="1"/>
  <c r="G333" i="2" s="1"/>
  <c r="G334" i="2" s="1"/>
  <c r="G335" i="2" s="1"/>
  <c r="G336" i="2" s="1"/>
  <c r="G337" i="2" s="1"/>
  <c r="G338" i="2" s="1"/>
  <c r="G339" i="2" s="1"/>
  <c r="G340" i="2" s="1"/>
  <c r="S211" i="2"/>
  <c r="R211" i="2"/>
  <c r="Q211" i="2"/>
  <c r="Q210" i="2"/>
  <c r="R210" i="2" s="1"/>
  <c r="S210" i="2" s="1"/>
  <c r="R209" i="2"/>
  <c r="S209" i="2" s="1"/>
  <c r="Q209" i="2"/>
  <c r="Q208" i="2"/>
  <c r="R208" i="2" s="1"/>
  <c r="S208" i="2" s="1"/>
  <c r="O208" i="2"/>
  <c r="Q207" i="2"/>
  <c r="R207" i="2" s="1"/>
  <c r="S207" i="2" s="1"/>
  <c r="Q206" i="2"/>
  <c r="R206" i="2" s="1"/>
  <c r="S206" i="2" s="1"/>
  <c r="Q205" i="2"/>
  <c r="R205" i="2" s="1"/>
  <c r="S205" i="2" s="1"/>
  <c r="Q204" i="2"/>
  <c r="R204" i="2" s="1"/>
  <c r="S204" i="2" s="1"/>
  <c r="R203" i="2"/>
  <c r="S203" i="2" s="1"/>
  <c r="Q203" i="2"/>
  <c r="G203" i="2"/>
  <c r="G204" i="2" s="1"/>
  <c r="G205" i="2" s="1"/>
  <c r="G206" i="2" s="1"/>
  <c r="G207" i="2" s="1"/>
  <c r="G208" i="2" s="1"/>
  <c r="G209" i="2" s="1"/>
  <c r="G210" i="2" s="1"/>
  <c r="G211" i="2" s="1"/>
  <c r="R202" i="2"/>
  <c r="S202" i="2" s="1"/>
  <c r="Q202" i="2"/>
  <c r="Q201" i="2"/>
  <c r="R201" i="2" s="1"/>
  <c r="S201" i="2" s="1"/>
  <c r="Q200" i="2"/>
  <c r="R200" i="2" s="1"/>
  <c r="S200" i="2" s="1"/>
  <c r="S199" i="2"/>
  <c r="R199" i="2"/>
  <c r="Q199" i="2"/>
  <c r="Q198" i="2"/>
  <c r="R198" i="2" s="1"/>
  <c r="S198" i="2" s="1"/>
  <c r="Q197" i="2"/>
  <c r="R197" i="2" s="1"/>
  <c r="S197" i="2" s="1"/>
  <c r="Q196" i="2"/>
  <c r="R196" i="2" s="1"/>
  <c r="S196" i="2" s="1"/>
  <c r="R195" i="2"/>
  <c r="S195" i="2" s="1"/>
  <c r="Q195" i="2"/>
  <c r="R194" i="2"/>
  <c r="S194" i="2" s="1"/>
  <c r="Q194" i="2"/>
  <c r="Q193" i="2"/>
  <c r="R193" i="2" s="1"/>
  <c r="S193" i="2" s="1"/>
  <c r="S192" i="2"/>
  <c r="Q192" i="2"/>
  <c r="R192" i="2" s="1"/>
  <c r="S191" i="2"/>
  <c r="R191" i="2"/>
  <c r="Q191" i="2"/>
  <c r="G191" i="2"/>
  <c r="G192" i="2" s="1"/>
  <c r="G193" i="2" s="1"/>
  <c r="G194" i="2" s="1"/>
  <c r="G195" i="2" s="1"/>
  <c r="G196" i="2" s="1"/>
  <c r="G197" i="2" s="1"/>
  <c r="G198" i="2" s="1"/>
  <c r="G199" i="2" s="1"/>
  <c r="G200" i="2" s="1"/>
  <c r="G201" i="2" s="1"/>
  <c r="G202" i="2" s="1"/>
  <c r="R190" i="2"/>
  <c r="S190" i="2" s="1"/>
  <c r="Q190" i="2"/>
  <c r="G190" i="2"/>
  <c r="R189" i="2"/>
  <c r="S189" i="2" s="1"/>
  <c r="Q189" i="2"/>
  <c r="S188" i="2"/>
  <c r="R188" i="2"/>
  <c r="Q188" i="2"/>
  <c r="Q187" i="2"/>
  <c r="R187" i="2" s="1"/>
  <c r="S187" i="2" s="1"/>
  <c r="Q186" i="2"/>
  <c r="R186" i="2" s="1"/>
  <c r="S186" i="2" s="1"/>
  <c r="S185" i="2"/>
  <c r="R185" i="2"/>
  <c r="Q185" i="2"/>
  <c r="Q184" i="2"/>
  <c r="R184" i="2" s="1"/>
  <c r="S184" i="2" s="1"/>
  <c r="Q183" i="2"/>
  <c r="R183" i="2" s="1"/>
  <c r="S183" i="2" s="1"/>
  <c r="H183" i="2"/>
  <c r="H184" i="2" s="1"/>
  <c r="H185" i="2" s="1"/>
  <c r="H186" i="2" s="1"/>
  <c r="H187" i="2" s="1"/>
  <c r="H188" i="2" s="1"/>
  <c r="H189" i="2" s="1"/>
  <c r="H190" i="2" s="1"/>
  <c r="H191" i="2" s="1"/>
  <c r="H192" i="2" s="1"/>
  <c r="H193" i="2" s="1"/>
  <c r="H194" i="2" s="1"/>
  <c r="H195" i="2" s="1"/>
  <c r="H196" i="2" s="1"/>
  <c r="H197" i="2" s="1"/>
  <c r="H198" i="2" s="1"/>
  <c r="H199" i="2" s="1"/>
  <c r="H200" i="2" s="1"/>
  <c r="H201" i="2" s="1"/>
  <c r="H202" i="2" s="1"/>
  <c r="H203" i="2" s="1"/>
  <c r="H204" i="2" s="1"/>
  <c r="H205" i="2" s="1"/>
  <c r="H206" i="2" s="1"/>
  <c r="H207" i="2" s="1"/>
  <c r="H208" i="2" s="1"/>
  <c r="H209" i="2" s="1"/>
  <c r="H210" i="2" s="1"/>
  <c r="H211" i="2" s="1"/>
  <c r="H212" i="2" s="1"/>
  <c r="H213" i="2" s="1"/>
  <c r="H214" i="2" s="1"/>
  <c r="H215" i="2" s="1"/>
  <c r="H216" i="2" s="1"/>
  <c r="H217" i="2" s="1"/>
  <c r="H218" i="2" s="1"/>
  <c r="H219" i="2" s="1"/>
  <c r="H220" i="2" s="1"/>
  <c r="H221" i="2" s="1"/>
  <c r="H222" i="2" s="1"/>
  <c r="H223" i="2" s="1"/>
  <c r="H224" i="2" s="1"/>
  <c r="H225" i="2" s="1"/>
  <c r="H226" i="2" s="1"/>
  <c r="H227" i="2" s="1"/>
  <c r="H228" i="2" s="1"/>
  <c r="H229" i="2" s="1"/>
  <c r="H230" i="2" s="1"/>
  <c r="H231" i="2" s="1"/>
  <c r="H232" i="2" s="1"/>
  <c r="H233" i="2" s="1"/>
  <c r="H234" i="2" s="1"/>
  <c r="H235" i="2" s="1"/>
  <c r="H236" i="2" s="1"/>
  <c r="H237" i="2" s="1"/>
  <c r="H238" i="2" s="1"/>
  <c r="H239" i="2" s="1"/>
  <c r="H240" i="2" s="1"/>
  <c r="H241" i="2" s="1"/>
  <c r="H242" i="2" s="1"/>
  <c r="R182" i="2"/>
  <c r="S182" i="2" s="1"/>
  <c r="Q182" i="2"/>
  <c r="Q181" i="2"/>
  <c r="R181" i="2" s="1"/>
  <c r="S181" i="2" s="1"/>
  <c r="Q180" i="2"/>
  <c r="R180" i="2" s="1"/>
  <c r="S180" i="2" s="1"/>
  <c r="S179" i="2"/>
  <c r="R179" i="2"/>
  <c r="Q179" i="2"/>
  <c r="R178" i="2"/>
  <c r="S178" i="2" s="1"/>
  <c r="Q178" i="2"/>
  <c r="S177" i="2"/>
  <c r="Q177" i="2"/>
  <c r="R177" i="2" s="1"/>
  <c r="R176" i="2"/>
  <c r="S176" i="2" s="1"/>
  <c r="Q176" i="2"/>
  <c r="R175" i="2"/>
  <c r="S175" i="2" s="1"/>
  <c r="Q175" i="2"/>
  <c r="Q174" i="2"/>
  <c r="R174" i="2" s="1"/>
  <c r="S174" i="2" s="1"/>
  <c r="I174" i="2"/>
  <c r="R173" i="2"/>
  <c r="S173" i="2" s="1"/>
  <c r="Q173" i="2"/>
  <c r="H173" i="2"/>
  <c r="H174" i="2" s="1"/>
  <c r="H175" i="2" s="1"/>
  <c r="H176" i="2" s="1"/>
  <c r="H177" i="2" s="1"/>
  <c r="H178" i="2" s="1"/>
  <c r="H179" i="2" s="1"/>
  <c r="H180" i="2" s="1"/>
  <c r="H181" i="2" s="1"/>
  <c r="H182" i="2" s="1"/>
  <c r="Z172" i="2"/>
  <c r="Y172" i="2"/>
  <c r="Y173" i="2" s="1"/>
  <c r="Y174" i="2" s="1"/>
  <c r="Y175" i="2" s="1"/>
  <c r="Y176" i="2" s="1"/>
  <c r="Y177" i="2" s="1"/>
  <c r="Y178" i="2" s="1"/>
  <c r="Y179" i="2" s="1"/>
  <c r="Y180" i="2" s="1"/>
  <c r="Y181" i="2" s="1"/>
  <c r="Y182" i="2" s="1"/>
  <c r="Y183" i="2" s="1"/>
  <c r="Y184" i="2" s="1"/>
  <c r="Y185" i="2" s="1"/>
  <c r="Y186" i="2" s="1"/>
  <c r="Y187" i="2" s="1"/>
  <c r="Y188" i="2" s="1"/>
  <c r="Y189" i="2" s="1"/>
  <c r="Y190" i="2" s="1"/>
  <c r="Y191" i="2" s="1"/>
  <c r="Y192" i="2" s="1"/>
  <c r="Y193" i="2" s="1"/>
  <c r="Y194" i="2" s="1"/>
  <c r="Y195" i="2" s="1"/>
  <c r="Y196" i="2" s="1"/>
  <c r="Y197" i="2" s="1"/>
  <c r="Y198" i="2" s="1"/>
  <c r="Y199" i="2" s="1"/>
  <c r="Y200" i="2" s="1"/>
  <c r="Y201" i="2" s="1"/>
  <c r="Y202" i="2" s="1"/>
  <c r="Y203" i="2" s="1"/>
  <c r="Y204" i="2" s="1"/>
  <c r="Y205" i="2" s="1"/>
  <c r="Y206" i="2" s="1"/>
  <c r="Y207" i="2" s="1"/>
  <c r="Y208" i="2" s="1"/>
  <c r="Y209" i="2" s="1"/>
  <c r="Y210" i="2" s="1"/>
  <c r="Y211" i="2" s="1"/>
  <c r="Y212" i="2" s="1"/>
  <c r="Y213" i="2" s="1"/>
  <c r="Y214" i="2" s="1"/>
  <c r="Y215" i="2" s="1"/>
  <c r="Y216" i="2" s="1"/>
  <c r="Y217" i="2" s="1"/>
  <c r="Y218" i="2" s="1"/>
  <c r="Y219" i="2" s="1"/>
  <c r="Y220" i="2" s="1"/>
  <c r="Y221" i="2" s="1"/>
  <c r="Y222" i="2" s="1"/>
  <c r="Y223" i="2" s="1"/>
  <c r="Y224" i="2" s="1"/>
  <c r="Y225" i="2" s="1"/>
  <c r="Y226" i="2" s="1"/>
  <c r="Y227" i="2" s="1"/>
  <c r="Y228" i="2" s="1"/>
  <c r="Y229" i="2" s="1"/>
  <c r="Y230" i="2" s="1"/>
  <c r="Y231" i="2" s="1"/>
  <c r="Y232" i="2" s="1"/>
  <c r="Y233" i="2" s="1"/>
  <c r="Y234" i="2" s="1"/>
  <c r="Y235" i="2" s="1"/>
  <c r="Y236" i="2" s="1"/>
  <c r="Y237" i="2" s="1"/>
  <c r="Y238" i="2" s="1"/>
  <c r="Y239" i="2" s="1"/>
  <c r="Y240" i="2" s="1"/>
  <c r="Y241" i="2" s="1"/>
  <c r="Y242" i="2" s="1"/>
  <c r="Q172" i="2"/>
  <c r="R172" i="2" s="1"/>
  <c r="S172" i="2" s="1"/>
  <c r="I172" i="2"/>
  <c r="Y171" i="2"/>
  <c r="R171" i="2"/>
  <c r="S171" i="2" s="1"/>
  <c r="Q171" i="2"/>
  <c r="H171" i="2"/>
  <c r="H172" i="2" s="1"/>
  <c r="Y170" i="2"/>
  <c r="Q170" i="2"/>
  <c r="R170" i="2" s="1"/>
  <c r="S170" i="2" s="1"/>
  <c r="I170" i="2"/>
  <c r="H170" i="2"/>
  <c r="Q169" i="2"/>
  <c r="R169" i="2" s="1"/>
  <c r="S169" i="2" s="1"/>
  <c r="S168" i="2"/>
  <c r="R168" i="2"/>
  <c r="S167" i="2"/>
  <c r="R167" i="2"/>
  <c r="R166" i="2"/>
  <c r="S166" i="2" s="1"/>
  <c r="R165" i="2"/>
  <c r="S165" i="2" s="1"/>
  <c r="S164" i="2"/>
  <c r="R164" i="2"/>
  <c r="S163" i="2"/>
  <c r="R163" i="2"/>
  <c r="S162" i="2"/>
  <c r="R162" i="2"/>
  <c r="R161" i="2"/>
  <c r="S161" i="2" s="1"/>
  <c r="S160" i="2"/>
  <c r="R160" i="2"/>
  <c r="H160" i="2"/>
  <c r="H161" i="2" s="1"/>
  <c r="H162" i="2" s="1"/>
  <c r="H163" i="2" s="1"/>
  <c r="H164" i="2" s="1"/>
  <c r="H165" i="2" s="1"/>
  <c r="H166" i="2" s="1"/>
  <c r="H167" i="2" s="1"/>
  <c r="H168" i="2" s="1"/>
  <c r="S159" i="2"/>
  <c r="R159" i="2"/>
  <c r="S158" i="2"/>
  <c r="R158" i="2"/>
  <c r="R157" i="2"/>
  <c r="S157" i="2" s="1"/>
  <c r="S156" i="2"/>
  <c r="R156" i="2"/>
  <c r="H156" i="2"/>
  <c r="H157" i="2" s="1"/>
  <c r="H158" i="2" s="1"/>
  <c r="H159" i="2" s="1"/>
  <c r="S155" i="2"/>
  <c r="R155" i="2"/>
  <c r="H155" i="2"/>
  <c r="R154" i="2"/>
  <c r="S154" i="2" s="1"/>
  <c r="H154" i="2"/>
  <c r="G154" i="2"/>
  <c r="G155" i="2" s="1"/>
  <c r="G156" i="2" s="1"/>
  <c r="G157" i="2" s="1"/>
  <c r="G158" i="2" s="1"/>
  <c r="G159" i="2" s="1"/>
  <c r="G160" i="2" s="1"/>
  <c r="G161" i="2" s="1"/>
  <c r="G162" i="2" s="1"/>
  <c r="G163" i="2" s="1"/>
  <c r="G164" i="2" s="1"/>
  <c r="G165" i="2" s="1"/>
  <c r="G166" i="2" s="1"/>
  <c r="G167" i="2" s="1"/>
  <c r="G168" i="2" s="1"/>
  <c r="G169" i="2" s="1"/>
  <c r="G170" i="2" s="1"/>
  <c r="G171" i="2" s="1"/>
  <c r="G172" i="2" s="1"/>
  <c r="G173" i="2" s="1"/>
  <c r="G174" i="2" s="1"/>
  <c r="G175" i="2" s="1"/>
  <c r="G176" i="2" s="1"/>
  <c r="G177" i="2" s="1"/>
  <c r="G178" i="2" s="1"/>
  <c r="G179" i="2" s="1"/>
  <c r="G180" i="2" s="1"/>
  <c r="G181" i="2" s="1"/>
  <c r="G182" i="2" s="1"/>
  <c r="G183" i="2" s="1"/>
  <c r="G184" i="2" s="1"/>
  <c r="G185" i="2" s="1"/>
  <c r="G186" i="2" s="1"/>
  <c r="G187" i="2" s="1"/>
  <c r="R153" i="2"/>
  <c r="S153" i="2" s="1"/>
  <c r="R152" i="2"/>
  <c r="S152" i="2" s="1"/>
  <c r="S151" i="2"/>
  <c r="R151" i="2"/>
  <c r="R150" i="2"/>
  <c r="S150" i="2" s="1"/>
  <c r="S149" i="2"/>
  <c r="R149" i="2"/>
  <c r="R148" i="2"/>
  <c r="S148" i="2" s="1"/>
  <c r="S147" i="2"/>
  <c r="R147" i="2"/>
  <c r="R146" i="2"/>
  <c r="S146" i="2" s="1"/>
  <c r="H146" i="2"/>
  <c r="H147" i="2" s="1"/>
  <c r="H148" i="2" s="1"/>
  <c r="H149" i="2" s="1"/>
  <c r="H150" i="2" s="1"/>
  <c r="H151" i="2" s="1"/>
  <c r="H152" i="2" s="1"/>
  <c r="S145" i="2"/>
  <c r="R145" i="2"/>
  <c r="R144" i="2"/>
  <c r="S144" i="2" s="1"/>
  <c r="H144" i="2"/>
  <c r="H145" i="2" s="1"/>
  <c r="S143" i="2"/>
  <c r="R143" i="2"/>
  <c r="H143" i="2"/>
  <c r="G143" i="2"/>
  <c r="G144" i="2" s="1"/>
  <c r="G145" i="2" s="1"/>
  <c r="G146" i="2" s="1"/>
  <c r="G147" i="2" s="1"/>
  <c r="G148" i="2" s="1"/>
  <c r="G149" i="2" s="1"/>
  <c r="G150" i="2" s="1"/>
  <c r="G151" i="2" s="1"/>
  <c r="G152" i="2" s="1"/>
  <c r="R142" i="2"/>
  <c r="S142" i="2" s="1"/>
  <c r="R141" i="2"/>
  <c r="S141" i="2" s="1"/>
  <c r="S140" i="2"/>
  <c r="R140" i="2"/>
  <c r="S139" i="2"/>
  <c r="R139" i="2"/>
  <c r="S138" i="2"/>
  <c r="R138" i="2"/>
  <c r="R137" i="2"/>
  <c r="S137" i="2" s="1"/>
  <c r="S136" i="2"/>
  <c r="R136" i="2"/>
  <c r="R135" i="2"/>
  <c r="S135" i="2" s="1"/>
  <c r="R134" i="2"/>
  <c r="S134" i="2" s="1"/>
  <c r="S133" i="2"/>
  <c r="R133" i="2"/>
  <c r="R132" i="2"/>
  <c r="S132" i="2" s="1"/>
  <c r="H132" i="2"/>
  <c r="H133" i="2" s="1"/>
  <c r="H134" i="2" s="1"/>
  <c r="H135" i="2" s="1"/>
  <c r="H136" i="2" s="1"/>
  <c r="H137" i="2" s="1"/>
  <c r="H138" i="2" s="1"/>
  <c r="H139" i="2" s="1"/>
  <c r="H140" i="2" s="1"/>
  <c r="H141" i="2" s="1"/>
  <c r="S131" i="2"/>
  <c r="R131" i="2"/>
  <c r="H131" i="2"/>
  <c r="G131" i="2"/>
  <c r="G132" i="2" s="1"/>
  <c r="G133" i="2" s="1"/>
  <c r="G134" i="2" s="1"/>
  <c r="G135" i="2" s="1"/>
  <c r="G136" i="2" s="1"/>
  <c r="G137" i="2" s="1"/>
  <c r="G138" i="2" s="1"/>
  <c r="G139" i="2" s="1"/>
  <c r="G140" i="2" s="1"/>
  <c r="G141" i="2" s="1"/>
  <c r="R130" i="2"/>
  <c r="S130" i="2" s="1"/>
  <c r="R129" i="2"/>
  <c r="S129" i="2" s="1"/>
  <c r="S128" i="2"/>
  <c r="R128" i="2"/>
  <c r="S127" i="2"/>
  <c r="R127" i="2"/>
  <c r="S126" i="2"/>
  <c r="R126" i="2"/>
  <c r="S125" i="2"/>
  <c r="R125" i="2"/>
  <c r="I125" i="2"/>
  <c r="S124" i="2"/>
  <c r="R124" i="2"/>
  <c r="H124" i="2"/>
  <c r="H125" i="2" s="1"/>
  <c r="Z123" i="2"/>
  <c r="R123" i="2"/>
  <c r="S123" i="2" s="1"/>
  <c r="I123" i="2"/>
  <c r="H123" i="2"/>
  <c r="R122" i="2"/>
  <c r="S122" i="2" s="1"/>
  <c r="H122" i="2"/>
  <c r="Y121" i="2"/>
  <c r="Y122" i="2" s="1"/>
  <c r="Y123" i="2" s="1"/>
  <c r="Y124" i="2" s="1"/>
  <c r="Y125" i="2" s="1"/>
  <c r="Y126" i="2" s="1"/>
  <c r="Y127" i="2" s="1"/>
  <c r="Y128" i="2" s="1"/>
  <c r="Y129" i="2" s="1"/>
  <c r="Y130" i="2" s="1"/>
  <c r="Y131" i="2" s="1"/>
  <c r="Y132" i="2" s="1"/>
  <c r="Y133" i="2" s="1"/>
  <c r="Y134" i="2" s="1"/>
  <c r="Y135" i="2" s="1"/>
  <c r="Y136" i="2" s="1"/>
  <c r="Y137" i="2" s="1"/>
  <c r="Y138" i="2" s="1"/>
  <c r="Y139" i="2" s="1"/>
  <c r="Y140" i="2" s="1"/>
  <c r="Y141" i="2" s="1"/>
  <c r="Y142" i="2" s="1"/>
  <c r="Y143" i="2" s="1"/>
  <c r="Y144" i="2" s="1"/>
  <c r="Y145" i="2" s="1"/>
  <c r="Y146" i="2" s="1"/>
  <c r="Y147" i="2" s="1"/>
  <c r="Y148" i="2" s="1"/>
  <c r="Y149" i="2" s="1"/>
  <c r="Y150" i="2" s="1"/>
  <c r="Y151" i="2" s="1"/>
  <c r="Y152" i="2" s="1"/>
  <c r="Y153" i="2" s="1"/>
  <c r="Y154" i="2" s="1"/>
  <c r="Y155" i="2" s="1"/>
  <c r="Y156" i="2" s="1"/>
  <c r="Y157" i="2" s="1"/>
  <c r="Y158" i="2" s="1"/>
  <c r="Y159" i="2" s="1"/>
  <c r="Y160" i="2" s="1"/>
  <c r="Y161" i="2" s="1"/>
  <c r="Y162" i="2" s="1"/>
  <c r="Y163" i="2" s="1"/>
  <c r="Y164" i="2" s="1"/>
  <c r="Y165" i="2" s="1"/>
  <c r="Y166" i="2" s="1"/>
  <c r="Y167" i="2" s="1"/>
  <c r="Y168" i="2" s="1"/>
  <c r="W168" i="2" s="1"/>
  <c r="S121" i="2"/>
  <c r="R121" i="2"/>
  <c r="I121" i="2"/>
  <c r="H121" i="2"/>
  <c r="Y120" i="2"/>
  <c r="S120" i="2"/>
  <c r="R120" i="2"/>
  <c r="S119" i="2"/>
  <c r="R119" i="2"/>
  <c r="Q119" i="2"/>
  <c r="Q118" i="2"/>
  <c r="R118" i="2" s="1"/>
  <c r="S118" i="2" s="1"/>
  <c r="Q117" i="2"/>
  <c r="R117" i="2" s="1"/>
  <c r="S117" i="2" s="1"/>
  <c r="S116" i="2"/>
  <c r="Q116" i="2"/>
  <c r="R116" i="2" s="1"/>
  <c r="S115" i="2"/>
  <c r="R115" i="2"/>
  <c r="Q115" i="2"/>
  <c r="Q114" i="2"/>
  <c r="R114" i="2" s="1"/>
  <c r="S114" i="2" s="1"/>
  <c r="Q113" i="2"/>
  <c r="R113" i="2" s="1"/>
  <c r="S113" i="2" s="1"/>
  <c r="Q112" i="2"/>
  <c r="R112" i="2" s="1"/>
  <c r="S112" i="2" s="1"/>
  <c r="R111" i="2"/>
  <c r="S111" i="2" s="1"/>
  <c r="Q111" i="2"/>
  <c r="S110" i="2"/>
  <c r="Q110" i="2"/>
  <c r="R110" i="2" s="1"/>
  <c r="Q109" i="2"/>
  <c r="R109" i="2" s="1"/>
  <c r="S109" i="2" s="1"/>
  <c r="Q108" i="2"/>
  <c r="R108" i="2" s="1"/>
  <c r="S108" i="2" s="1"/>
  <c r="R107" i="2"/>
  <c r="S107" i="2" s="1"/>
  <c r="Q107" i="2"/>
  <c r="S106" i="2"/>
  <c r="Q106" i="2"/>
  <c r="R106" i="2" s="1"/>
  <c r="R105" i="2"/>
  <c r="S105" i="2" s="1"/>
  <c r="Q105" i="2"/>
  <c r="S104" i="2"/>
  <c r="Q104" i="2"/>
  <c r="R104" i="2" s="1"/>
  <c r="S103" i="2"/>
  <c r="R103" i="2"/>
  <c r="Q103" i="2"/>
  <c r="Q102" i="2"/>
  <c r="R102" i="2" s="1"/>
  <c r="S102" i="2" s="1"/>
  <c r="Q101" i="2"/>
  <c r="R101" i="2" s="1"/>
  <c r="S101" i="2" s="1"/>
  <c r="Q100" i="2"/>
  <c r="R100" i="2" s="1"/>
  <c r="S100" i="2" s="1"/>
  <c r="Q99" i="2"/>
  <c r="R99" i="2" s="1"/>
  <c r="S99" i="2" s="1"/>
  <c r="Q98" i="2"/>
  <c r="R98" i="2" s="1"/>
  <c r="S98" i="2" s="1"/>
  <c r="Q97" i="2"/>
  <c r="R97" i="2" s="1"/>
  <c r="S97" i="2" s="1"/>
  <c r="R96" i="2"/>
  <c r="S96" i="2" s="1"/>
  <c r="Q96" i="2"/>
  <c r="Q95" i="2"/>
  <c r="R95" i="2" s="1"/>
  <c r="S95" i="2" s="1"/>
  <c r="R94" i="2"/>
  <c r="S94" i="2" s="1"/>
  <c r="Q94" i="2"/>
  <c r="Q93" i="2"/>
  <c r="R93" i="2" s="1"/>
  <c r="S93" i="2" s="1"/>
  <c r="R92" i="2"/>
  <c r="S92" i="2" s="1"/>
  <c r="Q92" i="2"/>
  <c r="Q91" i="2"/>
  <c r="R91" i="2" s="1"/>
  <c r="S91" i="2" s="1"/>
  <c r="Q90" i="2"/>
  <c r="R90" i="2" s="1"/>
  <c r="S90" i="2" s="1"/>
  <c r="Q89" i="2"/>
  <c r="R89" i="2" s="1"/>
  <c r="S89" i="2" s="1"/>
  <c r="R88" i="2"/>
  <c r="S88" i="2" s="1"/>
  <c r="Q88" i="2"/>
  <c r="Q87" i="2"/>
  <c r="R87" i="2" s="1"/>
  <c r="S87" i="2" s="1"/>
  <c r="R86" i="2"/>
  <c r="S86" i="2" s="1"/>
  <c r="Q86" i="2"/>
  <c r="Q85" i="2"/>
  <c r="R85" i="2" s="1"/>
  <c r="S85" i="2" s="1"/>
  <c r="R84" i="2"/>
  <c r="S84" i="2" s="1"/>
  <c r="Q84" i="2"/>
  <c r="Q83" i="2"/>
  <c r="R83" i="2" s="1"/>
  <c r="S83" i="2" s="1"/>
  <c r="Q82" i="2"/>
  <c r="R82" i="2" s="1"/>
  <c r="S82" i="2" s="1"/>
  <c r="Q81" i="2"/>
  <c r="R81" i="2" s="1"/>
  <c r="S81" i="2" s="1"/>
  <c r="R80" i="2"/>
  <c r="S80" i="2" s="1"/>
  <c r="Q80" i="2"/>
  <c r="Q79" i="2"/>
  <c r="R79" i="2" s="1"/>
  <c r="S79" i="2" s="1"/>
  <c r="Q78" i="2"/>
  <c r="R78" i="2" s="1"/>
  <c r="S78" i="2" s="1"/>
  <c r="Q77" i="2"/>
  <c r="R77" i="2" s="1"/>
  <c r="S77" i="2" s="1"/>
  <c r="S76" i="2"/>
  <c r="R76" i="2"/>
  <c r="Q76" i="2"/>
  <c r="S75" i="2"/>
  <c r="Q75" i="2"/>
  <c r="R75" i="2" s="1"/>
  <c r="Q74" i="2"/>
  <c r="R74" i="2" s="1"/>
  <c r="S74" i="2" s="1"/>
  <c r="Q73" i="2"/>
  <c r="R73" i="2" s="1"/>
  <c r="S73" i="2" s="1"/>
  <c r="R72" i="2"/>
  <c r="S72" i="2" s="1"/>
  <c r="Q72" i="2"/>
  <c r="Q71" i="2"/>
  <c r="R71" i="2" s="1"/>
  <c r="S71" i="2" s="1"/>
  <c r="Q70" i="2"/>
  <c r="R70" i="2" s="1"/>
  <c r="S70" i="2" s="1"/>
  <c r="Q69" i="2"/>
  <c r="R69" i="2" s="1"/>
  <c r="S69" i="2" s="1"/>
  <c r="Q68" i="2"/>
  <c r="R68" i="2" s="1"/>
  <c r="S68" i="2" s="1"/>
  <c r="Q67" i="2"/>
  <c r="R67" i="2" s="1"/>
  <c r="S67" i="2" s="1"/>
  <c r="R66" i="2"/>
  <c r="S66" i="2" s="1"/>
  <c r="Q66" i="2"/>
  <c r="Q65" i="2"/>
  <c r="R65" i="2" s="1"/>
  <c r="S65" i="2" s="1"/>
  <c r="O65" i="2"/>
  <c r="O66" i="2" s="1"/>
  <c r="O67" i="2" s="1"/>
  <c r="O68" i="2" s="1"/>
  <c r="O69" i="2" s="1"/>
  <c r="O70" i="2" s="1"/>
  <c r="O71" i="2" s="1"/>
  <c r="O72" i="2" s="1"/>
  <c r="O73" i="2" s="1"/>
  <c r="O74" i="2" s="1"/>
  <c r="O75" i="2" s="1"/>
  <c r="O76" i="2" s="1"/>
  <c r="O77" i="2" s="1"/>
  <c r="O78" i="2" s="1"/>
  <c r="O79" i="2" s="1"/>
  <c r="O80" i="2" s="1"/>
  <c r="O81" i="2" s="1"/>
  <c r="O82" i="2" s="1"/>
  <c r="O83" i="2" s="1"/>
  <c r="O84" i="2" s="1"/>
  <c r="O85" i="2" s="1"/>
  <c r="O86" i="2" s="1"/>
  <c r="O87" i="2" s="1"/>
  <c r="O88" i="2" s="1"/>
  <c r="O89" i="2" s="1"/>
  <c r="O90" i="2" s="1"/>
  <c r="O91" i="2" s="1"/>
  <c r="O92" i="2" s="1"/>
  <c r="O93" i="2" s="1"/>
  <c r="O94" i="2" s="1"/>
  <c r="O95" i="2" s="1"/>
  <c r="O96" i="2" s="1"/>
  <c r="O97" i="2" s="1"/>
  <c r="O98" i="2" s="1"/>
  <c r="O99" i="2" s="1"/>
  <c r="O100" i="2" s="1"/>
  <c r="O101" i="2" s="1"/>
  <c r="O102" i="2" s="1"/>
  <c r="O103" i="2" s="1"/>
  <c r="O104" i="2" s="1"/>
  <c r="O105" i="2" s="1"/>
  <c r="O106" i="2" s="1"/>
  <c r="O107" i="2" s="1"/>
  <c r="O108" i="2" s="1"/>
  <c r="O109" i="2" s="1"/>
  <c r="O110" i="2" s="1"/>
  <c r="O111" i="2" s="1"/>
  <c r="O112" i="2" s="1"/>
  <c r="O113" i="2" s="1"/>
  <c r="O114" i="2" s="1"/>
  <c r="O115" i="2" s="1"/>
  <c r="O116" i="2" s="1"/>
  <c r="O117" i="2" s="1"/>
  <c r="O118" i="2" s="1"/>
  <c r="O119" i="2" s="1"/>
  <c r="O120" i="2" s="1"/>
  <c r="O121" i="2" s="1"/>
  <c r="O122" i="2" s="1"/>
  <c r="O123" i="2" s="1"/>
  <c r="O124" i="2" s="1"/>
  <c r="O125" i="2" s="1"/>
  <c r="O126" i="2" s="1"/>
  <c r="O127" i="2" s="1"/>
  <c r="O128" i="2" s="1"/>
  <c r="O129" i="2" s="1"/>
  <c r="O130" i="2" s="1"/>
  <c r="O131" i="2" s="1"/>
  <c r="O132" i="2" s="1"/>
  <c r="O133" i="2" s="1"/>
  <c r="O134" i="2" s="1"/>
  <c r="O135" i="2" s="1"/>
  <c r="O136" i="2" s="1"/>
  <c r="O137" i="2" s="1"/>
  <c r="O138" i="2" s="1"/>
  <c r="O139" i="2" s="1"/>
  <c r="O140" i="2" s="1"/>
  <c r="O141" i="2" s="1"/>
  <c r="O142" i="2" s="1"/>
  <c r="O143" i="2" s="1"/>
  <c r="O144" i="2" s="1"/>
  <c r="O145" i="2" s="1"/>
  <c r="O146" i="2" s="1"/>
  <c r="O147" i="2" s="1"/>
  <c r="O148" i="2" s="1"/>
  <c r="O149" i="2" s="1"/>
  <c r="O150" i="2" s="1"/>
  <c r="O151" i="2" s="1"/>
  <c r="O152" i="2" s="1"/>
  <c r="O153" i="2" s="1"/>
  <c r="O154" i="2" s="1"/>
  <c r="O155" i="2" s="1"/>
  <c r="O156" i="2" s="1"/>
  <c r="O157" i="2" s="1"/>
  <c r="O158" i="2" s="1"/>
  <c r="O159" i="2" s="1"/>
  <c r="O160" i="2" s="1"/>
  <c r="O161" i="2" s="1"/>
  <c r="O162" i="2" s="1"/>
  <c r="O163" i="2" s="1"/>
  <c r="O164" i="2" s="1"/>
  <c r="O165" i="2" s="1"/>
  <c r="O166" i="2" s="1"/>
  <c r="O167" i="2" s="1"/>
  <c r="O168" i="2" s="1"/>
  <c r="O169" i="2" s="1"/>
  <c r="O170" i="2" s="1"/>
  <c r="O171" i="2" s="1"/>
  <c r="O172" i="2" s="1"/>
  <c r="O173" i="2" s="1"/>
  <c r="O174" i="2" s="1"/>
  <c r="O175" i="2" s="1"/>
  <c r="O176" i="2" s="1"/>
  <c r="O177" i="2" s="1"/>
  <c r="O178" i="2" s="1"/>
  <c r="O179" i="2" s="1"/>
  <c r="O180" i="2" s="1"/>
  <c r="O181" i="2" s="1"/>
  <c r="O182" i="2" s="1"/>
  <c r="O183" i="2" s="1"/>
  <c r="O184" i="2" s="1"/>
  <c r="O185" i="2" s="1"/>
  <c r="O186" i="2" s="1"/>
  <c r="O187" i="2" s="1"/>
  <c r="O188" i="2" s="1"/>
  <c r="O189" i="2" s="1"/>
  <c r="O190" i="2" s="1"/>
  <c r="O191" i="2" s="1"/>
  <c r="O192" i="2" s="1"/>
  <c r="O193" i="2" s="1"/>
  <c r="O194" i="2" s="1"/>
  <c r="O195" i="2" s="1"/>
  <c r="O196" i="2" s="1"/>
  <c r="O197" i="2" s="1"/>
  <c r="O198" i="2" s="1"/>
  <c r="O199" i="2" s="1"/>
  <c r="O200" i="2" s="1"/>
  <c r="O201" i="2" s="1"/>
  <c r="O202" i="2" s="1"/>
  <c r="O203" i="2" s="1"/>
  <c r="O204" i="2" s="1"/>
  <c r="O205" i="2" s="1"/>
  <c r="O206" i="2" s="1"/>
  <c r="Q64" i="2"/>
  <c r="R64" i="2" s="1"/>
  <c r="S64" i="2" s="1"/>
  <c r="R63" i="2"/>
  <c r="S63" i="2" s="1"/>
  <c r="Q63" i="2"/>
  <c r="R62" i="2"/>
  <c r="S62" i="2" s="1"/>
  <c r="Q62" i="2"/>
  <c r="Q61" i="2"/>
  <c r="R61" i="2" s="1"/>
  <c r="S61" i="2" s="1"/>
  <c r="Q60" i="2"/>
  <c r="R60" i="2" s="1"/>
  <c r="S60" i="2" s="1"/>
  <c r="O60" i="2"/>
  <c r="O61" i="2" s="1"/>
  <c r="O62" i="2" s="1"/>
  <c r="R59" i="2"/>
  <c r="S59" i="2" s="1"/>
  <c r="T59" i="2" s="1"/>
  <c r="O59" i="2"/>
  <c r="R58" i="2"/>
  <c r="S58" i="2" s="1"/>
  <c r="S57" i="2"/>
  <c r="R57" i="2"/>
  <c r="I57" i="2"/>
  <c r="R56" i="2"/>
  <c r="S56" i="2" s="1"/>
  <c r="R55" i="2"/>
  <c r="S55" i="2" s="1"/>
  <c r="I55" i="2"/>
  <c r="S54" i="2"/>
  <c r="R54" i="2"/>
  <c r="Z53" i="2"/>
  <c r="S53" i="2"/>
  <c r="R53" i="2"/>
  <c r="I53" i="2"/>
  <c r="S52" i="2"/>
  <c r="R52" i="2"/>
  <c r="G52" i="2"/>
  <c r="G53" i="2" s="1"/>
  <c r="G54" i="2" s="1"/>
  <c r="G55" i="2" s="1"/>
  <c r="G56" i="2" s="1"/>
  <c r="G57" i="2" s="1"/>
  <c r="G58" i="2" s="1"/>
  <c r="G59" i="2" s="1"/>
  <c r="G60" i="2" s="1"/>
  <c r="G61" i="2" s="1"/>
  <c r="G62" i="2" s="1"/>
  <c r="G63" i="2" s="1"/>
  <c r="G64" i="2" s="1"/>
  <c r="G65" i="2" s="1"/>
  <c r="G66" i="2" s="1"/>
  <c r="G67" i="2" s="1"/>
  <c r="G68" i="2" s="1"/>
  <c r="G69" i="2" s="1"/>
  <c r="G70" i="2" s="1"/>
  <c r="G71" i="2" s="1"/>
  <c r="G72" i="2" s="1"/>
  <c r="G73" i="2" s="1"/>
  <c r="G74" i="2" s="1"/>
  <c r="G75" i="2" s="1"/>
  <c r="G76" i="2" s="1"/>
  <c r="G77" i="2" s="1"/>
  <c r="G78" i="2" s="1"/>
  <c r="G79" i="2" s="1"/>
  <c r="G80" i="2" s="1"/>
  <c r="G81" i="2" s="1"/>
  <c r="G82" i="2" s="1"/>
  <c r="G83" i="2" s="1"/>
  <c r="G84" i="2" s="1"/>
  <c r="G85" i="2" s="1"/>
  <c r="G86" i="2" s="1"/>
  <c r="G87" i="2" s="1"/>
  <c r="G88" i="2" s="1"/>
  <c r="G89" i="2" s="1"/>
  <c r="G90" i="2" s="1"/>
  <c r="G91" i="2" s="1"/>
  <c r="G92" i="2" s="1"/>
  <c r="G93" i="2" s="1"/>
  <c r="G94" i="2" s="1"/>
  <c r="G95" i="2" s="1"/>
  <c r="G96" i="2" s="1"/>
  <c r="G97" i="2" s="1"/>
  <c r="G98" i="2" s="1"/>
  <c r="G99" i="2" s="1"/>
  <c r="G100" i="2" s="1"/>
  <c r="G101" i="2" s="1"/>
  <c r="G102" i="2" s="1"/>
  <c r="G103" i="2" s="1"/>
  <c r="G104" i="2" s="1"/>
  <c r="G105" i="2" s="1"/>
  <c r="G106" i="2" s="1"/>
  <c r="G107" i="2" s="1"/>
  <c r="G108" i="2" s="1"/>
  <c r="G109" i="2" s="1"/>
  <c r="G110" i="2" s="1"/>
  <c r="G111" i="2" s="1"/>
  <c r="G112" i="2" s="1"/>
  <c r="G113" i="2" s="1"/>
  <c r="G114" i="2" s="1"/>
  <c r="G115" i="2" s="1"/>
  <c r="G116" i="2" s="1"/>
  <c r="G117" i="2" s="1"/>
  <c r="G118" i="2" s="1"/>
  <c r="G119" i="2" s="1"/>
  <c r="G120" i="2" s="1"/>
  <c r="G121" i="2" s="1"/>
  <c r="G122" i="2" s="1"/>
  <c r="G123" i="2" s="1"/>
  <c r="G124" i="2" s="1"/>
  <c r="G125" i="2" s="1"/>
  <c r="R51" i="2"/>
  <c r="S51" i="2" s="1"/>
  <c r="T51" i="2" s="1"/>
  <c r="O51" i="2"/>
  <c r="M51" i="2"/>
  <c r="M52" i="2" s="1"/>
  <c r="M53" i="2" s="1"/>
  <c r="M54" i="2" s="1"/>
  <c r="M55" i="2" s="1"/>
  <c r="M56" i="2" s="1"/>
  <c r="M57" i="2" s="1"/>
  <c r="M58" i="2" s="1"/>
  <c r="M59" i="2" s="1"/>
  <c r="M60" i="2" s="1"/>
  <c r="M61" i="2" s="1"/>
  <c r="M62" i="2" s="1"/>
  <c r="M63" i="2" s="1"/>
  <c r="M64" i="2" s="1"/>
  <c r="M65" i="2" s="1"/>
  <c r="M66" i="2" s="1"/>
  <c r="M67" i="2" s="1"/>
  <c r="M68" i="2" s="1"/>
  <c r="M69" i="2" s="1"/>
  <c r="M70" i="2" s="1"/>
  <c r="M71" i="2" s="1"/>
  <c r="M72" i="2" s="1"/>
  <c r="M73" i="2" s="1"/>
  <c r="M74" i="2" s="1"/>
  <c r="M75" i="2" s="1"/>
  <c r="M76" i="2" s="1"/>
  <c r="M77" i="2" s="1"/>
  <c r="M78" i="2" s="1"/>
  <c r="M79" i="2" s="1"/>
  <c r="M80" i="2" s="1"/>
  <c r="M81" i="2" s="1"/>
  <c r="M82" i="2" s="1"/>
  <c r="M83" i="2" s="1"/>
  <c r="M84" i="2" s="1"/>
  <c r="M85" i="2" s="1"/>
  <c r="M86" i="2" s="1"/>
  <c r="M87" i="2" s="1"/>
  <c r="M88" i="2" s="1"/>
  <c r="M89" i="2" s="1"/>
  <c r="M90" i="2" s="1"/>
  <c r="M91" i="2" s="1"/>
  <c r="M92" i="2" s="1"/>
  <c r="M93" i="2" s="1"/>
  <c r="M94" i="2" s="1"/>
  <c r="M95" i="2" s="1"/>
  <c r="M96" i="2" s="1"/>
  <c r="M97" i="2" s="1"/>
  <c r="M98" i="2" s="1"/>
  <c r="M99" i="2" s="1"/>
  <c r="M100" i="2" s="1"/>
  <c r="M101" i="2" s="1"/>
  <c r="M102" i="2" s="1"/>
  <c r="M103" i="2" s="1"/>
  <c r="M104" i="2" s="1"/>
  <c r="M105" i="2" s="1"/>
  <c r="M106" i="2" s="1"/>
  <c r="M107" i="2" s="1"/>
  <c r="M108" i="2" s="1"/>
  <c r="M109" i="2" s="1"/>
  <c r="M110" i="2" s="1"/>
  <c r="M111" i="2" s="1"/>
  <c r="M112" i="2" s="1"/>
  <c r="M113" i="2" s="1"/>
  <c r="M114" i="2" s="1"/>
  <c r="M115" i="2" s="1"/>
  <c r="M116" i="2" s="1"/>
  <c r="M117" i="2" s="1"/>
  <c r="M118" i="2" s="1"/>
  <c r="M119" i="2" s="1"/>
  <c r="M120" i="2" s="1"/>
  <c r="M121" i="2" s="1"/>
  <c r="M122" i="2" s="1"/>
  <c r="M123" i="2" s="1"/>
  <c r="M124" i="2" s="1"/>
  <c r="M125" i="2" s="1"/>
  <c r="M126" i="2" s="1"/>
  <c r="M127" i="2" s="1"/>
  <c r="M128" i="2" s="1"/>
  <c r="M129" i="2" s="1"/>
  <c r="M130" i="2" s="1"/>
  <c r="M131" i="2" s="1"/>
  <c r="M132" i="2" s="1"/>
  <c r="M133" i="2" s="1"/>
  <c r="M134" i="2" s="1"/>
  <c r="M135" i="2" s="1"/>
  <c r="M136" i="2" s="1"/>
  <c r="M137" i="2" s="1"/>
  <c r="M138" i="2" s="1"/>
  <c r="M139" i="2" s="1"/>
  <c r="M140" i="2" s="1"/>
  <c r="M141" i="2" s="1"/>
  <c r="M142" i="2" s="1"/>
  <c r="M143" i="2" s="1"/>
  <c r="M144" i="2" s="1"/>
  <c r="M145" i="2" s="1"/>
  <c r="M146" i="2" s="1"/>
  <c r="M147" i="2" s="1"/>
  <c r="M148" i="2" s="1"/>
  <c r="M149" i="2" s="1"/>
  <c r="M150" i="2" s="1"/>
  <c r="M151" i="2" s="1"/>
  <c r="M152" i="2" s="1"/>
  <c r="M153" i="2" s="1"/>
  <c r="M154" i="2" s="1"/>
  <c r="M155" i="2" s="1"/>
  <c r="M156" i="2" s="1"/>
  <c r="M157" i="2" s="1"/>
  <c r="M158" i="2" s="1"/>
  <c r="M159" i="2" s="1"/>
  <c r="M160" i="2" s="1"/>
  <c r="M161" i="2" s="1"/>
  <c r="M162" i="2" s="1"/>
  <c r="M163" i="2" s="1"/>
  <c r="M164" i="2" s="1"/>
  <c r="M165" i="2" s="1"/>
  <c r="M166" i="2" s="1"/>
  <c r="M167" i="2" s="1"/>
  <c r="M168" i="2" s="1"/>
  <c r="M169" i="2" s="1"/>
  <c r="M170" i="2" s="1"/>
  <c r="M171" i="2" s="1"/>
  <c r="M172" i="2" s="1"/>
  <c r="M173" i="2" s="1"/>
  <c r="M174" i="2" s="1"/>
  <c r="M175" i="2" s="1"/>
  <c r="M176" i="2" s="1"/>
  <c r="M177" i="2" s="1"/>
  <c r="M178" i="2" s="1"/>
  <c r="M179" i="2" s="1"/>
  <c r="M180" i="2" s="1"/>
  <c r="M181" i="2" s="1"/>
  <c r="M182" i="2" s="1"/>
  <c r="M183" i="2" s="1"/>
  <c r="M184" i="2" s="1"/>
  <c r="M185" i="2" s="1"/>
  <c r="M186" i="2" s="1"/>
  <c r="M187" i="2" s="1"/>
  <c r="M188" i="2" s="1"/>
  <c r="M189" i="2" s="1"/>
  <c r="M190" i="2" s="1"/>
  <c r="M191" i="2" s="1"/>
  <c r="M192" i="2" s="1"/>
  <c r="M193" i="2" s="1"/>
  <c r="M194" i="2" s="1"/>
  <c r="M195" i="2" s="1"/>
  <c r="M196" i="2" s="1"/>
  <c r="M197" i="2" s="1"/>
  <c r="M198" i="2" s="1"/>
  <c r="M199" i="2" s="1"/>
  <c r="M200" i="2" s="1"/>
  <c r="M201" i="2" s="1"/>
  <c r="M202" i="2" s="1"/>
  <c r="M203" i="2" s="1"/>
  <c r="M204" i="2" s="1"/>
  <c r="M205" i="2" s="1"/>
  <c r="M206" i="2" s="1"/>
  <c r="M207" i="2" s="1"/>
  <c r="M208" i="2" s="1"/>
  <c r="M209" i="2" s="1"/>
  <c r="M210" i="2" s="1"/>
  <c r="M211" i="2" s="1"/>
  <c r="M212" i="2" s="1"/>
  <c r="M213" i="2" s="1"/>
  <c r="M214" i="2" s="1"/>
  <c r="M215" i="2" s="1"/>
  <c r="M216" i="2" s="1"/>
  <c r="M217" i="2" s="1"/>
  <c r="M218" i="2" s="1"/>
  <c r="M219" i="2" s="1"/>
  <c r="M220" i="2" s="1"/>
  <c r="M221" i="2" s="1"/>
  <c r="M222" i="2" s="1"/>
  <c r="M223" i="2" s="1"/>
  <c r="M224" i="2" s="1"/>
  <c r="M225" i="2" s="1"/>
  <c r="M226" i="2" s="1"/>
  <c r="M227" i="2" s="1"/>
  <c r="M228" i="2" s="1"/>
  <c r="M229" i="2" s="1"/>
  <c r="M230" i="2" s="1"/>
  <c r="M231" i="2" s="1"/>
  <c r="M232" i="2" s="1"/>
  <c r="M233" i="2" s="1"/>
  <c r="M234" i="2" s="1"/>
  <c r="M235" i="2" s="1"/>
  <c r="M236" i="2" s="1"/>
  <c r="M237" i="2" s="1"/>
  <c r="M238" i="2" s="1"/>
  <c r="M239" i="2" s="1"/>
  <c r="M240" i="2" s="1"/>
  <c r="M241" i="2" s="1"/>
  <c r="M242" i="2" s="1"/>
  <c r="M243" i="2" s="1"/>
  <c r="M244" i="2" s="1"/>
  <c r="M245" i="2" s="1"/>
  <c r="M246" i="2" s="1"/>
  <c r="M247" i="2" s="1"/>
  <c r="M248" i="2" s="1"/>
  <c r="M249" i="2" s="1"/>
  <c r="M250" i="2" s="1"/>
  <c r="M251" i="2" s="1"/>
  <c r="M252" i="2" s="1"/>
  <c r="M253" i="2" s="1"/>
  <c r="M254" i="2" s="1"/>
  <c r="M255" i="2" s="1"/>
  <c r="M256" i="2" s="1"/>
  <c r="M257" i="2" s="1"/>
  <c r="M258" i="2" s="1"/>
  <c r="M259" i="2" s="1"/>
  <c r="M260" i="2" s="1"/>
  <c r="M261" i="2" s="1"/>
  <c r="M262" i="2" s="1"/>
  <c r="M263" i="2" s="1"/>
  <c r="M264" i="2" s="1"/>
  <c r="M265" i="2" s="1"/>
  <c r="M266" i="2" s="1"/>
  <c r="M267" i="2" s="1"/>
  <c r="M268" i="2" s="1"/>
  <c r="M269" i="2" s="1"/>
  <c r="M270" i="2" s="1"/>
  <c r="M271" i="2" s="1"/>
  <c r="M272" i="2" s="1"/>
  <c r="M273" i="2" s="1"/>
  <c r="M274" i="2" s="1"/>
  <c r="M275" i="2" s="1"/>
  <c r="M276" i="2" s="1"/>
  <c r="M277" i="2" s="1"/>
  <c r="M278" i="2" s="1"/>
  <c r="M279" i="2" s="1"/>
  <c r="M280" i="2" s="1"/>
  <c r="M281" i="2" s="1"/>
  <c r="M282" i="2" s="1"/>
  <c r="M283" i="2" s="1"/>
  <c r="M284" i="2" s="1"/>
  <c r="M285" i="2" s="1"/>
  <c r="M286" i="2" s="1"/>
  <c r="M287" i="2" s="1"/>
  <c r="M288" i="2" s="1"/>
  <c r="M289" i="2" s="1"/>
  <c r="M290" i="2" s="1"/>
  <c r="M291" i="2" s="1"/>
  <c r="M292" i="2" s="1"/>
  <c r="M293" i="2" s="1"/>
  <c r="M294" i="2" s="1"/>
  <c r="M295" i="2" s="1"/>
  <c r="M296" i="2" s="1"/>
  <c r="M297" i="2" s="1"/>
  <c r="M298" i="2" s="1"/>
  <c r="M299" i="2" s="1"/>
  <c r="M300" i="2" s="1"/>
  <c r="M301" i="2" s="1"/>
  <c r="M302" i="2" s="1"/>
  <c r="M303" i="2" s="1"/>
  <c r="M304" i="2" s="1"/>
  <c r="M305" i="2" s="1"/>
  <c r="M306" i="2" s="1"/>
  <c r="M307" i="2" s="1"/>
  <c r="M308" i="2" s="1"/>
  <c r="M309" i="2" s="1"/>
  <c r="M310" i="2" s="1"/>
  <c r="M311" i="2" s="1"/>
  <c r="M312" i="2" s="1"/>
  <c r="M313" i="2" s="1"/>
  <c r="M314" i="2" s="1"/>
  <c r="M315" i="2" s="1"/>
  <c r="M316" i="2" s="1"/>
  <c r="M317" i="2" s="1"/>
  <c r="M318" i="2" s="1"/>
  <c r="M319" i="2" s="1"/>
  <c r="M320" i="2" s="1"/>
  <c r="M321" i="2" s="1"/>
  <c r="M322" i="2" s="1"/>
  <c r="M323" i="2" s="1"/>
  <c r="M324" i="2" s="1"/>
  <c r="M325" i="2" s="1"/>
  <c r="M326" i="2" s="1"/>
  <c r="M327" i="2" s="1"/>
  <c r="M328" i="2" s="1"/>
  <c r="M329" i="2" s="1"/>
  <c r="M330" i="2" s="1"/>
  <c r="M331" i="2" s="1"/>
  <c r="M332" i="2" s="1"/>
  <c r="M333" i="2" s="1"/>
  <c r="M334" i="2" s="1"/>
  <c r="M335" i="2" s="1"/>
  <c r="M336" i="2" s="1"/>
  <c r="M337" i="2" s="1"/>
  <c r="M338" i="2" s="1"/>
  <c r="M339" i="2" s="1"/>
  <c r="M340" i="2" s="1"/>
  <c r="K51" i="2"/>
  <c r="K52" i="2" s="1"/>
  <c r="K53" i="2" s="1"/>
  <c r="K54" i="2" s="1"/>
  <c r="K55" i="2" s="1"/>
  <c r="K56" i="2" s="1"/>
  <c r="K57" i="2" s="1"/>
  <c r="K58" i="2" s="1"/>
  <c r="K59" i="2" s="1"/>
  <c r="K60" i="2" s="1"/>
  <c r="K61" i="2" s="1"/>
  <c r="K62" i="2" s="1"/>
  <c r="K63" i="2" s="1"/>
  <c r="K64" i="2" s="1"/>
  <c r="K65" i="2" s="1"/>
  <c r="K66" i="2" s="1"/>
  <c r="K67" i="2" s="1"/>
  <c r="K68" i="2" s="1"/>
  <c r="K69" i="2" s="1"/>
  <c r="K70" i="2" s="1"/>
  <c r="K71" i="2" s="1"/>
  <c r="K72" i="2" s="1"/>
  <c r="K73" i="2" s="1"/>
  <c r="K74" i="2" s="1"/>
  <c r="K75" i="2" s="1"/>
  <c r="K76" i="2" s="1"/>
  <c r="K77" i="2" s="1"/>
  <c r="K78" i="2" s="1"/>
  <c r="K79" i="2" s="1"/>
  <c r="K80" i="2" s="1"/>
  <c r="K81" i="2" s="1"/>
  <c r="K82" i="2" s="1"/>
  <c r="K83" i="2" s="1"/>
  <c r="K84" i="2" s="1"/>
  <c r="K85" i="2" s="1"/>
  <c r="K86" i="2" s="1"/>
  <c r="K87" i="2" s="1"/>
  <c r="K88" i="2" s="1"/>
  <c r="K89" i="2" s="1"/>
  <c r="K90" i="2" s="1"/>
  <c r="K91" i="2" s="1"/>
  <c r="K92" i="2" s="1"/>
  <c r="K93" i="2" s="1"/>
  <c r="K94" i="2" s="1"/>
  <c r="K95" i="2" s="1"/>
  <c r="K96" i="2" s="1"/>
  <c r="K97" i="2" s="1"/>
  <c r="K98" i="2" s="1"/>
  <c r="K99" i="2" s="1"/>
  <c r="K100" i="2" s="1"/>
  <c r="K101" i="2" s="1"/>
  <c r="K102" i="2" s="1"/>
  <c r="K103" i="2" s="1"/>
  <c r="K104" i="2" s="1"/>
  <c r="K105" i="2" s="1"/>
  <c r="K106" i="2" s="1"/>
  <c r="K107" i="2" s="1"/>
  <c r="K108" i="2" s="1"/>
  <c r="K109" i="2" s="1"/>
  <c r="K110" i="2" s="1"/>
  <c r="K111" i="2" s="1"/>
  <c r="K112" i="2" s="1"/>
  <c r="K113" i="2" s="1"/>
  <c r="K114" i="2" s="1"/>
  <c r="K115" i="2" s="1"/>
  <c r="K116" i="2" s="1"/>
  <c r="K117" i="2" s="1"/>
  <c r="K118" i="2" s="1"/>
  <c r="K119" i="2" s="1"/>
  <c r="K120" i="2" s="1"/>
  <c r="K121" i="2" s="1"/>
  <c r="K122" i="2" s="1"/>
  <c r="K123" i="2" s="1"/>
  <c r="K124" i="2" s="1"/>
  <c r="K125" i="2" s="1"/>
  <c r="K126" i="2" s="1"/>
  <c r="K127" i="2" s="1"/>
  <c r="K128" i="2" s="1"/>
  <c r="K129" i="2" s="1"/>
  <c r="K130" i="2" s="1"/>
  <c r="K131" i="2" s="1"/>
  <c r="K132" i="2" s="1"/>
  <c r="K133" i="2" s="1"/>
  <c r="K134" i="2" s="1"/>
  <c r="K135" i="2" s="1"/>
  <c r="K136" i="2" s="1"/>
  <c r="K137" i="2" s="1"/>
  <c r="K138" i="2" s="1"/>
  <c r="K139" i="2" s="1"/>
  <c r="K140" i="2" s="1"/>
  <c r="K141" i="2" s="1"/>
  <c r="K142" i="2" s="1"/>
  <c r="K143" i="2" s="1"/>
  <c r="K144" i="2" s="1"/>
  <c r="K145" i="2" s="1"/>
  <c r="K146" i="2" s="1"/>
  <c r="K147" i="2" s="1"/>
  <c r="K148" i="2" s="1"/>
  <c r="K149" i="2" s="1"/>
  <c r="K150" i="2" s="1"/>
  <c r="K151" i="2" s="1"/>
  <c r="K152" i="2" s="1"/>
  <c r="K153" i="2" s="1"/>
  <c r="K154" i="2" s="1"/>
  <c r="K155" i="2" s="1"/>
  <c r="K156" i="2" s="1"/>
  <c r="K157" i="2" s="1"/>
  <c r="K158" i="2" s="1"/>
  <c r="K159" i="2" s="1"/>
  <c r="K160" i="2" s="1"/>
  <c r="K161" i="2" s="1"/>
  <c r="K162" i="2" s="1"/>
  <c r="K163" i="2" s="1"/>
  <c r="K164" i="2" s="1"/>
  <c r="K165" i="2" s="1"/>
  <c r="K166" i="2" s="1"/>
  <c r="K167" i="2" s="1"/>
  <c r="K168" i="2" s="1"/>
  <c r="K169" i="2" s="1"/>
  <c r="K170" i="2" s="1"/>
  <c r="K171" i="2" s="1"/>
  <c r="K172" i="2" s="1"/>
  <c r="K173" i="2" s="1"/>
  <c r="K174" i="2" s="1"/>
  <c r="K175" i="2" s="1"/>
  <c r="K176" i="2" s="1"/>
  <c r="K177" i="2" s="1"/>
  <c r="K178" i="2" s="1"/>
  <c r="K179" i="2" s="1"/>
  <c r="K180" i="2" s="1"/>
  <c r="K181" i="2" s="1"/>
  <c r="K182" i="2" s="1"/>
  <c r="K183" i="2" s="1"/>
  <c r="K184" i="2" s="1"/>
  <c r="K185" i="2" s="1"/>
  <c r="K186" i="2" s="1"/>
  <c r="K187" i="2" s="1"/>
  <c r="K188" i="2" s="1"/>
  <c r="K189" i="2" s="1"/>
  <c r="K190" i="2" s="1"/>
  <c r="K191" i="2" s="1"/>
  <c r="K192" i="2" s="1"/>
  <c r="K193" i="2" s="1"/>
  <c r="K194" i="2" s="1"/>
  <c r="K195" i="2" s="1"/>
  <c r="K196" i="2" s="1"/>
  <c r="K197" i="2" s="1"/>
  <c r="K198" i="2" s="1"/>
  <c r="K199" i="2" s="1"/>
  <c r="K200" i="2" s="1"/>
  <c r="K201" i="2" s="1"/>
  <c r="K202" i="2" s="1"/>
  <c r="K203" i="2" s="1"/>
  <c r="K204" i="2" s="1"/>
  <c r="K205" i="2" s="1"/>
  <c r="K206" i="2" s="1"/>
  <c r="K207" i="2" s="1"/>
  <c r="K208" i="2" s="1"/>
  <c r="K209" i="2" s="1"/>
  <c r="K210" i="2" s="1"/>
  <c r="K211" i="2" s="1"/>
  <c r="K212" i="2" s="1"/>
  <c r="K213" i="2" s="1"/>
  <c r="K214" i="2" s="1"/>
  <c r="K215" i="2" s="1"/>
  <c r="K216" i="2" s="1"/>
  <c r="K217" i="2" s="1"/>
  <c r="K218" i="2" s="1"/>
  <c r="K219" i="2" s="1"/>
  <c r="K220" i="2" s="1"/>
  <c r="K221" i="2" s="1"/>
  <c r="K222" i="2" s="1"/>
  <c r="K223" i="2" s="1"/>
  <c r="K224" i="2" s="1"/>
  <c r="K225" i="2" s="1"/>
  <c r="K226" i="2" s="1"/>
  <c r="K227" i="2" s="1"/>
  <c r="K228" i="2" s="1"/>
  <c r="K229" i="2" s="1"/>
  <c r="K230" i="2" s="1"/>
  <c r="K231" i="2" s="1"/>
  <c r="K232" i="2" s="1"/>
  <c r="K233" i="2" s="1"/>
  <c r="K234" i="2" s="1"/>
  <c r="K235" i="2" s="1"/>
  <c r="K236" i="2" s="1"/>
  <c r="K237" i="2" s="1"/>
  <c r="K238" i="2" s="1"/>
  <c r="K239" i="2" s="1"/>
  <c r="K240" i="2" s="1"/>
  <c r="K241" i="2" s="1"/>
  <c r="K242" i="2" s="1"/>
  <c r="K243" i="2" s="1"/>
  <c r="K244" i="2" s="1"/>
  <c r="K245" i="2" s="1"/>
  <c r="K246" i="2" s="1"/>
  <c r="K247" i="2" s="1"/>
  <c r="K248" i="2" s="1"/>
  <c r="K249" i="2" s="1"/>
  <c r="K250" i="2" s="1"/>
  <c r="K251" i="2" s="1"/>
  <c r="K252" i="2" s="1"/>
  <c r="K253" i="2" s="1"/>
  <c r="K254" i="2" s="1"/>
  <c r="K255" i="2" s="1"/>
  <c r="K256" i="2" s="1"/>
  <c r="K257" i="2" s="1"/>
  <c r="K258" i="2" s="1"/>
  <c r="K259" i="2" s="1"/>
  <c r="K260" i="2" s="1"/>
  <c r="K261" i="2" s="1"/>
  <c r="K262" i="2" s="1"/>
  <c r="K263" i="2" s="1"/>
  <c r="K264" i="2" s="1"/>
  <c r="K265" i="2" s="1"/>
  <c r="K266" i="2" s="1"/>
  <c r="K267" i="2" s="1"/>
  <c r="K268" i="2" s="1"/>
  <c r="K269" i="2" s="1"/>
  <c r="K270" i="2" s="1"/>
  <c r="K271" i="2" s="1"/>
  <c r="K272" i="2" s="1"/>
  <c r="K273" i="2" s="1"/>
  <c r="K274" i="2" s="1"/>
  <c r="K275" i="2" s="1"/>
  <c r="K276" i="2" s="1"/>
  <c r="K277" i="2" s="1"/>
  <c r="K278" i="2" s="1"/>
  <c r="K279" i="2" s="1"/>
  <c r="K280" i="2" s="1"/>
  <c r="K281" i="2" s="1"/>
  <c r="K282" i="2" s="1"/>
  <c r="K283" i="2" s="1"/>
  <c r="K284" i="2" s="1"/>
  <c r="K285" i="2" s="1"/>
  <c r="K286" i="2" s="1"/>
  <c r="K287" i="2" s="1"/>
  <c r="K288" i="2" s="1"/>
  <c r="K289" i="2" s="1"/>
  <c r="K290" i="2" s="1"/>
  <c r="K291" i="2" s="1"/>
  <c r="K292" i="2" s="1"/>
  <c r="K293" i="2" s="1"/>
  <c r="K294" i="2" s="1"/>
  <c r="K295" i="2" s="1"/>
  <c r="K296" i="2" s="1"/>
  <c r="K297" i="2" s="1"/>
  <c r="K298" i="2" s="1"/>
  <c r="K299" i="2" s="1"/>
  <c r="K300" i="2" s="1"/>
  <c r="K301" i="2" s="1"/>
  <c r="K302" i="2" s="1"/>
  <c r="K303" i="2" s="1"/>
  <c r="K304" i="2" s="1"/>
  <c r="K305" i="2" s="1"/>
  <c r="K306" i="2" s="1"/>
  <c r="K307" i="2" s="1"/>
  <c r="K308" i="2" s="1"/>
  <c r="K309" i="2" s="1"/>
  <c r="K310" i="2" s="1"/>
  <c r="K311" i="2" s="1"/>
  <c r="K312" i="2" s="1"/>
  <c r="K313" i="2" s="1"/>
  <c r="K314" i="2" s="1"/>
  <c r="K315" i="2" s="1"/>
  <c r="K316" i="2" s="1"/>
  <c r="K317" i="2" s="1"/>
  <c r="K318" i="2" s="1"/>
  <c r="K319" i="2" s="1"/>
  <c r="K320" i="2" s="1"/>
  <c r="K321" i="2" s="1"/>
  <c r="K322" i="2" s="1"/>
  <c r="K323" i="2" s="1"/>
  <c r="K324" i="2" s="1"/>
  <c r="K325" i="2" s="1"/>
  <c r="K326" i="2" s="1"/>
  <c r="K327" i="2" s="1"/>
  <c r="K328" i="2" s="1"/>
  <c r="K329" i="2" s="1"/>
  <c r="K330" i="2" s="1"/>
  <c r="K331" i="2" s="1"/>
  <c r="K332" i="2" s="1"/>
  <c r="K333" i="2" s="1"/>
  <c r="K334" i="2" s="1"/>
  <c r="K335" i="2" s="1"/>
  <c r="K336" i="2" s="1"/>
  <c r="K337" i="2" s="1"/>
  <c r="K338" i="2" s="1"/>
  <c r="K339" i="2" s="1"/>
  <c r="K340" i="2" s="1"/>
  <c r="I51" i="2"/>
  <c r="G51" i="2"/>
  <c r="X50" i="2"/>
  <c r="X51" i="2" s="1"/>
  <c r="X52" i="2" s="1"/>
  <c r="X53" i="2" s="1"/>
  <c r="X54" i="2" s="1"/>
  <c r="X55" i="2" s="1"/>
  <c r="X56" i="2" s="1"/>
  <c r="X57" i="2" s="1"/>
  <c r="X58" i="2" s="1"/>
  <c r="X59" i="2" s="1"/>
  <c r="X60" i="2" s="1"/>
  <c r="X61" i="2" s="1"/>
  <c r="X62" i="2" s="1"/>
  <c r="X63" i="2" s="1"/>
  <c r="X64" i="2" s="1"/>
  <c r="X65" i="2" s="1"/>
  <c r="X66" i="2" s="1"/>
  <c r="X67" i="2" s="1"/>
  <c r="X68" i="2" s="1"/>
  <c r="X69" i="2" s="1"/>
  <c r="X70" i="2" s="1"/>
  <c r="X71" i="2" s="1"/>
  <c r="X72" i="2" s="1"/>
  <c r="X73" i="2" s="1"/>
  <c r="X74" i="2" s="1"/>
  <c r="X75" i="2" s="1"/>
  <c r="X76" i="2" s="1"/>
  <c r="X77" i="2" s="1"/>
  <c r="X78" i="2" s="1"/>
  <c r="X79" i="2" s="1"/>
  <c r="X80" i="2" s="1"/>
  <c r="X81" i="2" s="1"/>
  <c r="X82" i="2" s="1"/>
  <c r="X83" i="2" s="1"/>
  <c r="X84" i="2" s="1"/>
  <c r="X85" i="2" s="1"/>
  <c r="X86" i="2" s="1"/>
  <c r="X87" i="2" s="1"/>
  <c r="X88" i="2" s="1"/>
  <c r="X89" i="2" s="1"/>
  <c r="X90" i="2" s="1"/>
  <c r="X91" i="2" s="1"/>
  <c r="X92" i="2" s="1"/>
  <c r="X93" i="2" s="1"/>
  <c r="X94" i="2" s="1"/>
  <c r="X95" i="2" s="1"/>
  <c r="X96" i="2" s="1"/>
  <c r="X97" i="2" s="1"/>
  <c r="X98" i="2" s="1"/>
  <c r="X99" i="2" s="1"/>
  <c r="X100" i="2" s="1"/>
  <c r="X101" i="2" s="1"/>
  <c r="X102" i="2" s="1"/>
  <c r="X103" i="2" s="1"/>
  <c r="X104" i="2" s="1"/>
  <c r="X105" i="2" s="1"/>
  <c r="X106" i="2" s="1"/>
  <c r="X107" i="2" s="1"/>
  <c r="X108" i="2" s="1"/>
  <c r="X109" i="2" s="1"/>
  <c r="X110" i="2" s="1"/>
  <c r="X111" i="2" s="1"/>
  <c r="X112" i="2" s="1"/>
  <c r="X113" i="2" s="1"/>
  <c r="X114" i="2" s="1"/>
  <c r="X115" i="2" s="1"/>
  <c r="X116" i="2" s="1"/>
  <c r="X117" i="2" s="1"/>
  <c r="X118" i="2" s="1"/>
  <c r="X119" i="2" s="1"/>
  <c r="R50" i="2"/>
  <c r="S50" i="2" s="1"/>
  <c r="M50" i="2"/>
  <c r="K50" i="2"/>
  <c r="O43" i="2"/>
  <c r="O44" i="2" s="1"/>
  <c r="O45" i="2" s="1"/>
  <c r="O46" i="2" s="1"/>
  <c r="O47" i="2" s="1"/>
  <c r="O48" i="2" s="1"/>
  <c r="O42" i="2"/>
  <c r="O29" i="2"/>
  <c r="O30" i="2" s="1"/>
  <c r="O31" i="2" s="1"/>
  <c r="O19" i="2"/>
  <c r="O20" i="2" s="1"/>
  <c r="O21" i="2" s="1"/>
  <c r="O22" i="2" s="1"/>
  <c r="O18" i="2"/>
  <c r="O14" i="2"/>
  <c r="O6" i="2"/>
  <c r="O7" i="2" s="1"/>
  <c r="O8" i="2" s="1"/>
  <c r="O9" i="2" s="1"/>
  <c r="T52" i="2" l="1"/>
  <c r="T53" i="2" s="1"/>
  <c r="W119" i="2"/>
  <c r="X120" i="2"/>
  <c r="X121" i="2" s="1"/>
  <c r="X122" i="2" s="1"/>
  <c r="X123" i="2" s="1"/>
  <c r="X124" i="2" s="1"/>
  <c r="X125" i="2" s="1"/>
  <c r="X126" i="2" s="1"/>
  <c r="X127" i="2" s="1"/>
  <c r="X128" i="2" s="1"/>
  <c r="X129" i="2" s="1"/>
  <c r="X130" i="2" s="1"/>
  <c r="X131" i="2" s="1"/>
  <c r="X132" i="2" s="1"/>
  <c r="X133" i="2" s="1"/>
  <c r="X134" i="2" s="1"/>
  <c r="X135" i="2" s="1"/>
  <c r="X136" i="2" s="1"/>
  <c r="X137" i="2" s="1"/>
  <c r="X138" i="2" s="1"/>
  <c r="X139" i="2" s="1"/>
  <c r="X140" i="2" s="1"/>
  <c r="X141" i="2" s="1"/>
  <c r="X142" i="2" s="1"/>
  <c r="X143" i="2" s="1"/>
  <c r="X144" i="2" s="1"/>
  <c r="X145" i="2" s="1"/>
  <c r="X146" i="2" s="1"/>
  <c r="X147" i="2" s="1"/>
  <c r="X148" i="2" s="1"/>
  <c r="X149" i="2" s="1"/>
  <c r="X150" i="2" s="1"/>
  <c r="X151" i="2" s="1"/>
  <c r="X152" i="2" s="1"/>
  <c r="X153" i="2" s="1"/>
  <c r="X154" i="2" s="1"/>
  <c r="X155" i="2" s="1"/>
  <c r="X156" i="2" s="1"/>
  <c r="X157" i="2" s="1"/>
  <c r="X158" i="2" s="1"/>
  <c r="X159" i="2" s="1"/>
  <c r="X160" i="2" s="1"/>
  <c r="X161" i="2" s="1"/>
  <c r="X162" i="2" s="1"/>
  <c r="X163" i="2" s="1"/>
  <c r="X164" i="2" s="1"/>
  <c r="X165" i="2" s="1"/>
  <c r="X166" i="2" s="1"/>
  <c r="X167" i="2" s="1"/>
  <c r="X168" i="2" s="1"/>
  <c r="X169" i="2" s="1"/>
  <c r="X170" i="2" s="1"/>
  <c r="X171" i="2" s="1"/>
  <c r="X172" i="2" s="1"/>
  <c r="X173" i="2" s="1"/>
  <c r="X174" i="2" s="1"/>
  <c r="X175" i="2" s="1"/>
  <c r="X176" i="2" s="1"/>
  <c r="X177" i="2" s="1"/>
  <c r="X178" i="2" s="1"/>
  <c r="X179" i="2" s="1"/>
  <c r="X180" i="2" s="1"/>
  <c r="X181" i="2" s="1"/>
  <c r="X182" i="2" s="1"/>
  <c r="X183" i="2" s="1"/>
  <c r="X184" i="2" s="1"/>
  <c r="X185" i="2" s="1"/>
  <c r="X186" i="2" s="1"/>
  <c r="X187" i="2" s="1"/>
  <c r="X188" i="2" s="1"/>
  <c r="X189" i="2" s="1"/>
  <c r="X190" i="2" s="1"/>
  <c r="X191" i="2" s="1"/>
  <c r="X192" i="2" s="1"/>
  <c r="X193" i="2" s="1"/>
  <c r="X194" i="2" s="1"/>
  <c r="X195" i="2" s="1"/>
  <c r="X196" i="2" s="1"/>
  <c r="X197" i="2" s="1"/>
  <c r="X198" i="2" s="1"/>
  <c r="X199" i="2" s="1"/>
  <c r="X200" i="2" s="1"/>
  <c r="X201" i="2" s="1"/>
  <c r="X202" i="2" s="1"/>
  <c r="X203" i="2" s="1"/>
  <c r="X204" i="2" s="1"/>
  <c r="X205" i="2" s="1"/>
  <c r="X206" i="2" s="1"/>
  <c r="X207" i="2" s="1"/>
  <c r="X208" i="2" s="1"/>
  <c r="X209" i="2" s="1"/>
  <c r="X210" i="2" s="1"/>
  <c r="X211" i="2" s="1"/>
  <c r="X212" i="2" s="1"/>
  <c r="X213" i="2" s="1"/>
  <c r="X214" i="2" s="1"/>
  <c r="X215" i="2" s="1"/>
  <c r="X216" i="2" s="1"/>
  <c r="X217" i="2" s="1"/>
  <c r="X218" i="2" s="1"/>
  <c r="X219" i="2" s="1"/>
  <c r="X220" i="2" s="1"/>
  <c r="X221" i="2" s="1"/>
  <c r="X222" i="2" s="1"/>
  <c r="X223" i="2" s="1"/>
  <c r="X224" i="2" s="1"/>
  <c r="X225" i="2" s="1"/>
  <c r="X226" i="2" s="1"/>
  <c r="X227" i="2" s="1"/>
  <c r="X228" i="2" s="1"/>
  <c r="X229" i="2" s="1"/>
  <c r="X230" i="2" s="1"/>
  <c r="X231" i="2" s="1"/>
  <c r="X232" i="2" s="1"/>
  <c r="X233" i="2" s="1"/>
  <c r="X234" i="2" s="1"/>
  <c r="X235" i="2" s="1"/>
  <c r="X236" i="2" s="1"/>
  <c r="X237" i="2" s="1"/>
  <c r="X238" i="2" s="1"/>
  <c r="X239" i="2" s="1"/>
  <c r="X240" i="2" s="1"/>
  <c r="X241" i="2" s="1"/>
  <c r="X242" i="2" s="1"/>
  <c r="X243" i="2" s="1"/>
  <c r="X244" i="2" s="1"/>
  <c r="X245" i="2" s="1"/>
  <c r="X246" i="2" s="1"/>
  <c r="X247" i="2" s="1"/>
  <c r="X248" i="2" s="1"/>
  <c r="X249" i="2" s="1"/>
  <c r="X250" i="2" s="1"/>
  <c r="X251" i="2" s="1"/>
  <c r="X252" i="2" s="1"/>
  <c r="X253" i="2" s="1"/>
  <c r="X254" i="2" s="1"/>
  <c r="X255" i="2" s="1"/>
  <c r="X256" i="2" s="1"/>
  <c r="X257" i="2" s="1"/>
  <c r="X258" i="2" s="1"/>
  <c r="X259" i="2" s="1"/>
  <c r="X260" i="2" s="1"/>
  <c r="X261" i="2" s="1"/>
  <c r="X262" i="2" s="1"/>
  <c r="X263" i="2" s="1"/>
  <c r="X264" i="2" s="1"/>
  <c r="X265" i="2" s="1"/>
  <c r="X266" i="2" s="1"/>
  <c r="X267" i="2" s="1"/>
  <c r="X268" i="2" s="1"/>
  <c r="X269" i="2" s="1"/>
  <c r="X270" i="2" s="1"/>
  <c r="X271" i="2" s="1"/>
  <c r="X272" i="2" s="1"/>
  <c r="X273" i="2" s="1"/>
  <c r="X274" i="2" s="1"/>
  <c r="X275" i="2" s="1"/>
  <c r="X276" i="2" s="1"/>
  <c r="X277" i="2" s="1"/>
  <c r="X278" i="2" s="1"/>
  <c r="X279" i="2" s="1"/>
  <c r="X280" i="2" s="1"/>
  <c r="X281" i="2" s="1"/>
  <c r="X282" i="2" s="1"/>
  <c r="X283" i="2" s="1"/>
  <c r="X284" i="2" s="1"/>
  <c r="X285" i="2" s="1"/>
  <c r="X286" i="2" s="1"/>
  <c r="X287" i="2" s="1"/>
  <c r="X288" i="2" s="1"/>
  <c r="X289" i="2" s="1"/>
  <c r="X290" i="2" s="1"/>
  <c r="X291" i="2" s="1"/>
  <c r="X292" i="2" s="1"/>
  <c r="X293" i="2" s="1"/>
  <c r="X294" i="2" s="1"/>
  <c r="X295" i="2" s="1"/>
  <c r="X296" i="2" s="1"/>
  <c r="X297" i="2" s="1"/>
  <c r="X298" i="2" s="1"/>
  <c r="X299" i="2" s="1"/>
  <c r="X300" i="2" s="1"/>
  <c r="X301" i="2" s="1"/>
  <c r="X302" i="2" s="1"/>
  <c r="X303" i="2" s="1"/>
  <c r="X304" i="2" s="1"/>
  <c r="X305" i="2" s="1"/>
  <c r="X306" i="2" s="1"/>
  <c r="X307" i="2" s="1"/>
  <c r="X308" i="2" s="1"/>
  <c r="X309" i="2" s="1"/>
  <c r="X310" i="2" s="1"/>
  <c r="X311" i="2" s="1"/>
  <c r="X312" i="2" s="1"/>
  <c r="X313" i="2" s="1"/>
  <c r="X314" i="2" s="1"/>
  <c r="X315" i="2" s="1"/>
  <c r="X316" i="2" s="1"/>
  <c r="X317" i="2" s="1"/>
  <c r="X318" i="2" s="1"/>
  <c r="X319" i="2" s="1"/>
  <c r="X320" i="2" s="1"/>
  <c r="X321" i="2" s="1"/>
  <c r="X322" i="2" s="1"/>
  <c r="X323" i="2" s="1"/>
  <c r="X324" i="2" s="1"/>
  <c r="X325" i="2" s="1"/>
  <c r="X326" i="2" s="1"/>
  <c r="X327" i="2" s="1"/>
  <c r="X328" i="2" s="1"/>
  <c r="X329" i="2" s="1"/>
  <c r="X330" i="2" s="1"/>
  <c r="X331" i="2" s="1"/>
  <c r="X332" i="2" s="1"/>
  <c r="X333" i="2" s="1"/>
  <c r="X334" i="2" s="1"/>
  <c r="X335" i="2" s="1"/>
  <c r="X336" i="2" s="1"/>
  <c r="X337" i="2" s="1"/>
  <c r="X338" i="2" s="1"/>
  <c r="X339" i="2" s="1"/>
  <c r="X340" i="2" s="1"/>
  <c r="T60" i="2"/>
  <c r="T61" i="2" s="1"/>
  <c r="T62" i="2" s="1"/>
  <c r="T63" i="2" s="1"/>
  <c r="T64" i="2" s="1"/>
  <c r="T65" i="2" s="1"/>
  <c r="T66" i="2" s="1"/>
  <c r="T67" i="2" s="1"/>
  <c r="T68" i="2" s="1"/>
  <c r="T69" i="2" s="1"/>
  <c r="T70" i="2" s="1"/>
  <c r="T71" i="2" s="1"/>
  <c r="T72" i="2" s="1"/>
  <c r="T73" i="2" s="1"/>
  <c r="T74" i="2" s="1"/>
  <c r="T75" i="2" s="1"/>
  <c r="T76" i="2" s="1"/>
  <c r="T77" i="2" s="1"/>
  <c r="T78" i="2" s="1"/>
  <c r="T79" i="2" s="1"/>
  <c r="T80" i="2" s="1"/>
  <c r="T81" i="2" s="1"/>
  <c r="T82" i="2" s="1"/>
  <c r="T83" i="2" s="1"/>
  <c r="T84" i="2" s="1"/>
  <c r="T85" i="2" s="1"/>
  <c r="T86" i="2" s="1"/>
  <c r="T87" i="2" s="1"/>
  <c r="T88" i="2" s="1"/>
  <c r="T89" i="2" s="1"/>
  <c r="T90" i="2" s="1"/>
  <c r="T91" i="2" s="1"/>
  <c r="T92" i="2" s="1"/>
  <c r="T93" i="2" s="1"/>
  <c r="T94" i="2" s="1"/>
  <c r="T95" i="2" s="1"/>
  <c r="T96" i="2" s="1"/>
  <c r="T97" i="2" s="1"/>
  <c r="T98" i="2" s="1"/>
  <c r="T99" i="2" s="1"/>
  <c r="T100" i="2" s="1"/>
  <c r="T101" i="2" s="1"/>
  <c r="T102" i="2" s="1"/>
  <c r="T103" i="2" s="1"/>
  <c r="T104" i="2" s="1"/>
  <c r="T105" i="2" s="1"/>
  <c r="T106" i="2" s="1"/>
  <c r="T107" i="2" s="1"/>
  <c r="T108" i="2" s="1"/>
  <c r="T109" i="2" s="1"/>
  <c r="T110" i="2" s="1"/>
  <c r="T111" i="2" s="1"/>
  <c r="T112" i="2" s="1"/>
  <c r="T113" i="2" s="1"/>
  <c r="T114" i="2" s="1"/>
  <c r="T115" i="2" s="1"/>
  <c r="T116" i="2" s="1"/>
  <c r="T117" i="2" s="1"/>
  <c r="T118" i="2" s="1"/>
  <c r="T119" i="2" s="1"/>
  <c r="T120" i="2" s="1"/>
  <c r="U317" i="2"/>
  <c r="U319" i="2" s="1"/>
  <c r="U315" i="2"/>
  <c r="U135" i="1"/>
  <c r="U319" i="1"/>
  <c r="U298" i="1"/>
  <c r="U277" i="1"/>
  <c r="U256" i="1"/>
  <c r="U182" i="1"/>
  <c r="U63" i="1"/>
  <c r="U59" i="2" l="1"/>
  <c r="U129" i="2"/>
  <c r="T121" i="2"/>
  <c r="T122" i="2" s="1"/>
  <c r="T123" i="2" s="1"/>
  <c r="T124" i="2" s="1"/>
  <c r="T125" i="2" s="1"/>
  <c r="T126" i="2" s="1"/>
  <c r="T127" i="2" s="1"/>
  <c r="T128" i="2" s="1"/>
  <c r="T129" i="2" s="1"/>
  <c r="T130" i="2" s="1"/>
  <c r="T131" i="2" s="1"/>
  <c r="T132" i="2" s="1"/>
  <c r="T133" i="2" s="1"/>
  <c r="T134" i="2" s="1"/>
  <c r="T135" i="2" s="1"/>
  <c r="T136" i="2" s="1"/>
  <c r="T137" i="2" s="1"/>
  <c r="T138" i="2" s="1"/>
  <c r="T139" i="2" s="1"/>
  <c r="T140" i="2" s="1"/>
  <c r="T141" i="2" s="1"/>
  <c r="T142" i="2" s="1"/>
  <c r="T143" i="2" s="1"/>
  <c r="T144" i="2" s="1"/>
  <c r="T145" i="2" s="1"/>
  <c r="T146" i="2" s="1"/>
  <c r="T147" i="2" s="1"/>
  <c r="T148" i="2" s="1"/>
  <c r="T149" i="2" s="1"/>
  <c r="T150" i="2" s="1"/>
  <c r="T151" i="2" s="1"/>
  <c r="T152" i="2" s="1"/>
  <c r="T153" i="2" s="1"/>
  <c r="T154" i="2" s="1"/>
  <c r="T155" i="2" s="1"/>
  <c r="T156" i="2" s="1"/>
  <c r="T157" i="2" s="1"/>
  <c r="T158" i="2" s="1"/>
  <c r="T159" i="2" s="1"/>
  <c r="T160" i="2" s="1"/>
  <c r="T161" i="2" s="1"/>
  <c r="T162" i="2" s="1"/>
  <c r="T163" i="2" s="1"/>
  <c r="T164" i="2" s="1"/>
  <c r="T165" i="2" s="1"/>
  <c r="T166" i="2" s="1"/>
  <c r="T167" i="2" s="1"/>
  <c r="T168" i="2" s="1"/>
  <c r="T169" i="2" s="1"/>
  <c r="U61" i="2"/>
  <c r="U63" i="2" s="1"/>
  <c r="T114" i="1"/>
  <c r="Q340" i="1"/>
  <c r="R340" i="1" s="1"/>
  <c r="S340" i="1" s="1"/>
  <c r="Q339" i="1"/>
  <c r="R339" i="1" s="1"/>
  <c r="S339" i="1" s="1"/>
  <c r="Q338" i="1"/>
  <c r="R338" i="1" s="1"/>
  <c r="S338" i="1" s="1"/>
  <c r="Q337" i="1"/>
  <c r="R337" i="1" s="1"/>
  <c r="S337" i="1" s="1"/>
  <c r="Q336" i="1"/>
  <c r="R336" i="1" s="1"/>
  <c r="S336" i="1" s="1"/>
  <c r="Q335" i="1"/>
  <c r="R335" i="1" s="1"/>
  <c r="S335" i="1" s="1"/>
  <c r="Y334" i="1"/>
  <c r="Y335" i="1" s="1"/>
  <c r="Y336" i="1" s="1"/>
  <c r="Y337" i="1" s="1"/>
  <c r="Y338" i="1" s="1"/>
  <c r="Y339" i="1" s="1"/>
  <c r="Y340" i="1" s="1"/>
  <c r="S334" i="1"/>
  <c r="Q334" i="1"/>
  <c r="R334" i="1" s="1"/>
  <c r="H334" i="1"/>
  <c r="H335" i="1" s="1"/>
  <c r="H336" i="1" s="1"/>
  <c r="H337" i="1" s="1"/>
  <c r="H338" i="1" s="1"/>
  <c r="H339" i="1" s="1"/>
  <c r="H340" i="1" s="1"/>
  <c r="Q333" i="1"/>
  <c r="R333" i="1" s="1"/>
  <c r="S333" i="1" s="1"/>
  <c r="Q332" i="1"/>
  <c r="R332" i="1" s="1"/>
  <c r="S332" i="1" s="1"/>
  <c r="Q331" i="1"/>
  <c r="R331" i="1" s="1"/>
  <c r="S331" i="1" s="1"/>
  <c r="Q330" i="1"/>
  <c r="R330" i="1" s="1"/>
  <c r="S330" i="1" s="1"/>
  <c r="Q329" i="1"/>
  <c r="R329" i="1" s="1"/>
  <c r="S329" i="1" s="1"/>
  <c r="Q328" i="1"/>
  <c r="R328" i="1" s="1"/>
  <c r="S328" i="1" s="1"/>
  <c r="Q327" i="1"/>
  <c r="R327" i="1" s="1"/>
  <c r="S327" i="1" s="1"/>
  <c r="Q326" i="1"/>
  <c r="R326" i="1" s="1"/>
  <c r="S326" i="1" s="1"/>
  <c r="Q325" i="1"/>
  <c r="R325" i="1" s="1"/>
  <c r="S325" i="1" s="1"/>
  <c r="Q324" i="1"/>
  <c r="R324" i="1" s="1"/>
  <c r="S324" i="1" s="1"/>
  <c r="Q323" i="1"/>
  <c r="R323" i="1" s="1"/>
  <c r="S323" i="1" s="1"/>
  <c r="Q322" i="1"/>
  <c r="R322" i="1" s="1"/>
  <c r="S322" i="1" s="1"/>
  <c r="Q321" i="1"/>
  <c r="R321" i="1" s="1"/>
  <c r="S321" i="1" s="1"/>
  <c r="O321" i="1"/>
  <c r="O322" i="1" s="1"/>
  <c r="O323" i="1" s="1"/>
  <c r="O324" i="1" s="1"/>
  <c r="O325" i="1" s="1"/>
  <c r="O326" i="1" s="1"/>
  <c r="O327" i="1" s="1"/>
  <c r="O328" i="1" s="1"/>
  <c r="O329" i="1" s="1"/>
  <c r="O330" i="1" s="1"/>
  <c r="O331" i="1" s="1"/>
  <c r="O332" i="1" s="1"/>
  <c r="O333" i="1" s="1"/>
  <c r="O334" i="1" s="1"/>
  <c r="Q320" i="1"/>
  <c r="R320" i="1" s="1"/>
  <c r="S320" i="1" s="1"/>
  <c r="Q319" i="1"/>
  <c r="R319" i="1" s="1"/>
  <c r="S319" i="1" s="1"/>
  <c r="R318" i="1"/>
  <c r="S318" i="1" s="1"/>
  <c r="Q318" i="1"/>
  <c r="Q317" i="1"/>
  <c r="R317" i="1" s="1"/>
  <c r="S317" i="1" s="1"/>
  <c r="Q316" i="1"/>
  <c r="R316" i="1" s="1"/>
  <c r="S316" i="1" s="1"/>
  <c r="R315" i="1"/>
  <c r="S315" i="1" s="1"/>
  <c r="Q315" i="1"/>
  <c r="Q314" i="1"/>
  <c r="R314" i="1" s="1"/>
  <c r="S314" i="1" s="1"/>
  <c r="Q313" i="1"/>
  <c r="R313" i="1" s="1"/>
  <c r="S313" i="1" s="1"/>
  <c r="T313" i="1" s="1"/>
  <c r="O313" i="1"/>
  <c r="O314" i="1" s="1"/>
  <c r="O315" i="1" s="1"/>
  <c r="O316" i="1" s="1"/>
  <c r="O317" i="1" s="1"/>
  <c r="O318" i="1" s="1"/>
  <c r="R312" i="1"/>
  <c r="S312" i="1" s="1"/>
  <c r="Q312" i="1"/>
  <c r="Q311" i="1"/>
  <c r="R311" i="1" s="1"/>
  <c r="S311" i="1" s="1"/>
  <c r="I311" i="1"/>
  <c r="Q310" i="1"/>
  <c r="R310" i="1" s="1"/>
  <c r="S310" i="1" s="1"/>
  <c r="Z309" i="1"/>
  <c r="Q309" i="1"/>
  <c r="R309" i="1" s="1"/>
  <c r="S309" i="1" s="1"/>
  <c r="I309" i="1"/>
  <c r="Q308" i="1"/>
  <c r="R308" i="1" s="1"/>
  <c r="S308" i="1" s="1"/>
  <c r="T308" i="1" s="1"/>
  <c r="H308" i="1"/>
  <c r="H309" i="1" s="1"/>
  <c r="H310" i="1" s="1"/>
  <c r="H311" i="1" s="1"/>
  <c r="H312" i="1" s="1"/>
  <c r="H313" i="1" s="1"/>
  <c r="H314" i="1" s="1"/>
  <c r="H315" i="1" s="1"/>
  <c r="H316" i="1" s="1"/>
  <c r="H317" i="1" s="1"/>
  <c r="H318" i="1" s="1"/>
  <c r="H319" i="1" s="1"/>
  <c r="H320" i="1" s="1"/>
  <c r="H321" i="1" s="1"/>
  <c r="H322" i="1" s="1"/>
  <c r="H323" i="1" s="1"/>
  <c r="H324" i="1" s="1"/>
  <c r="H325" i="1" s="1"/>
  <c r="H326" i="1" s="1"/>
  <c r="H327" i="1" s="1"/>
  <c r="H328" i="1" s="1"/>
  <c r="H329" i="1" s="1"/>
  <c r="H330" i="1" s="1"/>
  <c r="H331" i="1" s="1"/>
  <c r="H332" i="1" s="1"/>
  <c r="Y307" i="1"/>
  <c r="Y308" i="1" s="1"/>
  <c r="Y309" i="1" s="1"/>
  <c r="Y310" i="1" s="1"/>
  <c r="Y311" i="1" s="1"/>
  <c r="Y312" i="1" s="1"/>
  <c r="Y313" i="1" s="1"/>
  <c r="Y314" i="1" s="1"/>
  <c r="Y315" i="1" s="1"/>
  <c r="Y316" i="1" s="1"/>
  <c r="Y317" i="1" s="1"/>
  <c r="Y318" i="1" s="1"/>
  <c r="Y319" i="1" s="1"/>
  <c r="Y320" i="1" s="1"/>
  <c r="Y321" i="1" s="1"/>
  <c r="Y322" i="1" s="1"/>
  <c r="Y323" i="1" s="1"/>
  <c r="Y324" i="1" s="1"/>
  <c r="Y325" i="1" s="1"/>
  <c r="Y326" i="1" s="1"/>
  <c r="Y327" i="1" s="1"/>
  <c r="Y328" i="1" s="1"/>
  <c r="Y329" i="1" s="1"/>
  <c r="Y330" i="1" s="1"/>
  <c r="Y331" i="1" s="1"/>
  <c r="Y332" i="1" s="1"/>
  <c r="Q307" i="1"/>
  <c r="R307" i="1" s="1"/>
  <c r="S307" i="1" s="1"/>
  <c r="I307" i="1"/>
  <c r="H307" i="1"/>
  <c r="Q306" i="1"/>
  <c r="R306" i="1" s="1"/>
  <c r="S306" i="1" s="1"/>
  <c r="Q305" i="1"/>
  <c r="R305" i="1" s="1"/>
  <c r="S305" i="1" s="1"/>
  <c r="Q304" i="1"/>
  <c r="R304" i="1" s="1"/>
  <c r="S304" i="1" s="1"/>
  <c r="Q303" i="1"/>
  <c r="R303" i="1" s="1"/>
  <c r="S303" i="1" s="1"/>
  <c r="R302" i="1"/>
  <c r="S302" i="1" s="1"/>
  <c r="Q302" i="1"/>
  <c r="Q301" i="1"/>
  <c r="R301" i="1" s="1"/>
  <c r="S301" i="1" s="1"/>
  <c r="Q300" i="1"/>
  <c r="R300" i="1" s="1"/>
  <c r="S300" i="1" s="1"/>
  <c r="Q299" i="1"/>
  <c r="R299" i="1" s="1"/>
  <c r="S299" i="1" s="1"/>
  <c r="Q298" i="1"/>
  <c r="R298" i="1" s="1"/>
  <c r="S298" i="1" s="1"/>
  <c r="Q297" i="1"/>
  <c r="R297" i="1" s="1"/>
  <c r="S297" i="1" s="1"/>
  <c r="Q296" i="1"/>
  <c r="R296" i="1" s="1"/>
  <c r="S296" i="1" s="1"/>
  <c r="Q295" i="1"/>
  <c r="R295" i="1" s="1"/>
  <c r="S295" i="1" s="1"/>
  <c r="Q294" i="1"/>
  <c r="R294" i="1" s="1"/>
  <c r="S294" i="1" s="1"/>
  <c r="Y293" i="1"/>
  <c r="Y294" i="1" s="1"/>
  <c r="Y295" i="1" s="1"/>
  <c r="Y296" i="1" s="1"/>
  <c r="Y297" i="1" s="1"/>
  <c r="Y298" i="1" s="1"/>
  <c r="Y299" i="1" s="1"/>
  <c r="Y300" i="1" s="1"/>
  <c r="Y301" i="1" s="1"/>
  <c r="Y302" i="1" s="1"/>
  <c r="Y303" i="1" s="1"/>
  <c r="Y304" i="1" s="1"/>
  <c r="Y305" i="1" s="1"/>
  <c r="Q293" i="1"/>
  <c r="R293" i="1" s="1"/>
  <c r="S293" i="1" s="1"/>
  <c r="Q292" i="1"/>
  <c r="R292" i="1" s="1"/>
  <c r="S292" i="1" s="1"/>
  <c r="Q291" i="1"/>
  <c r="R291" i="1" s="1"/>
  <c r="S291" i="1" s="1"/>
  <c r="Q290" i="1"/>
  <c r="R290" i="1" s="1"/>
  <c r="S290" i="1" s="1"/>
  <c r="I290" i="1"/>
  <c r="Q289" i="1"/>
  <c r="R289" i="1" s="1"/>
  <c r="S289" i="1" s="1"/>
  <c r="Z288" i="1"/>
  <c r="Q288" i="1"/>
  <c r="R288" i="1" s="1"/>
  <c r="S288" i="1" s="1"/>
  <c r="I288" i="1"/>
  <c r="Q287" i="1"/>
  <c r="R287" i="1" s="1"/>
  <c r="S287" i="1" s="1"/>
  <c r="Y286" i="1"/>
  <c r="Y287" i="1" s="1"/>
  <c r="Y288" i="1" s="1"/>
  <c r="Y289" i="1" s="1"/>
  <c r="Y290" i="1" s="1"/>
  <c r="Y291" i="1" s="1"/>
  <c r="Y292" i="1" s="1"/>
  <c r="Q286" i="1"/>
  <c r="R286" i="1" s="1"/>
  <c r="S286" i="1" s="1"/>
  <c r="I286" i="1"/>
  <c r="H286" i="1"/>
  <c r="H287" i="1" s="1"/>
  <c r="H288" i="1" s="1"/>
  <c r="H289" i="1" s="1"/>
  <c r="H290" i="1" s="1"/>
  <c r="H291" i="1" s="1"/>
  <c r="H292" i="1" s="1"/>
  <c r="H293" i="1" s="1"/>
  <c r="H294" i="1" s="1"/>
  <c r="H295" i="1" s="1"/>
  <c r="H296" i="1" s="1"/>
  <c r="H297" i="1" s="1"/>
  <c r="H298" i="1" s="1"/>
  <c r="H299" i="1" s="1"/>
  <c r="H300" i="1" s="1"/>
  <c r="H301" i="1" s="1"/>
  <c r="H302" i="1" s="1"/>
  <c r="H303" i="1" s="1"/>
  <c r="H304" i="1" s="1"/>
  <c r="H305" i="1" s="1"/>
  <c r="Q285" i="1"/>
  <c r="R285" i="1" s="1"/>
  <c r="S285" i="1" s="1"/>
  <c r="R284" i="1"/>
  <c r="S284" i="1" s="1"/>
  <c r="S283" i="1"/>
  <c r="R283" i="1"/>
  <c r="R282" i="1"/>
  <c r="S282" i="1" s="1"/>
  <c r="R281" i="1"/>
  <c r="S281" i="1" s="1"/>
  <c r="S280" i="1"/>
  <c r="R280" i="1"/>
  <c r="R279" i="1"/>
  <c r="S279" i="1" s="1"/>
  <c r="R278" i="1"/>
  <c r="S278" i="1" s="1"/>
  <c r="R277" i="1"/>
  <c r="S277" i="1" s="1"/>
  <c r="R276" i="1"/>
  <c r="S276" i="1" s="1"/>
  <c r="R275" i="1"/>
  <c r="S275" i="1" s="1"/>
  <c r="R274" i="1"/>
  <c r="S274" i="1" s="1"/>
  <c r="S273" i="1"/>
  <c r="R273" i="1"/>
  <c r="R272" i="1"/>
  <c r="S272" i="1" s="1"/>
  <c r="R271" i="1"/>
  <c r="S271" i="1" s="1"/>
  <c r="R270" i="1"/>
  <c r="S270" i="1" s="1"/>
  <c r="R269" i="1"/>
  <c r="S269" i="1" s="1"/>
  <c r="I269" i="1"/>
  <c r="R268" i="1"/>
  <c r="S268" i="1" s="1"/>
  <c r="Z267" i="1"/>
  <c r="R267" i="1"/>
  <c r="S267" i="1" s="1"/>
  <c r="S266" i="1"/>
  <c r="R266" i="1"/>
  <c r="Y265" i="1"/>
  <c r="Y266" i="1" s="1"/>
  <c r="Y267" i="1" s="1"/>
  <c r="Y268" i="1" s="1"/>
  <c r="Y269" i="1" s="1"/>
  <c r="Y270" i="1" s="1"/>
  <c r="Y271" i="1" s="1"/>
  <c r="Y272" i="1" s="1"/>
  <c r="Y273" i="1" s="1"/>
  <c r="Y274" i="1" s="1"/>
  <c r="Y275" i="1" s="1"/>
  <c r="Y276" i="1" s="1"/>
  <c r="Y277" i="1" s="1"/>
  <c r="Y278" i="1" s="1"/>
  <c r="Y279" i="1" s="1"/>
  <c r="Y280" i="1" s="1"/>
  <c r="Y281" i="1" s="1"/>
  <c r="Y282" i="1" s="1"/>
  <c r="Y283" i="1" s="1"/>
  <c r="Y284" i="1" s="1"/>
  <c r="S265" i="1"/>
  <c r="R265" i="1"/>
  <c r="H265" i="1"/>
  <c r="H266" i="1" s="1"/>
  <c r="H267" i="1" s="1"/>
  <c r="H268" i="1" s="1"/>
  <c r="H269" i="1" s="1"/>
  <c r="H270" i="1" s="1"/>
  <c r="H271" i="1" s="1"/>
  <c r="H272" i="1" s="1"/>
  <c r="H273" i="1" s="1"/>
  <c r="H274" i="1" s="1"/>
  <c r="H275" i="1" s="1"/>
  <c r="H276" i="1" s="1"/>
  <c r="H277" i="1" s="1"/>
  <c r="H278" i="1" s="1"/>
  <c r="H279" i="1" s="1"/>
  <c r="H280" i="1" s="1"/>
  <c r="H281" i="1" s="1"/>
  <c r="H282" i="1" s="1"/>
  <c r="H283" i="1" s="1"/>
  <c r="H284" i="1" s="1"/>
  <c r="R264" i="1"/>
  <c r="S264" i="1" s="1"/>
  <c r="R263" i="1"/>
  <c r="S263" i="1" s="1"/>
  <c r="R262" i="1"/>
  <c r="S262" i="1" s="1"/>
  <c r="R261" i="1"/>
  <c r="S261" i="1" s="1"/>
  <c r="S260" i="1"/>
  <c r="R260" i="1"/>
  <c r="R259" i="1"/>
  <c r="S259" i="1" s="1"/>
  <c r="R258" i="1"/>
  <c r="S258" i="1" s="1"/>
  <c r="R257" i="1"/>
  <c r="S257" i="1" s="1"/>
  <c r="S256" i="1"/>
  <c r="R256" i="1"/>
  <c r="R255" i="1"/>
  <c r="S255" i="1" s="1"/>
  <c r="R254" i="1"/>
  <c r="S254" i="1" s="1"/>
  <c r="R253" i="1"/>
  <c r="S253" i="1" s="1"/>
  <c r="R252" i="1"/>
  <c r="S252" i="1" s="1"/>
  <c r="R251" i="1"/>
  <c r="S251" i="1" s="1"/>
  <c r="R250" i="1"/>
  <c r="S250" i="1" s="1"/>
  <c r="R249" i="1"/>
  <c r="S249" i="1" s="1"/>
  <c r="R248" i="1"/>
  <c r="S248" i="1" s="1"/>
  <c r="I248" i="1"/>
  <c r="R247" i="1"/>
  <c r="S247" i="1" s="1"/>
  <c r="Z246" i="1"/>
  <c r="R246" i="1"/>
  <c r="S246" i="1" s="1"/>
  <c r="R245" i="1"/>
  <c r="S245" i="1" s="1"/>
  <c r="Y244" i="1"/>
  <c r="Y245" i="1" s="1"/>
  <c r="Y246" i="1" s="1"/>
  <c r="Y247" i="1" s="1"/>
  <c r="Y248" i="1" s="1"/>
  <c r="Y249" i="1" s="1"/>
  <c r="Y250" i="1" s="1"/>
  <c r="Y251" i="1" s="1"/>
  <c r="Y252" i="1" s="1"/>
  <c r="Y253" i="1" s="1"/>
  <c r="Y254" i="1" s="1"/>
  <c r="Y255" i="1" s="1"/>
  <c r="Y256" i="1" s="1"/>
  <c r="Y257" i="1" s="1"/>
  <c r="Y258" i="1" s="1"/>
  <c r="Y259" i="1" s="1"/>
  <c r="Y260" i="1" s="1"/>
  <c r="Y261" i="1" s="1"/>
  <c r="Y262" i="1" s="1"/>
  <c r="Y263" i="1" s="1"/>
  <c r="R244" i="1"/>
  <c r="S244" i="1" s="1"/>
  <c r="H244" i="1"/>
  <c r="H245" i="1" s="1"/>
  <c r="H246" i="1" s="1"/>
  <c r="H247" i="1" s="1"/>
  <c r="H248" i="1" s="1"/>
  <c r="H249" i="1" s="1"/>
  <c r="H250" i="1" s="1"/>
  <c r="H251" i="1" s="1"/>
  <c r="H252" i="1" s="1"/>
  <c r="H253" i="1" s="1"/>
  <c r="H254" i="1" s="1"/>
  <c r="H255" i="1" s="1"/>
  <c r="H256" i="1" s="1"/>
  <c r="H257" i="1" s="1"/>
  <c r="H258" i="1" s="1"/>
  <c r="H259" i="1" s="1"/>
  <c r="H260" i="1" s="1"/>
  <c r="H261" i="1" s="1"/>
  <c r="H262" i="1" s="1"/>
  <c r="H263" i="1" s="1"/>
  <c r="S243" i="1"/>
  <c r="R243" i="1"/>
  <c r="Q242" i="1"/>
  <c r="R242" i="1" s="1"/>
  <c r="S242" i="1" s="1"/>
  <c r="R241" i="1"/>
  <c r="S241" i="1" s="1"/>
  <c r="Q241" i="1"/>
  <c r="Q240" i="1"/>
  <c r="R240" i="1" s="1"/>
  <c r="S240" i="1" s="1"/>
  <c r="Q239" i="1"/>
  <c r="R239" i="1" s="1"/>
  <c r="S239" i="1" s="1"/>
  <c r="Q238" i="1"/>
  <c r="R238" i="1" s="1"/>
  <c r="S238" i="1" s="1"/>
  <c r="Q237" i="1"/>
  <c r="R237" i="1" s="1"/>
  <c r="S237" i="1" s="1"/>
  <c r="Q236" i="1"/>
  <c r="R236" i="1" s="1"/>
  <c r="S236" i="1" s="1"/>
  <c r="Q235" i="1"/>
  <c r="R235" i="1" s="1"/>
  <c r="S235" i="1" s="1"/>
  <c r="S234" i="1"/>
  <c r="R234" i="1"/>
  <c r="Q234" i="1"/>
  <c r="Q233" i="1"/>
  <c r="R233" i="1" s="1"/>
  <c r="S233" i="1" s="1"/>
  <c r="Q232" i="1"/>
  <c r="R232" i="1" s="1"/>
  <c r="S232" i="1" s="1"/>
  <c r="Q231" i="1"/>
  <c r="R231" i="1" s="1"/>
  <c r="S231" i="1" s="1"/>
  <c r="Q230" i="1"/>
  <c r="R230" i="1" s="1"/>
  <c r="S230" i="1" s="1"/>
  <c r="Q229" i="1"/>
  <c r="R229" i="1" s="1"/>
  <c r="S229" i="1" s="1"/>
  <c r="Q228" i="1"/>
  <c r="R228" i="1" s="1"/>
  <c r="S228" i="1" s="1"/>
  <c r="Q227" i="1"/>
  <c r="R227" i="1" s="1"/>
  <c r="S227" i="1" s="1"/>
  <c r="Q226" i="1"/>
  <c r="R226" i="1" s="1"/>
  <c r="S226" i="1" s="1"/>
  <c r="Q225" i="1"/>
  <c r="R225" i="1" s="1"/>
  <c r="S225" i="1" s="1"/>
  <c r="Q224" i="1"/>
  <c r="R224" i="1" s="1"/>
  <c r="S224" i="1" s="1"/>
  <c r="Q223" i="1"/>
  <c r="R223" i="1" s="1"/>
  <c r="S223" i="1" s="1"/>
  <c r="Q222" i="1"/>
  <c r="R222" i="1" s="1"/>
  <c r="S222" i="1" s="1"/>
  <c r="Q221" i="1"/>
  <c r="R221" i="1" s="1"/>
  <c r="S221" i="1" s="1"/>
  <c r="R220" i="1"/>
  <c r="S220" i="1" s="1"/>
  <c r="Q220" i="1"/>
  <c r="Q219" i="1"/>
  <c r="R219" i="1" s="1"/>
  <c r="S219" i="1" s="1"/>
  <c r="Q218" i="1"/>
  <c r="R218" i="1" s="1"/>
  <c r="S218" i="1" s="1"/>
  <c r="Q217" i="1"/>
  <c r="R217" i="1" s="1"/>
  <c r="S217" i="1" s="1"/>
  <c r="O217" i="1"/>
  <c r="O218" i="1" s="1"/>
  <c r="O219" i="1" s="1"/>
  <c r="O220" i="1" s="1"/>
  <c r="O221" i="1" s="1"/>
  <c r="O222" i="1" s="1"/>
  <c r="O223" i="1" s="1"/>
  <c r="O224" i="1" s="1"/>
  <c r="O225" i="1" s="1"/>
  <c r="O226" i="1" s="1"/>
  <c r="O227" i="1" s="1"/>
  <c r="O228" i="1" s="1"/>
  <c r="O229" i="1" s="1"/>
  <c r="O230" i="1" s="1"/>
  <c r="O231" i="1" s="1"/>
  <c r="O232" i="1" s="1"/>
  <c r="O233" i="1" s="1"/>
  <c r="O234" i="1" s="1"/>
  <c r="O235" i="1" s="1"/>
  <c r="O236" i="1" s="1"/>
  <c r="O237" i="1" s="1"/>
  <c r="O238" i="1" s="1"/>
  <c r="O239" i="1" s="1"/>
  <c r="O240" i="1" s="1"/>
  <c r="O241" i="1" s="1"/>
  <c r="O242" i="1" s="1"/>
  <c r="O243" i="1" s="1"/>
  <c r="O244" i="1" s="1"/>
  <c r="O245" i="1" s="1"/>
  <c r="O246" i="1" s="1"/>
  <c r="O247" i="1" s="1"/>
  <c r="O248" i="1" s="1"/>
  <c r="O249" i="1" s="1"/>
  <c r="O250" i="1" s="1"/>
  <c r="O251" i="1" s="1"/>
  <c r="O252" i="1" s="1"/>
  <c r="O253" i="1" s="1"/>
  <c r="O254" i="1" s="1"/>
  <c r="O255" i="1" s="1"/>
  <c r="O256" i="1" s="1"/>
  <c r="O257" i="1" s="1"/>
  <c r="O258" i="1" s="1"/>
  <c r="O259" i="1" s="1"/>
  <c r="O260" i="1" s="1"/>
  <c r="O261" i="1" s="1"/>
  <c r="O262" i="1" s="1"/>
  <c r="O263" i="1" s="1"/>
  <c r="O264" i="1" s="1"/>
  <c r="O265" i="1" s="1"/>
  <c r="O266" i="1" s="1"/>
  <c r="O267" i="1" s="1"/>
  <c r="O268" i="1" s="1"/>
  <c r="O269" i="1" s="1"/>
  <c r="O270" i="1" s="1"/>
  <c r="O271" i="1" s="1"/>
  <c r="O272" i="1" s="1"/>
  <c r="O273" i="1" s="1"/>
  <c r="O274" i="1" s="1"/>
  <c r="O275" i="1" s="1"/>
  <c r="O276" i="1" s="1"/>
  <c r="O277" i="1" s="1"/>
  <c r="O278" i="1" s="1"/>
  <c r="O279" i="1" s="1"/>
  <c r="O280" i="1" s="1"/>
  <c r="O281" i="1" s="1"/>
  <c r="O282" i="1" s="1"/>
  <c r="O283" i="1" s="1"/>
  <c r="O284" i="1" s="1"/>
  <c r="O285" i="1" s="1"/>
  <c r="O286" i="1" s="1"/>
  <c r="O287" i="1" s="1"/>
  <c r="O288" i="1" s="1"/>
  <c r="O289" i="1" s="1"/>
  <c r="O290" i="1" s="1"/>
  <c r="O291" i="1" s="1"/>
  <c r="O292" i="1" s="1"/>
  <c r="O293" i="1" s="1"/>
  <c r="O294" i="1" s="1"/>
  <c r="O295" i="1" s="1"/>
  <c r="O296" i="1" s="1"/>
  <c r="O297" i="1" s="1"/>
  <c r="O298" i="1" s="1"/>
  <c r="O299" i="1" s="1"/>
  <c r="O300" i="1" s="1"/>
  <c r="O301" i="1" s="1"/>
  <c r="O302" i="1" s="1"/>
  <c r="O303" i="1" s="1"/>
  <c r="O304" i="1" s="1"/>
  <c r="O305" i="1" s="1"/>
  <c r="O306" i="1" s="1"/>
  <c r="O307" i="1" s="1"/>
  <c r="O308" i="1" s="1"/>
  <c r="O309" i="1" s="1"/>
  <c r="O310" i="1" s="1"/>
  <c r="R216" i="1"/>
  <c r="S216" i="1" s="1"/>
  <c r="Q216" i="1"/>
  <c r="Q215" i="1"/>
  <c r="R215" i="1" s="1"/>
  <c r="S215" i="1" s="1"/>
  <c r="R214" i="1"/>
  <c r="S214" i="1" s="1"/>
  <c r="Q214" i="1"/>
  <c r="Q213" i="1"/>
  <c r="R213" i="1" s="1"/>
  <c r="S213" i="1" s="1"/>
  <c r="O213" i="1"/>
  <c r="Q212" i="1"/>
  <c r="R212" i="1" s="1"/>
  <c r="S212" i="1" s="1"/>
  <c r="Q211" i="1"/>
  <c r="R211" i="1" s="1"/>
  <c r="S211" i="1" s="1"/>
  <c r="Q210" i="1"/>
  <c r="R210" i="1" s="1"/>
  <c r="S210" i="1" s="1"/>
  <c r="Q209" i="1"/>
  <c r="R209" i="1" s="1"/>
  <c r="S209" i="1" s="1"/>
  <c r="Q208" i="1"/>
  <c r="R208" i="1" s="1"/>
  <c r="S208" i="1" s="1"/>
  <c r="O208" i="1"/>
  <c r="Q207" i="1"/>
  <c r="R207" i="1" s="1"/>
  <c r="S207" i="1" s="1"/>
  <c r="Q206" i="1"/>
  <c r="R206" i="1" s="1"/>
  <c r="S206" i="1" s="1"/>
  <c r="Q205" i="1"/>
  <c r="R205" i="1" s="1"/>
  <c r="S205" i="1" s="1"/>
  <c r="R204" i="1"/>
  <c r="S204" i="1" s="1"/>
  <c r="Q204" i="1"/>
  <c r="Q203" i="1"/>
  <c r="R203" i="1" s="1"/>
  <c r="S203" i="1" s="1"/>
  <c r="Q202" i="1"/>
  <c r="R202" i="1" s="1"/>
  <c r="S202" i="1" s="1"/>
  <c r="Q201" i="1"/>
  <c r="R201" i="1" s="1"/>
  <c r="S201" i="1" s="1"/>
  <c r="Q200" i="1"/>
  <c r="R200" i="1" s="1"/>
  <c r="S200" i="1" s="1"/>
  <c r="Q199" i="1"/>
  <c r="R199" i="1" s="1"/>
  <c r="S199" i="1" s="1"/>
  <c r="Q198" i="1"/>
  <c r="R198" i="1" s="1"/>
  <c r="S198" i="1" s="1"/>
  <c r="Q197" i="1"/>
  <c r="R197" i="1" s="1"/>
  <c r="S197" i="1" s="1"/>
  <c r="Q196" i="1"/>
  <c r="R196" i="1" s="1"/>
  <c r="S196" i="1" s="1"/>
  <c r="Q195" i="1"/>
  <c r="R195" i="1" s="1"/>
  <c r="S195" i="1" s="1"/>
  <c r="R194" i="1"/>
  <c r="S194" i="1" s="1"/>
  <c r="Q194" i="1"/>
  <c r="Q193" i="1"/>
  <c r="R193" i="1" s="1"/>
  <c r="S193" i="1" s="1"/>
  <c r="Q192" i="1"/>
  <c r="R192" i="1" s="1"/>
  <c r="S192" i="1" s="1"/>
  <c r="Q191" i="1"/>
  <c r="R191" i="1" s="1"/>
  <c r="S191" i="1" s="1"/>
  <c r="Q190" i="1"/>
  <c r="R190" i="1" s="1"/>
  <c r="S190" i="1" s="1"/>
  <c r="G190" i="1"/>
  <c r="G191" i="1" s="1"/>
  <c r="G192" i="1" s="1"/>
  <c r="G193" i="1" s="1"/>
  <c r="G194" i="1" s="1"/>
  <c r="G195" i="1" s="1"/>
  <c r="G196" i="1" s="1"/>
  <c r="G197" i="1" s="1"/>
  <c r="G198" i="1" s="1"/>
  <c r="G199" i="1" s="1"/>
  <c r="G200" i="1" s="1"/>
  <c r="G201" i="1" s="1"/>
  <c r="G202" i="1" s="1"/>
  <c r="G203" i="1" s="1"/>
  <c r="G204" i="1" s="1"/>
  <c r="G205" i="1" s="1"/>
  <c r="G206" i="1" s="1"/>
  <c r="G207" i="1" s="1"/>
  <c r="G208" i="1" s="1"/>
  <c r="G209" i="1" s="1"/>
  <c r="G210" i="1" s="1"/>
  <c r="G211" i="1" s="1"/>
  <c r="G212" i="1" s="1"/>
  <c r="G213" i="1" s="1"/>
  <c r="G214" i="1" s="1"/>
  <c r="G215" i="1" s="1"/>
  <c r="G216" i="1" s="1"/>
  <c r="G217" i="1" s="1"/>
  <c r="G218" i="1" s="1"/>
  <c r="G219" i="1" s="1"/>
  <c r="G220" i="1" s="1"/>
  <c r="G221" i="1" s="1"/>
  <c r="G222" i="1" s="1"/>
  <c r="G223" i="1" s="1"/>
  <c r="G224" i="1" s="1"/>
  <c r="G225" i="1" s="1"/>
  <c r="G226" i="1" s="1"/>
  <c r="G227" i="1" s="1"/>
  <c r="G228" i="1" s="1"/>
  <c r="G229" i="1" s="1"/>
  <c r="G230" i="1" s="1"/>
  <c r="G231" i="1" s="1"/>
  <c r="G232" i="1" s="1"/>
  <c r="G233" i="1" s="1"/>
  <c r="G234" i="1" s="1"/>
  <c r="G235" i="1" s="1"/>
  <c r="G236" i="1" s="1"/>
  <c r="G237" i="1" s="1"/>
  <c r="G238" i="1" s="1"/>
  <c r="G239" i="1" s="1"/>
  <c r="G240" i="1" s="1"/>
  <c r="G241" i="1" s="1"/>
  <c r="G242" i="1" s="1"/>
  <c r="G243" i="1" s="1"/>
  <c r="G244" i="1" s="1"/>
  <c r="G245" i="1" s="1"/>
  <c r="G246" i="1" s="1"/>
  <c r="G247" i="1" s="1"/>
  <c r="G248" i="1" s="1"/>
  <c r="G249" i="1" s="1"/>
  <c r="G250" i="1" s="1"/>
  <c r="G251" i="1" s="1"/>
  <c r="G252" i="1" s="1"/>
  <c r="G253" i="1" s="1"/>
  <c r="G254" i="1" s="1"/>
  <c r="G255" i="1" s="1"/>
  <c r="G256" i="1" s="1"/>
  <c r="G257" i="1" s="1"/>
  <c r="G258" i="1" s="1"/>
  <c r="G259" i="1" s="1"/>
  <c r="G260" i="1" s="1"/>
  <c r="G261" i="1" s="1"/>
  <c r="G262" i="1" s="1"/>
  <c r="G263" i="1" s="1"/>
  <c r="G264" i="1" s="1"/>
  <c r="G265" i="1" s="1"/>
  <c r="G266" i="1" s="1"/>
  <c r="G267" i="1" s="1"/>
  <c r="G268" i="1" s="1"/>
  <c r="G269" i="1" s="1"/>
  <c r="G270" i="1" s="1"/>
  <c r="G271" i="1" s="1"/>
  <c r="G272" i="1" s="1"/>
  <c r="G273" i="1" s="1"/>
  <c r="G274" i="1" s="1"/>
  <c r="G275" i="1" s="1"/>
  <c r="G276" i="1" s="1"/>
  <c r="G277" i="1" s="1"/>
  <c r="G278" i="1" s="1"/>
  <c r="G279" i="1" s="1"/>
  <c r="G280" i="1" s="1"/>
  <c r="G281" i="1" s="1"/>
  <c r="G282" i="1" s="1"/>
  <c r="G283" i="1" s="1"/>
  <c r="G284" i="1" s="1"/>
  <c r="G285" i="1" s="1"/>
  <c r="G286" i="1" s="1"/>
  <c r="G287" i="1" s="1"/>
  <c r="G288" i="1" s="1"/>
  <c r="G289" i="1" s="1"/>
  <c r="G290" i="1" s="1"/>
  <c r="G291" i="1" s="1"/>
  <c r="G292" i="1" s="1"/>
  <c r="G293" i="1" s="1"/>
  <c r="G294" i="1" s="1"/>
  <c r="G295" i="1" s="1"/>
  <c r="G296" i="1" s="1"/>
  <c r="G297" i="1" s="1"/>
  <c r="G298" i="1" s="1"/>
  <c r="G299" i="1" s="1"/>
  <c r="G300" i="1" s="1"/>
  <c r="G301" i="1" s="1"/>
  <c r="G302" i="1" s="1"/>
  <c r="G303" i="1" s="1"/>
  <c r="G304" i="1" s="1"/>
  <c r="G305" i="1" s="1"/>
  <c r="G306" i="1" s="1"/>
  <c r="G307" i="1" s="1"/>
  <c r="G308" i="1" s="1"/>
  <c r="G309" i="1" s="1"/>
  <c r="G310" i="1" s="1"/>
  <c r="G311" i="1" s="1"/>
  <c r="G312" i="1" s="1"/>
  <c r="G313" i="1" s="1"/>
  <c r="G314" i="1" s="1"/>
  <c r="G315" i="1" s="1"/>
  <c r="G316" i="1" s="1"/>
  <c r="G317" i="1" s="1"/>
  <c r="G318" i="1" s="1"/>
  <c r="G319" i="1" s="1"/>
  <c r="G320" i="1" s="1"/>
  <c r="G321" i="1" s="1"/>
  <c r="G322" i="1" s="1"/>
  <c r="G323" i="1" s="1"/>
  <c r="G324" i="1" s="1"/>
  <c r="G325" i="1" s="1"/>
  <c r="G326" i="1" s="1"/>
  <c r="G327" i="1" s="1"/>
  <c r="G328" i="1" s="1"/>
  <c r="G329" i="1" s="1"/>
  <c r="G330" i="1" s="1"/>
  <c r="G331" i="1" s="1"/>
  <c r="G332" i="1" s="1"/>
  <c r="G333" i="1" s="1"/>
  <c r="G334" i="1" s="1"/>
  <c r="G335" i="1" s="1"/>
  <c r="G336" i="1" s="1"/>
  <c r="G337" i="1" s="1"/>
  <c r="G338" i="1" s="1"/>
  <c r="G339" i="1" s="1"/>
  <c r="G340" i="1" s="1"/>
  <c r="Q189" i="1"/>
  <c r="R189" i="1" s="1"/>
  <c r="S189" i="1" s="1"/>
  <c r="Q188" i="1"/>
  <c r="R188" i="1" s="1"/>
  <c r="S188" i="1" s="1"/>
  <c r="Q187" i="1"/>
  <c r="R187" i="1" s="1"/>
  <c r="S187" i="1" s="1"/>
  <c r="R186" i="1"/>
  <c r="S186" i="1" s="1"/>
  <c r="Q186" i="1"/>
  <c r="Q185" i="1"/>
  <c r="R185" i="1" s="1"/>
  <c r="S185" i="1" s="1"/>
  <c r="Q184" i="1"/>
  <c r="R184" i="1" s="1"/>
  <c r="S184" i="1" s="1"/>
  <c r="Q183" i="1"/>
  <c r="R183" i="1" s="1"/>
  <c r="S183" i="1" s="1"/>
  <c r="Q182" i="1"/>
  <c r="R182" i="1" s="1"/>
  <c r="S182" i="1" s="1"/>
  <c r="Q181" i="1"/>
  <c r="R181" i="1" s="1"/>
  <c r="S181" i="1" s="1"/>
  <c r="Q180" i="1"/>
  <c r="R180" i="1" s="1"/>
  <c r="S180" i="1" s="1"/>
  <c r="Q179" i="1"/>
  <c r="R179" i="1" s="1"/>
  <c r="S179" i="1" s="1"/>
  <c r="Q178" i="1"/>
  <c r="R178" i="1" s="1"/>
  <c r="S178" i="1" s="1"/>
  <c r="Q177" i="1"/>
  <c r="R177" i="1" s="1"/>
  <c r="S177" i="1" s="1"/>
  <c r="Q176" i="1"/>
  <c r="R176" i="1" s="1"/>
  <c r="S176" i="1" s="1"/>
  <c r="Q175" i="1"/>
  <c r="R175" i="1" s="1"/>
  <c r="S175" i="1" s="1"/>
  <c r="Q174" i="1"/>
  <c r="R174" i="1" s="1"/>
  <c r="S174" i="1" s="1"/>
  <c r="I174" i="1"/>
  <c r="Q173" i="1"/>
  <c r="R173" i="1" s="1"/>
  <c r="S173" i="1" s="1"/>
  <c r="Z172" i="1"/>
  <c r="Q172" i="1"/>
  <c r="R172" i="1" s="1"/>
  <c r="S172" i="1" s="1"/>
  <c r="I172" i="1"/>
  <c r="Q171" i="1"/>
  <c r="R171" i="1" s="1"/>
  <c r="S171" i="1" s="1"/>
  <c r="Y170" i="1"/>
  <c r="Y171" i="1" s="1"/>
  <c r="Y172" i="1" s="1"/>
  <c r="Y173" i="1" s="1"/>
  <c r="Y174" i="1" s="1"/>
  <c r="Y175" i="1" s="1"/>
  <c r="Y176" i="1" s="1"/>
  <c r="Y177" i="1" s="1"/>
  <c r="Y178" i="1" s="1"/>
  <c r="Y179" i="1" s="1"/>
  <c r="Y180" i="1" s="1"/>
  <c r="Y181" i="1" s="1"/>
  <c r="Y182" i="1" s="1"/>
  <c r="Y183" i="1" s="1"/>
  <c r="Y184" i="1" s="1"/>
  <c r="Y185" i="1" s="1"/>
  <c r="Y186" i="1" s="1"/>
  <c r="Y187" i="1" s="1"/>
  <c r="Y188" i="1" s="1"/>
  <c r="Y189" i="1" s="1"/>
  <c r="Y190" i="1" s="1"/>
  <c r="Y191" i="1" s="1"/>
  <c r="Y192" i="1" s="1"/>
  <c r="Y193" i="1" s="1"/>
  <c r="Y194" i="1" s="1"/>
  <c r="Y195" i="1" s="1"/>
  <c r="Y196" i="1" s="1"/>
  <c r="Y197" i="1" s="1"/>
  <c r="Y198" i="1" s="1"/>
  <c r="Y199" i="1" s="1"/>
  <c r="Y200" i="1" s="1"/>
  <c r="Y201" i="1" s="1"/>
  <c r="Y202" i="1" s="1"/>
  <c r="Y203" i="1" s="1"/>
  <c r="Y204" i="1" s="1"/>
  <c r="Y205" i="1" s="1"/>
  <c r="Y206" i="1" s="1"/>
  <c r="Y207" i="1" s="1"/>
  <c r="Y208" i="1" s="1"/>
  <c r="Y209" i="1" s="1"/>
  <c r="Y210" i="1" s="1"/>
  <c r="Y211" i="1" s="1"/>
  <c r="Y212" i="1" s="1"/>
  <c r="Y213" i="1" s="1"/>
  <c r="Y214" i="1" s="1"/>
  <c r="Y215" i="1" s="1"/>
  <c r="Y216" i="1" s="1"/>
  <c r="Y217" i="1" s="1"/>
  <c r="Y218" i="1" s="1"/>
  <c r="Y219" i="1" s="1"/>
  <c r="Y220" i="1" s="1"/>
  <c r="Y221" i="1" s="1"/>
  <c r="Y222" i="1" s="1"/>
  <c r="Y223" i="1" s="1"/>
  <c r="Y224" i="1" s="1"/>
  <c r="Y225" i="1" s="1"/>
  <c r="Y226" i="1" s="1"/>
  <c r="Y227" i="1" s="1"/>
  <c r="Y228" i="1" s="1"/>
  <c r="Y229" i="1" s="1"/>
  <c r="Y230" i="1" s="1"/>
  <c r="Y231" i="1" s="1"/>
  <c r="Y232" i="1" s="1"/>
  <c r="Y233" i="1" s="1"/>
  <c r="Y234" i="1" s="1"/>
  <c r="Y235" i="1" s="1"/>
  <c r="Y236" i="1" s="1"/>
  <c r="Y237" i="1" s="1"/>
  <c r="Y238" i="1" s="1"/>
  <c r="Y239" i="1" s="1"/>
  <c r="Y240" i="1" s="1"/>
  <c r="Y241" i="1" s="1"/>
  <c r="Y242" i="1" s="1"/>
  <c r="Q170" i="1"/>
  <c r="R170" i="1" s="1"/>
  <c r="S170" i="1" s="1"/>
  <c r="I170" i="1"/>
  <c r="H170" i="1"/>
  <c r="H171" i="1" s="1"/>
  <c r="H172" i="1" s="1"/>
  <c r="H173" i="1" s="1"/>
  <c r="H174" i="1" s="1"/>
  <c r="H175" i="1" s="1"/>
  <c r="H176" i="1" s="1"/>
  <c r="H177" i="1" s="1"/>
  <c r="H178" i="1" s="1"/>
  <c r="H179" i="1" s="1"/>
  <c r="H180" i="1" s="1"/>
  <c r="H181" i="1" s="1"/>
  <c r="H182" i="1" s="1"/>
  <c r="H183" i="1" s="1"/>
  <c r="H184" i="1" s="1"/>
  <c r="H185" i="1" s="1"/>
  <c r="H186" i="1" s="1"/>
  <c r="H187" i="1" s="1"/>
  <c r="H188" i="1" s="1"/>
  <c r="H189" i="1" s="1"/>
  <c r="H190" i="1" s="1"/>
  <c r="H191" i="1" s="1"/>
  <c r="H192" i="1" s="1"/>
  <c r="H193" i="1" s="1"/>
  <c r="H194" i="1" s="1"/>
  <c r="H195" i="1" s="1"/>
  <c r="H196" i="1" s="1"/>
  <c r="H197" i="1" s="1"/>
  <c r="H198" i="1" s="1"/>
  <c r="H199" i="1" s="1"/>
  <c r="H200" i="1" s="1"/>
  <c r="H201" i="1" s="1"/>
  <c r="H202" i="1" s="1"/>
  <c r="H203" i="1" s="1"/>
  <c r="H204" i="1" s="1"/>
  <c r="H205" i="1" s="1"/>
  <c r="H206" i="1" s="1"/>
  <c r="H207" i="1" s="1"/>
  <c r="H208" i="1" s="1"/>
  <c r="H209" i="1" s="1"/>
  <c r="H210" i="1" s="1"/>
  <c r="H211" i="1" s="1"/>
  <c r="H212" i="1" s="1"/>
  <c r="H213" i="1" s="1"/>
  <c r="H214" i="1" s="1"/>
  <c r="H215" i="1" s="1"/>
  <c r="H216" i="1" s="1"/>
  <c r="H217" i="1" s="1"/>
  <c r="H218" i="1" s="1"/>
  <c r="H219" i="1" s="1"/>
  <c r="H220" i="1" s="1"/>
  <c r="H221" i="1" s="1"/>
  <c r="H222" i="1" s="1"/>
  <c r="H223" i="1" s="1"/>
  <c r="H224" i="1" s="1"/>
  <c r="H225" i="1" s="1"/>
  <c r="H226" i="1" s="1"/>
  <c r="H227" i="1" s="1"/>
  <c r="H228" i="1" s="1"/>
  <c r="H229" i="1" s="1"/>
  <c r="H230" i="1" s="1"/>
  <c r="H231" i="1" s="1"/>
  <c r="H232" i="1" s="1"/>
  <c r="H233" i="1" s="1"/>
  <c r="H234" i="1" s="1"/>
  <c r="H235" i="1" s="1"/>
  <c r="H236" i="1" s="1"/>
  <c r="H237" i="1" s="1"/>
  <c r="H238" i="1" s="1"/>
  <c r="H239" i="1" s="1"/>
  <c r="H240" i="1" s="1"/>
  <c r="H241" i="1" s="1"/>
  <c r="H242" i="1" s="1"/>
  <c r="S169" i="1"/>
  <c r="Q169" i="1"/>
  <c r="R169" i="1" s="1"/>
  <c r="R168" i="1"/>
  <c r="S168" i="1" s="1"/>
  <c r="R167" i="1"/>
  <c r="S167" i="1" s="1"/>
  <c r="R166" i="1"/>
  <c r="S166" i="1" s="1"/>
  <c r="R165" i="1"/>
  <c r="S165" i="1" s="1"/>
  <c r="R164" i="1"/>
  <c r="S164" i="1" s="1"/>
  <c r="S163" i="1"/>
  <c r="R163" i="1"/>
  <c r="R162" i="1"/>
  <c r="S162" i="1" s="1"/>
  <c r="S161" i="1"/>
  <c r="R161" i="1"/>
  <c r="R160" i="1"/>
  <c r="S160" i="1" s="1"/>
  <c r="R159" i="1"/>
  <c r="S159" i="1" s="1"/>
  <c r="R158" i="1"/>
  <c r="S158" i="1" s="1"/>
  <c r="S157" i="1"/>
  <c r="R157" i="1"/>
  <c r="R156" i="1"/>
  <c r="S156" i="1" s="1"/>
  <c r="R155" i="1"/>
  <c r="S155" i="1" s="1"/>
  <c r="R154" i="1"/>
  <c r="S154" i="1" s="1"/>
  <c r="H154" i="1"/>
  <c r="H155" i="1" s="1"/>
  <c r="H156" i="1" s="1"/>
  <c r="H157" i="1" s="1"/>
  <c r="H158" i="1" s="1"/>
  <c r="H159" i="1" s="1"/>
  <c r="H160" i="1" s="1"/>
  <c r="H161" i="1" s="1"/>
  <c r="H162" i="1" s="1"/>
  <c r="H163" i="1" s="1"/>
  <c r="H164" i="1" s="1"/>
  <c r="H165" i="1" s="1"/>
  <c r="H166" i="1" s="1"/>
  <c r="H167" i="1" s="1"/>
  <c r="H168" i="1" s="1"/>
  <c r="G154" i="1"/>
  <c r="G155" i="1" s="1"/>
  <c r="G156" i="1" s="1"/>
  <c r="G157" i="1" s="1"/>
  <c r="G158" i="1" s="1"/>
  <c r="G159" i="1" s="1"/>
  <c r="G160" i="1" s="1"/>
  <c r="G161" i="1" s="1"/>
  <c r="G162" i="1" s="1"/>
  <c r="G163" i="1" s="1"/>
  <c r="G164" i="1" s="1"/>
  <c r="G165" i="1" s="1"/>
  <c r="G166" i="1" s="1"/>
  <c r="G167" i="1" s="1"/>
  <c r="G168" i="1" s="1"/>
  <c r="G169" i="1" s="1"/>
  <c r="G170" i="1" s="1"/>
  <c r="G171" i="1" s="1"/>
  <c r="G172" i="1" s="1"/>
  <c r="G173" i="1" s="1"/>
  <c r="G174" i="1" s="1"/>
  <c r="G175" i="1" s="1"/>
  <c r="G176" i="1" s="1"/>
  <c r="G177" i="1" s="1"/>
  <c r="G178" i="1" s="1"/>
  <c r="G179" i="1" s="1"/>
  <c r="G180" i="1" s="1"/>
  <c r="G181" i="1" s="1"/>
  <c r="G182" i="1" s="1"/>
  <c r="G183" i="1" s="1"/>
  <c r="G184" i="1" s="1"/>
  <c r="G185" i="1" s="1"/>
  <c r="G186" i="1" s="1"/>
  <c r="G187" i="1" s="1"/>
  <c r="R153" i="1"/>
  <c r="S153" i="1" s="1"/>
  <c r="R152" i="1"/>
  <c r="S152" i="1" s="1"/>
  <c r="S151" i="1"/>
  <c r="R151" i="1"/>
  <c r="G151" i="1"/>
  <c r="G152" i="1" s="1"/>
  <c r="R150" i="1"/>
  <c r="S150" i="1" s="1"/>
  <c r="R149" i="1"/>
  <c r="S149" i="1" s="1"/>
  <c r="R148" i="1"/>
  <c r="S148" i="1" s="1"/>
  <c r="R147" i="1"/>
  <c r="S147" i="1" s="1"/>
  <c r="R146" i="1"/>
  <c r="S146" i="1" s="1"/>
  <c r="R145" i="1"/>
  <c r="S145" i="1" s="1"/>
  <c r="R144" i="1"/>
  <c r="S144" i="1" s="1"/>
  <c r="H144" i="1"/>
  <c r="H145" i="1" s="1"/>
  <c r="H146" i="1" s="1"/>
  <c r="H147" i="1" s="1"/>
  <c r="H148" i="1" s="1"/>
  <c r="H149" i="1" s="1"/>
  <c r="H150" i="1" s="1"/>
  <c r="H151" i="1" s="1"/>
  <c r="H152" i="1" s="1"/>
  <c r="R143" i="1"/>
  <c r="S143" i="1" s="1"/>
  <c r="H143" i="1"/>
  <c r="G143" i="1"/>
  <c r="G144" i="1" s="1"/>
  <c r="G145" i="1" s="1"/>
  <c r="G146" i="1" s="1"/>
  <c r="G147" i="1" s="1"/>
  <c r="G148" i="1" s="1"/>
  <c r="G149" i="1" s="1"/>
  <c r="G150" i="1" s="1"/>
  <c r="R142" i="1"/>
  <c r="S142" i="1" s="1"/>
  <c r="R141" i="1"/>
  <c r="S141" i="1" s="1"/>
  <c r="R140" i="1"/>
  <c r="S140" i="1" s="1"/>
  <c r="R139" i="1"/>
  <c r="S139" i="1" s="1"/>
  <c r="S138" i="1"/>
  <c r="R138" i="1"/>
  <c r="R137" i="1"/>
  <c r="S137" i="1" s="1"/>
  <c r="S136" i="1"/>
  <c r="R136" i="1"/>
  <c r="R135" i="1"/>
  <c r="S135" i="1" s="1"/>
  <c r="R134" i="1"/>
  <c r="S134" i="1" s="1"/>
  <c r="R133" i="1"/>
  <c r="S133" i="1" s="1"/>
  <c r="R132" i="1"/>
  <c r="S132" i="1" s="1"/>
  <c r="R131" i="1"/>
  <c r="S131" i="1" s="1"/>
  <c r="H131" i="1"/>
  <c r="H132" i="1" s="1"/>
  <c r="H133" i="1" s="1"/>
  <c r="H134" i="1" s="1"/>
  <c r="H135" i="1" s="1"/>
  <c r="H136" i="1" s="1"/>
  <c r="H137" i="1" s="1"/>
  <c r="H138" i="1" s="1"/>
  <c r="H139" i="1" s="1"/>
  <c r="H140" i="1" s="1"/>
  <c r="H141" i="1" s="1"/>
  <c r="G131" i="1"/>
  <c r="G132" i="1" s="1"/>
  <c r="G133" i="1" s="1"/>
  <c r="G134" i="1" s="1"/>
  <c r="G135" i="1" s="1"/>
  <c r="G136" i="1" s="1"/>
  <c r="G137" i="1" s="1"/>
  <c r="G138" i="1" s="1"/>
  <c r="G139" i="1" s="1"/>
  <c r="G140" i="1" s="1"/>
  <c r="G141" i="1" s="1"/>
  <c r="R130" i="1"/>
  <c r="S130" i="1" s="1"/>
  <c r="R129" i="1"/>
  <c r="S129" i="1" s="1"/>
  <c r="R128" i="1"/>
  <c r="S128" i="1" s="1"/>
  <c r="R127" i="1"/>
  <c r="S127" i="1" s="1"/>
  <c r="S126" i="1"/>
  <c r="R126" i="1"/>
  <c r="R125" i="1"/>
  <c r="S125" i="1" s="1"/>
  <c r="I125" i="1"/>
  <c r="R124" i="1"/>
  <c r="S124" i="1" s="1"/>
  <c r="Z123" i="1"/>
  <c r="R123" i="1"/>
  <c r="S123" i="1" s="1"/>
  <c r="I123" i="1"/>
  <c r="R122" i="1"/>
  <c r="S122" i="1" s="1"/>
  <c r="R121" i="1"/>
  <c r="S121" i="1" s="1"/>
  <c r="I121" i="1"/>
  <c r="H121" i="1"/>
  <c r="H122" i="1" s="1"/>
  <c r="H123" i="1" s="1"/>
  <c r="H124" i="1" s="1"/>
  <c r="H125" i="1" s="1"/>
  <c r="Y120" i="1"/>
  <c r="Y121" i="1" s="1"/>
  <c r="Y122" i="1" s="1"/>
  <c r="Y123" i="1" s="1"/>
  <c r="Y124" i="1" s="1"/>
  <c r="Y125" i="1" s="1"/>
  <c r="Y126" i="1" s="1"/>
  <c r="Y127" i="1" s="1"/>
  <c r="Y128" i="1" s="1"/>
  <c r="Y129" i="1" s="1"/>
  <c r="Y130" i="1" s="1"/>
  <c r="Y131" i="1" s="1"/>
  <c r="Y132" i="1" s="1"/>
  <c r="Y133" i="1" s="1"/>
  <c r="Y134" i="1" s="1"/>
  <c r="Y135" i="1" s="1"/>
  <c r="Y136" i="1" s="1"/>
  <c r="Y137" i="1" s="1"/>
  <c r="Y138" i="1" s="1"/>
  <c r="Y139" i="1" s="1"/>
  <c r="Y140" i="1" s="1"/>
  <c r="Y141" i="1" s="1"/>
  <c r="Y142" i="1" s="1"/>
  <c r="Y143" i="1" s="1"/>
  <c r="Y144" i="1" s="1"/>
  <c r="Y145" i="1" s="1"/>
  <c r="Y146" i="1" s="1"/>
  <c r="Y147" i="1" s="1"/>
  <c r="Y148" i="1" s="1"/>
  <c r="Y149" i="1" s="1"/>
  <c r="Y150" i="1" s="1"/>
  <c r="Y151" i="1" s="1"/>
  <c r="Y152" i="1" s="1"/>
  <c r="Y153" i="1" s="1"/>
  <c r="Y154" i="1" s="1"/>
  <c r="Y155" i="1" s="1"/>
  <c r="Y156" i="1" s="1"/>
  <c r="Y157" i="1" s="1"/>
  <c r="Y158" i="1" s="1"/>
  <c r="Y159" i="1" s="1"/>
  <c r="Y160" i="1" s="1"/>
  <c r="Y161" i="1" s="1"/>
  <c r="Y162" i="1" s="1"/>
  <c r="Y163" i="1" s="1"/>
  <c r="Y164" i="1" s="1"/>
  <c r="Y165" i="1" s="1"/>
  <c r="Y166" i="1" s="1"/>
  <c r="Y167" i="1" s="1"/>
  <c r="Y168" i="1" s="1"/>
  <c r="W168" i="1" s="1"/>
  <c r="R120" i="1"/>
  <c r="S120" i="1" s="1"/>
  <c r="Q119" i="1"/>
  <c r="R119" i="1" s="1"/>
  <c r="S119" i="1" s="1"/>
  <c r="Q118" i="1"/>
  <c r="R118" i="1" s="1"/>
  <c r="S118" i="1" s="1"/>
  <c r="Q117" i="1"/>
  <c r="R117" i="1" s="1"/>
  <c r="S117" i="1" s="1"/>
  <c r="Q116" i="1"/>
  <c r="R116" i="1" s="1"/>
  <c r="S116" i="1" s="1"/>
  <c r="R115" i="1"/>
  <c r="S115" i="1" s="1"/>
  <c r="Q115" i="1"/>
  <c r="Q114" i="1"/>
  <c r="R114" i="1" s="1"/>
  <c r="S114" i="1" s="1"/>
  <c r="S113" i="1"/>
  <c r="Q113" i="1"/>
  <c r="R113" i="1" s="1"/>
  <c r="Q112" i="1"/>
  <c r="R112" i="1" s="1"/>
  <c r="S112" i="1" s="1"/>
  <c r="R111" i="1"/>
  <c r="S111" i="1" s="1"/>
  <c r="Q111" i="1"/>
  <c r="Q110" i="1"/>
  <c r="R110" i="1" s="1"/>
  <c r="S110" i="1" s="1"/>
  <c r="Q109" i="1"/>
  <c r="R109" i="1" s="1"/>
  <c r="S109" i="1" s="1"/>
  <c r="Q108" i="1"/>
  <c r="R108" i="1" s="1"/>
  <c r="S108" i="1" s="1"/>
  <c r="Q107" i="1"/>
  <c r="R107" i="1" s="1"/>
  <c r="S107" i="1" s="1"/>
  <c r="Q106" i="1"/>
  <c r="R106" i="1" s="1"/>
  <c r="S106" i="1" s="1"/>
  <c r="Q105" i="1"/>
  <c r="R105" i="1" s="1"/>
  <c r="S105" i="1" s="1"/>
  <c r="Q104" i="1"/>
  <c r="R104" i="1" s="1"/>
  <c r="S104" i="1" s="1"/>
  <c r="R103" i="1"/>
  <c r="S103" i="1" s="1"/>
  <c r="Q103" i="1"/>
  <c r="S102" i="1"/>
  <c r="R102" i="1"/>
  <c r="Q102" i="1"/>
  <c r="Q101" i="1"/>
  <c r="R101" i="1" s="1"/>
  <c r="S101" i="1" s="1"/>
  <c r="Q100" i="1"/>
  <c r="R100" i="1" s="1"/>
  <c r="S100" i="1" s="1"/>
  <c r="Q99" i="1"/>
  <c r="R99" i="1" s="1"/>
  <c r="S99" i="1" s="1"/>
  <c r="Q98" i="1"/>
  <c r="R98" i="1" s="1"/>
  <c r="S98" i="1" s="1"/>
  <c r="Q97" i="1"/>
  <c r="R97" i="1" s="1"/>
  <c r="S97" i="1" s="1"/>
  <c r="Q96" i="1"/>
  <c r="R96" i="1" s="1"/>
  <c r="S96" i="1" s="1"/>
  <c r="Q95" i="1"/>
  <c r="R95" i="1" s="1"/>
  <c r="S95" i="1" s="1"/>
  <c r="Q94" i="1"/>
  <c r="R94" i="1" s="1"/>
  <c r="S94" i="1" s="1"/>
  <c r="Q93" i="1"/>
  <c r="R93" i="1" s="1"/>
  <c r="S93" i="1" s="1"/>
  <c r="Q92" i="1"/>
  <c r="R92" i="1" s="1"/>
  <c r="S92" i="1" s="1"/>
  <c r="Q91" i="1"/>
  <c r="R91" i="1" s="1"/>
  <c r="S91" i="1" s="1"/>
  <c r="Q90" i="1"/>
  <c r="R90" i="1" s="1"/>
  <c r="S90" i="1" s="1"/>
  <c r="Q89" i="1"/>
  <c r="R89" i="1" s="1"/>
  <c r="S89" i="1" s="1"/>
  <c r="R88" i="1"/>
  <c r="S88" i="1" s="1"/>
  <c r="Q88" i="1"/>
  <c r="Q87" i="1"/>
  <c r="R87" i="1" s="1"/>
  <c r="S87" i="1" s="1"/>
  <c r="Q86" i="1"/>
  <c r="R86" i="1" s="1"/>
  <c r="S86" i="1" s="1"/>
  <c r="Q85" i="1"/>
  <c r="R85" i="1" s="1"/>
  <c r="S85" i="1" s="1"/>
  <c r="Q84" i="1"/>
  <c r="R84" i="1" s="1"/>
  <c r="S84" i="1" s="1"/>
  <c r="Q83" i="1"/>
  <c r="R83" i="1" s="1"/>
  <c r="S83" i="1" s="1"/>
  <c r="Q82" i="1"/>
  <c r="R82" i="1" s="1"/>
  <c r="S82" i="1" s="1"/>
  <c r="Q81" i="1"/>
  <c r="R81" i="1" s="1"/>
  <c r="S81" i="1" s="1"/>
  <c r="Q80" i="1"/>
  <c r="R80" i="1" s="1"/>
  <c r="S80" i="1" s="1"/>
  <c r="Q79" i="1"/>
  <c r="R79" i="1" s="1"/>
  <c r="S79" i="1" s="1"/>
  <c r="Q78" i="1"/>
  <c r="R78" i="1" s="1"/>
  <c r="S78" i="1" s="1"/>
  <c r="R77" i="1"/>
  <c r="S77" i="1" s="1"/>
  <c r="Q77" i="1"/>
  <c r="R76" i="1"/>
  <c r="S76" i="1" s="1"/>
  <c r="Q76" i="1"/>
  <c r="Q75" i="1"/>
  <c r="R75" i="1" s="1"/>
  <c r="S75" i="1" s="1"/>
  <c r="Q74" i="1"/>
  <c r="R74" i="1" s="1"/>
  <c r="S74" i="1" s="1"/>
  <c r="Q73" i="1"/>
  <c r="R73" i="1" s="1"/>
  <c r="S73" i="1" s="1"/>
  <c r="Q72" i="1"/>
  <c r="R72" i="1" s="1"/>
  <c r="S72" i="1" s="1"/>
  <c r="Q71" i="1"/>
  <c r="R71" i="1" s="1"/>
  <c r="S71" i="1" s="1"/>
  <c r="Q70" i="1"/>
  <c r="R70" i="1" s="1"/>
  <c r="S70" i="1" s="1"/>
  <c r="Q69" i="1"/>
  <c r="R69" i="1" s="1"/>
  <c r="S69" i="1" s="1"/>
  <c r="R68" i="1"/>
  <c r="S68" i="1" s="1"/>
  <c r="Q68" i="1"/>
  <c r="Q67" i="1"/>
  <c r="R67" i="1" s="1"/>
  <c r="S67" i="1" s="1"/>
  <c r="R66" i="1"/>
  <c r="S66" i="1" s="1"/>
  <c r="Q66" i="1"/>
  <c r="R65" i="1"/>
  <c r="S65" i="1" s="1"/>
  <c r="Q65" i="1"/>
  <c r="O65" i="1"/>
  <c r="O66" i="1" s="1"/>
  <c r="O67" i="1" s="1"/>
  <c r="O68" i="1" s="1"/>
  <c r="O69" i="1" s="1"/>
  <c r="O70" i="1" s="1"/>
  <c r="O71" i="1" s="1"/>
  <c r="O72" i="1" s="1"/>
  <c r="O73" i="1" s="1"/>
  <c r="O74" i="1" s="1"/>
  <c r="O75" i="1" s="1"/>
  <c r="O76" i="1" s="1"/>
  <c r="O77" i="1" s="1"/>
  <c r="O78" i="1" s="1"/>
  <c r="O79" i="1" s="1"/>
  <c r="O80" i="1" s="1"/>
  <c r="O81" i="1" s="1"/>
  <c r="O82" i="1" s="1"/>
  <c r="O83" i="1" s="1"/>
  <c r="O84" i="1" s="1"/>
  <c r="O85" i="1" s="1"/>
  <c r="O86" i="1" s="1"/>
  <c r="O87" i="1" s="1"/>
  <c r="O88" i="1" s="1"/>
  <c r="O89" i="1" s="1"/>
  <c r="O90" i="1" s="1"/>
  <c r="O91" i="1" s="1"/>
  <c r="O92" i="1" s="1"/>
  <c r="O93" i="1" s="1"/>
  <c r="O94" i="1" s="1"/>
  <c r="O95" i="1" s="1"/>
  <c r="O96" i="1" s="1"/>
  <c r="O97" i="1" s="1"/>
  <c r="O98" i="1" s="1"/>
  <c r="O99" i="1" s="1"/>
  <c r="O100" i="1" s="1"/>
  <c r="O101" i="1" s="1"/>
  <c r="O102" i="1" s="1"/>
  <c r="O103" i="1" s="1"/>
  <c r="O104" i="1" s="1"/>
  <c r="O105" i="1" s="1"/>
  <c r="O106" i="1" s="1"/>
  <c r="O107" i="1" s="1"/>
  <c r="O108" i="1" s="1"/>
  <c r="O109" i="1" s="1"/>
  <c r="O110" i="1" s="1"/>
  <c r="O111" i="1" s="1"/>
  <c r="O112" i="1" s="1"/>
  <c r="O113" i="1" s="1"/>
  <c r="O114" i="1" s="1"/>
  <c r="O115" i="1" s="1"/>
  <c r="O116" i="1" s="1"/>
  <c r="O117" i="1" s="1"/>
  <c r="O118" i="1" s="1"/>
  <c r="O119" i="1" s="1"/>
  <c r="O120" i="1" s="1"/>
  <c r="O121" i="1" s="1"/>
  <c r="O122" i="1" s="1"/>
  <c r="O123" i="1" s="1"/>
  <c r="O124" i="1" s="1"/>
  <c r="O125" i="1" s="1"/>
  <c r="O126" i="1" s="1"/>
  <c r="O127" i="1" s="1"/>
  <c r="O128" i="1" s="1"/>
  <c r="O129" i="1" s="1"/>
  <c r="O130" i="1" s="1"/>
  <c r="O131" i="1" s="1"/>
  <c r="O132" i="1" s="1"/>
  <c r="O133" i="1" s="1"/>
  <c r="O134" i="1" s="1"/>
  <c r="O135" i="1" s="1"/>
  <c r="O136" i="1" s="1"/>
  <c r="O137" i="1" s="1"/>
  <c r="O138" i="1" s="1"/>
  <c r="O139" i="1" s="1"/>
  <c r="O140" i="1" s="1"/>
  <c r="O141" i="1" s="1"/>
  <c r="O142" i="1" s="1"/>
  <c r="O143" i="1" s="1"/>
  <c r="O144" i="1" s="1"/>
  <c r="O145" i="1" s="1"/>
  <c r="O146" i="1" s="1"/>
  <c r="O147" i="1" s="1"/>
  <c r="O148" i="1" s="1"/>
  <c r="O149" i="1" s="1"/>
  <c r="O150" i="1" s="1"/>
  <c r="O151" i="1" s="1"/>
  <c r="O152" i="1" s="1"/>
  <c r="O153" i="1" s="1"/>
  <c r="O154" i="1" s="1"/>
  <c r="O155" i="1" s="1"/>
  <c r="O156" i="1" s="1"/>
  <c r="O157" i="1" s="1"/>
  <c r="O158" i="1" s="1"/>
  <c r="O159" i="1" s="1"/>
  <c r="O160" i="1" s="1"/>
  <c r="O161" i="1" s="1"/>
  <c r="O162" i="1" s="1"/>
  <c r="O163" i="1" s="1"/>
  <c r="O164" i="1" s="1"/>
  <c r="O165" i="1" s="1"/>
  <c r="O166" i="1" s="1"/>
  <c r="O167" i="1" s="1"/>
  <c r="O168" i="1" s="1"/>
  <c r="O169" i="1" s="1"/>
  <c r="O170" i="1" s="1"/>
  <c r="O171" i="1" s="1"/>
  <c r="O172" i="1" s="1"/>
  <c r="O173" i="1" s="1"/>
  <c r="O174" i="1" s="1"/>
  <c r="O175" i="1" s="1"/>
  <c r="O176" i="1" s="1"/>
  <c r="O177" i="1" s="1"/>
  <c r="O178" i="1" s="1"/>
  <c r="O179" i="1" s="1"/>
  <c r="O180" i="1" s="1"/>
  <c r="O181" i="1" s="1"/>
  <c r="O182" i="1" s="1"/>
  <c r="O183" i="1" s="1"/>
  <c r="O184" i="1" s="1"/>
  <c r="O185" i="1" s="1"/>
  <c r="O186" i="1" s="1"/>
  <c r="O187" i="1" s="1"/>
  <c r="O188" i="1" s="1"/>
  <c r="O189" i="1" s="1"/>
  <c r="O190" i="1" s="1"/>
  <c r="O191" i="1" s="1"/>
  <c r="O192" i="1" s="1"/>
  <c r="O193" i="1" s="1"/>
  <c r="O194" i="1" s="1"/>
  <c r="O195" i="1" s="1"/>
  <c r="O196" i="1" s="1"/>
  <c r="O197" i="1" s="1"/>
  <c r="O198" i="1" s="1"/>
  <c r="O199" i="1" s="1"/>
  <c r="O200" i="1" s="1"/>
  <c r="O201" i="1" s="1"/>
  <c r="O202" i="1" s="1"/>
  <c r="O203" i="1" s="1"/>
  <c r="O204" i="1" s="1"/>
  <c r="O205" i="1" s="1"/>
  <c r="O206" i="1" s="1"/>
  <c r="Q64" i="1"/>
  <c r="R64" i="1" s="1"/>
  <c r="S64" i="1" s="1"/>
  <c r="Q63" i="1"/>
  <c r="R63" i="1" s="1"/>
  <c r="S63" i="1" s="1"/>
  <c r="R62" i="1"/>
  <c r="S62" i="1" s="1"/>
  <c r="Q62" i="1"/>
  <c r="Q61" i="1"/>
  <c r="R61" i="1" s="1"/>
  <c r="S61" i="1" s="1"/>
  <c r="R60" i="1"/>
  <c r="S60" i="1" s="1"/>
  <c r="Q60" i="1"/>
  <c r="S59" i="1"/>
  <c r="T59" i="1" s="1"/>
  <c r="T60" i="1" s="1"/>
  <c r="T61" i="1" s="1"/>
  <c r="T62" i="1" s="1"/>
  <c r="T63" i="1" s="1"/>
  <c r="R59" i="1"/>
  <c r="O59" i="1"/>
  <c r="O60" i="1" s="1"/>
  <c r="O61" i="1" s="1"/>
  <c r="O62" i="1" s="1"/>
  <c r="R58" i="1"/>
  <c r="S58" i="1" s="1"/>
  <c r="R57" i="1"/>
  <c r="S57" i="1" s="1"/>
  <c r="I57" i="1"/>
  <c r="G57" i="1"/>
  <c r="G58" i="1" s="1"/>
  <c r="G59" i="1" s="1"/>
  <c r="G60" i="1" s="1"/>
  <c r="G61" i="1" s="1"/>
  <c r="G62" i="1" s="1"/>
  <c r="G63" i="1" s="1"/>
  <c r="G64" i="1" s="1"/>
  <c r="G65" i="1" s="1"/>
  <c r="G66" i="1" s="1"/>
  <c r="G67" i="1" s="1"/>
  <c r="G68" i="1" s="1"/>
  <c r="G69" i="1" s="1"/>
  <c r="G70" i="1" s="1"/>
  <c r="G71" i="1" s="1"/>
  <c r="G72" i="1" s="1"/>
  <c r="G73" i="1" s="1"/>
  <c r="G74" i="1" s="1"/>
  <c r="G75" i="1" s="1"/>
  <c r="G76" i="1" s="1"/>
  <c r="G77" i="1" s="1"/>
  <c r="G78" i="1" s="1"/>
  <c r="G79" i="1" s="1"/>
  <c r="G80" i="1" s="1"/>
  <c r="G81" i="1" s="1"/>
  <c r="G82" i="1" s="1"/>
  <c r="G83" i="1" s="1"/>
  <c r="G84" i="1" s="1"/>
  <c r="G85" i="1" s="1"/>
  <c r="G86" i="1" s="1"/>
  <c r="G87" i="1" s="1"/>
  <c r="G88" i="1" s="1"/>
  <c r="G89" i="1" s="1"/>
  <c r="G90" i="1" s="1"/>
  <c r="G91" i="1" s="1"/>
  <c r="G92" i="1" s="1"/>
  <c r="G93" i="1" s="1"/>
  <c r="G94" i="1" s="1"/>
  <c r="G95" i="1" s="1"/>
  <c r="G96" i="1" s="1"/>
  <c r="G97" i="1" s="1"/>
  <c r="G98" i="1" s="1"/>
  <c r="G99" i="1" s="1"/>
  <c r="G100" i="1" s="1"/>
  <c r="G101" i="1" s="1"/>
  <c r="G102" i="1" s="1"/>
  <c r="G103" i="1" s="1"/>
  <c r="G104" i="1" s="1"/>
  <c r="G105" i="1" s="1"/>
  <c r="G106" i="1" s="1"/>
  <c r="G107" i="1" s="1"/>
  <c r="G108" i="1" s="1"/>
  <c r="G109" i="1" s="1"/>
  <c r="G110" i="1" s="1"/>
  <c r="G111" i="1" s="1"/>
  <c r="G112" i="1" s="1"/>
  <c r="G113" i="1" s="1"/>
  <c r="G114" i="1" s="1"/>
  <c r="G115" i="1" s="1"/>
  <c r="G116" i="1" s="1"/>
  <c r="G117" i="1" s="1"/>
  <c r="G118" i="1" s="1"/>
  <c r="G119" i="1" s="1"/>
  <c r="G120" i="1" s="1"/>
  <c r="G121" i="1" s="1"/>
  <c r="G122" i="1" s="1"/>
  <c r="G123" i="1" s="1"/>
  <c r="G124" i="1" s="1"/>
  <c r="G125" i="1" s="1"/>
  <c r="R56" i="1"/>
  <c r="S56" i="1" s="1"/>
  <c r="R55" i="1"/>
  <c r="S55" i="1" s="1"/>
  <c r="I55" i="1"/>
  <c r="R54" i="1"/>
  <c r="S54" i="1" s="1"/>
  <c r="Z53" i="1"/>
  <c r="R53" i="1"/>
  <c r="S53" i="1" s="1"/>
  <c r="I53" i="1"/>
  <c r="R52" i="1"/>
  <c r="S52" i="1" s="1"/>
  <c r="R51" i="1"/>
  <c r="S51" i="1" s="1"/>
  <c r="T51" i="1" s="1"/>
  <c r="O51" i="1"/>
  <c r="I51" i="1"/>
  <c r="G51" i="1"/>
  <c r="G52" i="1" s="1"/>
  <c r="G53" i="1" s="1"/>
  <c r="G54" i="1" s="1"/>
  <c r="G55" i="1" s="1"/>
  <c r="G56" i="1" s="1"/>
  <c r="X50" i="1"/>
  <c r="X51" i="1" s="1"/>
  <c r="X52" i="1" s="1"/>
  <c r="X53" i="1" s="1"/>
  <c r="X54" i="1" s="1"/>
  <c r="X55" i="1" s="1"/>
  <c r="X56" i="1" s="1"/>
  <c r="X57" i="1" s="1"/>
  <c r="X58" i="1" s="1"/>
  <c r="X59" i="1" s="1"/>
  <c r="X60" i="1" s="1"/>
  <c r="X61" i="1" s="1"/>
  <c r="X62" i="1" s="1"/>
  <c r="X63" i="1" s="1"/>
  <c r="X64" i="1" s="1"/>
  <c r="X65" i="1" s="1"/>
  <c r="X66" i="1" s="1"/>
  <c r="X67" i="1" s="1"/>
  <c r="X68" i="1" s="1"/>
  <c r="X69" i="1" s="1"/>
  <c r="X70" i="1" s="1"/>
  <c r="X71" i="1" s="1"/>
  <c r="X72" i="1" s="1"/>
  <c r="X73" i="1" s="1"/>
  <c r="X74" i="1" s="1"/>
  <c r="X75" i="1" s="1"/>
  <c r="X76" i="1" s="1"/>
  <c r="X77" i="1" s="1"/>
  <c r="X78" i="1" s="1"/>
  <c r="X79" i="1" s="1"/>
  <c r="X80" i="1" s="1"/>
  <c r="X81" i="1" s="1"/>
  <c r="X82" i="1" s="1"/>
  <c r="X83" i="1" s="1"/>
  <c r="X84" i="1" s="1"/>
  <c r="X85" i="1" s="1"/>
  <c r="X86" i="1" s="1"/>
  <c r="X87" i="1" s="1"/>
  <c r="X88" i="1" s="1"/>
  <c r="X89" i="1" s="1"/>
  <c r="X90" i="1" s="1"/>
  <c r="X91" i="1" s="1"/>
  <c r="X92" i="1" s="1"/>
  <c r="X93" i="1" s="1"/>
  <c r="X94" i="1" s="1"/>
  <c r="X95" i="1" s="1"/>
  <c r="X96" i="1" s="1"/>
  <c r="X97" i="1" s="1"/>
  <c r="X98" i="1" s="1"/>
  <c r="X99" i="1" s="1"/>
  <c r="X100" i="1" s="1"/>
  <c r="X101" i="1" s="1"/>
  <c r="X102" i="1" s="1"/>
  <c r="X103" i="1" s="1"/>
  <c r="X104" i="1" s="1"/>
  <c r="X105" i="1" s="1"/>
  <c r="X106" i="1" s="1"/>
  <c r="X107" i="1" s="1"/>
  <c r="X108" i="1" s="1"/>
  <c r="X109" i="1" s="1"/>
  <c r="X110" i="1" s="1"/>
  <c r="X111" i="1" s="1"/>
  <c r="X112" i="1" s="1"/>
  <c r="X113" i="1" s="1"/>
  <c r="X114" i="1" s="1"/>
  <c r="X115" i="1" s="1"/>
  <c r="X116" i="1" s="1"/>
  <c r="X117" i="1" s="1"/>
  <c r="X118" i="1" s="1"/>
  <c r="X119" i="1" s="1"/>
  <c r="R50" i="1"/>
  <c r="S50" i="1" s="1"/>
  <c r="M50" i="1"/>
  <c r="M51" i="1" s="1"/>
  <c r="M52" i="1" s="1"/>
  <c r="M53" i="1" s="1"/>
  <c r="M54" i="1" s="1"/>
  <c r="M55" i="1" s="1"/>
  <c r="M56" i="1" s="1"/>
  <c r="M57" i="1" s="1"/>
  <c r="M58" i="1" s="1"/>
  <c r="M59" i="1" s="1"/>
  <c r="M60" i="1" s="1"/>
  <c r="M61" i="1" s="1"/>
  <c r="M62" i="1" s="1"/>
  <c r="M63" i="1" s="1"/>
  <c r="M64" i="1" s="1"/>
  <c r="M65" i="1" s="1"/>
  <c r="M66" i="1" s="1"/>
  <c r="M67" i="1" s="1"/>
  <c r="M68" i="1" s="1"/>
  <c r="M69" i="1" s="1"/>
  <c r="M70" i="1" s="1"/>
  <c r="M71" i="1" s="1"/>
  <c r="M72" i="1" s="1"/>
  <c r="M73" i="1" s="1"/>
  <c r="M74" i="1" s="1"/>
  <c r="M75" i="1" s="1"/>
  <c r="M76" i="1" s="1"/>
  <c r="M77" i="1" s="1"/>
  <c r="M78" i="1" s="1"/>
  <c r="M79" i="1" s="1"/>
  <c r="M80" i="1" s="1"/>
  <c r="M81" i="1" s="1"/>
  <c r="M82" i="1" s="1"/>
  <c r="M83" i="1" s="1"/>
  <c r="M84" i="1" s="1"/>
  <c r="M85" i="1" s="1"/>
  <c r="M86" i="1" s="1"/>
  <c r="M87" i="1" s="1"/>
  <c r="M88" i="1" s="1"/>
  <c r="M89" i="1" s="1"/>
  <c r="M90" i="1" s="1"/>
  <c r="M91" i="1" s="1"/>
  <c r="M92" i="1" s="1"/>
  <c r="M93" i="1" s="1"/>
  <c r="M94" i="1" s="1"/>
  <c r="M95" i="1" s="1"/>
  <c r="M96" i="1" s="1"/>
  <c r="M97" i="1" s="1"/>
  <c r="M98" i="1" s="1"/>
  <c r="M99" i="1" s="1"/>
  <c r="M100" i="1" s="1"/>
  <c r="M101" i="1" s="1"/>
  <c r="M102" i="1" s="1"/>
  <c r="M103" i="1" s="1"/>
  <c r="M104" i="1" s="1"/>
  <c r="M105" i="1" s="1"/>
  <c r="M106" i="1" s="1"/>
  <c r="M107" i="1" s="1"/>
  <c r="M108" i="1" s="1"/>
  <c r="M109" i="1" s="1"/>
  <c r="M110" i="1" s="1"/>
  <c r="M111" i="1" s="1"/>
  <c r="M112" i="1" s="1"/>
  <c r="M113" i="1" s="1"/>
  <c r="M114" i="1" s="1"/>
  <c r="M115" i="1" s="1"/>
  <c r="M116" i="1" s="1"/>
  <c r="M117" i="1" s="1"/>
  <c r="M118" i="1" s="1"/>
  <c r="M119" i="1" s="1"/>
  <c r="M120" i="1" s="1"/>
  <c r="M121" i="1" s="1"/>
  <c r="M122" i="1" s="1"/>
  <c r="M123" i="1" s="1"/>
  <c r="M124" i="1" s="1"/>
  <c r="M125" i="1" s="1"/>
  <c r="M126" i="1" s="1"/>
  <c r="M127" i="1" s="1"/>
  <c r="M128" i="1" s="1"/>
  <c r="M129" i="1" s="1"/>
  <c r="M130" i="1" s="1"/>
  <c r="M131" i="1" s="1"/>
  <c r="M132" i="1" s="1"/>
  <c r="M133" i="1" s="1"/>
  <c r="M134" i="1" s="1"/>
  <c r="M135" i="1" s="1"/>
  <c r="M136" i="1" s="1"/>
  <c r="M137" i="1" s="1"/>
  <c r="M138" i="1" s="1"/>
  <c r="M139" i="1" s="1"/>
  <c r="M140" i="1" s="1"/>
  <c r="M141" i="1" s="1"/>
  <c r="M142" i="1" s="1"/>
  <c r="M143" i="1" s="1"/>
  <c r="M144" i="1" s="1"/>
  <c r="M145" i="1" s="1"/>
  <c r="M146" i="1" s="1"/>
  <c r="M147" i="1" s="1"/>
  <c r="M148" i="1" s="1"/>
  <c r="M149" i="1" s="1"/>
  <c r="M150" i="1" s="1"/>
  <c r="M151" i="1" s="1"/>
  <c r="M152" i="1" s="1"/>
  <c r="M153" i="1" s="1"/>
  <c r="M154" i="1" s="1"/>
  <c r="M155" i="1" s="1"/>
  <c r="M156" i="1" s="1"/>
  <c r="M157" i="1" s="1"/>
  <c r="M158" i="1" s="1"/>
  <c r="M159" i="1" s="1"/>
  <c r="M160" i="1" s="1"/>
  <c r="M161" i="1" s="1"/>
  <c r="M162" i="1" s="1"/>
  <c r="M163" i="1" s="1"/>
  <c r="M164" i="1" s="1"/>
  <c r="M165" i="1" s="1"/>
  <c r="M166" i="1" s="1"/>
  <c r="M167" i="1" s="1"/>
  <c r="M168" i="1" s="1"/>
  <c r="M169" i="1" s="1"/>
  <c r="M170" i="1" s="1"/>
  <c r="M171" i="1" s="1"/>
  <c r="M172" i="1" s="1"/>
  <c r="M173" i="1" s="1"/>
  <c r="M174" i="1" s="1"/>
  <c r="M175" i="1" s="1"/>
  <c r="M176" i="1" s="1"/>
  <c r="M177" i="1" s="1"/>
  <c r="M178" i="1" s="1"/>
  <c r="M179" i="1" s="1"/>
  <c r="M180" i="1" s="1"/>
  <c r="M181" i="1" s="1"/>
  <c r="M182" i="1" s="1"/>
  <c r="M183" i="1" s="1"/>
  <c r="M184" i="1" s="1"/>
  <c r="M185" i="1" s="1"/>
  <c r="M186" i="1" s="1"/>
  <c r="M187" i="1" s="1"/>
  <c r="M188" i="1" s="1"/>
  <c r="M189" i="1" s="1"/>
  <c r="M190" i="1" s="1"/>
  <c r="M191" i="1" s="1"/>
  <c r="M192" i="1" s="1"/>
  <c r="M193" i="1" s="1"/>
  <c r="M194" i="1" s="1"/>
  <c r="M195" i="1" s="1"/>
  <c r="M196" i="1" s="1"/>
  <c r="M197" i="1" s="1"/>
  <c r="M198" i="1" s="1"/>
  <c r="M199" i="1" s="1"/>
  <c r="M200" i="1" s="1"/>
  <c r="M201" i="1" s="1"/>
  <c r="M202" i="1" s="1"/>
  <c r="M203" i="1" s="1"/>
  <c r="M204" i="1" s="1"/>
  <c r="M205" i="1" s="1"/>
  <c r="M206" i="1" s="1"/>
  <c r="M207" i="1" s="1"/>
  <c r="M208" i="1" s="1"/>
  <c r="M209" i="1" s="1"/>
  <c r="M210" i="1" s="1"/>
  <c r="M211" i="1" s="1"/>
  <c r="M212" i="1" s="1"/>
  <c r="M213" i="1" s="1"/>
  <c r="M214" i="1" s="1"/>
  <c r="M215" i="1" s="1"/>
  <c r="M216" i="1" s="1"/>
  <c r="M217" i="1" s="1"/>
  <c r="M218" i="1" s="1"/>
  <c r="M219" i="1" s="1"/>
  <c r="M220" i="1" s="1"/>
  <c r="M221" i="1" s="1"/>
  <c r="M222" i="1" s="1"/>
  <c r="M223" i="1" s="1"/>
  <c r="M224" i="1" s="1"/>
  <c r="M225" i="1" s="1"/>
  <c r="M226" i="1" s="1"/>
  <c r="M227" i="1" s="1"/>
  <c r="M228" i="1" s="1"/>
  <c r="M229" i="1" s="1"/>
  <c r="M230" i="1" s="1"/>
  <c r="M231" i="1" s="1"/>
  <c r="M232" i="1" s="1"/>
  <c r="M233" i="1" s="1"/>
  <c r="M234" i="1" s="1"/>
  <c r="M235" i="1" s="1"/>
  <c r="M236" i="1" s="1"/>
  <c r="M237" i="1" s="1"/>
  <c r="M238" i="1" s="1"/>
  <c r="M239" i="1" s="1"/>
  <c r="M240" i="1" s="1"/>
  <c r="M241" i="1" s="1"/>
  <c r="M242" i="1" s="1"/>
  <c r="M243" i="1" s="1"/>
  <c r="M244" i="1" s="1"/>
  <c r="M245" i="1" s="1"/>
  <c r="M246" i="1" s="1"/>
  <c r="M247" i="1" s="1"/>
  <c r="M248" i="1" s="1"/>
  <c r="M249" i="1" s="1"/>
  <c r="M250" i="1" s="1"/>
  <c r="M251" i="1" s="1"/>
  <c r="M252" i="1" s="1"/>
  <c r="M253" i="1" s="1"/>
  <c r="M254" i="1" s="1"/>
  <c r="M255" i="1" s="1"/>
  <c r="M256" i="1" s="1"/>
  <c r="M257" i="1" s="1"/>
  <c r="M258" i="1" s="1"/>
  <c r="M259" i="1" s="1"/>
  <c r="M260" i="1" s="1"/>
  <c r="M261" i="1" s="1"/>
  <c r="M262" i="1" s="1"/>
  <c r="M263" i="1" s="1"/>
  <c r="M264" i="1" s="1"/>
  <c r="M265" i="1" s="1"/>
  <c r="M266" i="1" s="1"/>
  <c r="M267" i="1" s="1"/>
  <c r="M268" i="1" s="1"/>
  <c r="M269" i="1" s="1"/>
  <c r="M270" i="1" s="1"/>
  <c r="M271" i="1" s="1"/>
  <c r="M272" i="1" s="1"/>
  <c r="M273" i="1" s="1"/>
  <c r="M274" i="1" s="1"/>
  <c r="M275" i="1" s="1"/>
  <c r="M276" i="1" s="1"/>
  <c r="M277" i="1" s="1"/>
  <c r="M278" i="1" s="1"/>
  <c r="M279" i="1" s="1"/>
  <c r="M280" i="1" s="1"/>
  <c r="M281" i="1" s="1"/>
  <c r="M282" i="1" s="1"/>
  <c r="M283" i="1" s="1"/>
  <c r="M284" i="1" s="1"/>
  <c r="M285" i="1" s="1"/>
  <c r="M286" i="1" s="1"/>
  <c r="M287" i="1" s="1"/>
  <c r="M288" i="1" s="1"/>
  <c r="M289" i="1" s="1"/>
  <c r="M290" i="1" s="1"/>
  <c r="M291" i="1" s="1"/>
  <c r="M292" i="1" s="1"/>
  <c r="M293" i="1" s="1"/>
  <c r="M294" i="1" s="1"/>
  <c r="M295" i="1" s="1"/>
  <c r="M296" i="1" s="1"/>
  <c r="M297" i="1" s="1"/>
  <c r="M298" i="1" s="1"/>
  <c r="M299" i="1" s="1"/>
  <c r="M300" i="1" s="1"/>
  <c r="M301" i="1" s="1"/>
  <c r="M302" i="1" s="1"/>
  <c r="M303" i="1" s="1"/>
  <c r="M304" i="1" s="1"/>
  <c r="M305" i="1" s="1"/>
  <c r="M306" i="1" s="1"/>
  <c r="M307" i="1" s="1"/>
  <c r="M308" i="1" s="1"/>
  <c r="M309" i="1" s="1"/>
  <c r="M310" i="1" s="1"/>
  <c r="M311" i="1" s="1"/>
  <c r="M312" i="1" s="1"/>
  <c r="M313" i="1" s="1"/>
  <c r="M314" i="1" s="1"/>
  <c r="M315" i="1" s="1"/>
  <c r="M316" i="1" s="1"/>
  <c r="M317" i="1" s="1"/>
  <c r="M318" i="1" s="1"/>
  <c r="M319" i="1" s="1"/>
  <c r="M320" i="1" s="1"/>
  <c r="M321" i="1" s="1"/>
  <c r="M322" i="1" s="1"/>
  <c r="M323" i="1" s="1"/>
  <c r="M324" i="1" s="1"/>
  <c r="M325" i="1" s="1"/>
  <c r="M326" i="1" s="1"/>
  <c r="M327" i="1" s="1"/>
  <c r="M328" i="1" s="1"/>
  <c r="M329" i="1" s="1"/>
  <c r="M330" i="1" s="1"/>
  <c r="M331" i="1" s="1"/>
  <c r="M332" i="1" s="1"/>
  <c r="M333" i="1" s="1"/>
  <c r="M334" i="1" s="1"/>
  <c r="M335" i="1" s="1"/>
  <c r="M336" i="1" s="1"/>
  <c r="M337" i="1" s="1"/>
  <c r="M338" i="1" s="1"/>
  <c r="M339" i="1" s="1"/>
  <c r="M340" i="1" s="1"/>
  <c r="K50" i="1"/>
  <c r="K51" i="1" s="1"/>
  <c r="K52" i="1" s="1"/>
  <c r="K53" i="1" s="1"/>
  <c r="K54" i="1" s="1"/>
  <c r="K55" i="1" s="1"/>
  <c r="K56" i="1" s="1"/>
  <c r="K57" i="1" s="1"/>
  <c r="K58" i="1" s="1"/>
  <c r="K59" i="1" s="1"/>
  <c r="K60" i="1" s="1"/>
  <c r="K61" i="1" s="1"/>
  <c r="K62" i="1" s="1"/>
  <c r="K63" i="1" s="1"/>
  <c r="K64" i="1" s="1"/>
  <c r="K65" i="1" s="1"/>
  <c r="K66" i="1" s="1"/>
  <c r="K67" i="1" s="1"/>
  <c r="K68" i="1" s="1"/>
  <c r="K69" i="1" s="1"/>
  <c r="K70" i="1" s="1"/>
  <c r="K71" i="1" s="1"/>
  <c r="K72" i="1" s="1"/>
  <c r="K73" i="1" s="1"/>
  <c r="K74" i="1" s="1"/>
  <c r="K75" i="1" s="1"/>
  <c r="K76" i="1" s="1"/>
  <c r="K77" i="1" s="1"/>
  <c r="K78" i="1" s="1"/>
  <c r="K79" i="1" s="1"/>
  <c r="K80" i="1" s="1"/>
  <c r="K81" i="1" s="1"/>
  <c r="K82" i="1" s="1"/>
  <c r="K83" i="1" s="1"/>
  <c r="K84" i="1" s="1"/>
  <c r="K85" i="1" s="1"/>
  <c r="K86" i="1" s="1"/>
  <c r="K87" i="1" s="1"/>
  <c r="K88" i="1" s="1"/>
  <c r="K89" i="1" s="1"/>
  <c r="K90" i="1" s="1"/>
  <c r="K91" i="1" s="1"/>
  <c r="K92" i="1" s="1"/>
  <c r="K93" i="1" s="1"/>
  <c r="K94" i="1" s="1"/>
  <c r="K95" i="1" s="1"/>
  <c r="K96" i="1" s="1"/>
  <c r="K97" i="1" s="1"/>
  <c r="K98" i="1" s="1"/>
  <c r="K99" i="1" s="1"/>
  <c r="K100" i="1" s="1"/>
  <c r="K101" i="1" s="1"/>
  <c r="K102" i="1" s="1"/>
  <c r="K103" i="1" s="1"/>
  <c r="K104" i="1" s="1"/>
  <c r="K105" i="1" s="1"/>
  <c r="K106" i="1" s="1"/>
  <c r="K107" i="1" s="1"/>
  <c r="K108" i="1" s="1"/>
  <c r="K109" i="1" s="1"/>
  <c r="K110" i="1" s="1"/>
  <c r="K111" i="1" s="1"/>
  <c r="K112" i="1" s="1"/>
  <c r="K113" i="1" s="1"/>
  <c r="K114" i="1" s="1"/>
  <c r="K115" i="1" s="1"/>
  <c r="K116" i="1" s="1"/>
  <c r="K117" i="1" s="1"/>
  <c r="K118" i="1" s="1"/>
  <c r="K119" i="1" s="1"/>
  <c r="K120" i="1" s="1"/>
  <c r="K121" i="1" s="1"/>
  <c r="K122" i="1" s="1"/>
  <c r="K123" i="1" s="1"/>
  <c r="K124" i="1" s="1"/>
  <c r="K125" i="1" s="1"/>
  <c r="K126" i="1" s="1"/>
  <c r="K127" i="1" s="1"/>
  <c r="K128" i="1" s="1"/>
  <c r="K129" i="1" s="1"/>
  <c r="K130" i="1" s="1"/>
  <c r="K131" i="1" s="1"/>
  <c r="K132" i="1" s="1"/>
  <c r="K133" i="1" s="1"/>
  <c r="K134" i="1" s="1"/>
  <c r="K135" i="1" s="1"/>
  <c r="K136" i="1" s="1"/>
  <c r="K137" i="1" s="1"/>
  <c r="K138" i="1" s="1"/>
  <c r="K139" i="1" s="1"/>
  <c r="K140" i="1" s="1"/>
  <c r="K141" i="1" s="1"/>
  <c r="K142" i="1" s="1"/>
  <c r="K143" i="1" s="1"/>
  <c r="K144" i="1" s="1"/>
  <c r="K145" i="1" s="1"/>
  <c r="K146" i="1" s="1"/>
  <c r="K147" i="1" s="1"/>
  <c r="K148" i="1" s="1"/>
  <c r="K149" i="1" s="1"/>
  <c r="K150" i="1" s="1"/>
  <c r="K151" i="1" s="1"/>
  <c r="K152" i="1" s="1"/>
  <c r="K153" i="1" s="1"/>
  <c r="K154" i="1" s="1"/>
  <c r="K155" i="1" s="1"/>
  <c r="K156" i="1" s="1"/>
  <c r="K157" i="1" s="1"/>
  <c r="K158" i="1" s="1"/>
  <c r="K159" i="1" s="1"/>
  <c r="K160" i="1" s="1"/>
  <c r="K161" i="1" s="1"/>
  <c r="K162" i="1" s="1"/>
  <c r="K163" i="1" s="1"/>
  <c r="K164" i="1" s="1"/>
  <c r="K165" i="1" s="1"/>
  <c r="K166" i="1" s="1"/>
  <c r="K167" i="1" s="1"/>
  <c r="K168" i="1" s="1"/>
  <c r="K169" i="1" s="1"/>
  <c r="K170" i="1" s="1"/>
  <c r="K171" i="1" s="1"/>
  <c r="K172" i="1" s="1"/>
  <c r="K173" i="1" s="1"/>
  <c r="K174" i="1" s="1"/>
  <c r="K175" i="1" s="1"/>
  <c r="K176" i="1" s="1"/>
  <c r="K177" i="1" s="1"/>
  <c r="K178" i="1" s="1"/>
  <c r="K179" i="1" s="1"/>
  <c r="K180" i="1" s="1"/>
  <c r="K181" i="1" s="1"/>
  <c r="K182" i="1" s="1"/>
  <c r="K183" i="1" s="1"/>
  <c r="K184" i="1" s="1"/>
  <c r="K185" i="1" s="1"/>
  <c r="K186" i="1" s="1"/>
  <c r="K187" i="1" s="1"/>
  <c r="K188" i="1" s="1"/>
  <c r="K189" i="1" s="1"/>
  <c r="K190" i="1" s="1"/>
  <c r="K191" i="1" s="1"/>
  <c r="K192" i="1" s="1"/>
  <c r="K193" i="1" s="1"/>
  <c r="K194" i="1" s="1"/>
  <c r="K195" i="1" s="1"/>
  <c r="K196" i="1" s="1"/>
  <c r="K197" i="1" s="1"/>
  <c r="K198" i="1" s="1"/>
  <c r="K199" i="1" s="1"/>
  <c r="K200" i="1" s="1"/>
  <c r="K201" i="1" s="1"/>
  <c r="K202" i="1" s="1"/>
  <c r="K203" i="1" s="1"/>
  <c r="K204" i="1" s="1"/>
  <c r="K205" i="1" s="1"/>
  <c r="K206" i="1" s="1"/>
  <c r="K207" i="1" s="1"/>
  <c r="K208" i="1" s="1"/>
  <c r="K209" i="1" s="1"/>
  <c r="K210" i="1" s="1"/>
  <c r="K211" i="1" s="1"/>
  <c r="K212" i="1" s="1"/>
  <c r="K213" i="1" s="1"/>
  <c r="K214" i="1" s="1"/>
  <c r="K215" i="1" s="1"/>
  <c r="K216" i="1" s="1"/>
  <c r="K217" i="1" s="1"/>
  <c r="K218" i="1" s="1"/>
  <c r="K219" i="1" s="1"/>
  <c r="K220" i="1" s="1"/>
  <c r="K221" i="1" s="1"/>
  <c r="K222" i="1" s="1"/>
  <c r="K223" i="1" s="1"/>
  <c r="K224" i="1" s="1"/>
  <c r="K225" i="1" s="1"/>
  <c r="K226" i="1" s="1"/>
  <c r="K227" i="1" s="1"/>
  <c r="K228" i="1" s="1"/>
  <c r="K229" i="1" s="1"/>
  <c r="K230" i="1" s="1"/>
  <c r="K231" i="1" s="1"/>
  <c r="K232" i="1" s="1"/>
  <c r="K233" i="1" s="1"/>
  <c r="K234" i="1" s="1"/>
  <c r="K235" i="1" s="1"/>
  <c r="K236" i="1" s="1"/>
  <c r="K237" i="1" s="1"/>
  <c r="K238" i="1" s="1"/>
  <c r="K239" i="1" s="1"/>
  <c r="K240" i="1" s="1"/>
  <c r="K241" i="1" s="1"/>
  <c r="K242" i="1" s="1"/>
  <c r="K243" i="1" s="1"/>
  <c r="K244" i="1" s="1"/>
  <c r="K245" i="1" s="1"/>
  <c r="K246" i="1" s="1"/>
  <c r="K247" i="1" s="1"/>
  <c r="K248" i="1" s="1"/>
  <c r="K249" i="1" s="1"/>
  <c r="K250" i="1" s="1"/>
  <c r="K251" i="1" s="1"/>
  <c r="K252" i="1" s="1"/>
  <c r="K253" i="1" s="1"/>
  <c r="K254" i="1" s="1"/>
  <c r="K255" i="1" s="1"/>
  <c r="K256" i="1" s="1"/>
  <c r="K257" i="1" s="1"/>
  <c r="K258" i="1" s="1"/>
  <c r="K259" i="1" s="1"/>
  <c r="K260" i="1" s="1"/>
  <c r="K261" i="1" s="1"/>
  <c r="K262" i="1" s="1"/>
  <c r="K263" i="1" s="1"/>
  <c r="K264" i="1" s="1"/>
  <c r="K265" i="1" s="1"/>
  <c r="K266" i="1" s="1"/>
  <c r="K267" i="1" s="1"/>
  <c r="K268" i="1" s="1"/>
  <c r="K269" i="1" s="1"/>
  <c r="K270" i="1" s="1"/>
  <c r="K271" i="1" s="1"/>
  <c r="K272" i="1" s="1"/>
  <c r="K273" i="1" s="1"/>
  <c r="K274" i="1" s="1"/>
  <c r="K275" i="1" s="1"/>
  <c r="K276" i="1" s="1"/>
  <c r="K277" i="1" s="1"/>
  <c r="K278" i="1" s="1"/>
  <c r="K279" i="1" s="1"/>
  <c r="K280" i="1" s="1"/>
  <c r="K281" i="1" s="1"/>
  <c r="K282" i="1" s="1"/>
  <c r="K283" i="1" s="1"/>
  <c r="K284" i="1" s="1"/>
  <c r="K285" i="1" s="1"/>
  <c r="K286" i="1" s="1"/>
  <c r="K287" i="1" s="1"/>
  <c r="K288" i="1" s="1"/>
  <c r="K289" i="1" s="1"/>
  <c r="K290" i="1" s="1"/>
  <c r="K291" i="1" s="1"/>
  <c r="K292" i="1" s="1"/>
  <c r="K293" i="1" s="1"/>
  <c r="K294" i="1" s="1"/>
  <c r="K295" i="1" s="1"/>
  <c r="K296" i="1" s="1"/>
  <c r="K297" i="1" s="1"/>
  <c r="K298" i="1" s="1"/>
  <c r="K299" i="1" s="1"/>
  <c r="K300" i="1" s="1"/>
  <c r="K301" i="1" s="1"/>
  <c r="K302" i="1" s="1"/>
  <c r="K303" i="1" s="1"/>
  <c r="K304" i="1" s="1"/>
  <c r="K305" i="1" s="1"/>
  <c r="K306" i="1" s="1"/>
  <c r="K307" i="1" s="1"/>
  <c r="K308" i="1" s="1"/>
  <c r="K309" i="1" s="1"/>
  <c r="K310" i="1" s="1"/>
  <c r="K311" i="1" s="1"/>
  <c r="K312" i="1" s="1"/>
  <c r="K313" i="1" s="1"/>
  <c r="K314" i="1" s="1"/>
  <c r="K315" i="1" s="1"/>
  <c r="K316" i="1" s="1"/>
  <c r="K317" i="1" s="1"/>
  <c r="K318" i="1" s="1"/>
  <c r="K319" i="1" s="1"/>
  <c r="K320" i="1" s="1"/>
  <c r="K321" i="1" s="1"/>
  <c r="K322" i="1" s="1"/>
  <c r="K323" i="1" s="1"/>
  <c r="K324" i="1" s="1"/>
  <c r="K325" i="1" s="1"/>
  <c r="K326" i="1" s="1"/>
  <c r="K327" i="1" s="1"/>
  <c r="K328" i="1" s="1"/>
  <c r="K329" i="1" s="1"/>
  <c r="K330" i="1" s="1"/>
  <c r="K331" i="1" s="1"/>
  <c r="K332" i="1" s="1"/>
  <c r="K333" i="1" s="1"/>
  <c r="K334" i="1" s="1"/>
  <c r="K335" i="1" s="1"/>
  <c r="K336" i="1" s="1"/>
  <c r="K337" i="1" s="1"/>
  <c r="K338" i="1" s="1"/>
  <c r="K339" i="1" s="1"/>
  <c r="K340" i="1" s="1"/>
  <c r="O42" i="1"/>
  <c r="O43" i="1" s="1"/>
  <c r="O44" i="1" s="1"/>
  <c r="O45" i="1" s="1"/>
  <c r="O46" i="1" s="1"/>
  <c r="O47" i="1" s="1"/>
  <c r="O48" i="1" s="1"/>
  <c r="O29" i="1"/>
  <c r="O30" i="1" s="1"/>
  <c r="O31" i="1" s="1"/>
  <c r="O18" i="1"/>
  <c r="O19" i="1" s="1"/>
  <c r="O20" i="1" s="1"/>
  <c r="O21" i="1" s="1"/>
  <c r="O22" i="1" s="1"/>
  <c r="O14" i="1"/>
  <c r="O6" i="1"/>
  <c r="O7" i="1" s="1"/>
  <c r="O8" i="1" s="1"/>
  <c r="O9" i="1" s="1"/>
  <c r="U131" i="2" l="1"/>
  <c r="U135" i="2" s="1"/>
  <c r="T170" i="2"/>
  <c r="T171" i="2" s="1"/>
  <c r="T172" i="2" s="1"/>
  <c r="T173" i="2" s="1"/>
  <c r="T174" i="2" s="1"/>
  <c r="T175" i="2" s="1"/>
  <c r="T176" i="2" s="1"/>
  <c r="T177" i="2" s="1"/>
  <c r="T178" i="2" s="1"/>
  <c r="T179" i="2" s="1"/>
  <c r="T180" i="2" s="1"/>
  <c r="T181" i="2" s="1"/>
  <c r="T182" i="2" s="1"/>
  <c r="T183" i="2" s="1"/>
  <c r="T184" i="2" s="1"/>
  <c r="T185" i="2" s="1"/>
  <c r="T186" i="2" s="1"/>
  <c r="T187" i="2" s="1"/>
  <c r="T188" i="2" s="1"/>
  <c r="T189" i="2" s="1"/>
  <c r="T190" i="2" s="1"/>
  <c r="T191" i="2" s="1"/>
  <c r="T192" i="2" s="1"/>
  <c r="T193" i="2" s="1"/>
  <c r="T194" i="2" s="1"/>
  <c r="T195" i="2" s="1"/>
  <c r="T196" i="2" s="1"/>
  <c r="T197" i="2" s="1"/>
  <c r="T198" i="2" s="1"/>
  <c r="T199" i="2" s="1"/>
  <c r="T200" i="2" s="1"/>
  <c r="T201" i="2" s="1"/>
  <c r="T202" i="2" s="1"/>
  <c r="T203" i="2" s="1"/>
  <c r="T204" i="2" s="1"/>
  <c r="T205" i="2" s="1"/>
  <c r="T206" i="2" s="1"/>
  <c r="T207" i="2" s="1"/>
  <c r="T208" i="2" s="1"/>
  <c r="T209" i="2" s="1"/>
  <c r="T210" i="2" s="1"/>
  <c r="T211" i="2" s="1"/>
  <c r="T212" i="2" s="1"/>
  <c r="T213" i="2" s="1"/>
  <c r="T214" i="2" s="1"/>
  <c r="T215" i="2" s="1"/>
  <c r="T216" i="2" s="1"/>
  <c r="T217" i="2" s="1"/>
  <c r="T218" i="2" s="1"/>
  <c r="T219" i="2" s="1"/>
  <c r="T220" i="2" s="1"/>
  <c r="T221" i="2" s="1"/>
  <c r="T222" i="2" s="1"/>
  <c r="T223" i="2" s="1"/>
  <c r="T224" i="2" s="1"/>
  <c r="T225" i="2" s="1"/>
  <c r="T226" i="2" s="1"/>
  <c r="T227" i="2" s="1"/>
  <c r="T228" i="2" s="1"/>
  <c r="T229" i="2" s="1"/>
  <c r="T230" i="2" s="1"/>
  <c r="T231" i="2" s="1"/>
  <c r="T232" i="2" s="1"/>
  <c r="T233" i="2" s="1"/>
  <c r="T234" i="2" s="1"/>
  <c r="T235" i="2" s="1"/>
  <c r="T236" i="2" s="1"/>
  <c r="T237" i="2" s="1"/>
  <c r="T238" i="2" s="1"/>
  <c r="T239" i="2" s="1"/>
  <c r="T240" i="2" s="1"/>
  <c r="T241" i="2" s="1"/>
  <c r="T242" i="2" s="1"/>
  <c r="T243" i="2" s="1"/>
  <c r="U127" i="2"/>
  <c r="T64" i="1"/>
  <c r="T65" i="1" s="1"/>
  <c r="T66" i="1" s="1"/>
  <c r="T67" i="1" s="1"/>
  <c r="T68" i="1" s="1"/>
  <c r="T69" i="1" s="1"/>
  <c r="T70" i="1" s="1"/>
  <c r="T71" i="1" s="1"/>
  <c r="T72" i="1" s="1"/>
  <c r="T73" i="1" s="1"/>
  <c r="T74" i="1" s="1"/>
  <c r="T75" i="1" s="1"/>
  <c r="T76" i="1" s="1"/>
  <c r="T77" i="1" s="1"/>
  <c r="T78" i="1" s="1"/>
  <c r="T79" i="1" s="1"/>
  <c r="T80" i="1" s="1"/>
  <c r="T81" i="1" s="1"/>
  <c r="T82" i="1" s="1"/>
  <c r="T83" i="1" s="1"/>
  <c r="T84" i="1" s="1"/>
  <c r="T85" i="1" s="1"/>
  <c r="T86" i="1" s="1"/>
  <c r="T87" i="1" s="1"/>
  <c r="T88" i="1" s="1"/>
  <c r="T89" i="1" s="1"/>
  <c r="T90" i="1" s="1"/>
  <c r="T91" i="1" s="1"/>
  <c r="T92" i="1" s="1"/>
  <c r="T93" i="1" s="1"/>
  <c r="T94" i="1" s="1"/>
  <c r="T95" i="1" s="1"/>
  <c r="T96" i="1" s="1"/>
  <c r="T97" i="1" s="1"/>
  <c r="T98" i="1" s="1"/>
  <c r="T99" i="1" s="1"/>
  <c r="T100" i="1" s="1"/>
  <c r="T101" i="1" s="1"/>
  <c r="T102" i="1" s="1"/>
  <c r="T103" i="1" s="1"/>
  <c r="T104" i="1" s="1"/>
  <c r="T105" i="1" s="1"/>
  <c r="T106" i="1" s="1"/>
  <c r="T107" i="1" s="1"/>
  <c r="T108" i="1" s="1"/>
  <c r="T109" i="1" s="1"/>
  <c r="T110" i="1" s="1"/>
  <c r="T111" i="1" s="1"/>
  <c r="T112" i="1" s="1"/>
  <c r="T113" i="1" s="1"/>
  <c r="T115" i="1" s="1"/>
  <c r="T116" i="1" s="1"/>
  <c r="T117" i="1" s="1"/>
  <c r="T118" i="1" s="1"/>
  <c r="T119" i="1" s="1"/>
  <c r="T120" i="1" s="1"/>
  <c r="T314" i="1"/>
  <c r="T315" i="1" s="1"/>
  <c r="T316" i="1" s="1"/>
  <c r="T317" i="1" s="1"/>
  <c r="T318" i="1" s="1"/>
  <c r="T319" i="1" s="1"/>
  <c r="T320" i="1" s="1"/>
  <c r="T321" i="1" s="1"/>
  <c r="T322" i="1" s="1"/>
  <c r="T323" i="1" s="1"/>
  <c r="T324" i="1" s="1"/>
  <c r="T325" i="1" s="1"/>
  <c r="T326" i="1" s="1"/>
  <c r="T327" i="1" s="1"/>
  <c r="T328" i="1" s="1"/>
  <c r="T329" i="1" s="1"/>
  <c r="T330" i="1" s="1"/>
  <c r="T331" i="1" s="1"/>
  <c r="T332" i="1" s="1"/>
  <c r="T333" i="1" s="1"/>
  <c r="T334" i="1" s="1"/>
  <c r="T335" i="1" s="1"/>
  <c r="T336" i="1" s="1"/>
  <c r="T337" i="1" s="1"/>
  <c r="T338" i="1" s="1"/>
  <c r="T339" i="1" s="1"/>
  <c r="T340" i="1" s="1"/>
  <c r="W119" i="1"/>
  <c r="X120" i="1"/>
  <c r="X121" i="1" s="1"/>
  <c r="X122" i="1" s="1"/>
  <c r="X123" i="1" s="1"/>
  <c r="X124" i="1" s="1"/>
  <c r="X125" i="1" s="1"/>
  <c r="X126" i="1" s="1"/>
  <c r="X127" i="1" s="1"/>
  <c r="X128" i="1" s="1"/>
  <c r="X129" i="1" s="1"/>
  <c r="X130" i="1" s="1"/>
  <c r="X131" i="1" s="1"/>
  <c r="X132" i="1" s="1"/>
  <c r="X133" i="1" s="1"/>
  <c r="X134" i="1" s="1"/>
  <c r="X135" i="1" s="1"/>
  <c r="X136" i="1" s="1"/>
  <c r="X137" i="1" s="1"/>
  <c r="X138" i="1" s="1"/>
  <c r="X139" i="1" s="1"/>
  <c r="X140" i="1" s="1"/>
  <c r="X141" i="1" s="1"/>
  <c r="X142" i="1" s="1"/>
  <c r="X143" i="1" s="1"/>
  <c r="X144" i="1" s="1"/>
  <c r="X145" i="1" s="1"/>
  <c r="X146" i="1" s="1"/>
  <c r="X147" i="1" s="1"/>
  <c r="X148" i="1" s="1"/>
  <c r="X149" i="1" s="1"/>
  <c r="X150" i="1" s="1"/>
  <c r="X151" i="1" s="1"/>
  <c r="X152" i="1" s="1"/>
  <c r="X153" i="1" s="1"/>
  <c r="X154" i="1" s="1"/>
  <c r="X155" i="1" s="1"/>
  <c r="X156" i="1" s="1"/>
  <c r="X157" i="1" s="1"/>
  <c r="X158" i="1" s="1"/>
  <c r="X159" i="1" s="1"/>
  <c r="X160" i="1" s="1"/>
  <c r="X161" i="1" s="1"/>
  <c r="X162" i="1" s="1"/>
  <c r="X163" i="1" s="1"/>
  <c r="X164" i="1" s="1"/>
  <c r="X165" i="1" s="1"/>
  <c r="X166" i="1" s="1"/>
  <c r="X167" i="1" s="1"/>
  <c r="X168" i="1" s="1"/>
  <c r="X169" i="1" s="1"/>
  <c r="X170" i="1" s="1"/>
  <c r="X171" i="1" s="1"/>
  <c r="X172" i="1" s="1"/>
  <c r="X173" i="1" s="1"/>
  <c r="X174" i="1" s="1"/>
  <c r="X175" i="1" s="1"/>
  <c r="X176" i="1" s="1"/>
  <c r="X177" i="1" s="1"/>
  <c r="X178" i="1" s="1"/>
  <c r="X179" i="1" s="1"/>
  <c r="X180" i="1" s="1"/>
  <c r="X181" i="1" s="1"/>
  <c r="X182" i="1" s="1"/>
  <c r="X183" i="1" s="1"/>
  <c r="X184" i="1" s="1"/>
  <c r="X185" i="1" s="1"/>
  <c r="X186" i="1" s="1"/>
  <c r="X187" i="1" s="1"/>
  <c r="X188" i="1" s="1"/>
  <c r="X189" i="1" s="1"/>
  <c r="X190" i="1" s="1"/>
  <c r="X191" i="1" s="1"/>
  <c r="X192" i="1" s="1"/>
  <c r="X193" i="1" s="1"/>
  <c r="X194" i="1" s="1"/>
  <c r="X195" i="1" s="1"/>
  <c r="X196" i="1" s="1"/>
  <c r="X197" i="1" s="1"/>
  <c r="X198" i="1" s="1"/>
  <c r="X199" i="1" s="1"/>
  <c r="X200" i="1" s="1"/>
  <c r="X201" i="1" s="1"/>
  <c r="X202" i="1" s="1"/>
  <c r="X203" i="1" s="1"/>
  <c r="X204" i="1" s="1"/>
  <c r="X205" i="1" s="1"/>
  <c r="X206" i="1" s="1"/>
  <c r="X207" i="1" s="1"/>
  <c r="X208" i="1" s="1"/>
  <c r="X209" i="1" s="1"/>
  <c r="X210" i="1" s="1"/>
  <c r="X211" i="1" s="1"/>
  <c r="X212" i="1" s="1"/>
  <c r="X213" i="1" s="1"/>
  <c r="X214" i="1" s="1"/>
  <c r="X215" i="1" s="1"/>
  <c r="X216" i="1" s="1"/>
  <c r="X217" i="1" s="1"/>
  <c r="X218" i="1" s="1"/>
  <c r="X219" i="1" s="1"/>
  <c r="X220" i="1" s="1"/>
  <c r="X221" i="1" s="1"/>
  <c r="X222" i="1" s="1"/>
  <c r="X223" i="1" s="1"/>
  <c r="X224" i="1" s="1"/>
  <c r="X225" i="1" s="1"/>
  <c r="X226" i="1" s="1"/>
  <c r="X227" i="1" s="1"/>
  <c r="X228" i="1" s="1"/>
  <c r="X229" i="1" s="1"/>
  <c r="X230" i="1" s="1"/>
  <c r="X231" i="1" s="1"/>
  <c r="X232" i="1" s="1"/>
  <c r="X233" i="1" s="1"/>
  <c r="X234" i="1" s="1"/>
  <c r="X235" i="1" s="1"/>
  <c r="X236" i="1" s="1"/>
  <c r="X237" i="1" s="1"/>
  <c r="X238" i="1" s="1"/>
  <c r="X239" i="1" s="1"/>
  <c r="X240" i="1" s="1"/>
  <c r="X241" i="1" s="1"/>
  <c r="X242" i="1" s="1"/>
  <c r="X243" i="1" s="1"/>
  <c r="X244" i="1" s="1"/>
  <c r="X245" i="1" s="1"/>
  <c r="X246" i="1" s="1"/>
  <c r="X247" i="1" s="1"/>
  <c r="X248" i="1" s="1"/>
  <c r="X249" i="1" s="1"/>
  <c r="X250" i="1" s="1"/>
  <c r="X251" i="1" s="1"/>
  <c r="X252" i="1" s="1"/>
  <c r="X253" i="1" s="1"/>
  <c r="X254" i="1" s="1"/>
  <c r="X255" i="1" s="1"/>
  <c r="X256" i="1" s="1"/>
  <c r="X257" i="1" s="1"/>
  <c r="X258" i="1" s="1"/>
  <c r="X259" i="1" s="1"/>
  <c r="X260" i="1" s="1"/>
  <c r="X261" i="1" s="1"/>
  <c r="X262" i="1" s="1"/>
  <c r="X263" i="1" s="1"/>
  <c r="X264" i="1" s="1"/>
  <c r="X265" i="1" s="1"/>
  <c r="X266" i="1" s="1"/>
  <c r="X267" i="1" s="1"/>
  <c r="X268" i="1" s="1"/>
  <c r="X269" i="1" s="1"/>
  <c r="X270" i="1" s="1"/>
  <c r="X271" i="1" s="1"/>
  <c r="X272" i="1" s="1"/>
  <c r="X273" i="1" s="1"/>
  <c r="X274" i="1" s="1"/>
  <c r="X275" i="1" s="1"/>
  <c r="X276" i="1" s="1"/>
  <c r="X277" i="1" s="1"/>
  <c r="X278" i="1" s="1"/>
  <c r="X279" i="1" s="1"/>
  <c r="X280" i="1" s="1"/>
  <c r="X281" i="1" s="1"/>
  <c r="X282" i="1" s="1"/>
  <c r="X283" i="1" s="1"/>
  <c r="X284" i="1" s="1"/>
  <c r="X285" i="1" s="1"/>
  <c r="X286" i="1" s="1"/>
  <c r="X287" i="1" s="1"/>
  <c r="X288" i="1" s="1"/>
  <c r="X289" i="1" s="1"/>
  <c r="X290" i="1" s="1"/>
  <c r="X291" i="1" s="1"/>
  <c r="X292" i="1" s="1"/>
  <c r="X293" i="1" s="1"/>
  <c r="X294" i="1" s="1"/>
  <c r="X295" i="1" s="1"/>
  <c r="X296" i="1" s="1"/>
  <c r="X297" i="1" s="1"/>
  <c r="X298" i="1" s="1"/>
  <c r="X299" i="1" s="1"/>
  <c r="X300" i="1" s="1"/>
  <c r="X301" i="1" s="1"/>
  <c r="X302" i="1" s="1"/>
  <c r="X303" i="1" s="1"/>
  <c r="X304" i="1" s="1"/>
  <c r="X305" i="1" s="1"/>
  <c r="X306" i="1" s="1"/>
  <c r="X307" i="1" s="1"/>
  <c r="X308" i="1" s="1"/>
  <c r="X309" i="1" s="1"/>
  <c r="X310" i="1" s="1"/>
  <c r="X311" i="1" s="1"/>
  <c r="X312" i="1" s="1"/>
  <c r="X313" i="1" s="1"/>
  <c r="X314" i="1" s="1"/>
  <c r="X315" i="1" s="1"/>
  <c r="X316" i="1" s="1"/>
  <c r="X317" i="1" s="1"/>
  <c r="X318" i="1" s="1"/>
  <c r="X319" i="1" s="1"/>
  <c r="X320" i="1" s="1"/>
  <c r="X321" i="1" s="1"/>
  <c r="X322" i="1" s="1"/>
  <c r="X323" i="1" s="1"/>
  <c r="X324" i="1" s="1"/>
  <c r="X325" i="1" s="1"/>
  <c r="X326" i="1" s="1"/>
  <c r="X327" i="1" s="1"/>
  <c r="X328" i="1" s="1"/>
  <c r="X329" i="1" s="1"/>
  <c r="X330" i="1" s="1"/>
  <c r="X331" i="1" s="1"/>
  <c r="X332" i="1" s="1"/>
  <c r="X333" i="1" s="1"/>
  <c r="X334" i="1" s="1"/>
  <c r="X335" i="1" s="1"/>
  <c r="X336" i="1" s="1"/>
  <c r="X337" i="1" s="1"/>
  <c r="X338" i="1" s="1"/>
  <c r="X339" i="1" s="1"/>
  <c r="X340" i="1" s="1"/>
  <c r="T52" i="1"/>
  <c r="U180" i="2" l="1"/>
  <c r="U182" i="2" s="1"/>
  <c r="U176" i="2"/>
  <c r="T244" i="2"/>
  <c r="T245" i="2" s="1"/>
  <c r="T246" i="2" s="1"/>
  <c r="T247" i="2" s="1"/>
  <c r="T248" i="2" s="1"/>
  <c r="T249" i="2" s="1"/>
  <c r="T250" i="2" s="1"/>
  <c r="T251" i="2" s="1"/>
  <c r="T252" i="2" s="1"/>
  <c r="T253" i="2" s="1"/>
  <c r="T254" i="2" s="1"/>
  <c r="T255" i="2" s="1"/>
  <c r="T256" i="2" s="1"/>
  <c r="T257" i="2" s="1"/>
  <c r="T258" i="2" s="1"/>
  <c r="T259" i="2" s="1"/>
  <c r="T260" i="2" s="1"/>
  <c r="T261" i="2" s="1"/>
  <c r="T262" i="2" s="1"/>
  <c r="T263" i="2" s="1"/>
  <c r="T264" i="2" s="1"/>
  <c r="U178" i="2"/>
  <c r="U317" i="1"/>
  <c r="U315" i="1"/>
  <c r="T53" i="1"/>
  <c r="U59" i="1" s="1"/>
  <c r="T121" i="1"/>
  <c r="T122" i="1" s="1"/>
  <c r="T123" i="1" s="1"/>
  <c r="T124" i="1" s="1"/>
  <c r="T125" i="1" s="1"/>
  <c r="T126" i="1" s="1"/>
  <c r="T127" i="1" s="1"/>
  <c r="T128" i="1" s="1"/>
  <c r="T129" i="1" s="1"/>
  <c r="T130" i="1" s="1"/>
  <c r="T131" i="1" s="1"/>
  <c r="T132" i="1" s="1"/>
  <c r="T133" i="1" s="1"/>
  <c r="T134" i="1" s="1"/>
  <c r="T135" i="1" s="1"/>
  <c r="T136" i="1" s="1"/>
  <c r="T137" i="1" s="1"/>
  <c r="T138" i="1" s="1"/>
  <c r="T139" i="1" s="1"/>
  <c r="T140" i="1" s="1"/>
  <c r="T141" i="1" s="1"/>
  <c r="T142" i="1" s="1"/>
  <c r="T143" i="1" s="1"/>
  <c r="T144" i="1" s="1"/>
  <c r="T145" i="1" s="1"/>
  <c r="T146" i="1" s="1"/>
  <c r="T147" i="1" s="1"/>
  <c r="T148" i="1" s="1"/>
  <c r="T149" i="1" s="1"/>
  <c r="T150" i="1" s="1"/>
  <c r="T151" i="1" s="1"/>
  <c r="T152" i="1" s="1"/>
  <c r="T153" i="1" s="1"/>
  <c r="T154" i="1" s="1"/>
  <c r="T155" i="1" s="1"/>
  <c r="T156" i="1" s="1"/>
  <c r="T157" i="1" s="1"/>
  <c r="T158" i="1" s="1"/>
  <c r="T159" i="1" s="1"/>
  <c r="T160" i="1" s="1"/>
  <c r="T161" i="1" s="1"/>
  <c r="T162" i="1" s="1"/>
  <c r="T163" i="1" s="1"/>
  <c r="T164" i="1" s="1"/>
  <c r="T165" i="1" s="1"/>
  <c r="T166" i="1" s="1"/>
  <c r="T167" i="1" s="1"/>
  <c r="T168" i="1" s="1"/>
  <c r="T169" i="1" s="1"/>
  <c r="U250" i="2" l="1"/>
  <c r="U252" i="2"/>
  <c r="U254" i="2"/>
  <c r="U256" i="2" s="1"/>
  <c r="T265" i="2"/>
  <c r="T266" i="2" s="1"/>
  <c r="T267" i="2" s="1"/>
  <c r="T268" i="2" s="1"/>
  <c r="T269" i="2" s="1"/>
  <c r="T270" i="2" s="1"/>
  <c r="T271" i="2" s="1"/>
  <c r="T272" i="2" s="1"/>
  <c r="T273" i="2" s="1"/>
  <c r="T274" i="2" s="1"/>
  <c r="T275" i="2" s="1"/>
  <c r="T276" i="2" s="1"/>
  <c r="T277" i="2" s="1"/>
  <c r="T278" i="2" s="1"/>
  <c r="T279" i="2" s="1"/>
  <c r="T280" i="2" s="1"/>
  <c r="T281" i="2" s="1"/>
  <c r="T282" i="2" s="1"/>
  <c r="T283" i="2" s="1"/>
  <c r="T284" i="2" s="1"/>
  <c r="T285" i="2" s="1"/>
  <c r="U61" i="1"/>
  <c r="U131" i="1"/>
  <c r="T170" i="1"/>
  <c r="T171" i="1" s="1"/>
  <c r="T172" i="1" s="1"/>
  <c r="T173" i="1" s="1"/>
  <c r="T174" i="1" s="1"/>
  <c r="T175" i="1" s="1"/>
  <c r="T176" i="1" s="1"/>
  <c r="T177" i="1" s="1"/>
  <c r="T178" i="1" s="1"/>
  <c r="T179" i="1" s="1"/>
  <c r="T180" i="1" s="1"/>
  <c r="T181" i="1" s="1"/>
  <c r="T182" i="1" s="1"/>
  <c r="T183" i="1" s="1"/>
  <c r="T184" i="1" s="1"/>
  <c r="T185" i="1" s="1"/>
  <c r="T186" i="1" s="1"/>
  <c r="T187" i="1" s="1"/>
  <c r="T188" i="1" s="1"/>
  <c r="T189" i="1" s="1"/>
  <c r="T190" i="1" s="1"/>
  <c r="T191" i="1" s="1"/>
  <c r="T192" i="1" s="1"/>
  <c r="T193" i="1" s="1"/>
  <c r="T194" i="1" s="1"/>
  <c r="T195" i="1" s="1"/>
  <c r="T196" i="1" s="1"/>
  <c r="T197" i="1" s="1"/>
  <c r="T198" i="1" s="1"/>
  <c r="T199" i="1" s="1"/>
  <c r="T200" i="1" s="1"/>
  <c r="T201" i="1" s="1"/>
  <c r="T202" i="1" s="1"/>
  <c r="T203" i="1" s="1"/>
  <c r="T204" i="1" s="1"/>
  <c r="T205" i="1" s="1"/>
  <c r="T206" i="1" s="1"/>
  <c r="T207" i="1" s="1"/>
  <c r="T208" i="1" s="1"/>
  <c r="T209" i="1" s="1"/>
  <c r="T210" i="1" s="1"/>
  <c r="T211" i="1" s="1"/>
  <c r="T212" i="1" s="1"/>
  <c r="T213" i="1" s="1"/>
  <c r="T214" i="1" s="1"/>
  <c r="T215" i="1" s="1"/>
  <c r="T216" i="1" s="1"/>
  <c r="T217" i="1" s="1"/>
  <c r="T218" i="1" s="1"/>
  <c r="T219" i="1" s="1"/>
  <c r="T220" i="1" s="1"/>
  <c r="T221" i="1" s="1"/>
  <c r="T222" i="1" s="1"/>
  <c r="T223" i="1" s="1"/>
  <c r="T224" i="1" s="1"/>
  <c r="T225" i="1" s="1"/>
  <c r="T226" i="1" s="1"/>
  <c r="T227" i="1" s="1"/>
  <c r="T228" i="1" s="1"/>
  <c r="T229" i="1" s="1"/>
  <c r="T230" i="1" s="1"/>
  <c r="T231" i="1" s="1"/>
  <c r="T232" i="1" s="1"/>
  <c r="T233" i="1" s="1"/>
  <c r="T234" i="1" s="1"/>
  <c r="T235" i="1" s="1"/>
  <c r="T236" i="1" s="1"/>
  <c r="T237" i="1" s="1"/>
  <c r="T238" i="1" s="1"/>
  <c r="T239" i="1" s="1"/>
  <c r="T240" i="1" s="1"/>
  <c r="T241" i="1" s="1"/>
  <c r="T242" i="1" s="1"/>
  <c r="T243" i="1" s="1"/>
  <c r="U127" i="1"/>
  <c r="U129" i="1"/>
  <c r="T286" i="2" l="1"/>
  <c r="T287" i="2" s="1"/>
  <c r="T288" i="2" s="1"/>
  <c r="T289" i="2" s="1"/>
  <c r="T290" i="2" s="1"/>
  <c r="T291" i="2" s="1"/>
  <c r="T292" i="2" s="1"/>
  <c r="T293" i="2" s="1"/>
  <c r="T294" i="2" s="1"/>
  <c r="T295" i="2" s="1"/>
  <c r="T296" i="2" s="1"/>
  <c r="T297" i="2" s="1"/>
  <c r="T298" i="2" s="1"/>
  <c r="T299" i="2" s="1"/>
  <c r="T300" i="2" s="1"/>
  <c r="T301" i="2" s="1"/>
  <c r="T302" i="2" s="1"/>
  <c r="T303" i="2" s="1"/>
  <c r="U296" i="2" s="1"/>
  <c r="U298" i="2" s="1"/>
  <c r="U275" i="2"/>
  <c r="U277" i="2" s="1"/>
  <c r="U273" i="2"/>
  <c r="U271" i="2"/>
  <c r="U180" i="1"/>
  <c r="U176" i="1"/>
  <c r="U178" i="1"/>
  <c r="T244" i="1"/>
  <c r="T245" i="1" s="1"/>
  <c r="T246" i="1" s="1"/>
  <c r="T247" i="1" s="1"/>
  <c r="T248" i="1" s="1"/>
  <c r="T249" i="1" s="1"/>
  <c r="T250" i="1" s="1"/>
  <c r="T251" i="1" s="1"/>
  <c r="T252" i="1" s="1"/>
  <c r="T253" i="1" s="1"/>
  <c r="T254" i="1" s="1"/>
  <c r="T255" i="1" s="1"/>
  <c r="T256" i="1" s="1"/>
  <c r="T257" i="1" s="1"/>
  <c r="T258" i="1" s="1"/>
  <c r="T259" i="1" s="1"/>
  <c r="T260" i="1" s="1"/>
  <c r="T261" i="1" s="1"/>
  <c r="T262" i="1" s="1"/>
  <c r="T263" i="1" s="1"/>
  <c r="T264" i="1" s="1"/>
  <c r="U294" i="2" l="1"/>
  <c r="U252" i="1"/>
  <c r="U254" i="1"/>
  <c r="U250" i="1"/>
  <c r="T265" i="1"/>
  <c r="T266" i="1" s="1"/>
  <c r="T267" i="1" s="1"/>
  <c r="T268" i="1" s="1"/>
  <c r="T269" i="1" s="1"/>
  <c r="T270" i="1" s="1"/>
  <c r="T271" i="1" s="1"/>
  <c r="T272" i="1" s="1"/>
  <c r="T273" i="1" s="1"/>
  <c r="T274" i="1" s="1"/>
  <c r="T275" i="1" s="1"/>
  <c r="T276" i="1" s="1"/>
  <c r="T277" i="1" s="1"/>
  <c r="T278" i="1" s="1"/>
  <c r="T279" i="1" s="1"/>
  <c r="T280" i="1" s="1"/>
  <c r="T281" i="1" s="1"/>
  <c r="T282" i="1" s="1"/>
  <c r="T283" i="1" s="1"/>
  <c r="T284" i="1" s="1"/>
  <c r="T285" i="1" s="1"/>
  <c r="T286" i="1" l="1"/>
  <c r="T287" i="1" s="1"/>
  <c r="T288" i="1" s="1"/>
  <c r="T289" i="1" s="1"/>
  <c r="T290" i="1" s="1"/>
  <c r="T291" i="1" s="1"/>
  <c r="T292" i="1" s="1"/>
  <c r="T293" i="1" s="1"/>
  <c r="T294" i="1" s="1"/>
  <c r="T295" i="1" s="1"/>
  <c r="T296" i="1" s="1"/>
  <c r="T297" i="1" s="1"/>
  <c r="T298" i="1" s="1"/>
  <c r="T299" i="1" s="1"/>
  <c r="T300" i="1" s="1"/>
  <c r="T301" i="1" s="1"/>
  <c r="T302" i="1" s="1"/>
  <c r="T303" i="1" s="1"/>
  <c r="U271" i="1"/>
  <c r="U273" i="1"/>
  <c r="U275" i="1"/>
  <c r="U296" i="1" l="1"/>
  <c r="U294" i="1"/>
</calcChain>
</file>

<file path=xl/sharedStrings.xml><?xml version="1.0" encoding="utf-8"?>
<sst xmlns="http://schemas.openxmlformats.org/spreadsheetml/2006/main" count="319" uniqueCount="74">
  <si>
    <t>SEMIS INRA11</t>
  </si>
  <si>
    <t>AUTOMNE</t>
  </si>
  <si>
    <t>Tmin</t>
  </si>
  <si>
    <t>nbj_sec</t>
  </si>
  <si>
    <t>crg</t>
  </si>
  <si>
    <t>Tmax</t>
  </si>
  <si>
    <t>nbj_water_deficit</t>
  </si>
  <si>
    <t>qpt_p</t>
  </si>
  <si>
    <t>Tmoy</t>
  </si>
  <si>
    <t>nbj_stress_hydro</t>
  </si>
  <si>
    <t>nbj_radinf_900</t>
  </si>
  <si>
    <t>nbj_tgel</t>
  </si>
  <si>
    <t>water_soil_content_min</t>
  </si>
  <si>
    <t>nbj_tsup25</t>
  </si>
  <si>
    <t>water_soil_content_max</t>
  </si>
  <si>
    <t>nbj_tinf5</t>
  </si>
  <si>
    <t>water_soil_content_moy</t>
  </si>
  <si>
    <t>gdd_p</t>
  </si>
  <si>
    <t>HIVER</t>
  </si>
  <si>
    <t>nbj_vern_opti</t>
  </si>
  <si>
    <t>MONTAISON</t>
  </si>
  <si>
    <t>Montego</t>
  </si>
  <si>
    <t>Aviso</t>
  </si>
  <si>
    <t>Fin Flo</t>
  </si>
  <si>
    <t>RECOLTE INRA11</t>
  </si>
  <si>
    <t>TEMPERATURE</t>
  </si>
  <si>
    <t>ETAT HYDRIQUE</t>
  </si>
  <si>
    <t>RAYONNEMENT</t>
  </si>
  <si>
    <t>BILAN HYDRIQUE</t>
  </si>
  <si>
    <t>Période</t>
  </si>
  <si>
    <t>DATE</t>
  </si>
  <si>
    <t>T_Q</t>
  </si>
  <si>
    <t>TINF_H_Q</t>
  </si>
  <si>
    <t>TSUP_H_Q</t>
  </si>
  <si>
    <t>GDD base 0°</t>
  </si>
  <si>
    <t>VAR</t>
  </si>
  <si>
    <t>PRELIQ_Q</t>
  </si>
  <si>
    <t>Cumul_P</t>
  </si>
  <si>
    <t>ETP_Q</t>
  </si>
  <si>
    <t>Cumul_ETP</t>
  </si>
  <si>
    <t>P-ETP</t>
  </si>
  <si>
    <t>ETAT RU_1</t>
  </si>
  <si>
    <t>i</t>
  </si>
  <si>
    <t>kc</t>
  </si>
  <si>
    <t>ETM</t>
  </si>
  <si>
    <t>P-ETM</t>
  </si>
  <si>
    <t>WSC</t>
  </si>
  <si>
    <t>SSI_Q</t>
  </si>
  <si>
    <t>QPT_Q</t>
  </si>
  <si>
    <t>Cumul RG</t>
  </si>
  <si>
    <t>Photoperiode</t>
  </si>
  <si>
    <t>TMIN</t>
  </si>
  <si>
    <t>TMAX</t>
  </si>
  <si>
    <t>TMN</t>
  </si>
  <si>
    <t>FR</t>
  </si>
  <si>
    <t>HT</t>
  </si>
  <si>
    <t>LT</t>
  </si>
  <si>
    <t>LGDD</t>
  </si>
  <si>
    <t>WD</t>
  </si>
  <si>
    <t>WS</t>
  </si>
  <si>
    <t>WSC_MIN</t>
  </si>
  <si>
    <t>WSC_MAX</t>
  </si>
  <si>
    <t>WSC_MN</t>
  </si>
  <si>
    <t>SSR</t>
  </si>
  <si>
    <t>LSR</t>
  </si>
  <si>
    <t>QPT</t>
  </si>
  <si>
    <t>IRF</t>
  </si>
  <si>
    <t>TS</t>
  </si>
  <si>
    <t>DRF</t>
  </si>
  <si>
    <t>BI_Dry</t>
  </si>
  <si>
    <t>WSC_I</t>
  </si>
  <si>
    <t>N40</t>
  </si>
  <si>
    <t>N90</t>
  </si>
  <si>
    <t>BI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</si>
</sst>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8" x14ac:knownFonts="1">
    <font>
      <sz val="11"/>
      <color theme="1"/>
      <name val="Calibri"/>
      <family val="2"/>
      <scheme val="minor"/>
    </font>
    <font>
      <b/>
      <sz val="11"/>
      <color theme="1"/>
      <name val="Calibri"/>
      <family val="2"/>
      <scheme val="minor"/>
    </font>
    <font>
      <sz val="11"/>
      <color theme="1"/>
      <name val="Calibri"/>
      <family val="2"/>
    </font>
    <font>
      <b/>
      <i/>
      <u/>
      <sz val="11"/>
      <color rgb="FF000000"/>
      <name val="Calibri"/>
      <family val="2"/>
    </font>
    <font>
      <b/>
      <sz val="11"/>
      <color rgb="FF000000"/>
      <name val="Calibri"/>
      <family val="2"/>
    </font>
    <font>
      <b/>
      <sz val="11"/>
      <color rgb="FFFF0000"/>
      <name val="Calibri"/>
      <family val="2"/>
    </font>
    <font>
      <b/>
      <i/>
      <u/>
      <sz val="11"/>
      <color rgb="FFFFC000"/>
      <name val="Calibri"/>
      <family val="2"/>
    </font>
    <font>
      <b/>
      <sz val="11"/>
      <color theme="1"/>
      <name val="Calibri"/>
      <family val="2"/>
    </font>
  </fonts>
  <fills count="17">
    <fill>
      <patternFill patternType="none"/>
    </fill>
    <fill>
      <patternFill patternType="gray125"/>
    </fill>
    <fill>
      <patternFill patternType="lightUp">
        <fgColor rgb="FF000000"/>
        <bgColor rgb="FFFFFFFF"/>
      </patternFill>
    </fill>
    <fill>
      <patternFill patternType="solid">
        <fgColor rgb="FF00B050"/>
        <bgColor rgb="FF000000"/>
      </patternFill>
    </fill>
    <fill>
      <patternFill patternType="solid">
        <fgColor rgb="FFFDE9D9"/>
        <bgColor rgb="FF000000"/>
      </patternFill>
    </fill>
    <fill>
      <patternFill patternType="solid">
        <fgColor rgb="FF0070C0"/>
        <bgColor rgb="FF000000"/>
      </patternFill>
    </fill>
    <fill>
      <patternFill patternType="lightGray">
        <fgColor rgb="FF000000"/>
        <bgColor rgb="FFFFFFFF"/>
      </patternFill>
    </fill>
    <fill>
      <patternFill patternType="solid">
        <fgColor rgb="FFDDD9C4"/>
        <bgColor rgb="FF000000"/>
      </patternFill>
    </fill>
    <fill>
      <patternFill patternType="solid">
        <fgColor rgb="FF92D050"/>
        <bgColor rgb="FF000000"/>
      </patternFill>
    </fill>
    <fill>
      <patternFill patternType="solid">
        <fgColor rgb="FFFFFF00"/>
        <bgColor rgb="FF000000"/>
      </patternFill>
    </fill>
    <fill>
      <patternFill patternType="solid">
        <fgColor rgb="FFFFC000"/>
        <bgColor rgb="FF000000"/>
      </patternFill>
    </fill>
    <fill>
      <patternFill patternType="solid">
        <fgColor rgb="FFE26B0A"/>
        <bgColor rgb="FF000000"/>
      </patternFill>
    </fill>
    <fill>
      <patternFill patternType="solid">
        <fgColor rgb="FFFF0000"/>
        <bgColor rgb="FF000000"/>
      </patternFill>
    </fill>
    <fill>
      <patternFill patternType="solid">
        <fgColor rgb="FFC00000"/>
        <bgColor rgb="FF000000"/>
      </patternFill>
    </fill>
    <fill>
      <patternFill patternType="solid">
        <fgColor theme="3"/>
        <bgColor indexed="64"/>
      </patternFill>
    </fill>
    <fill>
      <patternFill patternType="solid">
        <fgColor theme="3"/>
        <bgColor rgb="FF000000"/>
      </patternFill>
    </fill>
    <fill>
      <patternFill patternType="solid">
        <fgColor theme="0" tint="-0.14999847407452621"/>
        <bgColor indexed="64"/>
      </patternFill>
    </fill>
  </fills>
  <borders count="2">
    <border>
      <left/>
      <right/>
      <top/>
      <bottom/>
      <diagonal/>
    </border>
    <border>
      <left/>
      <right/>
      <top/>
      <bottom style="medium">
        <color indexed="64"/>
      </bottom>
      <diagonal/>
    </border>
  </borders>
  <cellStyleXfs count="1">
    <xf numFmtId="0" fontId="0" fillId="0" borderId="0"/>
  </cellStyleXfs>
  <cellXfs count="74">
    <xf numFmtId="0" fontId="0" fillId="0" borderId="0" xfId="0"/>
    <xf numFmtId="0" fontId="0" fillId="0" borderId="0" xfId="0" applyFill="1" applyAlignment="1"/>
    <xf numFmtId="0" fontId="0" fillId="0" borderId="0" xfId="0" applyFill="1"/>
    <xf numFmtId="0" fontId="2" fillId="0" borderId="0" xfId="0" applyFont="1" applyFill="1" applyBorder="1"/>
    <xf numFmtId="0" fontId="2" fillId="0" borderId="0" xfId="0" applyFont="1" applyFill="1" applyBorder="1" applyAlignment="1"/>
    <xf numFmtId="14" fontId="2" fillId="0" borderId="0" xfId="0" applyNumberFormat="1" applyFont="1" applyFill="1" applyBorder="1"/>
    <xf numFmtId="0" fontId="2" fillId="2" borderId="0" xfId="0" applyFont="1" applyFill="1" applyBorder="1"/>
    <xf numFmtId="0" fontId="4" fillId="0" borderId="0" xfId="0" applyFont="1" applyFill="1" applyBorder="1" applyAlignment="1">
      <alignment horizontal="center" vertical="center"/>
    </xf>
    <xf numFmtId="14" fontId="2" fillId="4" borderId="0" xfId="0" applyNumberFormat="1" applyFont="1" applyFill="1" applyBorder="1"/>
    <xf numFmtId="0" fontId="4" fillId="4" borderId="0" xfId="0" applyFont="1" applyFill="1" applyBorder="1"/>
    <xf numFmtId="164" fontId="2" fillId="0" borderId="0" xfId="0" applyNumberFormat="1" applyFont="1" applyFill="1" applyBorder="1"/>
    <xf numFmtId="0" fontId="5" fillId="0" borderId="0" xfId="0" applyFont="1" applyFill="1" applyBorder="1"/>
    <xf numFmtId="0" fontId="4" fillId="6" borderId="0" xfId="0" applyFont="1" applyFill="1" applyBorder="1" applyAlignment="1">
      <alignment horizontal="center" vertical="center"/>
    </xf>
    <xf numFmtId="14" fontId="2" fillId="5" borderId="0" xfId="0" applyNumberFormat="1" applyFont="1" applyFill="1" applyBorder="1"/>
    <xf numFmtId="0" fontId="4" fillId="5" borderId="0" xfId="0" applyFont="1" applyFill="1" applyBorder="1"/>
    <xf numFmtId="0" fontId="2" fillId="7" borderId="0" xfId="0" applyFont="1" applyFill="1" applyBorder="1"/>
    <xf numFmtId="14" fontId="2" fillId="8" borderId="0" xfId="0" applyNumberFormat="1" applyFont="1" applyFill="1" applyBorder="1"/>
    <xf numFmtId="0" fontId="4" fillId="8" borderId="0" xfId="0" applyFont="1" applyFill="1" applyBorder="1"/>
    <xf numFmtId="2" fontId="2" fillId="0" borderId="0" xfId="0" applyNumberFormat="1" applyFont="1" applyFill="1" applyBorder="1"/>
    <xf numFmtId="0" fontId="5" fillId="9" borderId="0" xfId="0" applyFont="1" applyFill="1" applyBorder="1"/>
    <xf numFmtId="0" fontId="4" fillId="9" borderId="0" xfId="0" applyFont="1" applyFill="1" applyBorder="1" applyAlignment="1">
      <alignment vertical="center"/>
    </xf>
    <xf numFmtId="14" fontId="2" fillId="9" borderId="0" xfId="0" applyNumberFormat="1" applyFont="1" applyFill="1" applyBorder="1"/>
    <xf numFmtId="0" fontId="4" fillId="9" borderId="0" xfId="0" applyFont="1" applyFill="1" applyBorder="1"/>
    <xf numFmtId="0" fontId="4" fillId="9" borderId="0" xfId="0" applyFont="1" applyFill="1" applyBorder="1" applyAlignment="1">
      <alignment horizontal="center" vertical="center"/>
    </xf>
    <xf numFmtId="0" fontId="2" fillId="9" borderId="0" xfId="0" applyFont="1" applyFill="1" applyBorder="1"/>
    <xf numFmtId="0" fontId="4" fillId="0" borderId="0" xfId="0" applyFont="1" applyFill="1" applyBorder="1"/>
    <xf numFmtId="14" fontId="2" fillId="10" borderId="0" xfId="0" applyNumberFormat="1" applyFont="1" applyFill="1" applyBorder="1"/>
    <xf numFmtId="0" fontId="4" fillId="10" borderId="0" xfId="0" applyFont="1" applyFill="1" applyBorder="1"/>
    <xf numFmtId="14" fontId="2" fillId="11" borderId="0" xfId="0" applyNumberFormat="1" applyFont="1" applyFill="1" applyBorder="1"/>
    <xf numFmtId="0" fontId="4" fillId="11" borderId="0" xfId="0" applyFont="1" applyFill="1" applyBorder="1"/>
    <xf numFmtId="14" fontId="2" fillId="12" borderId="0" xfId="0" applyNumberFormat="1" applyFont="1" applyFill="1" applyBorder="1"/>
    <xf numFmtId="0" fontId="4" fillId="12" borderId="0" xfId="0" applyFont="1" applyFill="1" applyBorder="1"/>
    <xf numFmtId="0" fontId="2" fillId="0" borderId="0" xfId="0" applyFont="1" applyFill="1" applyBorder="1" applyAlignment="1">
      <alignment horizontal="center" vertical="center" wrapText="1"/>
    </xf>
    <xf numFmtId="0" fontId="2" fillId="0" borderId="0" xfId="0" applyFont="1" applyFill="1" applyBorder="1" applyAlignment="1">
      <alignment vertical="center" wrapText="1"/>
    </xf>
    <xf numFmtId="0" fontId="1" fillId="0" borderId="0" xfId="0" applyFont="1" applyAlignment="1">
      <alignment horizontal="center" vertical="center"/>
    </xf>
    <xf numFmtId="0" fontId="0" fillId="0" borderId="0" xfId="0" applyAlignment="1">
      <alignment horizontal="center" vertical="center"/>
    </xf>
    <xf numFmtId="0" fontId="5" fillId="0" borderId="1" xfId="0" applyFont="1" applyFill="1" applyBorder="1" applyAlignment="1"/>
    <xf numFmtId="14" fontId="5" fillId="8" borderId="1" xfId="0" applyNumberFormat="1" applyFont="1" applyFill="1" applyBorder="1"/>
    <xf numFmtId="0" fontId="5" fillId="9" borderId="1" xfId="0" applyFont="1" applyFill="1" applyBorder="1"/>
    <xf numFmtId="0" fontId="5" fillId="0" borderId="1" xfId="0" applyFont="1" applyFill="1" applyBorder="1"/>
    <xf numFmtId="2" fontId="7" fillId="0" borderId="1" xfId="0" applyNumberFormat="1" applyFont="1" applyFill="1" applyBorder="1"/>
    <xf numFmtId="164" fontId="5" fillId="0" borderId="1" xfId="0" applyNumberFormat="1" applyFont="1" applyFill="1" applyBorder="1"/>
    <xf numFmtId="164" fontId="7" fillId="0" borderId="1" xfId="0" applyNumberFormat="1" applyFont="1" applyFill="1" applyBorder="1"/>
    <xf numFmtId="0" fontId="7" fillId="0" borderId="1" xfId="0" applyFont="1" applyFill="1" applyBorder="1"/>
    <xf numFmtId="0" fontId="4" fillId="6" borderId="1" xfId="0" applyFont="1" applyFill="1" applyBorder="1" applyAlignment="1">
      <alignment horizontal="center" vertical="center"/>
    </xf>
    <xf numFmtId="14" fontId="5" fillId="5" borderId="1" xfId="0" applyNumberFormat="1" applyFont="1" applyFill="1" applyBorder="1"/>
    <xf numFmtId="0" fontId="7" fillId="7" borderId="1" xfId="0" applyFont="1" applyFill="1" applyBorder="1"/>
    <xf numFmtId="0" fontId="5" fillId="0" borderId="1" xfId="0" applyFont="1" applyFill="1" applyBorder="1" applyAlignment="1">
      <alignment horizontal="center" vertical="center"/>
    </xf>
    <xf numFmtId="14" fontId="5" fillId="4" borderId="1" xfId="0" applyNumberFormat="1" applyFont="1" applyFill="1" applyBorder="1"/>
    <xf numFmtId="0" fontId="5" fillId="9" borderId="1" xfId="0" applyFont="1" applyFill="1" applyBorder="1" applyAlignment="1">
      <alignment horizontal="center" vertical="center"/>
    </xf>
    <xf numFmtId="14" fontId="5" fillId="9" borderId="1" xfId="0" applyNumberFormat="1" applyFont="1" applyFill="1" applyBorder="1"/>
    <xf numFmtId="14" fontId="5" fillId="10" borderId="1" xfId="0" applyNumberFormat="1" applyFont="1" applyFill="1" applyBorder="1"/>
    <xf numFmtId="14" fontId="5" fillId="11" borderId="1" xfId="0" applyNumberFormat="1" applyFont="1" applyFill="1" applyBorder="1"/>
    <xf numFmtId="0" fontId="5" fillId="0" borderId="1" xfId="0" applyFont="1" applyFill="1" applyBorder="1" applyAlignment="1">
      <alignment horizontal="center" vertical="center" wrapText="1"/>
    </xf>
    <xf numFmtId="14" fontId="5" fillId="12" borderId="1" xfId="0" applyNumberFormat="1" applyFont="1" applyFill="1" applyBorder="1"/>
    <xf numFmtId="0" fontId="4" fillId="12" borderId="0" xfId="0" applyFont="1" applyFill="1" applyBorder="1" applyAlignment="1">
      <alignment horizontal="center" vertical="center" textRotation="255"/>
    </xf>
    <xf numFmtId="0" fontId="6" fillId="13" borderId="0" xfId="0" applyFont="1" applyFill="1" applyBorder="1" applyAlignment="1">
      <alignment horizontal="center" vertical="center"/>
    </xf>
    <xf numFmtId="0" fontId="1" fillId="0" borderId="0" xfId="0" applyFont="1" applyAlignment="1">
      <alignment horizontal="center" vertical="center"/>
    </xf>
    <xf numFmtId="0" fontId="0" fillId="0" borderId="0" xfId="0" applyAlignment="1">
      <alignment horizontal="center" vertical="center"/>
    </xf>
    <xf numFmtId="0" fontId="0" fillId="0" borderId="0" xfId="0" applyAlignment="1">
      <alignment horizontal="center"/>
    </xf>
    <xf numFmtId="0" fontId="3" fillId="3" borderId="1" xfId="0" applyFont="1" applyFill="1" applyBorder="1" applyAlignment="1">
      <alignment horizontal="center" vertical="center"/>
    </xf>
    <xf numFmtId="0" fontId="4" fillId="4" borderId="0" xfId="0" applyFont="1" applyFill="1" applyBorder="1" applyAlignment="1">
      <alignment horizontal="center" vertical="center" textRotation="255"/>
    </xf>
    <xf numFmtId="0" fontId="4" fillId="5" borderId="0" xfId="0" applyFont="1" applyFill="1" applyBorder="1" applyAlignment="1">
      <alignment horizontal="center" vertical="center" textRotation="255"/>
    </xf>
    <xf numFmtId="0" fontId="4" fillId="8" borderId="0" xfId="0" applyFont="1" applyFill="1" applyBorder="1" applyAlignment="1">
      <alignment horizontal="center" vertical="center" textRotation="255"/>
    </xf>
    <xf numFmtId="0" fontId="4" fillId="10" borderId="0" xfId="0" applyFont="1" applyFill="1" applyBorder="1" applyAlignment="1">
      <alignment horizontal="center" vertical="center" textRotation="255"/>
    </xf>
    <xf numFmtId="0" fontId="4" fillId="11" borderId="0" xfId="0" applyFont="1" applyFill="1" applyBorder="1" applyAlignment="1">
      <alignment horizontal="center" vertical="center" textRotation="255"/>
    </xf>
    <xf numFmtId="0" fontId="4" fillId="14" borderId="0" xfId="0" applyFont="1" applyFill="1" applyBorder="1" applyAlignment="1">
      <alignment horizontal="center" vertical="center"/>
    </xf>
    <xf numFmtId="14" fontId="2" fillId="15" borderId="0" xfId="0" applyNumberFormat="1" applyFont="1" applyFill="1" applyBorder="1"/>
    <xf numFmtId="0" fontId="2" fillId="14" borderId="0" xfId="0" applyFont="1" applyFill="1" applyBorder="1"/>
    <xf numFmtId="2" fontId="2" fillId="14" borderId="0" xfId="0" applyNumberFormat="1" applyFont="1" applyFill="1" applyBorder="1"/>
    <xf numFmtId="164" fontId="2" fillId="14" borderId="0" xfId="0" applyNumberFormat="1" applyFont="1" applyFill="1" applyBorder="1"/>
    <xf numFmtId="0" fontId="2" fillId="16" borderId="0" xfId="0" applyFont="1" applyFill="1" applyBorder="1"/>
    <xf numFmtId="164" fontId="2" fillId="16" borderId="0" xfId="0" applyNumberFormat="1" applyFont="1" applyFill="1" applyBorder="1"/>
    <xf numFmtId="0" fontId="7" fillId="0" borderId="0" xfId="0" applyFont="1" applyFill="1" applyBorder="1"/>
  </cellXfs>
  <cellStyles count="1">
    <cellStyle name="Normal" xfId="0" builtinId="0"/>
  </cellStyles>
  <dxfs count="22">
    <dxf>
      <fill>
        <patternFill>
          <bgColor theme="7" tint="0.59996337778862885"/>
        </patternFill>
      </fill>
    </dxf>
    <dxf>
      <fill>
        <patternFill>
          <bgColor rgb="FFFABF8F"/>
        </patternFill>
      </fill>
    </dxf>
    <dxf>
      <fill>
        <patternFill>
          <bgColor rgb="FFDA9694"/>
        </patternFill>
      </fill>
    </dxf>
    <dxf>
      <fill>
        <patternFill>
          <bgColor rgb="FFF2DCDB"/>
        </patternFill>
      </fill>
    </dxf>
    <dxf>
      <fill>
        <patternFill>
          <bgColor rgb="FFCCC0DA"/>
        </patternFill>
      </fill>
    </dxf>
    <dxf>
      <fill>
        <patternFill>
          <bgColor rgb="FFF2DCDB"/>
        </patternFill>
      </fill>
    </dxf>
    <dxf>
      <fill>
        <patternFill>
          <bgColor rgb="FF00B0F0"/>
        </patternFill>
      </fill>
    </dxf>
    <dxf>
      <fill>
        <patternFill>
          <bgColor rgb="FFDAEEF3"/>
        </patternFill>
      </fill>
    </dxf>
    <dxf>
      <fill>
        <patternFill>
          <bgColor rgb="FFFFC000"/>
        </patternFill>
      </fill>
    </dxf>
    <dxf>
      <fill>
        <patternFill>
          <bgColor theme="9" tint="0.39994506668294322"/>
        </patternFill>
      </fill>
    </dxf>
    <dxf>
      <fill>
        <patternFill>
          <bgColor theme="5" tint="0.39994506668294322"/>
        </patternFill>
      </fill>
    </dxf>
    <dxf>
      <fill>
        <patternFill>
          <bgColor theme="7" tint="0.59996337778862885"/>
        </patternFill>
      </fill>
    </dxf>
    <dxf>
      <fill>
        <patternFill>
          <bgColor rgb="FFFABF8F"/>
        </patternFill>
      </fill>
    </dxf>
    <dxf>
      <fill>
        <patternFill>
          <bgColor rgb="FFDA9694"/>
        </patternFill>
      </fill>
    </dxf>
    <dxf>
      <fill>
        <patternFill>
          <bgColor rgb="FFF2DCDB"/>
        </patternFill>
      </fill>
    </dxf>
    <dxf>
      <fill>
        <patternFill>
          <bgColor rgb="FFCCC0DA"/>
        </patternFill>
      </fill>
    </dxf>
    <dxf>
      <fill>
        <patternFill>
          <bgColor rgb="FFF2DCDB"/>
        </patternFill>
      </fill>
    </dxf>
    <dxf>
      <fill>
        <patternFill>
          <bgColor rgb="FF00B0F0"/>
        </patternFill>
      </fill>
    </dxf>
    <dxf>
      <fill>
        <patternFill>
          <bgColor rgb="FFDAEEF3"/>
        </patternFill>
      </fill>
    </dxf>
    <dxf>
      <fill>
        <patternFill>
          <bgColor rgb="FFFFC000"/>
        </patternFill>
      </fill>
    </dxf>
    <dxf>
      <fill>
        <patternFill>
          <bgColor theme="9" tint="0.39994506668294322"/>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B341"/>
  <sheetViews>
    <sheetView topLeftCell="A205" zoomScale="80" zoomScaleNormal="80" workbookViewId="0">
      <selection activeCell="AB217" sqref="AB217:AB226"/>
    </sheetView>
  </sheetViews>
  <sheetFormatPr baseColWidth="10" defaultRowHeight="15" x14ac:dyDescent="0.25"/>
  <sheetData>
    <row r="1" spans="1:27" s="2" customFormat="1" x14ac:dyDescent="0.25">
      <c r="A1"/>
      <c r="B1" s="1"/>
      <c r="C1"/>
      <c r="D1" s="57" t="s">
        <v>25</v>
      </c>
      <c r="E1" s="57"/>
      <c r="F1" s="57"/>
      <c r="G1" s="57"/>
      <c r="H1" s="57"/>
      <c r="I1" s="57"/>
      <c r="J1" s="57" t="s">
        <v>26</v>
      </c>
      <c r="K1" s="57"/>
      <c r="L1" s="57"/>
      <c r="M1" s="57"/>
      <c r="N1" s="57"/>
      <c r="O1" s="57"/>
      <c r="P1" s="57"/>
      <c r="Q1" s="57"/>
      <c r="R1" s="57"/>
      <c r="S1" s="57"/>
      <c r="T1" s="57"/>
      <c r="U1" s="57"/>
      <c r="V1" s="57" t="s">
        <v>27</v>
      </c>
      <c r="W1" s="58"/>
      <c r="X1" s="58"/>
      <c r="Y1" s="58"/>
      <c r="Z1" s="58"/>
    </row>
    <row r="2" spans="1:27" s="2" customFormat="1" x14ac:dyDescent="0.25">
      <c r="A2"/>
      <c r="B2" s="1"/>
      <c r="C2"/>
      <c r="D2" s="57"/>
      <c r="E2" s="57"/>
      <c r="F2" s="57"/>
      <c r="G2" s="57"/>
      <c r="H2" s="57"/>
      <c r="I2" s="57"/>
      <c r="J2" s="57"/>
      <c r="K2" s="57"/>
      <c r="L2" s="57"/>
      <c r="M2" s="57"/>
      <c r="N2" s="57"/>
      <c r="O2" s="57"/>
      <c r="P2" s="57"/>
      <c r="Q2" s="57"/>
      <c r="R2" s="57"/>
      <c r="S2" s="57"/>
      <c r="T2" s="57"/>
      <c r="U2" s="57"/>
      <c r="V2" s="58"/>
      <c r="W2" s="58"/>
      <c r="X2" s="58"/>
      <c r="Y2" s="58"/>
      <c r="Z2" s="58"/>
    </row>
    <row r="3" spans="1:27" s="2" customFormat="1" x14ac:dyDescent="0.25">
      <c r="A3"/>
      <c r="B3" s="1"/>
      <c r="C3"/>
      <c r="D3" s="34"/>
      <c r="E3" s="34"/>
      <c r="F3" s="34"/>
      <c r="G3" s="34"/>
      <c r="H3" s="34"/>
      <c r="I3" s="34"/>
      <c r="J3" s="34"/>
      <c r="K3" s="34"/>
      <c r="L3" s="34"/>
      <c r="M3" s="34"/>
      <c r="N3" s="34"/>
      <c r="O3" s="34"/>
      <c r="P3" s="57" t="s">
        <v>28</v>
      </c>
      <c r="Q3" s="57"/>
      <c r="R3" s="57"/>
      <c r="S3" s="57"/>
      <c r="T3" s="57"/>
      <c r="U3" s="34"/>
      <c r="V3" s="35"/>
      <c r="W3" s="35"/>
      <c r="X3" s="35"/>
      <c r="Y3" s="35"/>
      <c r="Z3" s="35"/>
    </row>
    <row r="4" spans="1:27" s="2" customFormat="1" x14ac:dyDescent="0.25">
      <c r="A4" t="s">
        <v>29</v>
      </c>
      <c r="B4" s="1">
        <v>5</v>
      </c>
      <c r="C4" t="s">
        <v>30</v>
      </c>
      <c r="D4" t="s">
        <v>31</v>
      </c>
      <c r="E4" t="s">
        <v>32</v>
      </c>
      <c r="F4" t="s">
        <v>33</v>
      </c>
      <c r="G4" s="59" t="s">
        <v>34</v>
      </c>
      <c r="H4" s="59"/>
      <c r="I4" t="s">
        <v>35</v>
      </c>
      <c r="J4" t="s">
        <v>36</v>
      </c>
      <c r="K4" t="s">
        <v>37</v>
      </c>
      <c r="L4" t="s">
        <v>38</v>
      </c>
      <c r="M4" t="s">
        <v>39</v>
      </c>
      <c r="N4" t="s">
        <v>40</v>
      </c>
      <c r="O4" t="s">
        <v>41</v>
      </c>
      <c r="P4" t="s">
        <v>42</v>
      </c>
      <c r="Q4" t="s">
        <v>43</v>
      </c>
      <c r="R4" t="s">
        <v>44</v>
      </c>
      <c r="S4" t="s">
        <v>45</v>
      </c>
      <c r="T4" t="s">
        <v>46</v>
      </c>
      <c r="U4" t="s">
        <v>35</v>
      </c>
      <c r="V4" t="s">
        <v>47</v>
      </c>
      <c r="W4" t="s">
        <v>48</v>
      </c>
      <c r="X4" s="59" t="s">
        <v>49</v>
      </c>
      <c r="Y4" s="59"/>
      <c r="Z4" t="s">
        <v>35</v>
      </c>
      <c r="AA4" s="2" t="s">
        <v>50</v>
      </c>
    </row>
    <row r="5" spans="1:27" s="3" customFormat="1" x14ac:dyDescent="0.25">
      <c r="B5" s="4"/>
      <c r="C5" s="5">
        <v>40391</v>
      </c>
      <c r="D5" s="3">
        <v>17.100000000000001</v>
      </c>
      <c r="E5" s="3">
        <v>13.4</v>
      </c>
      <c r="F5" s="3">
        <v>20.8</v>
      </c>
      <c r="G5" s="6"/>
      <c r="H5" s="6"/>
      <c r="I5" s="6"/>
      <c r="J5" s="3">
        <v>6.6</v>
      </c>
      <c r="K5" s="6"/>
      <c r="L5" s="3">
        <v>1.3</v>
      </c>
      <c r="M5" s="6"/>
      <c r="N5" s="3">
        <v>5.3</v>
      </c>
      <c r="O5" s="6">
        <v>5.3</v>
      </c>
      <c r="T5" s="3">
        <v>5.3</v>
      </c>
      <c r="V5" s="3">
        <v>684.5</v>
      </c>
    </row>
    <row r="6" spans="1:27" s="3" customFormat="1" x14ac:dyDescent="0.25">
      <c r="B6" s="4"/>
      <c r="C6" s="5">
        <v>40392</v>
      </c>
      <c r="D6" s="3">
        <v>17.7</v>
      </c>
      <c r="E6" s="3">
        <v>15.8</v>
      </c>
      <c r="F6" s="3">
        <v>20.7</v>
      </c>
      <c r="G6" s="6"/>
      <c r="H6" s="6"/>
      <c r="I6" s="6"/>
      <c r="J6" s="3">
        <v>1</v>
      </c>
      <c r="K6" s="6"/>
      <c r="L6" s="3">
        <v>3.1</v>
      </c>
      <c r="M6" s="6"/>
      <c r="N6" s="3">
        <v>-2.1</v>
      </c>
      <c r="O6" s="3">
        <f>O5+N6</f>
        <v>3.1999999999999997</v>
      </c>
      <c r="T6" s="3">
        <v>3.1999999999999997</v>
      </c>
      <c r="V6" s="3">
        <v>1496.2</v>
      </c>
    </row>
    <row r="7" spans="1:27" s="3" customFormat="1" x14ac:dyDescent="0.25">
      <c r="B7" s="4"/>
      <c r="C7" s="5">
        <v>40393</v>
      </c>
      <c r="D7" s="3">
        <v>18</v>
      </c>
      <c r="E7" s="3">
        <v>12.4</v>
      </c>
      <c r="F7" s="3">
        <v>23.4</v>
      </c>
      <c r="G7" s="6"/>
      <c r="H7" s="6"/>
      <c r="I7" s="6"/>
      <c r="J7" s="3">
        <v>1</v>
      </c>
      <c r="K7" s="6"/>
      <c r="L7" s="3">
        <v>3.3</v>
      </c>
      <c r="M7" s="6"/>
      <c r="N7" s="3">
        <v>-2.2999999999999998</v>
      </c>
      <c r="O7" s="3">
        <f t="shared" ref="O7:O48" si="0">O6+N7</f>
        <v>0.89999999999999991</v>
      </c>
      <c r="T7" s="3">
        <v>0.89999999999999991</v>
      </c>
      <c r="V7" s="3">
        <v>1548.7</v>
      </c>
    </row>
    <row r="8" spans="1:27" s="3" customFormat="1" x14ac:dyDescent="0.25">
      <c r="B8" s="4"/>
      <c r="C8" s="5">
        <v>40394</v>
      </c>
      <c r="D8" s="3">
        <v>17.100000000000001</v>
      </c>
      <c r="E8" s="3">
        <v>15.4</v>
      </c>
      <c r="F8" s="3">
        <v>20.6</v>
      </c>
      <c r="G8" s="6"/>
      <c r="H8" s="6"/>
      <c r="I8" s="6"/>
      <c r="J8" s="3">
        <v>7.6</v>
      </c>
      <c r="K8" s="6"/>
      <c r="L8" s="3">
        <v>2.6</v>
      </c>
      <c r="M8" s="6"/>
      <c r="N8" s="3">
        <v>5</v>
      </c>
      <c r="O8" s="3">
        <f t="shared" si="0"/>
        <v>5.9</v>
      </c>
      <c r="T8" s="3">
        <v>5.9</v>
      </c>
      <c r="V8" s="3">
        <v>1015.6</v>
      </c>
    </row>
    <row r="9" spans="1:27" s="3" customFormat="1" x14ac:dyDescent="0.25">
      <c r="B9" s="4"/>
      <c r="C9" s="5">
        <v>40395</v>
      </c>
      <c r="D9" s="3">
        <v>16.5</v>
      </c>
      <c r="E9" s="3">
        <v>12.6</v>
      </c>
      <c r="F9" s="3">
        <v>21</v>
      </c>
      <c r="G9" s="6"/>
      <c r="H9" s="6"/>
      <c r="I9" s="6"/>
      <c r="J9" s="3">
        <v>0</v>
      </c>
      <c r="K9" s="6"/>
      <c r="L9" s="3">
        <v>4.5</v>
      </c>
      <c r="M9" s="6"/>
      <c r="N9" s="3">
        <v>-4.5</v>
      </c>
      <c r="O9" s="3">
        <f t="shared" si="0"/>
        <v>1.4000000000000004</v>
      </c>
      <c r="T9" s="3">
        <v>1.4000000000000004</v>
      </c>
      <c r="V9" s="3">
        <v>2375.9</v>
      </c>
    </row>
    <row r="10" spans="1:27" s="3" customFormat="1" x14ac:dyDescent="0.25">
      <c r="B10" s="4"/>
      <c r="C10" s="5">
        <v>40396</v>
      </c>
      <c r="D10" s="3">
        <v>17.7</v>
      </c>
      <c r="E10" s="3">
        <v>12.1</v>
      </c>
      <c r="F10" s="3">
        <v>22.4</v>
      </c>
      <c r="G10" s="6"/>
      <c r="H10" s="6"/>
      <c r="I10" s="6"/>
      <c r="J10" s="3">
        <v>0</v>
      </c>
      <c r="K10" s="6"/>
      <c r="L10" s="3">
        <v>3.9</v>
      </c>
      <c r="M10" s="6"/>
      <c r="N10" s="3">
        <v>-3.9</v>
      </c>
      <c r="O10" s="3">
        <v>0</v>
      </c>
      <c r="T10" s="3">
        <v>0</v>
      </c>
      <c r="V10" s="3">
        <v>2036.3</v>
      </c>
    </row>
    <row r="11" spans="1:27" s="3" customFormat="1" x14ac:dyDescent="0.25">
      <c r="B11" s="4"/>
      <c r="C11" s="5">
        <v>40397</v>
      </c>
      <c r="D11" s="3">
        <v>18</v>
      </c>
      <c r="E11" s="3">
        <v>15.1</v>
      </c>
      <c r="F11" s="3">
        <v>20.7</v>
      </c>
      <c r="G11" s="6"/>
      <c r="H11" s="6"/>
      <c r="I11" s="6"/>
      <c r="J11" s="3">
        <v>1.4</v>
      </c>
      <c r="K11" s="6"/>
      <c r="L11" s="3">
        <v>1.4</v>
      </c>
      <c r="M11" s="6"/>
      <c r="N11" s="3">
        <v>0</v>
      </c>
      <c r="O11" s="3">
        <v>0</v>
      </c>
      <c r="T11" s="3">
        <v>0</v>
      </c>
      <c r="V11" s="3">
        <v>693.8</v>
      </c>
    </row>
    <row r="12" spans="1:27" s="3" customFormat="1" x14ac:dyDescent="0.25">
      <c r="B12" s="4"/>
      <c r="C12" s="5">
        <v>40398</v>
      </c>
      <c r="D12" s="3">
        <v>17.899999999999999</v>
      </c>
      <c r="E12" s="3">
        <v>13.1</v>
      </c>
      <c r="F12" s="3">
        <v>22.4</v>
      </c>
      <c r="G12" s="6"/>
      <c r="H12" s="6"/>
      <c r="I12" s="6"/>
      <c r="J12" s="3">
        <v>0.1</v>
      </c>
      <c r="K12" s="6"/>
      <c r="L12" s="3">
        <v>3</v>
      </c>
      <c r="M12" s="6"/>
      <c r="N12" s="3">
        <v>-2.9</v>
      </c>
      <c r="O12" s="3">
        <v>0</v>
      </c>
      <c r="T12" s="3">
        <v>0</v>
      </c>
      <c r="V12" s="3">
        <v>1401.6</v>
      </c>
    </row>
    <row r="13" spans="1:27" s="3" customFormat="1" x14ac:dyDescent="0.25">
      <c r="B13" s="4"/>
      <c r="C13" s="5">
        <v>40399</v>
      </c>
      <c r="D13" s="3">
        <v>18.899999999999999</v>
      </c>
      <c r="E13" s="3">
        <v>13.6</v>
      </c>
      <c r="F13" s="3">
        <v>24.6</v>
      </c>
      <c r="G13" s="6"/>
      <c r="H13" s="6"/>
      <c r="I13" s="6"/>
      <c r="J13" s="3">
        <v>0.2</v>
      </c>
      <c r="K13" s="6"/>
      <c r="L13" s="3">
        <v>4.5</v>
      </c>
      <c r="M13" s="6"/>
      <c r="N13" s="3">
        <v>-4.3</v>
      </c>
      <c r="O13" s="3">
        <v>0</v>
      </c>
      <c r="T13" s="3">
        <v>0</v>
      </c>
      <c r="V13" s="3">
        <v>2286.9</v>
      </c>
    </row>
    <row r="14" spans="1:27" s="3" customFormat="1" x14ac:dyDescent="0.25">
      <c r="B14" s="4"/>
      <c r="C14" s="5">
        <v>40400</v>
      </c>
      <c r="D14" s="3">
        <v>18.100000000000001</v>
      </c>
      <c r="E14" s="3">
        <v>13.8</v>
      </c>
      <c r="F14" s="3">
        <v>21.9</v>
      </c>
      <c r="G14" s="6"/>
      <c r="H14" s="6"/>
      <c r="I14" s="6"/>
      <c r="J14" s="3">
        <v>3.9</v>
      </c>
      <c r="K14" s="6"/>
      <c r="L14" s="3">
        <v>1.5</v>
      </c>
      <c r="M14" s="6"/>
      <c r="N14" s="3">
        <v>2.4</v>
      </c>
      <c r="O14" s="3">
        <f t="shared" si="0"/>
        <v>2.4</v>
      </c>
      <c r="T14" s="3">
        <v>2.4</v>
      </c>
      <c r="V14" s="3">
        <v>713.2</v>
      </c>
    </row>
    <row r="15" spans="1:27" s="3" customFormat="1" x14ac:dyDescent="0.25">
      <c r="B15" s="4"/>
      <c r="C15" s="5">
        <v>40401</v>
      </c>
      <c r="D15" s="3">
        <v>18.5</v>
      </c>
      <c r="E15" s="3">
        <v>16.600000000000001</v>
      </c>
      <c r="F15" s="3">
        <v>22.7</v>
      </c>
      <c r="G15" s="6"/>
      <c r="H15" s="6"/>
      <c r="I15" s="6"/>
      <c r="J15" s="3">
        <v>0.1</v>
      </c>
      <c r="K15" s="6"/>
      <c r="L15" s="3">
        <v>3.9</v>
      </c>
      <c r="M15" s="6"/>
      <c r="N15" s="3">
        <v>-3.8</v>
      </c>
      <c r="O15" s="3">
        <v>0</v>
      </c>
      <c r="T15" s="3">
        <v>0</v>
      </c>
      <c r="V15" s="3">
        <v>1893</v>
      </c>
    </row>
    <row r="16" spans="1:27" s="3" customFormat="1" x14ac:dyDescent="0.25">
      <c r="B16" s="4"/>
      <c r="C16" s="5">
        <v>40402</v>
      </c>
      <c r="D16" s="3">
        <v>16.8</v>
      </c>
      <c r="E16" s="3">
        <v>14</v>
      </c>
      <c r="F16" s="3">
        <v>21.2</v>
      </c>
      <c r="G16" s="6"/>
      <c r="H16" s="6"/>
      <c r="I16" s="6"/>
      <c r="J16" s="3">
        <v>0</v>
      </c>
      <c r="K16" s="6"/>
      <c r="L16" s="3">
        <v>4.3</v>
      </c>
      <c r="M16" s="6"/>
      <c r="N16" s="3">
        <v>-4.3</v>
      </c>
      <c r="O16" s="3">
        <v>0</v>
      </c>
      <c r="T16" s="3">
        <v>0</v>
      </c>
      <c r="V16" s="3">
        <v>2256.3000000000002</v>
      </c>
    </row>
    <row r="17" spans="2:22" s="3" customFormat="1" x14ac:dyDescent="0.25">
      <c r="B17" s="4"/>
      <c r="C17" s="5">
        <v>40403</v>
      </c>
      <c r="D17" s="3">
        <v>15.5</v>
      </c>
      <c r="E17" s="3">
        <v>11.4</v>
      </c>
      <c r="F17" s="3">
        <v>20.2</v>
      </c>
      <c r="G17" s="6"/>
      <c r="H17" s="6"/>
      <c r="I17" s="6"/>
      <c r="J17" s="3">
        <v>0.1</v>
      </c>
      <c r="K17" s="6"/>
      <c r="L17" s="3">
        <v>3.8</v>
      </c>
      <c r="M17" s="6"/>
      <c r="N17" s="3">
        <v>-3.6999999999999997</v>
      </c>
      <c r="O17" s="3">
        <v>0</v>
      </c>
      <c r="T17" s="3">
        <v>0</v>
      </c>
      <c r="V17" s="3">
        <v>2162</v>
      </c>
    </row>
    <row r="18" spans="2:22" s="3" customFormat="1" x14ac:dyDescent="0.25">
      <c r="B18" s="4"/>
      <c r="C18" s="5">
        <v>40404</v>
      </c>
      <c r="D18" s="3">
        <v>13.6</v>
      </c>
      <c r="E18" s="3">
        <v>10.7</v>
      </c>
      <c r="F18" s="3">
        <v>14.8</v>
      </c>
      <c r="G18" s="6"/>
      <c r="H18" s="6"/>
      <c r="I18" s="6"/>
      <c r="J18" s="3">
        <v>11.5</v>
      </c>
      <c r="K18" s="6"/>
      <c r="L18" s="3">
        <v>1</v>
      </c>
      <c r="M18" s="6"/>
      <c r="N18" s="3">
        <v>10.5</v>
      </c>
      <c r="O18" s="3">
        <f t="shared" si="0"/>
        <v>10.5</v>
      </c>
      <c r="T18" s="3">
        <v>10.5</v>
      </c>
      <c r="V18" s="3">
        <v>726.5</v>
      </c>
    </row>
    <row r="19" spans="2:22" s="3" customFormat="1" x14ac:dyDescent="0.25">
      <c r="B19" s="4"/>
      <c r="C19" s="5">
        <v>40405</v>
      </c>
      <c r="D19" s="3">
        <v>16.3</v>
      </c>
      <c r="E19" s="3">
        <v>12.8</v>
      </c>
      <c r="F19" s="3">
        <v>20.2</v>
      </c>
      <c r="G19" s="6"/>
      <c r="H19" s="6"/>
      <c r="I19" s="6"/>
      <c r="J19" s="3">
        <v>0.8</v>
      </c>
      <c r="K19" s="6"/>
      <c r="L19" s="3">
        <v>1.8</v>
      </c>
      <c r="M19" s="6"/>
      <c r="N19" s="3">
        <v>-1</v>
      </c>
      <c r="O19" s="3">
        <f t="shared" si="0"/>
        <v>9.5</v>
      </c>
      <c r="T19" s="3">
        <v>9.5</v>
      </c>
      <c r="V19" s="3">
        <v>1084.5</v>
      </c>
    </row>
    <row r="20" spans="2:22" s="3" customFormat="1" x14ac:dyDescent="0.25">
      <c r="B20" s="4"/>
      <c r="C20" s="5">
        <v>40406</v>
      </c>
      <c r="D20" s="3">
        <v>17.8</v>
      </c>
      <c r="E20" s="3">
        <v>13.2</v>
      </c>
      <c r="F20" s="3">
        <v>24.1</v>
      </c>
      <c r="G20" s="6"/>
      <c r="H20" s="6"/>
      <c r="I20" s="6"/>
      <c r="J20" s="3">
        <v>0.1</v>
      </c>
      <c r="K20" s="6"/>
      <c r="L20" s="3">
        <v>4.4000000000000004</v>
      </c>
      <c r="M20" s="6"/>
      <c r="N20" s="3">
        <v>-4.3000000000000007</v>
      </c>
      <c r="O20" s="3">
        <f t="shared" si="0"/>
        <v>5.1999999999999993</v>
      </c>
      <c r="T20" s="3">
        <v>5.1999999999999993</v>
      </c>
      <c r="V20" s="3">
        <v>2012.4</v>
      </c>
    </row>
    <row r="21" spans="2:22" s="3" customFormat="1" x14ac:dyDescent="0.25">
      <c r="B21" s="4"/>
      <c r="C21" s="5">
        <v>40407</v>
      </c>
      <c r="D21" s="3">
        <v>15.9</v>
      </c>
      <c r="E21" s="3">
        <v>13.4</v>
      </c>
      <c r="F21" s="3">
        <v>17.600000000000001</v>
      </c>
      <c r="G21" s="6"/>
      <c r="H21" s="6"/>
      <c r="I21" s="6"/>
      <c r="J21" s="3">
        <v>0.5</v>
      </c>
      <c r="K21" s="6"/>
      <c r="L21" s="3">
        <v>1.2</v>
      </c>
      <c r="M21" s="6"/>
      <c r="N21" s="3">
        <v>-0.7</v>
      </c>
      <c r="O21" s="3">
        <f t="shared" si="0"/>
        <v>4.4999999999999991</v>
      </c>
      <c r="T21" s="3">
        <v>4.4999999999999991</v>
      </c>
      <c r="V21" s="3">
        <v>616.29999999999995</v>
      </c>
    </row>
    <row r="22" spans="2:22" s="3" customFormat="1" x14ac:dyDescent="0.25">
      <c r="B22" s="4"/>
      <c r="C22" s="5">
        <v>40408</v>
      </c>
      <c r="D22" s="3">
        <v>16.7</v>
      </c>
      <c r="E22" s="3">
        <v>12.1</v>
      </c>
      <c r="F22" s="3">
        <v>20.7</v>
      </c>
      <c r="G22" s="6"/>
      <c r="H22" s="6"/>
      <c r="I22" s="6"/>
      <c r="J22" s="3">
        <v>0</v>
      </c>
      <c r="K22" s="6"/>
      <c r="L22" s="3">
        <v>4.5</v>
      </c>
      <c r="M22" s="6"/>
      <c r="N22" s="3">
        <v>-4.5</v>
      </c>
      <c r="O22" s="3">
        <f t="shared" si="0"/>
        <v>0</v>
      </c>
      <c r="T22" s="3">
        <v>0</v>
      </c>
      <c r="V22" s="3">
        <v>2554.3000000000002</v>
      </c>
    </row>
    <row r="23" spans="2:22" s="3" customFormat="1" x14ac:dyDescent="0.25">
      <c r="B23" s="4"/>
      <c r="C23" s="5">
        <v>40409</v>
      </c>
      <c r="D23" s="3">
        <v>17.3</v>
      </c>
      <c r="E23" s="3">
        <v>9.6</v>
      </c>
      <c r="F23" s="3">
        <v>24.1</v>
      </c>
      <c r="G23" s="6"/>
      <c r="H23" s="6"/>
      <c r="I23" s="6"/>
      <c r="J23" s="3">
        <v>0</v>
      </c>
      <c r="K23" s="6"/>
      <c r="L23" s="3">
        <v>2.4</v>
      </c>
      <c r="M23" s="6"/>
      <c r="N23" s="3">
        <v>-2.4</v>
      </c>
      <c r="O23" s="3">
        <v>0</v>
      </c>
      <c r="T23" s="3">
        <v>0</v>
      </c>
      <c r="V23" s="3">
        <v>1075.7</v>
      </c>
    </row>
    <row r="24" spans="2:22" s="3" customFormat="1" x14ac:dyDescent="0.25">
      <c r="B24" s="4"/>
      <c r="C24" s="5">
        <v>40410</v>
      </c>
      <c r="D24" s="3">
        <v>19.7</v>
      </c>
      <c r="E24" s="3">
        <v>15.2</v>
      </c>
      <c r="F24" s="3">
        <v>22.9</v>
      </c>
      <c r="G24" s="6"/>
      <c r="H24" s="6"/>
      <c r="I24" s="6"/>
      <c r="J24" s="3">
        <v>0</v>
      </c>
      <c r="K24" s="6"/>
      <c r="L24" s="3">
        <v>2</v>
      </c>
      <c r="M24" s="6"/>
      <c r="N24" s="3">
        <v>-2</v>
      </c>
      <c r="O24" s="3">
        <v>0</v>
      </c>
      <c r="T24" s="3">
        <v>0</v>
      </c>
      <c r="V24" s="3">
        <v>936.3</v>
      </c>
    </row>
    <row r="25" spans="2:22" s="3" customFormat="1" x14ac:dyDescent="0.25">
      <c r="B25" s="4"/>
      <c r="C25" s="5">
        <v>40411</v>
      </c>
      <c r="D25" s="3">
        <v>21.7</v>
      </c>
      <c r="E25" s="3">
        <v>19.100000000000001</v>
      </c>
      <c r="F25" s="3">
        <v>25.2</v>
      </c>
      <c r="G25" s="6"/>
      <c r="H25" s="6"/>
      <c r="I25" s="6"/>
      <c r="J25" s="3">
        <v>0.2</v>
      </c>
      <c r="K25" s="6"/>
      <c r="L25" s="3">
        <v>2.2000000000000002</v>
      </c>
      <c r="M25" s="6"/>
      <c r="N25" s="3">
        <v>-2</v>
      </c>
      <c r="O25" s="3">
        <v>0</v>
      </c>
      <c r="T25" s="3">
        <v>0</v>
      </c>
      <c r="V25" s="3">
        <v>921.6</v>
      </c>
    </row>
    <row r="26" spans="2:22" s="3" customFormat="1" x14ac:dyDescent="0.25">
      <c r="B26" s="4"/>
      <c r="C26" s="5">
        <v>40412</v>
      </c>
      <c r="D26" s="3">
        <v>19.899999999999999</v>
      </c>
      <c r="E26" s="3">
        <v>16</v>
      </c>
      <c r="F26" s="3">
        <v>24.6</v>
      </c>
      <c r="G26" s="6"/>
      <c r="H26" s="6"/>
      <c r="I26" s="6"/>
      <c r="J26" s="3">
        <v>2</v>
      </c>
      <c r="K26" s="6"/>
      <c r="L26" s="3">
        <v>3.2</v>
      </c>
      <c r="M26" s="6"/>
      <c r="N26" s="3">
        <v>-1.2000000000000002</v>
      </c>
      <c r="O26" s="3">
        <v>0</v>
      </c>
      <c r="T26" s="3">
        <v>0</v>
      </c>
      <c r="V26" s="3">
        <v>1729.1</v>
      </c>
    </row>
    <row r="27" spans="2:22" s="3" customFormat="1" x14ac:dyDescent="0.25">
      <c r="B27" s="4"/>
      <c r="C27" s="5">
        <v>40413</v>
      </c>
      <c r="D27" s="3">
        <v>19</v>
      </c>
      <c r="E27" s="3">
        <v>18.100000000000001</v>
      </c>
      <c r="F27" s="3">
        <v>23</v>
      </c>
      <c r="G27" s="6"/>
      <c r="H27" s="6"/>
      <c r="I27" s="6"/>
      <c r="J27" s="3">
        <v>0.5</v>
      </c>
      <c r="K27" s="6"/>
      <c r="L27" s="3">
        <v>3.1</v>
      </c>
      <c r="M27" s="6"/>
      <c r="N27" s="3">
        <v>-2.6</v>
      </c>
      <c r="O27" s="3">
        <v>0</v>
      </c>
      <c r="T27" s="3">
        <v>0</v>
      </c>
      <c r="V27" s="3">
        <v>1296.0999999999999</v>
      </c>
    </row>
    <row r="28" spans="2:22" s="3" customFormat="1" x14ac:dyDescent="0.25">
      <c r="B28" s="4"/>
      <c r="C28" s="5">
        <v>40414</v>
      </c>
      <c r="D28" s="3">
        <v>16.5</v>
      </c>
      <c r="E28" s="3">
        <v>10.6</v>
      </c>
      <c r="F28" s="3">
        <v>20.8</v>
      </c>
      <c r="G28" s="6"/>
      <c r="H28" s="6"/>
      <c r="I28" s="6"/>
      <c r="J28" s="3">
        <v>0.1</v>
      </c>
      <c r="K28" s="6"/>
      <c r="L28" s="3">
        <v>3.4</v>
      </c>
      <c r="M28" s="6"/>
      <c r="N28" s="3">
        <v>-3.3</v>
      </c>
      <c r="O28" s="3">
        <v>0</v>
      </c>
      <c r="T28" s="3">
        <v>0</v>
      </c>
      <c r="V28" s="3">
        <v>1934.5</v>
      </c>
    </row>
    <row r="29" spans="2:22" s="3" customFormat="1" x14ac:dyDescent="0.25">
      <c r="B29" s="4"/>
      <c r="C29" s="5">
        <v>40415</v>
      </c>
      <c r="D29" s="3">
        <v>17.600000000000001</v>
      </c>
      <c r="E29" s="3">
        <v>14.4</v>
      </c>
      <c r="F29" s="3">
        <v>20.399999999999999</v>
      </c>
      <c r="G29" s="6"/>
      <c r="H29" s="6"/>
      <c r="I29" s="6"/>
      <c r="J29" s="3">
        <v>2.2999999999999998</v>
      </c>
      <c r="K29" s="6"/>
      <c r="L29" s="3">
        <v>1.3</v>
      </c>
      <c r="M29" s="6"/>
      <c r="N29" s="3">
        <v>0.99999999999999978</v>
      </c>
      <c r="O29" s="3">
        <f t="shared" si="0"/>
        <v>0.99999999999999978</v>
      </c>
      <c r="T29" s="3">
        <v>0.99999999999999978</v>
      </c>
      <c r="V29" s="3">
        <v>610.70000000000005</v>
      </c>
    </row>
    <row r="30" spans="2:22" s="3" customFormat="1" x14ac:dyDescent="0.25">
      <c r="B30" s="4"/>
      <c r="C30" s="5">
        <v>40416</v>
      </c>
      <c r="D30" s="3">
        <v>20.100000000000001</v>
      </c>
      <c r="E30" s="3">
        <v>19.7</v>
      </c>
      <c r="F30" s="3">
        <v>21.6</v>
      </c>
      <c r="G30" s="6"/>
      <c r="H30" s="6"/>
      <c r="I30" s="6"/>
      <c r="J30" s="3">
        <v>4.2</v>
      </c>
      <c r="K30" s="6"/>
      <c r="L30" s="3">
        <v>2.2000000000000002</v>
      </c>
      <c r="M30" s="6"/>
      <c r="N30" s="3">
        <v>2</v>
      </c>
      <c r="O30" s="3">
        <f t="shared" si="0"/>
        <v>3</v>
      </c>
      <c r="T30" s="3">
        <v>3</v>
      </c>
      <c r="V30" s="3">
        <v>1108.3</v>
      </c>
    </row>
    <row r="31" spans="2:22" s="3" customFormat="1" x14ac:dyDescent="0.25">
      <c r="B31" s="4"/>
      <c r="C31" s="5">
        <v>40417</v>
      </c>
      <c r="D31" s="3">
        <v>16.8</v>
      </c>
      <c r="E31" s="3">
        <v>15.9</v>
      </c>
      <c r="F31" s="3">
        <v>18.899999999999999</v>
      </c>
      <c r="G31" s="6"/>
      <c r="H31" s="6"/>
      <c r="I31" s="6"/>
      <c r="J31" s="3">
        <v>1.7</v>
      </c>
      <c r="K31" s="6"/>
      <c r="L31" s="3">
        <v>1.6</v>
      </c>
      <c r="M31" s="6"/>
      <c r="N31" s="3">
        <v>9.9999999999999867E-2</v>
      </c>
      <c r="O31" s="3">
        <f t="shared" si="0"/>
        <v>3.0999999999999996</v>
      </c>
      <c r="T31" s="3">
        <v>3.0999999999999996</v>
      </c>
      <c r="V31" s="3">
        <v>828</v>
      </c>
    </row>
    <row r="32" spans="2:22" s="3" customFormat="1" x14ac:dyDescent="0.25">
      <c r="B32" s="4"/>
      <c r="C32" s="5">
        <v>40418</v>
      </c>
      <c r="D32" s="3">
        <v>14.7</v>
      </c>
      <c r="E32" s="3">
        <v>9.8000000000000007</v>
      </c>
      <c r="F32" s="3">
        <v>19.8</v>
      </c>
      <c r="G32" s="6"/>
      <c r="H32" s="6"/>
      <c r="I32" s="6"/>
      <c r="J32" s="3">
        <v>0.2</v>
      </c>
      <c r="K32" s="6"/>
      <c r="L32" s="3">
        <v>3.7</v>
      </c>
      <c r="M32" s="6"/>
      <c r="N32" s="3">
        <v>-3.5</v>
      </c>
      <c r="O32" s="3">
        <v>0</v>
      </c>
      <c r="T32" s="3">
        <v>0</v>
      </c>
      <c r="V32" s="3">
        <v>1947.8</v>
      </c>
    </row>
    <row r="33" spans="2:22" s="3" customFormat="1" x14ac:dyDescent="0.25">
      <c r="B33" s="4"/>
      <c r="C33" s="5">
        <v>40419</v>
      </c>
      <c r="D33" s="3">
        <v>15.3</v>
      </c>
      <c r="E33" s="3">
        <v>10.4</v>
      </c>
      <c r="F33" s="3">
        <v>22.7</v>
      </c>
      <c r="G33" s="6"/>
      <c r="H33" s="6"/>
      <c r="I33" s="6"/>
      <c r="J33" s="3">
        <v>0.1</v>
      </c>
      <c r="K33" s="6"/>
      <c r="L33" s="3">
        <v>3.7</v>
      </c>
      <c r="M33" s="6"/>
      <c r="N33" s="3">
        <v>-3.6</v>
      </c>
      <c r="O33" s="3">
        <v>0</v>
      </c>
      <c r="T33" s="3">
        <v>0</v>
      </c>
      <c r="V33" s="3">
        <v>1654.3</v>
      </c>
    </row>
    <row r="34" spans="2:22" s="3" customFormat="1" x14ac:dyDescent="0.25">
      <c r="B34" s="4"/>
      <c r="C34" s="5">
        <v>40420</v>
      </c>
      <c r="D34" s="3">
        <v>14.2</v>
      </c>
      <c r="E34" s="3">
        <v>9.1</v>
      </c>
      <c r="F34" s="3">
        <v>21</v>
      </c>
      <c r="G34" s="6"/>
      <c r="H34" s="6"/>
      <c r="I34" s="6"/>
      <c r="J34" s="3">
        <v>0</v>
      </c>
      <c r="K34" s="6"/>
      <c r="L34" s="3">
        <v>4.5999999999999996</v>
      </c>
      <c r="M34" s="6"/>
      <c r="N34" s="3">
        <v>-4.5999999999999996</v>
      </c>
      <c r="O34" s="3">
        <v>0</v>
      </c>
      <c r="T34" s="3">
        <v>0</v>
      </c>
      <c r="V34" s="3">
        <v>2369.5</v>
      </c>
    </row>
    <row r="35" spans="2:22" s="3" customFormat="1" x14ac:dyDescent="0.25">
      <c r="B35" s="4"/>
      <c r="C35" s="5">
        <v>40421</v>
      </c>
      <c r="D35" s="3">
        <v>15.2</v>
      </c>
      <c r="E35" s="3">
        <v>7</v>
      </c>
      <c r="F35" s="3">
        <v>23</v>
      </c>
      <c r="G35" s="6"/>
      <c r="H35" s="6"/>
      <c r="I35" s="6"/>
      <c r="J35" s="3">
        <v>0</v>
      </c>
      <c r="K35" s="6"/>
      <c r="L35" s="3">
        <v>4.5999999999999996</v>
      </c>
      <c r="M35" s="6"/>
      <c r="N35" s="3">
        <v>-4.5999999999999996</v>
      </c>
      <c r="O35" s="3">
        <v>0</v>
      </c>
      <c r="T35" s="3">
        <v>0</v>
      </c>
      <c r="V35" s="3">
        <v>2254.5</v>
      </c>
    </row>
    <row r="36" spans="2:22" s="3" customFormat="1" x14ac:dyDescent="0.25">
      <c r="B36" s="4"/>
      <c r="C36" s="5">
        <v>40422</v>
      </c>
      <c r="D36" s="3">
        <v>17</v>
      </c>
      <c r="E36" s="3">
        <v>10.4</v>
      </c>
      <c r="F36" s="3">
        <v>23.8</v>
      </c>
      <c r="G36" s="6"/>
      <c r="H36" s="6"/>
      <c r="I36" s="6"/>
      <c r="J36" s="3">
        <v>0</v>
      </c>
      <c r="K36" s="6"/>
      <c r="L36" s="3">
        <v>5</v>
      </c>
      <c r="M36" s="6"/>
      <c r="N36" s="3">
        <v>-5</v>
      </c>
      <c r="O36" s="3">
        <v>0</v>
      </c>
      <c r="T36" s="3">
        <v>0</v>
      </c>
      <c r="V36" s="3">
        <v>2224</v>
      </c>
    </row>
    <row r="37" spans="2:22" s="3" customFormat="1" x14ac:dyDescent="0.25">
      <c r="B37" s="4"/>
      <c r="C37" s="5">
        <v>40423</v>
      </c>
      <c r="D37" s="3">
        <v>18.600000000000001</v>
      </c>
      <c r="E37" s="3">
        <v>11.2</v>
      </c>
      <c r="F37" s="3">
        <v>26.4</v>
      </c>
      <c r="G37" s="6"/>
      <c r="H37" s="6"/>
      <c r="I37" s="6"/>
      <c r="J37" s="3">
        <v>0</v>
      </c>
      <c r="K37" s="6"/>
      <c r="L37" s="3">
        <v>5.2</v>
      </c>
      <c r="M37" s="6"/>
      <c r="N37" s="3">
        <v>-5.2</v>
      </c>
      <c r="O37" s="3">
        <v>0</v>
      </c>
      <c r="T37" s="3">
        <v>0</v>
      </c>
      <c r="V37" s="3">
        <v>2335.6</v>
      </c>
    </row>
    <row r="38" spans="2:22" s="3" customFormat="1" x14ac:dyDescent="0.25">
      <c r="B38" s="4"/>
      <c r="C38" s="5">
        <v>40424</v>
      </c>
      <c r="D38" s="3">
        <v>18.8</v>
      </c>
      <c r="E38" s="3">
        <v>11</v>
      </c>
      <c r="F38" s="3">
        <v>27.1</v>
      </c>
      <c r="G38" s="6"/>
      <c r="H38" s="6"/>
      <c r="I38" s="6"/>
      <c r="J38" s="3">
        <v>0</v>
      </c>
      <c r="K38" s="6"/>
      <c r="L38" s="3">
        <v>4.7</v>
      </c>
      <c r="M38" s="6"/>
      <c r="N38" s="3">
        <v>-4.7</v>
      </c>
      <c r="O38" s="3">
        <v>0</v>
      </c>
      <c r="T38" s="3">
        <v>0</v>
      </c>
      <c r="V38" s="3">
        <v>2063.5</v>
      </c>
    </row>
    <row r="39" spans="2:22" s="3" customFormat="1" x14ac:dyDescent="0.25">
      <c r="B39" s="4"/>
      <c r="C39" s="5">
        <v>40425</v>
      </c>
      <c r="D39" s="3">
        <v>20</v>
      </c>
      <c r="E39" s="3">
        <v>11.6</v>
      </c>
      <c r="F39" s="3">
        <v>27.8</v>
      </c>
      <c r="G39" s="6"/>
      <c r="H39" s="6"/>
      <c r="I39" s="6"/>
      <c r="J39" s="3">
        <v>0</v>
      </c>
      <c r="K39" s="6"/>
      <c r="L39" s="3">
        <v>3.9</v>
      </c>
      <c r="M39" s="6"/>
      <c r="N39" s="3">
        <v>-3.9</v>
      </c>
      <c r="O39" s="3">
        <v>0</v>
      </c>
      <c r="T39" s="3">
        <v>0</v>
      </c>
      <c r="V39" s="3">
        <v>1773.7</v>
      </c>
    </row>
    <row r="40" spans="2:22" s="3" customFormat="1" x14ac:dyDescent="0.25">
      <c r="B40" s="4"/>
      <c r="C40" s="5">
        <v>40426</v>
      </c>
      <c r="D40" s="3">
        <v>21.1</v>
      </c>
      <c r="E40" s="3">
        <v>15.3</v>
      </c>
      <c r="F40" s="3">
        <v>27.4</v>
      </c>
      <c r="G40" s="6"/>
      <c r="H40" s="6"/>
      <c r="I40" s="6"/>
      <c r="J40" s="3">
        <v>0</v>
      </c>
      <c r="K40" s="6"/>
      <c r="L40" s="3">
        <v>4.0999999999999996</v>
      </c>
      <c r="M40" s="6"/>
      <c r="N40" s="3">
        <v>-4.0999999999999996</v>
      </c>
      <c r="O40" s="3">
        <v>0</v>
      </c>
      <c r="T40" s="3">
        <v>0</v>
      </c>
      <c r="V40" s="3">
        <v>1420.3</v>
      </c>
    </row>
    <row r="41" spans="2:22" s="3" customFormat="1" x14ac:dyDescent="0.25">
      <c r="B41" s="4"/>
      <c r="C41" s="5">
        <v>40427</v>
      </c>
      <c r="D41" s="3">
        <v>17.3</v>
      </c>
      <c r="E41" s="3">
        <v>14.1</v>
      </c>
      <c r="F41" s="3">
        <v>21.3</v>
      </c>
      <c r="G41" s="6"/>
      <c r="H41" s="6"/>
      <c r="I41" s="6"/>
      <c r="J41" s="3">
        <v>1.8</v>
      </c>
      <c r="K41" s="6"/>
      <c r="L41" s="3">
        <v>2.1</v>
      </c>
      <c r="M41" s="6"/>
      <c r="N41" s="3">
        <v>-0.30000000000000004</v>
      </c>
      <c r="O41" s="3">
        <v>0</v>
      </c>
      <c r="T41" s="3">
        <v>0</v>
      </c>
      <c r="V41" s="3">
        <v>880.9</v>
      </c>
    </row>
    <row r="42" spans="2:22" s="3" customFormat="1" x14ac:dyDescent="0.25">
      <c r="B42" s="4"/>
      <c r="C42" s="5">
        <v>40428</v>
      </c>
      <c r="D42" s="3">
        <v>15.5</v>
      </c>
      <c r="E42" s="3">
        <v>11.8</v>
      </c>
      <c r="F42" s="3">
        <v>21.9</v>
      </c>
      <c r="G42" s="6"/>
      <c r="H42" s="6"/>
      <c r="I42" s="6"/>
      <c r="J42" s="3">
        <v>15.3</v>
      </c>
      <c r="K42" s="6"/>
      <c r="L42" s="3">
        <v>2.6</v>
      </c>
      <c r="M42" s="6"/>
      <c r="N42" s="3">
        <v>12.700000000000001</v>
      </c>
      <c r="O42" s="3">
        <f t="shared" si="0"/>
        <v>12.700000000000001</v>
      </c>
      <c r="T42" s="3">
        <v>12.700000000000001</v>
      </c>
      <c r="V42" s="3">
        <v>1309.5999999999999</v>
      </c>
    </row>
    <row r="43" spans="2:22" s="3" customFormat="1" x14ac:dyDescent="0.25">
      <c r="B43" s="4"/>
      <c r="C43" s="5">
        <v>40429</v>
      </c>
      <c r="D43" s="3">
        <v>15.4</v>
      </c>
      <c r="E43" s="3">
        <v>11.6</v>
      </c>
      <c r="F43" s="3">
        <v>21.1</v>
      </c>
      <c r="G43" s="6"/>
      <c r="H43" s="6"/>
      <c r="I43" s="6"/>
      <c r="J43" s="3">
        <v>4.7</v>
      </c>
      <c r="K43" s="6"/>
      <c r="L43" s="3">
        <v>3.4</v>
      </c>
      <c r="M43" s="6"/>
      <c r="N43" s="3">
        <v>1.3000000000000003</v>
      </c>
      <c r="O43" s="3">
        <f t="shared" si="0"/>
        <v>14.000000000000002</v>
      </c>
      <c r="T43" s="3">
        <v>14.000000000000002</v>
      </c>
      <c r="V43" s="3">
        <v>1676.2</v>
      </c>
    </row>
    <row r="44" spans="2:22" s="3" customFormat="1" x14ac:dyDescent="0.25">
      <c r="B44" s="4"/>
      <c r="C44" s="5">
        <v>40430</v>
      </c>
      <c r="D44" s="3">
        <v>16.100000000000001</v>
      </c>
      <c r="E44" s="3">
        <v>12</v>
      </c>
      <c r="F44" s="3">
        <v>22.2</v>
      </c>
      <c r="G44" s="6"/>
      <c r="H44" s="6"/>
      <c r="I44" s="6"/>
      <c r="J44" s="3">
        <v>0.5</v>
      </c>
      <c r="K44" s="6"/>
      <c r="L44" s="3">
        <v>2.8</v>
      </c>
      <c r="M44" s="6"/>
      <c r="N44" s="3">
        <v>-2.2999999999999998</v>
      </c>
      <c r="O44" s="3">
        <f t="shared" si="0"/>
        <v>11.700000000000003</v>
      </c>
      <c r="T44" s="3">
        <v>11.700000000000003</v>
      </c>
      <c r="V44" s="3">
        <v>1424.1</v>
      </c>
    </row>
    <row r="45" spans="2:22" s="3" customFormat="1" x14ac:dyDescent="0.25">
      <c r="B45" s="4"/>
      <c r="C45" s="5">
        <v>40431</v>
      </c>
      <c r="D45" s="3">
        <v>16</v>
      </c>
      <c r="E45" s="3">
        <v>10.3</v>
      </c>
      <c r="F45" s="3">
        <v>22.9</v>
      </c>
      <c r="G45" s="6"/>
      <c r="H45" s="6"/>
      <c r="I45" s="6"/>
      <c r="J45" s="3">
        <v>0</v>
      </c>
      <c r="K45" s="6"/>
      <c r="L45" s="3">
        <v>3.3</v>
      </c>
      <c r="M45" s="6"/>
      <c r="N45" s="3">
        <v>-3.3</v>
      </c>
      <c r="O45" s="3">
        <f t="shared" si="0"/>
        <v>8.4000000000000021</v>
      </c>
      <c r="T45" s="3">
        <v>8.4000000000000021</v>
      </c>
      <c r="V45" s="3">
        <v>1784</v>
      </c>
    </row>
    <row r="46" spans="2:22" s="3" customFormat="1" x14ac:dyDescent="0.25">
      <c r="B46" s="4"/>
      <c r="C46" s="5">
        <v>40432</v>
      </c>
      <c r="D46" s="3">
        <v>17.899999999999999</v>
      </c>
      <c r="E46" s="3">
        <v>12.9</v>
      </c>
      <c r="F46" s="3">
        <v>23.2</v>
      </c>
      <c r="G46" s="6"/>
      <c r="H46" s="6"/>
      <c r="I46" s="6"/>
      <c r="J46" s="3">
        <v>0.8</v>
      </c>
      <c r="K46" s="6"/>
      <c r="L46" s="3">
        <v>2.9</v>
      </c>
      <c r="M46" s="6"/>
      <c r="N46" s="3">
        <v>-2.0999999999999996</v>
      </c>
      <c r="O46" s="3">
        <f t="shared" si="0"/>
        <v>6.3000000000000025</v>
      </c>
      <c r="T46" s="3">
        <v>6.3000000000000025</v>
      </c>
      <c r="V46" s="3">
        <v>1370.8</v>
      </c>
    </row>
    <row r="47" spans="2:22" s="3" customFormat="1" x14ac:dyDescent="0.25">
      <c r="B47" s="4"/>
      <c r="C47" s="5">
        <v>40433</v>
      </c>
      <c r="D47" s="3">
        <v>15.6</v>
      </c>
      <c r="E47" s="3">
        <v>11.9</v>
      </c>
      <c r="F47" s="3">
        <v>21.2</v>
      </c>
      <c r="G47" s="6"/>
      <c r="H47" s="6"/>
      <c r="I47" s="6"/>
      <c r="J47" s="3">
        <v>0</v>
      </c>
      <c r="K47" s="6"/>
      <c r="L47" s="3">
        <v>3.7</v>
      </c>
      <c r="M47" s="6"/>
      <c r="N47" s="3">
        <v>-3.7</v>
      </c>
      <c r="O47" s="3">
        <f t="shared" si="0"/>
        <v>2.6000000000000023</v>
      </c>
      <c r="T47" s="3">
        <v>2.6000000000000023</v>
      </c>
      <c r="V47" s="3">
        <v>1748.2</v>
      </c>
    </row>
    <row r="48" spans="2:22" s="3" customFormat="1" x14ac:dyDescent="0.25">
      <c r="B48" s="4"/>
      <c r="C48" s="5">
        <v>40434</v>
      </c>
      <c r="D48" s="3">
        <v>14.9</v>
      </c>
      <c r="E48" s="3">
        <v>8.8000000000000007</v>
      </c>
      <c r="F48" s="3">
        <v>19.399999999999999</v>
      </c>
      <c r="G48" s="6"/>
      <c r="H48" s="6"/>
      <c r="I48" s="6"/>
      <c r="J48" s="3">
        <v>0</v>
      </c>
      <c r="K48" s="6"/>
      <c r="L48" s="3">
        <v>2.4</v>
      </c>
      <c r="M48" s="6"/>
      <c r="N48" s="3">
        <v>-2.4</v>
      </c>
      <c r="O48" s="3">
        <f t="shared" si="0"/>
        <v>0.2000000000000024</v>
      </c>
      <c r="T48" s="3">
        <v>0.2000000000000024</v>
      </c>
      <c r="V48" s="3">
        <v>1385.1</v>
      </c>
    </row>
    <row r="49" spans="1:27" s="43" customFormat="1" ht="15.75" thickBot="1" x14ac:dyDescent="0.3">
      <c r="A49" s="60" t="s">
        <v>0</v>
      </c>
      <c r="B49" s="60"/>
      <c r="C49" s="60"/>
      <c r="D49" s="60"/>
      <c r="E49" s="60"/>
      <c r="F49" s="60"/>
      <c r="G49" s="60"/>
      <c r="H49" s="60"/>
      <c r="I49" s="60"/>
      <c r="J49" s="60"/>
      <c r="K49" s="60"/>
      <c r="L49" s="60"/>
      <c r="M49" s="60"/>
      <c r="N49" s="60"/>
      <c r="O49" s="60"/>
      <c r="P49" s="60"/>
      <c r="Q49" s="60"/>
      <c r="R49" s="60"/>
      <c r="S49" s="60"/>
      <c r="T49" s="60"/>
      <c r="U49" s="60"/>
      <c r="V49" s="60"/>
      <c r="W49" s="60"/>
      <c r="X49" s="60"/>
      <c r="Y49" s="60"/>
      <c r="Z49" s="60"/>
    </row>
    <row r="50" spans="1:27" s="3" customFormat="1" x14ac:dyDescent="0.25">
      <c r="A50" s="61" t="s">
        <v>1</v>
      </c>
      <c r="B50" s="7"/>
      <c r="C50" s="8">
        <v>40435</v>
      </c>
      <c r="D50" s="3">
        <v>16.600000000000001</v>
      </c>
      <c r="E50" s="3">
        <v>12</v>
      </c>
      <c r="F50" s="3">
        <v>21.4</v>
      </c>
      <c r="G50" s="3">
        <v>16.600000000000001</v>
      </c>
      <c r="I50" s="9" t="s">
        <v>51</v>
      </c>
      <c r="J50" s="3">
        <v>0.5</v>
      </c>
      <c r="K50" s="3">
        <f>J50</f>
        <v>0.5</v>
      </c>
      <c r="L50" s="3">
        <v>3.2</v>
      </c>
      <c r="M50" s="3">
        <f>L50</f>
        <v>3.2</v>
      </c>
      <c r="N50" s="3">
        <v>-2.7</v>
      </c>
      <c r="O50" s="3">
        <v>0</v>
      </c>
      <c r="P50" s="3">
        <v>1</v>
      </c>
      <c r="Q50" s="3">
        <v>0.35</v>
      </c>
      <c r="R50" s="10">
        <f t="shared" ref="R50:R113" si="1">Q50*L50</f>
        <v>1.1199999999999999</v>
      </c>
      <c r="S50" s="10">
        <f t="shared" ref="S50:S113" si="2">J50-R50</f>
        <v>-0.61999999999999988</v>
      </c>
      <c r="T50" s="10">
        <v>0</v>
      </c>
      <c r="U50" s="9"/>
      <c r="V50" s="3">
        <v>1531</v>
      </c>
      <c r="X50" s="3">
        <f>V50</f>
        <v>1531</v>
      </c>
      <c r="Z50" s="9" t="s">
        <v>63</v>
      </c>
      <c r="AA50" s="3">
        <v>12.7247130029575</v>
      </c>
    </row>
    <row r="51" spans="1:27" s="3" customFormat="1" x14ac:dyDescent="0.25">
      <c r="A51" s="61"/>
      <c r="B51" s="7"/>
      <c r="C51" s="8">
        <v>40436</v>
      </c>
      <c r="D51" s="3">
        <v>15.5</v>
      </c>
      <c r="E51" s="3">
        <v>14</v>
      </c>
      <c r="F51" s="3">
        <v>18.3</v>
      </c>
      <c r="G51" s="3">
        <f>G50+D51</f>
        <v>32.1</v>
      </c>
      <c r="I51" s="3">
        <f>MIN(E50:E119)</f>
        <v>-1.2</v>
      </c>
      <c r="J51" s="3">
        <v>2.9</v>
      </c>
      <c r="K51" s="3">
        <f>K50+J51</f>
        <v>3.4</v>
      </c>
      <c r="L51" s="3">
        <v>2.2999999999999998</v>
      </c>
      <c r="M51" s="3">
        <f>M50+L51</f>
        <v>5.5</v>
      </c>
      <c r="N51" s="3">
        <v>0.60000000000000009</v>
      </c>
      <c r="O51" s="3">
        <f>O50+N51</f>
        <v>0.60000000000000009</v>
      </c>
      <c r="P51" s="3">
        <v>2</v>
      </c>
      <c r="Q51" s="3">
        <v>0.35</v>
      </c>
      <c r="R51" s="10">
        <f t="shared" si="1"/>
        <v>0.80499999999999994</v>
      </c>
      <c r="S51" s="10">
        <f t="shared" si="2"/>
        <v>2.0949999999999998</v>
      </c>
      <c r="T51" s="10">
        <f>MIN(197.4,(T50+S51))</f>
        <v>2.0949999999999998</v>
      </c>
      <c r="V51" s="3">
        <v>1112.2</v>
      </c>
      <c r="X51" s="3">
        <f>X50+V51</f>
        <v>2643.2</v>
      </c>
      <c r="Z51" s="3">
        <v>52400.600000000006</v>
      </c>
      <c r="AA51" s="3">
        <v>12.667095814664201</v>
      </c>
    </row>
    <row r="52" spans="1:27" s="3" customFormat="1" x14ac:dyDescent="0.25">
      <c r="A52" s="61"/>
      <c r="B52" s="7"/>
      <c r="C52" s="8">
        <v>40437</v>
      </c>
      <c r="D52" s="3">
        <v>14.4</v>
      </c>
      <c r="E52" s="3">
        <v>11.7</v>
      </c>
      <c r="F52" s="3">
        <v>18.600000000000001</v>
      </c>
      <c r="G52" s="3">
        <f t="shared" ref="G52:G115" si="3">G51+D52</f>
        <v>46.5</v>
      </c>
      <c r="I52" s="9" t="s">
        <v>52</v>
      </c>
      <c r="J52" s="3">
        <v>0.2</v>
      </c>
      <c r="K52" s="3">
        <f t="shared" ref="K52:K115" si="4">K51+J52</f>
        <v>3.6</v>
      </c>
      <c r="L52" s="3">
        <v>2.2000000000000002</v>
      </c>
      <c r="M52" s="3">
        <f t="shared" ref="M52:M115" si="5">M51+L52</f>
        <v>7.7</v>
      </c>
      <c r="N52" s="3">
        <v>-2</v>
      </c>
      <c r="O52" s="3">
        <v>0</v>
      </c>
      <c r="P52" s="3">
        <v>3</v>
      </c>
      <c r="Q52" s="3">
        <v>0.35</v>
      </c>
      <c r="R52" s="10">
        <f t="shared" si="1"/>
        <v>0.77</v>
      </c>
      <c r="S52" s="10">
        <f t="shared" si="2"/>
        <v>-0.57000000000000006</v>
      </c>
      <c r="T52" s="10">
        <f t="shared" ref="T52:T115" si="6">MIN(197.4,(T51+S52))</f>
        <v>1.5249999999999997</v>
      </c>
      <c r="U52" s="9" t="s">
        <v>58</v>
      </c>
      <c r="V52" s="3">
        <v>1106.7</v>
      </c>
      <c r="X52" s="3">
        <f t="shared" ref="X52:X115" si="7">X51+V52</f>
        <v>3749.8999999999996</v>
      </c>
      <c r="Z52" s="9" t="s">
        <v>65</v>
      </c>
      <c r="AA52" s="3">
        <v>12.6094155464097</v>
      </c>
    </row>
    <row r="53" spans="1:27" s="3" customFormat="1" x14ac:dyDescent="0.25">
      <c r="A53" s="61"/>
      <c r="B53" s="7"/>
      <c r="C53" s="8">
        <v>40438</v>
      </c>
      <c r="D53" s="3">
        <v>12.6</v>
      </c>
      <c r="E53" s="3">
        <v>9.5</v>
      </c>
      <c r="F53" s="3">
        <v>18.399999999999999</v>
      </c>
      <c r="G53" s="3">
        <f t="shared" si="3"/>
        <v>59.1</v>
      </c>
      <c r="I53" s="3">
        <f>MAX(F50:F119)</f>
        <v>26.9</v>
      </c>
      <c r="J53" s="3">
        <v>0</v>
      </c>
      <c r="K53" s="3">
        <f t="shared" si="4"/>
        <v>3.6</v>
      </c>
      <c r="L53" s="3">
        <v>2.9</v>
      </c>
      <c r="M53" s="3">
        <f t="shared" si="5"/>
        <v>10.6</v>
      </c>
      <c r="N53" s="3">
        <v>-2.9</v>
      </c>
      <c r="O53" s="3">
        <v>0</v>
      </c>
      <c r="P53" s="3">
        <v>4</v>
      </c>
      <c r="Q53" s="3">
        <v>0.35</v>
      </c>
      <c r="R53" s="10">
        <f t="shared" si="1"/>
        <v>1.0149999999999999</v>
      </c>
      <c r="S53" s="10">
        <f t="shared" si="2"/>
        <v>-1.0149999999999999</v>
      </c>
      <c r="T53" s="10">
        <f t="shared" si="6"/>
        <v>0.50999999999999979</v>
      </c>
      <c r="U53" s="3">
        <v>6</v>
      </c>
      <c r="V53" s="3">
        <v>1532</v>
      </c>
      <c r="X53" s="3">
        <f t="shared" si="7"/>
        <v>5281.9</v>
      </c>
      <c r="Z53" s="3">
        <f>(Z51/100)/I63</f>
        <v>0.64350485079209152</v>
      </c>
      <c r="AA53" s="3">
        <v>12.5516779716794</v>
      </c>
    </row>
    <row r="54" spans="1:27" s="3" customFormat="1" x14ac:dyDescent="0.25">
      <c r="A54" s="61"/>
      <c r="B54" s="7"/>
      <c r="C54" s="8">
        <v>40439</v>
      </c>
      <c r="D54" s="3">
        <v>11.6</v>
      </c>
      <c r="E54" s="3">
        <v>4.7</v>
      </c>
      <c r="F54" s="3">
        <v>18.8</v>
      </c>
      <c r="G54" s="3">
        <f t="shared" si="3"/>
        <v>70.7</v>
      </c>
      <c r="I54" s="9" t="s">
        <v>53</v>
      </c>
      <c r="J54" s="3">
        <v>0</v>
      </c>
      <c r="K54" s="3">
        <f t="shared" si="4"/>
        <v>3.6</v>
      </c>
      <c r="L54" s="3">
        <v>2</v>
      </c>
      <c r="M54" s="3">
        <f t="shared" si="5"/>
        <v>12.6</v>
      </c>
      <c r="N54" s="3">
        <v>-2</v>
      </c>
      <c r="O54" s="3">
        <v>0</v>
      </c>
      <c r="P54" s="3">
        <v>5</v>
      </c>
      <c r="Q54" s="3">
        <v>0.35</v>
      </c>
      <c r="R54" s="10">
        <f t="shared" si="1"/>
        <v>0.7</v>
      </c>
      <c r="S54" s="10">
        <f t="shared" si="2"/>
        <v>-0.7</v>
      </c>
      <c r="T54" s="10">
        <v>0</v>
      </c>
      <c r="U54" s="9" t="s">
        <v>59</v>
      </c>
      <c r="V54" s="3">
        <v>1110.2</v>
      </c>
      <c r="X54" s="3">
        <f t="shared" si="7"/>
        <v>6392.0999999999995</v>
      </c>
      <c r="Z54" s="9" t="s">
        <v>64</v>
      </c>
      <c r="AA54" s="3">
        <v>12.4938887637508</v>
      </c>
    </row>
    <row r="55" spans="1:27" s="3" customFormat="1" x14ac:dyDescent="0.25">
      <c r="A55" s="61"/>
      <c r="B55" s="7"/>
      <c r="C55" s="8">
        <v>40440</v>
      </c>
      <c r="D55" s="3">
        <v>12.4</v>
      </c>
      <c r="E55" s="3">
        <v>4.9000000000000004</v>
      </c>
      <c r="F55" s="3">
        <v>21.2</v>
      </c>
      <c r="G55" s="3">
        <f t="shared" si="3"/>
        <v>83.100000000000009</v>
      </c>
      <c r="I55" s="10">
        <f>AVERAGE(D50:D119)</f>
        <v>11.632857142857146</v>
      </c>
      <c r="J55" s="3">
        <v>0</v>
      </c>
      <c r="K55" s="3">
        <f t="shared" si="4"/>
        <v>3.6</v>
      </c>
      <c r="L55" s="3">
        <v>3.4</v>
      </c>
      <c r="M55" s="3">
        <f t="shared" si="5"/>
        <v>16</v>
      </c>
      <c r="N55" s="3">
        <v>-3.4</v>
      </c>
      <c r="O55" s="3">
        <v>0</v>
      </c>
      <c r="P55" s="3">
        <v>6</v>
      </c>
      <c r="Q55" s="3">
        <v>0.35</v>
      </c>
      <c r="R55" s="10">
        <f t="shared" si="1"/>
        <v>1.19</v>
      </c>
      <c r="S55" s="10">
        <f t="shared" si="2"/>
        <v>-1.19</v>
      </c>
      <c r="T55" s="10">
        <v>0</v>
      </c>
      <c r="U55" s="3">
        <v>25</v>
      </c>
      <c r="V55" s="3">
        <v>1797.1</v>
      </c>
      <c r="X55" s="3">
        <f t="shared" si="7"/>
        <v>8189.1999999999989</v>
      </c>
      <c r="Z55" s="3">
        <v>51</v>
      </c>
      <c r="AA55" s="3">
        <v>12.436053511699001</v>
      </c>
    </row>
    <row r="56" spans="1:27" s="3" customFormat="1" x14ac:dyDescent="0.25">
      <c r="A56" s="61"/>
      <c r="B56" s="7"/>
      <c r="C56" s="8">
        <v>40441</v>
      </c>
      <c r="D56" s="3">
        <v>13.5</v>
      </c>
      <c r="E56" s="3">
        <v>5.8</v>
      </c>
      <c r="F56" s="3">
        <v>22.1</v>
      </c>
      <c r="G56" s="3">
        <f t="shared" si="3"/>
        <v>96.600000000000009</v>
      </c>
      <c r="I56" s="9" t="s">
        <v>54</v>
      </c>
      <c r="J56" s="3">
        <v>0</v>
      </c>
      <c r="K56" s="3">
        <f t="shared" si="4"/>
        <v>3.6</v>
      </c>
      <c r="L56" s="3">
        <v>3.3</v>
      </c>
      <c r="M56" s="3">
        <f t="shared" si="5"/>
        <v>19.3</v>
      </c>
      <c r="N56" s="3">
        <v>-3.3</v>
      </c>
      <c r="O56" s="3">
        <v>0</v>
      </c>
      <c r="P56" s="3">
        <v>7</v>
      </c>
      <c r="Q56" s="3">
        <v>0.35</v>
      </c>
      <c r="R56" s="10">
        <f t="shared" si="1"/>
        <v>1.1549999999999998</v>
      </c>
      <c r="S56" s="10">
        <f t="shared" si="2"/>
        <v>-1.1549999999999998</v>
      </c>
      <c r="T56" s="10">
        <v>0</v>
      </c>
      <c r="U56" s="9" t="s">
        <v>60</v>
      </c>
      <c r="V56" s="3">
        <v>1898.6</v>
      </c>
      <c r="X56" s="3">
        <f t="shared" si="7"/>
        <v>10087.799999999999</v>
      </c>
      <c r="AA56" s="3">
        <v>12.378177736463099</v>
      </c>
    </row>
    <row r="57" spans="1:27" s="3" customFormat="1" x14ac:dyDescent="0.25">
      <c r="A57" s="61"/>
      <c r="B57" s="7"/>
      <c r="C57" s="8">
        <v>40442</v>
      </c>
      <c r="D57" s="3">
        <v>15.3</v>
      </c>
      <c r="E57" s="3">
        <v>7.5</v>
      </c>
      <c r="F57" s="3">
        <v>24.6</v>
      </c>
      <c r="G57" s="3">
        <f t="shared" si="3"/>
        <v>111.9</v>
      </c>
      <c r="I57" s="3">
        <f>2</f>
        <v>2</v>
      </c>
      <c r="J57" s="3">
        <v>0</v>
      </c>
      <c r="K57" s="3">
        <f t="shared" si="4"/>
        <v>3.6</v>
      </c>
      <c r="L57" s="3">
        <v>3.9</v>
      </c>
      <c r="M57" s="3">
        <f t="shared" si="5"/>
        <v>23.2</v>
      </c>
      <c r="N57" s="3">
        <v>-3.9</v>
      </c>
      <c r="O57" s="3">
        <v>0</v>
      </c>
      <c r="P57" s="3">
        <v>8</v>
      </c>
      <c r="Q57" s="3">
        <v>0.35</v>
      </c>
      <c r="R57" s="10">
        <f t="shared" si="1"/>
        <v>1.365</v>
      </c>
      <c r="S57" s="10">
        <f t="shared" si="2"/>
        <v>-1.365</v>
      </c>
      <c r="T57" s="10">
        <v>0</v>
      </c>
      <c r="U57" s="3">
        <v>0</v>
      </c>
      <c r="V57" s="3">
        <v>1798.7</v>
      </c>
      <c r="X57" s="3">
        <f t="shared" si="7"/>
        <v>11886.5</v>
      </c>
      <c r="AA57" s="3">
        <v>12.320266906978199</v>
      </c>
    </row>
    <row r="58" spans="1:27" s="3" customFormat="1" x14ac:dyDescent="0.25">
      <c r="A58" s="61"/>
      <c r="B58" s="7"/>
      <c r="C58" s="8">
        <v>40443</v>
      </c>
      <c r="D58" s="3">
        <v>17.100000000000001</v>
      </c>
      <c r="E58" s="3">
        <v>9</v>
      </c>
      <c r="F58" s="3">
        <v>26.9</v>
      </c>
      <c r="G58" s="3">
        <f t="shared" si="3"/>
        <v>129</v>
      </c>
      <c r="I58" s="9" t="s">
        <v>55</v>
      </c>
      <c r="J58" s="3">
        <v>0.1</v>
      </c>
      <c r="K58" s="3">
        <f t="shared" si="4"/>
        <v>3.7</v>
      </c>
      <c r="L58" s="3">
        <v>3.6</v>
      </c>
      <c r="M58" s="3">
        <f t="shared" si="5"/>
        <v>26.8</v>
      </c>
      <c r="N58" s="3">
        <v>-3.5</v>
      </c>
      <c r="O58" s="3">
        <v>0</v>
      </c>
      <c r="P58" s="3">
        <v>9</v>
      </c>
      <c r="Q58" s="3">
        <v>0.35</v>
      </c>
      <c r="R58" s="10">
        <f t="shared" si="1"/>
        <v>1.26</v>
      </c>
      <c r="S58" s="10">
        <f t="shared" si="2"/>
        <v>-1.1599999999999999</v>
      </c>
      <c r="T58" s="10">
        <v>0</v>
      </c>
      <c r="U58" s="9" t="s">
        <v>61</v>
      </c>
      <c r="V58" s="3">
        <v>1446.9</v>
      </c>
      <c r="X58" s="3">
        <f t="shared" si="7"/>
        <v>13333.4</v>
      </c>
      <c r="AA58" s="3">
        <v>12.2623264563753</v>
      </c>
    </row>
    <row r="59" spans="1:27" s="3" customFormat="1" x14ac:dyDescent="0.25">
      <c r="A59" s="61"/>
      <c r="B59" s="7"/>
      <c r="C59" s="8">
        <v>40444</v>
      </c>
      <c r="D59" s="3">
        <v>15.9</v>
      </c>
      <c r="E59" s="3">
        <v>13.7</v>
      </c>
      <c r="F59" s="3">
        <v>20.3</v>
      </c>
      <c r="G59" s="3">
        <f t="shared" si="3"/>
        <v>144.9</v>
      </c>
      <c r="I59" s="3">
        <v>1</v>
      </c>
      <c r="J59" s="3">
        <v>7.4</v>
      </c>
      <c r="K59" s="3">
        <f t="shared" si="4"/>
        <v>11.100000000000001</v>
      </c>
      <c r="L59" s="3">
        <v>1.8</v>
      </c>
      <c r="M59" s="3">
        <f t="shared" si="5"/>
        <v>28.6</v>
      </c>
      <c r="N59" s="3">
        <v>5.6000000000000005</v>
      </c>
      <c r="O59" s="3">
        <f>O58+N59</f>
        <v>5.6000000000000005</v>
      </c>
      <c r="P59" s="3">
        <v>10</v>
      </c>
      <c r="Q59" s="3">
        <v>0.35</v>
      </c>
      <c r="R59" s="10">
        <f t="shared" si="1"/>
        <v>0.63</v>
      </c>
      <c r="S59" s="10">
        <f t="shared" si="2"/>
        <v>6.7700000000000005</v>
      </c>
      <c r="T59" s="10">
        <f t="shared" si="6"/>
        <v>6.7700000000000005</v>
      </c>
      <c r="U59" s="10">
        <f>MAX(T50:T119)</f>
        <v>145.13591666666665</v>
      </c>
      <c r="V59" s="3">
        <v>814.9</v>
      </c>
      <c r="X59" s="3">
        <f t="shared" si="7"/>
        <v>14148.3</v>
      </c>
      <c r="AA59" s="3">
        <v>12.2043617982565</v>
      </c>
    </row>
    <row r="60" spans="1:27" s="3" customFormat="1" x14ac:dyDescent="0.25">
      <c r="A60" s="61"/>
      <c r="B60" s="7"/>
      <c r="C60" s="8">
        <v>40445</v>
      </c>
      <c r="D60" s="3">
        <v>13.8</v>
      </c>
      <c r="E60" s="3">
        <v>10.7</v>
      </c>
      <c r="F60" s="3">
        <v>18.2</v>
      </c>
      <c r="G60" s="3">
        <f t="shared" si="3"/>
        <v>158.70000000000002</v>
      </c>
      <c r="I60" s="9" t="s">
        <v>56</v>
      </c>
      <c r="J60" s="3">
        <v>0.8</v>
      </c>
      <c r="K60" s="3">
        <f t="shared" si="4"/>
        <v>11.900000000000002</v>
      </c>
      <c r="L60" s="3">
        <v>2</v>
      </c>
      <c r="M60" s="3">
        <f t="shared" si="5"/>
        <v>30.6</v>
      </c>
      <c r="N60" s="3">
        <v>-1.2</v>
      </c>
      <c r="O60" s="3">
        <f>O59+N60</f>
        <v>4.4000000000000004</v>
      </c>
      <c r="P60" s="3">
        <v>11</v>
      </c>
      <c r="Q60" s="3">
        <f>0.35+((P60-10)/60)*(1-0.35)</f>
        <v>0.36083333333333334</v>
      </c>
      <c r="R60" s="10">
        <f>Q60*L60</f>
        <v>0.72166666666666668</v>
      </c>
      <c r="S60" s="10">
        <f>J60-R60</f>
        <v>7.8333333333333366E-2</v>
      </c>
      <c r="T60" s="10">
        <f>MIN(197.4,(T59+S60))</f>
        <v>6.8483333333333336</v>
      </c>
      <c r="U60" s="9" t="s">
        <v>62</v>
      </c>
      <c r="V60" s="3">
        <v>1056.3</v>
      </c>
      <c r="X60" s="3">
        <f t="shared" si="7"/>
        <v>15204.599999999999</v>
      </c>
      <c r="AA60" s="3">
        <v>12.1463783430485</v>
      </c>
    </row>
    <row r="61" spans="1:27" s="3" customFormat="1" x14ac:dyDescent="0.25">
      <c r="A61" s="61"/>
      <c r="B61" s="7"/>
      <c r="C61" s="8">
        <v>40446</v>
      </c>
      <c r="D61" s="3">
        <v>10.9</v>
      </c>
      <c r="E61" s="3">
        <v>10.7</v>
      </c>
      <c r="F61" s="3">
        <v>13.9</v>
      </c>
      <c r="G61" s="3">
        <f t="shared" si="3"/>
        <v>169.60000000000002</v>
      </c>
      <c r="I61" s="3">
        <v>15</v>
      </c>
      <c r="J61" s="3">
        <v>0</v>
      </c>
      <c r="K61" s="3">
        <f t="shared" si="4"/>
        <v>11.900000000000002</v>
      </c>
      <c r="L61" s="3">
        <v>2.2999999999999998</v>
      </c>
      <c r="M61" s="3">
        <f t="shared" si="5"/>
        <v>32.9</v>
      </c>
      <c r="N61" s="3">
        <v>-2.2999999999999998</v>
      </c>
      <c r="O61" s="3">
        <f>O60+N61</f>
        <v>2.1000000000000005</v>
      </c>
      <c r="P61" s="3">
        <v>12</v>
      </c>
      <c r="Q61" s="3">
        <f t="shared" ref="Q61:Q119" si="8">0.35+((P61-10)/60)*(1-0.35)</f>
        <v>0.37166666666666665</v>
      </c>
      <c r="R61" s="10">
        <f t="shared" si="1"/>
        <v>0.85483333333333322</v>
      </c>
      <c r="S61" s="10">
        <f t="shared" si="2"/>
        <v>-0.85483333333333322</v>
      </c>
      <c r="T61" s="10">
        <f t="shared" si="6"/>
        <v>5.9935</v>
      </c>
      <c r="U61" s="18">
        <f>AVERAGE(T50:T119)</f>
        <v>65.498604761904772</v>
      </c>
      <c r="V61" s="3">
        <v>801.8</v>
      </c>
      <c r="X61" s="3">
        <f t="shared" si="7"/>
        <v>16006.399999999998</v>
      </c>
      <c r="AA61" s="3">
        <v>12.0883815144407</v>
      </c>
    </row>
    <row r="62" spans="1:27" s="3" customFormat="1" x14ac:dyDescent="0.25">
      <c r="A62" s="61"/>
      <c r="B62" s="7"/>
      <c r="C62" s="8">
        <v>40447</v>
      </c>
      <c r="D62" s="3">
        <v>8.8000000000000007</v>
      </c>
      <c r="E62" s="3">
        <v>3.8</v>
      </c>
      <c r="F62" s="3">
        <v>14.7</v>
      </c>
      <c r="G62" s="3">
        <f t="shared" si="3"/>
        <v>178.40000000000003</v>
      </c>
      <c r="I62" s="9" t="s">
        <v>57</v>
      </c>
      <c r="J62" s="3">
        <v>0</v>
      </c>
      <c r="K62" s="3">
        <f t="shared" si="4"/>
        <v>11.900000000000002</v>
      </c>
      <c r="L62" s="3">
        <v>2</v>
      </c>
      <c r="M62" s="3">
        <f t="shared" si="5"/>
        <v>34.9</v>
      </c>
      <c r="N62" s="3">
        <v>-2</v>
      </c>
      <c r="O62" s="3">
        <f>O61+N62</f>
        <v>0.10000000000000053</v>
      </c>
      <c r="P62" s="3">
        <v>13</v>
      </c>
      <c r="Q62" s="3">
        <f t="shared" si="8"/>
        <v>0.38249999999999995</v>
      </c>
      <c r="R62" s="10">
        <f t="shared" si="1"/>
        <v>0.7649999999999999</v>
      </c>
      <c r="S62" s="10">
        <f t="shared" si="2"/>
        <v>-0.7649999999999999</v>
      </c>
      <c r="T62" s="10">
        <f t="shared" si="6"/>
        <v>5.2285000000000004</v>
      </c>
      <c r="V62" s="3">
        <v>1104.2</v>
      </c>
      <c r="X62" s="3">
        <f t="shared" si="7"/>
        <v>17110.599999999999</v>
      </c>
      <c r="AA62" s="3">
        <v>12.030376765913299</v>
      </c>
    </row>
    <row r="63" spans="1:27" s="3" customFormat="1" x14ac:dyDescent="0.25">
      <c r="A63" s="61"/>
      <c r="B63" s="7"/>
      <c r="C63" s="8">
        <v>40448</v>
      </c>
      <c r="D63" s="3">
        <v>11.9</v>
      </c>
      <c r="E63" s="3">
        <v>6.8</v>
      </c>
      <c r="F63" s="3">
        <v>16.399999999999999</v>
      </c>
      <c r="G63" s="3">
        <f t="shared" si="3"/>
        <v>190.30000000000004</v>
      </c>
      <c r="I63" s="3">
        <v>814.3</v>
      </c>
      <c r="J63" s="3">
        <v>0</v>
      </c>
      <c r="K63" s="3">
        <f t="shared" si="4"/>
        <v>11.900000000000002</v>
      </c>
      <c r="L63" s="3">
        <v>1.2</v>
      </c>
      <c r="M63" s="3">
        <f t="shared" si="5"/>
        <v>36.1</v>
      </c>
      <c r="N63" s="3">
        <v>-1.2</v>
      </c>
      <c r="O63" s="3">
        <v>0</v>
      </c>
      <c r="P63" s="3">
        <v>14</v>
      </c>
      <c r="Q63" s="3">
        <f t="shared" si="8"/>
        <v>0.39333333333333331</v>
      </c>
      <c r="R63" s="10">
        <f t="shared" si="1"/>
        <v>0.47199999999999998</v>
      </c>
      <c r="S63" s="10">
        <f t="shared" si="2"/>
        <v>-0.47199999999999998</v>
      </c>
      <c r="T63" s="10">
        <f t="shared" si="6"/>
        <v>4.7565000000000008</v>
      </c>
      <c r="U63" s="10">
        <f>(U61*100)/197.4</f>
        <v>33.180650841897048</v>
      </c>
      <c r="V63" s="3">
        <v>393.3</v>
      </c>
      <c r="X63" s="3">
        <f t="shared" si="7"/>
        <v>17503.899999999998</v>
      </c>
      <c r="AA63" s="3">
        <v>11.972369597360601</v>
      </c>
    </row>
    <row r="64" spans="1:27" s="3" customFormat="1" x14ac:dyDescent="0.25">
      <c r="A64" s="61"/>
      <c r="B64" s="7"/>
      <c r="C64" s="8">
        <v>40449</v>
      </c>
      <c r="D64" s="3">
        <v>12.9</v>
      </c>
      <c r="E64" s="3">
        <v>6.6</v>
      </c>
      <c r="F64" s="3">
        <v>20.100000000000001</v>
      </c>
      <c r="G64" s="3">
        <f t="shared" si="3"/>
        <v>203.20000000000005</v>
      </c>
      <c r="J64" s="3">
        <v>0</v>
      </c>
      <c r="K64" s="3">
        <f t="shared" si="4"/>
        <v>11.900000000000002</v>
      </c>
      <c r="L64" s="3">
        <v>2.4</v>
      </c>
      <c r="M64" s="3">
        <f t="shared" si="5"/>
        <v>38.5</v>
      </c>
      <c r="N64" s="3">
        <v>-2.4</v>
      </c>
      <c r="O64" s="3">
        <v>0</v>
      </c>
      <c r="P64" s="3">
        <v>15</v>
      </c>
      <c r="Q64" s="3">
        <f t="shared" si="8"/>
        <v>0.40416666666666667</v>
      </c>
      <c r="R64" s="10">
        <f t="shared" si="1"/>
        <v>0.97</v>
      </c>
      <c r="S64" s="10">
        <f t="shared" si="2"/>
        <v>-0.97</v>
      </c>
      <c r="T64" s="10">
        <f t="shared" si="6"/>
        <v>3.7865000000000011</v>
      </c>
      <c r="V64" s="3">
        <v>1332.6</v>
      </c>
      <c r="X64" s="3">
        <f t="shared" si="7"/>
        <v>18836.499999999996</v>
      </c>
      <c r="AA64" s="3">
        <v>11.9143655718154</v>
      </c>
    </row>
    <row r="65" spans="1:27" s="3" customFormat="1" x14ac:dyDescent="0.25">
      <c r="A65" s="61"/>
      <c r="B65" s="7"/>
      <c r="C65" s="8">
        <v>40450</v>
      </c>
      <c r="D65" s="3">
        <v>13</v>
      </c>
      <c r="E65" s="3">
        <v>9</v>
      </c>
      <c r="F65" s="3">
        <v>17.3</v>
      </c>
      <c r="G65" s="3">
        <f t="shared" si="3"/>
        <v>216.20000000000005</v>
      </c>
      <c r="J65" s="3">
        <v>8</v>
      </c>
      <c r="K65" s="3">
        <f t="shared" si="4"/>
        <v>19.900000000000002</v>
      </c>
      <c r="L65" s="3">
        <v>0.9</v>
      </c>
      <c r="M65" s="3">
        <f t="shared" si="5"/>
        <v>39.4</v>
      </c>
      <c r="N65" s="3">
        <v>7.1</v>
      </c>
      <c r="O65" s="3">
        <f t="shared" ref="O65:O128" si="9">O64+N65</f>
        <v>7.1</v>
      </c>
      <c r="P65" s="3">
        <v>16</v>
      </c>
      <c r="Q65" s="3">
        <f t="shared" si="8"/>
        <v>0.41499999999999998</v>
      </c>
      <c r="R65" s="10">
        <f t="shared" si="1"/>
        <v>0.3735</v>
      </c>
      <c r="S65" s="10">
        <f t="shared" si="2"/>
        <v>7.6265000000000001</v>
      </c>
      <c r="T65" s="10">
        <f t="shared" si="6"/>
        <v>11.413</v>
      </c>
      <c r="V65" s="3">
        <v>368.8</v>
      </c>
      <c r="X65" s="3">
        <f t="shared" si="7"/>
        <v>19205.299999999996</v>
      </c>
      <c r="AA65" s="3">
        <v>11.856370332278001</v>
      </c>
    </row>
    <row r="66" spans="1:27" s="3" customFormat="1" x14ac:dyDescent="0.25">
      <c r="A66" s="61"/>
      <c r="B66" s="7"/>
      <c r="C66" s="8">
        <v>40451</v>
      </c>
      <c r="D66" s="3">
        <v>11.7</v>
      </c>
      <c r="E66" s="3">
        <v>6.8</v>
      </c>
      <c r="F66" s="3">
        <v>15.6</v>
      </c>
      <c r="G66" s="3">
        <f t="shared" si="3"/>
        <v>227.90000000000003</v>
      </c>
      <c r="J66" s="3">
        <v>2.4</v>
      </c>
      <c r="K66" s="3">
        <f t="shared" si="4"/>
        <v>22.3</v>
      </c>
      <c r="L66" s="3">
        <v>1.1000000000000001</v>
      </c>
      <c r="M66" s="3">
        <f t="shared" si="5"/>
        <v>40.5</v>
      </c>
      <c r="N66" s="3">
        <v>1.2999999999999998</v>
      </c>
      <c r="O66" s="3">
        <f t="shared" si="9"/>
        <v>8.3999999999999986</v>
      </c>
      <c r="P66" s="3">
        <v>17</v>
      </c>
      <c r="Q66" s="3">
        <f t="shared" si="8"/>
        <v>0.42583333333333329</v>
      </c>
      <c r="R66" s="10">
        <f t="shared" si="1"/>
        <v>0.46841666666666665</v>
      </c>
      <c r="S66" s="10">
        <f t="shared" si="2"/>
        <v>1.9315833333333332</v>
      </c>
      <c r="T66" s="10">
        <f t="shared" si="6"/>
        <v>13.344583333333333</v>
      </c>
      <c r="V66" s="3">
        <v>931.9</v>
      </c>
      <c r="X66" s="3">
        <f t="shared" si="7"/>
        <v>20137.199999999997</v>
      </c>
      <c r="AA66" s="3">
        <v>11.7983896186562</v>
      </c>
    </row>
    <row r="67" spans="1:27" s="3" customFormat="1" x14ac:dyDescent="0.25">
      <c r="A67" s="61"/>
      <c r="B67" s="7"/>
      <c r="C67" s="8">
        <v>40452</v>
      </c>
      <c r="D67" s="3">
        <v>15.3</v>
      </c>
      <c r="E67" s="3">
        <v>12.7</v>
      </c>
      <c r="F67" s="3">
        <v>17.100000000000001</v>
      </c>
      <c r="G67" s="3">
        <f t="shared" si="3"/>
        <v>243.20000000000005</v>
      </c>
      <c r="J67" s="3">
        <v>17.7</v>
      </c>
      <c r="K67" s="3">
        <f t="shared" si="4"/>
        <v>40</v>
      </c>
      <c r="L67" s="3">
        <v>0.5</v>
      </c>
      <c r="M67" s="3">
        <f t="shared" si="5"/>
        <v>41</v>
      </c>
      <c r="N67" s="3">
        <v>17.2</v>
      </c>
      <c r="O67" s="3">
        <f t="shared" si="9"/>
        <v>25.599999999999998</v>
      </c>
      <c r="P67" s="3">
        <v>18</v>
      </c>
      <c r="Q67" s="3">
        <f t="shared" si="8"/>
        <v>0.43666666666666665</v>
      </c>
      <c r="R67" s="10">
        <f t="shared" si="1"/>
        <v>0.21833333333333332</v>
      </c>
      <c r="S67" s="10">
        <f t="shared" si="2"/>
        <v>17.481666666666666</v>
      </c>
      <c r="T67" s="10">
        <f t="shared" si="6"/>
        <v>30.826249999999998</v>
      </c>
      <c r="V67" s="3">
        <v>210.6</v>
      </c>
      <c r="X67" s="3">
        <f t="shared" si="7"/>
        <v>20347.799999999996</v>
      </c>
      <c r="AA67" s="3">
        <v>11.740429284817401</v>
      </c>
    </row>
    <row r="68" spans="1:27" s="3" customFormat="1" x14ac:dyDescent="0.25">
      <c r="A68" s="61"/>
      <c r="B68" s="7"/>
      <c r="C68" s="8">
        <v>40453</v>
      </c>
      <c r="D68" s="3">
        <v>17.2</v>
      </c>
      <c r="E68" s="3">
        <v>16.399999999999999</v>
      </c>
      <c r="F68" s="3">
        <v>18.899999999999999</v>
      </c>
      <c r="G68" s="3">
        <f t="shared" si="3"/>
        <v>260.40000000000003</v>
      </c>
      <c r="J68" s="3">
        <v>9.1999999999999993</v>
      </c>
      <c r="K68" s="3">
        <f t="shared" si="4"/>
        <v>49.2</v>
      </c>
      <c r="L68" s="3">
        <v>1.5</v>
      </c>
      <c r="M68" s="3">
        <f t="shared" si="5"/>
        <v>42.5</v>
      </c>
      <c r="N68" s="3">
        <v>7.6999999999999993</v>
      </c>
      <c r="O68" s="3">
        <f t="shared" si="9"/>
        <v>33.299999999999997</v>
      </c>
      <c r="P68" s="3">
        <v>19</v>
      </c>
      <c r="Q68" s="3">
        <f t="shared" si="8"/>
        <v>0.44750000000000001</v>
      </c>
      <c r="R68" s="10">
        <f t="shared" si="1"/>
        <v>0.67125000000000001</v>
      </c>
      <c r="S68" s="10">
        <f t="shared" si="2"/>
        <v>8.5287499999999987</v>
      </c>
      <c r="T68" s="10">
        <f t="shared" si="6"/>
        <v>39.354999999999997</v>
      </c>
      <c r="V68" s="3">
        <v>539</v>
      </c>
      <c r="X68" s="3">
        <f t="shared" si="7"/>
        <v>20886.799999999996</v>
      </c>
      <c r="AA68" s="3">
        <v>11.6824953157588</v>
      </c>
    </row>
    <row r="69" spans="1:27" s="3" customFormat="1" x14ac:dyDescent="0.25">
      <c r="A69" s="61"/>
      <c r="B69" s="7"/>
      <c r="C69" s="8">
        <v>40454</v>
      </c>
      <c r="D69" s="3">
        <v>15.6</v>
      </c>
      <c r="E69" s="3">
        <v>15.4</v>
      </c>
      <c r="F69" s="3">
        <v>15.8</v>
      </c>
      <c r="G69" s="3">
        <f t="shared" si="3"/>
        <v>276.00000000000006</v>
      </c>
      <c r="J69" s="3">
        <v>15.1</v>
      </c>
      <c r="K69" s="3">
        <f t="shared" si="4"/>
        <v>64.3</v>
      </c>
      <c r="L69" s="3">
        <v>1</v>
      </c>
      <c r="M69" s="3">
        <f t="shared" si="5"/>
        <v>43.5</v>
      </c>
      <c r="N69" s="3">
        <v>14.1</v>
      </c>
      <c r="O69" s="3">
        <f t="shared" si="9"/>
        <v>47.4</v>
      </c>
      <c r="P69" s="3">
        <v>20</v>
      </c>
      <c r="Q69" s="3">
        <f t="shared" si="8"/>
        <v>0.45833333333333331</v>
      </c>
      <c r="R69" s="10">
        <f t="shared" si="1"/>
        <v>0.45833333333333331</v>
      </c>
      <c r="S69" s="10">
        <f t="shared" si="2"/>
        <v>14.641666666666666</v>
      </c>
      <c r="T69" s="10">
        <f t="shared" si="6"/>
        <v>53.996666666666663</v>
      </c>
      <c r="V69" s="3">
        <v>492.9</v>
      </c>
      <c r="X69" s="3">
        <f t="shared" si="7"/>
        <v>21379.699999999997</v>
      </c>
      <c r="AA69" s="3">
        <v>11.624593844895101</v>
      </c>
    </row>
    <row r="70" spans="1:27" s="3" customFormat="1" x14ac:dyDescent="0.25">
      <c r="A70" s="61"/>
      <c r="B70" s="7"/>
      <c r="C70" s="8">
        <v>40455</v>
      </c>
      <c r="D70" s="3">
        <v>14.6</v>
      </c>
      <c r="E70" s="3">
        <v>14.1</v>
      </c>
      <c r="F70" s="3">
        <v>16.399999999999999</v>
      </c>
      <c r="G70" s="3">
        <f t="shared" si="3"/>
        <v>290.60000000000008</v>
      </c>
      <c r="J70" s="3">
        <v>9.1999999999999993</v>
      </c>
      <c r="K70" s="3">
        <f t="shared" si="4"/>
        <v>73.5</v>
      </c>
      <c r="L70" s="3">
        <v>0.8</v>
      </c>
      <c r="M70" s="3">
        <f t="shared" si="5"/>
        <v>44.3</v>
      </c>
      <c r="N70" s="3">
        <v>8.3999999999999986</v>
      </c>
      <c r="O70" s="3">
        <f t="shared" si="9"/>
        <v>55.8</v>
      </c>
      <c r="P70" s="3">
        <v>21</v>
      </c>
      <c r="Q70" s="3">
        <f t="shared" si="8"/>
        <v>0.46916666666666662</v>
      </c>
      <c r="R70" s="10">
        <f t="shared" si="1"/>
        <v>0.3753333333333333</v>
      </c>
      <c r="S70" s="10">
        <f t="shared" si="2"/>
        <v>8.8246666666666655</v>
      </c>
      <c r="T70" s="10">
        <f t="shared" si="6"/>
        <v>62.821333333333328</v>
      </c>
      <c r="V70" s="3">
        <v>219</v>
      </c>
      <c r="X70" s="3">
        <f t="shared" si="7"/>
        <v>21598.699999999997</v>
      </c>
      <c r="AA70" s="3">
        <v>11.566731171465699</v>
      </c>
    </row>
    <row r="71" spans="1:27" s="3" customFormat="1" x14ac:dyDescent="0.25">
      <c r="A71" s="61"/>
      <c r="B71" s="7"/>
      <c r="C71" s="8">
        <v>40456</v>
      </c>
      <c r="D71" s="3">
        <v>15.7</v>
      </c>
      <c r="E71" s="3">
        <v>12.3</v>
      </c>
      <c r="F71" s="3">
        <v>17.100000000000001</v>
      </c>
      <c r="G71" s="3">
        <f t="shared" si="3"/>
        <v>306.30000000000007</v>
      </c>
      <c r="J71" s="3">
        <v>18.100000000000001</v>
      </c>
      <c r="K71" s="3">
        <f t="shared" si="4"/>
        <v>91.6</v>
      </c>
      <c r="L71" s="3">
        <v>0.2</v>
      </c>
      <c r="M71" s="3">
        <f t="shared" si="5"/>
        <v>44.5</v>
      </c>
      <c r="N71" s="3">
        <v>17.900000000000002</v>
      </c>
      <c r="O71" s="3">
        <f t="shared" si="9"/>
        <v>73.7</v>
      </c>
      <c r="P71" s="3">
        <v>22</v>
      </c>
      <c r="Q71" s="3">
        <f t="shared" si="8"/>
        <v>0.48</v>
      </c>
      <c r="R71" s="10">
        <f t="shared" si="1"/>
        <v>9.6000000000000002E-2</v>
      </c>
      <c r="S71" s="10">
        <f t="shared" si="2"/>
        <v>18.004000000000001</v>
      </c>
      <c r="T71" s="10">
        <f t="shared" si="6"/>
        <v>80.825333333333333</v>
      </c>
      <c r="V71" s="3">
        <v>159.80000000000001</v>
      </c>
      <c r="X71" s="3">
        <f t="shared" si="7"/>
        <v>21758.499999999996</v>
      </c>
      <c r="AA71" s="3">
        <v>11.5089137780611</v>
      </c>
    </row>
    <row r="72" spans="1:27" s="3" customFormat="1" x14ac:dyDescent="0.25">
      <c r="A72" s="61"/>
      <c r="B72" s="7"/>
      <c r="C72" s="8">
        <v>40457</v>
      </c>
      <c r="D72" s="3">
        <v>14.5</v>
      </c>
      <c r="E72" s="3">
        <v>14.3</v>
      </c>
      <c r="F72" s="3">
        <v>17.2</v>
      </c>
      <c r="G72" s="3">
        <f t="shared" si="3"/>
        <v>320.80000000000007</v>
      </c>
      <c r="J72" s="3">
        <v>0.2</v>
      </c>
      <c r="K72" s="3">
        <f t="shared" si="4"/>
        <v>91.8</v>
      </c>
      <c r="L72" s="3">
        <v>1.7</v>
      </c>
      <c r="M72" s="3">
        <f t="shared" si="5"/>
        <v>46.2</v>
      </c>
      <c r="N72" s="3">
        <v>-1.5</v>
      </c>
      <c r="O72" s="3">
        <f t="shared" si="9"/>
        <v>72.2</v>
      </c>
      <c r="P72" s="3">
        <v>23</v>
      </c>
      <c r="Q72" s="3">
        <f t="shared" si="8"/>
        <v>0.49083333333333334</v>
      </c>
      <c r="R72" s="10">
        <f t="shared" si="1"/>
        <v>0.8344166666666667</v>
      </c>
      <c r="S72" s="10">
        <f t="shared" si="2"/>
        <v>-0.63441666666666663</v>
      </c>
      <c r="T72" s="10">
        <f t="shared" si="6"/>
        <v>80.190916666666666</v>
      </c>
      <c r="V72" s="3">
        <v>917.9</v>
      </c>
      <c r="X72" s="3">
        <f t="shared" si="7"/>
        <v>22676.399999999998</v>
      </c>
      <c r="AA72" s="3">
        <v>11.451148348265299</v>
      </c>
    </row>
    <row r="73" spans="1:27" s="3" customFormat="1" x14ac:dyDescent="0.25">
      <c r="A73" s="61"/>
      <c r="B73" s="7"/>
      <c r="C73" s="8">
        <v>40458</v>
      </c>
      <c r="D73" s="3">
        <v>15.4</v>
      </c>
      <c r="E73" s="3">
        <v>8.5</v>
      </c>
      <c r="F73" s="3">
        <v>20.8</v>
      </c>
      <c r="G73" s="3">
        <f t="shared" si="3"/>
        <v>336.20000000000005</v>
      </c>
      <c r="J73" s="3">
        <v>0</v>
      </c>
      <c r="K73" s="3">
        <f t="shared" si="4"/>
        <v>91.8</v>
      </c>
      <c r="L73" s="3">
        <v>1.5</v>
      </c>
      <c r="M73" s="3">
        <f t="shared" si="5"/>
        <v>47.7</v>
      </c>
      <c r="N73" s="3">
        <v>-1.5</v>
      </c>
      <c r="O73" s="3">
        <f t="shared" si="9"/>
        <v>70.7</v>
      </c>
      <c r="P73" s="3">
        <v>24</v>
      </c>
      <c r="Q73" s="3">
        <f t="shared" si="8"/>
        <v>0.50166666666666671</v>
      </c>
      <c r="R73" s="10">
        <f t="shared" si="1"/>
        <v>0.75250000000000006</v>
      </c>
      <c r="S73" s="10">
        <f t="shared" si="2"/>
        <v>-0.75250000000000006</v>
      </c>
      <c r="T73" s="10">
        <f t="shared" si="6"/>
        <v>79.438416666666669</v>
      </c>
      <c r="V73" s="3">
        <v>1096.5999999999999</v>
      </c>
      <c r="X73" s="3">
        <f t="shared" si="7"/>
        <v>23772.999999999996</v>
      </c>
      <c r="AA73" s="3">
        <v>11.393441784411801</v>
      </c>
    </row>
    <row r="74" spans="1:27" s="3" customFormat="1" x14ac:dyDescent="0.25">
      <c r="A74" s="61"/>
      <c r="B74" s="7"/>
      <c r="C74" s="8">
        <v>40459</v>
      </c>
      <c r="D74" s="3">
        <v>19</v>
      </c>
      <c r="E74" s="3">
        <v>15.5</v>
      </c>
      <c r="F74" s="3">
        <v>23.8</v>
      </c>
      <c r="G74" s="3">
        <f t="shared" si="3"/>
        <v>355.20000000000005</v>
      </c>
      <c r="J74" s="3">
        <v>0</v>
      </c>
      <c r="K74" s="3">
        <f t="shared" si="4"/>
        <v>91.8</v>
      </c>
      <c r="L74" s="3">
        <v>2.8</v>
      </c>
      <c r="M74" s="3">
        <f t="shared" si="5"/>
        <v>50.5</v>
      </c>
      <c r="N74" s="3">
        <v>-2.8</v>
      </c>
      <c r="O74" s="3">
        <f t="shared" si="9"/>
        <v>67.900000000000006</v>
      </c>
      <c r="P74" s="3">
        <v>25</v>
      </c>
      <c r="Q74" s="3">
        <f t="shared" si="8"/>
        <v>0.51249999999999996</v>
      </c>
      <c r="R74" s="10">
        <f t="shared" si="1"/>
        <v>1.4349999999999998</v>
      </c>
      <c r="S74" s="10">
        <f t="shared" si="2"/>
        <v>-1.4349999999999998</v>
      </c>
      <c r="T74" s="10">
        <f t="shared" si="6"/>
        <v>78.003416666666666</v>
      </c>
      <c r="V74" s="3">
        <v>1261.5999999999999</v>
      </c>
      <c r="X74" s="3">
        <f t="shared" si="7"/>
        <v>25034.599999999995</v>
      </c>
      <c r="AA74" s="3">
        <v>11.335801225446801</v>
      </c>
    </row>
    <row r="75" spans="1:27" s="3" customFormat="1" x14ac:dyDescent="0.25">
      <c r="A75" s="61"/>
      <c r="B75" s="7"/>
      <c r="C75" s="8">
        <v>40460</v>
      </c>
      <c r="D75" s="3">
        <v>18.600000000000001</v>
      </c>
      <c r="E75" s="3">
        <v>15.4</v>
      </c>
      <c r="F75" s="3">
        <v>23.4</v>
      </c>
      <c r="G75" s="3">
        <f t="shared" si="3"/>
        <v>373.80000000000007</v>
      </c>
      <c r="J75" s="3">
        <v>0</v>
      </c>
      <c r="K75" s="3">
        <f t="shared" si="4"/>
        <v>91.8</v>
      </c>
      <c r="L75" s="3">
        <v>2.6</v>
      </c>
      <c r="M75" s="3">
        <f t="shared" si="5"/>
        <v>53.1</v>
      </c>
      <c r="N75" s="3">
        <v>-2.6</v>
      </c>
      <c r="O75" s="3">
        <f t="shared" si="9"/>
        <v>65.300000000000011</v>
      </c>
      <c r="P75" s="3">
        <v>26</v>
      </c>
      <c r="Q75" s="3">
        <f t="shared" si="8"/>
        <v>0.52333333333333332</v>
      </c>
      <c r="R75" s="10">
        <f t="shared" si="1"/>
        <v>1.3606666666666667</v>
      </c>
      <c r="S75" s="10">
        <f t="shared" si="2"/>
        <v>-1.3606666666666667</v>
      </c>
      <c r="T75" s="10">
        <f t="shared" si="6"/>
        <v>76.642750000000007</v>
      </c>
      <c r="V75" s="3">
        <v>1322.7</v>
      </c>
      <c r="X75" s="3">
        <f t="shared" si="7"/>
        <v>26357.299999999996</v>
      </c>
      <c r="AA75" s="3">
        <v>11.278234064892301</v>
      </c>
    </row>
    <row r="76" spans="1:27" s="3" customFormat="1" x14ac:dyDescent="0.25">
      <c r="A76" s="61"/>
      <c r="B76" s="7"/>
      <c r="C76" s="8">
        <v>40461</v>
      </c>
      <c r="D76" s="3">
        <v>17.8</v>
      </c>
      <c r="E76" s="3">
        <v>16</v>
      </c>
      <c r="F76" s="3">
        <v>22.3</v>
      </c>
      <c r="G76" s="3">
        <f t="shared" si="3"/>
        <v>391.60000000000008</v>
      </c>
      <c r="J76" s="3">
        <v>0</v>
      </c>
      <c r="K76" s="3">
        <f t="shared" si="4"/>
        <v>91.8</v>
      </c>
      <c r="L76" s="3">
        <v>2.6</v>
      </c>
      <c r="M76" s="3">
        <f t="shared" si="5"/>
        <v>55.7</v>
      </c>
      <c r="N76" s="3">
        <v>-2.6</v>
      </c>
      <c r="O76" s="3">
        <f t="shared" si="9"/>
        <v>62.70000000000001</v>
      </c>
      <c r="P76" s="3">
        <v>27</v>
      </c>
      <c r="Q76" s="3">
        <f t="shared" si="8"/>
        <v>0.53416666666666668</v>
      </c>
      <c r="R76" s="10">
        <f t="shared" si="1"/>
        <v>1.3888333333333334</v>
      </c>
      <c r="S76" s="10">
        <f t="shared" si="2"/>
        <v>-1.3888333333333334</v>
      </c>
      <c r="T76" s="10">
        <f t="shared" si="6"/>
        <v>75.253916666666669</v>
      </c>
      <c r="V76" s="3">
        <v>1301</v>
      </c>
      <c r="X76" s="3">
        <f t="shared" si="7"/>
        <v>27658.299999999996</v>
      </c>
      <c r="AA76" s="3">
        <v>11.220747968898101</v>
      </c>
    </row>
    <row r="77" spans="1:27" s="3" customFormat="1" x14ac:dyDescent="0.25">
      <c r="A77" s="61"/>
      <c r="B77" s="7"/>
      <c r="C77" s="8">
        <v>40462</v>
      </c>
      <c r="D77" s="3">
        <v>14</v>
      </c>
      <c r="E77" s="3">
        <v>10.199999999999999</v>
      </c>
      <c r="F77" s="3">
        <v>19.8</v>
      </c>
      <c r="G77" s="3">
        <f t="shared" si="3"/>
        <v>405.60000000000008</v>
      </c>
      <c r="J77" s="3">
        <v>0</v>
      </c>
      <c r="K77" s="3">
        <f t="shared" si="4"/>
        <v>91.8</v>
      </c>
      <c r="L77" s="3">
        <v>3.5</v>
      </c>
      <c r="M77" s="3">
        <f t="shared" si="5"/>
        <v>59.2</v>
      </c>
      <c r="N77" s="3">
        <v>-3.5</v>
      </c>
      <c r="O77" s="3">
        <f t="shared" si="9"/>
        <v>59.20000000000001</v>
      </c>
      <c r="P77" s="3">
        <v>28</v>
      </c>
      <c r="Q77" s="3">
        <f t="shared" si="8"/>
        <v>0.54499999999999993</v>
      </c>
      <c r="R77" s="10">
        <f t="shared" si="1"/>
        <v>1.9074999999999998</v>
      </c>
      <c r="S77" s="10">
        <f t="shared" si="2"/>
        <v>-1.9074999999999998</v>
      </c>
      <c r="T77" s="10">
        <f t="shared" si="6"/>
        <v>73.34641666666667</v>
      </c>
      <c r="V77" s="3">
        <v>1317.1</v>
      </c>
      <c r="X77" s="3">
        <f t="shared" si="7"/>
        <v>28975.399999999994</v>
      </c>
      <c r="AA77" s="3">
        <v>11.163350894371</v>
      </c>
    </row>
    <row r="78" spans="1:27" s="3" customFormat="1" x14ac:dyDescent="0.25">
      <c r="A78" s="61"/>
      <c r="B78" s="7"/>
      <c r="C78" s="8">
        <v>40463</v>
      </c>
      <c r="D78" s="3">
        <v>12.5</v>
      </c>
      <c r="E78" s="3">
        <v>8.1999999999999993</v>
      </c>
      <c r="F78" s="3">
        <v>19.3</v>
      </c>
      <c r="G78" s="3">
        <f t="shared" si="3"/>
        <v>418.10000000000008</v>
      </c>
      <c r="J78" s="3">
        <v>0</v>
      </c>
      <c r="K78" s="3">
        <f t="shared" si="4"/>
        <v>91.8</v>
      </c>
      <c r="L78" s="3">
        <v>3.1</v>
      </c>
      <c r="M78" s="3">
        <f t="shared" si="5"/>
        <v>62.300000000000004</v>
      </c>
      <c r="N78" s="3">
        <v>-3.1</v>
      </c>
      <c r="O78" s="3">
        <f t="shared" si="9"/>
        <v>56.100000000000009</v>
      </c>
      <c r="P78" s="3">
        <v>29</v>
      </c>
      <c r="Q78" s="3">
        <f t="shared" si="8"/>
        <v>0.55583333333333329</v>
      </c>
      <c r="R78" s="10">
        <f t="shared" si="1"/>
        <v>1.7230833333333333</v>
      </c>
      <c r="S78" s="10">
        <f t="shared" si="2"/>
        <v>-1.7230833333333333</v>
      </c>
      <c r="T78" s="10">
        <f t="shared" si="6"/>
        <v>71.623333333333335</v>
      </c>
      <c r="V78" s="3">
        <v>1512.9</v>
      </c>
      <c r="X78" s="3">
        <f t="shared" si="7"/>
        <v>30488.299999999996</v>
      </c>
      <c r="AA78" s="3">
        <v>11.1060511071659</v>
      </c>
    </row>
    <row r="79" spans="1:27" s="3" customFormat="1" x14ac:dyDescent="0.25">
      <c r="A79" s="61"/>
      <c r="B79" s="7"/>
      <c r="C79" s="8">
        <v>40464</v>
      </c>
      <c r="D79" s="3">
        <v>11</v>
      </c>
      <c r="E79" s="3">
        <v>6.7</v>
      </c>
      <c r="F79" s="3">
        <v>15.9</v>
      </c>
      <c r="G79" s="3">
        <f t="shared" si="3"/>
        <v>429.10000000000008</v>
      </c>
      <c r="J79" s="3">
        <v>0</v>
      </c>
      <c r="K79" s="3">
        <f t="shared" si="4"/>
        <v>91.8</v>
      </c>
      <c r="L79" s="3">
        <v>2.4</v>
      </c>
      <c r="M79" s="3">
        <f t="shared" si="5"/>
        <v>64.7</v>
      </c>
      <c r="N79" s="3">
        <v>-2.4</v>
      </c>
      <c r="O79" s="3">
        <f t="shared" si="9"/>
        <v>53.70000000000001</v>
      </c>
      <c r="P79" s="3">
        <v>30</v>
      </c>
      <c r="Q79" s="3">
        <f t="shared" si="8"/>
        <v>0.56666666666666665</v>
      </c>
      <c r="R79" s="10">
        <f t="shared" si="1"/>
        <v>1.3599999999999999</v>
      </c>
      <c r="S79" s="10">
        <f t="shared" si="2"/>
        <v>-1.3599999999999999</v>
      </c>
      <c r="T79" s="10">
        <f t="shared" si="6"/>
        <v>70.263333333333335</v>
      </c>
      <c r="V79" s="3">
        <v>1359.3</v>
      </c>
      <c r="X79" s="3">
        <f t="shared" si="7"/>
        <v>31847.599999999995</v>
      </c>
      <c r="AA79" s="3">
        <v>11.0488572003194</v>
      </c>
    </row>
    <row r="80" spans="1:27" s="3" customFormat="1" x14ac:dyDescent="0.25">
      <c r="A80" s="61"/>
      <c r="B80" s="7"/>
      <c r="C80" s="8">
        <v>40465</v>
      </c>
      <c r="D80" s="3">
        <v>12.1</v>
      </c>
      <c r="E80" s="3">
        <v>9.6999999999999993</v>
      </c>
      <c r="F80" s="3">
        <v>14.6</v>
      </c>
      <c r="G80" s="3">
        <f t="shared" si="3"/>
        <v>441.2000000000001</v>
      </c>
      <c r="J80" s="3">
        <v>0</v>
      </c>
      <c r="K80" s="3">
        <f t="shared" si="4"/>
        <v>91.8</v>
      </c>
      <c r="L80" s="3">
        <v>1.1000000000000001</v>
      </c>
      <c r="M80" s="3">
        <f t="shared" si="5"/>
        <v>65.8</v>
      </c>
      <c r="N80" s="3">
        <v>-1.1000000000000001</v>
      </c>
      <c r="O80" s="3">
        <f t="shared" si="9"/>
        <v>52.600000000000009</v>
      </c>
      <c r="P80" s="3">
        <v>31</v>
      </c>
      <c r="Q80" s="3">
        <f t="shared" si="8"/>
        <v>0.5774999999999999</v>
      </c>
      <c r="R80" s="10">
        <f t="shared" si="1"/>
        <v>0.63524999999999998</v>
      </c>
      <c r="S80" s="10">
        <f t="shared" si="2"/>
        <v>-0.63524999999999998</v>
      </c>
      <c r="T80" s="10">
        <f t="shared" si="6"/>
        <v>69.628083333333336</v>
      </c>
      <c r="V80" s="3">
        <v>410.7</v>
      </c>
      <c r="X80" s="3">
        <f t="shared" si="7"/>
        <v>32258.299999999996</v>
      </c>
      <c r="AA80" s="3">
        <v>10.9917781123049</v>
      </c>
    </row>
    <row r="81" spans="1:27" s="3" customFormat="1" x14ac:dyDescent="0.25">
      <c r="A81" s="61"/>
      <c r="B81" s="7"/>
      <c r="C81" s="8">
        <v>40466</v>
      </c>
      <c r="D81" s="3">
        <v>11.8</v>
      </c>
      <c r="E81" s="3">
        <v>9.4</v>
      </c>
      <c r="F81" s="3">
        <v>14</v>
      </c>
      <c r="G81" s="3">
        <f t="shared" si="3"/>
        <v>453.00000000000011</v>
      </c>
      <c r="J81" s="3">
        <v>0.7</v>
      </c>
      <c r="K81" s="3">
        <f t="shared" si="4"/>
        <v>92.5</v>
      </c>
      <c r="L81" s="3">
        <v>0.7</v>
      </c>
      <c r="M81" s="3">
        <f t="shared" si="5"/>
        <v>66.5</v>
      </c>
      <c r="N81" s="3">
        <v>0</v>
      </c>
      <c r="O81" s="3">
        <f t="shared" si="9"/>
        <v>52.600000000000009</v>
      </c>
      <c r="P81" s="3">
        <v>32</v>
      </c>
      <c r="Q81" s="3">
        <f t="shared" si="8"/>
        <v>0.58833333333333326</v>
      </c>
      <c r="R81" s="10">
        <f t="shared" si="1"/>
        <v>0.41183333333333327</v>
      </c>
      <c r="S81" s="10">
        <f t="shared" si="2"/>
        <v>0.28816666666666668</v>
      </c>
      <c r="T81" s="10">
        <f t="shared" si="6"/>
        <v>69.916250000000005</v>
      </c>
      <c r="V81" s="3">
        <v>203.9</v>
      </c>
      <c r="X81" s="3">
        <f t="shared" si="7"/>
        <v>32462.199999999997</v>
      </c>
      <c r="AA81" s="3">
        <v>10.9348231452836</v>
      </c>
    </row>
    <row r="82" spans="1:27" s="3" customFormat="1" x14ac:dyDescent="0.25">
      <c r="A82" s="61"/>
      <c r="B82" s="7"/>
      <c r="C82" s="8">
        <v>40467</v>
      </c>
      <c r="D82" s="3">
        <v>11.2</v>
      </c>
      <c r="E82" s="3">
        <v>9.6</v>
      </c>
      <c r="F82" s="3">
        <v>15.3</v>
      </c>
      <c r="G82" s="3">
        <f t="shared" si="3"/>
        <v>464.2000000000001</v>
      </c>
      <c r="J82" s="3">
        <v>0.2</v>
      </c>
      <c r="K82" s="3">
        <f t="shared" si="4"/>
        <v>92.7</v>
      </c>
      <c r="L82" s="3">
        <v>2</v>
      </c>
      <c r="M82" s="3">
        <f t="shared" si="5"/>
        <v>68.5</v>
      </c>
      <c r="N82" s="3">
        <v>-1.8</v>
      </c>
      <c r="O82" s="3">
        <f t="shared" si="9"/>
        <v>50.800000000000011</v>
      </c>
      <c r="P82" s="3">
        <v>33</v>
      </c>
      <c r="Q82" s="3">
        <f t="shared" si="8"/>
        <v>0.59916666666666663</v>
      </c>
      <c r="R82" s="10">
        <f t="shared" si="1"/>
        <v>1.1983333333333333</v>
      </c>
      <c r="S82" s="10">
        <f t="shared" si="2"/>
        <v>-0.99833333333333329</v>
      </c>
      <c r="T82" s="10">
        <f t="shared" si="6"/>
        <v>68.91791666666667</v>
      </c>
      <c r="V82" s="3">
        <v>1000</v>
      </c>
      <c r="X82" s="3">
        <f t="shared" si="7"/>
        <v>33462.199999999997</v>
      </c>
      <c r="AA82" s="3">
        <v>10.878001983322999</v>
      </c>
    </row>
    <row r="83" spans="1:27" s="3" customFormat="1" x14ac:dyDescent="0.25">
      <c r="A83" s="61"/>
      <c r="B83" s="7"/>
      <c r="C83" s="8">
        <v>40468</v>
      </c>
      <c r="D83" s="3">
        <v>8.5</v>
      </c>
      <c r="E83" s="3">
        <v>6</v>
      </c>
      <c r="F83" s="3">
        <v>12.3</v>
      </c>
      <c r="G83" s="3">
        <f t="shared" si="3"/>
        <v>472.7000000000001</v>
      </c>
      <c r="J83" s="3">
        <v>0</v>
      </c>
      <c r="K83" s="3">
        <f t="shared" si="4"/>
        <v>92.7</v>
      </c>
      <c r="L83" s="3">
        <v>0.9</v>
      </c>
      <c r="M83" s="3">
        <f t="shared" si="5"/>
        <v>69.400000000000006</v>
      </c>
      <c r="N83" s="3">
        <v>-0.9</v>
      </c>
      <c r="O83" s="3">
        <f t="shared" si="9"/>
        <v>49.900000000000013</v>
      </c>
      <c r="P83" s="3">
        <v>34</v>
      </c>
      <c r="Q83" s="3">
        <f t="shared" si="8"/>
        <v>0.61</v>
      </c>
      <c r="R83" s="10">
        <f t="shared" si="1"/>
        <v>0.54900000000000004</v>
      </c>
      <c r="S83" s="10">
        <f t="shared" si="2"/>
        <v>-0.54900000000000004</v>
      </c>
      <c r="T83" s="10">
        <f t="shared" si="6"/>
        <v>68.368916666666664</v>
      </c>
      <c r="V83" s="3">
        <v>474.6</v>
      </c>
      <c r="X83" s="3">
        <f t="shared" si="7"/>
        <v>33936.799999999996</v>
      </c>
      <c r="AA83" s="3">
        <v>10.8213247105489</v>
      </c>
    </row>
    <row r="84" spans="1:27" s="3" customFormat="1" x14ac:dyDescent="0.25">
      <c r="A84" s="61"/>
      <c r="B84" s="7"/>
      <c r="C84" s="8">
        <v>40469</v>
      </c>
      <c r="D84" s="3">
        <v>9.1</v>
      </c>
      <c r="E84" s="3">
        <v>3.4</v>
      </c>
      <c r="F84" s="3">
        <v>12.6</v>
      </c>
      <c r="G84" s="3">
        <f t="shared" si="3"/>
        <v>481.80000000000013</v>
      </c>
      <c r="J84" s="3">
        <v>0</v>
      </c>
      <c r="K84" s="3">
        <f t="shared" si="4"/>
        <v>92.7</v>
      </c>
      <c r="L84" s="3">
        <v>0.3</v>
      </c>
      <c r="M84" s="3">
        <f t="shared" si="5"/>
        <v>69.7</v>
      </c>
      <c r="N84" s="3">
        <v>-0.3</v>
      </c>
      <c r="O84" s="3">
        <f t="shared" si="9"/>
        <v>49.600000000000016</v>
      </c>
      <c r="P84" s="3">
        <v>35</v>
      </c>
      <c r="Q84" s="3">
        <f t="shared" si="8"/>
        <v>0.62083333333333335</v>
      </c>
      <c r="R84" s="10">
        <f t="shared" si="1"/>
        <v>0.18625</v>
      </c>
      <c r="S84" s="10">
        <f t="shared" si="2"/>
        <v>-0.18625</v>
      </c>
      <c r="T84" s="10">
        <f t="shared" si="6"/>
        <v>68.182666666666663</v>
      </c>
      <c r="V84" s="3">
        <v>382</v>
      </c>
      <c r="X84" s="3">
        <f t="shared" si="7"/>
        <v>34318.799999999996</v>
      </c>
      <c r="AA84" s="3">
        <v>10.764801829194701</v>
      </c>
    </row>
    <row r="85" spans="1:27" s="3" customFormat="1" x14ac:dyDescent="0.25">
      <c r="A85" s="61"/>
      <c r="B85" s="7"/>
      <c r="C85" s="8">
        <v>40470</v>
      </c>
      <c r="D85" s="3">
        <v>12.1</v>
      </c>
      <c r="E85" s="3">
        <v>11.5</v>
      </c>
      <c r="F85" s="3">
        <v>13.9</v>
      </c>
      <c r="G85" s="3">
        <f t="shared" si="3"/>
        <v>493.90000000000015</v>
      </c>
      <c r="J85" s="3">
        <v>1.1000000000000001</v>
      </c>
      <c r="K85" s="3">
        <f t="shared" si="4"/>
        <v>93.8</v>
      </c>
      <c r="L85" s="3">
        <v>1.7</v>
      </c>
      <c r="M85" s="3">
        <f t="shared" si="5"/>
        <v>71.400000000000006</v>
      </c>
      <c r="N85" s="3">
        <v>-0.59999999999999987</v>
      </c>
      <c r="O85" s="3">
        <f t="shared" si="9"/>
        <v>49.000000000000014</v>
      </c>
      <c r="P85" s="3">
        <v>36</v>
      </c>
      <c r="Q85" s="3">
        <f t="shared" si="8"/>
        <v>0.6316666666666666</v>
      </c>
      <c r="R85" s="10">
        <f t="shared" si="1"/>
        <v>1.0738333333333332</v>
      </c>
      <c r="S85" s="10">
        <f t="shared" si="2"/>
        <v>2.6166666666666893E-2</v>
      </c>
      <c r="T85" s="10">
        <f t="shared" si="6"/>
        <v>68.208833333333331</v>
      </c>
      <c r="V85" s="3">
        <v>950</v>
      </c>
      <c r="X85" s="3">
        <f t="shared" si="7"/>
        <v>35268.799999999996</v>
      </c>
      <c r="AA85" s="3">
        <v>10.7084442775047</v>
      </c>
    </row>
    <row r="86" spans="1:27" s="3" customFormat="1" x14ac:dyDescent="0.25">
      <c r="A86" s="61"/>
      <c r="B86" s="7"/>
      <c r="C86" s="8">
        <v>40471</v>
      </c>
      <c r="D86" s="3">
        <v>7.7</v>
      </c>
      <c r="E86" s="3">
        <v>5.9</v>
      </c>
      <c r="F86" s="3">
        <v>12.9</v>
      </c>
      <c r="G86" s="3">
        <f t="shared" si="3"/>
        <v>501.60000000000014</v>
      </c>
      <c r="J86" s="3">
        <v>0.4</v>
      </c>
      <c r="K86" s="3">
        <f t="shared" si="4"/>
        <v>94.2</v>
      </c>
      <c r="L86" s="3">
        <v>1.9</v>
      </c>
      <c r="M86" s="3">
        <f t="shared" si="5"/>
        <v>73.300000000000011</v>
      </c>
      <c r="N86" s="3">
        <v>-1.5</v>
      </c>
      <c r="O86" s="3">
        <f t="shared" si="9"/>
        <v>47.500000000000014</v>
      </c>
      <c r="P86" s="3">
        <v>37</v>
      </c>
      <c r="Q86" s="3">
        <f t="shared" si="8"/>
        <v>0.64250000000000007</v>
      </c>
      <c r="R86" s="10">
        <f t="shared" si="1"/>
        <v>1.22075</v>
      </c>
      <c r="S86" s="10">
        <f t="shared" si="2"/>
        <v>-0.82074999999999998</v>
      </c>
      <c r="T86" s="10">
        <f t="shared" si="6"/>
        <v>67.388083333333327</v>
      </c>
      <c r="V86" s="3">
        <v>1134.7</v>
      </c>
      <c r="X86" s="3">
        <f t="shared" si="7"/>
        <v>36403.499999999993</v>
      </c>
      <c r="AA86" s="3">
        <v>10.652263447446201</v>
      </c>
    </row>
    <row r="87" spans="1:27" s="3" customFormat="1" x14ac:dyDescent="0.25">
      <c r="A87" s="61"/>
      <c r="B87" s="7"/>
      <c r="C87" s="8">
        <v>40472</v>
      </c>
      <c r="D87" s="3">
        <v>5.2</v>
      </c>
      <c r="E87" s="3">
        <v>-0.9</v>
      </c>
      <c r="F87" s="3">
        <v>11.5</v>
      </c>
      <c r="G87" s="3">
        <f t="shared" si="3"/>
        <v>506.80000000000013</v>
      </c>
      <c r="J87" s="3">
        <v>0.2</v>
      </c>
      <c r="K87" s="3">
        <f t="shared" si="4"/>
        <v>94.4</v>
      </c>
      <c r="L87" s="3">
        <v>1.5</v>
      </c>
      <c r="M87" s="3">
        <f t="shared" si="5"/>
        <v>74.800000000000011</v>
      </c>
      <c r="N87" s="3">
        <v>-1.3</v>
      </c>
      <c r="O87" s="3">
        <f t="shared" si="9"/>
        <v>46.200000000000017</v>
      </c>
      <c r="P87" s="3">
        <v>38</v>
      </c>
      <c r="Q87" s="3">
        <f t="shared" si="8"/>
        <v>0.65333333333333332</v>
      </c>
      <c r="R87" s="10">
        <f t="shared" si="1"/>
        <v>0.98</v>
      </c>
      <c r="S87" s="10">
        <f t="shared" si="2"/>
        <v>-0.78</v>
      </c>
      <c r="T87" s="10">
        <f t="shared" si="6"/>
        <v>66.608083333333326</v>
      </c>
      <c r="V87" s="3">
        <v>1129.2</v>
      </c>
      <c r="X87" s="3">
        <f t="shared" si="7"/>
        <v>37532.69999999999</v>
      </c>
      <c r="AA87" s="3">
        <v>10.5962712021773</v>
      </c>
    </row>
    <row r="88" spans="1:27" s="3" customFormat="1" x14ac:dyDescent="0.25">
      <c r="A88" s="61"/>
      <c r="B88" s="7"/>
      <c r="C88" s="8">
        <v>40473</v>
      </c>
      <c r="D88" s="3">
        <v>7.8</v>
      </c>
      <c r="E88" s="3">
        <v>4.4000000000000004</v>
      </c>
      <c r="F88" s="3">
        <v>13.2</v>
      </c>
      <c r="G88" s="3">
        <f t="shared" si="3"/>
        <v>514.60000000000014</v>
      </c>
      <c r="J88" s="3">
        <v>0.2</v>
      </c>
      <c r="K88" s="3">
        <f t="shared" si="4"/>
        <v>94.600000000000009</v>
      </c>
      <c r="L88" s="3">
        <v>1.5</v>
      </c>
      <c r="M88" s="3">
        <f t="shared" si="5"/>
        <v>76.300000000000011</v>
      </c>
      <c r="N88" s="3">
        <v>-1.3</v>
      </c>
      <c r="O88" s="3">
        <f t="shared" si="9"/>
        <v>44.90000000000002</v>
      </c>
      <c r="P88" s="3">
        <v>39</v>
      </c>
      <c r="Q88" s="3">
        <f t="shared" si="8"/>
        <v>0.66416666666666668</v>
      </c>
      <c r="R88" s="10">
        <f t="shared" si="1"/>
        <v>0.99625000000000008</v>
      </c>
      <c r="S88" s="10">
        <f t="shared" si="2"/>
        <v>-0.79625000000000012</v>
      </c>
      <c r="T88" s="10">
        <f t="shared" si="6"/>
        <v>65.811833333333325</v>
      </c>
      <c r="V88" s="3">
        <v>1006.5</v>
      </c>
      <c r="X88" s="3">
        <f t="shared" si="7"/>
        <v>38539.19999999999</v>
      </c>
      <c r="AA88" s="3">
        <v>10.540479893213901</v>
      </c>
    </row>
    <row r="89" spans="1:27" s="3" customFormat="1" x14ac:dyDescent="0.25">
      <c r="A89" s="61"/>
      <c r="B89" s="7"/>
      <c r="C89" s="8">
        <v>40474</v>
      </c>
      <c r="D89" s="3">
        <v>9.8000000000000007</v>
      </c>
      <c r="E89" s="3">
        <v>4.0999999999999996</v>
      </c>
      <c r="F89" s="3">
        <v>14.9</v>
      </c>
      <c r="G89" s="3">
        <f t="shared" si="3"/>
        <v>524.40000000000009</v>
      </c>
      <c r="J89" s="3">
        <v>1.6</v>
      </c>
      <c r="K89" s="3">
        <f t="shared" si="4"/>
        <v>96.2</v>
      </c>
      <c r="L89" s="3">
        <v>1.2</v>
      </c>
      <c r="M89" s="3">
        <f t="shared" si="5"/>
        <v>77.500000000000014</v>
      </c>
      <c r="N89" s="3">
        <v>0.40000000000000013</v>
      </c>
      <c r="O89" s="3">
        <f t="shared" si="9"/>
        <v>45.300000000000018</v>
      </c>
      <c r="P89" s="3">
        <v>40</v>
      </c>
      <c r="Q89" s="3">
        <f t="shared" si="8"/>
        <v>0.67500000000000004</v>
      </c>
      <c r="R89" s="10">
        <f t="shared" si="1"/>
        <v>0.81</v>
      </c>
      <c r="S89" s="10">
        <f t="shared" si="2"/>
        <v>0.79</v>
      </c>
      <c r="T89" s="10">
        <f t="shared" si="6"/>
        <v>66.601833333333332</v>
      </c>
      <c r="V89" s="3">
        <v>964</v>
      </c>
      <c r="X89" s="3">
        <f t="shared" si="7"/>
        <v>39503.19999999999</v>
      </c>
      <c r="AA89" s="3">
        <v>10.4849023772331</v>
      </c>
    </row>
    <row r="90" spans="1:27" s="3" customFormat="1" x14ac:dyDescent="0.25">
      <c r="A90" s="61"/>
      <c r="B90" s="7"/>
      <c r="C90" s="8">
        <v>40475</v>
      </c>
      <c r="D90" s="3">
        <v>7.1</v>
      </c>
      <c r="E90" s="3">
        <v>2.6</v>
      </c>
      <c r="F90" s="3">
        <v>13.8</v>
      </c>
      <c r="G90" s="3">
        <f t="shared" si="3"/>
        <v>531.50000000000011</v>
      </c>
      <c r="J90" s="3">
        <v>0.7</v>
      </c>
      <c r="K90" s="3">
        <f t="shared" si="4"/>
        <v>96.9</v>
      </c>
      <c r="L90" s="3">
        <v>1</v>
      </c>
      <c r="M90" s="3">
        <f t="shared" si="5"/>
        <v>78.500000000000014</v>
      </c>
      <c r="N90" s="3">
        <v>-0.30000000000000004</v>
      </c>
      <c r="O90" s="3">
        <f t="shared" si="9"/>
        <v>45.000000000000021</v>
      </c>
      <c r="P90" s="3">
        <v>41</v>
      </c>
      <c r="Q90" s="3">
        <f t="shared" si="8"/>
        <v>0.68583333333333329</v>
      </c>
      <c r="R90" s="10">
        <f t="shared" si="1"/>
        <v>0.68583333333333329</v>
      </c>
      <c r="S90" s="10">
        <f t="shared" si="2"/>
        <v>1.4166666666666661E-2</v>
      </c>
      <c r="T90" s="10">
        <f t="shared" si="6"/>
        <v>66.616</v>
      </c>
      <c r="V90" s="3">
        <v>637.1</v>
      </c>
      <c r="X90" s="3">
        <f t="shared" si="7"/>
        <v>40140.299999999988</v>
      </c>
      <c r="AA90" s="3">
        <v>10.429552032444199</v>
      </c>
    </row>
    <row r="91" spans="1:27" s="3" customFormat="1" x14ac:dyDescent="0.25">
      <c r="A91" s="61"/>
      <c r="B91" s="7"/>
      <c r="C91" s="8">
        <v>40476</v>
      </c>
      <c r="D91" s="3">
        <v>5.7</v>
      </c>
      <c r="E91" s="3">
        <v>1.7</v>
      </c>
      <c r="F91" s="3">
        <v>12.8</v>
      </c>
      <c r="G91" s="3">
        <f t="shared" si="3"/>
        <v>537.20000000000016</v>
      </c>
      <c r="J91" s="3">
        <v>0</v>
      </c>
      <c r="K91" s="3">
        <f t="shared" si="4"/>
        <v>96.9</v>
      </c>
      <c r="L91" s="3">
        <v>1.8</v>
      </c>
      <c r="M91" s="3">
        <f t="shared" si="5"/>
        <v>80.300000000000011</v>
      </c>
      <c r="N91" s="3">
        <v>-1.8</v>
      </c>
      <c r="O91" s="3">
        <f t="shared" si="9"/>
        <v>43.200000000000024</v>
      </c>
      <c r="P91" s="3">
        <v>42</v>
      </c>
      <c r="Q91" s="3">
        <f t="shared" si="8"/>
        <v>0.69666666666666666</v>
      </c>
      <c r="R91" s="10">
        <f t="shared" si="1"/>
        <v>1.254</v>
      </c>
      <c r="S91" s="10">
        <f t="shared" si="2"/>
        <v>-1.254</v>
      </c>
      <c r="T91" s="10">
        <f t="shared" si="6"/>
        <v>65.361999999999995</v>
      </c>
      <c r="V91" s="3">
        <v>1022.5</v>
      </c>
      <c r="X91" s="3">
        <f t="shared" si="7"/>
        <v>41162.799999999988</v>
      </c>
      <c r="AA91" s="3">
        <v>10.374442774453</v>
      </c>
    </row>
    <row r="92" spans="1:27" s="3" customFormat="1" x14ac:dyDescent="0.25">
      <c r="A92" s="61"/>
      <c r="B92" s="7"/>
      <c r="C92" s="8">
        <v>40477</v>
      </c>
      <c r="D92" s="3">
        <v>6.4</v>
      </c>
      <c r="E92" s="3">
        <v>-1.2</v>
      </c>
      <c r="F92" s="3">
        <v>12.8</v>
      </c>
      <c r="G92" s="3">
        <f t="shared" si="3"/>
        <v>543.60000000000014</v>
      </c>
      <c r="J92" s="3">
        <v>0.2</v>
      </c>
      <c r="K92" s="3">
        <f t="shared" si="4"/>
        <v>97.100000000000009</v>
      </c>
      <c r="L92" s="3">
        <v>0.8</v>
      </c>
      <c r="M92" s="3">
        <f t="shared" si="5"/>
        <v>81.100000000000009</v>
      </c>
      <c r="N92" s="3">
        <v>-0.60000000000000009</v>
      </c>
      <c r="O92" s="3">
        <f t="shared" si="9"/>
        <v>42.600000000000023</v>
      </c>
      <c r="P92" s="3">
        <v>43</v>
      </c>
      <c r="Q92" s="3">
        <f t="shared" si="8"/>
        <v>0.70750000000000002</v>
      </c>
      <c r="R92" s="10">
        <f t="shared" si="1"/>
        <v>0.56600000000000006</v>
      </c>
      <c r="S92" s="10">
        <f t="shared" si="2"/>
        <v>-0.36600000000000005</v>
      </c>
      <c r="T92" s="10">
        <f t="shared" si="6"/>
        <v>64.995999999999995</v>
      </c>
      <c r="V92" s="3">
        <v>389.5</v>
      </c>
      <c r="X92" s="3">
        <f t="shared" si="7"/>
        <v>41552.299999999988</v>
      </c>
      <c r="AA92" s="3">
        <v>10.3195890715385</v>
      </c>
    </row>
    <row r="93" spans="1:27" s="3" customFormat="1" x14ac:dyDescent="0.25">
      <c r="A93" s="61"/>
      <c r="B93" s="7"/>
      <c r="C93" s="8">
        <v>40478</v>
      </c>
      <c r="D93" s="3">
        <v>11.1</v>
      </c>
      <c r="E93" s="3">
        <v>7.2</v>
      </c>
      <c r="F93" s="3">
        <v>14.5</v>
      </c>
      <c r="G93" s="3">
        <f t="shared" si="3"/>
        <v>554.70000000000016</v>
      </c>
      <c r="J93" s="3">
        <v>0.1</v>
      </c>
      <c r="K93" s="3">
        <f t="shared" si="4"/>
        <v>97.2</v>
      </c>
      <c r="L93" s="3">
        <v>0.8</v>
      </c>
      <c r="M93" s="3">
        <f t="shared" si="5"/>
        <v>81.900000000000006</v>
      </c>
      <c r="N93" s="3">
        <v>-0.70000000000000007</v>
      </c>
      <c r="O93" s="3">
        <f t="shared" si="9"/>
        <v>41.90000000000002</v>
      </c>
      <c r="P93" s="3">
        <v>44</v>
      </c>
      <c r="Q93" s="3">
        <f t="shared" si="8"/>
        <v>0.71833333333333327</v>
      </c>
      <c r="R93" s="10">
        <f t="shared" si="1"/>
        <v>0.57466666666666666</v>
      </c>
      <c r="S93" s="10">
        <f t="shared" si="2"/>
        <v>-0.47466666666666668</v>
      </c>
      <c r="T93" s="10">
        <f t="shared" si="6"/>
        <v>64.521333333333331</v>
      </c>
      <c r="V93" s="3">
        <v>334.4</v>
      </c>
      <c r="X93" s="3">
        <f t="shared" si="7"/>
        <v>41886.69999999999</v>
      </c>
      <c r="AA93" s="3">
        <v>10.265005959254699</v>
      </c>
    </row>
    <row r="94" spans="1:27" s="3" customFormat="1" x14ac:dyDescent="0.25">
      <c r="A94" s="61"/>
      <c r="B94" s="7"/>
      <c r="C94" s="8">
        <v>40479</v>
      </c>
      <c r="D94" s="3">
        <v>12</v>
      </c>
      <c r="E94" s="3">
        <v>10.6</v>
      </c>
      <c r="F94" s="3">
        <v>14.6</v>
      </c>
      <c r="G94" s="3">
        <f t="shared" si="3"/>
        <v>566.70000000000016</v>
      </c>
      <c r="J94" s="3">
        <v>0</v>
      </c>
      <c r="K94" s="3">
        <f t="shared" si="4"/>
        <v>97.2</v>
      </c>
      <c r="L94" s="3">
        <v>0.7</v>
      </c>
      <c r="M94" s="3">
        <f t="shared" si="5"/>
        <v>82.600000000000009</v>
      </c>
      <c r="N94" s="3">
        <v>-0.7</v>
      </c>
      <c r="O94" s="3">
        <f t="shared" si="9"/>
        <v>41.200000000000017</v>
      </c>
      <c r="P94" s="3">
        <v>45</v>
      </c>
      <c r="Q94" s="3">
        <f t="shared" si="8"/>
        <v>0.72916666666666674</v>
      </c>
      <c r="R94" s="10">
        <f t="shared" si="1"/>
        <v>0.51041666666666674</v>
      </c>
      <c r="S94" s="10">
        <f t="shared" si="2"/>
        <v>-0.51041666666666674</v>
      </c>
      <c r="T94" s="10">
        <f t="shared" si="6"/>
        <v>64.01091666666666</v>
      </c>
      <c r="V94" s="3">
        <v>333.4</v>
      </c>
      <c r="X94" s="3">
        <f t="shared" si="7"/>
        <v>42220.099999999991</v>
      </c>
      <c r="AA94" s="3">
        <v>10.210709054264401</v>
      </c>
    </row>
    <row r="95" spans="1:27" s="3" customFormat="1" x14ac:dyDescent="0.25">
      <c r="A95" s="61"/>
      <c r="B95" s="7"/>
      <c r="C95" s="8">
        <v>40480</v>
      </c>
      <c r="D95" s="3">
        <v>12.5</v>
      </c>
      <c r="E95" s="3">
        <v>10.6</v>
      </c>
      <c r="F95" s="3">
        <v>16.5</v>
      </c>
      <c r="G95" s="3">
        <f t="shared" si="3"/>
        <v>579.20000000000016</v>
      </c>
      <c r="J95" s="3">
        <v>9.6</v>
      </c>
      <c r="K95" s="3">
        <f t="shared" si="4"/>
        <v>106.8</v>
      </c>
      <c r="L95" s="3">
        <v>1.8</v>
      </c>
      <c r="M95" s="3">
        <f t="shared" si="5"/>
        <v>84.4</v>
      </c>
      <c r="N95" s="3">
        <v>7.8</v>
      </c>
      <c r="O95" s="3">
        <f t="shared" si="9"/>
        <v>49.000000000000014</v>
      </c>
      <c r="P95" s="3">
        <v>46</v>
      </c>
      <c r="Q95" s="3">
        <f t="shared" si="8"/>
        <v>0.74</v>
      </c>
      <c r="R95" s="10">
        <f t="shared" si="1"/>
        <v>1.3320000000000001</v>
      </c>
      <c r="S95" s="10">
        <f t="shared" si="2"/>
        <v>8.2679999999999989</v>
      </c>
      <c r="T95" s="10">
        <f t="shared" si="6"/>
        <v>72.27891666666666</v>
      </c>
      <c r="V95" s="3">
        <v>900.5</v>
      </c>
      <c r="X95" s="3">
        <f t="shared" si="7"/>
        <v>43120.599999999991</v>
      </c>
      <c r="AA95" s="3">
        <v>10.1567145673041</v>
      </c>
    </row>
    <row r="96" spans="1:27" s="3" customFormat="1" x14ac:dyDescent="0.25">
      <c r="A96" s="61"/>
      <c r="B96" s="7"/>
      <c r="C96" s="8">
        <v>40481</v>
      </c>
      <c r="D96" s="3">
        <v>11.7</v>
      </c>
      <c r="E96" s="3">
        <v>7.7</v>
      </c>
      <c r="F96" s="3">
        <v>16.3</v>
      </c>
      <c r="G96" s="3">
        <f t="shared" si="3"/>
        <v>590.9000000000002</v>
      </c>
      <c r="J96" s="3">
        <v>0.3</v>
      </c>
      <c r="K96" s="3">
        <f t="shared" si="4"/>
        <v>107.1</v>
      </c>
      <c r="L96" s="3">
        <v>1.1000000000000001</v>
      </c>
      <c r="M96" s="3">
        <f t="shared" si="5"/>
        <v>85.5</v>
      </c>
      <c r="N96" s="3">
        <v>-0.8</v>
      </c>
      <c r="O96" s="3">
        <f t="shared" si="9"/>
        <v>48.200000000000017</v>
      </c>
      <c r="P96" s="3">
        <v>47</v>
      </c>
      <c r="Q96" s="3">
        <f t="shared" si="8"/>
        <v>0.75083333333333335</v>
      </c>
      <c r="R96" s="10">
        <f t="shared" si="1"/>
        <v>0.82591666666666674</v>
      </c>
      <c r="S96" s="10">
        <f t="shared" si="2"/>
        <v>-0.52591666666666681</v>
      </c>
      <c r="T96" s="10">
        <f t="shared" si="6"/>
        <v>71.753</v>
      </c>
      <c r="V96" s="3">
        <v>679.3</v>
      </c>
      <c r="X96" s="3">
        <f t="shared" si="7"/>
        <v>43799.899999999994</v>
      </c>
      <c r="AA96" s="3">
        <v>10.1030393151739</v>
      </c>
    </row>
    <row r="97" spans="1:27" s="3" customFormat="1" x14ac:dyDescent="0.25">
      <c r="A97" s="61"/>
      <c r="B97" s="7"/>
      <c r="C97" s="8">
        <v>40482</v>
      </c>
      <c r="D97" s="3">
        <v>12.3</v>
      </c>
      <c r="E97" s="3">
        <v>10.199999999999999</v>
      </c>
      <c r="F97" s="3">
        <v>14.1</v>
      </c>
      <c r="G97" s="3">
        <f t="shared" si="3"/>
        <v>603.20000000000016</v>
      </c>
      <c r="J97" s="3">
        <v>0.4</v>
      </c>
      <c r="K97" s="3">
        <f t="shared" si="4"/>
        <v>107.5</v>
      </c>
      <c r="L97" s="3">
        <v>0.9</v>
      </c>
      <c r="M97" s="3">
        <f t="shared" si="5"/>
        <v>86.4</v>
      </c>
      <c r="N97" s="3">
        <v>-0.5</v>
      </c>
      <c r="O97" s="3">
        <f t="shared" si="9"/>
        <v>47.700000000000017</v>
      </c>
      <c r="P97" s="3">
        <v>48</v>
      </c>
      <c r="Q97" s="3">
        <f t="shared" si="8"/>
        <v>0.76166666666666671</v>
      </c>
      <c r="R97" s="10">
        <f t="shared" si="1"/>
        <v>0.68550000000000011</v>
      </c>
      <c r="S97" s="10">
        <f t="shared" si="2"/>
        <v>-0.28550000000000009</v>
      </c>
      <c r="T97" s="10">
        <f t="shared" si="6"/>
        <v>71.467500000000001</v>
      </c>
      <c r="V97" s="3">
        <v>762.8</v>
      </c>
      <c r="X97" s="3">
        <f t="shared" si="7"/>
        <v>44562.7</v>
      </c>
      <c r="AA97" s="3">
        <v>10.0497007316379</v>
      </c>
    </row>
    <row r="98" spans="1:27" s="3" customFormat="1" x14ac:dyDescent="0.25">
      <c r="A98" s="61"/>
      <c r="B98" s="7"/>
      <c r="C98" s="8">
        <v>40483</v>
      </c>
      <c r="D98" s="3">
        <v>11.7</v>
      </c>
      <c r="E98" s="3">
        <v>10.7</v>
      </c>
      <c r="F98" s="3">
        <v>15.4</v>
      </c>
      <c r="G98" s="3">
        <f t="shared" si="3"/>
        <v>614.9000000000002</v>
      </c>
      <c r="J98" s="3">
        <v>0</v>
      </c>
      <c r="K98" s="3">
        <f t="shared" si="4"/>
        <v>107.5</v>
      </c>
      <c r="L98" s="3">
        <v>1.8</v>
      </c>
      <c r="M98" s="3">
        <f t="shared" si="5"/>
        <v>88.2</v>
      </c>
      <c r="N98" s="3">
        <v>-1.8</v>
      </c>
      <c r="O98" s="3">
        <f t="shared" si="9"/>
        <v>45.90000000000002</v>
      </c>
      <c r="P98" s="3">
        <v>49</v>
      </c>
      <c r="Q98" s="3">
        <f t="shared" si="8"/>
        <v>0.77249999999999996</v>
      </c>
      <c r="R98" s="10">
        <f t="shared" si="1"/>
        <v>1.3905000000000001</v>
      </c>
      <c r="S98" s="10">
        <f t="shared" si="2"/>
        <v>-1.3905000000000001</v>
      </c>
      <c r="T98" s="10">
        <f t="shared" si="6"/>
        <v>70.076999999999998</v>
      </c>
      <c r="V98" s="3">
        <v>820.8</v>
      </c>
      <c r="X98" s="3">
        <f t="shared" si="7"/>
        <v>45383.5</v>
      </c>
      <c r="AA98" s="3">
        <v>9.9967168771169792</v>
      </c>
    </row>
    <row r="99" spans="1:27" s="3" customFormat="1" x14ac:dyDescent="0.25">
      <c r="A99" s="61"/>
      <c r="B99" s="7"/>
      <c r="C99" s="8">
        <v>40484</v>
      </c>
      <c r="D99" s="3">
        <v>12.4</v>
      </c>
      <c r="E99" s="3">
        <v>6.6</v>
      </c>
      <c r="F99" s="3">
        <v>16.399999999999999</v>
      </c>
      <c r="G99" s="3">
        <f t="shared" si="3"/>
        <v>627.30000000000018</v>
      </c>
      <c r="J99" s="3">
        <v>0.1</v>
      </c>
      <c r="K99" s="3">
        <f t="shared" si="4"/>
        <v>107.6</v>
      </c>
      <c r="L99" s="3">
        <v>0.1</v>
      </c>
      <c r="M99" s="3">
        <f t="shared" si="5"/>
        <v>88.3</v>
      </c>
      <c r="N99" s="3">
        <v>0</v>
      </c>
      <c r="O99" s="3">
        <f t="shared" si="9"/>
        <v>45.90000000000002</v>
      </c>
      <c r="P99" s="3">
        <v>50</v>
      </c>
      <c r="Q99" s="3">
        <f t="shared" si="8"/>
        <v>0.78333333333333333</v>
      </c>
      <c r="R99" s="10">
        <f t="shared" si="1"/>
        <v>7.8333333333333338E-2</v>
      </c>
      <c r="S99" s="10">
        <f t="shared" si="2"/>
        <v>2.1666666666666667E-2</v>
      </c>
      <c r="T99" s="10">
        <f t="shared" si="6"/>
        <v>70.098666666666659</v>
      </c>
      <c r="V99" s="3">
        <v>221.3</v>
      </c>
      <c r="X99" s="3">
        <f t="shared" si="7"/>
        <v>45604.800000000003</v>
      </c>
      <c r="AA99" s="3">
        <v>9.9441064470457103</v>
      </c>
    </row>
    <row r="100" spans="1:27" s="3" customFormat="1" x14ac:dyDescent="0.25">
      <c r="A100" s="61"/>
      <c r="B100" s="7"/>
      <c r="C100" s="8">
        <v>40485</v>
      </c>
      <c r="D100" s="3">
        <v>14.7</v>
      </c>
      <c r="E100" s="3">
        <v>12.2</v>
      </c>
      <c r="F100" s="3">
        <v>16.2</v>
      </c>
      <c r="G100" s="3">
        <f t="shared" si="3"/>
        <v>642.00000000000023</v>
      </c>
      <c r="J100" s="3">
        <v>0.2</v>
      </c>
      <c r="K100" s="3">
        <f t="shared" si="4"/>
        <v>107.8</v>
      </c>
      <c r="L100" s="3">
        <v>0.3</v>
      </c>
      <c r="M100" s="3">
        <f t="shared" si="5"/>
        <v>88.6</v>
      </c>
      <c r="N100" s="3">
        <v>-9.9999999999999978E-2</v>
      </c>
      <c r="O100" s="3">
        <f t="shared" si="9"/>
        <v>45.800000000000018</v>
      </c>
      <c r="P100" s="3">
        <v>51</v>
      </c>
      <c r="Q100" s="3">
        <f t="shared" si="8"/>
        <v>0.79416666666666669</v>
      </c>
      <c r="R100" s="10">
        <f t="shared" si="1"/>
        <v>0.23824999999999999</v>
      </c>
      <c r="S100" s="10">
        <f t="shared" si="2"/>
        <v>-3.8249999999999978E-2</v>
      </c>
      <c r="T100" s="10">
        <f t="shared" si="6"/>
        <v>70.060416666666654</v>
      </c>
      <c r="V100" s="3">
        <v>233.7</v>
      </c>
      <c r="X100" s="3">
        <f t="shared" si="7"/>
        <v>45838.5</v>
      </c>
      <c r="AA100" s="3">
        <v>9.8918887787624996</v>
      </c>
    </row>
    <row r="101" spans="1:27" s="3" customFormat="1" x14ac:dyDescent="0.25">
      <c r="A101" s="61"/>
      <c r="B101" s="7"/>
      <c r="C101" s="8">
        <v>40486</v>
      </c>
      <c r="D101" s="3">
        <v>15.3</v>
      </c>
      <c r="E101" s="3">
        <v>15.1</v>
      </c>
      <c r="F101" s="3">
        <v>16.399999999999999</v>
      </c>
      <c r="G101" s="3">
        <f t="shared" si="3"/>
        <v>657.30000000000018</v>
      </c>
      <c r="J101" s="3">
        <v>0</v>
      </c>
      <c r="K101" s="3">
        <f t="shared" si="4"/>
        <v>107.8</v>
      </c>
      <c r="L101" s="3">
        <v>1.4</v>
      </c>
      <c r="M101" s="3">
        <f t="shared" si="5"/>
        <v>90</v>
      </c>
      <c r="N101" s="3">
        <v>-1.4</v>
      </c>
      <c r="O101" s="3">
        <f t="shared" si="9"/>
        <v>44.40000000000002</v>
      </c>
      <c r="P101" s="3">
        <v>52</v>
      </c>
      <c r="Q101" s="3">
        <f t="shared" si="8"/>
        <v>0.80499999999999994</v>
      </c>
      <c r="R101" s="10">
        <f t="shared" si="1"/>
        <v>1.1269999999999998</v>
      </c>
      <c r="S101" s="10">
        <f t="shared" si="2"/>
        <v>-1.1269999999999998</v>
      </c>
      <c r="T101" s="10">
        <f t="shared" si="6"/>
        <v>68.933416666666659</v>
      </c>
      <c r="V101" s="3">
        <v>176.5</v>
      </c>
      <c r="X101" s="3">
        <f t="shared" si="7"/>
        <v>46015</v>
      </c>
      <c r="AA101" s="3">
        <v>9.8400838567940205</v>
      </c>
    </row>
    <row r="102" spans="1:27" s="3" customFormat="1" x14ac:dyDescent="0.25">
      <c r="A102" s="61"/>
      <c r="B102" s="7"/>
      <c r="C102" s="8">
        <v>40487</v>
      </c>
      <c r="D102" s="3">
        <v>14</v>
      </c>
      <c r="E102" s="3">
        <v>12.8</v>
      </c>
      <c r="F102" s="3">
        <v>16.899999999999999</v>
      </c>
      <c r="G102" s="3">
        <f t="shared" si="3"/>
        <v>671.30000000000018</v>
      </c>
      <c r="J102" s="3">
        <v>0.1</v>
      </c>
      <c r="K102" s="3">
        <f t="shared" si="4"/>
        <v>107.89999999999999</v>
      </c>
      <c r="L102" s="3">
        <v>1.8</v>
      </c>
      <c r="M102" s="3">
        <f t="shared" si="5"/>
        <v>91.8</v>
      </c>
      <c r="N102" s="3">
        <v>-1.7</v>
      </c>
      <c r="O102" s="3">
        <f t="shared" si="9"/>
        <v>42.700000000000017</v>
      </c>
      <c r="P102" s="3">
        <v>53</v>
      </c>
      <c r="Q102" s="3">
        <f t="shared" si="8"/>
        <v>0.81583333333333341</v>
      </c>
      <c r="R102" s="10">
        <f t="shared" si="1"/>
        <v>1.4685000000000001</v>
      </c>
      <c r="S102" s="10">
        <f t="shared" si="2"/>
        <v>-1.3685</v>
      </c>
      <c r="T102" s="10">
        <f t="shared" si="6"/>
        <v>67.564916666666662</v>
      </c>
      <c r="V102" s="3">
        <v>580.29999999999995</v>
      </c>
      <c r="X102" s="3">
        <f t="shared" si="7"/>
        <v>46595.3</v>
      </c>
      <c r="AA102" s="3">
        <v>9.7887123163906296</v>
      </c>
    </row>
    <row r="103" spans="1:27" s="3" customFormat="1" x14ac:dyDescent="0.25">
      <c r="A103" s="61"/>
      <c r="B103" s="7"/>
      <c r="C103" s="8">
        <v>40488</v>
      </c>
      <c r="D103" s="3">
        <v>11.6</v>
      </c>
      <c r="E103" s="3">
        <v>11</v>
      </c>
      <c r="F103" s="3">
        <v>12.9</v>
      </c>
      <c r="G103" s="3">
        <f t="shared" si="3"/>
        <v>682.9000000000002</v>
      </c>
      <c r="J103" s="3">
        <v>11.5</v>
      </c>
      <c r="K103" s="3">
        <f t="shared" si="4"/>
        <v>119.39999999999999</v>
      </c>
      <c r="L103" s="3">
        <v>0.3</v>
      </c>
      <c r="M103" s="3">
        <f t="shared" si="5"/>
        <v>92.1</v>
      </c>
      <c r="N103" s="3">
        <v>11.2</v>
      </c>
      <c r="O103" s="3">
        <f t="shared" si="9"/>
        <v>53.90000000000002</v>
      </c>
      <c r="P103" s="3">
        <v>54</v>
      </c>
      <c r="Q103" s="3">
        <f t="shared" si="8"/>
        <v>0.82666666666666666</v>
      </c>
      <c r="R103" s="10">
        <f t="shared" si="1"/>
        <v>0.248</v>
      </c>
      <c r="S103" s="10">
        <f t="shared" si="2"/>
        <v>11.252000000000001</v>
      </c>
      <c r="T103" s="10">
        <f t="shared" si="6"/>
        <v>78.816916666666657</v>
      </c>
      <c r="V103" s="3">
        <v>136</v>
      </c>
      <c r="X103" s="3">
        <f t="shared" si="7"/>
        <v>46731.3</v>
      </c>
      <c r="AA103" s="3">
        <v>9.7377954451645401</v>
      </c>
    </row>
    <row r="104" spans="1:27" s="3" customFormat="1" x14ac:dyDescent="0.25">
      <c r="A104" s="61"/>
      <c r="B104" s="7"/>
      <c r="C104" s="8">
        <v>40489</v>
      </c>
      <c r="D104" s="3">
        <v>6.4</v>
      </c>
      <c r="E104" s="3">
        <v>4.4000000000000004</v>
      </c>
      <c r="F104" s="3">
        <v>8.5</v>
      </c>
      <c r="G104" s="3">
        <f t="shared" si="3"/>
        <v>689.30000000000018</v>
      </c>
      <c r="J104" s="3">
        <v>7.2</v>
      </c>
      <c r="K104" s="3">
        <f t="shared" si="4"/>
        <v>126.6</v>
      </c>
      <c r="L104" s="3">
        <v>0.5</v>
      </c>
      <c r="M104" s="3">
        <f t="shared" si="5"/>
        <v>92.6</v>
      </c>
      <c r="N104" s="3">
        <v>6.7</v>
      </c>
      <c r="O104" s="3">
        <f t="shared" si="9"/>
        <v>60.600000000000023</v>
      </c>
      <c r="P104" s="3">
        <v>55</v>
      </c>
      <c r="Q104" s="3">
        <f t="shared" si="8"/>
        <v>0.83750000000000002</v>
      </c>
      <c r="R104" s="10">
        <f t="shared" si="1"/>
        <v>0.41875000000000001</v>
      </c>
      <c r="S104" s="10">
        <f t="shared" si="2"/>
        <v>6.78125</v>
      </c>
      <c r="T104" s="10">
        <f t="shared" si="6"/>
        <v>85.598166666666657</v>
      </c>
      <c r="V104" s="3">
        <v>529.1</v>
      </c>
      <c r="X104" s="3">
        <f t="shared" si="7"/>
        <v>47260.4</v>
      </c>
      <c r="AA104" s="3">
        <v>9.6873551826779796</v>
      </c>
    </row>
    <row r="105" spans="1:27" s="3" customFormat="1" x14ac:dyDescent="0.25">
      <c r="A105" s="61"/>
      <c r="B105" s="7"/>
      <c r="C105" s="8">
        <v>40490</v>
      </c>
      <c r="D105" s="3">
        <v>8.3000000000000007</v>
      </c>
      <c r="E105" s="3">
        <v>3.9</v>
      </c>
      <c r="F105" s="3">
        <v>11.8</v>
      </c>
      <c r="G105" s="3">
        <f t="shared" si="3"/>
        <v>697.60000000000014</v>
      </c>
      <c r="J105" s="3">
        <v>4.2</v>
      </c>
      <c r="K105" s="3">
        <f t="shared" si="4"/>
        <v>130.79999999999998</v>
      </c>
      <c r="L105" s="3">
        <v>0.8</v>
      </c>
      <c r="M105" s="3">
        <f t="shared" si="5"/>
        <v>93.399999999999991</v>
      </c>
      <c r="N105" s="3">
        <v>3.4000000000000004</v>
      </c>
      <c r="O105" s="3">
        <f t="shared" si="9"/>
        <v>64.000000000000028</v>
      </c>
      <c r="P105" s="3">
        <v>56</v>
      </c>
      <c r="Q105" s="3">
        <f t="shared" si="8"/>
        <v>0.84833333333333338</v>
      </c>
      <c r="R105" s="10">
        <f t="shared" si="1"/>
        <v>0.67866666666666675</v>
      </c>
      <c r="S105" s="10">
        <f t="shared" si="2"/>
        <v>3.5213333333333336</v>
      </c>
      <c r="T105" s="10">
        <f t="shared" si="6"/>
        <v>89.119499999999988</v>
      </c>
      <c r="V105" s="3">
        <v>526.1</v>
      </c>
      <c r="X105" s="3">
        <f t="shared" si="7"/>
        <v>47786.5</v>
      </c>
      <c r="AA105" s="3">
        <v>9.6374141178255108</v>
      </c>
    </row>
    <row r="106" spans="1:27" s="3" customFormat="1" x14ac:dyDescent="0.25">
      <c r="A106" s="61"/>
      <c r="B106" s="7"/>
      <c r="C106" s="8">
        <v>40491</v>
      </c>
      <c r="D106" s="3">
        <v>9</v>
      </c>
      <c r="E106" s="3">
        <v>7.6</v>
      </c>
      <c r="F106" s="3">
        <v>10.4</v>
      </c>
      <c r="G106" s="3">
        <f t="shared" si="3"/>
        <v>706.60000000000014</v>
      </c>
      <c r="J106" s="3">
        <v>3.4</v>
      </c>
      <c r="K106" s="3">
        <f t="shared" si="4"/>
        <v>134.19999999999999</v>
      </c>
      <c r="L106" s="3">
        <v>0.4</v>
      </c>
      <c r="M106" s="3">
        <f t="shared" si="5"/>
        <v>93.8</v>
      </c>
      <c r="N106" s="3">
        <v>3</v>
      </c>
      <c r="O106" s="3">
        <f t="shared" si="9"/>
        <v>67.000000000000028</v>
      </c>
      <c r="P106" s="3">
        <v>57</v>
      </c>
      <c r="Q106" s="3">
        <f t="shared" si="8"/>
        <v>0.85916666666666663</v>
      </c>
      <c r="R106" s="10">
        <f t="shared" si="1"/>
        <v>0.34366666666666668</v>
      </c>
      <c r="S106" s="10">
        <f t="shared" si="2"/>
        <v>3.0563333333333333</v>
      </c>
      <c r="T106" s="10">
        <f t="shared" si="6"/>
        <v>92.175833333333316</v>
      </c>
      <c r="V106" s="3">
        <v>177</v>
      </c>
      <c r="X106" s="3">
        <f t="shared" si="7"/>
        <v>47963.5</v>
      </c>
      <c r="AA106" s="3">
        <v>9.5879954838522501</v>
      </c>
    </row>
    <row r="107" spans="1:27" s="3" customFormat="1" x14ac:dyDescent="0.25">
      <c r="A107" s="61"/>
      <c r="B107" s="7"/>
      <c r="C107" s="8">
        <v>40492</v>
      </c>
      <c r="D107" s="3">
        <v>6.8</v>
      </c>
      <c r="E107" s="3">
        <v>5.4</v>
      </c>
      <c r="F107" s="3">
        <v>8.9</v>
      </c>
      <c r="G107" s="3">
        <f t="shared" si="3"/>
        <v>713.40000000000009</v>
      </c>
      <c r="J107" s="3">
        <v>2.2999999999999998</v>
      </c>
      <c r="K107" s="3">
        <f t="shared" si="4"/>
        <v>136.5</v>
      </c>
      <c r="L107" s="3">
        <v>1</v>
      </c>
      <c r="M107" s="3">
        <f t="shared" si="5"/>
        <v>94.8</v>
      </c>
      <c r="N107" s="3">
        <v>1.2999999999999998</v>
      </c>
      <c r="O107" s="3">
        <f t="shared" si="9"/>
        <v>68.300000000000026</v>
      </c>
      <c r="P107" s="3">
        <v>58</v>
      </c>
      <c r="Q107" s="3">
        <f t="shared" si="8"/>
        <v>0.87</v>
      </c>
      <c r="R107" s="10">
        <f t="shared" si="1"/>
        <v>0.87</v>
      </c>
      <c r="S107" s="10">
        <f t="shared" si="2"/>
        <v>1.4299999999999997</v>
      </c>
      <c r="T107" s="10">
        <f t="shared" si="6"/>
        <v>93.605833333333322</v>
      </c>
      <c r="V107" s="3">
        <v>629.29999999999995</v>
      </c>
      <c r="X107" s="3">
        <f t="shared" si="7"/>
        <v>48592.800000000003</v>
      </c>
      <c r="AA107" s="3">
        <v>9.5391231508480097</v>
      </c>
    </row>
    <row r="108" spans="1:27" s="3" customFormat="1" x14ac:dyDescent="0.25">
      <c r="A108" s="61"/>
      <c r="B108" s="7"/>
      <c r="C108" s="8">
        <v>40493</v>
      </c>
      <c r="D108" s="3">
        <v>11.2</v>
      </c>
      <c r="E108" s="3">
        <v>2.5</v>
      </c>
      <c r="F108" s="3">
        <v>15.1</v>
      </c>
      <c r="G108" s="3">
        <f t="shared" si="3"/>
        <v>724.60000000000014</v>
      </c>
      <c r="J108" s="3">
        <v>6.4</v>
      </c>
      <c r="K108" s="3">
        <f t="shared" si="4"/>
        <v>142.9</v>
      </c>
      <c r="L108" s="3">
        <v>0</v>
      </c>
      <c r="M108" s="3">
        <f t="shared" si="5"/>
        <v>94.8</v>
      </c>
      <c r="N108" s="3">
        <v>6.4</v>
      </c>
      <c r="O108" s="3">
        <f t="shared" si="9"/>
        <v>74.700000000000031</v>
      </c>
      <c r="P108" s="3">
        <v>59</v>
      </c>
      <c r="Q108" s="3">
        <f t="shared" si="8"/>
        <v>0.88083333333333336</v>
      </c>
      <c r="R108" s="10">
        <f t="shared" si="1"/>
        <v>0</v>
      </c>
      <c r="S108" s="10">
        <f t="shared" si="2"/>
        <v>6.4</v>
      </c>
      <c r="T108" s="10">
        <f t="shared" si="6"/>
        <v>100.00583333333333</v>
      </c>
      <c r="V108" s="3">
        <v>98.9</v>
      </c>
      <c r="X108" s="3">
        <f t="shared" si="7"/>
        <v>48691.700000000004</v>
      </c>
      <c r="AA108" s="3">
        <v>9.4908216155575502</v>
      </c>
    </row>
    <row r="109" spans="1:27" s="3" customFormat="1" x14ac:dyDescent="0.25">
      <c r="A109" s="61"/>
      <c r="B109" s="7"/>
      <c r="C109" s="8">
        <v>40494</v>
      </c>
      <c r="D109" s="3">
        <v>13.9</v>
      </c>
      <c r="E109" s="3">
        <v>11.5</v>
      </c>
      <c r="F109" s="3">
        <v>15.6</v>
      </c>
      <c r="G109" s="3">
        <f t="shared" si="3"/>
        <v>738.50000000000011</v>
      </c>
      <c r="J109" s="3">
        <v>9.4</v>
      </c>
      <c r="K109" s="3">
        <f t="shared" si="4"/>
        <v>152.30000000000001</v>
      </c>
      <c r="L109" s="3">
        <v>0.8</v>
      </c>
      <c r="M109" s="3">
        <f t="shared" si="5"/>
        <v>95.6</v>
      </c>
      <c r="N109" s="3">
        <v>8.6</v>
      </c>
      <c r="O109" s="3">
        <f t="shared" si="9"/>
        <v>83.300000000000026</v>
      </c>
      <c r="P109" s="3">
        <v>60</v>
      </c>
      <c r="Q109" s="3">
        <f t="shared" si="8"/>
        <v>0.89166666666666672</v>
      </c>
      <c r="R109" s="10">
        <f t="shared" si="1"/>
        <v>0.71333333333333337</v>
      </c>
      <c r="S109" s="10">
        <f t="shared" si="2"/>
        <v>8.6866666666666674</v>
      </c>
      <c r="T109" s="10">
        <f t="shared" si="6"/>
        <v>108.6925</v>
      </c>
      <c r="V109" s="3">
        <v>198</v>
      </c>
      <c r="X109" s="3">
        <f t="shared" si="7"/>
        <v>48889.700000000004</v>
      </c>
      <c r="AA109" s="3">
        <v>9.4431159883480404</v>
      </c>
    </row>
    <row r="110" spans="1:27" s="3" customFormat="1" x14ac:dyDescent="0.25">
      <c r="A110" s="61"/>
      <c r="B110" s="7"/>
      <c r="C110" s="8">
        <v>40495</v>
      </c>
      <c r="D110" s="3">
        <v>14.1</v>
      </c>
      <c r="E110" s="3">
        <v>14.2</v>
      </c>
      <c r="F110" s="3">
        <v>14.5</v>
      </c>
      <c r="G110" s="3">
        <f t="shared" si="3"/>
        <v>752.60000000000014</v>
      </c>
      <c r="J110" s="3">
        <v>34.6</v>
      </c>
      <c r="K110" s="3">
        <f t="shared" si="4"/>
        <v>186.9</v>
      </c>
      <c r="L110" s="3">
        <v>0.7</v>
      </c>
      <c r="M110" s="3">
        <f t="shared" si="5"/>
        <v>96.3</v>
      </c>
      <c r="N110" s="3">
        <v>33.9</v>
      </c>
      <c r="O110" s="3">
        <f t="shared" si="9"/>
        <v>117.20000000000002</v>
      </c>
      <c r="P110" s="3">
        <v>61</v>
      </c>
      <c r="Q110" s="3">
        <f t="shared" si="8"/>
        <v>0.90249999999999997</v>
      </c>
      <c r="R110" s="10">
        <f t="shared" si="1"/>
        <v>0.63174999999999992</v>
      </c>
      <c r="S110" s="10">
        <f t="shared" si="2"/>
        <v>33.968250000000005</v>
      </c>
      <c r="T110" s="10">
        <f t="shared" si="6"/>
        <v>142.66075000000001</v>
      </c>
      <c r="V110" s="3">
        <v>94.1</v>
      </c>
      <c r="X110" s="3">
        <f t="shared" si="7"/>
        <v>48983.8</v>
      </c>
      <c r="AA110" s="3">
        <v>9.3960319771778806</v>
      </c>
    </row>
    <row r="111" spans="1:27" s="3" customFormat="1" x14ac:dyDescent="0.25">
      <c r="A111" s="61"/>
      <c r="B111" s="7"/>
      <c r="C111" s="8">
        <v>40496</v>
      </c>
      <c r="D111" s="3">
        <v>9.5</v>
      </c>
      <c r="E111" s="3">
        <v>7.3</v>
      </c>
      <c r="F111" s="3">
        <v>11.7</v>
      </c>
      <c r="G111" s="3">
        <f t="shared" si="3"/>
        <v>762.10000000000014</v>
      </c>
      <c r="J111" s="3">
        <v>1.1000000000000001</v>
      </c>
      <c r="K111" s="3">
        <f t="shared" si="4"/>
        <v>188</v>
      </c>
      <c r="L111" s="3">
        <v>0.6</v>
      </c>
      <c r="M111" s="3">
        <f t="shared" si="5"/>
        <v>96.899999999999991</v>
      </c>
      <c r="N111" s="3">
        <v>0.50000000000000011</v>
      </c>
      <c r="O111" s="3">
        <f t="shared" si="9"/>
        <v>117.70000000000002</v>
      </c>
      <c r="P111" s="3">
        <v>62</v>
      </c>
      <c r="Q111" s="3">
        <f t="shared" si="8"/>
        <v>0.91333333333333333</v>
      </c>
      <c r="R111" s="10">
        <f t="shared" si="1"/>
        <v>0.54799999999999993</v>
      </c>
      <c r="S111" s="10">
        <f t="shared" si="2"/>
        <v>0.55200000000000016</v>
      </c>
      <c r="T111" s="10">
        <f t="shared" si="6"/>
        <v>143.21275</v>
      </c>
      <c r="V111" s="3">
        <v>401.1</v>
      </c>
      <c r="X111" s="3">
        <f t="shared" si="7"/>
        <v>49384.9</v>
      </c>
      <c r="AA111" s="3">
        <v>9.3495958684151308</v>
      </c>
    </row>
    <row r="112" spans="1:27" s="3" customFormat="1" x14ac:dyDescent="0.25">
      <c r="A112" s="61"/>
      <c r="B112" s="7"/>
      <c r="C112" s="8">
        <v>40497</v>
      </c>
      <c r="D112" s="3">
        <v>6.3</v>
      </c>
      <c r="E112" s="3">
        <v>4</v>
      </c>
      <c r="F112" s="3">
        <v>11.4</v>
      </c>
      <c r="G112" s="3">
        <f t="shared" si="3"/>
        <v>768.40000000000009</v>
      </c>
      <c r="J112" s="3">
        <v>0.2</v>
      </c>
      <c r="K112" s="3">
        <f t="shared" si="4"/>
        <v>188.2</v>
      </c>
      <c r="L112" s="3">
        <v>1.1000000000000001</v>
      </c>
      <c r="M112" s="3">
        <f t="shared" si="5"/>
        <v>97.999999999999986</v>
      </c>
      <c r="N112" s="3">
        <v>-0.90000000000000013</v>
      </c>
      <c r="O112" s="3">
        <f t="shared" si="9"/>
        <v>116.80000000000001</v>
      </c>
      <c r="P112" s="3">
        <v>63</v>
      </c>
      <c r="Q112" s="3">
        <f t="shared" si="8"/>
        <v>0.92416666666666669</v>
      </c>
      <c r="R112" s="10">
        <f t="shared" si="1"/>
        <v>1.0165833333333334</v>
      </c>
      <c r="S112" s="10">
        <f t="shared" si="2"/>
        <v>-0.81658333333333344</v>
      </c>
      <c r="T112" s="10">
        <f t="shared" si="6"/>
        <v>142.39616666666666</v>
      </c>
      <c r="V112" s="3">
        <v>607.1</v>
      </c>
      <c r="X112" s="3">
        <f t="shared" si="7"/>
        <v>49992</v>
      </c>
      <c r="AA112" s="3">
        <v>9.3038345043603208</v>
      </c>
    </row>
    <row r="113" spans="1:27" s="3" customFormat="1" x14ac:dyDescent="0.25">
      <c r="A113" s="61"/>
      <c r="B113" s="7"/>
      <c r="C113" s="8">
        <v>40498</v>
      </c>
      <c r="D113" s="3">
        <v>5.4</v>
      </c>
      <c r="E113" s="3">
        <v>0.2</v>
      </c>
      <c r="F113" s="3">
        <v>11.7</v>
      </c>
      <c r="G113" s="3">
        <f t="shared" si="3"/>
        <v>773.80000000000007</v>
      </c>
      <c r="J113" s="3">
        <v>0.5</v>
      </c>
      <c r="K113" s="3">
        <f t="shared" si="4"/>
        <v>188.7</v>
      </c>
      <c r="L113" s="3">
        <v>1.1000000000000001</v>
      </c>
      <c r="M113" s="3">
        <f t="shared" si="5"/>
        <v>99.09999999999998</v>
      </c>
      <c r="N113" s="3">
        <v>-0.60000000000000009</v>
      </c>
      <c r="O113" s="3">
        <f t="shared" si="9"/>
        <v>116.20000000000002</v>
      </c>
      <c r="P113" s="3">
        <v>64</v>
      </c>
      <c r="Q113" s="3">
        <f t="shared" si="8"/>
        <v>0.93500000000000005</v>
      </c>
      <c r="R113" s="10">
        <f t="shared" si="1"/>
        <v>1.0285000000000002</v>
      </c>
      <c r="S113" s="10">
        <f t="shared" si="2"/>
        <v>-0.52850000000000019</v>
      </c>
      <c r="T113" s="10">
        <f t="shared" si="6"/>
        <v>141.86766666666665</v>
      </c>
      <c r="V113" s="3">
        <v>783.5</v>
      </c>
      <c r="X113" s="3">
        <f t="shared" si="7"/>
        <v>50775.5</v>
      </c>
      <c r="AA113" s="3">
        <v>9.2587752573368096</v>
      </c>
    </row>
    <row r="114" spans="1:27" s="3" customFormat="1" x14ac:dyDescent="0.25">
      <c r="A114" s="61"/>
      <c r="B114" s="7"/>
      <c r="C114" s="8">
        <v>40499</v>
      </c>
      <c r="D114" s="3">
        <v>5.7</v>
      </c>
      <c r="E114" s="3">
        <v>5.2</v>
      </c>
      <c r="F114" s="3">
        <v>6.8</v>
      </c>
      <c r="G114" s="3">
        <f t="shared" si="3"/>
        <v>779.50000000000011</v>
      </c>
      <c r="J114" s="3">
        <v>2.2000000000000002</v>
      </c>
      <c r="K114" s="3">
        <f t="shared" si="4"/>
        <v>190.89999999999998</v>
      </c>
      <c r="L114" s="3">
        <v>0.4</v>
      </c>
      <c r="M114" s="3">
        <f t="shared" si="5"/>
        <v>99.499999999999986</v>
      </c>
      <c r="N114" s="3">
        <v>1.8000000000000003</v>
      </c>
      <c r="O114" s="3">
        <f t="shared" si="9"/>
        <v>118.00000000000001</v>
      </c>
      <c r="P114" s="3">
        <v>65</v>
      </c>
      <c r="Q114" s="3">
        <f t="shared" si="8"/>
        <v>0.9458333333333333</v>
      </c>
      <c r="R114" s="10">
        <f t="shared" ref="R114:R177" si="10">Q114*L114</f>
        <v>0.37833333333333335</v>
      </c>
      <c r="S114" s="10">
        <f t="shared" ref="S114:S177" si="11">J114-R114</f>
        <v>1.8216666666666668</v>
      </c>
      <c r="T114" s="10">
        <f>MIN(197.4,(T113+S114))</f>
        <v>143.68933333333331</v>
      </c>
      <c r="V114" s="3">
        <v>112.6</v>
      </c>
      <c r="X114" s="3">
        <f t="shared" si="7"/>
        <v>50888.1</v>
      </c>
      <c r="AA114" s="3">
        <v>9.2144460002220008</v>
      </c>
    </row>
    <row r="115" spans="1:27" s="3" customFormat="1" x14ac:dyDescent="0.25">
      <c r="A115" s="61"/>
      <c r="B115" s="7"/>
      <c r="C115" s="8">
        <v>40500</v>
      </c>
      <c r="D115" s="3">
        <v>6.7</v>
      </c>
      <c r="E115" s="3">
        <v>3.6</v>
      </c>
      <c r="F115" s="3">
        <v>11.9</v>
      </c>
      <c r="G115" s="3">
        <f t="shared" si="3"/>
        <v>786.20000000000016</v>
      </c>
      <c r="J115" s="3">
        <v>0.2</v>
      </c>
      <c r="K115" s="3">
        <f t="shared" si="4"/>
        <v>191.09999999999997</v>
      </c>
      <c r="L115" s="3">
        <v>0.7</v>
      </c>
      <c r="M115" s="3">
        <f t="shared" si="5"/>
        <v>100.19999999999999</v>
      </c>
      <c r="N115" s="3">
        <v>-0.49999999999999994</v>
      </c>
      <c r="O115" s="3">
        <f t="shared" si="9"/>
        <v>117.50000000000001</v>
      </c>
      <c r="P115" s="3">
        <v>66</v>
      </c>
      <c r="Q115" s="3">
        <f t="shared" si="8"/>
        <v>0.95666666666666667</v>
      </c>
      <c r="R115" s="10">
        <f t="shared" si="10"/>
        <v>0.66966666666666663</v>
      </c>
      <c r="S115" s="10">
        <f t="shared" si="11"/>
        <v>-0.46966666666666662</v>
      </c>
      <c r="T115" s="10">
        <f t="shared" si="6"/>
        <v>143.21966666666665</v>
      </c>
      <c r="V115" s="3">
        <v>436.4</v>
      </c>
      <c r="X115" s="3">
        <f t="shared" si="7"/>
        <v>51324.5</v>
      </c>
      <c r="AA115" s="3">
        <v>9.1708750733060302</v>
      </c>
    </row>
    <row r="116" spans="1:27" s="3" customFormat="1" x14ac:dyDescent="0.25">
      <c r="A116" s="61"/>
      <c r="B116" s="7"/>
      <c r="C116" s="8">
        <v>40501</v>
      </c>
      <c r="D116" s="3">
        <v>7.6</v>
      </c>
      <c r="E116" s="3">
        <v>3.1</v>
      </c>
      <c r="F116" s="3">
        <v>12.3</v>
      </c>
      <c r="G116" s="3">
        <f t="shared" ref="G116:G179" si="12">G115+D116</f>
        <v>793.80000000000018</v>
      </c>
      <c r="J116" s="3">
        <v>2.4</v>
      </c>
      <c r="K116" s="3">
        <f t="shared" ref="K116:K179" si="13">K115+J116</f>
        <v>193.49999999999997</v>
      </c>
      <c r="L116" s="3">
        <v>0.5</v>
      </c>
      <c r="M116" s="3">
        <f t="shared" ref="M116:M179" si="14">M115+L116</f>
        <v>100.69999999999999</v>
      </c>
      <c r="N116" s="3">
        <v>1.9</v>
      </c>
      <c r="O116" s="3">
        <f t="shared" si="9"/>
        <v>119.40000000000002</v>
      </c>
      <c r="P116" s="3">
        <v>67</v>
      </c>
      <c r="Q116" s="3">
        <f t="shared" si="8"/>
        <v>0.96749999999999992</v>
      </c>
      <c r="R116" s="10">
        <f t="shared" si="10"/>
        <v>0.48374999999999996</v>
      </c>
      <c r="S116" s="10">
        <f t="shared" si="11"/>
        <v>1.91625</v>
      </c>
      <c r="T116" s="10">
        <f t="shared" ref="T116:T179" si="15">MIN(197.4,(T115+S116))</f>
        <v>145.13591666666665</v>
      </c>
      <c r="V116" s="3">
        <v>299.3</v>
      </c>
      <c r="X116" s="3">
        <f t="shared" ref="X116:X179" si="16">X115+V116</f>
        <v>51623.8</v>
      </c>
      <c r="AA116" s="3">
        <v>9.1280912473793894</v>
      </c>
    </row>
    <row r="117" spans="1:27" s="3" customFormat="1" x14ac:dyDescent="0.25">
      <c r="A117" s="61"/>
      <c r="B117" s="7"/>
      <c r="C117" s="8">
        <v>40502</v>
      </c>
      <c r="D117" s="3">
        <v>7.9</v>
      </c>
      <c r="E117" s="3">
        <v>6.9</v>
      </c>
      <c r="F117" s="3">
        <v>10.3</v>
      </c>
      <c r="G117" s="3">
        <f t="shared" si="12"/>
        <v>801.70000000000016</v>
      </c>
      <c r="J117" s="3">
        <v>0</v>
      </c>
      <c r="K117" s="3">
        <f t="shared" si="13"/>
        <v>193.49999999999997</v>
      </c>
      <c r="L117" s="3">
        <v>0.9</v>
      </c>
      <c r="M117" s="3">
        <f t="shared" si="14"/>
        <v>101.6</v>
      </c>
      <c r="N117" s="3">
        <v>-0.9</v>
      </c>
      <c r="O117" s="3">
        <f t="shared" si="9"/>
        <v>118.50000000000001</v>
      </c>
      <c r="P117" s="3">
        <v>68</v>
      </c>
      <c r="Q117" s="3">
        <f t="shared" si="8"/>
        <v>0.97833333333333339</v>
      </c>
      <c r="R117" s="10">
        <f t="shared" si="10"/>
        <v>0.88050000000000006</v>
      </c>
      <c r="S117" s="10">
        <f t="shared" si="11"/>
        <v>-0.88050000000000006</v>
      </c>
      <c r="T117" s="10">
        <f t="shared" si="15"/>
        <v>144.25541666666663</v>
      </c>
      <c r="V117" s="3">
        <v>393.4</v>
      </c>
      <c r="X117" s="3">
        <f t="shared" si="16"/>
        <v>52017.200000000004</v>
      </c>
      <c r="AA117" s="3">
        <v>9.0861236829689993</v>
      </c>
    </row>
    <row r="118" spans="1:27" s="3" customFormat="1" x14ac:dyDescent="0.25">
      <c r="A118" s="61"/>
      <c r="B118" s="7"/>
      <c r="C118" s="8">
        <v>40503</v>
      </c>
      <c r="D118" s="3">
        <v>6.5</v>
      </c>
      <c r="E118" s="3">
        <v>5.3</v>
      </c>
      <c r="F118" s="3">
        <v>8.4</v>
      </c>
      <c r="G118" s="3">
        <f t="shared" si="12"/>
        <v>808.20000000000016</v>
      </c>
      <c r="J118" s="3">
        <v>0.3</v>
      </c>
      <c r="K118" s="3">
        <f t="shared" si="13"/>
        <v>193.79999999999998</v>
      </c>
      <c r="L118" s="3">
        <v>0.4</v>
      </c>
      <c r="M118" s="3">
        <f t="shared" si="14"/>
        <v>102</v>
      </c>
      <c r="N118" s="3">
        <v>-0.10000000000000003</v>
      </c>
      <c r="O118" s="3">
        <f t="shared" si="9"/>
        <v>118.40000000000002</v>
      </c>
      <c r="P118" s="3">
        <v>69</v>
      </c>
      <c r="Q118" s="3">
        <f t="shared" si="8"/>
        <v>0.98916666666666664</v>
      </c>
      <c r="R118" s="10">
        <f t="shared" si="10"/>
        <v>0.39566666666666667</v>
      </c>
      <c r="S118" s="10">
        <f t="shared" si="11"/>
        <v>-9.5666666666666678E-2</v>
      </c>
      <c r="T118" s="10">
        <f t="shared" si="15"/>
        <v>144.15974999999997</v>
      </c>
      <c r="V118" s="3">
        <v>126.5</v>
      </c>
      <c r="X118" s="3">
        <f t="shared" si="16"/>
        <v>52143.700000000004</v>
      </c>
      <c r="AA118" s="3">
        <v>9.0450018856624599</v>
      </c>
    </row>
    <row r="119" spans="1:27" s="39" customFormat="1" ht="15.75" thickBot="1" x14ac:dyDescent="0.3">
      <c r="A119" s="61"/>
      <c r="B119" s="47"/>
      <c r="C119" s="48">
        <v>40504</v>
      </c>
      <c r="D119" s="39">
        <v>6.1</v>
      </c>
      <c r="E119" s="39">
        <v>5.0999999999999996</v>
      </c>
      <c r="F119" s="39">
        <v>8.6</v>
      </c>
      <c r="G119" s="39">
        <f t="shared" si="12"/>
        <v>814.30000000000018</v>
      </c>
      <c r="J119" s="39">
        <v>0.3</v>
      </c>
      <c r="K119" s="39">
        <f t="shared" si="13"/>
        <v>194.1</v>
      </c>
      <c r="L119" s="39">
        <v>0.4</v>
      </c>
      <c r="M119" s="39">
        <f t="shared" si="14"/>
        <v>102.4</v>
      </c>
      <c r="N119" s="39">
        <v>-0.10000000000000003</v>
      </c>
      <c r="O119" s="39">
        <f t="shared" si="9"/>
        <v>118.30000000000003</v>
      </c>
      <c r="P119" s="39">
        <v>70</v>
      </c>
      <c r="Q119" s="43">
        <f t="shared" si="8"/>
        <v>1</v>
      </c>
      <c r="R119" s="41">
        <f t="shared" si="10"/>
        <v>0.4</v>
      </c>
      <c r="S119" s="41">
        <f t="shared" si="11"/>
        <v>-0.10000000000000003</v>
      </c>
      <c r="T119" s="42">
        <f t="shared" si="15"/>
        <v>144.05974999999998</v>
      </c>
      <c r="V119" s="39">
        <v>256.89999999999998</v>
      </c>
      <c r="W119" s="39">
        <f>(X119/100)/I63</f>
        <v>0.64350485079209152</v>
      </c>
      <c r="X119" s="39">
        <f t="shared" si="16"/>
        <v>52400.600000000006</v>
      </c>
      <c r="AA119" s="43">
        <v>9.0047556574835408</v>
      </c>
    </row>
    <row r="120" spans="1:27" s="3" customFormat="1" x14ac:dyDescent="0.25">
      <c r="A120" s="62" t="s">
        <v>18</v>
      </c>
      <c r="B120" s="12"/>
      <c r="C120" s="13">
        <v>40505</v>
      </c>
      <c r="D120" s="3">
        <v>4.8</v>
      </c>
      <c r="E120" s="3">
        <v>3</v>
      </c>
      <c r="F120" s="3">
        <v>9.9</v>
      </c>
      <c r="G120" s="3">
        <f t="shared" si="12"/>
        <v>819.10000000000014</v>
      </c>
      <c r="H120" s="3">
        <v>4.8</v>
      </c>
      <c r="I120" s="14" t="s">
        <v>2</v>
      </c>
      <c r="J120" s="3">
        <v>0.1</v>
      </c>
      <c r="K120" s="3">
        <f t="shared" si="13"/>
        <v>194.2</v>
      </c>
      <c r="L120" s="3">
        <v>1</v>
      </c>
      <c r="M120" s="3">
        <f t="shared" si="14"/>
        <v>103.4</v>
      </c>
      <c r="N120" s="3">
        <v>-0.9</v>
      </c>
      <c r="O120" s="3">
        <f t="shared" si="9"/>
        <v>117.40000000000002</v>
      </c>
      <c r="P120" s="3">
        <v>71</v>
      </c>
      <c r="Q120" s="3">
        <v>1</v>
      </c>
      <c r="R120" s="10">
        <f t="shared" si="10"/>
        <v>1</v>
      </c>
      <c r="S120" s="10">
        <f t="shared" si="11"/>
        <v>-0.9</v>
      </c>
      <c r="T120" s="10">
        <f t="shared" si="15"/>
        <v>143.15974999999997</v>
      </c>
      <c r="U120" s="14" t="s">
        <v>3</v>
      </c>
      <c r="V120" s="3">
        <v>591.20000000000005</v>
      </c>
      <c r="X120" s="3">
        <f t="shared" si="16"/>
        <v>52991.8</v>
      </c>
      <c r="Y120" s="3">
        <f>V120</f>
        <v>591.20000000000005</v>
      </c>
      <c r="Z120" s="14" t="s">
        <v>4</v>
      </c>
      <c r="AA120" s="15">
        <v>8.9654150443073704</v>
      </c>
    </row>
    <row r="121" spans="1:27" s="3" customFormat="1" x14ac:dyDescent="0.25">
      <c r="A121" s="62"/>
      <c r="B121" s="12"/>
      <c r="C121" s="13">
        <v>40506</v>
      </c>
      <c r="D121" s="3">
        <v>4.3</v>
      </c>
      <c r="E121" s="3">
        <v>1</v>
      </c>
      <c r="F121" s="3">
        <v>7.5</v>
      </c>
      <c r="G121" s="3">
        <f t="shared" si="12"/>
        <v>823.40000000000009</v>
      </c>
      <c r="H121" s="3">
        <f>H120+D121</f>
        <v>9.1</v>
      </c>
      <c r="I121" s="3">
        <f>MIN(E120:E168)</f>
        <v>-5.9</v>
      </c>
      <c r="J121" s="3">
        <v>1.9</v>
      </c>
      <c r="K121" s="3">
        <f t="shared" si="13"/>
        <v>196.1</v>
      </c>
      <c r="L121" s="3">
        <v>0.2</v>
      </c>
      <c r="M121" s="3">
        <f t="shared" si="14"/>
        <v>103.60000000000001</v>
      </c>
      <c r="N121" s="3">
        <v>1.7</v>
      </c>
      <c r="O121" s="3">
        <f t="shared" si="9"/>
        <v>119.10000000000002</v>
      </c>
      <c r="P121" s="3">
        <v>72</v>
      </c>
      <c r="Q121" s="3">
        <v>1</v>
      </c>
      <c r="R121" s="10">
        <f t="shared" si="10"/>
        <v>0.2</v>
      </c>
      <c r="S121" s="10">
        <f t="shared" si="11"/>
        <v>1.7</v>
      </c>
      <c r="T121" s="10">
        <f t="shared" si="15"/>
        <v>144.85974999999996</v>
      </c>
      <c r="U121" s="3">
        <v>27</v>
      </c>
      <c r="V121" s="3">
        <v>283.10000000000002</v>
      </c>
      <c r="X121" s="3">
        <f t="shared" si="16"/>
        <v>53274.9</v>
      </c>
      <c r="Y121" s="3">
        <f>Y120+V121</f>
        <v>874.30000000000007</v>
      </c>
      <c r="Z121" s="3">
        <v>15716.799999999996</v>
      </c>
      <c r="AA121" s="15">
        <v>8.9270102793325297</v>
      </c>
    </row>
    <row r="122" spans="1:27" s="3" customFormat="1" x14ac:dyDescent="0.25">
      <c r="A122" s="62"/>
      <c r="B122" s="12"/>
      <c r="C122" s="13">
        <v>40507</v>
      </c>
      <c r="D122" s="3">
        <v>2.7</v>
      </c>
      <c r="E122" s="3">
        <v>1.1000000000000001</v>
      </c>
      <c r="F122" s="3">
        <v>5.4</v>
      </c>
      <c r="G122" s="3">
        <f t="shared" si="12"/>
        <v>826.10000000000014</v>
      </c>
      <c r="H122" s="3">
        <f t="shared" ref="H122:H185" si="17">H121+D122</f>
        <v>11.8</v>
      </c>
      <c r="I122" s="14" t="s">
        <v>5</v>
      </c>
      <c r="J122" s="3">
        <v>0</v>
      </c>
      <c r="K122" s="3">
        <f t="shared" si="13"/>
        <v>196.1</v>
      </c>
      <c r="L122" s="3">
        <v>0.5</v>
      </c>
      <c r="M122" s="3">
        <f t="shared" si="14"/>
        <v>104.10000000000001</v>
      </c>
      <c r="N122" s="3">
        <v>-0.5</v>
      </c>
      <c r="O122" s="3">
        <f t="shared" si="9"/>
        <v>118.60000000000002</v>
      </c>
      <c r="P122" s="3">
        <v>73</v>
      </c>
      <c r="Q122" s="3">
        <v>1</v>
      </c>
      <c r="R122" s="10">
        <f t="shared" si="10"/>
        <v>0.5</v>
      </c>
      <c r="S122" s="10">
        <f t="shared" si="11"/>
        <v>-0.5</v>
      </c>
      <c r="T122" s="10">
        <f t="shared" si="15"/>
        <v>144.35974999999996</v>
      </c>
      <c r="U122" s="14" t="s">
        <v>6</v>
      </c>
      <c r="V122" s="3">
        <v>511.3</v>
      </c>
      <c r="X122" s="3">
        <f t="shared" si="16"/>
        <v>53786.200000000004</v>
      </c>
      <c r="Y122" s="3">
        <f t="shared" ref="Y122:Y185" si="18">Y121+V122</f>
        <v>1385.6000000000001</v>
      </c>
      <c r="Z122" s="14" t="s">
        <v>7</v>
      </c>
      <c r="AA122" s="15">
        <v>8.8895717226579496</v>
      </c>
    </row>
    <row r="123" spans="1:27" s="3" customFormat="1" x14ac:dyDescent="0.25">
      <c r="A123" s="62"/>
      <c r="B123" s="12"/>
      <c r="C123" s="13">
        <v>40508</v>
      </c>
      <c r="D123" s="3">
        <v>1.5</v>
      </c>
      <c r="E123" s="3">
        <v>0.1</v>
      </c>
      <c r="F123" s="3">
        <v>4.5999999999999996</v>
      </c>
      <c r="G123" s="3">
        <f t="shared" si="12"/>
        <v>827.60000000000014</v>
      </c>
      <c r="H123" s="3">
        <f t="shared" si="17"/>
        <v>13.3</v>
      </c>
      <c r="I123" s="3">
        <f>MAX(F120:F168)</f>
        <v>12.8</v>
      </c>
      <c r="J123" s="3">
        <v>0</v>
      </c>
      <c r="K123" s="3">
        <f t="shared" si="13"/>
        <v>196.1</v>
      </c>
      <c r="L123" s="3">
        <v>0.4</v>
      </c>
      <c r="M123" s="3">
        <f t="shared" si="14"/>
        <v>104.50000000000001</v>
      </c>
      <c r="N123" s="3">
        <v>-0.4</v>
      </c>
      <c r="O123" s="3">
        <f t="shared" si="9"/>
        <v>118.20000000000002</v>
      </c>
      <c r="P123" s="3">
        <v>74</v>
      </c>
      <c r="Q123" s="3">
        <v>1</v>
      </c>
      <c r="R123" s="10">
        <f t="shared" si="10"/>
        <v>0.4</v>
      </c>
      <c r="S123" s="10">
        <f t="shared" si="11"/>
        <v>-0.4</v>
      </c>
      <c r="T123" s="10">
        <f t="shared" si="15"/>
        <v>143.95974999999996</v>
      </c>
      <c r="U123" s="3">
        <v>0</v>
      </c>
      <c r="V123" s="3">
        <v>499.2</v>
      </c>
      <c r="X123" s="3">
        <f t="shared" si="16"/>
        <v>54285.4</v>
      </c>
      <c r="Y123" s="3">
        <f t="shared" si="18"/>
        <v>1884.8000000000002</v>
      </c>
      <c r="Z123" s="3">
        <f>(Z121/100)/I133</f>
        <v>1.0470886075949364</v>
      </c>
      <c r="AA123" s="15">
        <v>8.8531297970460692</v>
      </c>
    </row>
    <row r="124" spans="1:27" s="3" customFormat="1" x14ac:dyDescent="0.25">
      <c r="A124" s="62"/>
      <c r="B124" s="12"/>
      <c r="C124" s="13">
        <v>40509</v>
      </c>
      <c r="D124" s="3">
        <v>0.9</v>
      </c>
      <c r="E124" s="3">
        <v>0.1</v>
      </c>
      <c r="F124" s="3">
        <v>2.5</v>
      </c>
      <c r="G124" s="3">
        <f t="shared" si="12"/>
        <v>828.50000000000011</v>
      </c>
      <c r="H124" s="3">
        <f t="shared" si="17"/>
        <v>14.200000000000001</v>
      </c>
      <c r="I124" s="14" t="s">
        <v>8</v>
      </c>
      <c r="J124" s="3">
        <v>0.2</v>
      </c>
      <c r="K124" s="3">
        <f t="shared" si="13"/>
        <v>196.29999999999998</v>
      </c>
      <c r="L124" s="3">
        <v>0.3</v>
      </c>
      <c r="M124" s="3">
        <f t="shared" si="14"/>
        <v>104.80000000000001</v>
      </c>
      <c r="N124" s="3">
        <v>-9.9999999999999978E-2</v>
      </c>
      <c r="O124" s="3">
        <f t="shared" si="9"/>
        <v>118.10000000000002</v>
      </c>
      <c r="P124" s="3">
        <v>75</v>
      </c>
      <c r="Q124" s="3">
        <v>1</v>
      </c>
      <c r="R124" s="10">
        <f t="shared" si="10"/>
        <v>0.3</v>
      </c>
      <c r="S124" s="10">
        <f t="shared" si="11"/>
        <v>-9.9999999999999978E-2</v>
      </c>
      <c r="T124" s="10">
        <f t="shared" si="15"/>
        <v>143.85974999999996</v>
      </c>
      <c r="U124" s="14" t="s">
        <v>9</v>
      </c>
      <c r="V124" s="3">
        <v>114.1</v>
      </c>
      <c r="X124" s="3">
        <f t="shared" si="16"/>
        <v>54399.5</v>
      </c>
      <c r="Y124" s="3">
        <f t="shared" si="18"/>
        <v>1998.9</v>
      </c>
      <c r="Z124" s="14" t="s">
        <v>10</v>
      </c>
      <c r="AA124" s="15">
        <v>8.8177149199891005</v>
      </c>
    </row>
    <row r="125" spans="1:27" s="3" customFormat="1" x14ac:dyDescent="0.25">
      <c r="A125" s="62"/>
      <c r="B125" s="12"/>
      <c r="C125" s="13">
        <v>40510</v>
      </c>
      <c r="D125" s="3">
        <v>0.4</v>
      </c>
      <c r="E125" s="3">
        <v>0.7</v>
      </c>
      <c r="F125" s="3">
        <v>1.5</v>
      </c>
      <c r="G125" s="3">
        <f t="shared" si="12"/>
        <v>828.90000000000009</v>
      </c>
      <c r="H125" s="3">
        <f t="shared" si="17"/>
        <v>14.600000000000001</v>
      </c>
      <c r="I125" s="10">
        <f>AVERAGE(D120:D168)</f>
        <v>2.8428571428571425</v>
      </c>
      <c r="J125" s="3">
        <v>0.6</v>
      </c>
      <c r="K125" s="3">
        <f t="shared" si="13"/>
        <v>196.89999999999998</v>
      </c>
      <c r="L125" s="3">
        <v>0.4</v>
      </c>
      <c r="M125" s="3">
        <f t="shared" si="14"/>
        <v>105.20000000000002</v>
      </c>
      <c r="N125" s="3">
        <v>0.19999999999999996</v>
      </c>
      <c r="O125" s="3">
        <f t="shared" si="9"/>
        <v>118.30000000000003</v>
      </c>
      <c r="P125" s="3">
        <v>76</v>
      </c>
      <c r="Q125" s="3">
        <v>1</v>
      </c>
      <c r="R125" s="10">
        <f t="shared" si="10"/>
        <v>0.4</v>
      </c>
      <c r="S125" s="10">
        <f t="shared" si="11"/>
        <v>0.19999999999999996</v>
      </c>
      <c r="T125" s="10">
        <f t="shared" si="15"/>
        <v>144.05974999999995</v>
      </c>
      <c r="U125" s="3">
        <v>0</v>
      </c>
      <c r="V125" s="3">
        <v>99.3</v>
      </c>
      <c r="X125" s="3">
        <f t="shared" si="16"/>
        <v>54498.8</v>
      </c>
      <c r="Y125" s="3">
        <f t="shared" si="18"/>
        <v>2098.2000000000003</v>
      </c>
      <c r="Z125" s="3">
        <v>49</v>
      </c>
      <c r="AA125" s="15">
        <v>8.7833574322332097</v>
      </c>
    </row>
    <row r="126" spans="1:27" s="3" customFormat="1" x14ac:dyDescent="0.25">
      <c r="A126" s="62"/>
      <c r="B126" s="12"/>
      <c r="C126" s="13">
        <v>40511</v>
      </c>
      <c r="D126" s="3">
        <v>-1.9</v>
      </c>
      <c r="E126" s="3">
        <v>-5</v>
      </c>
      <c r="F126" s="3">
        <v>3</v>
      </c>
      <c r="G126" s="3">
        <v>828.9</v>
      </c>
      <c r="H126" s="3">
        <v>14.6</v>
      </c>
      <c r="I126" s="14" t="s">
        <v>11</v>
      </c>
      <c r="J126" s="3">
        <v>0</v>
      </c>
      <c r="K126" s="3">
        <f t="shared" si="13"/>
        <v>196.89999999999998</v>
      </c>
      <c r="L126" s="3">
        <v>0.6</v>
      </c>
      <c r="M126" s="3">
        <f t="shared" si="14"/>
        <v>105.80000000000001</v>
      </c>
      <c r="N126" s="3">
        <v>-0.6</v>
      </c>
      <c r="O126" s="3">
        <f t="shared" si="9"/>
        <v>117.70000000000003</v>
      </c>
      <c r="P126" s="3">
        <v>77</v>
      </c>
      <c r="Q126" s="3">
        <v>1</v>
      </c>
      <c r="R126" s="10">
        <f t="shared" si="10"/>
        <v>0.6</v>
      </c>
      <c r="S126" s="10">
        <f t="shared" si="11"/>
        <v>-0.6</v>
      </c>
      <c r="T126" s="10">
        <f t="shared" si="15"/>
        <v>143.45974999999996</v>
      </c>
      <c r="U126" s="14" t="s">
        <v>12</v>
      </c>
      <c r="V126" s="3">
        <v>670.4</v>
      </c>
      <c r="X126" s="3">
        <f t="shared" si="16"/>
        <v>55169.200000000004</v>
      </c>
      <c r="Y126" s="3">
        <f t="shared" si="18"/>
        <v>2768.6000000000004</v>
      </c>
      <c r="AA126" s="15">
        <v>8.7500875229543809</v>
      </c>
    </row>
    <row r="127" spans="1:27" s="3" customFormat="1" x14ac:dyDescent="0.25">
      <c r="A127" s="62"/>
      <c r="B127" s="12"/>
      <c r="C127" s="13">
        <v>40512</v>
      </c>
      <c r="D127" s="3">
        <v>-2.1</v>
      </c>
      <c r="E127" s="3">
        <v>-4.8</v>
      </c>
      <c r="F127" s="3">
        <v>2.1</v>
      </c>
      <c r="G127" s="3">
        <v>828.9</v>
      </c>
      <c r="H127" s="3">
        <v>14.6</v>
      </c>
      <c r="I127" s="3">
        <v>21</v>
      </c>
      <c r="J127" s="3">
        <v>0</v>
      </c>
      <c r="K127" s="3">
        <f t="shared" si="13"/>
        <v>196.89999999999998</v>
      </c>
      <c r="L127" s="3">
        <v>0.7</v>
      </c>
      <c r="M127" s="3">
        <f t="shared" si="14"/>
        <v>106.50000000000001</v>
      </c>
      <c r="N127" s="3">
        <v>-0.7</v>
      </c>
      <c r="O127" s="3">
        <f t="shared" si="9"/>
        <v>117.00000000000003</v>
      </c>
      <c r="P127" s="3">
        <v>78</v>
      </c>
      <c r="Q127" s="3">
        <v>1</v>
      </c>
      <c r="R127" s="10">
        <f t="shared" si="10"/>
        <v>0.7</v>
      </c>
      <c r="S127" s="10">
        <f t="shared" si="11"/>
        <v>-0.7</v>
      </c>
      <c r="T127" s="10">
        <f t="shared" si="15"/>
        <v>142.75974999999997</v>
      </c>
      <c r="U127" s="10">
        <f>MIN(T120:T168)</f>
        <v>142.25974999999997</v>
      </c>
      <c r="V127" s="3">
        <v>572.29999999999995</v>
      </c>
      <c r="X127" s="3">
        <f t="shared" si="16"/>
        <v>55741.500000000007</v>
      </c>
      <c r="Y127" s="3">
        <f t="shared" si="18"/>
        <v>3340.9000000000005</v>
      </c>
      <c r="AA127" s="15">
        <v>8.7179351518204609</v>
      </c>
    </row>
    <row r="128" spans="1:27" s="3" customFormat="1" x14ac:dyDescent="0.25">
      <c r="A128" s="62"/>
      <c r="B128" s="12"/>
      <c r="C128" s="13">
        <v>40513</v>
      </c>
      <c r="D128" s="3">
        <v>-2.2999999999999998</v>
      </c>
      <c r="E128" s="3">
        <v>-5.0999999999999996</v>
      </c>
      <c r="F128" s="3">
        <v>0.2</v>
      </c>
      <c r="G128" s="3">
        <v>828.9</v>
      </c>
      <c r="H128" s="3">
        <v>14.6</v>
      </c>
      <c r="I128" s="14" t="s">
        <v>13</v>
      </c>
      <c r="J128" s="3">
        <v>0</v>
      </c>
      <c r="K128" s="3">
        <f t="shared" si="13"/>
        <v>196.89999999999998</v>
      </c>
      <c r="L128" s="3">
        <v>0.4</v>
      </c>
      <c r="M128" s="3">
        <f t="shared" si="14"/>
        <v>106.90000000000002</v>
      </c>
      <c r="N128" s="3">
        <v>-0.4</v>
      </c>
      <c r="O128" s="3">
        <f t="shared" si="9"/>
        <v>116.60000000000002</v>
      </c>
      <c r="P128" s="3">
        <v>79</v>
      </c>
      <c r="Q128" s="3">
        <v>1</v>
      </c>
      <c r="R128" s="10">
        <f t="shared" si="10"/>
        <v>0.4</v>
      </c>
      <c r="S128" s="10">
        <f t="shared" si="11"/>
        <v>-0.4</v>
      </c>
      <c r="T128" s="10">
        <f t="shared" si="15"/>
        <v>142.35974999999996</v>
      </c>
      <c r="U128" s="14" t="s">
        <v>14</v>
      </c>
      <c r="V128" s="3">
        <v>252.9</v>
      </c>
      <c r="X128" s="3">
        <f t="shared" si="16"/>
        <v>55994.400000000009</v>
      </c>
      <c r="Y128" s="3">
        <f t="shared" si="18"/>
        <v>3593.8000000000006</v>
      </c>
      <c r="AA128" s="15">
        <v>8.6869299682154892</v>
      </c>
    </row>
    <row r="129" spans="1:27" s="3" customFormat="1" x14ac:dyDescent="0.25">
      <c r="A129" s="62"/>
      <c r="B129" s="12"/>
      <c r="C129" s="13">
        <v>40514</v>
      </c>
      <c r="D129" s="3">
        <v>-1.2</v>
      </c>
      <c r="E129" s="3">
        <v>-2.7</v>
      </c>
      <c r="F129" s="3">
        <v>0.5</v>
      </c>
      <c r="G129" s="3">
        <v>828.9</v>
      </c>
      <c r="H129" s="3">
        <v>14.6</v>
      </c>
      <c r="I129" s="3">
        <v>0</v>
      </c>
      <c r="J129" s="3">
        <v>0</v>
      </c>
      <c r="K129" s="3">
        <f t="shared" si="13"/>
        <v>196.89999999999998</v>
      </c>
      <c r="L129" s="3">
        <v>0.1</v>
      </c>
      <c r="M129" s="3">
        <f t="shared" si="14"/>
        <v>107.00000000000001</v>
      </c>
      <c r="N129" s="3">
        <v>-0.1</v>
      </c>
      <c r="O129" s="3">
        <f t="shared" ref="O129:O192" si="19">O128+N129</f>
        <v>116.50000000000003</v>
      </c>
      <c r="P129" s="3">
        <v>80</v>
      </c>
      <c r="Q129" s="3">
        <v>1</v>
      </c>
      <c r="R129" s="10">
        <f t="shared" si="10"/>
        <v>0.1</v>
      </c>
      <c r="S129" s="10">
        <f t="shared" si="11"/>
        <v>-0.1</v>
      </c>
      <c r="T129" s="10">
        <f t="shared" si="15"/>
        <v>142.25974999999997</v>
      </c>
      <c r="U129" s="10">
        <f>MAX(T120:T168)</f>
        <v>197.4</v>
      </c>
      <c r="V129" s="3">
        <v>112.8</v>
      </c>
      <c r="X129" s="3">
        <f t="shared" si="16"/>
        <v>56107.200000000012</v>
      </c>
      <c r="Y129" s="3">
        <f t="shared" si="18"/>
        <v>3706.6000000000008</v>
      </c>
      <c r="AA129" s="15">
        <v>8.6571012279438708</v>
      </c>
    </row>
    <row r="130" spans="1:27" s="3" customFormat="1" x14ac:dyDescent="0.25">
      <c r="A130" s="62"/>
      <c r="B130" s="12"/>
      <c r="C130" s="13">
        <v>40515</v>
      </c>
      <c r="D130" s="3">
        <v>-0.3</v>
      </c>
      <c r="E130" s="3">
        <v>-1.3</v>
      </c>
      <c r="F130" s="3">
        <v>1.8</v>
      </c>
      <c r="G130" s="3">
        <v>828.9</v>
      </c>
      <c r="H130" s="3">
        <v>14.6</v>
      </c>
      <c r="I130" s="14" t="s">
        <v>15</v>
      </c>
      <c r="J130" s="3">
        <v>2.9</v>
      </c>
      <c r="K130" s="3">
        <f t="shared" si="13"/>
        <v>199.79999999999998</v>
      </c>
      <c r="L130" s="3">
        <v>0.4</v>
      </c>
      <c r="M130" s="3">
        <f t="shared" si="14"/>
        <v>107.40000000000002</v>
      </c>
      <c r="N130" s="3">
        <v>2.5</v>
      </c>
      <c r="O130" s="3">
        <f t="shared" si="19"/>
        <v>119.00000000000003</v>
      </c>
      <c r="P130" s="3">
        <v>81</v>
      </c>
      <c r="Q130" s="3">
        <v>1</v>
      </c>
      <c r="R130" s="10">
        <f t="shared" si="10"/>
        <v>0.4</v>
      </c>
      <c r="S130" s="10">
        <f t="shared" si="11"/>
        <v>2.5</v>
      </c>
      <c r="T130" s="10">
        <f t="shared" si="15"/>
        <v>144.75974999999997</v>
      </c>
      <c r="U130" s="14" t="s">
        <v>16</v>
      </c>
      <c r="V130" s="3">
        <v>384.2</v>
      </c>
      <c r="X130" s="3">
        <f t="shared" si="16"/>
        <v>56491.400000000009</v>
      </c>
      <c r="Y130" s="3">
        <f t="shared" si="18"/>
        <v>4090.8000000000006</v>
      </c>
      <c r="AA130" s="15">
        <v>8.6284777077740902</v>
      </c>
    </row>
    <row r="131" spans="1:27" s="3" customFormat="1" x14ac:dyDescent="0.25">
      <c r="A131" s="62"/>
      <c r="B131" s="12"/>
      <c r="C131" s="13">
        <v>40516</v>
      </c>
      <c r="D131" s="3">
        <v>4.5999999999999996</v>
      </c>
      <c r="E131" s="3">
        <v>-0.8</v>
      </c>
      <c r="F131" s="3">
        <v>7.3</v>
      </c>
      <c r="G131" s="3">
        <f t="shared" si="12"/>
        <v>833.5</v>
      </c>
      <c r="H131" s="3">
        <f t="shared" si="17"/>
        <v>19.2</v>
      </c>
      <c r="I131" s="3">
        <v>24</v>
      </c>
      <c r="J131" s="3">
        <v>5</v>
      </c>
      <c r="K131" s="3">
        <f t="shared" si="13"/>
        <v>204.79999999999998</v>
      </c>
      <c r="L131" s="3">
        <v>0.1</v>
      </c>
      <c r="M131" s="3">
        <f t="shared" si="14"/>
        <v>107.50000000000001</v>
      </c>
      <c r="N131" s="3">
        <v>4.9000000000000004</v>
      </c>
      <c r="O131" s="3">
        <f t="shared" si="19"/>
        <v>123.90000000000003</v>
      </c>
      <c r="P131" s="3">
        <v>82</v>
      </c>
      <c r="Q131" s="3">
        <v>1</v>
      </c>
      <c r="R131" s="10">
        <f t="shared" si="10"/>
        <v>0.1</v>
      </c>
      <c r="S131" s="10">
        <f t="shared" si="11"/>
        <v>4.9000000000000004</v>
      </c>
      <c r="T131" s="10">
        <f t="shared" si="15"/>
        <v>149.65974999999997</v>
      </c>
      <c r="U131" s="18">
        <f>AVERAGE(T120:T168)</f>
        <v>165.92630102040812</v>
      </c>
      <c r="V131" s="3">
        <v>287.7</v>
      </c>
      <c r="X131" s="3">
        <f t="shared" si="16"/>
        <v>56779.100000000006</v>
      </c>
      <c r="Y131" s="3">
        <f t="shared" si="18"/>
        <v>4378.5000000000009</v>
      </c>
      <c r="AA131" s="15">
        <v>8.6010876182217704</v>
      </c>
    </row>
    <row r="132" spans="1:27" s="3" customFormat="1" x14ac:dyDescent="0.25">
      <c r="A132" s="62"/>
      <c r="B132" s="12"/>
      <c r="C132" s="13">
        <v>40517</v>
      </c>
      <c r="D132" s="3">
        <v>3.8</v>
      </c>
      <c r="E132" s="3">
        <v>2.5</v>
      </c>
      <c r="F132" s="3">
        <v>4.5</v>
      </c>
      <c r="G132" s="3">
        <f t="shared" si="12"/>
        <v>837.3</v>
      </c>
      <c r="H132" s="3">
        <f t="shared" si="17"/>
        <v>23</v>
      </c>
      <c r="I132" s="14" t="s">
        <v>17</v>
      </c>
      <c r="J132" s="3">
        <v>2.8</v>
      </c>
      <c r="K132" s="3">
        <f t="shared" si="13"/>
        <v>207.6</v>
      </c>
      <c r="L132" s="3">
        <v>0.1</v>
      </c>
      <c r="M132" s="3">
        <f t="shared" si="14"/>
        <v>107.60000000000001</v>
      </c>
      <c r="N132" s="3">
        <v>2.6999999999999997</v>
      </c>
      <c r="O132" s="3">
        <f t="shared" si="19"/>
        <v>126.60000000000004</v>
      </c>
      <c r="P132" s="3">
        <v>83</v>
      </c>
      <c r="Q132" s="3">
        <v>1</v>
      </c>
      <c r="R132" s="10">
        <f t="shared" si="10"/>
        <v>0.1</v>
      </c>
      <c r="S132" s="10">
        <f t="shared" si="11"/>
        <v>2.6999999999999997</v>
      </c>
      <c r="T132" s="10">
        <f t="shared" si="15"/>
        <v>152.35974999999996</v>
      </c>
      <c r="U132" s="14" t="s">
        <v>19</v>
      </c>
      <c r="V132" s="3">
        <v>85.6</v>
      </c>
      <c r="X132" s="3">
        <f t="shared" si="16"/>
        <v>56864.700000000004</v>
      </c>
      <c r="Y132" s="3">
        <f t="shared" si="18"/>
        <v>4464.1000000000013</v>
      </c>
      <c r="AA132" s="15">
        <v>8.5749585150120193</v>
      </c>
    </row>
    <row r="133" spans="1:27" s="3" customFormat="1" x14ac:dyDescent="0.25">
      <c r="A133" s="62"/>
      <c r="B133" s="12"/>
      <c r="C133" s="13">
        <v>40518</v>
      </c>
      <c r="D133" s="3">
        <v>3.3</v>
      </c>
      <c r="E133" s="3">
        <v>3.4</v>
      </c>
      <c r="F133" s="3">
        <v>4.3</v>
      </c>
      <c r="G133" s="3">
        <f t="shared" si="12"/>
        <v>840.59999999999991</v>
      </c>
      <c r="H133" s="3">
        <f t="shared" si="17"/>
        <v>26.3</v>
      </c>
      <c r="I133" s="3">
        <v>150.1</v>
      </c>
      <c r="J133" s="3">
        <v>0.5</v>
      </c>
      <c r="K133" s="3">
        <f t="shared" si="13"/>
        <v>208.1</v>
      </c>
      <c r="L133" s="3">
        <v>0.5</v>
      </c>
      <c r="M133" s="3">
        <f t="shared" si="14"/>
        <v>108.10000000000001</v>
      </c>
      <c r="N133" s="3">
        <v>0</v>
      </c>
      <c r="O133" s="3">
        <f t="shared" si="19"/>
        <v>126.60000000000004</v>
      </c>
      <c r="P133" s="3">
        <v>84</v>
      </c>
      <c r="Q133" s="3">
        <v>1</v>
      </c>
      <c r="R133" s="10">
        <f t="shared" si="10"/>
        <v>0.5</v>
      </c>
      <c r="S133" s="10">
        <f t="shared" si="11"/>
        <v>0</v>
      </c>
      <c r="T133" s="10">
        <f t="shared" si="15"/>
        <v>152.35974999999996</v>
      </c>
      <c r="U133" s="10">
        <v>45</v>
      </c>
      <c r="V133" s="3">
        <v>112.8</v>
      </c>
      <c r="X133" s="3">
        <f t="shared" si="16"/>
        <v>56977.500000000007</v>
      </c>
      <c r="Y133" s="3">
        <f t="shared" si="18"/>
        <v>4576.9000000000015</v>
      </c>
      <c r="AA133" s="15">
        <v>8.5501172096972606</v>
      </c>
    </row>
    <row r="134" spans="1:27" s="3" customFormat="1" x14ac:dyDescent="0.25">
      <c r="A134" s="62"/>
      <c r="B134" s="12"/>
      <c r="C134" s="13">
        <v>40519</v>
      </c>
      <c r="D134" s="3">
        <v>1.9</v>
      </c>
      <c r="E134" s="3">
        <v>0.6</v>
      </c>
      <c r="F134" s="3">
        <v>3.2</v>
      </c>
      <c r="G134" s="3">
        <f t="shared" si="12"/>
        <v>842.49999999999989</v>
      </c>
      <c r="H134" s="3">
        <f t="shared" si="17"/>
        <v>28.2</v>
      </c>
      <c r="J134" s="3">
        <v>2.7</v>
      </c>
      <c r="K134" s="3">
        <f t="shared" si="13"/>
        <v>210.79999999999998</v>
      </c>
      <c r="L134" s="3">
        <v>0.2</v>
      </c>
      <c r="M134" s="3">
        <f t="shared" si="14"/>
        <v>108.30000000000001</v>
      </c>
      <c r="N134" s="3">
        <v>2.5</v>
      </c>
      <c r="O134" s="3">
        <f t="shared" si="19"/>
        <v>129.10000000000002</v>
      </c>
      <c r="P134" s="3">
        <v>85</v>
      </c>
      <c r="Q134" s="3">
        <v>1</v>
      </c>
      <c r="R134" s="10">
        <f t="shared" si="10"/>
        <v>0.2</v>
      </c>
      <c r="S134" s="10">
        <f t="shared" si="11"/>
        <v>2.5</v>
      </c>
      <c r="T134" s="10">
        <f t="shared" si="15"/>
        <v>154.85974999999996</v>
      </c>
      <c r="V134" s="3">
        <v>132.69999999999999</v>
      </c>
      <c r="X134" s="3">
        <f t="shared" si="16"/>
        <v>57110.200000000004</v>
      </c>
      <c r="Y134" s="3">
        <f t="shared" si="18"/>
        <v>4709.6000000000013</v>
      </c>
      <c r="AA134" s="15">
        <v>8.5265896799417202</v>
      </c>
    </row>
    <row r="135" spans="1:27" s="3" customFormat="1" x14ac:dyDescent="0.25">
      <c r="A135" s="62"/>
      <c r="B135" s="12"/>
      <c r="C135" s="13">
        <v>40520</v>
      </c>
      <c r="D135" s="3">
        <v>2.7</v>
      </c>
      <c r="E135" s="3">
        <v>2.1</v>
      </c>
      <c r="F135" s="3">
        <v>3.9</v>
      </c>
      <c r="G135" s="3">
        <f t="shared" si="12"/>
        <v>845.19999999999993</v>
      </c>
      <c r="H135" s="3">
        <f t="shared" si="17"/>
        <v>30.9</v>
      </c>
      <c r="J135" s="3">
        <v>4.5999999999999996</v>
      </c>
      <c r="K135" s="3">
        <f t="shared" si="13"/>
        <v>215.39999999999998</v>
      </c>
      <c r="L135" s="3">
        <v>0.4</v>
      </c>
      <c r="M135" s="3">
        <f t="shared" si="14"/>
        <v>108.70000000000002</v>
      </c>
      <c r="N135" s="3">
        <v>4.1999999999999993</v>
      </c>
      <c r="O135" s="3">
        <f t="shared" si="19"/>
        <v>133.30000000000001</v>
      </c>
      <c r="P135" s="3">
        <v>86</v>
      </c>
      <c r="Q135" s="3">
        <v>1</v>
      </c>
      <c r="R135" s="10">
        <f t="shared" si="10"/>
        <v>0.4</v>
      </c>
      <c r="S135" s="10">
        <f t="shared" si="11"/>
        <v>4.1999999999999993</v>
      </c>
      <c r="T135" s="10">
        <f t="shared" si="15"/>
        <v>159.05974999999995</v>
      </c>
      <c r="U135" s="10">
        <f>(U131*100)/197.4</f>
        <v>84.055876910034513</v>
      </c>
      <c r="V135" s="3">
        <v>92.9</v>
      </c>
      <c r="X135" s="3">
        <f t="shared" si="16"/>
        <v>57203.100000000006</v>
      </c>
      <c r="Y135" s="3">
        <f t="shared" si="18"/>
        <v>4802.5000000000009</v>
      </c>
      <c r="AA135" s="15">
        <v>8.5044009800137506</v>
      </c>
    </row>
    <row r="136" spans="1:27" s="3" customFormat="1" x14ac:dyDescent="0.25">
      <c r="A136" s="62"/>
      <c r="B136" s="12"/>
      <c r="C136" s="13">
        <v>40521</v>
      </c>
      <c r="D136" s="3">
        <v>1.5</v>
      </c>
      <c r="E136" s="3">
        <v>-0.2</v>
      </c>
      <c r="F136" s="3">
        <v>6.2</v>
      </c>
      <c r="G136" s="3">
        <f t="shared" si="12"/>
        <v>846.69999999999993</v>
      </c>
      <c r="H136" s="3">
        <f t="shared" si="17"/>
        <v>32.4</v>
      </c>
      <c r="J136" s="3">
        <v>0</v>
      </c>
      <c r="K136" s="3">
        <f t="shared" si="13"/>
        <v>215.39999999999998</v>
      </c>
      <c r="L136" s="3">
        <v>1</v>
      </c>
      <c r="M136" s="3">
        <f t="shared" si="14"/>
        <v>109.70000000000002</v>
      </c>
      <c r="N136" s="3">
        <v>-1</v>
      </c>
      <c r="O136" s="3">
        <f t="shared" si="19"/>
        <v>132.30000000000001</v>
      </c>
      <c r="P136" s="3">
        <v>87</v>
      </c>
      <c r="Q136" s="3">
        <v>1</v>
      </c>
      <c r="R136" s="10">
        <f t="shared" si="10"/>
        <v>1</v>
      </c>
      <c r="S136" s="10">
        <f t="shared" si="11"/>
        <v>-1</v>
      </c>
      <c r="T136" s="10">
        <f t="shared" si="15"/>
        <v>158.05974999999995</v>
      </c>
      <c r="V136" s="3">
        <v>685.4</v>
      </c>
      <c r="X136" s="3">
        <f t="shared" si="16"/>
        <v>57888.500000000007</v>
      </c>
      <c r="Y136" s="3">
        <f t="shared" si="18"/>
        <v>5487.9000000000005</v>
      </c>
      <c r="AA136" s="15">
        <v>8.4835751520538096</v>
      </c>
    </row>
    <row r="137" spans="1:27" s="3" customFormat="1" x14ac:dyDescent="0.25">
      <c r="A137" s="62"/>
      <c r="B137" s="12"/>
      <c r="C137" s="13">
        <v>40522</v>
      </c>
      <c r="D137" s="3">
        <v>2.9</v>
      </c>
      <c r="E137" s="3">
        <v>-1.2</v>
      </c>
      <c r="F137" s="3">
        <v>5.4</v>
      </c>
      <c r="G137" s="3">
        <f t="shared" si="12"/>
        <v>849.59999999999991</v>
      </c>
      <c r="H137" s="3">
        <f t="shared" si="17"/>
        <v>35.299999999999997</v>
      </c>
      <c r="J137" s="3">
        <v>0</v>
      </c>
      <c r="K137" s="3">
        <f t="shared" si="13"/>
        <v>215.39999999999998</v>
      </c>
      <c r="L137" s="3">
        <v>0.3</v>
      </c>
      <c r="M137" s="3">
        <f t="shared" si="14"/>
        <v>110.00000000000001</v>
      </c>
      <c r="N137" s="3">
        <v>-0.3</v>
      </c>
      <c r="O137" s="3">
        <f t="shared" si="19"/>
        <v>132</v>
      </c>
      <c r="P137" s="3">
        <v>88</v>
      </c>
      <c r="Q137" s="3">
        <v>1</v>
      </c>
      <c r="R137" s="10">
        <f t="shared" si="10"/>
        <v>0.3</v>
      </c>
      <c r="S137" s="10">
        <f t="shared" si="11"/>
        <v>-0.3</v>
      </c>
      <c r="T137" s="10">
        <f t="shared" si="15"/>
        <v>157.75974999999994</v>
      </c>
      <c r="V137" s="3">
        <v>157.9</v>
      </c>
      <c r="X137" s="3">
        <f t="shared" si="16"/>
        <v>58046.400000000009</v>
      </c>
      <c r="Y137" s="3">
        <f t="shared" si="18"/>
        <v>5645.8</v>
      </c>
      <c r="AA137" s="15">
        <v>8.4641351387067392</v>
      </c>
    </row>
    <row r="138" spans="1:27" s="3" customFormat="1" x14ac:dyDescent="0.25">
      <c r="A138" s="62"/>
      <c r="B138" s="12"/>
      <c r="C138" s="13">
        <v>40523</v>
      </c>
      <c r="D138" s="3">
        <v>5.9</v>
      </c>
      <c r="E138" s="3">
        <v>4</v>
      </c>
      <c r="F138" s="3">
        <v>7.5</v>
      </c>
      <c r="G138" s="3">
        <f t="shared" si="12"/>
        <v>855.49999999999989</v>
      </c>
      <c r="H138" s="3">
        <f t="shared" si="17"/>
        <v>41.199999999999996</v>
      </c>
      <c r="J138" s="3">
        <v>0</v>
      </c>
      <c r="K138" s="3">
        <f t="shared" si="13"/>
        <v>215.39999999999998</v>
      </c>
      <c r="L138" s="3">
        <v>0.3</v>
      </c>
      <c r="M138" s="3">
        <f t="shared" si="14"/>
        <v>110.30000000000001</v>
      </c>
      <c r="N138" s="3">
        <v>-0.3</v>
      </c>
      <c r="O138" s="3">
        <f t="shared" si="19"/>
        <v>131.69999999999999</v>
      </c>
      <c r="P138" s="3">
        <v>89</v>
      </c>
      <c r="Q138" s="3">
        <v>1</v>
      </c>
      <c r="R138" s="10">
        <f t="shared" si="10"/>
        <v>0.3</v>
      </c>
      <c r="S138" s="10">
        <f t="shared" si="11"/>
        <v>-0.3</v>
      </c>
      <c r="T138" s="10">
        <f t="shared" si="15"/>
        <v>157.45974999999993</v>
      </c>
      <c r="V138" s="3">
        <v>106.8</v>
      </c>
      <c r="X138" s="3">
        <f t="shared" si="16"/>
        <v>58153.200000000012</v>
      </c>
      <c r="Y138" s="3">
        <f t="shared" si="18"/>
        <v>5752.6</v>
      </c>
      <c r="AA138" s="15">
        <v>8.4461026977227203</v>
      </c>
    </row>
    <row r="139" spans="1:27" s="3" customFormat="1" x14ac:dyDescent="0.25">
      <c r="A139" s="62"/>
      <c r="B139" s="12"/>
      <c r="C139" s="13">
        <v>40524</v>
      </c>
      <c r="D139" s="3">
        <v>5.2</v>
      </c>
      <c r="E139" s="3">
        <v>4.5</v>
      </c>
      <c r="F139" s="3">
        <v>7.9</v>
      </c>
      <c r="G139" s="3">
        <f t="shared" si="12"/>
        <v>860.69999999999993</v>
      </c>
      <c r="H139" s="3">
        <f t="shared" si="17"/>
        <v>46.4</v>
      </c>
      <c r="J139" s="3">
        <v>0</v>
      </c>
      <c r="K139" s="3">
        <f t="shared" si="13"/>
        <v>215.39999999999998</v>
      </c>
      <c r="L139" s="3">
        <v>0.9</v>
      </c>
      <c r="M139" s="3">
        <f t="shared" si="14"/>
        <v>111.20000000000002</v>
      </c>
      <c r="N139" s="3">
        <v>-0.9</v>
      </c>
      <c r="O139" s="3">
        <f t="shared" si="19"/>
        <v>130.79999999999998</v>
      </c>
      <c r="P139" s="3">
        <v>90</v>
      </c>
      <c r="Q139" s="3">
        <v>1</v>
      </c>
      <c r="R139" s="10">
        <f t="shared" si="10"/>
        <v>0.9</v>
      </c>
      <c r="S139" s="10">
        <f t="shared" si="11"/>
        <v>-0.9</v>
      </c>
      <c r="T139" s="10">
        <f t="shared" si="15"/>
        <v>156.55974999999992</v>
      </c>
      <c r="V139" s="3">
        <v>509.5</v>
      </c>
      <c r="X139" s="3">
        <f t="shared" si="16"/>
        <v>58662.700000000012</v>
      </c>
      <c r="Y139" s="3">
        <f t="shared" si="18"/>
        <v>6262.1</v>
      </c>
      <c r="AA139" s="15">
        <v>8.4294983191401904</v>
      </c>
    </row>
    <row r="140" spans="1:27" s="3" customFormat="1" x14ac:dyDescent="0.25">
      <c r="A140" s="62"/>
      <c r="B140" s="12"/>
      <c r="C140" s="13">
        <v>40525</v>
      </c>
      <c r="D140" s="3">
        <v>0.4</v>
      </c>
      <c r="E140" s="3">
        <v>-0.4</v>
      </c>
      <c r="F140" s="3">
        <v>3.5</v>
      </c>
      <c r="G140" s="3">
        <f t="shared" si="12"/>
        <v>861.09999999999991</v>
      </c>
      <c r="H140" s="3">
        <f t="shared" si="17"/>
        <v>46.8</v>
      </c>
      <c r="J140" s="3">
        <v>0</v>
      </c>
      <c r="K140" s="3">
        <f t="shared" si="13"/>
        <v>215.39999999999998</v>
      </c>
      <c r="L140" s="3">
        <v>0.8</v>
      </c>
      <c r="M140" s="3">
        <f t="shared" si="14"/>
        <v>112.00000000000001</v>
      </c>
      <c r="N140" s="3">
        <v>-0.8</v>
      </c>
      <c r="O140" s="3">
        <f t="shared" si="19"/>
        <v>129.99999999999997</v>
      </c>
      <c r="P140" s="3">
        <v>91</v>
      </c>
      <c r="Q140" s="3">
        <v>1</v>
      </c>
      <c r="R140" s="10">
        <f t="shared" si="10"/>
        <v>0.8</v>
      </c>
      <c r="S140" s="10">
        <f t="shared" si="11"/>
        <v>-0.8</v>
      </c>
      <c r="T140" s="10">
        <f t="shared" si="15"/>
        <v>155.75974999999991</v>
      </c>
      <c r="V140" s="3">
        <v>664.8</v>
      </c>
      <c r="X140" s="3">
        <f t="shared" si="16"/>
        <v>59327.500000000015</v>
      </c>
      <c r="Y140" s="3">
        <f t="shared" si="18"/>
        <v>6926.9000000000005</v>
      </c>
      <c r="AA140" s="15">
        <v>8.4143411456663699</v>
      </c>
    </row>
    <row r="141" spans="1:27" s="3" customFormat="1" x14ac:dyDescent="0.25">
      <c r="A141" s="62"/>
      <c r="B141" s="12"/>
      <c r="C141" s="13">
        <v>40526</v>
      </c>
      <c r="D141" s="3">
        <v>1.2</v>
      </c>
      <c r="E141" s="3">
        <v>-3.6</v>
      </c>
      <c r="F141" s="3">
        <v>7.8</v>
      </c>
      <c r="G141" s="3">
        <f t="shared" si="12"/>
        <v>862.3</v>
      </c>
      <c r="H141" s="3">
        <f t="shared" si="17"/>
        <v>48</v>
      </c>
      <c r="J141" s="3">
        <v>0</v>
      </c>
      <c r="K141" s="3">
        <f t="shared" si="13"/>
        <v>215.39999999999998</v>
      </c>
      <c r="L141" s="3">
        <v>0.7</v>
      </c>
      <c r="M141" s="3">
        <f t="shared" si="14"/>
        <v>112.70000000000002</v>
      </c>
      <c r="N141" s="3">
        <v>-0.7</v>
      </c>
      <c r="O141" s="3">
        <f t="shared" si="19"/>
        <v>129.29999999999998</v>
      </c>
      <c r="P141" s="3">
        <v>92</v>
      </c>
      <c r="Q141" s="3">
        <v>1</v>
      </c>
      <c r="R141" s="10">
        <f t="shared" si="10"/>
        <v>0.7</v>
      </c>
      <c r="S141" s="10">
        <f t="shared" si="11"/>
        <v>-0.7</v>
      </c>
      <c r="T141" s="10">
        <f t="shared" si="15"/>
        <v>155.05974999999992</v>
      </c>
      <c r="V141" s="3">
        <v>357.9</v>
      </c>
      <c r="X141" s="3">
        <f t="shared" si="16"/>
        <v>59685.400000000016</v>
      </c>
      <c r="Y141" s="3">
        <f t="shared" si="18"/>
        <v>7284.8</v>
      </c>
      <c r="AA141" s="15">
        <v>8.4006488968663096</v>
      </c>
    </row>
    <row r="142" spans="1:27" s="3" customFormat="1" x14ac:dyDescent="0.25">
      <c r="A142" s="62"/>
      <c r="B142" s="12"/>
      <c r="C142" s="13">
        <v>40527</v>
      </c>
      <c r="D142" s="3">
        <v>-0.8</v>
      </c>
      <c r="E142" s="3">
        <v>-3.7</v>
      </c>
      <c r="F142" s="3">
        <v>2.8</v>
      </c>
      <c r="G142" s="3">
        <v>862.3</v>
      </c>
      <c r="H142" s="3">
        <v>48</v>
      </c>
      <c r="J142" s="3">
        <v>0.5</v>
      </c>
      <c r="K142" s="3">
        <f t="shared" si="13"/>
        <v>215.89999999999998</v>
      </c>
      <c r="L142" s="3">
        <v>0.2</v>
      </c>
      <c r="M142" s="3">
        <f t="shared" si="14"/>
        <v>112.90000000000002</v>
      </c>
      <c r="N142" s="3">
        <v>0.3</v>
      </c>
      <c r="O142" s="3">
        <f t="shared" si="19"/>
        <v>129.6</v>
      </c>
      <c r="P142" s="3">
        <v>93</v>
      </c>
      <c r="Q142" s="3">
        <v>1</v>
      </c>
      <c r="R142" s="10">
        <f t="shared" si="10"/>
        <v>0.2</v>
      </c>
      <c r="S142" s="10">
        <f t="shared" si="11"/>
        <v>0.3</v>
      </c>
      <c r="T142" s="10">
        <f t="shared" si="15"/>
        <v>155.35974999999993</v>
      </c>
      <c r="V142" s="3">
        <v>292.7</v>
      </c>
      <c r="X142" s="3">
        <f t="shared" si="16"/>
        <v>59978.100000000013</v>
      </c>
      <c r="Y142" s="3">
        <f t="shared" si="18"/>
        <v>7577.5</v>
      </c>
      <c r="AA142" s="15">
        <v>8.3884377977584599</v>
      </c>
    </row>
    <row r="143" spans="1:27" s="3" customFormat="1" x14ac:dyDescent="0.25">
      <c r="A143" s="62"/>
      <c r="B143" s="12"/>
      <c r="C143" s="13">
        <v>40528</v>
      </c>
      <c r="D143" s="3">
        <v>4.0999999999999996</v>
      </c>
      <c r="E143" s="3">
        <v>-0.5</v>
      </c>
      <c r="F143" s="3">
        <v>6</v>
      </c>
      <c r="G143" s="3">
        <f t="shared" si="12"/>
        <v>866.4</v>
      </c>
      <c r="H143" s="3">
        <f t="shared" si="17"/>
        <v>52.1</v>
      </c>
      <c r="J143" s="3">
        <v>4.5999999999999996</v>
      </c>
      <c r="K143" s="3">
        <f t="shared" si="13"/>
        <v>220.49999999999997</v>
      </c>
      <c r="L143" s="3">
        <v>0</v>
      </c>
      <c r="M143" s="3">
        <f t="shared" si="14"/>
        <v>112.90000000000002</v>
      </c>
      <c r="N143" s="3">
        <v>4.5999999999999996</v>
      </c>
      <c r="O143" s="3">
        <f t="shared" si="19"/>
        <v>134.19999999999999</v>
      </c>
      <c r="P143" s="3">
        <v>94</v>
      </c>
      <c r="Q143" s="3">
        <v>1</v>
      </c>
      <c r="R143" s="10">
        <f t="shared" si="10"/>
        <v>0</v>
      </c>
      <c r="S143" s="10">
        <f t="shared" si="11"/>
        <v>4.5999999999999996</v>
      </c>
      <c r="T143" s="10">
        <f t="shared" si="15"/>
        <v>159.95974999999993</v>
      </c>
      <c r="V143" s="3">
        <v>92.1</v>
      </c>
      <c r="X143" s="3">
        <f t="shared" si="16"/>
        <v>60070.200000000012</v>
      </c>
      <c r="Y143" s="3">
        <f t="shared" si="18"/>
        <v>7669.6</v>
      </c>
      <c r="AA143" s="15">
        <v>8.3777225123951595</v>
      </c>
    </row>
    <row r="144" spans="1:27" s="3" customFormat="1" x14ac:dyDescent="0.25">
      <c r="A144" s="62"/>
      <c r="B144" s="12"/>
      <c r="C144" s="13">
        <v>40529</v>
      </c>
      <c r="D144" s="3">
        <v>0.5</v>
      </c>
      <c r="E144" s="3">
        <v>-1.1000000000000001</v>
      </c>
      <c r="F144" s="3">
        <v>2.5</v>
      </c>
      <c r="G144" s="3">
        <f t="shared" si="12"/>
        <v>866.9</v>
      </c>
      <c r="H144" s="3">
        <f t="shared" si="17"/>
        <v>52.6</v>
      </c>
      <c r="J144" s="3">
        <v>0</v>
      </c>
      <c r="K144" s="3">
        <f t="shared" si="13"/>
        <v>220.49999999999997</v>
      </c>
      <c r="L144" s="3">
        <v>0.5</v>
      </c>
      <c r="M144" s="3">
        <f t="shared" si="14"/>
        <v>113.40000000000002</v>
      </c>
      <c r="N144" s="3">
        <v>-0.5</v>
      </c>
      <c r="O144" s="3">
        <f t="shared" si="19"/>
        <v>133.69999999999999</v>
      </c>
      <c r="P144" s="3">
        <v>95</v>
      </c>
      <c r="Q144" s="3">
        <v>1</v>
      </c>
      <c r="R144" s="10">
        <f t="shared" si="10"/>
        <v>0.5</v>
      </c>
      <c r="S144" s="10">
        <f t="shared" si="11"/>
        <v>-0.5</v>
      </c>
      <c r="T144" s="10">
        <f t="shared" si="15"/>
        <v>159.45974999999993</v>
      </c>
      <c r="V144" s="3">
        <v>548.9</v>
      </c>
      <c r="X144" s="3">
        <f t="shared" si="16"/>
        <v>60619.100000000013</v>
      </c>
      <c r="Y144" s="3">
        <f t="shared" si="18"/>
        <v>8218.5</v>
      </c>
      <c r="AA144" s="15">
        <v>8.3685160829780205</v>
      </c>
    </row>
    <row r="145" spans="1:27" s="3" customFormat="1" x14ac:dyDescent="0.25">
      <c r="A145" s="62"/>
      <c r="B145" s="12"/>
      <c r="C145" s="13">
        <v>40530</v>
      </c>
      <c r="D145" s="3">
        <v>0.1</v>
      </c>
      <c r="E145" s="3">
        <v>-1.5</v>
      </c>
      <c r="F145" s="3">
        <v>1.4</v>
      </c>
      <c r="G145" s="3">
        <f t="shared" si="12"/>
        <v>867</v>
      </c>
      <c r="H145" s="3">
        <f t="shared" si="17"/>
        <v>52.7</v>
      </c>
      <c r="J145" s="3">
        <v>2.9</v>
      </c>
      <c r="K145" s="3">
        <f t="shared" si="13"/>
        <v>223.39999999999998</v>
      </c>
      <c r="L145" s="3">
        <v>0.1</v>
      </c>
      <c r="M145" s="3">
        <f t="shared" si="14"/>
        <v>113.50000000000001</v>
      </c>
      <c r="N145" s="3">
        <v>2.8</v>
      </c>
      <c r="O145" s="3">
        <f t="shared" si="19"/>
        <v>136.5</v>
      </c>
      <c r="P145" s="3">
        <v>96</v>
      </c>
      <c r="Q145" s="3">
        <v>1</v>
      </c>
      <c r="R145" s="10">
        <f t="shared" si="10"/>
        <v>0.1</v>
      </c>
      <c r="S145" s="10">
        <f t="shared" si="11"/>
        <v>2.8</v>
      </c>
      <c r="T145" s="10">
        <f t="shared" si="15"/>
        <v>162.25974999999994</v>
      </c>
      <c r="V145" s="3">
        <v>107.1</v>
      </c>
      <c r="X145" s="3">
        <f t="shared" si="16"/>
        <v>60726.200000000012</v>
      </c>
      <c r="Y145" s="3">
        <f t="shared" si="18"/>
        <v>8325.6</v>
      </c>
      <c r="AA145" s="15">
        <v>8.3608298750230894</v>
      </c>
    </row>
    <row r="146" spans="1:27" s="3" customFormat="1" x14ac:dyDescent="0.25">
      <c r="A146" s="62"/>
      <c r="B146" s="12"/>
      <c r="C146" s="13">
        <v>40531</v>
      </c>
      <c r="D146" s="3">
        <v>4.4000000000000004</v>
      </c>
      <c r="E146" s="3">
        <v>-0.4</v>
      </c>
      <c r="F146" s="3">
        <v>10.6</v>
      </c>
      <c r="G146" s="3">
        <f t="shared" si="12"/>
        <v>871.4</v>
      </c>
      <c r="H146" s="3">
        <f t="shared" si="17"/>
        <v>57.1</v>
      </c>
      <c r="J146" s="3">
        <v>14.5</v>
      </c>
      <c r="K146" s="3">
        <f t="shared" si="13"/>
        <v>237.89999999999998</v>
      </c>
      <c r="L146" s="3">
        <v>0.9</v>
      </c>
      <c r="M146" s="3">
        <f t="shared" si="14"/>
        <v>114.40000000000002</v>
      </c>
      <c r="N146" s="3">
        <v>13.6</v>
      </c>
      <c r="O146" s="3">
        <f t="shared" si="19"/>
        <v>150.1</v>
      </c>
      <c r="P146" s="3">
        <v>97</v>
      </c>
      <c r="Q146" s="3">
        <v>1</v>
      </c>
      <c r="R146" s="10">
        <f t="shared" si="10"/>
        <v>0.9</v>
      </c>
      <c r="S146" s="10">
        <f t="shared" si="11"/>
        <v>13.6</v>
      </c>
      <c r="T146" s="10">
        <f t="shared" si="15"/>
        <v>175.85974999999993</v>
      </c>
      <c r="V146" s="3">
        <v>350.4</v>
      </c>
      <c r="X146" s="3">
        <f t="shared" si="16"/>
        <v>61076.600000000013</v>
      </c>
      <c r="Y146" s="3">
        <f t="shared" si="18"/>
        <v>8676</v>
      </c>
      <c r="AA146" s="15">
        <v>8.3546735290476395</v>
      </c>
    </row>
    <row r="147" spans="1:27" s="3" customFormat="1" x14ac:dyDescent="0.25">
      <c r="A147" s="62"/>
      <c r="B147" s="12"/>
      <c r="C147" s="13">
        <v>40532</v>
      </c>
      <c r="D147" s="3">
        <v>4.2</v>
      </c>
      <c r="E147" s="3">
        <v>1.4</v>
      </c>
      <c r="F147" s="3">
        <v>5.9</v>
      </c>
      <c r="G147" s="3">
        <f t="shared" si="12"/>
        <v>875.6</v>
      </c>
      <c r="H147" s="3">
        <f t="shared" si="17"/>
        <v>61.300000000000004</v>
      </c>
      <c r="J147" s="3">
        <v>0.8</v>
      </c>
      <c r="K147" s="3">
        <f t="shared" si="13"/>
        <v>238.7</v>
      </c>
      <c r="L147" s="3">
        <v>0.5</v>
      </c>
      <c r="M147" s="3">
        <f t="shared" si="14"/>
        <v>114.90000000000002</v>
      </c>
      <c r="N147" s="3">
        <v>0.30000000000000004</v>
      </c>
      <c r="O147" s="3">
        <f t="shared" si="19"/>
        <v>150.4</v>
      </c>
      <c r="P147" s="3">
        <v>98</v>
      </c>
      <c r="Q147" s="3">
        <v>1</v>
      </c>
      <c r="R147" s="10">
        <f t="shared" si="10"/>
        <v>0.5</v>
      </c>
      <c r="S147" s="10">
        <f t="shared" si="11"/>
        <v>0.30000000000000004</v>
      </c>
      <c r="T147" s="10">
        <f t="shared" si="15"/>
        <v>176.15974999999995</v>
      </c>
      <c r="V147" s="3">
        <v>447.9</v>
      </c>
      <c r="X147" s="3">
        <f t="shared" si="16"/>
        <v>61524.500000000015</v>
      </c>
      <c r="Y147" s="3">
        <f t="shared" si="18"/>
        <v>9123.9</v>
      </c>
      <c r="AA147" s="15">
        <v>8.3500549192009093</v>
      </c>
    </row>
    <row r="148" spans="1:27" s="3" customFormat="1" x14ac:dyDescent="0.25">
      <c r="A148" s="62"/>
      <c r="B148" s="12"/>
      <c r="C148" s="13">
        <v>40533</v>
      </c>
      <c r="D148" s="3">
        <v>0.6</v>
      </c>
      <c r="E148" s="3">
        <v>-1.8</v>
      </c>
      <c r="F148" s="3">
        <v>2.4</v>
      </c>
      <c r="G148" s="3">
        <f t="shared" si="12"/>
        <v>876.2</v>
      </c>
      <c r="H148" s="3">
        <f t="shared" si="17"/>
        <v>61.900000000000006</v>
      </c>
      <c r="J148" s="3">
        <v>0.4</v>
      </c>
      <c r="K148" s="3">
        <f t="shared" si="13"/>
        <v>239.1</v>
      </c>
      <c r="L148" s="3">
        <v>0.3</v>
      </c>
      <c r="M148" s="3">
        <f t="shared" si="14"/>
        <v>115.20000000000002</v>
      </c>
      <c r="N148" s="3">
        <v>0.10000000000000003</v>
      </c>
      <c r="O148" s="3">
        <f t="shared" si="19"/>
        <v>150.5</v>
      </c>
      <c r="P148" s="3">
        <v>99</v>
      </c>
      <c r="Q148" s="3">
        <v>1</v>
      </c>
      <c r="R148" s="10">
        <f t="shared" si="10"/>
        <v>0.3</v>
      </c>
      <c r="S148" s="10">
        <f t="shared" si="11"/>
        <v>0.10000000000000003</v>
      </c>
      <c r="T148" s="10">
        <f t="shared" si="15"/>
        <v>176.25974999999994</v>
      </c>
      <c r="V148" s="3">
        <v>188</v>
      </c>
      <c r="X148" s="3">
        <f t="shared" si="16"/>
        <v>61712.500000000015</v>
      </c>
      <c r="Y148" s="3">
        <f t="shared" si="18"/>
        <v>9311.9</v>
      </c>
      <c r="AA148" s="15">
        <v>8.3469801192051296</v>
      </c>
    </row>
    <row r="149" spans="1:27" s="3" customFormat="1" x14ac:dyDescent="0.25">
      <c r="A149" s="62"/>
      <c r="B149" s="12"/>
      <c r="C149" s="13">
        <v>40534</v>
      </c>
      <c r="D149" s="3">
        <v>2.1</v>
      </c>
      <c r="E149" s="3">
        <v>0.5</v>
      </c>
      <c r="F149" s="3">
        <v>3.2</v>
      </c>
      <c r="G149" s="3">
        <f t="shared" si="12"/>
        <v>878.30000000000007</v>
      </c>
      <c r="H149" s="3">
        <f t="shared" si="17"/>
        <v>64</v>
      </c>
      <c r="J149" s="3">
        <v>0.7</v>
      </c>
      <c r="K149" s="3">
        <f t="shared" si="13"/>
        <v>239.79999999999998</v>
      </c>
      <c r="L149" s="3">
        <v>0.4</v>
      </c>
      <c r="M149" s="3">
        <f t="shared" si="14"/>
        <v>115.60000000000002</v>
      </c>
      <c r="N149" s="3">
        <v>0.29999999999999993</v>
      </c>
      <c r="O149" s="3">
        <f t="shared" si="19"/>
        <v>150.80000000000001</v>
      </c>
      <c r="P149" s="3">
        <v>100</v>
      </c>
      <c r="Q149" s="3">
        <v>1</v>
      </c>
      <c r="R149" s="10">
        <f t="shared" si="10"/>
        <v>0.4</v>
      </c>
      <c r="S149" s="10">
        <f t="shared" si="11"/>
        <v>0.29999999999999993</v>
      </c>
      <c r="T149" s="10">
        <f t="shared" si="15"/>
        <v>176.55974999999995</v>
      </c>
      <c r="V149" s="3">
        <v>411.5</v>
      </c>
      <c r="X149" s="3">
        <f t="shared" si="16"/>
        <v>62124.000000000015</v>
      </c>
      <c r="Y149" s="3">
        <f t="shared" si="18"/>
        <v>9723.4</v>
      </c>
      <c r="AA149" s="15">
        <v>8.3454533759116405</v>
      </c>
    </row>
    <row r="150" spans="1:27" s="3" customFormat="1" x14ac:dyDescent="0.25">
      <c r="A150" s="62"/>
      <c r="B150" s="12"/>
      <c r="C150" s="13">
        <v>40535</v>
      </c>
      <c r="D150" s="3">
        <v>3.5</v>
      </c>
      <c r="E150" s="3">
        <v>2.2999999999999998</v>
      </c>
      <c r="F150" s="3">
        <v>4.0999999999999996</v>
      </c>
      <c r="G150" s="3">
        <f t="shared" si="12"/>
        <v>881.80000000000007</v>
      </c>
      <c r="H150" s="3">
        <f t="shared" si="17"/>
        <v>67.5</v>
      </c>
      <c r="J150" s="3">
        <v>0.4</v>
      </c>
      <c r="K150" s="3">
        <f t="shared" si="13"/>
        <v>240.2</v>
      </c>
      <c r="L150" s="3">
        <v>0.8</v>
      </c>
      <c r="M150" s="3">
        <f t="shared" si="14"/>
        <v>116.40000000000002</v>
      </c>
      <c r="N150" s="3">
        <v>-0.4</v>
      </c>
      <c r="O150" s="3">
        <f t="shared" si="19"/>
        <v>150.4</v>
      </c>
      <c r="P150" s="3">
        <v>101</v>
      </c>
      <c r="Q150" s="3">
        <v>1</v>
      </c>
      <c r="R150" s="10">
        <f t="shared" si="10"/>
        <v>0.8</v>
      </c>
      <c r="S150" s="10">
        <f t="shared" si="11"/>
        <v>-0.4</v>
      </c>
      <c r="T150" s="10">
        <f t="shared" si="15"/>
        <v>176.15974999999995</v>
      </c>
      <c r="V150" s="3">
        <v>534.29999999999995</v>
      </c>
      <c r="X150" s="3">
        <f t="shared" si="16"/>
        <v>62658.300000000017</v>
      </c>
      <c r="Y150" s="3">
        <f t="shared" si="18"/>
        <v>10257.699999999999</v>
      </c>
      <c r="AA150" s="15">
        <v>8.3454770907109808</v>
      </c>
    </row>
    <row r="151" spans="1:27" s="3" customFormat="1" x14ac:dyDescent="0.25">
      <c r="A151" s="62"/>
      <c r="B151" s="12"/>
      <c r="C151" s="13">
        <v>40536</v>
      </c>
      <c r="D151" s="3">
        <v>2.6</v>
      </c>
      <c r="E151" s="3">
        <v>1.3</v>
      </c>
      <c r="F151" s="3">
        <v>4.5999999999999996</v>
      </c>
      <c r="G151" s="3">
        <f t="shared" si="12"/>
        <v>884.40000000000009</v>
      </c>
      <c r="H151" s="3">
        <f t="shared" si="17"/>
        <v>70.099999999999994</v>
      </c>
      <c r="J151" s="3">
        <v>0</v>
      </c>
      <c r="K151" s="3">
        <f t="shared" si="13"/>
        <v>240.2</v>
      </c>
      <c r="L151" s="3">
        <v>1</v>
      </c>
      <c r="M151" s="3">
        <f t="shared" si="14"/>
        <v>117.40000000000002</v>
      </c>
      <c r="N151" s="3">
        <v>-1</v>
      </c>
      <c r="O151" s="3">
        <f t="shared" si="19"/>
        <v>149.4</v>
      </c>
      <c r="P151" s="3">
        <v>102</v>
      </c>
      <c r="Q151" s="3">
        <v>1</v>
      </c>
      <c r="R151" s="10">
        <f t="shared" si="10"/>
        <v>1</v>
      </c>
      <c r="S151" s="10">
        <f t="shared" si="11"/>
        <v>-1</v>
      </c>
      <c r="T151" s="10">
        <f t="shared" si="15"/>
        <v>175.15974999999995</v>
      </c>
      <c r="V151" s="3">
        <v>435.4</v>
      </c>
      <c r="X151" s="3">
        <f t="shared" si="16"/>
        <v>63093.700000000019</v>
      </c>
      <c r="Y151" s="3">
        <f t="shared" si="18"/>
        <v>10693.099999999999</v>
      </c>
      <c r="AA151" s="15">
        <v>8.3470518089656096</v>
      </c>
    </row>
    <row r="152" spans="1:27" s="3" customFormat="1" x14ac:dyDescent="0.25">
      <c r="A152" s="62"/>
      <c r="B152" s="12"/>
      <c r="C152" s="13">
        <v>40537</v>
      </c>
      <c r="D152" s="3">
        <v>0.1</v>
      </c>
      <c r="E152" s="3">
        <v>-0.9</v>
      </c>
      <c r="F152" s="3">
        <v>4.7</v>
      </c>
      <c r="G152" s="3">
        <f t="shared" si="12"/>
        <v>884.50000000000011</v>
      </c>
      <c r="H152" s="3">
        <f t="shared" si="17"/>
        <v>70.199999999999989</v>
      </c>
      <c r="J152" s="3">
        <v>0</v>
      </c>
      <c r="K152" s="3">
        <f t="shared" si="13"/>
        <v>240.2</v>
      </c>
      <c r="L152" s="3">
        <v>0.8</v>
      </c>
      <c r="M152" s="3">
        <f t="shared" si="14"/>
        <v>118.20000000000002</v>
      </c>
      <c r="N152" s="3">
        <v>-0.8</v>
      </c>
      <c r="O152" s="3">
        <f t="shared" si="19"/>
        <v>148.6</v>
      </c>
      <c r="P152" s="3">
        <v>103</v>
      </c>
      <c r="Q152" s="3">
        <v>1</v>
      </c>
      <c r="R152" s="10">
        <f t="shared" si="10"/>
        <v>0.8</v>
      </c>
      <c r="S152" s="10">
        <f t="shared" si="11"/>
        <v>-0.8</v>
      </c>
      <c r="T152" s="10">
        <f t="shared" si="15"/>
        <v>174.35974999999993</v>
      </c>
      <c r="V152" s="3">
        <v>663.3</v>
      </c>
      <c r="X152" s="3">
        <f t="shared" si="16"/>
        <v>63757.000000000022</v>
      </c>
      <c r="Y152" s="3">
        <f t="shared" si="18"/>
        <v>11356.399999999998</v>
      </c>
      <c r="AA152" s="15">
        <v>8.3501762175618701</v>
      </c>
    </row>
    <row r="153" spans="1:27" s="3" customFormat="1" x14ac:dyDescent="0.25">
      <c r="A153" s="62"/>
      <c r="B153" s="12"/>
      <c r="C153" s="13">
        <v>40538</v>
      </c>
      <c r="D153" s="3">
        <v>-2.2000000000000002</v>
      </c>
      <c r="E153" s="3">
        <v>-5.9</v>
      </c>
      <c r="F153" s="3">
        <v>-0.1</v>
      </c>
      <c r="G153" s="3">
        <v>884.5</v>
      </c>
      <c r="H153" s="3">
        <v>70.2</v>
      </c>
      <c r="J153" s="3">
        <v>0</v>
      </c>
      <c r="K153" s="3">
        <f t="shared" si="13"/>
        <v>240.2</v>
      </c>
      <c r="L153" s="3">
        <v>0.3</v>
      </c>
      <c r="M153" s="3">
        <f t="shared" si="14"/>
        <v>118.50000000000001</v>
      </c>
      <c r="N153" s="3">
        <v>-0.3</v>
      </c>
      <c r="O153" s="3">
        <f t="shared" si="19"/>
        <v>148.29999999999998</v>
      </c>
      <c r="P153" s="3">
        <v>104</v>
      </c>
      <c r="Q153" s="3">
        <v>1</v>
      </c>
      <c r="R153" s="10">
        <f t="shared" si="10"/>
        <v>0.3</v>
      </c>
      <c r="S153" s="10">
        <f t="shared" si="11"/>
        <v>-0.3</v>
      </c>
      <c r="T153" s="10">
        <f t="shared" si="15"/>
        <v>174.05974999999992</v>
      </c>
      <c r="V153" s="3">
        <v>359.4</v>
      </c>
      <c r="X153" s="3">
        <f t="shared" si="16"/>
        <v>64116.400000000023</v>
      </c>
      <c r="Y153" s="3">
        <f t="shared" si="18"/>
        <v>11715.799999999997</v>
      </c>
      <c r="AA153" s="15">
        <v>8.3548471506033692</v>
      </c>
    </row>
    <row r="154" spans="1:27" s="3" customFormat="1" x14ac:dyDescent="0.25">
      <c r="A154" s="62"/>
      <c r="B154" s="12"/>
      <c r="C154" s="13">
        <v>40539</v>
      </c>
      <c r="D154" s="3">
        <v>1.1000000000000001</v>
      </c>
      <c r="E154" s="3">
        <v>-0.7</v>
      </c>
      <c r="F154" s="3">
        <v>3.7</v>
      </c>
      <c r="G154" s="3">
        <f t="shared" si="12"/>
        <v>885.6</v>
      </c>
      <c r="H154" s="3">
        <f t="shared" si="17"/>
        <v>71.3</v>
      </c>
      <c r="J154" s="3">
        <v>6.2</v>
      </c>
      <c r="K154" s="3">
        <f t="shared" si="13"/>
        <v>246.39999999999998</v>
      </c>
      <c r="L154" s="3">
        <v>0.9</v>
      </c>
      <c r="M154" s="3">
        <f t="shared" si="14"/>
        <v>119.40000000000002</v>
      </c>
      <c r="N154" s="3">
        <v>5.3</v>
      </c>
      <c r="O154" s="3">
        <f t="shared" si="19"/>
        <v>153.6</v>
      </c>
      <c r="P154" s="3">
        <v>105</v>
      </c>
      <c r="Q154" s="3">
        <v>1</v>
      </c>
      <c r="R154" s="10">
        <f t="shared" si="10"/>
        <v>0.9</v>
      </c>
      <c r="S154" s="10">
        <f t="shared" si="11"/>
        <v>5.3</v>
      </c>
      <c r="T154" s="10">
        <f t="shared" si="15"/>
        <v>179.35974999999993</v>
      </c>
      <c r="V154" s="3">
        <v>228.7</v>
      </c>
      <c r="X154" s="3">
        <f t="shared" si="16"/>
        <v>64345.10000000002</v>
      </c>
      <c r="Y154" s="3">
        <f t="shared" si="18"/>
        <v>11944.499999999998</v>
      </c>
      <c r="AA154" s="15">
        <v>8.3610596031940396</v>
      </c>
    </row>
    <row r="155" spans="1:27" s="3" customFormat="1" x14ac:dyDescent="0.25">
      <c r="A155" s="62"/>
      <c r="B155" s="12"/>
      <c r="C155" s="13">
        <v>40540</v>
      </c>
      <c r="D155" s="3">
        <v>6</v>
      </c>
      <c r="E155" s="3">
        <v>1.4</v>
      </c>
      <c r="F155" s="3">
        <v>8.1</v>
      </c>
      <c r="G155" s="3">
        <f t="shared" si="12"/>
        <v>891.6</v>
      </c>
      <c r="H155" s="3">
        <f t="shared" si="17"/>
        <v>77.3</v>
      </c>
      <c r="J155" s="3">
        <v>0.3</v>
      </c>
      <c r="K155" s="3">
        <f t="shared" si="13"/>
        <v>246.7</v>
      </c>
      <c r="L155" s="3">
        <v>0.4</v>
      </c>
      <c r="M155" s="3">
        <f t="shared" si="14"/>
        <v>119.80000000000003</v>
      </c>
      <c r="N155" s="3">
        <v>-0.10000000000000003</v>
      </c>
      <c r="O155" s="3">
        <f t="shared" si="19"/>
        <v>153.5</v>
      </c>
      <c r="P155" s="3">
        <v>106</v>
      </c>
      <c r="Q155" s="3">
        <v>1</v>
      </c>
      <c r="R155" s="10">
        <f t="shared" si="10"/>
        <v>0.4</v>
      </c>
      <c r="S155" s="10">
        <f t="shared" si="11"/>
        <v>-0.10000000000000003</v>
      </c>
      <c r="T155" s="10">
        <f t="shared" si="15"/>
        <v>179.25974999999994</v>
      </c>
      <c r="V155" s="3">
        <v>268.3</v>
      </c>
      <c r="X155" s="3">
        <f t="shared" si="16"/>
        <v>64613.400000000023</v>
      </c>
      <c r="Y155" s="3">
        <f t="shared" si="18"/>
        <v>12212.799999999997</v>
      </c>
      <c r="AA155" s="15">
        <v>8.3688067531851402</v>
      </c>
    </row>
    <row r="156" spans="1:27" s="3" customFormat="1" x14ac:dyDescent="0.25">
      <c r="A156" s="62"/>
      <c r="B156" s="7"/>
      <c r="C156" s="13">
        <v>40541</v>
      </c>
      <c r="D156" s="3">
        <v>7.3</v>
      </c>
      <c r="E156" s="3">
        <v>6.3</v>
      </c>
      <c r="F156" s="3">
        <v>8</v>
      </c>
      <c r="G156" s="3">
        <f t="shared" si="12"/>
        <v>898.9</v>
      </c>
      <c r="H156" s="3">
        <f t="shared" si="17"/>
        <v>84.6</v>
      </c>
      <c r="J156" s="3">
        <v>2.8</v>
      </c>
      <c r="K156" s="3">
        <f t="shared" si="13"/>
        <v>249.5</v>
      </c>
      <c r="L156" s="3">
        <v>0.3</v>
      </c>
      <c r="M156" s="3">
        <f t="shared" si="14"/>
        <v>120.10000000000002</v>
      </c>
      <c r="N156" s="3">
        <v>2.5</v>
      </c>
      <c r="O156" s="3">
        <f t="shared" si="19"/>
        <v>156</v>
      </c>
      <c r="P156" s="3">
        <v>107</v>
      </c>
      <c r="Q156" s="3">
        <v>1</v>
      </c>
      <c r="R156" s="10">
        <f t="shared" si="10"/>
        <v>0.3</v>
      </c>
      <c r="S156" s="10">
        <f t="shared" si="11"/>
        <v>2.5</v>
      </c>
      <c r="T156" s="10">
        <f t="shared" si="15"/>
        <v>181.75974999999994</v>
      </c>
      <c r="V156" s="3">
        <v>269.89999999999998</v>
      </c>
      <c r="X156" s="3">
        <f t="shared" si="16"/>
        <v>64883.300000000025</v>
      </c>
      <c r="Y156" s="3">
        <f t="shared" si="18"/>
        <v>12482.699999999997</v>
      </c>
      <c r="AA156" s="15">
        <v>8.3780799906893897</v>
      </c>
    </row>
    <row r="157" spans="1:27" s="3" customFormat="1" x14ac:dyDescent="0.25">
      <c r="A157" s="62"/>
      <c r="B157" s="12"/>
      <c r="C157" s="13">
        <v>40542</v>
      </c>
      <c r="D157" s="3">
        <v>5.5</v>
      </c>
      <c r="E157" s="3">
        <v>4.5</v>
      </c>
      <c r="F157" s="3">
        <v>5.7</v>
      </c>
      <c r="G157" s="3">
        <f t="shared" si="12"/>
        <v>904.4</v>
      </c>
      <c r="H157" s="3">
        <f t="shared" si="17"/>
        <v>90.1</v>
      </c>
      <c r="J157" s="3">
        <v>0</v>
      </c>
      <c r="K157" s="3">
        <f t="shared" si="13"/>
        <v>249.5</v>
      </c>
      <c r="L157" s="3">
        <v>0.1</v>
      </c>
      <c r="M157" s="3">
        <f t="shared" si="14"/>
        <v>120.20000000000002</v>
      </c>
      <c r="N157" s="3">
        <v>-0.1</v>
      </c>
      <c r="O157" s="3">
        <f t="shared" si="19"/>
        <v>155.9</v>
      </c>
      <c r="P157" s="3">
        <v>108</v>
      </c>
      <c r="Q157" s="3">
        <v>1</v>
      </c>
      <c r="R157" s="10">
        <f t="shared" si="10"/>
        <v>0.1</v>
      </c>
      <c r="S157" s="10">
        <f t="shared" si="11"/>
        <v>-0.1</v>
      </c>
      <c r="T157" s="10">
        <f t="shared" si="15"/>
        <v>181.65974999999995</v>
      </c>
      <c r="V157" s="3">
        <v>143.6</v>
      </c>
      <c r="X157" s="3">
        <f t="shared" si="16"/>
        <v>65026.900000000023</v>
      </c>
      <c r="Y157" s="3">
        <f t="shared" si="18"/>
        <v>12626.299999999997</v>
      </c>
      <c r="AA157" s="15">
        <v>8.3888689550965605</v>
      </c>
    </row>
    <row r="158" spans="1:27" s="3" customFormat="1" x14ac:dyDescent="0.25">
      <c r="A158" s="62"/>
      <c r="B158" s="12"/>
      <c r="C158" s="13">
        <v>40543</v>
      </c>
      <c r="D158" s="3">
        <v>3.3</v>
      </c>
      <c r="E158" s="3">
        <v>2.4</v>
      </c>
      <c r="F158" s="3">
        <v>4.0999999999999996</v>
      </c>
      <c r="G158" s="3">
        <f t="shared" si="12"/>
        <v>907.69999999999993</v>
      </c>
      <c r="H158" s="3">
        <f t="shared" si="17"/>
        <v>93.399999999999991</v>
      </c>
      <c r="J158" s="3">
        <v>0</v>
      </c>
      <c r="K158" s="3">
        <f t="shared" si="13"/>
        <v>249.5</v>
      </c>
      <c r="L158" s="3">
        <v>0.1</v>
      </c>
      <c r="M158" s="3">
        <f t="shared" si="14"/>
        <v>120.30000000000001</v>
      </c>
      <c r="N158" s="3">
        <v>-0.1</v>
      </c>
      <c r="O158" s="3">
        <f t="shared" si="19"/>
        <v>155.80000000000001</v>
      </c>
      <c r="P158" s="3">
        <v>109</v>
      </c>
      <c r="Q158" s="3">
        <v>1</v>
      </c>
      <c r="R158" s="10">
        <f t="shared" si="10"/>
        <v>0.1</v>
      </c>
      <c r="S158" s="10">
        <f t="shared" si="11"/>
        <v>-0.1</v>
      </c>
      <c r="T158" s="10">
        <f t="shared" si="15"/>
        <v>181.55974999999995</v>
      </c>
      <c r="V158" s="3">
        <v>148.69999999999999</v>
      </c>
      <c r="X158" s="3">
        <f t="shared" si="16"/>
        <v>65175.60000000002</v>
      </c>
      <c r="Y158" s="3">
        <f t="shared" si="18"/>
        <v>12774.999999999998</v>
      </c>
      <c r="AA158" s="15">
        <v>8.4011615792606609</v>
      </c>
    </row>
    <row r="159" spans="1:27" s="3" customFormat="1" x14ac:dyDescent="0.25">
      <c r="A159" s="62"/>
      <c r="B159" s="12"/>
      <c r="C159" s="13">
        <v>40544</v>
      </c>
      <c r="D159" s="3">
        <v>1.1000000000000001</v>
      </c>
      <c r="E159" s="3">
        <v>-0.3</v>
      </c>
      <c r="F159" s="3">
        <v>3.1</v>
      </c>
      <c r="G159" s="3">
        <f t="shared" si="12"/>
        <v>908.8</v>
      </c>
      <c r="H159" s="3">
        <f t="shared" si="17"/>
        <v>94.499999999999986</v>
      </c>
      <c r="J159" s="3">
        <v>0</v>
      </c>
      <c r="K159" s="3">
        <f t="shared" si="13"/>
        <v>249.5</v>
      </c>
      <c r="L159" s="3">
        <v>0.1</v>
      </c>
      <c r="M159" s="3">
        <f t="shared" si="14"/>
        <v>120.4</v>
      </c>
      <c r="N159" s="3">
        <v>-0.1</v>
      </c>
      <c r="O159" s="3">
        <f t="shared" si="19"/>
        <v>155.70000000000002</v>
      </c>
      <c r="P159" s="3">
        <v>110</v>
      </c>
      <c r="Q159" s="3">
        <v>1</v>
      </c>
      <c r="R159" s="10">
        <f t="shared" si="10"/>
        <v>0.1</v>
      </c>
      <c r="S159" s="10">
        <f t="shared" si="11"/>
        <v>-0.1</v>
      </c>
      <c r="T159" s="10">
        <f t="shared" si="15"/>
        <v>181.45974999999996</v>
      </c>
      <c r="V159" s="3">
        <v>76.2</v>
      </c>
      <c r="X159" s="3">
        <f t="shared" si="16"/>
        <v>65251.800000000017</v>
      </c>
      <c r="Y159" s="3">
        <f t="shared" si="18"/>
        <v>12851.199999999999</v>
      </c>
      <c r="AA159" s="15">
        <v>8.4193892160187005</v>
      </c>
    </row>
    <row r="160" spans="1:27" s="3" customFormat="1" x14ac:dyDescent="0.25">
      <c r="A160" s="62"/>
      <c r="B160" s="12"/>
      <c r="C160" s="13">
        <v>40545</v>
      </c>
      <c r="D160" s="3">
        <v>3.5</v>
      </c>
      <c r="E160" s="3">
        <v>2.6</v>
      </c>
      <c r="F160" s="3">
        <v>6.3</v>
      </c>
      <c r="G160" s="3">
        <f t="shared" si="12"/>
        <v>912.3</v>
      </c>
      <c r="H160" s="3">
        <f t="shared" si="17"/>
        <v>97.999999999999986</v>
      </c>
      <c r="J160" s="3">
        <v>0</v>
      </c>
      <c r="K160" s="3">
        <f t="shared" si="13"/>
        <v>249.5</v>
      </c>
      <c r="L160" s="3">
        <v>0.4</v>
      </c>
      <c r="M160" s="3">
        <f t="shared" si="14"/>
        <v>120.80000000000001</v>
      </c>
      <c r="N160" s="3">
        <v>-0.4</v>
      </c>
      <c r="O160" s="3">
        <f t="shared" si="19"/>
        <v>155.30000000000001</v>
      </c>
      <c r="P160" s="3">
        <v>111</v>
      </c>
      <c r="Q160" s="3">
        <v>1</v>
      </c>
      <c r="R160" s="10">
        <f t="shared" si="10"/>
        <v>0.4</v>
      </c>
      <c r="S160" s="10">
        <f t="shared" si="11"/>
        <v>-0.4</v>
      </c>
      <c r="T160" s="10">
        <f t="shared" si="15"/>
        <v>181.05974999999995</v>
      </c>
      <c r="V160" s="3">
        <v>381.9</v>
      </c>
      <c r="X160" s="3">
        <f t="shared" si="16"/>
        <v>65633.700000000012</v>
      </c>
      <c r="Y160" s="3">
        <f t="shared" si="18"/>
        <v>13233.099999999999</v>
      </c>
      <c r="AA160" s="15">
        <v>8.4350877093723202</v>
      </c>
    </row>
    <row r="161" spans="1:27" s="3" customFormat="1" x14ac:dyDescent="0.25">
      <c r="A161" s="62"/>
      <c r="B161" s="12"/>
      <c r="C161" s="13">
        <v>40546</v>
      </c>
      <c r="D161" s="3">
        <v>1.5</v>
      </c>
      <c r="E161" s="3">
        <v>0.1</v>
      </c>
      <c r="F161" s="3">
        <v>3.4</v>
      </c>
      <c r="G161" s="3">
        <f t="shared" si="12"/>
        <v>913.8</v>
      </c>
      <c r="H161" s="3">
        <f t="shared" si="17"/>
        <v>99.499999999999986</v>
      </c>
      <c r="J161" s="3">
        <v>0</v>
      </c>
      <c r="K161" s="3">
        <f t="shared" si="13"/>
        <v>249.5</v>
      </c>
      <c r="L161" s="3">
        <v>0.5</v>
      </c>
      <c r="M161" s="3">
        <f t="shared" si="14"/>
        <v>121.30000000000001</v>
      </c>
      <c r="N161" s="3">
        <v>-0.5</v>
      </c>
      <c r="O161" s="3">
        <f t="shared" si="19"/>
        <v>154.80000000000001</v>
      </c>
      <c r="P161" s="3">
        <v>112</v>
      </c>
      <c r="Q161" s="3">
        <v>1</v>
      </c>
      <c r="R161" s="10">
        <f t="shared" si="10"/>
        <v>0.5</v>
      </c>
      <c r="S161" s="10">
        <f t="shared" si="11"/>
        <v>-0.5</v>
      </c>
      <c r="T161" s="10">
        <f t="shared" si="15"/>
        <v>180.55974999999995</v>
      </c>
      <c r="V161" s="3">
        <v>390.5</v>
      </c>
      <c r="X161" s="3">
        <f t="shared" si="16"/>
        <v>66024.200000000012</v>
      </c>
      <c r="Y161" s="3">
        <f t="shared" si="18"/>
        <v>13623.599999999999</v>
      </c>
      <c r="AA161" s="15">
        <v>8.4522385901356891</v>
      </c>
    </row>
    <row r="162" spans="1:27" s="3" customFormat="1" x14ac:dyDescent="0.25">
      <c r="A162" s="62"/>
      <c r="B162" s="12"/>
      <c r="C162" s="13">
        <v>40547</v>
      </c>
      <c r="D162" s="3">
        <v>2.1</v>
      </c>
      <c r="E162" s="3">
        <v>1.5</v>
      </c>
      <c r="F162" s="3">
        <v>4.2</v>
      </c>
      <c r="G162" s="3">
        <f t="shared" si="12"/>
        <v>915.9</v>
      </c>
      <c r="H162" s="3">
        <f t="shared" si="17"/>
        <v>101.59999999999998</v>
      </c>
      <c r="J162" s="3">
        <v>0</v>
      </c>
      <c r="K162" s="3">
        <f t="shared" si="13"/>
        <v>249.5</v>
      </c>
      <c r="L162" s="3">
        <v>0.7</v>
      </c>
      <c r="M162" s="3">
        <f t="shared" si="14"/>
        <v>122.00000000000001</v>
      </c>
      <c r="N162" s="3">
        <v>-0.7</v>
      </c>
      <c r="O162" s="3">
        <f t="shared" si="19"/>
        <v>154.10000000000002</v>
      </c>
      <c r="P162" s="3">
        <v>113</v>
      </c>
      <c r="Q162" s="3">
        <v>1</v>
      </c>
      <c r="R162" s="10">
        <f t="shared" si="10"/>
        <v>0.7</v>
      </c>
      <c r="S162" s="10">
        <f t="shared" si="11"/>
        <v>-0.7</v>
      </c>
      <c r="T162" s="10">
        <f t="shared" si="15"/>
        <v>179.85974999999996</v>
      </c>
      <c r="V162" s="3">
        <v>283.3</v>
      </c>
      <c r="X162" s="3">
        <f t="shared" si="16"/>
        <v>66307.500000000015</v>
      </c>
      <c r="Y162" s="3">
        <f t="shared" si="18"/>
        <v>13906.899999999998</v>
      </c>
      <c r="AA162" s="15">
        <v>8.4708231076445308</v>
      </c>
    </row>
    <row r="163" spans="1:27" s="3" customFormat="1" x14ac:dyDescent="0.25">
      <c r="A163" s="62"/>
      <c r="B163" s="12"/>
      <c r="C163" s="13">
        <v>40548</v>
      </c>
      <c r="D163" s="3">
        <v>4</v>
      </c>
      <c r="E163" s="3">
        <v>-0.2</v>
      </c>
      <c r="F163" s="3">
        <v>11.6</v>
      </c>
      <c r="G163" s="3">
        <f t="shared" si="12"/>
        <v>919.9</v>
      </c>
      <c r="H163" s="3">
        <f t="shared" si="17"/>
        <v>105.59999999999998</v>
      </c>
      <c r="J163" s="3">
        <v>9</v>
      </c>
      <c r="K163" s="3">
        <f t="shared" si="13"/>
        <v>258.5</v>
      </c>
      <c r="L163" s="3">
        <v>0.7</v>
      </c>
      <c r="M163" s="3">
        <f t="shared" si="14"/>
        <v>122.70000000000002</v>
      </c>
      <c r="N163" s="3">
        <v>8.3000000000000007</v>
      </c>
      <c r="O163" s="3">
        <f t="shared" si="19"/>
        <v>162.40000000000003</v>
      </c>
      <c r="P163" s="3">
        <v>114</v>
      </c>
      <c r="Q163" s="3">
        <v>1</v>
      </c>
      <c r="R163" s="10">
        <f t="shared" si="10"/>
        <v>0.7</v>
      </c>
      <c r="S163" s="10">
        <f t="shared" si="11"/>
        <v>8.3000000000000007</v>
      </c>
      <c r="T163" s="10">
        <f t="shared" si="15"/>
        <v>188.15974999999997</v>
      </c>
      <c r="V163" s="3">
        <v>148.1</v>
      </c>
      <c r="X163" s="3">
        <f t="shared" si="16"/>
        <v>66455.60000000002</v>
      </c>
      <c r="Y163" s="3">
        <f t="shared" si="18"/>
        <v>14054.999999999998</v>
      </c>
      <c r="AA163" s="15">
        <v>8.4908211407778005</v>
      </c>
    </row>
    <row r="164" spans="1:27" s="3" customFormat="1" x14ac:dyDescent="0.25">
      <c r="A164" s="62"/>
      <c r="B164" s="7"/>
      <c r="C164" s="13">
        <v>40549</v>
      </c>
      <c r="D164" s="3">
        <v>12</v>
      </c>
      <c r="E164" s="3">
        <v>7.7</v>
      </c>
      <c r="F164" s="3">
        <v>12.8</v>
      </c>
      <c r="G164" s="3">
        <f t="shared" si="12"/>
        <v>931.9</v>
      </c>
      <c r="H164" s="3">
        <f t="shared" si="17"/>
        <v>117.59999999999998</v>
      </c>
      <c r="J164" s="3">
        <v>7.7</v>
      </c>
      <c r="K164" s="3">
        <f t="shared" si="13"/>
        <v>266.2</v>
      </c>
      <c r="L164" s="3">
        <v>0.2</v>
      </c>
      <c r="M164" s="3">
        <f t="shared" si="14"/>
        <v>122.90000000000002</v>
      </c>
      <c r="N164" s="3">
        <v>7.5</v>
      </c>
      <c r="O164" s="3">
        <f t="shared" si="19"/>
        <v>169.90000000000003</v>
      </c>
      <c r="P164" s="3">
        <v>115</v>
      </c>
      <c r="Q164" s="3">
        <v>1</v>
      </c>
      <c r="R164" s="10">
        <f t="shared" si="10"/>
        <v>0.2</v>
      </c>
      <c r="S164" s="10">
        <f t="shared" si="11"/>
        <v>7.5</v>
      </c>
      <c r="T164" s="10">
        <f t="shared" si="15"/>
        <v>195.65974999999997</v>
      </c>
      <c r="V164" s="3">
        <v>71.3</v>
      </c>
      <c r="X164" s="3">
        <f t="shared" si="16"/>
        <v>66526.900000000023</v>
      </c>
      <c r="Y164" s="3">
        <f t="shared" si="18"/>
        <v>14126.299999999997</v>
      </c>
      <c r="AA164" s="15">
        <v>8.5122112765059796</v>
      </c>
    </row>
    <row r="165" spans="1:27" s="3" customFormat="1" x14ac:dyDescent="0.25">
      <c r="A165" s="62"/>
      <c r="B165" s="7"/>
      <c r="C165" s="13">
        <v>40550</v>
      </c>
      <c r="D165" s="3">
        <v>11.7</v>
      </c>
      <c r="E165" s="3">
        <v>11.5</v>
      </c>
      <c r="F165" s="3">
        <v>12.2</v>
      </c>
      <c r="G165" s="3">
        <f t="shared" si="12"/>
        <v>943.6</v>
      </c>
      <c r="H165" s="3">
        <f t="shared" si="17"/>
        <v>129.29999999999998</v>
      </c>
      <c r="J165" s="3">
        <v>6.6</v>
      </c>
      <c r="K165" s="3">
        <f t="shared" si="13"/>
        <v>272.8</v>
      </c>
      <c r="L165" s="3">
        <v>0.7</v>
      </c>
      <c r="M165" s="3">
        <f t="shared" si="14"/>
        <v>123.60000000000002</v>
      </c>
      <c r="N165" s="3">
        <v>5.8999999999999995</v>
      </c>
      <c r="O165" s="3">
        <f t="shared" si="19"/>
        <v>175.80000000000004</v>
      </c>
      <c r="P165" s="3">
        <v>116</v>
      </c>
      <c r="Q165" s="3">
        <v>1</v>
      </c>
      <c r="R165" s="10">
        <f t="shared" si="10"/>
        <v>0.7</v>
      </c>
      <c r="S165" s="10">
        <f t="shared" si="11"/>
        <v>5.8999999999999995</v>
      </c>
      <c r="T165" s="10">
        <f t="shared" si="15"/>
        <v>197.4</v>
      </c>
      <c r="V165" s="3">
        <v>295.39999999999998</v>
      </c>
      <c r="X165" s="3">
        <f t="shared" si="16"/>
        <v>66822.300000000017</v>
      </c>
      <c r="Y165" s="3">
        <f t="shared" si="18"/>
        <v>14421.699999999997</v>
      </c>
      <c r="AA165" s="15">
        <v>8.5349708918221392</v>
      </c>
    </row>
    <row r="166" spans="1:27" s="3" customFormat="1" x14ac:dyDescent="0.25">
      <c r="A166" s="62"/>
      <c r="B166" s="7"/>
      <c r="C166" s="13">
        <v>40551</v>
      </c>
      <c r="D166" s="3">
        <v>9.6999999999999993</v>
      </c>
      <c r="E166" s="3">
        <v>7.7</v>
      </c>
      <c r="F166" s="3">
        <v>11.7</v>
      </c>
      <c r="G166" s="3">
        <f t="shared" si="12"/>
        <v>953.30000000000007</v>
      </c>
      <c r="H166" s="3">
        <f t="shared" si="17"/>
        <v>138.99999999999997</v>
      </c>
      <c r="J166" s="3">
        <v>6</v>
      </c>
      <c r="K166" s="3">
        <f t="shared" si="13"/>
        <v>278.8</v>
      </c>
      <c r="L166" s="3">
        <v>0.8</v>
      </c>
      <c r="M166" s="3">
        <f t="shared" si="14"/>
        <v>124.40000000000002</v>
      </c>
      <c r="N166" s="3">
        <v>5.2</v>
      </c>
      <c r="O166" s="3">
        <f t="shared" si="19"/>
        <v>181.00000000000003</v>
      </c>
      <c r="P166" s="3">
        <v>117</v>
      </c>
      <c r="Q166" s="3">
        <v>1</v>
      </c>
      <c r="R166" s="10">
        <f t="shared" si="10"/>
        <v>0.8</v>
      </c>
      <c r="S166" s="10">
        <f t="shared" si="11"/>
        <v>5.2</v>
      </c>
      <c r="T166" s="10">
        <f t="shared" si="15"/>
        <v>197.4</v>
      </c>
      <c r="V166" s="3">
        <v>195.3</v>
      </c>
      <c r="X166" s="3">
        <f t="shared" si="16"/>
        <v>67017.60000000002</v>
      </c>
      <c r="Y166" s="3">
        <f t="shared" si="18"/>
        <v>14616.999999999996</v>
      </c>
      <c r="AA166" s="15">
        <v>8.5590762384411292</v>
      </c>
    </row>
    <row r="167" spans="1:27" s="3" customFormat="1" x14ac:dyDescent="0.25">
      <c r="A167" s="62"/>
      <c r="B167" s="12"/>
      <c r="C167" s="13">
        <v>40552</v>
      </c>
      <c r="D167" s="3">
        <v>5</v>
      </c>
      <c r="E167" s="3">
        <v>3.1</v>
      </c>
      <c r="F167" s="3">
        <v>8.6</v>
      </c>
      <c r="G167" s="3">
        <f t="shared" si="12"/>
        <v>958.30000000000007</v>
      </c>
      <c r="H167" s="3">
        <f t="shared" si="17"/>
        <v>143.99999999999997</v>
      </c>
      <c r="J167" s="3">
        <v>0.9</v>
      </c>
      <c r="K167" s="3">
        <f t="shared" si="13"/>
        <v>279.7</v>
      </c>
      <c r="L167" s="3">
        <v>0.8</v>
      </c>
      <c r="M167" s="3">
        <f t="shared" si="14"/>
        <v>125.20000000000002</v>
      </c>
      <c r="N167" s="3">
        <v>9.9999999999999978E-2</v>
      </c>
      <c r="O167" s="3">
        <f t="shared" si="19"/>
        <v>181.10000000000002</v>
      </c>
      <c r="P167" s="3">
        <v>118</v>
      </c>
      <c r="Q167" s="3">
        <v>1</v>
      </c>
      <c r="R167" s="10">
        <f t="shared" si="10"/>
        <v>0.8</v>
      </c>
      <c r="S167" s="10">
        <f t="shared" si="11"/>
        <v>9.9999999999999978E-2</v>
      </c>
      <c r="T167" s="10">
        <f t="shared" si="15"/>
        <v>197.4</v>
      </c>
      <c r="V167" s="3">
        <v>633.4</v>
      </c>
      <c r="X167" s="3">
        <f t="shared" si="16"/>
        <v>67651.000000000015</v>
      </c>
      <c r="Y167" s="3">
        <f t="shared" si="18"/>
        <v>15250.399999999996</v>
      </c>
      <c r="AA167" s="15">
        <v>8.5845025296519992</v>
      </c>
    </row>
    <row r="168" spans="1:27" s="39" customFormat="1" ht="15.75" thickBot="1" x14ac:dyDescent="0.3">
      <c r="A168" s="62"/>
      <c r="B168" s="44"/>
      <c r="C168" s="45">
        <v>40553</v>
      </c>
      <c r="D168" s="39">
        <v>6.1</v>
      </c>
      <c r="E168" s="39">
        <v>2.5</v>
      </c>
      <c r="F168" s="39">
        <v>8.8000000000000007</v>
      </c>
      <c r="G168" s="39">
        <f t="shared" si="12"/>
        <v>964.40000000000009</v>
      </c>
      <c r="H168" s="39">
        <f t="shared" si="17"/>
        <v>150.09999999999997</v>
      </c>
      <c r="J168" s="39">
        <v>5.0999999999999996</v>
      </c>
      <c r="K168" s="39">
        <f t="shared" si="13"/>
        <v>284.8</v>
      </c>
      <c r="L168" s="39">
        <v>0.7</v>
      </c>
      <c r="M168" s="39">
        <f t="shared" si="14"/>
        <v>125.90000000000002</v>
      </c>
      <c r="N168" s="39">
        <v>4.3999999999999995</v>
      </c>
      <c r="O168" s="39">
        <f t="shared" si="19"/>
        <v>185.50000000000003</v>
      </c>
      <c r="P168" s="39">
        <v>119</v>
      </c>
      <c r="Q168" s="43">
        <v>1</v>
      </c>
      <c r="R168" s="41">
        <f t="shared" si="10"/>
        <v>0.7</v>
      </c>
      <c r="S168" s="41">
        <f t="shared" si="11"/>
        <v>4.3999999999999995</v>
      </c>
      <c r="T168" s="42">
        <f t="shared" si="15"/>
        <v>197.4</v>
      </c>
      <c r="V168" s="39">
        <v>466.4</v>
      </c>
      <c r="W168" s="39">
        <f>(Y168/100)/I133</f>
        <v>1.0470886075949364</v>
      </c>
      <c r="X168" s="39">
        <f t="shared" si="16"/>
        <v>68117.400000000009</v>
      </c>
      <c r="Y168" s="43">
        <f t="shared" si="18"/>
        <v>15716.799999999996</v>
      </c>
      <c r="AA168" s="46">
        <v>8.61122402871605</v>
      </c>
    </row>
    <row r="169" spans="1:27" s="3" customFormat="1" ht="15" customHeight="1" x14ac:dyDescent="0.25">
      <c r="A169" s="63" t="s">
        <v>20</v>
      </c>
      <c r="B169" s="7"/>
      <c r="C169" s="16">
        <v>40554</v>
      </c>
      <c r="D169" s="3">
        <v>8.3000000000000007</v>
      </c>
      <c r="E169" s="3">
        <v>7.4</v>
      </c>
      <c r="F169" s="3">
        <v>9.6999999999999993</v>
      </c>
      <c r="G169" s="3">
        <f t="shared" si="12"/>
        <v>972.7</v>
      </c>
      <c r="H169" s="3">
        <v>8.3000000000000007</v>
      </c>
      <c r="I169" s="17" t="s">
        <v>2</v>
      </c>
      <c r="J169" s="3">
        <v>1.5</v>
      </c>
      <c r="K169" s="3">
        <f t="shared" si="13"/>
        <v>286.3</v>
      </c>
      <c r="L169" s="3">
        <v>0.7</v>
      </c>
      <c r="M169" s="3">
        <f t="shared" si="14"/>
        <v>126.60000000000002</v>
      </c>
      <c r="N169" s="3">
        <v>0.8</v>
      </c>
      <c r="O169" s="3">
        <f t="shared" si="19"/>
        <v>186.30000000000004</v>
      </c>
      <c r="P169" s="3">
        <v>120</v>
      </c>
      <c r="Q169" s="18">
        <f>1+((P169-119)/74)*(1.15-1)</f>
        <v>1.0020270270270271</v>
      </c>
      <c r="R169" s="10">
        <f t="shared" si="10"/>
        <v>0.70141891891891894</v>
      </c>
      <c r="S169" s="10">
        <f t="shared" si="11"/>
        <v>0.79858108108108106</v>
      </c>
      <c r="T169" s="10">
        <f t="shared" si="15"/>
        <v>197.4</v>
      </c>
      <c r="U169" s="17" t="s">
        <v>3</v>
      </c>
      <c r="V169" s="3">
        <v>165.9</v>
      </c>
      <c r="X169" s="3">
        <f t="shared" si="16"/>
        <v>68283.3</v>
      </c>
      <c r="Y169" s="3">
        <v>165.9</v>
      </c>
      <c r="Z169" s="17" t="s">
        <v>4</v>
      </c>
      <c r="AA169" s="15">
        <v>8.6392141382164898</v>
      </c>
    </row>
    <row r="170" spans="1:27" s="3" customFormat="1" x14ac:dyDescent="0.25">
      <c r="A170" s="63"/>
      <c r="B170" s="7"/>
      <c r="C170" s="16">
        <v>40555</v>
      </c>
      <c r="D170" s="3">
        <v>11.3</v>
      </c>
      <c r="E170" s="3">
        <v>6.8</v>
      </c>
      <c r="F170" s="3">
        <v>12.8</v>
      </c>
      <c r="G170" s="3">
        <f t="shared" si="12"/>
        <v>984</v>
      </c>
      <c r="H170" s="3">
        <f>H169+D170</f>
        <v>19.600000000000001</v>
      </c>
      <c r="I170" s="3">
        <f>MIN(E169:E242)</f>
        <v>-4</v>
      </c>
      <c r="J170" s="3">
        <v>0.2</v>
      </c>
      <c r="K170" s="3">
        <f t="shared" si="13"/>
        <v>286.5</v>
      </c>
      <c r="L170" s="3">
        <v>0</v>
      </c>
      <c r="M170" s="3">
        <f t="shared" si="14"/>
        <v>126.60000000000002</v>
      </c>
      <c r="N170" s="3">
        <v>0.2</v>
      </c>
      <c r="O170" s="3">
        <f t="shared" si="19"/>
        <v>186.50000000000003</v>
      </c>
      <c r="P170" s="3">
        <v>121</v>
      </c>
      <c r="Q170" s="18">
        <f t="shared" ref="Q170:Q233" si="20">1+((P170-119)/74)*(1.15-1)</f>
        <v>1.0040540540540541</v>
      </c>
      <c r="R170" s="10">
        <f t="shared" si="10"/>
        <v>0</v>
      </c>
      <c r="S170" s="10">
        <f t="shared" si="11"/>
        <v>0.2</v>
      </c>
      <c r="T170" s="10">
        <f t="shared" si="15"/>
        <v>197.4</v>
      </c>
      <c r="V170" s="3">
        <v>100.8</v>
      </c>
      <c r="X170" s="3">
        <f t="shared" si="16"/>
        <v>68384.100000000006</v>
      </c>
      <c r="Y170" s="3">
        <f t="shared" si="18"/>
        <v>266.7</v>
      </c>
      <c r="Z170" s="3">
        <v>46966.999999999993</v>
      </c>
      <c r="AA170" s="15">
        <v>8.6684454897849594</v>
      </c>
    </row>
    <row r="171" spans="1:27" s="3" customFormat="1" x14ac:dyDescent="0.25">
      <c r="A171" s="63"/>
      <c r="B171" s="7"/>
      <c r="C171" s="16">
        <v>40556</v>
      </c>
      <c r="D171" s="3">
        <v>12.4</v>
      </c>
      <c r="E171" s="3">
        <v>11.3</v>
      </c>
      <c r="F171" s="3">
        <v>12.9</v>
      </c>
      <c r="G171" s="3">
        <f t="shared" si="12"/>
        <v>996.4</v>
      </c>
      <c r="H171" s="3">
        <f t="shared" si="17"/>
        <v>32</v>
      </c>
      <c r="I171" s="17" t="s">
        <v>5</v>
      </c>
      <c r="J171" s="3">
        <v>0</v>
      </c>
      <c r="K171" s="3">
        <f t="shared" si="13"/>
        <v>286.5</v>
      </c>
      <c r="L171" s="3">
        <v>0.6</v>
      </c>
      <c r="M171" s="3">
        <f t="shared" si="14"/>
        <v>127.20000000000002</v>
      </c>
      <c r="N171" s="3">
        <v>-0.6</v>
      </c>
      <c r="O171" s="3">
        <f t="shared" si="19"/>
        <v>185.90000000000003</v>
      </c>
      <c r="P171" s="3">
        <v>122</v>
      </c>
      <c r="Q171" s="18">
        <f t="shared" si="20"/>
        <v>1.0060810810810812</v>
      </c>
      <c r="R171" s="10">
        <f t="shared" si="10"/>
        <v>0.60364864864864864</v>
      </c>
      <c r="S171" s="10">
        <f t="shared" si="11"/>
        <v>-0.60364864864864864</v>
      </c>
      <c r="T171" s="10">
        <f t="shared" si="15"/>
        <v>196.79635135135135</v>
      </c>
      <c r="U171" s="17" t="s">
        <v>6</v>
      </c>
      <c r="V171" s="3">
        <v>145.9</v>
      </c>
      <c r="X171" s="3">
        <f t="shared" si="16"/>
        <v>68530</v>
      </c>
      <c r="Y171" s="3">
        <f t="shared" si="18"/>
        <v>412.6</v>
      </c>
      <c r="Z171" s="17" t="s">
        <v>7</v>
      </c>
      <c r="AA171" s="15">
        <v>8.6988900336550294</v>
      </c>
    </row>
    <row r="172" spans="1:27" s="3" customFormat="1" x14ac:dyDescent="0.25">
      <c r="A172" s="63"/>
      <c r="B172" s="7"/>
      <c r="C172" s="16">
        <v>40557</v>
      </c>
      <c r="D172" s="3">
        <v>10.9</v>
      </c>
      <c r="E172" s="3">
        <v>10.1</v>
      </c>
      <c r="F172" s="3">
        <v>12.9</v>
      </c>
      <c r="G172" s="3">
        <f t="shared" si="12"/>
        <v>1007.3</v>
      </c>
      <c r="H172" s="3">
        <f t="shared" si="17"/>
        <v>42.9</v>
      </c>
      <c r="I172" s="3">
        <f>MAX(F169:F242)</f>
        <v>19.399999999999999</v>
      </c>
      <c r="J172" s="3">
        <v>3.9</v>
      </c>
      <c r="K172" s="3">
        <f t="shared" si="13"/>
        <v>290.39999999999998</v>
      </c>
      <c r="L172" s="3">
        <v>1.3</v>
      </c>
      <c r="M172" s="3">
        <f t="shared" si="14"/>
        <v>128.50000000000003</v>
      </c>
      <c r="N172" s="3">
        <v>2.5999999999999996</v>
      </c>
      <c r="O172" s="3">
        <f t="shared" si="19"/>
        <v>188.50000000000003</v>
      </c>
      <c r="P172" s="3">
        <v>123</v>
      </c>
      <c r="Q172" s="18">
        <f t="shared" si="20"/>
        <v>1.008108108108108</v>
      </c>
      <c r="R172" s="10">
        <f t="shared" si="10"/>
        <v>1.3105405405405406</v>
      </c>
      <c r="S172" s="10">
        <f t="shared" si="11"/>
        <v>2.5894594594594595</v>
      </c>
      <c r="T172" s="10">
        <f t="shared" si="15"/>
        <v>197.4</v>
      </c>
      <c r="U172" s="3">
        <v>0</v>
      </c>
      <c r="V172" s="3">
        <v>171.5</v>
      </c>
      <c r="X172" s="3">
        <f t="shared" si="16"/>
        <v>68701.5</v>
      </c>
      <c r="Y172" s="3">
        <f t="shared" si="18"/>
        <v>584.1</v>
      </c>
      <c r="Z172" s="3">
        <f>(Z170/100)/I182</f>
        <v>0.86035904011723741</v>
      </c>
      <c r="AA172" s="15">
        <v>8.7305191275220508</v>
      </c>
    </row>
    <row r="173" spans="1:27" s="3" customFormat="1" x14ac:dyDescent="0.25">
      <c r="A173" s="63"/>
      <c r="B173" s="7"/>
      <c r="C173" s="16">
        <v>40558</v>
      </c>
      <c r="D173" s="3">
        <v>10.9</v>
      </c>
      <c r="E173" s="3">
        <v>8.9</v>
      </c>
      <c r="F173" s="3">
        <v>13.9</v>
      </c>
      <c r="G173" s="3">
        <f t="shared" si="12"/>
        <v>1018.1999999999999</v>
      </c>
      <c r="H173" s="3">
        <f t="shared" si="17"/>
        <v>53.8</v>
      </c>
      <c r="I173" s="17" t="s">
        <v>8</v>
      </c>
      <c r="J173" s="3">
        <v>0</v>
      </c>
      <c r="K173" s="3">
        <f t="shared" si="13"/>
        <v>290.39999999999998</v>
      </c>
      <c r="L173" s="3">
        <v>0.9</v>
      </c>
      <c r="M173" s="3">
        <f t="shared" si="14"/>
        <v>129.40000000000003</v>
      </c>
      <c r="N173" s="3">
        <v>-0.9</v>
      </c>
      <c r="O173" s="3">
        <f t="shared" si="19"/>
        <v>187.60000000000002</v>
      </c>
      <c r="P173" s="3">
        <v>124</v>
      </c>
      <c r="Q173" s="18">
        <f t="shared" si="20"/>
        <v>1.0101351351351351</v>
      </c>
      <c r="R173" s="10">
        <f t="shared" si="10"/>
        <v>0.90912162162162158</v>
      </c>
      <c r="S173" s="10">
        <f t="shared" si="11"/>
        <v>-0.90912162162162158</v>
      </c>
      <c r="T173" s="10">
        <f t="shared" si="15"/>
        <v>196.4908783783784</v>
      </c>
      <c r="U173" s="17" t="s">
        <v>9</v>
      </c>
      <c r="V173" s="3">
        <v>195.5</v>
      </c>
      <c r="X173" s="3">
        <f t="shared" si="16"/>
        <v>68897</v>
      </c>
      <c r="Y173" s="3">
        <f t="shared" si="18"/>
        <v>779.6</v>
      </c>
      <c r="Z173" s="17" t="s">
        <v>10</v>
      </c>
      <c r="AA173" s="15">
        <v>8.7633036242218001</v>
      </c>
    </row>
    <row r="174" spans="1:27" s="3" customFormat="1" x14ac:dyDescent="0.25">
      <c r="A174" s="63"/>
      <c r="B174" s="7"/>
      <c r="C174" s="16">
        <v>40559</v>
      </c>
      <c r="D174" s="3">
        <v>9</v>
      </c>
      <c r="E174" s="3">
        <v>6.9</v>
      </c>
      <c r="F174" s="3">
        <v>9.9</v>
      </c>
      <c r="G174" s="3">
        <f t="shared" si="12"/>
        <v>1027.1999999999998</v>
      </c>
      <c r="H174" s="3">
        <f t="shared" si="17"/>
        <v>62.8</v>
      </c>
      <c r="I174" s="3">
        <f>AVERAGE(D169:D242)</f>
        <v>7.3770270270270233</v>
      </c>
      <c r="J174" s="3">
        <v>0.7</v>
      </c>
      <c r="K174" s="3">
        <f t="shared" si="13"/>
        <v>291.09999999999997</v>
      </c>
      <c r="L174" s="3">
        <v>0.1</v>
      </c>
      <c r="M174" s="3">
        <f t="shared" si="14"/>
        <v>129.50000000000003</v>
      </c>
      <c r="N174" s="3">
        <v>0.6</v>
      </c>
      <c r="O174" s="3">
        <f t="shared" si="19"/>
        <v>188.20000000000002</v>
      </c>
      <c r="P174" s="3">
        <v>125</v>
      </c>
      <c r="Q174" s="18">
        <f t="shared" si="20"/>
        <v>1.0121621621621621</v>
      </c>
      <c r="R174" s="10">
        <f t="shared" si="10"/>
        <v>0.10121621621621622</v>
      </c>
      <c r="S174" s="10">
        <f t="shared" si="11"/>
        <v>0.59878378378378372</v>
      </c>
      <c r="T174" s="10">
        <f t="shared" si="15"/>
        <v>197.08966216216217</v>
      </c>
      <c r="U174" s="3">
        <v>0</v>
      </c>
      <c r="V174" s="3">
        <v>218.4</v>
      </c>
      <c r="X174" s="3">
        <f t="shared" si="16"/>
        <v>69115.399999999994</v>
      </c>
      <c r="Y174" s="3">
        <f t="shared" si="18"/>
        <v>998</v>
      </c>
      <c r="Z174" s="3">
        <v>57</v>
      </c>
      <c r="AA174" s="15">
        <v>8.7972139577765898</v>
      </c>
    </row>
    <row r="175" spans="1:27" s="3" customFormat="1" x14ac:dyDescent="0.25">
      <c r="A175" s="63"/>
      <c r="B175" s="7"/>
      <c r="C175" s="16">
        <v>40560</v>
      </c>
      <c r="D175" s="3">
        <v>10.4</v>
      </c>
      <c r="E175" s="3">
        <v>9.1999999999999993</v>
      </c>
      <c r="F175" s="3">
        <v>12.9</v>
      </c>
      <c r="G175" s="3">
        <f t="shared" si="12"/>
        <v>1037.5999999999999</v>
      </c>
      <c r="H175" s="3">
        <f t="shared" si="17"/>
        <v>73.2</v>
      </c>
      <c r="I175" s="17" t="s">
        <v>11</v>
      </c>
      <c r="J175" s="3">
        <v>1.2</v>
      </c>
      <c r="K175" s="3">
        <f t="shared" si="13"/>
        <v>292.29999999999995</v>
      </c>
      <c r="L175" s="3">
        <v>0.9</v>
      </c>
      <c r="M175" s="3">
        <f t="shared" si="14"/>
        <v>130.40000000000003</v>
      </c>
      <c r="N175" s="3">
        <v>0.29999999999999993</v>
      </c>
      <c r="O175" s="3">
        <f t="shared" si="19"/>
        <v>188.50000000000003</v>
      </c>
      <c r="P175" s="3">
        <v>126</v>
      </c>
      <c r="Q175" s="18">
        <f t="shared" si="20"/>
        <v>1.0141891891891892</v>
      </c>
      <c r="R175" s="10">
        <f t="shared" si="10"/>
        <v>0.91277027027027036</v>
      </c>
      <c r="S175" s="10">
        <f t="shared" si="11"/>
        <v>0.2872297297297296</v>
      </c>
      <c r="T175" s="10">
        <f t="shared" si="15"/>
        <v>197.37689189189189</v>
      </c>
      <c r="U175" s="17" t="s">
        <v>12</v>
      </c>
      <c r="V175" s="3">
        <v>197.3</v>
      </c>
      <c r="X175" s="3">
        <f t="shared" si="16"/>
        <v>69312.7</v>
      </c>
      <c r="Y175" s="3">
        <f t="shared" si="18"/>
        <v>1195.3</v>
      </c>
      <c r="AA175" s="15">
        <v>8.8322202273963804</v>
      </c>
    </row>
    <row r="176" spans="1:27" s="3" customFormat="1" x14ac:dyDescent="0.25">
      <c r="A176" s="63"/>
      <c r="B176" s="12"/>
      <c r="C176" s="16">
        <v>40561</v>
      </c>
      <c r="D176" s="3">
        <v>6.4</v>
      </c>
      <c r="E176" s="3">
        <v>4.4000000000000004</v>
      </c>
      <c r="F176" s="3">
        <v>8.3000000000000007</v>
      </c>
      <c r="G176" s="3">
        <f t="shared" si="12"/>
        <v>1044</v>
      </c>
      <c r="H176" s="3">
        <f t="shared" si="17"/>
        <v>79.600000000000009</v>
      </c>
      <c r="I176" s="3">
        <v>14</v>
      </c>
      <c r="J176" s="3">
        <v>0.2</v>
      </c>
      <c r="K176" s="3">
        <f t="shared" si="13"/>
        <v>292.49999999999994</v>
      </c>
      <c r="L176" s="3">
        <v>0.6</v>
      </c>
      <c r="M176" s="3">
        <f t="shared" si="14"/>
        <v>131.00000000000003</v>
      </c>
      <c r="N176" s="3">
        <v>-0.39999999999999997</v>
      </c>
      <c r="O176" s="3">
        <f t="shared" si="19"/>
        <v>188.10000000000002</v>
      </c>
      <c r="P176" s="3">
        <v>127</v>
      </c>
      <c r="Q176" s="18">
        <f t="shared" si="20"/>
        <v>1.0162162162162163</v>
      </c>
      <c r="R176" s="10">
        <f t="shared" si="10"/>
        <v>0.60972972972972972</v>
      </c>
      <c r="S176" s="10">
        <f t="shared" si="11"/>
        <v>-0.40972972972972971</v>
      </c>
      <c r="T176" s="10">
        <f t="shared" si="15"/>
        <v>196.96716216216217</v>
      </c>
      <c r="U176" s="10">
        <f>MIN(T169:T242)</f>
        <v>155.94993243243246</v>
      </c>
      <c r="V176" s="3">
        <v>258.39999999999998</v>
      </c>
      <c r="X176" s="3">
        <f t="shared" si="16"/>
        <v>69571.099999999991</v>
      </c>
      <c r="Y176" s="3">
        <f t="shared" si="18"/>
        <v>1453.6999999999998</v>
      </c>
      <c r="AA176" s="15">
        <v>8.8682922790623309</v>
      </c>
    </row>
    <row r="177" spans="1:27" s="3" customFormat="1" x14ac:dyDescent="0.25">
      <c r="A177" s="63"/>
      <c r="B177" s="12"/>
      <c r="C177" s="16">
        <v>40562</v>
      </c>
      <c r="D177" s="3">
        <v>1.8</v>
      </c>
      <c r="E177" s="3">
        <v>-2.4</v>
      </c>
      <c r="F177" s="3">
        <v>7.7</v>
      </c>
      <c r="G177" s="3">
        <f t="shared" si="12"/>
        <v>1045.8</v>
      </c>
      <c r="H177" s="3">
        <f t="shared" si="17"/>
        <v>81.400000000000006</v>
      </c>
      <c r="I177" s="17" t="s">
        <v>13</v>
      </c>
      <c r="J177" s="3">
        <v>0</v>
      </c>
      <c r="K177" s="3">
        <f t="shared" si="13"/>
        <v>292.49999999999994</v>
      </c>
      <c r="L177" s="3">
        <v>0.9</v>
      </c>
      <c r="M177" s="3">
        <f t="shared" si="14"/>
        <v>131.90000000000003</v>
      </c>
      <c r="N177" s="3">
        <v>-0.9</v>
      </c>
      <c r="O177" s="3">
        <f t="shared" si="19"/>
        <v>187.20000000000002</v>
      </c>
      <c r="P177" s="3">
        <v>128</v>
      </c>
      <c r="Q177" s="18">
        <f t="shared" si="20"/>
        <v>1.0182432432432433</v>
      </c>
      <c r="R177" s="10">
        <f t="shared" si="10"/>
        <v>0.91641891891891902</v>
      </c>
      <c r="S177" s="10">
        <f t="shared" si="11"/>
        <v>-0.91641891891891902</v>
      </c>
      <c r="T177" s="10">
        <f t="shared" si="15"/>
        <v>196.05074324324326</v>
      </c>
      <c r="U177" s="17" t="s">
        <v>14</v>
      </c>
      <c r="V177" s="3">
        <v>684.8</v>
      </c>
      <c r="X177" s="3">
        <f t="shared" si="16"/>
        <v>70255.899999999994</v>
      </c>
      <c r="Y177" s="3">
        <f t="shared" si="18"/>
        <v>2138.5</v>
      </c>
      <c r="AA177" s="15">
        <v>8.9053997843622401</v>
      </c>
    </row>
    <row r="178" spans="1:27" s="3" customFormat="1" x14ac:dyDescent="0.25">
      <c r="A178" s="63"/>
      <c r="B178" s="12"/>
      <c r="C178" s="16">
        <v>40563</v>
      </c>
      <c r="D178" s="3">
        <v>2.2999999999999998</v>
      </c>
      <c r="E178" s="3">
        <v>-1.8</v>
      </c>
      <c r="F178" s="3">
        <v>8.4</v>
      </c>
      <c r="G178" s="3">
        <f t="shared" si="12"/>
        <v>1048.0999999999999</v>
      </c>
      <c r="H178" s="3">
        <f t="shared" si="17"/>
        <v>83.7</v>
      </c>
      <c r="I178" s="3">
        <v>0</v>
      </c>
      <c r="J178" s="3">
        <v>0.1</v>
      </c>
      <c r="K178" s="3">
        <f t="shared" si="13"/>
        <v>292.59999999999997</v>
      </c>
      <c r="L178" s="3">
        <v>0.7</v>
      </c>
      <c r="M178" s="3">
        <f t="shared" si="14"/>
        <v>132.60000000000002</v>
      </c>
      <c r="N178" s="3">
        <v>-0.6</v>
      </c>
      <c r="O178" s="3">
        <f t="shared" si="19"/>
        <v>186.60000000000002</v>
      </c>
      <c r="P178" s="3">
        <v>129</v>
      </c>
      <c r="Q178" s="18">
        <f t="shared" si="20"/>
        <v>1.0202702702702702</v>
      </c>
      <c r="R178" s="10">
        <f t="shared" ref="R178:R241" si="21">Q178*L178</f>
        <v>0.71418918918918906</v>
      </c>
      <c r="S178" s="10">
        <f t="shared" ref="S178:S241" si="22">J178-R178</f>
        <v>-0.61418918918918908</v>
      </c>
      <c r="T178" s="10">
        <f t="shared" si="15"/>
        <v>195.43655405405408</v>
      </c>
      <c r="U178" s="10">
        <f>MAX(T169:T242)</f>
        <v>197.4</v>
      </c>
      <c r="V178" s="3">
        <v>391.2</v>
      </c>
      <c r="X178" s="3">
        <f t="shared" si="16"/>
        <v>70647.099999999991</v>
      </c>
      <c r="Y178" s="3">
        <f t="shared" si="18"/>
        <v>2529.6999999999998</v>
      </c>
      <c r="AA178" s="15">
        <v>8.9435123162883503</v>
      </c>
    </row>
    <row r="179" spans="1:27" s="3" customFormat="1" x14ac:dyDescent="0.25">
      <c r="A179" s="63"/>
      <c r="B179" s="12"/>
      <c r="C179" s="16">
        <v>40564</v>
      </c>
      <c r="D179" s="3">
        <v>2.5</v>
      </c>
      <c r="E179" s="3">
        <v>0.8</v>
      </c>
      <c r="F179" s="3">
        <v>5.5</v>
      </c>
      <c r="G179" s="3">
        <f t="shared" si="12"/>
        <v>1050.5999999999999</v>
      </c>
      <c r="H179" s="3">
        <f t="shared" si="17"/>
        <v>86.2</v>
      </c>
      <c r="I179" s="17" t="s">
        <v>15</v>
      </c>
      <c r="J179" s="3">
        <v>0</v>
      </c>
      <c r="K179" s="3">
        <f t="shared" si="13"/>
        <v>292.59999999999997</v>
      </c>
      <c r="L179" s="3">
        <v>0.6</v>
      </c>
      <c r="M179" s="3">
        <f t="shared" si="14"/>
        <v>133.20000000000002</v>
      </c>
      <c r="N179" s="3">
        <v>-0.6</v>
      </c>
      <c r="O179" s="3">
        <f t="shared" si="19"/>
        <v>186.00000000000003</v>
      </c>
      <c r="P179" s="3">
        <v>130</v>
      </c>
      <c r="Q179" s="18">
        <f t="shared" si="20"/>
        <v>1.0222972972972972</v>
      </c>
      <c r="R179" s="10">
        <f t="shared" si="21"/>
        <v>0.61337837837837828</v>
      </c>
      <c r="S179" s="10">
        <f t="shared" si="22"/>
        <v>-0.61337837837837828</v>
      </c>
      <c r="T179" s="10">
        <f t="shared" si="15"/>
        <v>194.82317567567571</v>
      </c>
      <c r="U179" s="17" t="s">
        <v>16</v>
      </c>
      <c r="V179" s="3">
        <v>602.1</v>
      </c>
      <c r="X179" s="3">
        <f t="shared" si="16"/>
        <v>71249.2</v>
      </c>
      <c r="Y179" s="3">
        <f t="shared" si="18"/>
        <v>3131.7999999999997</v>
      </c>
      <c r="AA179" s="15">
        <v>8.9825994217501801</v>
      </c>
    </row>
    <row r="180" spans="1:27" s="3" customFormat="1" x14ac:dyDescent="0.25">
      <c r="A180" s="63"/>
      <c r="B180" s="7"/>
      <c r="C180" s="16">
        <v>40565</v>
      </c>
      <c r="D180" s="3">
        <v>3</v>
      </c>
      <c r="E180" s="3">
        <v>-0.3</v>
      </c>
      <c r="F180" s="3">
        <v>5.2</v>
      </c>
      <c r="G180" s="3">
        <f t="shared" ref="G180:G243" si="23">G179+D180</f>
        <v>1053.5999999999999</v>
      </c>
      <c r="H180" s="3">
        <f t="shared" si="17"/>
        <v>89.2</v>
      </c>
      <c r="I180" s="3">
        <v>23</v>
      </c>
      <c r="J180" s="3">
        <v>0.4</v>
      </c>
      <c r="K180" s="3">
        <f t="shared" ref="K180:K243" si="24">K179+J180</f>
        <v>292.99999999999994</v>
      </c>
      <c r="L180" s="3">
        <v>0.4</v>
      </c>
      <c r="M180" s="3">
        <f t="shared" ref="M180:M243" si="25">M179+L180</f>
        <v>133.60000000000002</v>
      </c>
      <c r="N180" s="3">
        <v>0</v>
      </c>
      <c r="O180" s="3">
        <f t="shared" si="19"/>
        <v>186.00000000000003</v>
      </c>
      <c r="P180" s="3">
        <v>131</v>
      </c>
      <c r="Q180" s="18">
        <f t="shared" si="20"/>
        <v>1.0243243243243243</v>
      </c>
      <c r="R180" s="10">
        <f t="shared" si="21"/>
        <v>0.40972972972972976</v>
      </c>
      <c r="S180" s="10">
        <f t="shared" si="22"/>
        <v>-9.7297297297297414E-3</v>
      </c>
      <c r="T180" s="10">
        <f t="shared" ref="T180:T243" si="26">MIN(197.4,(T179+S180))</f>
        <v>194.81344594594597</v>
      </c>
      <c r="U180" s="18">
        <f>AVERAGE(T169:T242)</f>
        <v>188.63694119795468</v>
      </c>
      <c r="V180" s="3">
        <v>611.5</v>
      </c>
      <c r="X180" s="3">
        <f t="shared" ref="X180:X243" si="27">X179+V180</f>
        <v>71860.7</v>
      </c>
      <c r="Y180" s="3">
        <f t="shared" si="18"/>
        <v>3743.2999999999997</v>
      </c>
      <c r="AA180" s="3">
        <v>9.02263069059555</v>
      </c>
    </row>
    <row r="181" spans="1:27" s="3" customFormat="1" x14ac:dyDescent="0.25">
      <c r="A181" s="63"/>
      <c r="B181" s="7"/>
      <c r="C181" s="16">
        <v>40566</v>
      </c>
      <c r="D181" s="3">
        <v>5.6</v>
      </c>
      <c r="E181" s="3">
        <v>3.4</v>
      </c>
      <c r="F181" s="3">
        <v>6.5</v>
      </c>
      <c r="G181" s="3">
        <f t="shared" si="23"/>
        <v>1059.1999999999998</v>
      </c>
      <c r="H181" s="3">
        <f t="shared" si="17"/>
        <v>94.8</v>
      </c>
      <c r="I181" s="17" t="s">
        <v>17</v>
      </c>
      <c r="J181" s="3">
        <v>0.6</v>
      </c>
      <c r="K181" s="3">
        <f t="shared" si="24"/>
        <v>293.59999999999997</v>
      </c>
      <c r="L181" s="3">
        <v>0.5</v>
      </c>
      <c r="M181" s="3">
        <f t="shared" si="25"/>
        <v>134.10000000000002</v>
      </c>
      <c r="N181" s="3">
        <v>9.9999999999999978E-2</v>
      </c>
      <c r="O181" s="3">
        <f t="shared" si="19"/>
        <v>186.10000000000002</v>
      </c>
      <c r="P181" s="3">
        <v>132</v>
      </c>
      <c r="Q181" s="18">
        <f t="shared" si="20"/>
        <v>1.0263513513513514</v>
      </c>
      <c r="R181" s="10">
        <f t="shared" si="21"/>
        <v>0.51317567567567568</v>
      </c>
      <c r="S181" s="10">
        <f t="shared" si="22"/>
        <v>8.6824324324324298E-2</v>
      </c>
      <c r="T181" s="10">
        <f t="shared" si="26"/>
        <v>194.90027027027028</v>
      </c>
      <c r="V181" s="3">
        <v>252.1</v>
      </c>
      <c r="X181" s="3">
        <f t="shared" si="27"/>
        <v>72112.800000000003</v>
      </c>
      <c r="Y181" s="3">
        <f t="shared" si="18"/>
        <v>3995.3999999999996</v>
      </c>
      <c r="AA181" s="3">
        <v>9.0635758209727104</v>
      </c>
    </row>
    <row r="182" spans="1:27" s="3" customFormat="1" x14ac:dyDescent="0.25">
      <c r="A182" s="63"/>
      <c r="B182" s="7"/>
      <c r="C182" s="16">
        <v>40567</v>
      </c>
      <c r="D182" s="3">
        <v>5.8</v>
      </c>
      <c r="E182" s="3">
        <v>5.9</v>
      </c>
      <c r="F182" s="3">
        <v>6.9</v>
      </c>
      <c r="G182" s="3">
        <f t="shared" si="23"/>
        <v>1064.9999999999998</v>
      </c>
      <c r="H182" s="3">
        <f t="shared" si="17"/>
        <v>100.6</v>
      </c>
      <c r="I182" s="3">
        <v>545.9</v>
      </c>
      <c r="J182" s="3">
        <v>0.2</v>
      </c>
      <c r="K182" s="3">
        <f t="shared" si="24"/>
        <v>293.79999999999995</v>
      </c>
      <c r="L182" s="3">
        <v>0.6</v>
      </c>
      <c r="M182" s="3">
        <f t="shared" si="25"/>
        <v>134.70000000000002</v>
      </c>
      <c r="N182" s="3">
        <v>-0.39999999999999997</v>
      </c>
      <c r="O182" s="3">
        <f t="shared" si="19"/>
        <v>185.70000000000002</v>
      </c>
      <c r="P182" s="3">
        <v>133</v>
      </c>
      <c r="Q182" s="18">
        <f t="shared" si="20"/>
        <v>1.0283783783783784</v>
      </c>
      <c r="R182" s="10">
        <f t="shared" si="21"/>
        <v>0.61702702702702705</v>
      </c>
      <c r="S182" s="10">
        <f t="shared" si="22"/>
        <v>-0.41702702702702704</v>
      </c>
      <c r="T182" s="10">
        <f t="shared" si="26"/>
        <v>194.48324324324327</v>
      </c>
      <c r="U182" s="10">
        <f>(U180*100)/197.4</f>
        <v>95.560760485286067</v>
      </c>
      <c r="V182" s="3">
        <v>349.4</v>
      </c>
      <c r="X182" s="3">
        <f t="shared" si="27"/>
        <v>72462.2</v>
      </c>
      <c r="Y182" s="3">
        <f t="shared" si="18"/>
        <v>4344.7999999999993</v>
      </c>
      <c r="AA182" s="3">
        <v>9.1054046809047993</v>
      </c>
    </row>
    <row r="183" spans="1:27" s="3" customFormat="1" x14ac:dyDescent="0.25">
      <c r="A183" s="63"/>
      <c r="B183" s="7"/>
      <c r="C183" s="16">
        <v>40568</v>
      </c>
      <c r="D183" s="3">
        <v>5.7</v>
      </c>
      <c r="E183" s="3">
        <v>2.6</v>
      </c>
      <c r="F183" s="3">
        <v>8.1999999999999993</v>
      </c>
      <c r="G183" s="3">
        <f t="shared" si="23"/>
        <v>1070.6999999999998</v>
      </c>
      <c r="H183" s="3">
        <f t="shared" si="17"/>
        <v>106.3</v>
      </c>
      <c r="J183" s="3">
        <v>3.6</v>
      </c>
      <c r="K183" s="3">
        <f t="shared" si="24"/>
        <v>297.39999999999998</v>
      </c>
      <c r="L183" s="3">
        <v>0.4</v>
      </c>
      <c r="M183" s="3">
        <f t="shared" si="25"/>
        <v>135.10000000000002</v>
      </c>
      <c r="N183" s="3">
        <v>3.2</v>
      </c>
      <c r="O183" s="3">
        <f t="shared" si="19"/>
        <v>188.9</v>
      </c>
      <c r="P183" s="3">
        <v>134</v>
      </c>
      <c r="Q183" s="18">
        <f t="shared" si="20"/>
        <v>1.0304054054054055</v>
      </c>
      <c r="R183" s="10">
        <f t="shared" si="21"/>
        <v>0.41216216216216223</v>
      </c>
      <c r="S183" s="10">
        <f t="shared" si="22"/>
        <v>3.1878378378378378</v>
      </c>
      <c r="T183" s="10">
        <f t="shared" si="26"/>
        <v>197.4</v>
      </c>
      <c r="V183" s="3">
        <v>251.7</v>
      </c>
      <c r="X183" s="3">
        <f t="shared" si="27"/>
        <v>72713.899999999994</v>
      </c>
      <c r="Y183" s="3">
        <f t="shared" si="18"/>
        <v>4596.4999999999991</v>
      </c>
      <c r="AA183" s="3">
        <v>9.1480873659837592</v>
      </c>
    </row>
    <row r="184" spans="1:27" s="3" customFormat="1" x14ac:dyDescent="0.25">
      <c r="A184" s="63"/>
      <c r="B184" s="7"/>
      <c r="C184" s="16">
        <v>40569</v>
      </c>
      <c r="D184" s="3">
        <v>6.7</v>
      </c>
      <c r="E184" s="3">
        <v>5.3</v>
      </c>
      <c r="F184" s="3">
        <v>8.8000000000000007</v>
      </c>
      <c r="G184" s="3">
        <f t="shared" si="23"/>
        <v>1077.3999999999999</v>
      </c>
      <c r="H184" s="3">
        <f t="shared" si="17"/>
        <v>113</v>
      </c>
      <c r="J184" s="3">
        <v>2.8</v>
      </c>
      <c r="K184" s="3">
        <f t="shared" si="24"/>
        <v>300.2</v>
      </c>
      <c r="L184" s="3">
        <v>0.5</v>
      </c>
      <c r="M184" s="3">
        <f t="shared" si="25"/>
        <v>135.60000000000002</v>
      </c>
      <c r="N184" s="3">
        <v>2.2999999999999998</v>
      </c>
      <c r="O184" s="3">
        <f t="shared" si="19"/>
        <v>191.20000000000002</v>
      </c>
      <c r="P184" s="3">
        <v>135</v>
      </c>
      <c r="Q184" s="18">
        <f t="shared" si="20"/>
        <v>1.0324324324324323</v>
      </c>
      <c r="R184" s="10">
        <f t="shared" si="21"/>
        <v>0.51621621621621616</v>
      </c>
      <c r="S184" s="10">
        <f t="shared" si="22"/>
        <v>2.2837837837837838</v>
      </c>
      <c r="T184" s="10">
        <f t="shared" si="26"/>
        <v>197.4</v>
      </c>
      <c r="V184" s="3">
        <v>209.5</v>
      </c>
      <c r="X184" s="3">
        <f t="shared" si="27"/>
        <v>72923.399999999994</v>
      </c>
      <c r="Y184" s="3">
        <f t="shared" si="18"/>
        <v>4805.9999999999991</v>
      </c>
      <c r="AA184" s="3">
        <v>9.1915942531253005</v>
      </c>
    </row>
    <row r="185" spans="1:27" s="3" customFormat="1" x14ac:dyDescent="0.25">
      <c r="A185" s="63"/>
      <c r="B185" s="7"/>
      <c r="C185" s="16">
        <v>40570</v>
      </c>
      <c r="D185" s="3">
        <v>4.2</v>
      </c>
      <c r="E185" s="3">
        <v>3.6</v>
      </c>
      <c r="F185" s="3">
        <v>5</v>
      </c>
      <c r="G185" s="3">
        <f t="shared" si="23"/>
        <v>1081.5999999999999</v>
      </c>
      <c r="H185" s="3">
        <f t="shared" si="17"/>
        <v>117.2</v>
      </c>
      <c r="J185" s="3">
        <v>0</v>
      </c>
      <c r="K185" s="3">
        <f t="shared" si="24"/>
        <v>300.2</v>
      </c>
      <c r="L185" s="3">
        <v>0.9</v>
      </c>
      <c r="M185" s="3">
        <f t="shared" si="25"/>
        <v>136.50000000000003</v>
      </c>
      <c r="N185" s="3">
        <v>-0.9</v>
      </c>
      <c r="O185" s="3">
        <f t="shared" si="19"/>
        <v>190.3</v>
      </c>
      <c r="P185" s="3">
        <v>136</v>
      </c>
      <c r="Q185" s="18">
        <f t="shared" si="20"/>
        <v>1.0344594594594594</v>
      </c>
      <c r="R185" s="10">
        <f t="shared" si="21"/>
        <v>0.93101351351351347</v>
      </c>
      <c r="S185" s="10">
        <f t="shared" si="22"/>
        <v>-0.93101351351351347</v>
      </c>
      <c r="T185" s="10">
        <f t="shared" si="26"/>
        <v>196.4689864864865</v>
      </c>
      <c r="V185" s="3">
        <v>222.3</v>
      </c>
      <c r="X185" s="3">
        <f t="shared" si="27"/>
        <v>73145.7</v>
      </c>
      <c r="Y185" s="3">
        <f t="shared" si="18"/>
        <v>5028.2999999999993</v>
      </c>
      <c r="AA185" s="3">
        <v>9.2358960503577805</v>
      </c>
    </row>
    <row r="186" spans="1:27" s="3" customFormat="1" x14ac:dyDescent="0.25">
      <c r="A186" s="63"/>
      <c r="B186" s="7"/>
      <c r="C186" s="16">
        <v>40571</v>
      </c>
      <c r="D186" s="3">
        <v>0.6</v>
      </c>
      <c r="E186" s="3">
        <v>-0.8</v>
      </c>
      <c r="F186" s="3">
        <v>1.2</v>
      </c>
      <c r="G186" s="3">
        <f t="shared" si="23"/>
        <v>1082.1999999999998</v>
      </c>
      <c r="H186" s="3">
        <f t="shared" ref="H186:H242" si="28">H185+D186</f>
        <v>117.8</v>
      </c>
      <c r="J186" s="3">
        <v>0</v>
      </c>
      <c r="K186" s="3">
        <f t="shared" si="24"/>
        <v>300.2</v>
      </c>
      <c r="L186" s="3">
        <v>0.7</v>
      </c>
      <c r="M186" s="3">
        <f t="shared" si="25"/>
        <v>137.20000000000002</v>
      </c>
      <c r="N186" s="3">
        <v>-0.7</v>
      </c>
      <c r="O186" s="3">
        <f t="shared" si="19"/>
        <v>189.60000000000002</v>
      </c>
      <c r="P186" s="3">
        <v>137</v>
      </c>
      <c r="Q186" s="18">
        <f t="shared" si="20"/>
        <v>1.0364864864864864</v>
      </c>
      <c r="R186" s="10">
        <f t="shared" si="21"/>
        <v>0.72554054054054051</v>
      </c>
      <c r="S186" s="10">
        <f t="shared" si="22"/>
        <v>-0.72554054054054051</v>
      </c>
      <c r="T186" s="10">
        <f t="shared" si="26"/>
        <v>195.74344594594595</v>
      </c>
      <c r="V186" s="3">
        <v>225.9</v>
      </c>
      <c r="X186" s="3">
        <f t="shared" si="27"/>
        <v>73371.599999999991</v>
      </c>
      <c r="Y186" s="3">
        <f t="shared" ref="Y186:Y249" si="29">Y185+V186</f>
        <v>5254.1999999999989</v>
      </c>
      <c r="AA186" s="3">
        <v>9.2809638426474006</v>
      </c>
    </row>
    <row r="187" spans="1:27" s="3" customFormat="1" x14ac:dyDescent="0.25">
      <c r="A187" s="63"/>
      <c r="B187" s="7"/>
      <c r="C187" s="16">
        <v>40572</v>
      </c>
      <c r="D187" s="3">
        <v>0.9</v>
      </c>
      <c r="E187" s="3">
        <v>-0.5</v>
      </c>
      <c r="F187" s="3">
        <v>4.2</v>
      </c>
      <c r="G187" s="3">
        <f t="shared" si="23"/>
        <v>1083.0999999999999</v>
      </c>
      <c r="H187" s="3">
        <f t="shared" si="28"/>
        <v>118.7</v>
      </c>
      <c r="J187" s="3">
        <v>0</v>
      </c>
      <c r="K187" s="3">
        <f t="shared" si="24"/>
        <v>300.2</v>
      </c>
      <c r="L187" s="3">
        <v>1</v>
      </c>
      <c r="M187" s="3">
        <f t="shared" si="25"/>
        <v>138.20000000000002</v>
      </c>
      <c r="N187" s="3">
        <v>-1</v>
      </c>
      <c r="O187" s="3">
        <f t="shared" si="19"/>
        <v>188.60000000000002</v>
      </c>
      <c r="P187" s="3">
        <v>138</v>
      </c>
      <c r="Q187" s="18">
        <f t="shared" si="20"/>
        <v>1.0385135135135135</v>
      </c>
      <c r="R187" s="10">
        <f t="shared" si="21"/>
        <v>1.0385135135135135</v>
      </c>
      <c r="S187" s="10">
        <f t="shared" si="22"/>
        <v>-1.0385135135135135</v>
      </c>
      <c r="T187" s="10">
        <f t="shared" si="26"/>
        <v>194.70493243243243</v>
      </c>
      <c r="V187" s="3">
        <v>849.1</v>
      </c>
      <c r="X187" s="3">
        <f t="shared" si="27"/>
        <v>74220.7</v>
      </c>
      <c r="Y187" s="3">
        <f t="shared" si="29"/>
        <v>6103.2999999999993</v>
      </c>
      <c r="AA187" s="3">
        <v>9.3267691337885896</v>
      </c>
    </row>
    <row r="188" spans="1:27" s="3" customFormat="1" x14ac:dyDescent="0.25">
      <c r="A188" s="63"/>
      <c r="B188" s="7"/>
      <c r="C188" s="16">
        <v>40573</v>
      </c>
      <c r="D188" s="3">
        <v>-0.8</v>
      </c>
      <c r="E188" s="3">
        <v>-1.7</v>
      </c>
      <c r="F188" s="3">
        <v>2.1</v>
      </c>
      <c r="G188" s="3">
        <v>1083.0999999999999</v>
      </c>
      <c r="H188" s="3">
        <f t="shared" si="28"/>
        <v>117.9</v>
      </c>
      <c r="J188" s="3">
        <v>0</v>
      </c>
      <c r="K188" s="3">
        <f t="shared" si="24"/>
        <v>300.2</v>
      </c>
      <c r="L188" s="3">
        <v>0.7</v>
      </c>
      <c r="M188" s="3">
        <f t="shared" si="25"/>
        <v>138.9</v>
      </c>
      <c r="N188" s="3">
        <v>-0.7</v>
      </c>
      <c r="O188" s="3">
        <f t="shared" si="19"/>
        <v>187.90000000000003</v>
      </c>
      <c r="P188" s="3">
        <v>139</v>
      </c>
      <c r="Q188" s="18">
        <f t="shared" si="20"/>
        <v>1.0405405405405406</v>
      </c>
      <c r="R188" s="10">
        <f t="shared" si="21"/>
        <v>0.72837837837837838</v>
      </c>
      <c r="S188" s="10">
        <f t="shared" si="22"/>
        <v>-0.72837837837837838</v>
      </c>
      <c r="T188" s="10">
        <f t="shared" si="26"/>
        <v>193.97655405405405</v>
      </c>
      <c r="V188" s="3">
        <v>554.29999999999995</v>
      </c>
      <c r="X188" s="3">
        <f t="shared" si="27"/>
        <v>74775</v>
      </c>
      <c r="Y188" s="3">
        <f t="shared" si="29"/>
        <v>6657.5999999999995</v>
      </c>
      <c r="AA188" s="3">
        <v>9.37328388441213</v>
      </c>
    </row>
    <row r="189" spans="1:27" s="3" customFormat="1" x14ac:dyDescent="0.25">
      <c r="A189" s="63"/>
      <c r="B189" s="7"/>
      <c r="C189" s="16">
        <v>40574</v>
      </c>
      <c r="D189" s="3">
        <v>-1.2</v>
      </c>
      <c r="E189" s="3">
        <v>-4</v>
      </c>
      <c r="F189" s="3">
        <v>0.7</v>
      </c>
      <c r="G189" s="3">
        <v>1083.0999999999999</v>
      </c>
      <c r="H189" s="3">
        <f t="shared" si="28"/>
        <v>116.7</v>
      </c>
      <c r="J189" s="3">
        <v>0</v>
      </c>
      <c r="K189" s="3">
        <f t="shared" si="24"/>
        <v>300.2</v>
      </c>
      <c r="L189" s="3">
        <v>0.7</v>
      </c>
      <c r="M189" s="3">
        <f t="shared" si="25"/>
        <v>139.6</v>
      </c>
      <c r="N189" s="3">
        <v>-0.7</v>
      </c>
      <c r="O189" s="3">
        <f t="shared" si="19"/>
        <v>187.20000000000005</v>
      </c>
      <c r="P189" s="3">
        <v>140</v>
      </c>
      <c r="Q189" s="18">
        <f t="shared" si="20"/>
        <v>1.0425675675675676</v>
      </c>
      <c r="R189" s="10">
        <f t="shared" si="21"/>
        <v>0.72979729729729725</v>
      </c>
      <c r="S189" s="10">
        <f t="shared" si="22"/>
        <v>-0.72979729729729725</v>
      </c>
      <c r="T189" s="10">
        <f t="shared" si="26"/>
        <v>193.24675675675675</v>
      </c>
      <c r="V189" s="3">
        <v>684.6</v>
      </c>
      <c r="X189" s="3">
        <f t="shared" si="27"/>
        <v>75459.600000000006</v>
      </c>
      <c r="Y189" s="3">
        <f t="shared" si="29"/>
        <v>7342.2</v>
      </c>
      <c r="AA189" s="3">
        <v>9.4204805461851908</v>
      </c>
    </row>
    <row r="190" spans="1:27" s="3" customFormat="1" x14ac:dyDescent="0.25">
      <c r="A190" s="63"/>
      <c r="B190" s="7"/>
      <c r="C190" s="16">
        <v>40575</v>
      </c>
      <c r="D190" s="3">
        <v>2.2000000000000002</v>
      </c>
      <c r="E190" s="3">
        <v>-0.9</v>
      </c>
      <c r="F190" s="3">
        <v>4.4000000000000004</v>
      </c>
      <c r="G190" s="3">
        <f t="shared" si="23"/>
        <v>1085.3</v>
      </c>
      <c r="H190" s="3">
        <f t="shared" si="28"/>
        <v>118.9</v>
      </c>
      <c r="J190" s="3">
        <v>0.2</v>
      </c>
      <c r="K190" s="3">
        <f t="shared" si="24"/>
        <v>300.39999999999998</v>
      </c>
      <c r="L190" s="3">
        <v>0.5</v>
      </c>
      <c r="M190" s="3">
        <f t="shared" si="25"/>
        <v>140.1</v>
      </c>
      <c r="N190" s="3">
        <v>-0.3</v>
      </c>
      <c r="O190" s="3">
        <f t="shared" si="19"/>
        <v>186.90000000000003</v>
      </c>
      <c r="P190" s="3">
        <v>141</v>
      </c>
      <c r="Q190" s="18">
        <f t="shared" si="20"/>
        <v>1.0445945945945945</v>
      </c>
      <c r="R190" s="10">
        <f t="shared" si="21"/>
        <v>0.52229729729729724</v>
      </c>
      <c r="S190" s="10">
        <f t="shared" si="22"/>
        <v>-0.32229729729729722</v>
      </c>
      <c r="T190" s="10">
        <f t="shared" si="26"/>
        <v>192.92445945945946</v>
      </c>
      <c r="V190" s="3">
        <v>322.3</v>
      </c>
      <c r="X190" s="3">
        <f t="shared" si="27"/>
        <v>75781.900000000009</v>
      </c>
      <c r="Y190" s="3">
        <f t="shared" si="29"/>
        <v>7664.5</v>
      </c>
      <c r="AA190" s="3">
        <v>9.4683320922958405</v>
      </c>
    </row>
    <row r="191" spans="1:27" s="3" customFormat="1" x14ac:dyDescent="0.25">
      <c r="A191" s="63"/>
      <c r="B191" s="7"/>
      <c r="C191" s="16">
        <v>40576</v>
      </c>
      <c r="D191" s="3">
        <v>5.9</v>
      </c>
      <c r="E191" s="3">
        <v>3.3</v>
      </c>
      <c r="F191" s="3">
        <v>9.1999999999999993</v>
      </c>
      <c r="G191" s="3">
        <f t="shared" si="23"/>
        <v>1091.2</v>
      </c>
      <c r="H191" s="3">
        <f t="shared" si="28"/>
        <v>124.80000000000001</v>
      </c>
      <c r="J191" s="3">
        <v>1.4</v>
      </c>
      <c r="K191" s="3">
        <f t="shared" si="24"/>
        <v>301.79999999999995</v>
      </c>
      <c r="L191" s="3">
        <v>0.5</v>
      </c>
      <c r="M191" s="3">
        <f t="shared" si="25"/>
        <v>140.6</v>
      </c>
      <c r="N191" s="3">
        <v>0.89999999999999991</v>
      </c>
      <c r="O191" s="3">
        <f t="shared" si="19"/>
        <v>187.80000000000004</v>
      </c>
      <c r="P191" s="3">
        <v>142</v>
      </c>
      <c r="Q191" s="18">
        <f t="shared" si="20"/>
        <v>1.0466216216216215</v>
      </c>
      <c r="R191" s="10">
        <f t="shared" si="21"/>
        <v>0.52331081081081077</v>
      </c>
      <c r="S191" s="10">
        <f t="shared" si="22"/>
        <v>0.87668918918918914</v>
      </c>
      <c r="T191" s="10">
        <f t="shared" si="26"/>
        <v>193.80114864864865</v>
      </c>
      <c r="V191" s="3">
        <v>266.5</v>
      </c>
      <c r="X191" s="3">
        <f t="shared" si="27"/>
        <v>76048.400000000009</v>
      </c>
      <c r="Y191" s="3">
        <f t="shared" si="29"/>
        <v>7931</v>
      </c>
      <c r="AA191" s="3">
        <v>9.5168120443305408</v>
      </c>
    </row>
    <row r="192" spans="1:27" s="3" customFormat="1" x14ac:dyDescent="0.25">
      <c r="A192" s="63"/>
      <c r="B192" s="7"/>
      <c r="C192" s="16">
        <v>40577</v>
      </c>
      <c r="D192" s="3">
        <v>9.1</v>
      </c>
      <c r="E192" s="3">
        <v>8</v>
      </c>
      <c r="F192" s="3">
        <v>11.5</v>
      </c>
      <c r="G192" s="3">
        <f t="shared" si="23"/>
        <v>1100.3</v>
      </c>
      <c r="H192" s="3">
        <f t="shared" si="28"/>
        <v>133.9</v>
      </c>
      <c r="J192" s="3">
        <v>0.1</v>
      </c>
      <c r="K192" s="3">
        <f t="shared" si="24"/>
        <v>301.89999999999998</v>
      </c>
      <c r="L192" s="3">
        <v>1.2</v>
      </c>
      <c r="M192" s="3">
        <f t="shared" si="25"/>
        <v>141.79999999999998</v>
      </c>
      <c r="N192" s="3">
        <v>-1.0999999999999999</v>
      </c>
      <c r="O192" s="3">
        <f t="shared" si="19"/>
        <v>186.70000000000005</v>
      </c>
      <c r="P192" s="3">
        <v>143</v>
      </c>
      <c r="Q192" s="18">
        <f t="shared" si="20"/>
        <v>1.0486486486486486</v>
      </c>
      <c r="R192" s="10">
        <f t="shared" si="21"/>
        <v>1.2583783783783782</v>
      </c>
      <c r="S192" s="10">
        <f t="shared" si="22"/>
        <v>-1.1583783783783781</v>
      </c>
      <c r="T192" s="10">
        <f t="shared" si="26"/>
        <v>192.64277027027026</v>
      </c>
      <c r="V192" s="3">
        <v>747.2</v>
      </c>
      <c r="X192" s="3">
        <f t="shared" si="27"/>
        <v>76795.600000000006</v>
      </c>
      <c r="Y192" s="3">
        <f t="shared" si="29"/>
        <v>8678.2000000000007</v>
      </c>
      <c r="AA192" s="3">
        <v>9.5658944956672105</v>
      </c>
    </row>
    <row r="193" spans="1:27" s="3" customFormat="1" x14ac:dyDescent="0.25">
      <c r="A193" s="63"/>
      <c r="B193" s="7"/>
      <c r="C193" s="16">
        <v>40578</v>
      </c>
      <c r="D193" s="3">
        <v>10.1</v>
      </c>
      <c r="E193" s="3">
        <v>6.7</v>
      </c>
      <c r="F193" s="3">
        <v>12.2</v>
      </c>
      <c r="G193" s="3">
        <f t="shared" si="23"/>
        <v>1110.3999999999999</v>
      </c>
      <c r="H193" s="3">
        <f t="shared" si="28"/>
        <v>144</v>
      </c>
      <c r="J193" s="3">
        <v>0</v>
      </c>
      <c r="K193" s="3">
        <f t="shared" si="24"/>
        <v>301.89999999999998</v>
      </c>
      <c r="L193" s="3">
        <v>0.9</v>
      </c>
      <c r="M193" s="3">
        <f t="shared" si="25"/>
        <v>142.69999999999999</v>
      </c>
      <c r="N193" s="3">
        <v>-0.9</v>
      </c>
      <c r="O193" s="3">
        <f t="shared" ref="O193:O206" si="30">O192+N193</f>
        <v>185.80000000000004</v>
      </c>
      <c r="P193" s="3">
        <v>144</v>
      </c>
      <c r="Q193" s="18">
        <f t="shared" si="20"/>
        <v>1.0506756756756757</v>
      </c>
      <c r="R193" s="10">
        <f t="shared" si="21"/>
        <v>0.94560810810810814</v>
      </c>
      <c r="S193" s="10">
        <f t="shared" si="22"/>
        <v>-0.94560810810810814</v>
      </c>
      <c r="T193" s="10">
        <f t="shared" si="26"/>
        <v>191.69716216216216</v>
      </c>
      <c r="V193" s="3">
        <v>162.80000000000001</v>
      </c>
      <c r="X193" s="3">
        <f t="shared" si="27"/>
        <v>76958.400000000009</v>
      </c>
      <c r="Y193" s="3">
        <f t="shared" si="29"/>
        <v>8841</v>
      </c>
      <c r="AA193" s="3">
        <v>9.6155541315168893</v>
      </c>
    </row>
    <row r="194" spans="1:27" s="3" customFormat="1" x14ac:dyDescent="0.25">
      <c r="A194" s="63"/>
      <c r="B194" s="7"/>
      <c r="C194" s="16">
        <v>40579</v>
      </c>
      <c r="D194" s="3">
        <v>11</v>
      </c>
      <c r="E194" s="3">
        <v>10.5</v>
      </c>
      <c r="F194" s="3">
        <v>12.5</v>
      </c>
      <c r="G194" s="3">
        <f t="shared" si="23"/>
        <v>1121.3999999999999</v>
      </c>
      <c r="H194" s="3">
        <f t="shared" si="28"/>
        <v>155</v>
      </c>
      <c r="J194" s="3">
        <v>0</v>
      </c>
      <c r="K194" s="3">
        <f t="shared" si="24"/>
        <v>301.89999999999998</v>
      </c>
      <c r="L194" s="3">
        <v>1.7</v>
      </c>
      <c r="M194" s="3">
        <f t="shared" si="25"/>
        <v>144.39999999999998</v>
      </c>
      <c r="N194" s="3">
        <v>-1.7</v>
      </c>
      <c r="O194" s="3">
        <f t="shared" si="30"/>
        <v>184.10000000000005</v>
      </c>
      <c r="P194" s="3">
        <v>145</v>
      </c>
      <c r="Q194" s="18">
        <f t="shared" si="20"/>
        <v>1.0527027027027027</v>
      </c>
      <c r="R194" s="10">
        <f t="shared" si="21"/>
        <v>1.7895945945945946</v>
      </c>
      <c r="S194" s="10">
        <f t="shared" si="22"/>
        <v>-1.7895945945945946</v>
      </c>
      <c r="T194" s="10">
        <f t="shared" si="26"/>
        <v>189.90756756756755</v>
      </c>
      <c r="V194" s="3">
        <v>174.3</v>
      </c>
      <c r="X194" s="3">
        <f t="shared" si="27"/>
        <v>77132.700000000012</v>
      </c>
      <c r="Y194" s="3">
        <f t="shared" si="29"/>
        <v>9015.2999999999993</v>
      </c>
      <c r="AA194" s="3">
        <v>9.6657662457569504</v>
      </c>
    </row>
    <row r="195" spans="1:27" s="3" customFormat="1" x14ac:dyDescent="0.25">
      <c r="A195" s="63"/>
      <c r="B195" s="7"/>
      <c r="C195" s="16">
        <v>40580</v>
      </c>
      <c r="D195" s="3">
        <v>9.3000000000000007</v>
      </c>
      <c r="E195" s="3">
        <v>9.1</v>
      </c>
      <c r="F195" s="3">
        <v>10.3</v>
      </c>
      <c r="G195" s="3">
        <f t="shared" si="23"/>
        <v>1130.6999999999998</v>
      </c>
      <c r="H195" s="3">
        <f t="shared" si="28"/>
        <v>164.3</v>
      </c>
      <c r="J195" s="3">
        <v>0</v>
      </c>
      <c r="K195" s="3">
        <f t="shared" si="24"/>
        <v>301.89999999999998</v>
      </c>
      <c r="L195" s="3">
        <v>1.4</v>
      </c>
      <c r="M195" s="3">
        <f t="shared" si="25"/>
        <v>145.79999999999998</v>
      </c>
      <c r="N195" s="3">
        <v>-1.4</v>
      </c>
      <c r="O195" s="3">
        <f t="shared" si="30"/>
        <v>182.70000000000005</v>
      </c>
      <c r="P195" s="3">
        <v>146</v>
      </c>
      <c r="Q195" s="18">
        <f t="shared" si="20"/>
        <v>1.0547297297297298</v>
      </c>
      <c r="R195" s="10">
        <f t="shared" si="21"/>
        <v>1.4766216216216217</v>
      </c>
      <c r="S195" s="10">
        <f t="shared" si="22"/>
        <v>-1.4766216216216217</v>
      </c>
      <c r="T195" s="10">
        <f t="shared" si="26"/>
        <v>188.43094594594592</v>
      </c>
      <c r="V195" s="3">
        <v>183.1</v>
      </c>
      <c r="X195" s="3">
        <f t="shared" si="27"/>
        <v>77315.800000000017</v>
      </c>
      <c r="Y195" s="3">
        <f t="shared" si="29"/>
        <v>9198.4</v>
      </c>
      <c r="AA195" s="3">
        <v>9.7165067547050707</v>
      </c>
    </row>
    <row r="196" spans="1:27" s="3" customFormat="1" x14ac:dyDescent="0.25">
      <c r="A196" s="63"/>
      <c r="B196" s="7"/>
      <c r="C196" s="16">
        <v>40581</v>
      </c>
      <c r="D196" s="3">
        <v>10.1</v>
      </c>
      <c r="E196" s="3">
        <v>7.3</v>
      </c>
      <c r="F196" s="3">
        <v>13.5</v>
      </c>
      <c r="G196" s="3">
        <f t="shared" si="23"/>
        <v>1140.7999999999997</v>
      </c>
      <c r="H196" s="3">
        <f t="shared" si="28"/>
        <v>174.4</v>
      </c>
      <c r="J196" s="3">
        <v>1.8</v>
      </c>
      <c r="K196" s="3">
        <f t="shared" si="24"/>
        <v>303.7</v>
      </c>
      <c r="L196" s="3">
        <v>1.1000000000000001</v>
      </c>
      <c r="M196" s="3">
        <f t="shared" si="25"/>
        <v>146.89999999999998</v>
      </c>
      <c r="N196" s="3">
        <v>0.7</v>
      </c>
      <c r="O196" s="3">
        <f t="shared" si="30"/>
        <v>183.40000000000003</v>
      </c>
      <c r="P196" s="3">
        <v>147</v>
      </c>
      <c r="Q196" s="18">
        <f t="shared" si="20"/>
        <v>1.0567567567567566</v>
      </c>
      <c r="R196" s="10">
        <f t="shared" si="21"/>
        <v>1.1624324324324324</v>
      </c>
      <c r="S196" s="10">
        <f t="shared" si="22"/>
        <v>0.63756756756756761</v>
      </c>
      <c r="T196" s="10">
        <f t="shared" si="26"/>
        <v>189.06851351351349</v>
      </c>
      <c r="V196" s="3">
        <v>371.9</v>
      </c>
      <c r="X196" s="3">
        <f t="shared" si="27"/>
        <v>77687.700000000012</v>
      </c>
      <c r="Y196" s="3">
        <f t="shared" si="29"/>
        <v>9570.2999999999993</v>
      </c>
      <c r="AA196" s="3">
        <v>9.7677522079885293</v>
      </c>
    </row>
    <row r="197" spans="1:27" s="3" customFormat="1" x14ac:dyDescent="0.25">
      <c r="A197" s="63"/>
      <c r="B197" s="7"/>
      <c r="C197" s="16">
        <v>40582</v>
      </c>
      <c r="D197" s="3">
        <v>9.6</v>
      </c>
      <c r="E197" s="3">
        <v>8.8000000000000007</v>
      </c>
      <c r="F197" s="3">
        <v>11.7</v>
      </c>
      <c r="G197" s="3">
        <f t="shared" si="23"/>
        <v>1150.3999999999996</v>
      </c>
      <c r="H197" s="3">
        <f t="shared" si="28"/>
        <v>184</v>
      </c>
      <c r="J197" s="3">
        <v>0.5</v>
      </c>
      <c r="K197" s="3">
        <f t="shared" si="24"/>
        <v>304.2</v>
      </c>
      <c r="L197" s="3">
        <v>0.3</v>
      </c>
      <c r="M197" s="3">
        <f t="shared" si="25"/>
        <v>147.19999999999999</v>
      </c>
      <c r="N197" s="3">
        <v>0.2</v>
      </c>
      <c r="O197" s="3">
        <f t="shared" si="30"/>
        <v>183.60000000000002</v>
      </c>
      <c r="P197" s="3">
        <v>148</v>
      </c>
      <c r="Q197" s="18">
        <f t="shared" si="20"/>
        <v>1.0587837837837837</v>
      </c>
      <c r="R197" s="10">
        <f t="shared" si="21"/>
        <v>0.31763513513513508</v>
      </c>
      <c r="S197" s="10">
        <f t="shared" si="22"/>
        <v>0.18236486486486492</v>
      </c>
      <c r="T197" s="10">
        <f t="shared" si="26"/>
        <v>189.25087837837836</v>
      </c>
      <c r="V197" s="3">
        <v>240</v>
      </c>
      <c r="X197" s="3">
        <f t="shared" si="27"/>
        <v>77927.700000000012</v>
      </c>
      <c r="Y197" s="3">
        <f t="shared" si="29"/>
        <v>9810.2999999999993</v>
      </c>
      <c r="AA197" s="3">
        <v>9.8194797966666592</v>
      </c>
    </row>
    <row r="198" spans="1:27" s="3" customFormat="1" x14ac:dyDescent="0.25">
      <c r="A198" s="63"/>
      <c r="B198" s="7"/>
      <c r="C198" s="16">
        <v>40583</v>
      </c>
      <c r="D198" s="3">
        <v>8.1</v>
      </c>
      <c r="E198" s="3">
        <v>5.6</v>
      </c>
      <c r="F198" s="3">
        <v>9.6999999999999993</v>
      </c>
      <c r="G198" s="3">
        <f t="shared" si="23"/>
        <v>1158.4999999999995</v>
      </c>
      <c r="H198" s="3">
        <f t="shared" si="28"/>
        <v>192.1</v>
      </c>
      <c r="J198" s="3">
        <v>0.5</v>
      </c>
      <c r="K198" s="3">
        <f t="shared" si="24"/>
        <v>304.7</v>
      </c>
      <c r="L198" s="3">
        <v>0.8</v>
      </c>
      <c r="M198" s="3">
        <f t="shared" si="25"/>
        <v>148</v>
      </c>
      <c r="N198" s="3">
        <v>-0.30000000000000004</v>
      </c>
      <c r="O198" s="3">
        <f t="shared" si="30"/>
        <v>183.3</v>
      </c>
      <c r="P198" s="3">
        <v>149</v>
      </c>
      <c r="Q198" s="18">
        <f t="shared" si="20"/>
        <v>1.0608108108108107</v>
      </c>
      <c r="R198" s="10">
        <f t="shared" si="21"/>
        <v>0.84864864864864864</v>
      </c>
      <c r="S198" s="10">
        <f t="shared" si="22"/>
        <v>-0.34864864864864864</v>
      </c>
      <c r="T198" s="10">
        <f t="shared" si="26"/>
        <v>188.9022297297297</v>
      </c>
      <c r="V198" s="3">
        <v>767.3</v>
      </c>
      <c r="X198" s="3">
        <f t="shared" si="27"/>
        <v>78695.000000000015</v>
      </c>
      <c r="Y198" s="3">
        <f t="shared" si="29"/>
        <v>10577.599999999999</v>
      </c>
      <c r="AA198" s="3">
        <v>9.87166735876594</v>
      </c>
    </row>
    <row r="199" spans="1:27" s="3" customFormat="1" x14ac:dyDescent="0.25">
      <c r="A199" s="63"/>
      <c r="B199" s="7"/>
      <c r="C199" s="16">
        <v>40584</v>
      </c>
      <c r="D199" s="3">
        <v>11.4</v>
      </c>
      <c r="E199" s="3">
        <v>8.6</v>
      </c>
      <c r="F199" s="3">
        <v>15</v>
      </c>
      <c r="G199" s="3">
        <f t="shared" si="23"/>
        <v>1169.8999999999996</v>
      </c>
      <c r="H199" s="3">
        <f t="shared" si="28"/>
        <v>203.5</v>
      </c>
      <c r="J199" s="3">
        <v>0.2</v>
      </c>
      <c r="K199" s="3">
        <f t="shared" si="24"/>
        <v>304.89999999999998</v>
      </c>
      <c r="L199" s="3">
        <v>0.9</v>
      </c>
      <c r="M199" s="3">
        <f t="shared" si="25"/>
        <v>148.9</v>
      </c>
      <c r="N199" s="3">
        <v>-0.7</v>
      </c>
      <c r="O199" s="3">
        <f t="shared" si="30"/>
        <v>182.60000000000002</v>
      </c>
      <c r="P199" s="3">
        <v>150</v>
      </c>
      <c r="Q199" s="18">
        <f t="shared" si="20"/>
        <v>1.0628378378378378</v>
      </c>
      <c r="R199" s="10">
        <f t="shared" si="21"/>
        <v>0.95655405405405403</v>
      </c>
      <c r="S199" s="10">
        <f t="shared" si="22"/>
        <v>-0.75655405405405407</v>
      </c>
      <c r="T199" s="10">
        <f t="shared" si="26"/>
        <v>188.14567567567565</v>
      </c>
      <c r="V199" s="3">
        <v>362.6</v>
      </c>
      <c r="X199" s="3">
        <f t="shared" si="27"/>
        <v>79057.60000000002</v>
      </c>
      <c r="Y199" s="3">
        <f t="shared" si="29"/>
        <v>10940.199999999999</v>
      </c>
      <c r="AA199" s="3">
        <v>9.9242933823874697</v>
      </c>
    </row>
    <row r="200" spans="1:27" s="3" customFormat="1" x14ac:dyDescent="0.25">
      <c r="A200" s="63"/>
      <c r="B200" s="7"/>
      <c r="C200" s="16">
        <v>40585</v>
      </c>
      <c r="D200" s="3">
        <v>11.1</v>
      </c>
      <c r="E200" s="3">
        <v>7</v>
      </c>
      <c r="F200" s="3">
        <v>16.7</v>
      </c>
      <c r="G200" s="3">
        <f t="shared" si="23"/>
        <v>1180.9999999999995</v>
      </c>
      <c r="H200" s="3">
        <f t="shared" si="28"/>
        <v>214.6</v>
      </c>
      <c r="J200" s="3">
        <v>1.6</v>
      </c>
      <c r="K200" s="3">
        <f t="shared" si="24"/>
        <v>306.5</v>
      </c>
      <c r="L200" s="3">
        <v>1.8</v>
      </c>
      <c r="M200" s="3">
        <f t="shared" si="25"/>
        <v>150.70000000000002</v>
      </c>
      <c r="N200" s="3">
        <v>-0.19999999999999996</v>
      </c>
      <c r="O200" s="3">
        <f t="shared" si="30"/>
        <v>182.40000000000003</v>
      </c>
      <c r="P200" s="3">
        <v>151</v>
      </c>
      <c r="Q200" s="18">
        <f t="shared" si="20"/>
        <v>1.0648648648648649</v>
      </c>
      <c r="R200" s="10">
        <f t="shared" si="21"/>
        <v>1.9167567567567567</v>
      </c>
      <c r="S200" s="10">
        <f t="shared" si="22"/>
        <v>-0.31675675675675663</v>
      </c>
      <c r="T200" s="10">
        <f t="shared" si="26"/>
        <v>187.8289189189189</v>
      </c>
      <c r="V200" s="3">
        <v>954.2</v>
      </c>
      <c r="X200" s="3">
        <f t="shared" si="27"/>
        <v>80011.800000000017</v>
      </c>
      <c r="Y200" s="3">
        <f t="shared" si="29"/>
        <v>11894.4</v>
      </c>
      <c r="AA200" s="3">
        <v>9.9773370065455698</v>
      </c>
    </row>
    <row r="201" spans="1:27" s="3" customFormat="1" x14ac:dyDescent="0.25">
      <c r="A201" s="63"/>
      <c r="B201" s="7"/>
      <c r="C201" s="16">
        <v>40586</v>
      </c>
      <c r="D201" s="3">
        <v>9</v>
      </c>
      <c r="E201" s="3">
        <v>8.3000000000000007</v>
      </c>
      <c r="F201" s="3">
        <v>11.9</v>
      </c>
      <c r="G201" s="3">
        <f t="shared" si="23"/>
        <v>1189.9999999999995</v>
      </c>
      <c r="H201" s="3">
        <f t="shared" si="28"/>
        <v>223.6</v>
      </c>
      <c r="J201" s="3">
        <v>0.4</v>
      </c>
      <c r="K201" s="3">
        <f t="shared" si="24"/>
        <v>306.89999999999998</v>
      </c>
      <c r="L201" s="3">
        <v>1.3</v>
      </c>
      <c r="M201" s="3">
        <f t="shared" si="25"/>
        <v>152.00000000000003</v>
      </c>
      <c r="N201" s="3">
        <v>-0.9</v>
      </c>
      <c r="O201" s="3">
        <f t="shared" si="30"/>
        <v>181.50000000000003</v>
      </c>
      <c r="P201" s="3">
        <v>152</v>
      </c>
      <c r="Q201" s="18">
        <f t="shared" si="20"/>
        <v>1.0668918918918919</v>
      </c>
      <c r="R201" s="10">
        <f t="shared" si="21"/>
        <v>1.3869594594594596</v>
      </c>
      <c r="S201" s="10">
        <f t="shared" si="22"/>
        <v>-0.98695945945945962</v>
      </c>
      <c r="T201" s="10">
        <f t="shared" si="26"/>
        <v>186.84195945945945</v>
      </c>
      <c r="V201" s="3">
        <v>669.1</v>
      </c>
      <c r="X201" s="3">
        <f t="shared" si="27"/>
        <v>80680.900000000023</v>
      </c>
      <c r="Y201" s="3">
        <f t="shared" si="29"/>
        <v>12563.5</v>
      </c>
      <c r="AA201" s="3">
        <v>10.0307780198942</v>
      </c>
    </row>
    <row r="202" spans="1:27" s="3" customFormat="1" x14ac:dyDescent="0.25">
      <c r="A202" s="63"/>
      <c r="B202" s="7"/>
      <c r="C202" s="16">
        <v>40587</v>
      </c>
      <c r="D202" s="3">
        <v>7.5</v>
      </c>
      <c r="E202" s="3">
        <v>5.9</v>
      </c>
      <c r="F202" s="3">
        <v>8.8000000000000007</v>
      </c>
      <c r="G202" s="3">
        <f t="shared" si="23"/>
        <v>1197.4999999999995</v>
      </c>
      <c r="H202" s="3">
        <f t="shared" si="28"/>
        <v>231.1</v>
      </c>
      <c r="J202" s="3">
        <v>6.4</v>
      </c>
      <c r="K202" s="3">
        <f t="shared" si="24"/>
        <v>313.29999999999995</v>
      </c>
      <c r="L202" s="3">
        <v>0.4</v>
      </c>
      <c r="M202" s="3">
        <f t="shared" si="25"/>
        <v>152.40000000000003</v>
      </c>
      <c r="N202" s="3">
        <v>6</v>
      </c>
      <c r="O202" s="3">
        <f t="shared" si="30"/>
        <v>187.50000000000003</v>
      </c>
      <c r="P202" s="3">
        <v>153</v>
      </c>
      <c r="Q202" s="18">
        <f t="shared" si="20"/>
        <v>1.0689189189189188</v>
      </c>
      <c r="R202" s="10">
        <f t="shared" si="21"/>
        <v>0.42756756756756753</v>
      </c>
      <c r="S202" s="10">
        <f t="shared" si="22"/>
        <v>5.9724324324324325</v>
      </c>
      <c r="T202" s="10">
        <f t="shared" si="26"/>
        <v>192.81439189189189</v>
      </c>
      <c r="V202" s="3">
        <v>228.8</v>
      </c>
      <c r="X202" s="3">
        <f t="shared" si="27"/>
        <v>80909.700000000026</v>
      </c>
      <c r="Y202" s="3">
        <f t="shared" si="29"/>
        <v>12792.3</v>
      </c>
      <c r="AA202" s="3">
        <v>10.084596857494899</v>
      </c>
    </row>
    <row r="203" spans="1:27" s="3" customFormat="1" x14ac:dyDescent="0.25">
      <c r="A203" s="63"/>
      <c r="B203" s="7"/>
      <c r="C203" s="16">
        <v>40588</v>
      </c>
      <c r="D203" s="3">
        <v>5.3</v>
      </c>
      <c r="E203" s="3">
        <v>2.7</v>
      </c>
      <c r="F203" s="3">
        <v>8.3000000000000007</v>
      </c>
      <c r="G203" s="3">
        <f t="shared" si="23"/>
        <v>1202.7999999999995</v>
      </c>
      <c r="H203" s="3">
        <f t="shared" si="28"/>
        <v>236.4</v>
      </c>
      <c r="J203" s="3">
        <v>1.9</v>
      </c>
      <c r="K203" s="3">
        <f t="shared" si="24"/>
        <v>315.19999999999993</v>
      </c>
      <c r="L203" s="3">
        <v>0.8</v>
      </c>
      <c r="M203" s="3">
        <f t="shared" si="25"/>
        <v>153.20000000000005</v>
      </c>
      <c r="N203" s="3">
        <v>1.0999999999999999</v>
      </c>
      <c r="O203" s="3">
        <f t="shared" si="30"/>
        <v>188.60000000000002</v>
      </c>
      <c r="P203" s="3">
        <v>154</v>
      </c>
      <c r="Q203" s="18">
        <f t="shared" si="20"/>
        <v>1.0709459459459458</v>
      </c>
      <c r="R203" s="10">
        <f t="shared" si="21"/>
        <v>0.85675675675675667</v>
      </c>
      <c r="S203" s="10">
        <f t="shared" si="22"/>
        <v>1.0432432432432432</v>
      </c>
      <c r="T203" s="10">
        <f t="shared" si="26"/>
        <v>193.85763513513513</v>
      </c>
      <c r="V203" s="3">
        <v>865.4</v>
      </c>
      <c r="X203" s="3">
        <f t="shared" si="27"/>
        <v>81775.10000000002</v>
      </c>
      <c r="Y203" s="3">
        <f t="shared" si="29"/>
        <v>13657.699999999999</v>
      </c>
      <c r="AA203" s="3">
        <v>10.138774595775301</v>
      </c>
    </row>
    <row r="204" spans="1:27" s="3" customFormat="1" x14ac:dyDescent="0.25">
      <c r="A204" s="63"/>
      <c r="B204" s="7"/>
      <c r="C204" s="16">
        <v>40589</v>
      </c>
      <c r="D204" s="3">
        <v>6.8</v>
      </c>
      <c r="E204" s="3">
        <v>5.2</v>
      </c>
      <c r="F204" s="3">
        <v>10.1</v>
      </c>
      <c r="G204" s="3">
        <f t="shared" si="23"/>
        <v>1209.5999999999995</v>
      </c>
      <c r="H204" s="3">
        <f t="shared" si="28"/>
        <v>243.20000000000002</v>
      </c>
      <c r="J204" s="3">
        <v>2.7</v>
      </c>
      <c r="K204" s="3">
        <f t="shared" si="24"/>
        <v>317.89999999999992</v>
      </c>
      <c r="L204" s="3">
        <v>1.1000000000000001</v>
      </c>
      <c r="M204" s="3">
        <f t="shared" si="25"/>
        <v>154.30000000000004</v>
      </c>
      <c r="N204" s="3">
        <v>1.6</v>
      </c>
      <c r="O204" s="3">
        <f t="shared" si="30"/>
        <v>190.20000000000002</v>
      </c>
      <c r="P204" s="3">
        <v>155</v>
      </c>
      <c r="Q204" s="18">
        <f t="shared" si="20"/>
        <v>1.0729729729729729</v>
      </c>
      <c r="R204" s="10">
        <f t="shared" si="21"/>
        <v>1.1802702702702703</v>
      </c>
      <c r="S204" s="10">
        <f t="shared" si="22"/>
        <v>1.5197297297297299</v>
      </c>
      <c r="T204" s="10">
        <f t="shared" si="26"/>
        <v>195.37736486486486</v>
      </c>
      <c r="V204" s="3">
        <v>646.20000000000005</v>
      </c>
      <c r="X204" s="3">
        <f t="shared" si="27"/>
        <v>82421.300000000017</v>
      </c>
      <c r="Y204" s="3">
        <f t="shared" si="29"/>
        <v>14303.9</v>
      </c>
      <c r="AA204" s="3">
        <v>10.193292945824201</v>
      </c>
    </row>
    <row r="205" spans="1:27" s="3" customFormat="1" x14ac:dyDescent="0.25">
      <c r="A205" s="63"/>
      <c r="B205" s="7"/>
      <c r="C205" s="16">
        <v>40590</v>
      </c>
      <c r="D205" s="3">
        <v>6.7</v>
      </c>
      <c r="E205" s="3">
        <v>3.2</v>
      </c>
      <c r="F205" s="3">
        <v>10.7</v>
      </c>
      <c r="G205" s="3">
        <f t="shared" si="23"/>
        <v>1216.2999999999995</v>
      </c>
      <c r="H205" s="3">
        <f t="shared" si="28"/>
        <v>249.9</v>
      </c>
      <c r="J205" s="3">
        <v>1.9</v>
      </c>
      <c r="K205" s="3">
        <f t="shared" si="24"/>
        <v>319.7999999999999</v>
      </c>
      <c r="L205" s="3">
        <v>1</v>
      </c>
      <c r="M205" s="3">
        <f t="shared" si="25"/>
        <v>155.30000000000004</v>
      </c>
      <c r="N205" s="3">
        <v>0.89999999999999991</v>
      </c>
      <c r="O205" s="3">
        <f t="shared" si="30"/>
        <v>191.10000000000002</v>
      </c>
      <c r="P205" s="3">
        <v>156</v>
      </c>
      <c r="Q205" s="18">
        <f t="shared" si="20"/>
        <v>1.075</v>
      </c>
      <c r="R205" s="10">
        <f t="shared" si="21"/>
        <v>1.075</v>
      </c>
      <c r="S205" s="10">
        <f t="shared" si="22"/>
        <v>0.82499999999999996</v>
      </c>
      <c r="T205" s="10">
        <f t="shared" si="26"/>
        <v>196.20236486486485</v>
      </c>
      <c r="V205" s="3">
        <v>798.5</v>
      </c>
      <c r="X205" s="3">
        <f t="shared" si="27"/>
        <v>83219.800000000017</v>
      </c>
      <c r="Y205" s="3">
        <f t="shared" si="29"/>
        <v>15102.4</v>
      </c>
      <c r="AA205" s="3">
        <v>10.248134245162101</v>
      </c>
    </row>
    <row r="206" spans="1:27" s="3" customFormat="1" x14ac:dyDescent="0.25">
      <c r="A206" s="63"/>
      <c r="B206" s="7"/>
      <c r="C206" s="16">
        <v>40591</v>
      </c>
      <c r="D206" s="3">
        <v>7.5</v>
      </c>
      <c r="E206" s="3">
        <v>4.4000000000000004</v>
      </c>
      <c r="F206" s="3">
        <v>13.1</v>
      </c>
      <c r="G206" s="3">
        <f t="shared" si="23"/>
        <v>1223.7999999999995</v>
      </c>
      <c r="H206" s="3">
        <f t="shared" si="28"/>
        <v>257.39999999999998</v>
      </c>
      <c r="J206" s="3">
        <v>0.1</v>
      </c>
      <c r="K206" s="3">
        <f t="shared" si="24"/>
        <v>319.89999999999992</v>
      </c>
      <c r="L206" s="3">
        <v>1.3</v>
      </c>
      <c r="M206" s="3">
        <f t="shared" si="25"/>
        <v>156.60000000000005</v>
      </c>
      <c r="N206" s="3">
        <v>-1.2</v>
      </c>
      <c r="O206" s="3">
        <f t="shared" si="30"/>
        <v>189.90000000000003</v>
      </c>
      <c r="P206" s="3">
        <v>157</v>
      </c>
      <c r="Q206" s="18">
        <f t="shared" si="20"/>
        <v>1.077027027027027</v>
      </c>
      <c r="R206" s="10">
        <f t="shared" si="21"/>
        <v>1.4001351351351352</v>
      </c>
      <c r="S206" s="10">
        <f t="shared" si="22"/>
        <v>-1.3001351351351351</v>
      </c>
      <c r="T206" s="10">
        <f t="shared" si="26"/>
        <v>194.90222972972973</v>
      </c>
      <c r="V206" s="3">
        <v>911.5</v>
      </c>
      <c r="X206" s="3">
        <f t="shared" si="27"/>
        <v>84131.300000000017</v>
      </c>
      <c r="Y206" s="3">
        <f t="shared" si="29"/>
        <v>16013.9</v>
      </c>
      <c r="AA206" s="3">
        <v>10.3032814481223</v>
      </c>
    </row>
    <row r="207" spans="1:27" s="3" customFormat="1" x14ac:dyDescent="0.25">
      <c r="A207" s="63"/>
      <c r="B207" s="7"/>
      <c r="C207" s="16">
        <v>40592</v>
      </c>
      <c r="D207" s="3">
        <v>5</v>
      </c>
      <c r="E207" s="3">
        <v>-0.2</v>
      </c>
      <c r="F207" s="3">
        <v>8.6</v>
      </c>
      <c r="G207" s="3">
        <f t="shared" si="23"/>
        <v>1228.7999999999995</v>
      </c>
      <c r="H207" s="3">
        <f t="shared" si="28"/>
        <v>262.39999999999998</v>
      </c>
      <c r="J207" s="3">
        <v>9.9</v>
      </c>
      <c r="K207" s="3">
        <f t="shared" si="24"/>
        <v>329.7999999999999</v>
      </c>
      <c r="L207" s="3">
        <v>0.5</v>
      </c>
      <c r="M207" s="3">
        <f t="shared" si="25"/>
        <v>157.10000000000005</v>
      </c>
      <c r="N207" s="3">
        <v>9.4</v>
      </c>
      <c r="O207" s="3">
        <v>197.4</v>
      </c>
      <c r="P207" s="3">
        <v>158</v>
      </c>
      <c r="Q207" s="18">
        <f t="shared" si="20"/>
        <v>1.0790540540540541</v>
      </c>
      <c r="R207" s="10">
        <f t="shared" si="21"/>
        <v>0.53952702702702704</v>
      </c>
      <c r="S207" s="10">
        <f t="shared" si="22"/>
        <v>9.360472972972973</v>
      </c>
      <c r="T207" s="10">
        <f t="shared" si="26"/>
        <v>197.4</v>
      </c>
      <c r="V207" s="3">
        <v>373.2</v>
      </c>
      <c r="X207" s="3">
        <f t="shared" si="27"/>
        <v>84504.500000000015</v>
      </c>
      <c r="Y207" s="3">
        <f t="shared" si="29"/>
        <v>16387.099999999999</v>
      </c>
      <c r="AA207" s="3">
        <v>10.358718114969401</v>
      </c>
    </row>
    <row r="208" spans="1:27" s="3" customFormat="1" x14ac:dyDescent="0.25">
      <c r="A208" s="63"/>
      <c r="B208" s="7"/>
      <c r="C208" s="16">
        <v>40593</v>
      </c>
      <c r="D208" s="3">
        <v>9.6999999999999993</v>
      </c>
      <c r="E208" s="3">
        <v>7.7</v>
      </c>
      <c r="F208" s="3">
        <v>13.1</v>
      </c>
      <c r="G208" s="3">
        <f t="shared" si="23"/>
        <v>1238.4999999999995</v>
      </c>
      <c r="H208" s="3">
        <f t="shared" si="28"/>
        <v>272.09999999999997</v>
      </c>
      <c r="J208" s="3">
        <v>0.7</v>
      </c>
      <c r="K208" s="3">
        <f t="shared" si="24"/>
        <v>330.49999999999989</v>
      </c>
      <c r="L208" s="3">
        <v>0.8</v>
      </c>
      <c r="M208" s="3">
        <f t="shared" si="25"/>
        <v>157.90000000000006</v>
      </c>
      <c r="N208" s="3">
        <v>-0.10000000000000009</v>
      </c>
      <c r="O208" s="3">
        <f>O207+N208</f>
        <v>197.3</v>
      </c>
      <c r="P208" s="3">
        <v>159</v>
      </c>
      <c r="Q208" s="18">
        <f t="shared" si="20"/>
        <v>1.0810810810810811</v>
      </c>
      <c r="R208" s="10">
        <f t="shared" si="21"/>
        <v>0.86486486486486491</v>
      </c>
      <c r="S208" s="10">
        <f t="shared" si="22"/>
        <v>-0.16486486486486496</v>
      </c>
      <c r="T208" s="10">
        <f t="shared" si="26"/>
        <v>197.23513513513515</v>
      </c>
      <c r="V208" s="3">
        <v>256.2</v>
      </c>
      <c r="X208" s="3">
        <f t="shared" si="27"/>
        <v>84760.700000000012</v>
      </c>
      <c r="Y208" s="3">
        <f t="shared" si="29"/>
        <v>16643.3</v>
      </c>
      <c r="AA208" s="3">
        <v>10.4144283998791</v>
      </c>
    </row>
    <row r="209" spans="1:28" s="3" customFormat="1" x14ac:dyDescent="0.25">
      <c r="A209" s="63"/>
      <c r="B209" s="7"/>
      <c r="C209" s="16">
        <v>40594</v>
      </c>
      <c r="D209" s="3">
        <v>8.1</v>
      </c>
      <c r="E209" s="3">
        <v>6.7</v>
      </c>
      <c r="F209" s="3">
        <v>10.1</v>
      </c>
      <c r="G209" s="3">
        <f t="shared" si="23"/>
        <v>1246.5999999999995</v>
      </c>
      <c r="H209" s="3">
        <f t="shared" si="28"/>
        <v>280.2</v>
      </c>
      <c r="J209" s="3">
        <v>0.9</v>
      </c>
      <c r="K209" s="3">
        <f t="shared" si="24"/>
        <v>331.39999999999986</v>
      </c>
      <c r="L209" s="3">
        <v>0.4</v>
      </c>
      <c r="M209" s="3">
        <f t="shared" si="25"/>
        <v>158.30000000000007</v>
      </c>
      <c r="N209" s="3">
        <v>0.5</v>
      </c>
      <c r="O209" s="3">
        <v>197.4</v>
      </c>
      <c r="P209" s="3">
        <v>160</v>
      </c>
      <c r="Q209" s="18">
        <f t="shared" si="20"/>
        <v>1.083108108108108</v>
      </c>
      <c r="R209" s="10">
        <f t="shared" si="21"/>
        <v>0.4332432432432432</v>
      </c>
      <c r="S209" s="10">
        <f t="shared" si="22"/>
        <v>0.46675675675675682</v>
      </c>
      <c r="T209" s="10">
        <f t="shared" si="26"/>
        <v>197.4</v>
      </c>
      <c r="V209" s="3">
        <v>241.9</v>
      </c>
      <c r="X209" s="3">
        <f t="shared" si="27"/>
        <v>85002.6</v>
      </c>
      <c r="Y209" s="3">
        <f t="shared" si="29"/>
        <v>16885.2</v>
      </c>
      <c r="AA209" s="3">
        <v>10.4703970378929</v>
      </c>
    </row>
    <row r="210" spans="1:28" s="3" customFormat="1" x14ac:dyDescent="0.25">
      <c r="A210" s="63"/>
      <c r="B210" s="7"/>
      <c r="C210" s="16">
        <v>40595</v>
      </c>
      <c r="D210" s="3">
        <v>8.1999999999999993</v>
      </c>
      <c r="E210" s="3">
        <v>7.1</v>
      </c>
      <c r="F210" s="3">
        <v>11</v>
      </c>
      <c r="G210" s="3">
        <f t="shared" si="23"/>
        <v>1254.7999999999995</v>
      </c>
      <c r="H210" s="3">
        <f t="shared" si="28"/>
        <v>288.39999999999998</v>
      </c>
      <c r="J210" s="3">
        <v>11.3</v>
      </c>
      <c r="K210" s="3">
        <f t="shared" si="24"/>
        <v>342.69999999999987</v>
      </c>
      <c r="L210" s="3">
        <v>0.6</v>
      </c>
      <c r="M210" s="3">
        <f t="shared" si="25"/>
        <v>158.90000000000006</v>
      </c>
      <c r="N210" s="3">
        <v>10.700000000000001</v>
      </c>
      <c r="O210" s="3">
        <v>197.4</v>
      </c>
      <c r="P210" s="3">
        <v>161</v>
      </c>
      <c r="Q210" s="18">
        <f t="shared" si="20"/>
        <v>1.085135135135135</v>
      </c>
      <c r="R210" s="10">
        <f t="shared" si="21"/>
        <v>0.65108108108108098</v>
      </c>
      <c r="S210" s="10">
        <f t="shared" si="22"/>
        <v>10.64891891891892</v>
      </c>
      <c r="T210" s="10">
        <f t="shared" si="26"/>
        <v>197.4</v>
      </c>
      <c r="V210" s="3">
        <v>301.39999999999998</v>
      </c>
      <c r="X210" s="3">
        <f t="shared" si="27"/>
        <v>85304</v>
      </c>
      <c r="Y210" s="3">
        <f t="shared" si="29"/>
        <v>17186.600000000002</v>
      </c>
      <c r="AA210" s="3">
        <v>10.526609330957299</v>
      </c>
    </row>
    <row r="211" spans="1:28" s="3" customFormat="1" x14ac:dyDescent="0.25">
      <c r="A211" s="63"/>
      <c r="B211" s="7"/>
      <c r="C211" s="16">
        <v>40596</v>
      </c>
      <c r="D211" s="3">
        <v>7.7</v>
      </c>
      <c r="E211" s="3">
        <v>6.3</v>
      </c>
      <c r="F211" s="3">
        <v>8.9</v>
      </c>
      <c r="G211" s="3">
        <f t="shared" si="23"/>
        <v>1262.4999999999995</v>
      </c>
      <c r="H211" s="3">
        <f t="shared" si="28"/>
        <v>296.09999999999997</v>
      </c>
      <c r="J211" s="3">
        <v>0.3</v>
      </c>
      <c r="K211" s="3">
        <f t="shared" si="24"/>
        <v>342.99999999999989</v>
      </c>
      <c r="L211" s="3">
        <v>0.2</v>
      </c>
      <c r="M211" s="3">
        <f t="shared" si="25"/>
        <v>159.10000000000005</v>
      </c>
      <c r="N211" s="3">
        <v>9.9999999999999978E-2</v>
      </c>
      <c r="O211" s="3">
        <v>197.4</v>
      </c>
      <c r="P211" s="3">
        <v>162</v>
      </c>
      <c r="Q211" s="18">
        <f t="shared" si="20"/>
        <v>1.0871621621621621</v>
      </c>
      <c r="R211" s="10">
        <f t="shared" si="21"/>
        <v>0.21743243243243243</v>
      </c>
      <c r="S211" s="10">
        <f t="shared" si="22"/>
        <v>8.2567567567567557E-2</v>
      </c>
      <c r="T211" s="10">
        <f t="shared" si="26"/>
        <v>197.4</v>
      </c>
      <c r="V211" s="3">
        <v>256.8</v>
      </c>
      <c r="X211" s="3">
        <f t="shared" si="27"/>
        <v>85560.8</v>
      </c>
      <c r="Y211" s="3">
        <f t="shared" si="29"/>
        <v>17443.400000000001</v>
      </c>
      <c r="AA211" s="3">
        <v>10.5830511331501</v>
      </c>
    </row>
    <row r="212" spans="1:28" s="3" customFormat="1" x14ac:dyDescent="0.25">
      <c r="A212" s="63"/>
      <c r="B212" s="7"/>
      <c r="C212" s="16">
        <v>40597</v>
      </c>
      <c r="D212" s="3">
        <v>9.3000000000000007</v>
      </c>
      <c r="E212" s="3">
        <v>6.9</v>
      </c>
      <c r="F212" s="3">
        <v>11.5</v>
      </c>
      <c r="G212" s="3">
        <f t="shared" si="23"/>
        <v>1271.7999999999995</v>
      </c>
      <c r="H212" s="3">
        <f t="shared" si="28"/>
        <v>305.39999999999998</v>
      </c>
      <c r="J212" s="3">
        <v>1.9</v>
      </c>
      <c r="K212" s="3">
        <f t="shared" si="24"/>
        <v>344.89999999999986</v>
      </c>
      <c r="L212" s="3">
        <v>0.4</v>
      </c>
      <c r="M212" s="3">
        <f t="shared" si="25"/>
        <v>159.50000000000006</v>
      </c>
      <c r="N212" s="3">
        <v>1.5</v>
      </c>
      <c r="O212" s="3">
        <v>197.4</v>
      </c>
      <c r="P212" s="3">
        <v>163</v>
      </c>
      <c r="Q212" s="18">
        <f t="shared" si="20"/>
        <v>1.0891891891891892</v>
      </c>
      <c r="R212" s="10">
        <f t="shared" si="21"/>
        <v>0.43567567567567567</v>
      </c>
      <c r="S212" s="10">
        <f t="shared" si="22"/>
        <v>1.4643243243243242</v>
      </c>
      <c r="T212" s="10">
        <f t="shared" si="26"/>
        <v>197.4</v>
      </c>
      <c r="V212" s="3">
        <v>234.1</v>
      </c>
      <c r="X212" s="3">
        <f t="shared" si="27"/>
        <v>85794.900000000009</v>
      </c>
      <c r="Y212" s="3">
        <f t="shared" si="29"/>
        <v>17677.5</v>
      </c>
      <c r="AA212" s="3">
        <v>10.639708835189101</v>
      </c>
    </row>
    <row r="213" spans="1:28" s="3" customFormat="1" x14ac:dyDescent="0.25">
      <c r="A213" s="63"/>
      <c r="B213" s="7"/>
      <c r="C213" s="16">
        <v>40598</v>
      </c>
      <c r="D213" s="3">
        <v>11</v>
      </c>
      <c r="E213" s="3">
        <v>9.8000000000000007</v>
      </c>
      <c r="F213" s="3">
        <v>13.7</v>
      </c>
      <c r="G213" s="3">
        <f t="shared" si="23"/>
        <v>1282.7999999999995</v>
      </c>
      <c r="H213" s="3">
        <f t="shared" si="28"/>
        <v>316.39999999999998</v>
      </c>
      <c r="J213" s="3">
        <v>0.4</v>
      </c>
      <c r="K213" s="3">
        <f t="shared" si="24"/>
        <v>345.29999999999984</v>
      </c>
      <c r="L213" s="3">
        <v>0.6</v>
      </c>
      <c r="M213" s="3">
        <f t="shared" si="25"/>
        <v>160.10000000000005</v>
      </c>
      <c r="N213" s="3">
        <v>-0.19999999999999996</v>
      </c>
      <c r="O213" s="3">
        <f>O212+N213</f>
        <v>197.20000000000002</v>
      </c>
      <c r="P213" s="3">
        <v>164</v>
      </c>
      <c r="Q213" s="18">
        <f t="shared" si="20"/>
        <v>1.0912162162162162</v>
      </c>
      <c r="R213" s="10">
        <f t="shared" si="21"/>
        <v>0.65472972972972976</v>
      </c>
      <c r="S213" s="10">
        <f t="shared" si="22"/>
        <v>-0.25472972972972974</v>
      </c>
      <c r="T213" s="10">
        <f t="shared" si="26"/>
        <v>197.14527027027029</v>
      </c>
      <c r="V213" s="3">
        <v>292.60000000000002</v>
      </c>
      <c r="X213" s="3">
        <f t="shared" si="27"/>
        <v>86087.500000000015</v>
      </c>
      <c r="Y213" s="3">
        <f t="shared" si="29"/>
        <v>17970.099999999999</v>
      </c>
      <c r="AA213" s="3">
        <v>10.696569348312501</v>
      </c>
    </row>
    <row r="214" spans="1:28" s="3" customFormat="1" x14ac:dyDescent="0.25">
      <c r="A214" s="63"/>
      <c r="B214" s="7"/>
      <c r="C214" s="16">
        <v>40599</v>
      </c>
      <c r="D214" s="3">
        <v>10.199999999999999</v>
      </c>
      <c r="E214" s="3">
        <v>6.6</v>
      </c>
      <c r="F214" s="3">
        <v>13.4</v>
      </c>
      <c r="G214" s="3">
        <f t="shared" si="23"/>
        <v>1292.9999999999995</v>
      </c>
      <c r="H214" s="3">
        <f t="shared" si="28"/>
        <v>326.59999999999997</v>
      </c>
      <c r="J214" s="3">
        <v>0.9</v>
      </c>
      <c r="K214" s="3">
        <f t="shared" si="24"/>
        <v>346.19999999999982</v>
      </c>
      <c r="L214" s="3">
        <v>0.3</v>
      </c>
      <c r="M214" s="3">
        <f t="shared" si="25"/>
        <v>160.40000000000006</v>
      </c>
      <c r="N214" s="3">
        <v>0.60000000000000009</v>
      </c>
      <c r="O214" s="3">
        <v>197.4</v>
      </c>
      <c r="P214" s="3">
        <v>165</v>
      </c>
      <c r="Q214" s="18">
        <f t="shared" si="20"/>
        <v>1.0932432432432431</v>
      </c>
      <c r="R214" s="10">
        <f t="shared" si="21"/>
        <v>0.3279729729729729</v>
      </c>
      <c r="S214" s="10">
        <f t="shared" si="22"/>
        <v>0.57202702702702712</v>
      </c>
      <c r="T214" s="10">
        <f t="shared" si="26"/>
        <v>197.4</v>
      </c>
      <c r="V214" s="3">
        <v>212.7</v>
      </c>
      <c r="X214" s="3">
        <f t="shared" si="27"/>
        <v>86300.200000000012</v>
      </c>
      <c r="Y214" s="3">
        <f t="shared" si="29"/>
        <v>18182.8</v>
      </c>
      <c r="AA214" s="3">
        <v>10.7536200876135</v>
      </c>
    </row>
    <row r="215" spans="1:28" s="3" customFormat="1" x14ac:dyDescent="0.25">
      <c r="A215" s="63"/>
      <c r="B215" s="7"/>
      <c r="C215" s="16">
        <v>40600</v>
      </c>
      <c r="D215" s="3">
        <v>9.8000000000000007</v>
      </c>
      <c r="E215" s="3">
        <v>8.6999999999999993</v>
      </c>
      <c r="F215" s="3">
        <v>12.9</v>
      </c>
      <c r="G215" s="3">
        <f t="shared" si="23"/>
        <v>1302.7999999999995</v>
      </c>
      <c r="H215" s="3">
        <f t="shared" si="28"/>
        <v>336.4</v>
      </c>
      <c r="J215" s="3">
        <v>2.4</v>
      </c>
      <c r="K215" s="3">
        <f t="shared" si="24"/>
        <v>348.5999999999998</v>
      </c>
      <c r="L215" s="3">
        <v>1.3</v>
      </c>
      <c r="M215" s="3">
        <f t="shared" si="25"/>
        <v>161.70000000000007</v>
      </c>
      <c r="N215" s="3">
        <v>1.0999999999999999</v>
      </c>
      <c r="O215" s="3">
        <v>197.4</v>
      </c>
      <c r="P215" s="3">
        <v>166</v>
      </c>
      <c r="Q215" s="18">
        <f t="shared" si="20"/>
        <v>1.0952702702702701</v>
      </c>
      <c r="R215" s="10">
        <f t="shared" si="21"/>
        <v>1.4238513513513513</v>
      </c>
      <c r="S215" s="10">
        <f t="shared" si="22"/>
        <v>0.97614864864864859</v>
      </c>
      <c r="T215" s="10">
        <f t="shared" si="26"/>
        <v>197.4</v>
      </c>
      <c r="V215" s="3">
        <v>480.3</v>
      </c>
      <c r="X215" s="3">
        <f t="shared" si="27"/>
        <v>86780.500000000015</v>
      </c>
      <c r="Y215" s="3">
        <f t="shared" si="29"/>
        <v>18663.099999999999</v>
      </c>
      <c r="AA215" s="3">
        <v>10.810848954906399</v>
      </c>
    </row>
    <row r="216" spans="1:28" s="3" customFormat="1" x14ac:dyDescent="0.25">
      <c r="A216" s="63"/>
      <c r="B216" s="7"/>
      <c r="C216" s="16">
        <v>40601</v>
      </c>
      <c r="D216" s="3">
        <v>6.1</v>
      </c>
      <c r="E216" s="3">
        <v>3.3</v>
      </c>
      <c r="F216" s="3">
        <v>9.6</v>
      </c>
      <c r="G216" s="3">
        <f t="shared" si="23"/>
        <v>1308.8999999999994</v>
      </c>
      <c r="H216" s="3">
        <f t="shared" si="28"/>
        <v>342.5</v>
      </c>
      <c r="J216" s="3">
        <v>4.3</v>
      </c>
      <c r="K216" s="3">
        <f t="shared" si="24"/>
        <v>352.89999999999981</v>
      </c>
      <c r="L216" s="3">
        <v>1.2</v>
      </c>
      <c r="M216" s="3">
        <f t="shared" si="25"/>
        <v>162.90000000000006</v>
      </c>
      <c r="N216" s="3">
        <v>3.0999999999999996</v>
      </c>
      <c r="O216" s="3">
        <v>197.4</v>
      </c>
      <c r="P216" s="3">
        <v>167</v>
      </c>
      <c r="Q216" s="18">
        <f t="shared" si="20"/>
        <v>1.0972972972972972</v>
      </c>
      <c r="R216" s="10">
        <f t="shared" si="21"/>
        <v>1.3167567567567566</v>
      </c>
      <c r="S216" s="10">
        <f t="shared" si="22"/>
        <v>2.9832432432432432</v>
      </c>
      <c r="T216" s="10">
        <f t="shared" si="26"/>
        <v>197.4</v>
      </c>
      <c r="V216" s="3">
        <v>795.5</v>
      </c>
      <c r="X216" s="3">
        <f t="shared" si="27"/>
        <v>87576.000000000015</v>
      </c>
      <c r="Y216" s="3">
        <f t="shared" si="29"/>
        <v>19458.599999999999</v>
      </c>
      <c r="AA216" s="3">
        <v>10.868244321193201</v>
      </c>
    </row>
    <row r="217" spans="1:28" s="3" customFormat="1" x14ac:dyDescent="0.25">
      <c r="A217" s="63"/>
      <c r="B217" s="7"/>
      <c r="C217" s="16">
        <v>40602</v>
      </c>
      <c r="D217" s="3">
        <v>5.2</v>
      </c>
      <c r="E217" s="3">
        <v>4</v>
      </c>
      <c r="F217" s="3">
        <v>7.4</v>
      </c>
      <c r="G217" s="3">
        <f t="shared" si="23"/>
        <v>1314.0999999999995</v>
      </c>
      <c r="H217" s="3">
        <f t="shared" si="28"/>
        <v>347.7</v>
      </c>
      <c r="J217" s="71">
        <v>0.1</v>
      </c>
      <c r="K217" s="3">
        <f t="shared" si="24"/>
        <v>352.99999999999983</v>
      </c>
      <c r="L217" s="3">
        <v>0.9</v>
      </c>
      <c r="M217" s="3">
        <f t="shared" si="25"/>
        <v>163.80000000000007</v>
      </c>
      <c r="N217" s="3">
        <v>-0.8</v>
      </c>
      <c r="O217" s="3">
        <f t="shared" ref="O217:O280" si="31">O216+N217</f>
        <v>196.6</v>
      </c>
      <c r="P217" s="3">
        <v>168</v>
      </c>
      <c r="Q217" s="18">
        <f t="shared" si="20"/>
        <v>1.0993243243243243</v>
      </c>
      <c r="R217" s="10">
        <f t="shared" si="21"/>
        <v>0.98939189189189181</v>
      </c>
      <c r="S217" s="10">
        <f t="shared" si="22"/>
        <v>-0.88939189189189183</v>
      </c>
      <c r="T217" s="10">
        <f t="shared" si="26"/>
        <v>196.5106081081081</v>
      </c>
      <c r="V217" s="3">
        <v>358.9</v>
      </c>
      <c r="X217" s="3">
        <f t="shared" si="27"/>
        <v>87934.900000000009</v>
      </c>
      <c r="Y217" s="3">
        <f t="shared" si="29"/>
        <v>19817.5</v>
      </c>
      <c r="AA217" s="3">
        <v>10.9257950087975</v>
      </c>
      <c r="AB217" s="73" t="s">
        <v>70</v>
      </c>
    </row>
    <row r="218" spans="1:28" s="3" customFormat="1" x14ac:dyDescent="0.25">
      <c r="A218" s="63"/>
      <c r="B218" s="7"/>
      <c r="C218" s="16">
        <v>40603</v>
      </c>
      <c r="D218" s="3">
        <v>5.4</v>
      </c>
      <c r="E218" s="3">
        <v>4.0999999999999996</v>
      </c>
      <c r="F218" s="3">
        <v>7.4</v>
      </c>
      <c r="G218" s="3">
        <f t="shared" si="23"/>
        <v>1319.4999999999995</v>
      </c>
      <c r="H218" s="3">
        <f t="shared" si="28"/>
        <v>353.09999999999997</v>
      </c>
      <c r="J218" s="71">
        <v>0</v>
      </c>
      <c r="K218" s="3">
        <f t="shared" si="24"/>
        <v>352.99999999999983</v>
      </c>
      <c r="L218" s="3">
        <v>1</v>
      </c>
      <c r="M218" s="3">
        <f t="shared" si="25"/>
        <v>164.80000000000007</v>
      </c>
      <c r="N218" s="3">
        <v>-1</v>
      </c>
      <c r="O218" s="3">
        <f t="shared" si="31"/>
        <v>195.6</v>
      </c>
      <c r="P218" s="3">
        <v>169</v>
      </c>
      <c r="Q218" s="18">
        <f t="shared" si="20"/>
        <v>1.1013513513513513</v>
      </c>
      <c r="R218" s="10">
        <f t="shared" si="21"/>
        <v>1.1013513513513513</v>
      </c>
      <c r="S218" s="10">
        <f t="shared" si="22"/>
        <v>-1.1013513513513513</v>
      </c>
      <c r="T218" s="10">
        <f t="shared" si="26"/>
        <v>195.40925675675675</v>
      </c>
      <c r="V218" s="3">
        <v>456.1</v>
      </c>
      <c r="X218" s="3">
        <f t="shared" si="27"/>
        <v>88391.000000000015</v>
      </c>
      <c r="Y218" s="3">
        <f t="shared" si="29"/>
        <v>20273.599999999999</v>
      </c>
      <c r="AA218" s="3">
        <v>10.9834902732216</v>
      </c>
      <c r="AB218" s="18">
        <f>AVERAGE(T224:T237)</f>
        <v>176.79177606177606</v>
      </c>
    </row>
    <row r="219" spans="1:28" s="3" customFormat="1" x14ac:dyDescent="0.25">
      <c r="A219" s="63"/>
      <c r="B219" s="7"/>
      <c r="C219" s="16">
        <v>40604</v>
      </c>
      <c r="D219" s="3">
        <v>5.4</v>
      </c>
      <c r="E219" s="3">
        <v>4.2</v>
      </c>
      <c r="F219" s="3">
        <v>8.3000000000000007</v>
      </c>
      <c r="G219" s="3">
        <f t="shared" si="23"/>
        <v>1324.8999999999996</v>
      </c>
      <c r="H219" s="3">
        <f t="shared" si="28"/>
        <v>358.49999999999994</v>
      </c>
      <c r="J219" s="71">
        <v>0</v>
      </c>
      <c r="K219" s="3">
        <f t="shared" si="24"/>
        <v>352.99999999999983</v>
      </c>
      <c r="L219" s="3">
        <v>1.9</v>
      </c>
      <c r="M219" s="3">
        <f t="shared" si="25"/>
        <v>166.70000000000007</v>
      </c>
      <c r="N219" s="3">
        <v>-1.9</v>
      </c>
      <c r="O219" s="3">
        <f t="shared" si="31"/>
        <v>193.7</v>
      </c>
      <c r="P219" s="3">
        <v>170</v>
      </c>
      <c r="Q219" s="18">
        <f t="shared" si="20"/>
        <v>1.1033783783783784</v>
      </c>
      <c r="R219" s="10">
        <f t="shared" si="21"/>
        <v>2.0964189189189186</v>
      </c>
      <c r="S219" s="10">
        <f t="shared" si="22"/>
        <v>-2.0964189189189186</v>
      </c>
      <c r="T219" s="10">
        <f t="shared" si="26"/>
        <v>193.31283783783783</v>
      </c>
      <c r="V219" s="3">
        <v>1379.7</v>
      </c>
      <c r="X219" s="3">
        <f t="shared" si="27"/>
        <v>89770.700000000012</v>
      </c>
      <c r="Y219" s="3">
        <f t="shared" si="29"/>
        <v>21653.3</v>
      </c>
      <c r="AA219" s="3">
        <v>11.0413197847836</v>
      </c>
      <c r="AB219" s="73" t="s">
        <v>69</v>
      </c>
    </row>
    <row r="220" spans="1:28" s="3" customFormat="1" x14ac:dyDescent="0.25">
      <c r="A220" s="63"/>
      <c r="B220" s="7"/>
      <c r="C220" s="16">
        <v>40605</v>
      </c>
      <c r="D220" s="3">
        <v>5.2</v>
      </c>
      <c r="E220" s="3">
        <v>2.6</v>
      </c>
      <c r="F220" s="3">
        <v>10.7</v>
      </c>
      <c r="G220" s="3">
        <f t="shared" si="23"/>
        <v>1330.0999999999997</v>
      </c>
      <c r="H220" s="3">
        <f t="shared" si="28"/>
        <v>363.69999999999993</v>
      </c>
      <c r="J220" s="71">
        <v>0</v>
      </c>
      <c r="K220" s="3">
        <f t="shared" si="24"/>
        <v>352.99999999999983</v>
      </c>
      <c r="L220" s="3">
        <v>2.5</v>
      </c>
      <c r="M220" s="3">
        <f t="shared" si="25"/>
        <v>169.20000000000007</v>
      </c>
      <c r="N220" s="3">
        <v>-2.5</v>
      </c>
      <c r="O220" s="3">
        <f t="shared" si="31"/>
        <v>191.2</v>
      </c>
      <c r="P220" s="3">
        <v>171</v>
      </c>
      <c r="Q220" s="18">
        <f t="shared" si="20"/>
        <v>1.1054054054054054</v>
      </c>
      <c r="R220" s="10">
        <f t="shared" si="21"/>
        <v>2.7635135135135136</v>
      </c>
      <c r="S220" s="10">
        <f t="shared" si="22"/>
        <v>-2.7635135135135136</v>
      </c>
      <c r="T220" s="10">
        <f t="shared" si="26"/>
        <v>190.54932432432432</v>
      </c>
      <c r="V220" s="3">
        <v>1503.1</v>
      </c>
      <c r="X220" s="3">
        <f t="shared" si="27"/>
        <v>91273.800000000017</v>
      </c>
      <c r="Y220" s="3">
        <f t="shared" si="29"/>
        <v>23156.399999999998</v>
      </c>
      <c r="AA220" s="3">
        <v>11.0992736100799</v>
      </c>
      <c r="AB220" s="3">
        <v>9</v>
      </c>
    </row>
    <row r="221" spans="1:28" s="3" customFormat="1" x14ac:dyDescent="0.25">
      <c r="A221" s="63"/>
      <c r="B221" s="7"/>
      <c r="C221" s="16">
        <v>40606</v>
      </c>
      <c r="D221" s="3">
        <v>4.4000000000000004</v>
      </c>
      <c r="E221" s="3">
        <v>0.1</v>
      </c>
      <c r="F221" s="3">
        <v>9.8000000000000007</v>
      </c>
      <c r="G221" s="3">
        <f t="shared" si="23"/>
        <v>1334.4999999999998</v>
      </c>
      <c r="H221" s="3">
        <f t="shared" si="28"/>
        <v>368.09999999999991</v>
      </c>
      <c r="J221" s="71">
        <v>0</v>
      </c>
      <c r="K221" s="3">
        <f t="shared" si="24"/>
        <v>352.99999999999983</v>
      </c>
      <c r="L221" s="3">
        <v>2</v>
      </c>
      <c r="M221" s="3">
        <f t="shared" si="25"/>
        <v>171.20000000000007</v>
      </c>
      <c r="N221" s="3">
        <v>-2</v>
      </c>
      <c r="O221" s="3">
        <f t="shared" si="31"/>
        <v>189.2</v>
      </c>
      <c r="P221" s="3">
        <v>172</v>
      </c>
      <c r="Q221" s="18">
        <f t="shared" si="20"/>
        <v>1.1074324324324323</v>
      </c>
      <c r="R221" s="10">
        <f t="shared" si="21"/>
        <v>2.2148648648648646</v>
      </c>
      <c r="S221" s="10">
        <f t="shared" si="22"/>
        <v>-2.2148648648648646</v>
      </c>
      <c r="T221" s="10">
        <f t="shared" si="26"/>
        <v>188.33445945945945</v>
      </c>
      <c r="V221" s="3">
        <v>1501</v>
      </c>
      <c r="X221" s="3">
        <f t="shared" si="27"/>
        <v>92774.800000000017</v>
      </c>
      <c r="Y221" s="3">
        <f t="shared" si="29"/>
        <v>24657.399999999998</v>
      </c>
      <c r="AA221" s="3">
        <v>11.157342193318399</v>
      </c>
      <c r="AB221" s="73" t="s">
        <v>68</v>
      </c>
    </row>
    <row r="222" spans="1:28" s="3" customFormat="1" x14ac:dyDescent="0.25">
      <c r="A222" s="63"/>
      <c r="B222" s="7"/>
      <c r="C222" s="16">
        <v>40607</v>
      </c>
      <c r="D222" s="3">
        <v>4.4000000000000004</v>
      </c>
      <c r="E222" s="3">
        <v>-0.1</v>
      </c>
      <c r="F222" s="3">
        <v>10.3</v>
      </c>
      <c r="G222" s="3">
        <f t="shared" si="23"/>
        <v>1338.8999999999999</v>
      </c>
      <c r="H222" s="3">
        <f t="shared" si="28"/>
        <v>372.49999999999989</v>
      </c>
      <c r="J222" s="71">
        <v>0</v>
      </c>
      <c r="K222" s="3">
        <f t="shared" si="24"/>
        <v>352.99999999999983</v>
      </c>
      <c r="L222" s="3">
        <v>1.8</v>
      </c>
      <c r="M222" s="3">
        <f t="shared" si="25"/>
        <v>173.00000000000009</v>
      </c>
      <c r="N222" s="3">
        <v>-1.8</v>
      </c>
      <c r="O222" s="3">
        <f t="shared" si="31"/>
        <v>187.39999999999998</v>
      </c>
      <c r="P222" s="3">
        <v>173</v>
      </c>
      <c r="Q222" s="18">
        <f t="shared" si="20"/>
        <v>1.1094594594594593</v>
      </c>
      <c r="R222" s="10">
        <f t="shared" si="21"/>
        <v>1.9970270270270269</v>
      </c>
      <c r="S222" s="10">
        <f t="shared" si="22"/>
        <v>-1.9970270270270269</v>
      </c>
      <c r="T222" s="10">
        <f t="shared" si="26"/>
        <v>186.33743243243242</v>
      </c>
      <c r="V222" s="3">
        <v>1565.1</v>
      </c>
      <c r="X222" s="3">
        <f t="shared" si="27"/>
        <v>94339.900000000023</v>
      </c>
      <c r="Y222" s="3">
        <f t="shared" si="29"/>
        <v>26222.499999999996</v>
      </c>
      <c r="AA222" s="3">
        <v>11.215516337560899</v>
      </c>
      <c r="AB222" s="3">
        <v>7</v>
      </c>
    </row>
    <row r="223" spans="1:28" s="3" customFormat="1" x14ac:dyDescent="0.25">
      <c r="A223" s="63"/>
      <c r="B223" s="7"/>
      <c r="C223" s="16">
        <v>40608</v>
      </c>
      <c r="D223" s="3">
        <v>4.3</v>
      </c>
      <c r="E223" s="3">
        <v>-1.1000000000000001</v>
      </c>
      <c r="F223" s="3">
        <v>10.7</v>
      </c>
      <c r="G223" s="3">
        <f t="shared" si="23"/>
        <v>1343.1999999999998</v>
      </c>
      <c r="H223" s="3">
        <f t="shared" si="28"/>
        <v>376.7999999999999</v>
      </c>
      <c r="J223" s="71">
        <v>0</v>
      </c>
      <c r="K223" s="3">
        <f t="shared" si="24"/>
        <v>352.99999999999983</v>
      </c>
      <c r="L223" s="3">
        <v>1.9</v>
      </c>
      <c r="M223" s="3">
        <f t="shared" si="25"/>
        <v>174.90000000000009</v>
      </c>
      <c r="N223" s="3">
        <v>-1.9</v>
      </c>
      <c r="O223" s="3">
        <f t="shared" si="31"/>
        <v>185.49999999999997</v>
      </c>
      <c r="P223" s="3">
        <v>174</v>
      </c>
      <c r="Q223" s="18">
        <f t="shared" si="20"/>
        <v>1.1114864864864864</v>
      </c>
      <c r="R223" s="10">
        <f t="shared" si="21"/>
        <v>2.1118243243243242</v>
      </c>
      <c r="S223" s="10">
        <f t="shared" si="22"/>
        <v>-2.1118243243243242</v>
      </c>
      <c r="T223" s="10">
        <f t="shared" si="26"/>
        <v>184.2256081081081</v>
      </c>
      <c r="V223" s="3">
        <v>1540.4</v>
      </c>
      <c r="X223" s="3">
        <f t="shared" si="27"/>
        <v>95880.300000000017</v>
      </c>
      <c r="Y223" s="3">
        <f t="shared" si="29"/>
        <v>27762.899999999998</v>
      </c>
      <c r="AA223" s="3">
        <v>11.2737871859081</v>
      </c>
      <c r="AB223" s="73" t="s">
        <v>67</v>
      </c>
    </row>
    <row r="224" spans="1:28" s="3" customFormat="1" x14ac:dyDescent="0.25">
      <c r="A224" s="63"/>
      <c r="B224" s="7"/>
      <c r="C224" s="16">
        <v>40609</v>
      </c>
      <c r="D224" s="3">
        <v>3.9</v>
      </c>
      <c r="E224" s="3">
        <v>-0.8</v>
      </c>
      <c r="F224" s="3">
        <v>9.9</v>
      </c>
      <c r="G224" s="3">
        <f t="shared" si="23"/>
        <v>1347.1</v>
      </c>
      <c r="H224" s="3">
        <f t="shared" si="28"/>
        <v>380.69999999999987</v>
      </c>
      <c r="J224" s="71">
        <v>0</v>
      </c>
      <c r="K224" s="3">
        <f t="shared" si="24"/>
        <v>352.99999999999983</v>
      </c>
      <c r="L224" s="3">
        <v>1.9</v>
      </c>
      <c r="M224" s="3">
        <f t="shared" si="25"/>
        <v>176.8000000000001</v>
      </c>
      <c r="N224" s="3">
        <v>-1.9</v>
      </c>
      <c r="O224" s="3">
        <f t="shared" si="31"/>
        <v>183.59999999999997</v>
      </c>
      <c r="P224" s="3">
        <v>175</v>
      </c>
      <c r="Q224" s="18">
        <f t="shared" si="20"/>
        <v>1.1135135135135135</v>
      </c>
      <c r="R224" s="10">
        <f t="shared" si="21"/>
        <v>2.1156756756756754</v>
      </c>
      <c r="S224" s="10">
        <f t="shared" si="22"/>
        <v>-2.1156756756756754</v>
      </c>
      <c r="T224" s="72">
        <f t="shared" si="26"/>
        <v>182.10993243243243</v>
      </c>
      <c r="V224" s="3">
        <v>1601.7</v>
      </c>
      <c r="X224" s="3">
        <f t="shared" si="27"/>
        <v>97482.000000000015</v>
      </c>
      <c r="Y224" s="3">
        <f t="shared" si="29"/>
        <v>29364.6</v>
      </c>
      <c r="AA224" s="3">
        <v>11.332146202658601</v>
      </c>
      <c r="AB224" s="3">
        <v>0</v>
      </c>
    </row>
    <row r="225" spans="1:28" s="3" customFormat="1" x14ac:dyDescent="0.25">
      <c r="A225" s="63"/>
      <c r="B225" s="7"/>
      <c r="C225" s="16">
        <v>40610</v>
      </c>
      <c r="D225" s="3">
        <v>6.6</v>
      </c>
      <c r="E225" s="3">
        <v>-1.2</v>
      </c>
      <c r="F225" s="3">
        <v>13</v>
      </c>
      <c r="G225" s="3">
        <f t="shared" si="23"/>
        <v>1353.6999999999998</v>
      </c>
      <c r="H225" s="3">
        <f t="shared" si="28"/>
        <v>387.2999999999999</v>
      </c>
      <c r="J225" s="71">
        <v>0</v>
      </c>
      <c r="K225" s="3">
        <f t="shared" si="24"/>
        <v>352.99999999999983</v>
      </c>
      <c r="L225" s="3">
        <v>1.7</v>
      </c>
      <c r="M225" s="3">
        <f t="shared" si="25"/>
        <v>178.50000000000009</v>
      </c>
      <c r="N225" s="3">
        <v>-1.7</v>
      </c>
      <c r="O225" s="3">
        <f t="shared" si="31"/>
        <v>181.89999999999998</v>
      </c>
      <c r="P225" s="3">
        <v>176</v>
      </c>
      <c r="Q225" s="18">
        <f t="shared" si="20"/>
        <v>1.1155405405405405</v>
      </c>
      <c r="R225" s="10">
        <f t="shared" si="21"/>
        <v>1.8964189189189189</v>
      </c>
      <c r="S225" s="10">
        <f t="shared" si="22"/>
        <v>-1.8964189189189189</v>
      </c>
      <c r="T225" s="72">
        <f t="shared" si="26"/>
        <v>180.2135135135135</v>
      </c>
      <c r="V225" s="3">
        <v>1559.9</v>
      </c>
      <c r="X225" s="3">
        <f t="shared" si="27"/>
        <v>99041.900000000009</v>
      </c>
      <c r="Y225" s="3">
        <f t="shared" si="29"/>
        <v>30924.5</v>
      </c>
      <c r="AA225" s="3">
        <v>11.390585154468599</v>
      </c>
      <c r="AB225" s="73" t="s">
        <v>66</v>
      </c>
    </row>
    <row r="226" spans="1:28" s="3" customFormat="1" x14ac:dyDescent="0.25">
      <c r="A226" s="63"/>
      <c r="B226" s="7"/>
      <c r="C226" s="16">
        <v>40611</v>
      </c>
      <c r="D226" s="3">
        <v>8</v>
      </c>
      <c r="E226" s="3">
        <v>4.5999999999999996</v>
      </c>
      <c r="F226" s="3">
        <v>14</v>
      </c>
      <c r="G226" s="3">
        <f t="shared" si="23"/>
        <v>1361.6999999999998</v>
      </c>
      <c r="H226" s="3">
        <f t="shared" si="28"/>
        <v>395.2999999999999</v>
      </c>
      <c r="J226" s="71">
        <v>0</v>
      </c>
      <c r="K226" s="3">
        <f t="shared" si="24"/>
        <v>352.99999999999983</v>
      </c>
      <c r="L226" s="3">
        <v>1.8</v>
      </c>
      <c r="M226" s="3">
        <f t="shared" si="25"/>
        <v>180.3000000000001</v>
      </c>
      <c r="N226" s="3">
        <v>-1.8</v>
      </c>
      <c r="O226" s="3">
        <f t="shared" si="31"/>
        <v>180.09999999999997</v>
      </c>
      <c r="P226" s="3">
        <v>177</v>
      </c>
      <c r="Q226" s="18">
        <f t="shared" si="20"/>
        <v>1.1175675675675676</v>
      </c>
      <c r="R226" s="10">
        <f t="shared" si="21"/>
        <v>2.0116216216216216</v>
      </c>
      <c r="S226" s="10">
        <f t="shared" si="22"/>
        <v>-2.0116216216216216</v>
      </c>
      <c r="T226" s="72">
        <f t="shared" si="26"/>
        <v>178.20189189189188</v>
      </c>
      <c r="V226" s="3">
        <v>1232.2</v>
      </c>
      <c r="X226" s="3">
        <f t="shared" si="27"/>
        <v>100274.1</v>
      </c>
      <c r="Y226" s="3">
        <f t="shared" si="29"/>
        <v>32156.7</v>
      </c>
      <c r="AA226" s="3">
        <v>11.4490960915339</v>
      </c>
      <c r="AB226" s="3">
        <f>SUM(J228:J237)</f>
        <v>6.8999999999999995</v>
      </c>
    </row>
    <row r="227" spans="1:28" s="68" customFormat="1" x14ac:dyDescent="0.25">
      <c r="A227" s="63"/>
      <c r="B227" s="66" t="s">
        <v>71</v>
      </c>
      <c r="C227" s="67">
        <v>40612</v>
      </c>
      <c r="D227" s="68">
        <v>7.1</v>
      </c>
      <c r="E227" s="68">
        <v>1.3</v>
      </c>
      <c r="F227" s="68">
        <v>12.4</v>
      </c>
      <c r="G227" s="68">
        <f t="shared" si="23"/>
        <v>1368.7999999999997</v>
      </c>
      <c r="H227" s="68">
        <f t="shared" si="28"/>
        <v>402.39999999999992</v>
      </c>
      <c r="J227" s="68">
        <v>0</v>
      </c>
      <c r="K227" s="68">
        <f t="shared" si="24"/>
        <v>352.99999999999983</v>
      </c>
      <c r="L227" s="68">
        <v>0.9</v>
      </c>
      <c r="M227" s="68">
        <f t="shared" si="25"/>
        <v>181.2000000000001</v>
      </c>
      <c r="N227" s="68">
        <v>-0.9</v>
      </c>
      <c r="O227" s="68">
        <f t="shared" si="31"/>
        <v>179.19999999999996</v>
      </c>
      <c r="P227" s="68">
        <v>178</v>
      </c>
      <c r="Q227" s="69">
        <f t="shared" si="20"/>
        <v>1.1195945945945944</v>
      </c>
      <c r="R227" s="70">
        <f t="shared" si="21"/>
        <v>1.0076351351351349</v>
      </c>
      <c r="S227" s="70">
        <f t="shared" si="22"/>
        <v>-1.0076351351351349</v>
      </c>
      <c r="T227" s="70">
        <f t="shared" si="26"/>
        <v>177.19425675675674</v>
      </c>
      <c r="V227" s="68">
        <v>498.7</v>
      </c>
      <c r="X227" s="68">
        <f t="shared" si="27"/>
        <v>100772.8</v>
      </c>
      <c r="Y227" s="68">
        <f t="shared" si="29"/>
        <v>32655.4</v>
      </c>
      <c r="AA227" s="68">
        <v>11.507671328814601</v>
      </c>
    </row>
    <row r="228" spans="1:28" s="3" customFormat="1" x14ac:dyDescent="0.25">
      <c r="A228" s="63"/>
      <c r="B228" s="7"/>
      <c r="C228" s="16">
        <v>40613</v>
      </c>
      <c r="D228" s="3">
        <v>9.6999999999999993</v>
      </c>
      <c r="E228" s="3">
        <v>7.7</v>
      </c>
      <c r="F228" s="3">
        <v>14</v>
      </c>
      <c r="G228" s="3">
        <f t="shared" si="23"/>
        <v>1378.4999999999998</v>
      </c>
      <c r="H228" s="3">
        <f t="shared" si="28"/>
        <v>412.09999999999991</v>
      </c>
      <c r="J228" s="71">
        <v>0</v>
      </c>
      <c r="K228" s="3">
        <f t="shared" si="24"/>
        <v>352.99999999999983</v>
      </c>
      <c r="L228" s="3">
        <v>1.2</v>
      </c>
      <c r="M228" s="3">
        <f t="shared" si="25"/>
        <v>182.40000000000009</v>
      </c>
      <c r="N228" s="3">
        <v>-1.2</v>
      </c>
      <c r="O228" s="3">
        <f t="shared" si="31"/>
        <v>177.99999999999997</v>
      </c>
      <c r="P228" s="3">
        <v>179</v>
      </c>
      <c r="Q228" s="18">
        <f t="shared" si="20"/>
        <v>1.1216216216216215</v>
      </c>
      <c r="R228" s="10">
        <f t="shared" si="21"/>
        <v>1.3459459459459457</v>
      </c>
      <c r="S228" s="10">
        <f t="shared" si="22"/>
        <v>-1.3459459459459457</v>
      </c>
      <c r="T228" s="72">
        <f t="shared" si="26"/>
        <v>175.8483108108108</v>
      </c>
      <c r="V228" s="3">
        <v>343</v>
      </c>
      <c r="X228" s="3">
        <f t="shared" si="27"/>
        <v>101115.8</v>
      </c>
      <c r="Y228" s="3">
        <f t="shared" si="29"/>
        <v>32998.400000000001</v>
      </c>
      <c r="AA228" s="3">
        <v>11.5663034273196</v>
      </c>
    </row>
    <row r="229" spans="1:28" s="3" customFormat="1" x14ac:dyDescent="0.25">
      <c r="A229" s="63"/>
      <c r="B229" s="7"/>
      <c r="C229" s="16">
        <v>40614</v>
      </c>
      <c r="D229" s="3">
        <v>8.1</v>
      </c>
      <c r="E229" s="3">
        <v>4.5</v>
      </c>
      <c r="F229" s="3">
        <v>10.6</v>
      </c>
      <c r="G229" s="3">
        <f t="shared" si="23"/>
        <v>1386.5999999999997</v>
      </c>
      <c r="H229" s="3">
        <f t="shared" si="28"/>
        <v>420.19999999999993</v>
      </c>
      <c r="J229" s="71">
        <v>2</v>
      </c>
      <c r="K229" s="3">
        <f t="shared" si="24"/>
        <v>354.99999999999983</v>
      </c>
      <c r="L229" s="3">
        <v>0.4</v>
      </c>
      <c r="M229" s="3">
        <f t="shared" si="25"/>
        <v>182.8000000000001</v>
      </c>
      <c r="N229" s="3">
        <v>1.6</v>
      </c>
      <c r="O229" s="3">
        <f t="shared" si="31"/>
        <v>179.59999999999997</v>
      </c>
      <c r="P229" s="3">
        <v>180</v>
      </c>
      <c r="Q229" s="18">
        <f t="shared" si="20"/>
        <v>1.1236486486486486</v>
      </c>
      <c r="R229" s="10">
        <f t="shared" si="21"/>
        <v>0.44945945945945942</v>
      </c>
      <c r="S229" s="10">
        <f t="shared" si="22"/>
        <v>1.5505405405405406</v>
      </c>
      <c r="T229" s="72">
        <f t="shared" si="26"/>
        <v>177.39885135135134</v>
      </c>
      <c r="V229" s="3">
        <v>247.6</v>
      </c>
      <c r="X229" s="3">
        <f t="shared" si="27"/>
        <v>101363.40000000001</v>
      </c>
      <c r="Y229" s="3">
        <f t="shared" si="29"/>
        <v>33246</v>
      </c>
      <c r="AA229" s="3">
        <v>11.6249851754635</v>
      </c>
    </row>
    <row r="230" spans="1:28" s="3" customFormat="1" x14ac:dyDescent="0.25">
      <c r="A230" s="63"/>
      <c r="B230" s="7"/>
      <c r="C230" s="16">
        <v>40615</v>
      </c>
      <c r="D230" s="3">
        <v>8.8000000000000007</v>
      </c>
      <c r="E230" s="3">
        <v>8.1999999999999993</v>
      </c>
      <c r="F230" s="3">
        <v>10.8</v>
      </c>
      <c r="G230" s="3">
        <f t="shared" si="23"/>
        <v>1395.3999999999996</v>
      </c>
      <c r="H230" s="3">
        <f t="shared" si="28"/>
        <v>428.99999999999994</v>
      </c>
      <c r="J230" s="71">
        <v>2.6</v>
      </c>
      <c r="K230" s="3">
        <f t="shared" si="24"/>
        <v>357.59999999999985</v>
      </c>
      <c r="L230" s="3">
        <v>0.5</v>
      </c>
      <c r="M230" s="3">
        <f t="shared" si="25"/>
        <v>183.3000000000001</v>
      </c>
      <c r="N230" s="3">
        <v>2.1</v>
      </c>
      <c r="O230" s="3">
        <f t="shared" si="31"/>
        <v>181.69999999999996</v>
      </c>
      <c r="P230" s="3">
        <v>181</v>
      </c>
      <c r="Q230" s="18">
        <f t="shared" si="20"/>
        <v>1.1256756756756756</v>
      </c>
      <c r="R230" s="10">
        <f t="shared" si="21"/>
        <v>0.56283783783783781</v>
      </c>
      <c r="S230" s="10">
        <f t="shared" si="22"/>
        <v>2.0371621621621623</v>
      </c>
      <c r="T230" s="72">
        <f t="shared" si="26"/>
        <v>179.4360135135135</v>
      </c>
      <c r="V230" s="3">
        <v>314.60000000000002</v>
      </c>
      <c r="X230" s="3">
        <f t="shared" si="27"/>
        <v>101678.00000000001</v>
      </c>
      <c r="Y230" s="3">
        <f t="shared" si="29"/>
        <v>33560.6</v>
      </c>
      <c r="AA230" s="3">
        <v>11.6837095705081</v>
      </c>
    </row>
    <row r="231" spans="1:28" s="3" customFormat="1" x14ac:dyDescent="0.25">
      <c r="A231" s="63"/>
      <c r="B231" s="7"/>
      <c r="C231" s="16">
        <v>40616</v>
      </c>
      <c r="D231" s="3">
        <v>9.5</v>
      </c>
      <c r="E231" s="3">
        <v>3.7</v>
      </c>
      <c r="F231" s="3">
        <v>13.7</v>
      </c>
      <c r="G231" s="3">
        <f t="shared" si="23"/>
        <v>1404.8999999999996</v>
      </c>
      <c r="H231" s="3">
        <f t="shared" si="28"/>
        <v>438.49999999999994</v>
      </c>
      <c r="J231" s="71">
        <v>0</v>
      </c>
      <c r="K231" s="3">
        <f t="shared" si="24"/>
        <v>357.59999999999985</v>
      </c>
      <c r="L231" s="3">
        <v>0.6</v>
      </c>
      <c r="M231" s="3">
        <f t="shared" si="25"/>
        <v>183.90000000000009</v>
      </c>
      <c r="N231" s="3">
        <v>-0.6</v>
      </c>
      <c r="O231" s="3">
        <f t="shared" si="31"/>
        <v>181.09999999999997</v>
      </c>
      <c r="P231" s="3">
        <v>182</v>
      </c>
      <c r="Q231" s="18">
        <f t="shared" si="20"/>
        <v>1.1277027027027027</v>
      </c>
      <c r="R231" s="10">
        <f t="shared" si="21"/>
        <v>0.67662162162162154</v>
      </c>
      <c r="S231" s="10">
        <f t="shared" si="22"/>
        <v>-0.67662162162162154</v>
      </c>
      <c r="T231" s="72">
        <f t="shared" si="26"/>
        <v>178.75939189189188</v>
      </c>
      <c r="V231" s="3">
        <v>467.2</v>
      </c>
      <c r="X231" s="3">
        <f t="shared" si="27"/>
        <v>102145.20000000001</v>
      </c>
      <c r="Y231" s="3">
        <f t="shared" si="29"/>
        <v>34027.799999999996</v>
      </c>
      <c r="AA231" s="3">
        <v>11.7424698000957</v>
      </c>
    </row>
    <row r="232" spans="1:28" s="3" customFormat="1" x14ac:dyDescent="0.25">
      <c r="A232" s="63"/>
      <c r="B232" s="7"/>
      <c r="C232" s="16">
        <v>40617</v>
      </c>
      <c r="D232" s="3">
        <v>13.3</v>
      </c>
      <c r="E232" s="3">
        <v>10.1</v>
      </c>
      <c r="F232" s="3">
        <v>17.7</v>
      </c>
      <c r="G232" s="3">
        <f t="shared" si="23"/>
        <v>1418.1999999999996</v>
      </c>
      <c r="H232" s="3">
        <f t="shared" si="28"/>
        <v>451.79999999999995</v>
      </c>
      <c r="J232" s="71">
        <v>0</v>
      </c>
      <c r="K232" s="3">
        <f t="shared" si="24"/>
        <v>357.59999999999985</v>
      </c>
      <c r="L232" s="3">
        <v>1.6</v>
      </c>
      <c r="M232" s="3">
        <f t="shared" si="25"/>
        <v>185.50000000000009</v>
      </c>
      <c r="N232" s="3">
        <v>-1.6</v>
      </c>
      <c r="O232" s="3">
        <f t="shared" si="31"/>
        <v>179.49999999999997</v>
      </c>
      <c r="P232" s="3">
        <v>183</v>
      </c>
      <c r="Q232" s="18">
        <f t="shared" si="20"/>
        <v>1.1297297297297297</v>
      </c>
      <c r="R232" s="10">
        <f t="shared" si="21"/>
        <v>1.8075675675675678</v>
      </c>
      <c r="S232" s="10">
        <f t="shared" si="22"/>
        <v>-1.8075675675675678</v>
      </c>
      <c r="T232" s="72">
        <f t="shared" si="26"/>
        <v>176.95182432432432</v>
      </c>
      <c r="V232" s="3">
        <v>321.7</v>
      </c>
      <c r="X232" s="3">
        <f t="shared" si="27"/>
        <v>102466.90000000001</v>
      </c>
      <c r="Y232" s="3">
        <f t="shared" si="29"/>
        <v>34349.499999999993</v>
      </c>
      <c r="AA232" s="3">
        <v>11.8012592238835</v>
      </c>
    </row>
    <row r="233" spans="1:28" s="3" customFormat="1" x14ac:dyDescent="0.25">
      <c r="A233" s="63"/>
      <c r="B233" s="7"/>
      <c r="C233" s="16">
        <v>40618</v>
      </c>
      <c r="D233" s="3">
        <v>10.199999999999999</v>
      </c>
      <c r="E233" s="3">
        <v>9</v>
      </c>
      <c r="F233" s="3">
        <v>12.2</v>
      </c>
      <c r="G233" s="3">
        <f t="shared" si="23"/>
        <v>1428.3999999999996</v>
      </c>
      <c r="H233" s="3">
        <f t="shared" si="28"/>
        <v>461.99999999999994</v>
      </c>
      <c r="J233" s="71">
        <v>0</v>
      </c>
      <c r="K233" s="3">
        <f t="shared" si="24"/>
        <v>357.59999999999985</v>
      </c>
      <c r="L233" s="3">
        <v>1.7</v>
      </c>
      <c r="M233" s="3">
        <f t="shared" si="25"/>
        <v>187.20000000000007</v>
      </c>
      <c r="N233" s="3">
        <v>-1.7</v>
      </c>
      <c r="O233" s="3">
        <f t="shared" si="31"/>
        <v>177.79999999999998</v>
      </c>
      <c r="P233" s="3">
        <v>184</v>
      </c>
      <c r="Q233" s="18">
        <f t="shared" si="20"/>
        <v>1.1317567567567566</v>
      </c>
      <c r="R233" s="10">
        <f t="shared" si="21"/>
        <v>1.9239864864864862</v>
      </c>
      <c r="S233" s="10">
        <f t="shared" si="22"/>
        <v>-1.9239864864864862</v>
      </c>
      <c r="T233" s="72">
        <f t="shared" si="26"/>
        <v>175.02783783783784</v>
      </c>
      <c r="V233" s="3">
        <v>978</v>
      </c>
      <c r="X233" s="3">
        <f t="shared" si="27"/>
        <v>103444.90000000001</v>
      </c>
      <c r="Y233" s="3">
        <f t="shared" si="29"/>
        <v>35327.499999999993</v>
      </c>
      <c r="AA233" s="3">
        <v>11.8600713552808</v>
      </c>
    </row>
    <row r="234" spans="1:28" s="3" customFormat="1" x14ac:dyDescent="0.25">
      <c r="A234" s="63"/>
      <c r="B234" s="7"/>
      <c r="C234" s="16">
        <v>40619</v>
      </c>
      <c r="D234" s="3">
        <v>8.6</v>
      </c>
      <c r="E234" s="3">
        <v>8.5</v>
      </c>
      <c r="F234" s="3">
        <v>9.5</v>
      </c>
      <c r="G234" s="3">
        <f t="shared" si="23"/>
        <v>1436.9999999999995</v>
      </c>
      <c r="H234" s="3">
        <f t="shared" si="28"/>
        <v>470.59999999999997</v>
      </c>
      <c r="J234" s="71">
        <v>0</v>
      </c>
      <c r="K234" s="3">
        <f t="shared" si="24"/>
        <v>357.59999999999985</v>
      </c>
      <c r="L234" s="3">
        <v>1</v>
      </c>
      <c r="M234" s="3">
        <f t="shared" si="25"/>
        <v>188.20000000000007</v>
      </c>
      <c r="N234" s="3">
        <v>-1</v>
      </c>
      <c r="O234" s="3">
        <f t="shared" si="31"/>
        <v>176.79999999999998</v>
      </c>
      <c r="P234" s="3">
        <v>185</v>
      </c>
      <c r="Q234" s="18">
        <f t="shared" ref="Q234:Q242" si="32">1+((P234-119)/74)*(1.15-1)</f>
        <v>1.1337837837837836</v>
      </c>
      <c r="R234" s="10">
        <f t="shared" si="21"/>
        <v>1.1337837837837836</v>
      </c>
      <c r="S234" s="10">
        <f t="shared" si="22"/>
        <v>-1.1337837837837836</v>
      </c>
      <c r="T234" s="72">
        <f t="shared" si="26"/>
        <v>173.89405405405407</v>
      </c>
      <c r="V234" s="3">
        <v>571.6</v>
      </c>
      <c r="X234" s="3">
        <f t="shared" si="27"/>
        <v>104016.50000000001</v>
      </c>
      <c r="Y234" s="3">
        <f t="shared" si="29"/>
        <v>35899.099999999991</v>
      </c>
      <c r="AA234" s="3">
        <v>11.9188998432952</v>
      </c>
    </row>
    <row r="235" spans="1:28" s="3" customFormat="1" x14ac:dyDescent="0.25">
      <c r="A235" s="63"/>
      <c r="B235" s="7"/>
      <c r="C235" s="16">
        <v>40620</v>
      </c>
      <c r="D235" s="3">
        <v>10.199999999999999</v>
      </c>
      <c r="E235" s="3">
        <v>6.1</v>
      </c>
      <c r="F235" s="3">
        <v>14.1</v>
      </c>
      <c r="G235" s="3">
        <f t="shared" si="23"/>
        <v>1447.1999999999996</v>
      </c>
      <c r="H235" s="3">
        <f t="shared" si="28"/>
        <v>480.79999999999995</v>
      </c>
      <c r="J235" s="71">
        <v>2.2999999999999998</v>
      </c>
      <c r="K235" s="3">
        <f t="shared" si="24"/>
        <v>359.89999999999986</v>
      </c>
      <c r="L235" s="3">
        <v>0.6</v>
      </c>
      <c r="M235" s="3">
        <f t="shared" si="25"/>
        <v>188.80000000000007</v>
      </c>
      <c r="N235" s="3">
        <v>1.6999999999999997</v>
      </c>
      <c r="O235" s="3">
        <f t="shared" si="31"/>
        <v>178.49999999999997</v>
      </c>
      <c r="P235" s="3">
        <v>186</v>
      </c>
      <c r="Q235" s="18">
        <f t="shared" si="32"/>
        <v>1.1358108108108107</v>
      </c>
      <c r="R235" s="10">
        <f t="shared" si="21"/>
        <v>0.68148648648648635</v>
      </c>
      <c r="S235" s="10">
        <f t="shared" si="22"/>
        <v>1.6185135135135136</v>
      </c>
      <c r="T235" s="72">
        <f t="shared" si="26"/>
        <v>175.51256756756757</v>
      </c>
      <c r="V235" s="3">
        <v>314.5</v>
      </c>
      <c r="X235" s="3">
        <f t="shared" si="27"/>
        <v>104331.00000000001</v>
      </c>
      <c r="Y235" s="3">
        <f t="shared" si="29"/>
        <v>36213.599999999991</v>
      </c>
      <c r="AA235" s="3">
        <v>11.9777384544863</v>
      </c>
    </row>
    <row r="236" spans="1:28" s="3" customFormat="1" x14ac:dyDescent="0.25">
      <c r="A236" s="63"/>
      <c r="B236" s="7"/>
      <c r="C236" s="16">
        <v>40621</v>
      </c>
      <c r="D236" s="3">
        <v>7.9</v>
      </c>
      <c r="E236" s="3">
        <v>5.0999999999999996</v>
      </c>
      <c r="F236" s="3">
        <v>11.6</v>
      </c>
      <c r="G236" s="3">
        <f t="shared" si="23"/>
        <v>1455.0999999999997</v>
      </c>
      <c r="H236" s="3">
        <f t="shared" si="28"/>
        <v>488.69999999999993</v>
      </c>
      <c r="J236" s="71">
        <v>0</v>
      </c>
      <c r="K236" s="3">
        <f t="shared" si="24"/>
        <v>359.89999999999986</v>
      </c>
      <c r="L236" s="3">
        <v>2.1</v>
      </c>
      <c r="M236" s="3">
        <f t="shared" si="25"/>
        <v>190.90000000000006</v>
      </c>
      <c r="N236" s="3">
        <v>-2.1</v>
      </c>
      <c r="O236" s="3">
        <f t="shared" si="31"/>
        <v>176.39999999999998</v>
      </c>
      <c r="P236" s="3">
        <v>187</v>
      </c>
      <c r="Q236" s="18">
        <f t="shared" si="32"/>
        <v>1.1378378378378378</v>
      </c>
      <c r="R236" s="10">
        <f t="shared" si="21"/>
        <v>2.3894594594594594</v>
      </c>
      <c r="S236" s="10">
        <f t="shared" si="22"/>
        <v>-2.3894594594594594</v>
      </c>
      <c r="T236" s="72">
        <f t="shared" si="26"/>
        <v>173.12310810810811</v>
      </c>
      <c r="V236" s="3">
        <v>1342.5</v>
      </c>
      <c r="X236" s="3">
        <f t="shared" si="27"/>
        <v>105673.50000000001</v>
      </c>
      <c r="Y236" s="3">
        <f t="shared" si="29"/>
        <v>37556.099999999991</v>
      </c>
      <c r="AA236" s="3">
        <v>12.0365810550304</v>
      </c>
    </row>
    <row r="237" spans="1:28" s="3" customFormat="1" x14ac:dyDescent="0.25">
      <c r="A237" s="63"/>
      <c r="B237" s="7"/>
      <c r="C237" s="16">
        <v>40622</v>
      </c>
      <c r="D237" s="3">
        <v>8.1999999999999993</v>
      </c>
      <c r="E237" s="3">
        <v>5.6</v>
      </c>
      <c r="F237" s="3">
        <v>13</v>
      </c>
      <c r="G237" s="3">
        <f t="shared" si="23"/>
        <v>1463.2999999999997</v>
      </c>
      <c r="H237" s="3">
        <f t="shared" si="28"/>
        <v>496.89999999999992</v>
      </c>
      <c r="J237" s="71">
        <v>0</v>
      </c>
      <c r="K237" s="3">
        <f t="shared" si="24"/>
        <v>359.89999999999986</v>
      </c>
      <c r="L237" s="3">
        <v>1.5</v>
      </c>
      <c r="M237" s="3">
        <f t="shared" si="25"/>
        <v>192.40000000000006</v>
      </c>
      <c r="N237" s="3">
        <v>-1.5</v>
      </c>
      <c r="O237" s="3">
        <f t="shared" si="31"/>
        <v>174.89999999999998</v>
      </c>
      <c r="P237" s="3">
        <v>188</v>
      </c>
      <c r="Q237" s="18">
        <f t="shared" si="32"/>
        <v>1.1398648648648648</v>
      </c>
      <c r="R237" s="10">
        <f t="shared" si="21"/>
        <v>1.7097972972972972</v>
      </c>
      <c r="S237" s="10">
        <f t="shared" si="22"/>
        <v>-1.7097972972972972</v>
      </c>
      <c r="T237" s="72">
        <f t="shared" si="26"/>
        <v>171.41331081081083</v>
      </c>
      <c r="V237" s="3">
        <v>1028.8</v>
      </c>
      <c r="X237" s="3">
        <f t="shared" si="27"/>
        <v>106702.30000000002</v>
      </c>
      <c r="Y237" s="3">
        <f t="shared" si="29"/>
        <v>38584.899999999994</v>
      </c>
      <c r="AA237" s="3">
        <v>12.095421592892601</v>
      </c>
    </row>
    <row r="238" spans="1:28" s="3" customFormat="1" x14ac:dyDescent="0.25">
      <c r="A238" s="63"/>
      <c r="B238" s="7"/>
      <c r="C238" s="16">
        <v>40623</v>
      </c>
      <c r="D238" s="3">
        <v>7.2</v>
      </c>
      <c r="E238" s="3">
        <v>-0.3</v>
      </c>
      <c r="F238" s="3">
        <v>15.5</v>
      </c>
      <c r="G238" s="3">
        <f t="shared" si="23"/>
        <v>1470.4999999999998</v>
      </c>
      <c r="H238" s="3">
        <f t="shared" si="28"/>
        <v>504.09999999999991</v>
      </c>
      <c r="J238" s="3">
        <v>0</v>
      </c>
      <c r="K238" s="3">
        <f t="shared" si="24"/>
        <v>359.89999999999986</v>
      </c>
      <c r="L238" s="3">
        <v>2.7</v>
      </c>
      <c r="M238" s="3">
        <f t="shared" si="25"/>
        <v>195.10000000000005</v>
      </c>
      <c r="N238" s="3">
        <v>-2.7</v>
      </c>
      <c r="O238" s="3">
        <f t="shared" si="31"/>
        <v>172.2</v>
      </c>
      <c r="P238" s="3">
        <v>189</v>
      </c>
      <c r="Q238" s="18">
        <f t="shared" si="32"/>
        <v>1.1418918918918919</v>
      </c>
      <c r="R238" s="10">
        <f t="shared" si="21"/>
        <v>3.0831081081081084</v>
      </c>
      <c r="S238" s="10">
        <f t="shared" si="22"/>
        <v>-3.0831081081081084</v>
      </c>
      <c r="T238" s="10">
        <f t="shared" si="26"/>
        <v>168.33020270270271</v>
      </c>
      <c r="V238" s="3">
        <v>1907.2</v>
      </c>
      <c r="X238" s="3">
        <f t="shared" si="27"/>
        <v>108609.50000000001</v>
      </c>
      <c r="Y238" s="3">
        <f t="shared" si="29"/>
        <v>40492.099999999991</v>
      </c>
      <c r="AA238" s="3">
        <v>12.1542540801066</v>
      </c>
    </row>
    <row r="239" spans="1:28" s="3" customFormat="1" x14ac:dyDescent="0.25">
      <c r="A239" s="63"/>
      <c r="B239" s="7"/>
      <c r="C239" s="16">
        <v>40624</v>
      </c>
      <c r="D239" s="3">
        <v>9.3000000000000007</v>
      </c>
      <c r="E239" s="3">
        <v>1.8</v>
      </c>
      <c r="F239" s="3">
        <v>17.7</v>
      </c>
      <c r="G239" s="3">
        <f t="shared" si="23"/>
        <v>1479.7999999999997</v>
      </c>
      <c r="H239" s="3">
        <f t="shared" si="28"/>
        <v>513.39999999999986</v>
      </c>
      <c r="J239" s="3">
        <v>0</v>
      </c>
      <c r="K239" s="3">
        <f t="shared" si="24"/>
        <v>359.89999999999986</v>
      </c>
      <c r="L239" s="3">
        <v>3.3</v>
      </c>
      <c r="M239" s="3">
        <f t="shared" si="25"/>
        <v>198.40000000000006</v>
      </c>
      <c r="N239" s="3">
        <v>-3.3</v>
      </c>
      <c r="O239" s="3">
        <f t="shared" si="31"/>
        <v>168.89999999999998</v>
      </c>
      <c r="P239" s="3">
        <v>190</v>
      </c>
      <c r="Q239" s="18">
        <f t="shared" si="32"/>
        <v>1.1439189189189189</v>
      </c>
      <c r="R239" s="10">
        <f t="shared" si="21"/>
        <v>3.7749324324324323</v>
      </c>
      <c r="S239" s="10">
        <f t="shared" si="22"/>
        <v>-3.7749324324324323</v>
      </c>
      <c r="T239" s="10">
        <f t="shared" si="26"/>
        <v>164.55527027027028</v>
      </c>
      <c r="V239" s="3">
        <v>1959.8</v>
      </c>
      <c r="X239" s="3">
        <f t="shared" si="27"/>
        <v>110569.30000000002</v>
      </c>
      <c r="Y239" s="3">
        <f t="shared" si="29"/>
        <v>42451.899999999994</v>
      </c>
      <c r="AA239" s="3">
        <v>12.2130725751594</v>
      </c>
    </row>
    <row r="240" spans="1:28" s="3" customFormat="1" x14ac:dyDescent="0.25">
      <c r="A240" s="63"/>
      <c r="B240" s="7"/>
      <c r="C240" s="16">
        <v>40625</v>
      </c>
      <c r="D240" s="3">
        <v>10.3</v>
      </c>
      <c r="E240" s="3">
        <v>2</v>
      </c>
      <c r="F240" s="3">
        <v>19</v>
      </c>
      <c r="G240" s="3">
        <f t="shared" si="23"/>
        <v>1490.0999999999997</v>
      </c>
      <c r="H240" s="3">
        <f t="shared" si="28"/>
        <v>523.69999999999982</v>
      </c>
      <c r="J240" s="3">
        <v>0</v>
      </c>
      <c r="K240" s="3">
        <f t="shared" si="24"/>
        <v>359.89999999999986</v>
      </c>
      <c r="L240" s="3">
        <v>3.2</v>
      </c>
      <c r="M240" s="3">
        <f t="shared" si="25"/>
        <v>201.60000000000005</v>
      </c>
      <c r="N240" s="3">
        <v>-3.2</v>
      </c>
      <c r="O240" s="3">
        <f t="shared" si="31"/>
        <v>165.7</v>
      </c>
      <c r="P240" s="3">
        <v>191</v>
      </c>
      <c r="Q240" s="18">
        <f t="shared" si="32"/>
        <v>1.1459459459459458</v>
      </c>
      <c r="R240" s="10">
        <f t="shared" si="21"/>
        <v>3.6670270270270269</v>
      </c>
      <c r="S240" s="10">
        <f t="shared" si="22"/>
        <v>-3.6670270270270269</v>
      </c>
      <c r="T240" s="10">
        <f t="shared" si="26"/>
        <v>160.88824324324327</v>
      </c>
      <c r="V240" s="3">
        <v>1993.5</v>
      </c>
      <c r="X240" s="3">
        <f t="shared" si="27"/>
        <v>112562.80000000002</v>
      </c>
      <c r="Y240" s="3">
        <f t="shared" si="29"/>
        <v>44445.399999999994</v>
      </c>
      <c r="AA240" s="3">
        <v>12.2718711654767</v>
      </c>
    </row>
    <row r="241" spans="1:27" s="3" customFormat="1" x14ac:dyDescent="0.25">
      <c r="A241" s="63"/>
      <c r="B241" s="7"/>
      <c r="C241" s="16">
        <v>40626</v>
      </c>
      <c r="D241" s="3">
        <v>10.8</v>
      </c>
      <c r="E241" s="3">
        <v>3.8</v>
      </c>
      <c r="F241" s="3">
        <v>19.399999999999999</v>
      </c>
      <c r="G241" s="3">
        <f t="shared" si="23"/>
        <v>1500.8999999999996</v>
      </c>
      <c r="H241" s="3">
        <f t="shared" si="28"/>
        <v>534.49999999999977</v>
      </c>
      <c r="J241" s="3">
        <v>0</v>
      </c>
      <c r="K241" s="3">
        <f t="shared" si="24"/>
        <v>359.89999999999986</v>
      </c>
      <c r="L241" s="3">
        <v>3.3</v>
      </c>
      <c r="M241" s="3">
        <f t="shared" si="25"/>
        <v>204.90000000000006</v>
      </c>
      <c r="N241" s="3">
        <v>-3.3</v>
      </c>
      <c r="O241" s="3">
        <f t="shared" si="31"/>
        <v>162.39999999999998</v>
      </c>
      <c r="P241" s="3">
        <v>192</v>
      </c>
      <c r="Q241" s="18">
        <f t="shared" si="32"/>
        <v>1.1479729729729728</v>
      </c>
      <c r="R241" s="10">
        <f t="shared" si="21"/>
        <v>3.7883108108108101</v>
      </c>
      <c r="S241" s="10">
        <f t="shared" si="22"/>
        <v>-3.7883108108108101</v>
      </c>
      <c r="T241" s="10">
        <f t="shared" si="26"/>
        <v>157.09993243243247</v>
      </c>
      <c r="V241" s="3">
        <v>2015.7</v>
      </c>
      <c r="W241" s="11"/>
      <c r="X241" s="3">
        <f t="shared" si="27"/>
        <v>114578.50000000001</v>
      </c>
      <c r="Y241" s="3">
        <f t="shared" si="29"/>
        <v>46461.099999999991</v>
      </c>
      <c r="AA241" s="3">
        <v>12.3306439500082</v>
      </c>
    </row>
    <row r="242" spans="1:27" s="39" customFormat="1" ht="15" customHeight="1" thickBot="1" x14ac:dyDescent="0.3">
      <c r="A242" s="63"/>
      <c r="B242" s="36"/>
      <c r="C242" s="37">
        <v>40627</v>
      </c>
      <c r="D242" s="38">
        <v>11.4</v>
      </c>
      <c r="E242" s="38">
        <v>4.3</v>
      </c>
      <c r="F242" s="38">
        <v>18.600000000000001</v>
      </c>
      <c r="G242" s="39">
        <f t="shared" si="23"/>
        <v>1512.2999999999997</v>
      </c>
      <c r="H242" s="39">
        <f t="shared" si="28"/>
        <v>545.89999999999975</v>
      </c>
      <c r="J242" s="38">
        <v>0</v>
      </c>
      <c r="K242" s="39">
        <f t="shared" si="24"/>
        <v>359.89999999999986</v>
      </c>
      <c r="L242" s="38">
        <v>1</v>
      </c>
      <c r="M242" s="39">
        <f t="shared" si="25"/>
        <v>205.90000000000006</v>
      </c>
      <c r="N242" s="38">
        <v>-1</v>
      </c>
      <c r="O242" s="39">
        <f t="shared" si="31"/>
        <v>161.39999999999998</v>
      </c>
      <c r="P242" s="39">
        <v>193</v>
      </c>
      <c r="Q242" s="40">
        <f t="shared" si="32"/>
        <v>1.1499999999999999</v>
      </c>
      <c r="R242" s="41">
        <f t="shared" ref="R242:R305" si="33">Q242*L242</f>
        <v>1.1499999999999999</v>
      </c>
      <c r="S242" s="41">
        <f t="shared" ref="S242:S305" si="34">J242-R242</f>
        <v>-1.1499999999999999</v>
      </c>
      <c r="T242" s="42">
        <f t="shared" si="26"/>
        <v>155.94993243243246</v>
      </c>
      <c r="V242" s="38">
        <v>505.9</v>
      </c>
      <c r="W242" s="38"/>
      <c r="X242" s="39">
        <f t="shared" si="27"/>
        <v>115084.40000000001</v>
      </c>
      <c r="Y242" s="43">
        <f t="shared" si="29"/>
        <v>46966.999999999993</v>
      </c>
      <c r="AA242" s="43">
        <v>12.389385021906101</v>
      </c>
    </row>
    <row r="243" spans="1:27" s="3" customFormat="1" x14ac:dyDescent="0.25">
      <c r="A243" s="20" t="s">
        <v>21</v>
      </c>
      <c r="B243" s="4"/>
      <c r="C243" s="21">
        <v>40628</v>
      </c>
      <c r="D243" s="3">
        <v>12.2</v>
      </c>
      <c r="E243" s="3">
        <v>5.7</v>
      </c>
      <c r="F243" s="3">
        <v>19</v>
      </c>
      <c r="G243" s="3">
        <f t="shared" si="23"/>
        <v>1524.4999999999998</v>
      </c>
      <c r="H243" s="3">
        <v>12.2</v>
      </c>
      <c r="I243" s="22" t="s">
        <v>2</v>
      </c>
      <c r="J243" s="3">
        <v>2.2999999999999998</v>
      </c>
      <c r="K243" s="3">
        <f t="shared" si="24"/>
        <v>362.19999999999987</v>
      </c>
      <c r="L243" s="3">
        <v>1.3</v>
      </c>
      <c r="M243" s="3">
        <f t="shared" si="25"/>
        <v>207.20000000000007</v>
      </c>
      <c r="N243" s="3">
        <v>0.99999999999999978</v>
      </c>
      <c r="O243" s="3">
        <f t="shared" si="31"/>
        <v>162.39999999999998</v>
      </c>
      <c r="P243" s="3">
        <v>194</v>
      </c>
      <c r="Q243" s="3">
        <v>1.1499999999999999</v>
      </c>
      <c r="R243" s="10">
        <f t="shared" si="33"/>
        <v>1.4949999999999999</v>
      </c>
      <c r="S243" s="10">
        <f t="shared" si="34"/>
        <v>0.80499999999999994</v>
      </c>
      <c r="T243" s="10">
        <f t="shared" si="26"/>
        <v>156.75493243243247</v>
      </c>
      <c r="U243" s="22" t="s">
        <v>3</v>
      </c>
      <c r="V243" s="3">
        <v>687.1</v>
      </c>
      <c r="X243" s="3">
        <f t="shared" si="27"/>
        <v>115771.50000000001</v>
      </c>
      <c r="Y243" s="3">
        <v>687.1</v>
      </c>
      <c r="Z243" s="22" t="s">
        <v>4</v>
      </c>
      <c r="AA243" s="3">
        <v>12.4480884512964</v>
      </c>
    </row>
    <row r="244" spans="1:27" s="3" customFormat="1" x14ac:dyDescent="0.25">
      <c r="A244" s="23"/>
      <c r="B244" s="4"/>
      <c r="C244" s="21">
        <v>40629</v>
      </c>
      <c r="D244" s="3">
        <v>12.2</v>
      </c>
      <c r="E244" s="3">
        <v>9.6</v>
      </c>
      <c r="F244" s="3">
        <v>15.7</v>
      </c>
      <c r="G244" s="3">
        <f t="shared" ref="G244:G307" si="35">G243+D244</f>
        <v>1536.6999999999998</v>
      </c>
      <c r="H244" s="3">
        <f t="shared" ref="H244:H307" si="36">H243+D244</f>
        <v>24.4</v>
      </c>
      <c r="I244" s="3">
        <v>2.4</v>
      </c>
      <c r="J244" s="3">
        <v>1.4</v>
      </c>
      <c r="K244" s="3">
        <f t="shared" ref="K244:K307" si="37">K243+J244</f>
        <v>363.59999999999985</v>
      </c>
      <c r="L244" s="3">
        <v>1.4</v>
      </c>
      <c r="M244" s="3">
        <f t="shared" ref="M244:M307" si="38">M243+L244</f>
        <v>208.60000000000008</v>
      </c>
      <c r="N244" s="3">
        <v>0</v>
      </c>
      <c r="O244" s="3">
        <f t="shared" si="31"/>
        <v>162.39999999999998</v>
      </c>
      <c r="P244" s="3">
        <v>195</v>
      </c>
      <c r="Q244" s="3">
        <v>1.1499999999999999</v>
      </c>
      <c r="R244" s="10">
        <f t="shared" si="33"/>
        <v>1.6099999999999999</v>
      </c>
      <c r="S244" s="10">
        <f t="shared" si="34"/>
        <v>-0.20999999999999996</v>
      </c>
      <c r="T244" s="10">
        <f t="shared" ref="T244:T303" si="39">MIN(197.4,(T243+S244))</f>
        <v>156.54493243243246</v>
      </c>
      <c r="U244" s="3">
        <v>17</v>
      </c>
      <c r="V244" s="3">
        <v>830.8</v>
      </c>
      <c r="X244" s="3">
        <f t="shared" ref="X244:X307" si="40">X243+V244</f>
        <v>116602.30000000002</v>
      </c>
      <c r="Y244" s="3">
        <f t="shared" si="29"/>
        <v>1517.9</v>
      </c>
      <c r="Z244" s="3">
        <v>26752.800000000003</v>
      </c>
      <c r="AA244" s="3">
        <v>12.506748268137301</v>
      </c>
    </row>
    <row r="245" spans="1:27" s="3" customFormat="1" x14ac:dyDescent="0.25">
      <c r="A245" s="23"/>
      <c r="B245" s="4"/>
      <c r="C245" s="21">
        <v>40630</v>
      </c>
      <c r="D245" s="3">
        <v>11.6</v>
      </c>
      <c r="E245" s="3">
        <v>7.2</v>
      </c>
      <c r="F245" s="3">
        <v>16.399999999999999</v>
      </c>
      <c r="G245" s="3">
        <f t="shared" si="35"/>
        <v>1548.2999999999997</v>
      </c>
      <c r="H245" s="3">
        <f t="shared" si="36"/>
        <v>36</v>
      </c>
      <c r="I245" s="22" t="s">
        <v>5</v>
      </c>
      <c r="J245" s="3">
        <v>0.2</v>
      </c>
      <c r="K245" s="3">
        <f t="shared" si="37"/>
        <v>363.79999999999984</v>
      </c>
      <c r="L245" s="3">
        <v>1.2</v>
      </c>
      <c r="M245" s="3">
        <f t="shared" si="38"/>
        <v>209.80000000000007</v>
      </c>
      <c r="N245" s="3">
        <v>-1</v>
      </c>
      <c r="O245" s="3">
        <f t="shared" si="31"/>
        <v>161.39999999999998</v>
      </c>
      <c r="P245" s="3">
        <v>196</v>
      </c>
      <c r="Q245" s="3">
        <v>1.1499999999999999</v>
      </c>
      <c r="R245" s="10">
        <f t="shared" si="33"/>
        <v>1.38</v>
      </c>
      <c r="S245" s="10">
        <f t="shared" si="34"/>
        <v>-1.18</v>
      </c>
      <c r="T245" s="10">
        <f t="shared" si="39"/>
        <v>155.36493243243245</v>
      </c>
      <c r="U245" s="22" t="s">
        <v>6</v>
      </c>
      <c r="V245" s="3">
        <v>621.70000000000005</v>
      </c>
      <c r="X245" s="3">
        <f t="shared" si="40"/>
        <v>117224.00000000001</v>
      </c>
      <c r="Y245" s="3">
        <f t="shared" si="29"/>
        <v>2139.6000000000004</v>
      </c>
      <c r="Z245" s="22" t="s">
        <v>7</v>
      </c>
      <c r="AA245" s="3">
        <v>12.565358445162101</v>
      </c>
    </row>
    <row r="246" spans="1:27" s="3" customFormat="1" x14ac:dyDescent="0.25">
      <c r="A246" s="23"/>
      <c r="B246" s="4"/>
      <c r="C246" s="21">
        <v>40631</v>
      </c>
      <c r="D246" s="3">
        <v>11.7</v>
      </c>
      <c r="E246" s="3">
        <v>10</v>
      </c>
      <c r="F246" s="3">
        <v>14.7</v>
      </c>
      <c r="G246" s="3">
        <f t="shared" si="35"/>
        <v>1559.9999999999998</v>
      </c>
      <c r="H246" s="3">
        <f t="shared" si="36"/>
        <v>47.7</v>
      </c>
      <c r="I246" s="3">
        <v>24.8</v>
      </c>
      <c r="J246" s="3">
        <v>5.9</v>
      </c>
      <c r="K246" s="3">
        <f t="shared" si="37"/>
        <v>369.69999999999982</v>
      </c>
      <c r="L246" s="3">
        <v>0.7</v>
      </c>
      <c r="M246" s="3">
        <f t="shared" si="38"/>
        <v>210.50000000000006</v>
      </c>
      <c r="N246" s="3">
        <v>5.2</v>
      </c>
      <c r="O246" s="3">
        <f t="shared" si="31"/>
        <v>166.59999999999997</v>
      </c>
      <c r="P246" s="3">
        <v>197</v>
      </c>
      <c r="Q246" s="3">
        <v>1.1499999999999999</v>
      </c>
      <c r="R246" s="10">
        <f t="shared" si="33"/>
        <v>0.80499999999999994</v>
      </c>
      <c r="S246" s="10">
        <f t="shared" si="34"/>
        <v>5.0950000000000006</v>
      </c>
      <c r="T246" s="10">
        <f t="shared" si="39"/>
        <v>160.45993243243245</v>
      </c>
      <c r="U246" s="3">
        <v>0</v>
      </c>
      <c r="V246" s="3">
        <v>322.89999999999998</v>
      </c>
      <c r="X246" s="3">
        <f t="shared" si="40"/>
        <v>117546.90000000001</v>
      </c>
      <c r="Y246" s="3">
        <f t="shared" si="29"/>
        <v>2462.5000000000005</v>
      </c>
      <c r="Z246" s="3">
        <f>(Z244/100)/I256</f>
        <v>1.0499529042386186</v>
      </c>
      <c r="AA246" s="3">
        <v>12.6239128809042</v>
      </c>
    </row>
    <row r="247" spans="1:27" s="3" customFormat="1" x14ac:dyDescent="0.25">
      <c r="A247" s="20" t="s">
        <v>22</v>
      </c>
      <c r="B247" s="4"/>
      <c r="C247" s="21">
        <v>40632</v>
      </c>
      <c r="D247" s="3">
        <v>11.1</v>
      </c>
      <c r="E247" s="3">
        <v>8.4</v>
      </c>
      <c r="F247" s="3">
        <v>13.6</v>
      </c>
      <c r="G247" s="3">
        <f t="shared" si="35"/>
        <v>1571.0999999999997</v>
      </c>
      <c r="H247" s="3">
        <f t="shared" si="36"/>
        <v>58.800000000000004</v>
      </c>
      <c r="I247" s="22" t="s">
        <v>8</v>
      </c>
      <c r="J247" s="3">
        <v>3.2</v>
      </c>
      <c r="K247" s="3">
        <f t="shared" si="37"/>
        <v>372.89999999999981</v>
      </c>
      <c r="L247" s="3">
        <v>0.5</v>
      </c>
      <c r="M247" s="3">
        <f t="shared" si="38"/>
        <v>211.00000000000006</v>
      </c>
      <c r="N247" s="3">
        <v>2.7</v>
      </c>
      <c r="O247" s="3">
        <f t="shared" si="31"/>
        <v>169.29999999999995</v>
      </c>
      <c r="P247" s="3">
        <v>198</v>
      </c>
      <c r="Q247" s="3">
        <v>1.1499999999999999</v>
      </c>
      <c r="R247" s="10">
        <f t="shared" si="33"/>
        <v>0.57499999999999996</v>
      </c>
      <c r="S247" s="10">
        <f t="shared" si="34"/>
        <v>2.625</v>
      </c>
      <c r="T247" s="10">
        <f t="shared" si="39"/>
        <v>163.08493243243245</v>
      </c>
      <c r="U247" s="22" t="s">
        <v>9</v>
      </c>
      <c r="V247" s="3">
        <v>307.60000000000002</v>
      </c>
      <c r="X247" s="3">
        <f t="shared" si="40"/>
        <v>117854.50000000001</v>
      </c>
      <c r="Y247" s="3">
        <f t="shared" si="29"/>
        <v>2770.1000000000004</v>
      </c>
      <c r="Z247" s="22" t="s">
        <v>10</v>
      </c>
      <c r="AA247" s="3">
        <v>12.6824053828018</v>
      </c>
    </row>
    <row r="248" spans="1:27" s="3" customFormat="1" x14ac:dyDescent="0.25">
      <c r="A248" s="23"/>
      <c r="B248" s="4"/>
      <c r="C248" s="21">
        <v>40633</v>
      </c>
      <c r="D248" s="24">
        <v>13.3</v>
      </c>
      <c r="E248" s="24">
        <v>12.6</v>
      </c>
      <c r="F248" s="24">
        <v>14.8</v>
      </c>
      <c r="G248" s="3">
        <f t="shared" si="35"/>
        <v>1584.3999999999996</v>
      </c>
      <c r="H248" s="3">
        <f t="shared" si="36"/>
        <v>72.100000000000009</v>
      </c>
      <c r="I248" s="10">
        <f>AVERAGE(D243:D263)</f>
        <v>12.133333333333335</v>
      </c>
      <c r="J248" s="24">
        <v>0.1</v>
      </c>
      <c r="K248" s="3">
        <f t="shared" si="37"/>
        <v>372.99999999999983</v>
      </c>
      <c r="L248" s="24">
        <v>0.7</v>
      </c>
      <c r="M248" s="3">
        <f t="shared" si="38"/>
        <v>211.70000000000005</v>
      </c>
      <c r="N248" s="24">
        <v>-0.6</v>
      </c>
      <c r="O248" s="3">
        <f t="shared" si="31"/>
        <v>168.69999999999996</v>
      </c>
      <c r="P248" s="3">
        <v>199</v>
      </c>
      <c r="Q248" s="3">
        <v>1.1499999999999999</v>
      </c>
      <c r="R248" s="10">
        <f t="shared" si="33"/>
        <v>0.80499999999999994</v>
      </c>
      <c r="S248" s="10">
        <f t="shared" si="34"/>
        <v>-0.70499999999999996</v>
      </c>
      <c r="T248" s="10">
        <f t="shared" si="39"/>
        <v>162.37993243243244</v>
      </c>
      <c r="U248" s="3">
        <v>0</v>
      </c>
      <c r="V248" s="24">
        <v>290.3</v>
      </c>
      <c r="W248" s="19"/>
      <c r="X248" s="3">
        <f t="shared" si="40"/>
        <v>118144.80000000002</v>
      </c>
      <c r="Y248" s="3">
        <f t="shared" si="29"/>
        <v>3060.4000000000005</v>
      </c>
      <c r="Z248" s="3">
        <v>8</v>
      </c>
      <c r="AA248" s="3">
        <v>12.7408296503808</v>
      </c>
    </row>
    <row r="249" spans="1:27" s="3" customFormat="1" ht="15" customHeight="1" x14ac:dyDescent="0.25">
      <c r="A249" s="23"/>
      <c r="B249" s="4"/>
      <c r="C249" s="21">
        <v>40634</v>
      </c>
      <c r="D249" s="3">
        <v>15.5</v>
      </c>
      <c r="E249" s="3">
        <v>12</v>
      </c>
      <c r="F249" s="3">
        <v>19.5</v>
      </c>
      <c r="G249" s="3">
        <f t="shared" si="35"/>
        <v>1599.8999999999996</v>
      </c>
      <c r="H249" s="3">
        <f t="shared" si="36"/>
        <v>87.600000000000009</v>
      </c>
      <c r="I249" s="22" t="s">
        <v>11</v>
      </c>
      <c r="J249" s="3">
        <v>0</v>
      </c>
      <c r="K249" s="3">
        <f t="shared" si="37"/>
        <v>372.99999999999983</v>
      </c>
      <c r="L249" s="3">
        <v>1.7</v>
      </c>
      <c r="M249" s="3">
        <f t="shared" si="38"/>
        <v>213.40000000000003</v>
      </c>
      <c r="N249" s="3">
        <v>-1.7</v>
      </c>
      <c r="O249" s="3">
        <f t="shared" si="31"/>
        <v>166.99999999999997</v>
      </c>
      <c r="P249" s="3">
        <v>200</v>
      </c>
      <c r="Q249" s="3">
        <v>1.1499999999999999</v>
      </c>
      <c r="R249" s="10">
        <f t="shared" si="33"/>
        <v>1.9549999999999998</v>
      </c>
      <c r="S249" s="10">
        <f t="shared" si="34"/>
        <v>-1.9549999999999998</v>
      </c>
      <c r="T249" s="10">
        <f t="shared" si="39"/>
        <v>160.42493243243243</v>
      </c>
      <c r="U249" s="22" t="s">
        <v>12</v>
      </c>
      <c r="V249" s="3">
        <v>966.5</v>
      </c>
      <c r="X249" s="3">
        <f t="shared" si="40"/>
        <v>119111.30000000002</v>
      </c>
      <c r="Y249" s="3">
        <f t="shared" si="29"/>
        <v>4026.9000000000005</v>
      </c>
      <c r="Z249" s="24"/>
      <c r="AA249" s="3">
        <v>12.7991792585143</v>
      </c>
    </row>
    <row r="250" spans="1:27" s="3" customFormat="1" x14ac:dyDescent="0.25">
      <c r="A250" s="23"/>
      <c r="B250" s="4"/>
      <c r="C250" s="21">
        <v>40635</v>
      </c>
      <c r="D250" s="3">
        <v>13.9</v>
      </c>
      <c r="E250" s="3">
        <v>11.8</v>
      </c>
      <c r="F250" s="3">
        <v>18.899999999999999</v>
      </c>
      <c r="G250" s="3">
        <f t="shared" si="35"/>
        <v>1613.7999999999997</v>
      </c>
      <c r="H250" s="3">
        <f t="shared" si="36"/>
        <v>101.50000000000001</v>
      </c>
      <c r="I250" s="3">
        <v>0</v>
      </c>
      <c r="J250" s="3">
        <v>0.2</v>
      </c>
      <c r="K250" s="3">
        <f t="shared" si="37"/>
        <v>373.19999999999982</v>
      </c>
      <c r="L250" s="3">
        <v>2</v>
      </c>
      <c r="M250" s="3">
        <f t="shared" si="38"/>
        <v>215.40000000000003</v>
      </c>
      <c r="N250" s="3">
        <v>-1.8</v>
      </c>
      <c r="O250" s="3">
        <f t="shared" si="31"/>
        <v>165.19999999999996</v>
      </c>
      <c r="P250" s="3">
        <v>201</v>
      </c>
      <c r="Q250" s="3">
        <v>1.1499999999999999</v>
      </c>
      <c r="R250" s="10">
        <f t="shared" si="33"/>
        <v>2.2999999999999998</v>
      </c>
      <c r="S250" s="10">
        <f t="shared" si="34"/>
        <v>-2.0999999999999996</v>
      </c>
      <c r="T250" s="10">
        <f t="shared" si="39"/>
        <v>158.32493243243243</v>
      </c>
      <c r="U250" s="10">
        <f>MIN(T243:T263)</f>
        <v>120.69993243243246</v>
      </c>
      <c r="V250" s="3">
        <v>1050.8</v>
      </c>
      <c r="X250" s="3">
        <f t="shared" si="40"/>
        <v>120162.10000000002</v>
      </c>
      <c r="Y250" s="3">
        <f t="shared" ref="Y250:Y313" si="41">Y249+V250</f>
        <v>5077.7000000000007</v>
      </c>
      <c r="AA250" s="3">
        <v>12.8574476407617</v>
      </c>
    </row>
    <row r="251" spans="1:27" s="3" customFormat="1" x14ac:dyDescent="0.25">
      <c r="A251" s="23"/>
      <c r="B251" s="4"/>
      <c r="C251" s="21">
        <v>40636</v>
      </c>
      <c r="D251" s="3">
        <v>10</v>
      </c>
      <c r="E251" s="3">
        <v>6.1</v>
      </c>
      <c r="F251" s="3">
        <v>15.6</v>
      </c>
      <c r="G251" s="3">
        <f t="shared" si="35"/>
        <v>1623.7999999999997</v>
      </c>
      <c r="H251" s="3">
        <f t="shared" si="36"/>
        <v>111.50000000000001</v>
      </c>
      <c r="I251" s="22" t="s">
        <v>13</v>
      </c>
      <c r="J251" s="3">
        <v>3.2</v>
      </c>
      <c r="K251" s="3">
        <f t="shared" si="37"/>
        <v>376.39999999999981</v>
      </c>
      <c r="L251" s="3">
        <v>1.3</v>
      </c>
      <c r="M251" s="3">
        <f t="shared" si="38"/>
        <v>216.70000000000005</v>
      </c>
      <c r="N251" s="3">
        <v>1.9000000000000001</v>
      </c>
      <c r="O251" s="3">
        <f t="shared" si="31"/>
        <v>167.09999999999997</v>
      </c>
      <c r="P251" s="3">
        <v>202</v>
      </c>
      <c r="Q251" s="3">
        <v>1.1499999999999999</v>
      </c>
      <c r="R251" s="10">
        <f t="shared" si="33"/>
        <v>1.4949999999999999</v>
      </c>
      <c r="S251" s="10">
        <f t="shared" si="34"/>
        <v>1.7050000000000003</v>
      </c>
      <c r="T251" s="10">
        <f t="shared" si="39"/>
        <v>160.02993243243245</v>
      </c>
      <c r="U251" s="22" t="s">
        <v>14</v>
      </c>
      <c r="V251" s="3">
        <v>908.1</v>
      </c>
      <c r="X251" s="3">
        <f t="shared" si="40"/>
        <v>121070.20000000003</v>
      </c>
      <c r="Y251" s="3">
        <f t="shared" si="41"/>
        <v>5985.8000000000011</v>
      </c>
      <c r="AA251" s="3">
        <v>12.915628072785401</v>
      </c>
    </row>
    <row r="252" spans="1:27" s="3" customFormat="1" x14ac:dyDescent="0.25">
      <c r="A252" s="23"/>
      <c r="B252" s="4"/>
      <c r="C252" s="21">
        <v>40637</v>
      </c>
      <c r="D252" s="3">
        <v>9.3000000000000007</v>
      </c>
      <c r="E252" s="3">
        <v>5.0999999999999996</v>
      </c>
      <c r="F252" s="3">
        <v>13.2</v>
      </c>
      <c r="G252" s="3">
        <f t="shared" si="35"/>
        <v>1633.0999999999997</v>
      </c>
      <c r="H252" s="3">
        <f t="shared" si="36"/>
        <v>120.80000000000001</v>
      </c>
      <c r="I252" s="3">
        <v>0</v>
      </c>
      <c r="J252" s="3">
        <v>0</v>
      </c>
      <c r="K252" s="3">
        <f t="shared" si="37"/>
        <v>376.39999999999981</v>
      </c>
      <c r="L252" s="3">
        <v>2.2000000000000002</v>
      </c>
      <c r="M252" s="3">
        <f t="shared" si="38"/>
        <v>218.90000000000003</v>
      </c>
      <c r="N252" s="3">
        <v>-2.2000000000000002</v>
      </c>
      <c r="O252" s="3">
        <f t="shared" si="31"/>
        <v>164.89999999999998</v>
      </c>
      <c r="P252" s="3">
        <v>203</v>
      </c>
      <c r="Q252" s="3">
        <v>1.1499999999999999</v>
      </c>
      <c r="R252" s="10">
        <f t="shared" si="33"/>
        <v>2.5299999999999998</v>
      </c>
      <c r="S252" s="10">
        <f t="shared" si="34"/>
        <v>-2.5299999999999998</v>
      </c>
      <c r="T252" s="10">
        <f t="shared" si="39"/>
        <v>157.49993243243244</v>
      </c>
      <c r="U252" s="10">
        <f>MAX(T243:T263)</f>
        <v>163.08493243243245</v>
      </c>
      <c r="V252" s="3">
        <v>1656.1</v>
      </c>
      <c r="X252" s="3">
        <f t="shared" si="40"/>
        <v>122726.30000000003</v>
      </c>
      <c r="Y252" s="3">
        <f t="shared" si="41"/>
        <v>7641.9000000000015</v>
      </c>
      <c r="AA252" s="3">
        <v>12.973713655852</v>
      </c>
    </row>
    <row r="253" spans="1:27" s="3" customFormat="1" x14ac:dyDescent="0.25">
      <c r="A253" s="23"/>
      <c r="B253" s="4"/>
      <c r="C253" s="21">
        <v>40638</v>
      </c>
      <c r="D253" s="3">
        <v>11.6</v>
      </c>
      <c r="E253" s="3">
        <v>6</v>
      </c>
      <c r="F253" s="3">
        <v>18.2</v>
      </c>
      <c r="G253" s="3">
        <f t="shared" si="35"/>
        <v>1644.6999999999996</v>
      </c>
      <c r="H253" s="3">
        <f t="shared" si="36"/>
        <v>132.4</v>
      </c>
      <c r="I253" s="22" t="s">
        <v>15</v>
      </c>
      <c r="J253" s="3">
        <v>0</v>
      </c>
      <c r="K253" s="3">
        <f t="shared" si="37"/>
        <v>376.39999999999981</v>
      </c>
      <c r="L253" s="3">
        <v>2.8</v>
      </c>
      <c r="M253" s="3">
        <f t="shared" si="38"/>
        <v>221.70000000000005</v>
      </c>
      <c r="N253" s="3">
        <v>-2.8</v>
      </c>
      <c r="O253" s="3">
        <f t="shared" si="31"/>
        <v>162.09999999999997</v>
      </c>
      <c r="P253" s="3">
        <v>204</v>
      </c>
      <c r="Q253" s="3">
        <v>1.1499999999999999</v>
      </c>
      <c r="R253" s="10">
        <f t="shared" si="33"/>
        <v>3.2199999999999998</v>
      </c>
      <c r="S253" s="10">
        <f t="shared" si="34"/>
        <v>-3.2199999999999998</v>
      </c>
      <c r="T253" s="10">
        <f t="shared" si="39"/>
        <v>154.27993243243245</v>
      </c>
      <c r="U253" s="22" t="s">
        <v>16</v>
      </c>
      <c r="V253" s="3">
        <v>1729.8</v>
      </c>
      <c r="X253" s="3">
        <f t="shared" si="40"/>
        <v>124456.10000000003</v>
      </c>
      <c r="Y253" s="3">
        <f t="shared" si="41"/>
        <v>9371.7000000000007</v>
      </c>
      <c r="AA253" s="3">
        <v>13.0316973004188</v>
      </c>
    </row>
    <row r="254" spans="1:27" s="3" customFormat="1" x14ac:dyDescent="0.25">
      <c r="A254" s="23"/>
      <c r="B254" s="4"/>
      <c r="C254" s="21">
        <v>40639</v>
      </c>
      <c r="D254" s="3">
        <v>14.6</v>
      </c>
      <c r="E254" s="3">
        <v>6.1</v>
      </c>
      <c r="F254" s="3">
        <v>22.1</v>
      </c>
      <c r="G254" s="3">
        <f t="shared" si="35"/>
        <v>1659.2999999999995</v>
      </c>
      <c r="H254" s="3">
        <f t="shared" si="36"/>
        <v>147</v>
      </c>
      <c r="I254" s="3">
        <v>2</v>
      </c>
      <c r="J254" s="3">
        <v>0</v>
      </c>
      <c r="K254" s="3">
        <f t="shared" si="37"/>
        <v>376.39999999999981</v>
      </c>
      <c r="L254" s="3">
        <v>3.6</v>
      </c>
      <c r="M254" s="3">
        <f t="shared" si="38"/>
        <v>225.30000000000004</v>
      </c>
      <c r="N254" s="3">
        <v>-3.6</v>
      </c>
      <c r="O254" s="3">
        <f t="shared" si="31"/>
        <v>158.49999999999997</v>
      </c>
      <c r="P254" s="3">
        <v>205</v>
      </c>
      <c r="Q254" s="3">
        <v>1.1499999999999999</v>
      </c>
      <c r="R254" s="10">
        <f t="shared" si="33"/>
        <v>4.1399999999999997</v>
      </c>
      <c r="S254" s="10">
        <f t="shared" si="34"/>
        <v>-4.1399999999999997</v>
      </c>
      <c r="T254" s="10">
        <f t="shared" si="39"/>
        <v>150.13993243243246</v>
      </c>
      <c r="U254" s="18">
        <f>AVERAGE(T243:T263)</f>
        <v>146.50374195624195</v>
      </c>
      <c r="V254" s="3">
        <v>2033.9</v>
      </c>
      <c r="X254" s="3">
        <f t="shared" si="40"/>
        <v>126490.00000000003</v>
      </c>
      <c r="Y254" s="3">
        <f t="shared" si="41"/>
        <v>11405.6</v>
      </c>
      <c r="AA254" s="3">
        <v>13.0895717098142</v>
      </c>
    </row>
    <row r="255" spans="1:27" s="3" customFormat="1" x14ac:dyDescent="0.25">
      <c r="A255" s="23"/>
      <c r="B255" s="4"/>
      <c r="C255" s="21">
        <v>40640</v>
      </c>
      <c r="D255" s="3">
        <v>13.9</v>
      </c>
      <c r="E255" s="3">
        <v>5.6</v>
      </c>
      <c r="F255" s="3">
        <v>24.8</v>
      </c>
      <c r="G255" s="3">
        <f t="shared" si="35"/>
        <v>1673.1999999999996</v>
      </c>
      <c r="H255" s="3">
        <f t="shared" si="36"/>
        <v>160.9</v>
      </c>
      <c r="I255" s="22" t="s">
        <v>17</v>
      </c>
      <c r="J255" s="3">
        <v>0</v>
      </c>
      <c r="K255" s="3">
        <f t="shared" si="37"/>
        <v>376.39999999999981</v>
      </c>
      <c r="L255" s="3">
        <v>4.5</v>
      </c>
      <c r="M255" s="3">
        <f t="shared" si="38"/>
        <v>229.80000000000004</v>
      </c>
      <c r="N255" s="3">
        <v>-4.5</v>
      </c>
      <c r="O255" s="3">
        <f t="shared" si="31"/>
        <v>153.99999999999997</v>
      </c>
      <c r="P255" s="3">
        <v>206</v>
      </c>
      <c r="Q255" s="3">
        <v>1.1499999999999999</v>
      </c>
      <c r="R255" s="10">
        <f t="shared" si="33"/>
        <v>5.1749999999999998</v>
      </c>
      <c r="S255" s="10">
        <f t="shared" si="34"/>
        <v>-5.1749999999999998</v>
      </c>
      <c r="T255" s="10">
        <f t="shared" si="39"/>
        <v>144.96493243243245</v>
      </c>
      <c r="V255" s="3">
        <v>2253.6</v>
      </c>
      <c r="X255" s="3">
        <f t="shared" si="40"/>
        <v>128743.60000000003</v>
      </c>
      <c r="Y255" s="3">
        <f t="shared" si="41"/>
        <v>13659.2</v>
      </c>
      <c r="AA255" s="3">
        <v>13.1473293640191</v>
      </c>
    </row>
    <row r="256" spans="1:27" s="3" customFormat="1" x14ac:dyDescent="0.25">
      <c r="A256" s="23"/>
      <c r="B256" s="4"/>
      <c r="C256" s="21">
        <v>40641</v>
      </c>
      <c r="D256" s="3">
        <v>14.7</v>
      </c>
      <c r="E256" s="3">
        <v>6.1</v>
      </c>
      <c r="F256" s="3">
        <v>24</v>
      </c>
      <c r="G256" s="3">
        <f t="shared" si="35"/>
        <v>1687.8999999999996</v>
      </c>
      <c r="H256" s="3">
        <f t="shared" si="36"/>
        <v>175.6</v>
      </c>
      <c r="I256" s="25">
        <v>254.8</v>
      </c>
      <c r="J256" s="3">
        <v>0</v>
      </c>
      <c r="K256" s="3">
        <f t="shared" si="37"/>
        <v>376.39999999999981</v>
      </c>
      <c r="L256" s="3">
        <v>3.9</v>
      </c>
      <c r="M256" s="3">
        <f t="shared" si="38"/>
        <v>233.70000000000005</v>
      </c>
      <c r="N256" s="3">
        <v>-3.9</v>
      </c>
      <c r="O256" s="3">
        <f t="shared" si="31"/>
        <v>150.09999999999997</v>
      </c>
      <c r="P256" s="3">
        <v>207</v>
      </c>
      <c r="Q256" s="3">
        <v>1.1499999999999999</v>
      </c>
      <c r="R256" s="10">
        <f t="shared" si="33"/>
        <v>4.4849999999999994</v>
      </c>
      <c r="S256" s="10">
        <f t="shared" si="34"/>
        <v>-4.4849999999999994</v>
      </c>
      <c r="T256" s="10">
        <f t="shared" si="39"/>
        <v>140.47993243243246</v>
      </c>
      <c r="U256" s="10">
        <f>(U254*100)/197.4</f>
        <v>74.216687921095215</v>
      </c>
      <c r="V256" s="3">
        <v>2273.5</v>
      </c>
      <c r="X256" s="3">
        <f t="shared" si="40"/>
        <v>131017.10000000003</v>
      </c>
      <c r="Y256" s="3">
        <f t="shared" si="41"/>
        <v>15932.7</v>
      </c>
      <c r="AA256" s="3">
        <v>13.204962503558599</v>
      </c>
    </row>
    <row r="257" spans="1:27" s="3" customFormat="1" x14ac:dyDescent="0.25">
      <c r="A257" s="23"/>
      <c r="B257" s="4"/>
      <c r="C257" s="21">
        <v>40642</v>
      </c>
      <c r="D257" s="3">
        <v>15.5</v>
      </c>
      <c r="E257" s="3">
        <v>9.5</v>
      </c>
      <c r="F257" s="3">
        <v>22.5</v>
      </c>
      <c r="G257" s="3">
        <f t="shared" si="35"/>
        <v>1703.3999999999996</v>
      </c>
      <c r="H257" s="3">
        <f t="shared" si="36"/>
        <v>191.1</v>
      </c>
      <c r="J257" s="3">
        <v>0</v>
      </c>
      <c r="K257" s="3">
        <f t="shared" si="37"/>
        <v>376.39999999999981</v>
      </c>
      <c r="L257" s="3">
        <v>4</v>
      </c>
      <c r="M257" s="3">
        <f t="shared" si="38"/>
        <v>237.70000000000005</v>
      </c>
      <c r="N257" s="3">
        <v>-4</v>
      </c>
      <c r="O257" s="3">
        <f t="shared" si="31"/>
        <v>146.09999999999997</v>
      </c>
      <c r="P257" s="3">
        <v>208</v>
      </c>
      <c r="Q257" s="3">
        <v>1.1499999999999999</v>
      </c>
      <c r="R257" s="10">
        <f t="shared" si="33"/>
        <v>4.5999999999999996</v>
      </c>
      <c r="S257" s="10">
        <f t="shared" si="34"/>
        <v>-4.5999999999999996</v>
      </c>
      <c r="T257" s="10">
        <f t="shared" si="39"/>
        <v>135.87993243243247</v>
      </c>
      <c r="V257" s="3">
        <v>2204.9</v>
      </c>
      <c r="X257" s="3">
        <f t="shared" si="40"/>
        <v>133222.00000000003</v>
      </c>
      <c r="Y257" s="3">
        <f t="shared" si="41"/>
        <v>18137.600000000002</v>
      </c>
      <c r="AA257" s="3">
        <v>13.2624631135172</v>
      </c>
    </row>
    <row r="258" spans="1:27" s="3" customFormat="1" x14ac:dyDescent="0.25">
      <c r="A258" s="23"/>
      <c r="B258" s="4"/>
      <c r="C258" s="21">
        <v>40643</v>
      </c>
      <c r="D258" s="3">
        <v>14.5</v>
      </c>
      <c r="E258" s="3">
        <v>7.9</v>
      </c>
      <c r="F258" s="3">
        <v>22.2</v>
      </c>
      <c r="G258" s="3">
        <f t="shared" si="35"/>
        <v>1717.8999999999996</v>
      </c>
      <c r="H258" s="3">
        <f t="shared" si="36"/>
        <v>205.6</v>
      </c>
      <c r="J258" s="3">
        <v>0</v>
      </c>
      <c r="K258" s="3">
        <f t="shared" si="37"/>
        <v>376.39999999999981</v>
      </c>
      <c r="L258" s="3">
        <v>3.4</v>
      </c>
      <c r="M258" s="3">
        <f t="shared" si="38"/>
        <v>241.10000000000005</v>
      </c>
      <c r="N258" s="3">
        <v>-3.4</v>
      </c>
      <c r="O258" s="3">
        <f t="shared" si="31"/>
        <v>142.69999999999996</v>
      </c>
      <c r="P258" s="3">
        <v>209</v>
      </c>
      <c r="Q258" s="3">
        <v>1.1499999999999999</v>
      </c>
      <c r="R258" s="10">
        <f t="shared" si="33"/>
        <v>3.9099999999999997</v>
      </c>
      <c r="S258" s="10">
        <f t="shared" si="34"/>
        <v>-3.9099999999999997</v>
      </c>
      <c r="T258" s="10">
        <f t="shared" si="39"/>
        <v>131.96993243243247</v>
      </c>
      <c r="V258" s="3">
        <v>2080.8000000000002</v>
      </c>
      <c r="X258" s="3">
        <f t="shared" si="40"/>
        <v>135302.80000000002</v>
      </c>
      <c r="Y258" s="3">
        <f t="shared" si="41"/>
        <v>20218.400000000001</v>
      </c>
      <c r="AA258" s="3">
        <v>13.319822907690501</v>
      </c>
    </row>
    <row r="259" spans="1:27" s="3" customFormat="1" x14ac:dyDescent="0.25">
      <c r="A259" s="23"/>
      <c r="B259" s="4"/>
      <c r="C259" s="21">
        <v>40644</v>
      </c>
      <c r="D259" s="3">
        <v>10.5</v>
      </c>
      <c r="E259" s="3">
        <v>8.1</v>
      </c>
      <c r="F259" s="3">
        <v>13.5</v>
      </c>
      <c r="G259" s="3">
        <f t="shared" si="35"/>
        <v>1728.3999999999996</v>
      </c>
      <c r="H259" s="3">
        <f t="shared" si="36"/>
        <v>216.1</v>
      </c>
      <c r="J259" s="3">
        <v>0</v>
      </c>
      <c r="K259" s="3">
        <f t="shared" si="37"/>
        <v>376.39999999999981</v>
      </c>
      <c r="L259" s="3">
        <v>1</v>
      </c>
      <c r="M259" s="3">
        <f t="shared" si="38"/>
        <v>242.10000000000005</v>
      </c>
      <c r="N259" s="3">
        <v>-1</v>
      </c>
      <c r="O259" s="3">
        <f t="shared" si="31"/>
        <v>141.69999999999996</v>
      </c>
      <c r="P259" s="3">
        <v>210</v>
      </c>
      <c r="Q259" s="3">
        <v>1.1499999999999999</v>
      </c>
      <c r="R259" s="10">
        <f t="shared" si="33"/>
        <v>1.1499999999999999</v>
      </c>
      <c r="S259" s="10">
        <f t="shared" si="34"/>
        <v>-1.1499999999999999</v>
      </c>
      <c r="T259" s="10">
        <f t="shared" si="39"/>
        <v>130.81993243243247</v>
      </c>
      <c r="V259" s="3">
        <v>705.7</v>
      </c>
      <c r="X259" s="3">
        <f t="shared" si="40"/>
        <v>136008.50000000003</v>
      </c>
      <c r="Y259" s="3">
        <f t="shared" si="41"/>
        <v>20924.100000000002</v>
      </c>
      <c r="AA259" s="3">
        <v>13.3770333128915</v>
      </c>
    </row>
    <row r="260" spans="1:27" s="3" customFormat="1" x14ac:dyDescent="0.25">
      <c r="A260" s="23"/>
      <c r="B260" s="4"/>
      <c r="C260" s="21">
        <v>40645</v>
      </c>
      <c r="D260" s="3">
        <v>8.5</v>
      </c>
      <c r="E260" s="3">
        <v>5.8</v>
      </c>
      <c r="F260" s="3">
        <v>13.4</v>
      </c>
      <c r="G260" s="3">
        <f t="shared" si="35"/>
        <v>1736.8999999999996</v>
      </c>
      <c r="H260" s="3">
        <f t="shared" si="36"/>
        <v>224.6</v>
      </c>
      <c r="J260" s="3">
        <v>0</v>
      </c>
      <c r="K260" s="3">
        <f t="shared" si="37"/>
        <v>376.39999999999981</v>
      </c>
      <c r="L260" s="3">
        <v>3.1</v>
      </c>
      <c r="M260" s="3">
        <f t="shared" si="38"/>
        <v>245.20000000000005</v>
      </c>
      <c r="N260" s="3">
        <v>-3.1</v>
      </c>
      <c r="O260" s="3">
        <f t="shared" si="31"/>
        <v>138.59999999999997</v>
      </c>
      <c r="P260" s="3">
        <v>211</v>
      </c>
      <c r="Q260" s="3">
        <v>1.1499999999999999</v>
      </c>
      <c r="R260" s="10">
        <f t="shared" si="33"/>
        <v>3.5649999999999999</v>
      </c>
      <c r="S260" s="10">
        <f t="shared" si="34"/>
        <v>-3.5649999999999999</v>
      </c>
      <c r="T260" s="10">
        <f t="shared" si="39"/>
        <v>127.25493243243247</v>
      </c>
      <c r="V260" s="3">
        <v>2091.1</v>
      </c>
      <c r="X260" s="3">
        <f t="shared" si="40"/>
        <v>138099.60000000003</v>
      </c>
      <c r="Y260" s="3">
        <f t="shared" si="41"/>
        <v>23015.200000000001</v>
      </c>
      <c r="AA260" s="3">
        <v>13.4340854534294</v>
      </c>
    </row>
    <row r="261" spans="1:27" s="3" customFormat="1" x14ac:dyDescent="0.25">
      <c r="A261" s="23"/>
      <c r="B261" s="4"/>
      <c r="C261" s="21">
        <v>40646</v>
      </c>
      <c r="D261" s="3">
        <v>7.8</v>
      </c>
      <c r="E261" s="3">
        <v>2.4</v>
      </c>
      <c r="F261" s="3">
        <v>14</v>
      </c>
      <c r="G261" s="3">
        <f t="shared" si="35"/>
        <v>1744.6999999999996</v>
      </c>
      <c r="H261" s="3">
        <f t="shared" si="36"/>
        <v>232.4</v>
      </c>
      <c r="J261" s="3">
        <v>0</v>
      </c>
      <c r="K261" s="3">
        <f t="shared" si="37"/>
        <v>376.39999999999981</v>
      </c>
      <c r="L261" s="3">
        <v>1.1000000000000001</v>
      </c>
      <c r="M261" s="3">
        <f t="shared" si="38"/>
        <v>246.30000000000004</v>
      </c>
      <c r="N261" s="3">
        <v>-1.1000000000000001</v>
      </c>
      <c r="O261" s="3">
        <f t="shared" si="31"/>
        <v>137.49999999999997</v>
      </c>
      <c r="P261" s="3">
        <v>212</v>
      </c>
      <c r="Q261" s="3">
        <v>1.1499999999999999</v>
      </c>
      <c r="R261" s="10">
        <f t="shared" si="33"/>
        <v>1.2649999999999999</v>
      </c>
      <c r="S261" s="10">
        <f t="shared" si="34"/>
        <v>-1.2649999999999999</v>
      </c>
      <c r="T261" s="10">
        <f t="shared" si="39"/>
        <v>125.98993243243247</v>
      </c>
      <c r="V261" s="3">
        <v>567.4</v>
      </c>
      <c r="X261" s="3">
        <f t="shared" si="40"/>
        <v>138667.00000000003</v>
      </c>
      <c r="Y261" s="3">
        <f t="shared" si="41"/>
        <v>23582.600000000002</v>
      </c>
      <c r="AA261" s="3">
        <v>13.490970135784</v>
      </c>
    </row>
    <row r="262" spans="1:27" s="3" customFormat="1" x14ac:dyDescent="0.25">
      <c r="A262" s="23"/>
      <c r="B262" s="4"/>
      <c r="C262" s="21">
        <v>40647</v>
      </c>
      <c r="D262" s="3">
        <v>10.4</v>
      </c>
      <c r="E262" s="3">
        <v>2.9</v>
      </c>
      <c r="F262" s="3">
        <v>17.2</v>
      </c>
      <c r="G262" s="3">
        <f t="shared" si="35"/>
        <v>1755.0999999999997</v>
      </c>
      <c r="H262" s="3">
        <f t="shared" si="36"/>
        <v>242.8</v>
      </c>
      <c r="J262" s="3">
        <v>0</v>
      </c>
      <c r="K262" s="3">
        <f t="shared" si="37"/>
        <v>376.39999999999981</v>
      </c>
      <c r="L262" s="3">
        <v>2.4</v>
      </c>
      <c r="M262" s="3">
        <f t="shared" si="38"/>
        <v>248.70000000000005</v>
      </c>
      <c r="N262" s="3">
        <v>-2.4</v>
      </c>
      <c r="O262" s="3">
        <f t="shared" si="31"/>
        <v>135.09999999999997</v>
      </c>
      <c r="P262" s="3">
        <v>213</v>
      </c>
      <c r="Q262" s="3">
        <v>1.1499999999999999</v>
      </c>
      <c r="R262" s="10">
        <f t="shared" si="33"/>
        <v>2.76</v>
      </c>
      <c r="S262" s="10">
        <f t="shared" si="34"/>
        <v>-2.76</v>
      </c>
      <c r="T262" s="10">
        <f t="shared" si="39"/>
        <v>123.22993243243246</v>
      </c>
      <c r="V262" s="3">
        <v>1693.8</v>
      </c>
      <c r="X262" s="3">
        <f t="shared" si="40"/>
        <v>140360.80000000002</v>
      </c>
      <c r="Y262" s="3">
        <f t="shared" si="41"/>
        <v>25276.400000000001</v>
      </c>
      <c r="AA262" s="3">
        <v>13.547677833501201</v>
      </c>
    </row>
    <row r="263" spans="1:27" s="39" customFormat="1" ht="15.75" thickBot="1" x14ac:dyDescent="0.3">
      <c r="A263" s="49" t="s">
        <v>23</v>
      </c>
      <c r="B263" s="36"/>
      <c r="C263" s="50">
        <v>40648</v>
      </c>
      <c r="D263" s="39">
        <v>12</v>
      </c>
      <c r="E263" s="39">
        <v>8</v>
      </c>
      <c r="F263" s="39">
        <v>17.3</v>
      </c>
      <c r="G263" s="39">
        <f t="shared" si="35"/>
        <v>1767.0999999999997</v>
      </c>
      <c r="H263" s="39">
        <f t="shared" si="36"/>
        <v>254.8</v>
      </c>
      <c r="J263" s="39">
        <v>0</v>
      </c>
      <c r="K263" s="39">
        <f t="shared" si="37"/>
        <v>376.39999999999981</v>
      </c>
      <c r="L263" s="39">
        <v>2.2000000000000002</v>
      </c>
      <c r="M263" s="39">
        <f t="shared" si="38"/>
        <v>250.90000000000003</v>
      </c>
      <c r="N263" s="39">
        <v>-2.2000000000000002</v>
      </c>
      <c r="O263" s="39">
        <f t="shared" si="31"/>
        <v>132.89999999999998</v>
      </c>
      <c r="P263" s="39">
        <v>214</v>
      </c>
      <c r="Q263" s="43">
        <v>1.1499999999999999</v>
      </c>
      <c r="R263" s="41">
        <f t="shared" si="33"/>
        <v>2.5299999999999998</v>
      </c>
      <c r="S263" s="41">
        <f t="shared" si="34"/>
        <v>-2.5299999999999998</v>
      </c>
      <c r="T263" s="42">
        <f t="shared" si="39"/>
        <v>120.69993243243246</v>
      </c>
      <c r="V263" s="39">
        <v>1476.4</v>
      </c>
      <c r="X263" s="39">
        <f t="shared" si="40"/>
        <v>141837.20000000001</v>
      </c>
      <c r="Y263" s="43">
        <f t="shared" si="41"/>
        <v>26752.800000000003</v>
      </c>
      <c r="AA263" s="43">
        <v>13.6041986723355</v>
      </c>
    </row>
    <row r="264" spans="1:27" s="3" customFormat="1" x14ac:dyDescent="0.25">
      <c r="A264" s="64">
        <v>300</v>
      </c>
      <c r="B264" s="7"/>
      <c r="C264" s="26">
        <v>40649</v>
      </c>
      <c r="D264" s="3">
        <v>11.7</v>
      </c>
      <c r="E264" s="3">
        <v>7.3</v>
      </c>
      <c r="F264" s="3">
        <v>18</v>
      </c>
      <c r="G264" s="3">
        <f t="shared" si="35"/>
        <v>1778.7999999999997</v>
      </c>
      <c r="H264" s="3">
        <v>11.7</v>
      </c>
      <c r="I264" s="27" t="s">
        <v>2</v>
      </c>
      <c r="J264" s="3">
        <v>0</v>
      </c>
      <c r="K264" s="3">
        <f t="shared" si="37"/>
        <v>376.39999999999981</v>
      </c>
      <c r="L264" s="3">
        <v>2.2000000000000002</v>
      </c>
      <c r="M264" s="3">
        <f t="shared" si="38"/>
        <v>253.10000000000002</v>
      </c>
      <c r="N264" s="3">
        <v>-2.2000000000000002</v>
      </c>
      <c r="O264" s="3">
        <f t="shared" si="31"/>
        <v>130.69999999999999</v>
      </c>
      <c r="P264" s="3">
        <v>215</v>
      </c>
      <c r="Q264" s="3">
        <v>1.1499999999999999</v>
      </c>
      <c r="R264" s="10">
        <f t="shared" si="33"/>
        <v>2.5299999999999998</v>
      </c>
      <c r="S264" s="10">
        <f t="shared" si="34"/>
        <v>-2.5299999999999998</v>
      </c>
      <c r="T264" s="10">
        <f t="shared" si="39"/>
        <v>118.16993243243246</v>
      </c>
      <c r="U264" s="27" t="s">
        <v>3</v>
      </c>
      <c r="V264" s="3">
        <v>1132.5999999999999</v>
      </c>
      <c r="X264" s="3">
        <f t="shared" si="40"/>
        <v>142969.80000000002</v>
      </c>
      <c r="Y264" s="3">
        <v>1132.5999999999999</v>
      </c>
      <c r="Z264" s="27" t="s">
        <v>4</v>
      </c>
      <c r="AA264" s="3">
        <v>13.660522415674199</v>
      </c>
    </row>
    <row r="265" spans="1:27" s="3" customFormat="1" x14ac:dyDescent="0.25">
      <c r="A265" s="64"/>
      <c r="B265" s="7"/>
      <c r="C265" s="26">
        <v>40650</v>
      </c>
      <c r="D265" s="3">
        <v>12.2</v>
      </c>
      <c r="E265" s="3">
        <v>3.8</v>
      </c>
      <c r="F265" s="3">
        <v>19.8</v>
      </c>
      <c r="G265" s="3">
        <f t="shared" si="35"/>
        <v>1790.9999999999998</v>
      </c>
      <c r="H265" s="3">
        <f t="shared" si="36"/>
        <v>23.9</v>
      </c>
      <c r="I265" s="3">
        <v>3.8</v>
      </c>
      <c r="J265" s="3">
        <v>0</v>
      </c>
      <c r="K265" s="3">
        <f t="shared" si="37"/>
        <v>376.39999999999981</v>
      </c>
      <c r="L265" s="3">
        <v>3.3</v>
      </c>
      <c r="M265" s="3">
        <f t="shared" si="38"/>
        <v>256.40000000000003</v>
      </c>
      <c r="N265" s="3">
        <v>-3.3</v>
      </c>
      <c r="O265" s="3">
        <f t="shared" si="31"/>
        <v>127.39999999999999</v>
      </c>
      <c r="P265" s="3">
        <v>216</v>
      </c>
      <c r="Q265" s="3">
        <v>1.1499999999999999</v>
      </c>
      <c r="R265" s="10">
        <f t="shared" si="33"/>
        <v>3.7949999999999995</v>
      </c>
      <c r="S265" s="10">
        <f t="shared" si="34"/>
        <v>-3.7949999999999995</v>
      </c>
      <c r="T265" s="10">
        <f t="shared" si="39"/>
        <v>114.37493243243246</v>
      </c>
      <c r="U265" s="3">
        <v>20</v>
      </c>
      <c r="V265" s="3">
        <v>1691.1</v>
      </c>
      <c r="X265" s="3">
        <f t="shared" si="40"/>
        <v>144660.90000000002</v>
      </c>
      <c r="Y265" s="3">
        <f t="shared" si="41"/>
        <v>2823.7</v>
      </c>
      <c r="Z265" s="3">
        <v>36541.600000000006</v>
      </c>
      <c r="AA265" s="3">
        <v>13.7166384502749</v>
      </c>
    </row>
    <row r="266" spans="1:27" s="3" customFormat="1" x14ac:dyDescent="0.25">
      <c r="A266" s="64"/>
      <c r="B266" s="7"/>
      <c r="C266" s="26">
        <v>40651</v>
      </c>
      <c r="D266" s="3">
        <v>13.9</v>
      </c>
      <c r="E266" s="3">
        <v>5.2</v>
      </c>
      <c r="F266" s="3">
        <v>20.7</v>
      </c>
      <c r="G266" s="3">
        <f t="shared" si="35"/>
        <v>1804.8999999999999</v>
      </c>
      <c r="H266" s="3">
        <f t="shared" si="36"/>
        <v>37.799999999999997</v>
      </c>
      <c r="I266" s="27" t="s">
        <v>5</v>
      </c>
      <c r="J266" s="3">
        <v>0</v>
      </c>
      <c r="K266" s="3">
        <f t="shared" si="37"/>
        <v>376.39999999999981</v>
      </c>
      <c r="L266" s="3">
        <v>3.5</v>
      </c>
      <c r="M266" s="3">
        <f t="shared" si="38"/>
        <v>259.90000000000003</v>
      </c>
      <c r="N266" s="3">
        <v>-3.5</v>
      </c>
      <c r="O266" s="3">
        <f t="shared" si="31"/>
        <v>123.89999999999999</v>
      </c>
      <c r="P266" s="3">
        <v>217</v>
      </c>
      <c r="Q266" s="3">
        <v>1.1499999999999999</v>
      </c>
      <c r="R266" s="10">
        <f t="shared" si="33"/>
        <v>4.0249999999999995</v>
      </c>
      <c r="S266" s="10">
        <f t="shared" si="34"/>
        <v>-4.0249999999999995</v>
      </c>
      <c r="T266" s="10">
        <f t="shared" si="39"/>
        <v>110.34993243243245</v>
      </c>
      <c r="U266" s="27" t="s">
        <v>6</v>
      </c>
      <c r="V266" s="3">
        <v>2164.8000000000002</v>
      </c>
      <c r="X266" s="3">
        <f t="shared" si="40"/>
        <v>146825.70000000001</v>
      </c>
      <c r="Y266" s="3">
        <f t="shared" si="41"/>
        <v>4988.5</v>
      </c>
      <c r="Z266" s="27" t="s">
        <v>7</v>
      </c>
      <c r="AA266" s="3">
        <v>13.772535772356401</v>
      </c>
    </row>
    <row r="267" spans="1:27" s="3" customFormat="1" x14ac:dyDescent="0.25">
      <c r="A267" s="64"/>
      <c r="B267" s="7"/>
      <c r="C267" s="26">
        <v>40652</v>
      </c>
      <c r="D267" s="3">
        <v>15.9</v>
      </c>
      <c r="E267" s="3">
        <v>7.2</v>
      </c>
      <c r="F267" s="3">
        <v>24</v>
      </c>
      <c r="G267" s="3">
        <f t="shared" si="35"/>
        <v>1820.8</v>
      </c>
      <c r="H267" s="3">
        <f t="shared" si="36"/>
        <v>53.699999999999996</v>
      </c>
      <c r="I267" s="3">
        <v>25.2</v>
      </c>
      <c r="J267" s="3">
        <v>0</v>
      </c>
      <c r="K267" s="3">
        <f t="shared" si="37"/>
        <v>376.39999999999981</v>
      </c>
      <c r="L267" s="3">
        <v>4</v>
      </c>
      <c r="M267" s="3">
        <f t="shared" si="38"/>
        <v>263.90000000000003</v>
      </c>
      <c r="N267" s="3">
        <v>-4</v>
      </c>
      <c r="O267" s="3">
        <f t="shared" si="31"/>
        <v>119.89999999999999</v>
      </c>
      <c r="P267" s="3">
        <v>218</v>
      </c>
      <c r="Q267" s="3">
        <v>1.1499999999999999</v>
      </c>
      <c r="R267" s="10">
        <f t="shared" si="33"/>
        <v>4.5999999999999996</v>
      </c>
      <c r="S267" s="10">
        <f t="shared" si="34"/>
        <v>-4.5999999999999996</v>
      </c>
      <c r="T267" s="10">
        <f t="shared" si="39"/>
        <v>105.74993243243246</v>
      </c>
      <c r="U267" s="3">
        <v>0</v>
      </c>
      <c r="V267" s="3">
        <v>2257.6999999999998</v>
      </c>
      <c r="X267" s="3">
        <f t="shared" si="40"/>
        <v>149083.40000000002</v>
      </c>
      <c r="Y267" s="3">
        <f t="shared" si="41"/>
        <v>7246.2</v>
      </c>
      <c r="Z267" s="3">
        <f>(Z265/100)/I277</f>
        <v>1.1795222724338283</v>
      </c>
      <c r="AA267" s="3">
        <v>13.828202974085199</v>
      </c>
    </row>
    <row r="268" spans="1:27" s="3" customFormat="1" x14ac:dyDescent="0.25">
      <c r="A268" s="64"/>
      <c r="B268" s="7"/>
      <c r="C268" s="26">
        <v>40653</v>
      </c>
      <c r="D268" s="3">
        <v>16.399999999999999</v>
      </c>
      <c r="E268" s="3">
        <v>9</v>
      </c>
      <c r="F268" s="3">
        <v>23.2</v>
      </c>
      <c r="G268" s="3">
        <f t="shared" si="35"/>
        <v>1837.2</v>
      </c>
      <c r="H268" s="3">
        <f t="shared" si="36"/>
        <v>70.099999999999994</v>
      </c>
      <c r="I268" s="27" t="s">
        <v>8</v>
      </c>
      <c r="J268" s="3">
        <v>0</v>
      </c>
      <c r="K268" s="3">
        <f t="shared" si="37"/>
        <v>376.39999999999981</v>
      </c>
      <c r="L268" s="3">
        <v>4.7</v>
      </c>
      <c r="M268" s="3">
        <f t="shared" si="38"/>
        <v>268.60000000000002</v>
      </c>
      <c r="N268" s="3">
        <v>-4.7</v>
      </c>
      <c r="O268" s="3">
        <f t="shared" si="31"/>
        <v>115.19999999999999</v>
      </c>
      <c r="P268" s="3">
        <v>219</v>
      </c>
      <c r="Q268" s="3">
        <v>1.1499999999999999</v>
      </c>
      <c r="R268" s="10">
        <f t="shared" si="33"/>
        <v>5.4049999999999994</v>
      </c>
      <c r="S268" s="10">
        <f t="shared" si="34"/>
        <v>-5.4049999999999994</v>
      </c>
      <c r="T268" s="10">
        <f t="shared" si="39"/>
        <v>100.34493243243246</v>
      </c>
      <c r="U268" s="27" t="s">
        <v>9</v>
      </c>
      <c r="V268" s="3">
        <v>2536.9</v>
      </c>
      <c r="X268" s="3">
        <f t="shared" si="40"/>
        <v>151620.30000000002</v>
      </c>
      <c r="Y268" s="3">
        <f t="shared" si="41"/>
        <v>9783.1</v>
      </c>
      <c r="Z268" s="27" t="s">
        <v>10</v>
      </c>
      <c r="AA268" s="3">
        <v>13.8836282305015</v>
      </c>
    </row>
    <row r="269" spans="1:27" s="3" customFormat="1" x14ac:dyDescent="0.25">
      <c r="A269" s="64"/>
      <c r="B269" s="7"/>
      <c r="C269" s="26">
        <v>40654</v>
      </c>
      <c r="D269" s="3">
        <v>15.7</v>
      </c>
      <c r="E269" s="3">
        <v>9.6</v>
      </c>
      <c r="F269" s="3">
        <v>23.8</v>
      </c>
      <c r="G269" s="3">
        <f t="shared" si="35"/>
        <v>1852.9</v>
      </c>
      <c r="H269" s="3">
        <f t="shared" si="36"/>
        <v>85.8</v>
      </c>
      <c r="I269" s="10">
        <f>AVERAGE(D264:D284)</f>
        <v>14.752380952380953</v>
      </c>
      <c r="J269" s="3">
        <v>0</v>
      </c>
      <c r="K269" s="3">
        <f t="shared" si="37"/>
        <v>376.39999999999981</v>
      </c>
      <c r="L269" s="3">
        <v>3</v>
      </c>
      <c r="M269" s="3">
        <f t="shared" si="38"/>
        <v>271.60000000000002</v>
      </c>
      <c r="N269" s="3">
        <v>-3</v>
      </c>
      <c r="O269" s="3">
        <f t="shared" si="31"/>
        <v>112.19999999999999</v>
      </c>
      <c r="P269" s="3">
        <v>220</v>
      </c>
      <c r="Q269" s="3">
        <v>1.1499999999999999</v>
      </c>
      <c r="R269" s="10">
        <f t="shared" si="33"/>
        <v>3.4499999999999997</v>
      </c>
      <c r="S269" s="10">
        <f t="shared" si="34"/>
        <v>-3.4499999999999997</v>
      </c>
      <c r="T269" s="10">
        <f t="shared" si="39"/>
        <v>96.894932432432455</v>
      </c>
      <c r="U269" s="3">
        <v>6</v>
      </c>
      <c r="V269" s="3">
        <v>1517.1</v>
      </c>
      <c r="X269" s="3">
        <f t="shared" si="40"/>
        <v>153137.40000000002</v>
      </c>
      <c r="Y269" s="3">
        <f t="shared" si="41"/>
        <v>11300.2</v>
      </c>
      <c r="Z269" s="3">
        <v>2</v>
      </c>
      <c r="AA269" s="3">
        <v>13.938799286936201</v>
      </c>
    </row>
    <row r="270" spans="1:27" s="3" customFormat="1" x14ac:dyDescent="0.25">
      <c r="A270" s="64"/>
      <c r="B270" s="7"/>
      <c r="C270" s="26">
        <v>40655</v>
      </c>
      <c r="D270" s="3">
        <v>16.899999999999999</v>
      </c>
      <c r="E270" s="3">
        <v>12.5</v>
      </c>
      <c r="F270" s="3">
        <v>23.7</v>
      </c>
      <c r="G270" s="3">
        <f t="shared" si="35"/>
        <v>1869.8000000000002</v>
      </c>
      <c r="H270" s="3">
        <f t="shared" si="36"/>
        <v>102.69999999999999</v>
      </c>
      <c r="I270" s="27" t="s">
        <v>11</v>
      </c>
      <c r="J270" s="3">
        <v>0</v>
      </c>
      <c r="K270" s="3">
        <f t="shared" si="37"/>
        <v>376.39999999999981</v>
      </c>
      <c r="L270" s="3">
        <v>4.5999999999999996</v>
      </c>
      <c r="M270" s="3">
        <f t="shared" si="38"/>
        <v>276.20000000000005</v>
      </c>
      <c r="N270" s="3">
        <v>-4.5999999999999996</v>
      </c>
      <c r="O270" s="3">
        <f t="shared" si="31"/>
        <v>107.6</v>
      </c>
      <c r="P270" s="3">
        <v>221</v>
      </c>
      <c r="Q270" s="3">
        <v>1.1499999999999999</v>
      </c>
      <c r="R270" s="10">
        <f t="shared" si="33"/>
        <v>5.2899999999999991</v>
      </c>
      <c r="S270" s="10">
        <f t="shared" si="34"/>
        <v>-5.2899999999999991</v>
      </c>
      <c r="T270" s="10">
        <f t="shared" si="39"/>
        <v>91.604932432432463</v>
      </c>
      <c r="U270" s="27" t="s">
        <v>12</v>
      </c>
      <c r="V270" s="3">
        <v>2074.1999999999998</v>
      </c>
      <c r="X270" s="3">
        <f t="shared" si="40"/>
        <v>155211.60000000003</v>
      </c>
      <c r="Y270" s="3">
        <f t="shared" si="41"/>
        <v>13374.400000000001</v>
      </c>
      <c r="AA270" s="3">
        <v>13.9937034469721</v>
      </c>
    </row>
    <row r="271" spans="1:27" s="3" customFormat="1" x14ac:dyDescent="0.25">
      <c r="A271" s="64"/>
      <c r="B271" s="7"/>
      <c r="C271" s="26">
        <v>40656</v>
      </c>
      <c r="D271" s="3">
        <v>15.8</v>
      </c>
      <c r="E271" s="3">
        <v>9.4</v>
      </c>
      <c r="F271" s="3">
        <v>25.2</v>
      </c>
      <c r="G271" s="3">
        <f t="shared" si="35"/>
        <v>1885.6000000000001</v>
      </c>
      <c r="H271" s="3">
        <f t="shared" si="36"/>
        <v>118.49999999999999</v>
      </c>
      <c r="I271" s="3">
        <v>0</v>
      </c>
      <c r="J271" s="3">
        <v>1.6</v>
      </c>
      <c r="K271" s="3">
        <f t="shared" si="37"/>
        <v>377.99999999999983</v>
      </c>
      <c r="L271" s="3">
        <v>4.3</v>
      </c>
      <c r="M271" s="3">
        <f t="shared" si="38"/>
        <v>280.50000000000006</v>
      </c>
      <c r="N271" s="3">
        <v>-2.6999999999999997</v>
      </c>
      <c r="O271" s="3">
        <f t="shared" si="31"/>
        <v>104.89999999999999</v>
      </c>
      <c r="P271" s="3">
        <v>222</v>
      </c>
      <c r="Q271" s="3">
        <v>1.1499999999999999</v>
      </c>
      <c r="R271" s="10">
        <f t="shared" si="33"/>
        <v>4.9449999999999994</v>
      </c>
      <c r="S271" s="10">
        <f t="shared" si="34"/>
        <v>-3.3449999999999993</v>
      </c>
      <c r="T271" s="10">
        <f t="shared" si="39"/>
        <v>88.259932432432464</v>
      </c>
      <c r="U271" s="10">
        <f>MIN(T264:T284)</f>
        <v>60.574932432432469</v>
      </c>
      <c r="V271" s="3">
        <v>2007.6</v>
      </c>
      <c r="W271" s="11"/>
      <c r="X271" s="3">
        <f t="shared" si="40"/>
        <v>157219.20000000004</v>
      </c>
      <c r="Y271" s="3">
        <f t="shared" si="41"/>
        <v>15382.000000000002</v>
      </c>
      <c r="AA271" s="3">
        <v>14.0483275610059</v>
      </c>
    </row>
    <row r="272" spans="1:27" s="3" customFormat="1" ht="15" customHeight="1" x14ac:dyDescent="0.25">
      <c r="A272" s="64"/>
      <c r="B272" s="7"/>
      <c r="C272" s="26">
        <v>40657</v>
      </c>
      <c r="D272" s="3">
        <v>14.6</v>
      </c>
      <c r="E272" s="3">
        <v>10.199999999999999</v>
      </c>
      <c r="F272" s="3">
        <v>22.1</v>
      </c>
      <c r="G272" s="3">
        <f t="shared" si="35"/>
        <v>1900.2</v>
      </c>
      <c r="H272" s="3">
        <f t="shared" si="36"/>
        <v>133.1</v>
      </c>
      <c r="I272" s="27" t="s">
        <v>13</v>
      </c>
      <c r="J272" s="3">
        <v>0</v>
      </c>
      <c r="K272" s="3">
        <f t="shared" si="37"/>
        <v>377.99999999999983</v>
      </c>
      <c r="L272" s="3">
        <v>3.9</v>
      </c>
      <c r="M272" s="3">
        <f t="shared" si="38"/>
        <v>284.40000000000003</v>
      </c>
      <c r="N272" s="3">
        <v>-3.9</v>
      </c>
      <c r="O272" s="3">
        <f t="shared" si="31"/>
        <v>100.99999999999999</v>
      </c>
      <c r="P272" s="3">
        <v>223</v>
      </c>
      <c r="Q272" s="3">
        <v>1.1499999999999999</v>
      </c>
      <c r="R272" s="10">
        <f t="shared" si="33"/>
        <v>4.4849999999999994</v>
      </c>
      <c r="S272" s="10">
        <f t="shared" si="34"/>
        <v>-4.4849999999999994</v>
      </c>
      <c r="T272" s="10">
        <f t="shared" si="39"/>
        <v>83.774932432432465</v>
      </c>
      <c r="U272" s="27" t="s">
        <v>14</v>
      </c>
      <c r="V272" s="3">
        <v>1919.8</v>
      </c>
      <c r="X272" s="3">
        <f t="shared" si="40"/>
        <v>159139.00000000003</v>
      </c>
      <c r="Y272" s="3">
        <f t="shared" si="41"/>
        <v>17301.800000000003</v>
      </c>
      <c r="AA272" s="3">
        <v>14.102658015474701</v>
      </c>
    </row>
    <row r="273" spans="1:27" s="3" customFormat="1" x14ac:dyDescent="0.25">
      <c r="A273" s="64"/>
      <c r="B273" s="7"/>
      <c r="C273" s="26">
        <v>40658</v>
      </c>
      <c r="D273" s="3">
        <v>15.8</v>
      </c>
      <c r="E273" s="3">
        <v>10.3</v>
      </c>
      <c r="F273" s="3">
        <v>23.6</v>
      </c>
      <c r="G273" s="3">
        <f t="shared" si="35"/>
        <v>1916</v>
      </c>
      <c r="H273" s="3">
        <f t="shared" si="36"/>
        <v>148.9</v>
      </c>
      <c r="I273" s="3">
        <v>1</v>
      </c>
      <c r="J273" s="3">
        <v>0</v>
      </c>
      <c r="K273" s="3">
        <f t="shared" si="37"/>
        <v>377.99999999999983</v>
      </c>
      <c r="L273" s="3">
        <v>4.8</v>
      </c>
      <c r="M273" s="3">
        <f t="shared" si="38"/>
        <v>289.20000000000005</v>
      </c>
      <c r="N273" s="3">
        <v>-4.8</v>
      </c>
      <c r="O273" s="3">
        <f t="shared" si="31"/>
        <v>96.199999999999989</v>
      </c>
      <c r="P273" s="3">
        <v>224</v>
      </c>
      <c r="Q273" s="3">
        <v>1.1499999999999999</v>
      </c>
      <c r="R273" s="10">
        <f t="shared" si="33"/>
        <v>5.52</v>
      </c>
      <c r="S273" s="10">
        <f t="shared" si="34"/>
        <v>-5.52</v>
      </c>
      <c r="T273" s="10">
        <f t="shared" si="39"/>
        <v>78.254932432432469</v>
      </c>
      <c r="U273" s="10">
        <f>MAX(T264:T284)</f>
        <v>118.16993243243246</v>
      </c>
      <c r="V273" s="3">
        <v>2547.1</v>
      </c>
      <c r="X273" s="3">
        <f t="shared" si="40"/>
        <v>161686.10000000003</v>
      </c>
      <c r="Y273" s="3">
        <f t="shared" si="41"/>
        <v>19848.900000000001</v>
      </c>
      <c r="AA273" s="3">
        <v>14.156680722811201</v>
      </c>
    </row>
    <row r="274" spans="1:27" s="3" customFormat="1" x14ac:dyDescent="0.25">
      <c r="A274" s="64"/>
      <c r="B274" s="7"/>
      <c r="C274" s="26">
        <v>40659</v>
      </c>
      <c r="D274" s="3">
        <v>15.1</v>
      </c>
      <c r="E274" s="3">
        <v>10.8</v>
      </c>
      <c r="F274" s="3">
        <v>22.2</v>
      </c>
      <c r="G274" s="3">
        <f t="shared" si="35"/>
        <v>1931.1</v>
      </c>
      <c r="H274" s="3">
        <f t="shared" si="36"/>
        <v>164</v>
      </c>
      <c r="I274" s="27" t="s">
        <v>15</v>
      </c>
      <c r="J274" s="3">
        <v>0</v>
      </c>
      <c r="K274" s="3">
        <f t="shared" si="37"/>
        <v>377.99999999999983</v>
      </c>
      <c r="L274" s="3">
        <v>4.9000000000000004</v>
      </c>
      <c r="M274" s="3">
        <f t="shared" si="38"/>
        <v>294.10000000000002</v>
      </c>
      <c r="N274" s="3">
        <v>-4.9000000000000004</v>
      </c>
      <c r="O274" s="3">
        <f t="shared" si="31"/>
        <v>91.299999999999983</v>
      </c>
      <c r="P274" s="3">
        <v>225</v>
      </c>
      <c r="Q274" s="3">
        <v>1.1499999999999999</v>
      </c>
      <c r="R274" s="10">
        <f t="shared" si="33"/>
        <v>5.6349999999999998</v>
      </c>
      <c r="S274" s="10">
        <f t="shared" si="34"/>
        <v>-5.6349999999999998</v>
      </c>
      <c r="T274" s="10">
        <f t="shared" si="39"/>
        <v>72.619932432432464</v>
      </c>
      <c r="U274" s="27" t="s">
        <v>16</v>
      </c>
      <c r="V274" s="3">
        <v>2656.7</v>
      </c>
      <c r="X274" s="3">
        <f t="shared" si="40"/>
        <v>164342.80000000005</v>
      </c>
      <c r="Y274" s="3">
        <f t="shared" si="41"/>
        <v>22505.600000000002</v>
      </c>
      <c r="AA274" s="3">
        <v>14.210381112199199</v>
      </c>
    </row>
    <row r="275" spans="1:27" s="3" customFormat="1" x14ac:dyDescent="0.25">
      <c r="A275" s="64"/>
      <c r="B275" s="7"/>
      <c r="C275" s="26">
        <v>40660</v>
      </c>
      <c r="D275" s="3">
        <v>13.3</v>
      </c>
      <c r="E275" s="3">
        <v>9.9</v>
      </c>
      <c r="F275" s="3">
        <v>18.8</v>
      </c>
      <c r="G275" s="3">
        <f t="shared" si="35"/>
        <v>1944.3999999999999</v>
      </c>
      <c r="H275" s="3">
        <f t="shared" si="36"/>
        <v>177.3</v>
      </c>
      <c r="I275" s="3">
        <v>1</v>
      </c>
      <c r="J275" s="3">
        <v>0</v>
      </c>
      <c r="K275" s="3">
        <f t="shared" si="37"/>
        <v>377.99999999999983</v>
      </c>
      <c r="L275" s="3">
        <v>3.1</v>
      </c>
      <c r="M275" s="3">
        <f t="shared" si="38"/>
        <v>297.20000000000005</v>
      </c>
      <c r="N275" s="3">
        <v>-3.1</v>
      </c>
      <c r="O275" s="3">
        <f t="shared" si="31"/>
        <v>88.199999999999989</v>
      </c>
      <c r="P275" s="3">
        <v>226</v>
      </c>
      <c r="Q275" s="3">
        <v>1.1499999999999999</v>
      </c>
      <c r="R275" s="10">
        <f t="shared" si="33"/>
        <v>3.5649999999999999</v>
      </c>
      <c r="S275" s="10">
        <f t="shared" si="34"/>
        <v>-3.5649999999999999</v>
      </c>
      <c r="T275" s="10">
        <f t="shared" si="39"/>
        <v>69.054932432432466</v>
      </c>
      <c r="U275" s="18">
        <f>AVERAGE(T264:T284)</f>
        <v>81.729456241956257</v>
      </c>
      <c r="V275" s="3">
        <v>1250.2</v>
      </c>
      <c r="X275" s="3">
        <f t="shared" si="40"/>
        <v>165593.00000000006</v>
      </c>
      <c r="Y275" s="3">
        <f t="shared" si="41"/>
        <v>23755.800000000003</v>
      </c>
      <c r="AA275" s="3">
        <v>14.2637441212025</v>
      </c>
    </row>
    <row r="276" spans="1:27" s="3" customFormat="1" x14ac:dyDescent="0.25">
      <c r="A276" s="64"/>
      <c r="B276" s="7"/>
      <c r="C276" s="26">
        <v>40661</v>
      </c>
      <c r="D276" s="3">
        <v>11.6</v>
      </c>
      <c r="E276" s="3">
        <v>6.7</v>
      </c>
      <c r="F276" s="3">
        <v>17.100000000000001</v>
      </c>
      <c r="G276" s="3">
        <f t="shared" si="35"/>
        <v>1955.9999999999998</v>
      </c>
      <c r="H276" s="3">
        <f t="shared" si="36"/>
        <v>188.9</v>
      </c>
      <c r="I276" s="27" t="s">
        <v>17</v>
      </c>
      <c r="J276" s="3">
        <v>0</v>
      </c>
      <c r="K276" s="3">
        <f t="shared" si="37"/>
        <v>377.99999999999983</v>
      </c>
      <c r="L276" s="3">
        <v>3.7</v>
      </c>
      <c r="M276" s="3">
        <f t="shared" si="38"/>
        <v>300.90000000000003</v>
      </c>
      <c r="N276" s="3">
        <v>-3.7</v>
      </c>
      <c r="O276" s="3">
        <f t="shared" si="31"/>
        <v>84.499999999999986</v>
      </c>
      <c r="P276" s="3">
        <v>227</v>
      </c>
      <c r="Q276" s="3">
        <v>1.1499999999999999</v>
      </c>
      <c r="R276" s="10">
        <f t="shared" si="33"/>
        <v>4.2549999999999999</v>
      </c>
      <c r="S276" s="10">
        <f t="shared" si="34"/>
        <v>-4.2549999999999999</v>
      </c>
      <c r="T276" s="10">
        <f t="shared" si="39"/>
        <v>64.79993243243247</v>
      </c>
      <c r="V276" s="3">
        <v>2366.1</v>
      </c>
      <c r="X276" s="3">
        <f t="shared" si="40"/>
        <v>167959.10000000006</v>
      </c>
      <c r="Y276" s="3">
        <f t="shared" si="41"/>
        <v>26121.9</v>
      </c>
      <c r="AA276" s="3">
        <v>14.316754188346501</v>
      </c>
    </row>
    <row r="277" spans="1:27" s="3" customFormat="1" x14ac:dyDescent="0.25">
      <c r="A277" s="64"/>
      <c r="B277" s="7"/>
      <c r="C277" s="26">
        <v>40662</v>
      </c>
      <c r="D277" s="3">
        <v>12.4</v>
      </c>
      <c r="E277" s="3">
        <v>8.8000000000000007</v>
      </c>
      <c r="F277" s="3">
        <v>15.1</v>
      </c>
      <c r="G277" s="3">
        <f t="shared" si="35"/>
        <v>1968.3999999999999</v>
      </c>
      <c r="H277" s="3">
        <f t="shared" si="36"/>
        <v>201.3</v>
      </c>
      <c r="I277" s="3">
        <v>309.8</v>
      </c>
      <c r="J277" s="3">
        <v>1.7</v>
      </c>
      <c r="K277" s="3">
        <f t="shared" si="37"/>
        <v>379.69999999999982</v>
      </c>
      <c r="L277" s="3">
        <v>1.7</v>
      </c>
      <c r="M277" s="3">
        <f t="shared" si="38"/>
        <v>302.60000000000002</v>
      </c>
      <c r="N277" s="3">
        <v>0</v>
      </c>
      <c r="O277" s="3">
        <f t="shared" si="31"/>
        <v>84.499999999999986</v>
      </c>
      <c r="P277" s="3">
        <v>228</v>
      </c>
      <c r="Q277" s="3">
        <v>1.1499999999999999</v>
      </c>
      <c r="R277" s="10">
        <f t="shared" si="33"/>
        <v>1.9549999999999998</v>
      </c>
      <c r="S277" s="10">
        <f t="shared" si="34"/>
        <v>-0.25499999999999989</v>
      </c>
      <c r="T277" s="10">
        <f t="shared" si="39"/>
        <v>64.544932432432475</v>
      </c>
      <c r="U277" s="10">
        <f>(U275*100)/197.4</f>
        <v>41.402966687921101</v>
      </c>
      <c r="V277" s="3">
        <v>1120.5</v>
      </c>
      <c r="X277" s="3">
        <f t="shared" si="40"/>
        <v>169079.60000000006</v>
      </c>
      <c r="Y277" s="3">
        <f t="shared" si="41"/>
        <v>27242.400000000001</v>
      </c>
      <c r="AA277" s="3">
        <v>14.3693952467345</v>
      </c>
    </row>
    <row r="278" spans="1:27" s="3" customFormat="1" x14ac:dyDescent="0.25">
      <c r="A278" s="64"/>
      <c r="B278" s="7"/>
      <c r="C278" s="26">
        <v>40663</v>
      </c>
      <c r="D278" s="3">
        <v>15.6</v>
      </c>
      <c r="E278" s="3">
        <v>9.8000000000000007</v>
      </c>
      <c r="F278" s="3">
        <v>22.1</v>
      </c>
      <c r="G278" s="3">
        <f t="shared" si="35"/>
        <v>1983.9999999999998</v>
      </c>
      <c r="H278" s="3">
        <f t="shared" si="36"/>
        <v>216.9</v>
      </c>
      <c r="J278" s="3">
        <v>2.7</v>
      </c>
      <c r="K278" s="3">
        <f t="shared" si="37"/>
        <v>382.39999999999981</v>
      </c>
      <c r="L278" s="3">
        <v>3.7</v>
      </c>
      <c r="M278" s="3">
        <f t="shared" si="38"/>
        <v>306.3</v>
      </c>
      <c r="N278" s="3">
        <v>-1</v>
      </c>
      <c r="O278" s="3">
        <f t="shared" si="31"/>
        <v>83.499999999999986</v>
      </c>
      <c r="P278" s="3">
        <v>229</v>
      </c>
      <c r="Q278" s="3">
        <v>1.1499999999999999</v>
      </c>
      <c r="R278" s="10">
        <f t="shared" si="33"/>
        <v>4.2549999999999999</v>
      </c>
      <c r="S278" s="10">
        <f t="shared" si="34"/>
        <v>-1.5549999999999997</v>
      </c>
      <c r="T278" s="10">
        <f t="shared" si="39"/>
        <v>62.989932432432475</v>
      </c>
      <c r="V278" s="3">
        <v>2025.2</v>
      </c>
      <c r="X278" s="3">
        <f t="shared" si="40"/>
        <v>171104.80000000008</v>
      </c>
      <c r="Y278" s="3">
        <f t="shared" si="41"/>
        <v>29267.600000000002</v>
      </c>
      <c r="AA278" s="3">
        <v>14.421650718784701</v>
      </c>
    </row>
    <row r="279" spans="1:27" s="3" customFormat="1" x14ac:dyDescent="0.25">
      <c r="A279" s="64"/>
      <c r="B279" s="7"/>
      <c r="C279" s="26">
        <v>40664</v>
      </c>
      <c r="D279" s="3">
        <v>15.4</v>
      </c>
      <c r="E279" s="3">
        <v>12.2</v>
      </c>
      <c r="F279" s="3">
        <v>17.8</v>
      </c>
      <c r="G279" s="3">
        <f t="shared" si="35"/>
        <v>1999.3999999999999</v>
      </c>
      <c r="H279" s="3">
        <f t="shared" si="36"/>
        <v>232.3</v>
      </c>
      <c r="J279" s="3">
        <v>0.1</v>
      </c>
      <c r="K279" s="3">
        <f t="shared" si="37"/>
        <v>382.49999999999983</v>
      </c>
      <c r="L279" s="3">
        <v>1.1000000000000001</v>
      </c>
      <c r="M279" s="3">
        <f t="shared" si="38"/>
        <v>307.40000000000003</v>
      </c>
      <c r="N279" s="3">
        <v>-1</v>
      </c>
      <c r="O279" s="3">
        <f t="shared" si="31"/>
        <v>82.499999999999986</v>
      </c>
      <c r="P279" s="3">
        <v>230</v>
      </c>
      <c r="Q279" s="3">
        <v>1.1499999999999999</v>
      </c>
      <c r="R279" s="10">
        <f t="shared" si="33"/>
        <v>1.2649999999999999</v>
      </c>
      <c r="S279" s="10">
        <f t="shared" si="34"/>
        <v>-1.1649999999999998</v>
      </c>
      <c r="T279" s="10">
        <f t="shared" si="39"/>
        <v>61.824932432432476</v>
      </c>
      <c r="V279" s="3">
        <v>581.70000000000005</v>
      </c>
      <c r="X279" s="3">
        <f t="shared" si="40"/>
        <v>171686.50000000009</v>
      </c>
      <c r="Y279" s="3">
        <f t="shared" si="41"/>
        <v>29849.300000000003</v>
      </c>
      <c r="AA279" s="3">
        <v>14.4735035121777</v>
      </c>
    </row>
    <row r="280" spans="1:27" s="3" customFormat="1" x14ac:dyDescent="0.25">
      <c r="A280" s="64"/>
      <c r="B280" s="7"/>
      <c r="C280" s="26">
        <v>40665</v>
      </c>
      <c r="D280" s="3">
        <v>15.2</v>
      </c>
      <c r="E280" s="3">
        <v>12.7</v>
      </c>
      <c r="F280" s="3">
        <v>20.7</v>
      </c>
      <c r="G280" s="3">
        <f t="shared" si="35"/>
        <v>2014.6</v>
      </c>
      <c r="H280" s="3">
        <f t="shared" si="36"/>
        <v>247.5</v>
      </c>
      <c r="J280" s="3">
        <v>12.1</v>
      </c>
      <c r="K280" s="3">
        <f t="shared" si="37"/>
        <v>394.59999999999985</v>
      </c>
      <c r="L280" s="3">
        <v>1.8</v>
      </c>
      <c r="M280" s="3">
        <f t="shared" si="38"/>
        <v>309.20000000000005</v>
      </c>
      <c r="N280" s="3">
        <v>10.299999999999999</v>
      </c>
      <c r="O280" s="3">
        <f t="shared" si="31"/>
        <v>92.799999999999983</v>
      </c>
      <c r="P280" s="3">
        <v>231</v>
      </c>
      <c r="Q280" s="3">
        <v>1.1499999999999999</v>
      </c>
      <c r="R280" s="10">
        <f t="shared" si="33"/>
        <v>2.0699999999999998</v>
      </c>
      <c r="S280" s="10">
        <f t="shared" si="34"/>
        <v>10.029999999999999</v>
      </c>
      <c r="T280" s="10">
        <f t="shared" si="39"/>
        <v>71.854932432432477</v>
      </c>
      <c r="V280" s="3">
        <v>834.5</v>
      </c>
      <c r="X280" s="3">
        <f t="shared" si="40"/>
        <v>172521.00000000009</v>
      </c>
      <c r="Y280" s="3">
        <f t="shared" si="41"/>
        <v>30683.800000000003</v>
      </c>
      <c r="AA280" s="3">
        <v>14.5249360171082</v>
      </c>
    </row>
    <row r="281" spans="1:27" s="3" customFormat="1" x14ac:dyDescent="0.25">
      <c r="A281" s="64"/>
      <c r="B281" s="7"/>
      <c r="C281" s="26">
        <v>40666</v>
      </c>
      <c r="D281" s="3">
        <v>14.1</v>
      </c>
      <c r="E281" s="3">
        <v>10.6</v>
      </c>
      <c r="F281" s="3">
        <v>18.2</v>
      </c>
      <c r="G281" s="3">
        <f t="shared" si="35"/>
        <v>2028.6999999999998</v>
      </c>
      <c r="H281" s="3">
        <f t="shared" si="36"/>
        <v>261.60000000000002</v>
      </c>
      <c r="J281" s="3">
        <v>0.5</v>
      </c>
      <c r="K281" s="3">
        <f t="shared" si="37"/>
        <v>395.09999999999985</v>
      </c>
      <c r="L281" s="3">
        <v>2.8</v>
      </c>
      <c r="M281" s="3">
        <f t="shared" si="38"/>
        <v>312.00000000000006</v>
      </c>
      <c r="N281" s="3">
        <v>-2.2999999999999998</v>
      </c>
      <c r="O281" s="3">
        <f t="shared" ref="O281:O310" si="42">O280+N281</f>
        <v>90.499999999999986</v>
      </c>
      <c r="P281" s="3">
        <v>232</v>
      </c>
      <c r="Q281" s="3">
        <v>1.1499999999999999</v>
      </c>
      <c r="R281" s="10">
        <f t="shared" si="33"/>
        <v>3.2199999999999998</v>
      </c>
      <c r="S281" s="10">
        <f t="shared" si="34"/>
        <v>-2.7199999999999998</v>
      </c>
      <c r="T281" s="10">
        <f t="shared" si="39"/>
        <v>69.134932432432478</v>
      </c>
      <c r="V281" s="3">
        <v>1481.8</v>
      </c>
      <c r="X281" s="3">
        <f t="shared" si="40"/>
        <v>174002.80000000008</v>
      </c>
      <c r="Y281" s="3">
        <f t="shared" si="41"/>
        <v>32165.600000000002</v>
      </c>
      <c r="AA281" s="3">
        <v>14.575930104935701</v>
      </c>
    </row>
    <row r="282" spans="1:27" s="3" customFormat="1" x14ac:dyDescent="0.25">
      <c r="A282" s="64"/>
      <c r="B282" s="7"/>
      <c r="C282" s="26">
        <v>40667</v>
      </c>
      <c r="D282" s="3">
        <v>14.9</v>
      </c>
      <c r="E282" s="3">
        <v>12</v>
      </c>
      <c r="F282" s="3">
        <v>20.100000000000001</v>
      </c>
      <c r="G282" s="3">
        <f t="shared" si="35"/>
        <v>2043.6</v>
      </c>
      <c r="H282" s="3">
        <f t="shared" si="36"/>
        <v>276.5</v>
      </c>
      <c r="J282" s="3">
        <v>0</v>
      </c>
      <c r="K282" s="3">
        <f t="shared" si="37"/>
        <v>395.09999999999985</v>
      </c>
      <c r="L282" s="3">
        <v>1.9</v>
      </c>
      <c r="M282" s="3">
        <f t="shared" si="38"/>
        <v>313.90000000000003</v>
      </c>
      <c r="N282" s="3">
        <v>-1.9</v>
      </c>
      <c r="O282" s="3">
        <f t="shared" si="42"/>
        <v>88.59999999999998</v>
      </c>
      <c r="P282" s="3">
        <v>233</v>
      </c>
      <c r="Q282" s="3">
        <v>1.1499999999999999</v>
      </c>
      <c r="R282" s="10">
        <f t="shared" si="33"/>
        <v>2.1849999999999996</v>
      </c>
      <c r="S282" s="10">
        <f t="shared" si="34"/>
        <v>-2.1849999999999996</v>
      </c>
      <c r="T282" s="10">
        <f t="shared" si="39"/>
        <v>66.949932432432476</v>
      </c>
      <c r="V282" s="3">
        <v>936.1</v>
      </c>
      <c r="X282" s="3">
        <f t="shared" si="40"/>
        <v>174938.90000000008</v>
      </c>
      <c r="Y282" s="3">
        <f t="shared" si="41"/>
        <v>33101.700000000004</v>
      </c>
      <c r="AA282" s="3">
        <v>14.6264671283348</v>
      </c>
    </row>
    <row r="283" spans="1:27" s="3" customFormat="1" x14ac:dyDescent="0.25">
      <c r="A283" s="64"/>
      <c r="B283" s="7"/>
      <c r="C283" s="26">
        <v>40668</v>
      </c>
      <c r="D283" s="3">
        <v>15.3</v>
      </c>
      <c r="E283" s="3">
        <v>9.8000000000000007</v>
      </c>
      <c r="F283" s="3">
        <v>20.399999999999999</v>
      </c>
      <c r="G283" s="3">
        <f t="shared" si="35"/>
        <v>2058.9</v>
      </c>
      <c r="H283" s="3">
        <f t="shared" si="36"/>
        <v>291.8</v>
      </c>
      <c r="J283" s="3">
        <v>0</v>
      </c>
      <c r="K283" s="3">
        <f t="shared" si="37"/>
        <v>395.09999999999985</v>
      </c>
      <c r="L283" s="3">
        <v>2.4</v>
      </c>
      <c r="M283" s="3">
        <f t="shared" si="38"/>
        <v>316.3</v>
      </c>
      <c r="N283" s="3">
        <v>-2.4</v>
      </c>
      <c r="O283" s="3">
        <f t="shared" si="42"/>
        <v>86.199999999999974</v>
      </c>
      <c r="P283" s="3">
        <v>234</v>
      </c>
      <c r="Q283" s="3">
        <v>1.1499999999999999</v>
      </c>
      <c r="R283" s="10">
        <f t="shared" si="33"/>
        <v>2.76</v>
      </c>
      <c r="S283" s="10">
        <f t="shared" si="34"/>
        <v>-2.76</v>
      </c>
      <c r="T283" s="10">
        <f t="shared" si="39"/>
        <v>64.189932432432471</v>
      </c>
      <c r="V283" s="3">
        <v>1270.4000000000001</v>
      </c>
      <c r="X283" s="3">
        <f t="shared" si="40"/>
        <v>176209.30000000008</v>
      </c>
      <c r="Y283" s="3">
        <f t="shared" si="41"/>
        <v>34372.100000000006</v>
      </c>
      <c r="AA283" s="3">
        <v>14.676527923044199</v>
      </c>
    </row>
    <row r="284" spans="1:27" s="39" customFormat="1" ht="15.75" thickBot="1" x14ac:dyDescent="0.3">
      <c r="A284" s="64"/>
      <c r="B284" s="47">
        <v>300</v>
      </c>
      <c r="C284" s="51">
        <v>40669</v>
      </c>
      <c r="D284" s="39">
        <v>18</v>
      </c>
      <c r="E284" s="39">
        <v>11.8</v>
      </c>
      <c r="F284" s="39">
        <v>24.6</v>
      </c>
      <c r="G284" s="39">
        <f t="shared" si="35"/>
        <v>2076.9</v>
      </c>
      <c r="H284" s="39">
        <f t="shared" si="36"/>
        <v>309.8</v>
      </c>
      <c r="J284" s="39">
        <v>1.1000000000000001</v>
      </c>
      <c r="K284" s="39">
        <f t="shared" si="37"/>
        <v>396.19999999999987</v>
      </c>
      <c r="L284" s="39">
        <v>4.0999999999999996</v>
      </c>
      <c r="M284" s="39">
        <f t="shared" si="38"/>
        <v>320.40000000000003</v>
      </c>
      <c r="N284" s="39">
        <v>-2.9999999999999996</v>
      </c>
      <c r="O284" s="39">
        <f t="shared" si="42"/>
        <v>83.199999999999974</v>
      </c>
      <c r="P284" s="39">
        <v>235</v>
      </c>
      <c r="Q284" s="43">
        <v>1.1499999999999999</v>
      </c>
      <c r="R284" s="41">
        <f t="shared" si="33"/>
        <v>4.714999999999999</v>
      </c>
      <c r="S284" s="41">
        <f t="shared" si="34"/>
        <v>-3.6149999999999989</v>
      </c>
      <c r="T284" s="42">
        <f t="shared" si="39"/>
        <v>60.574932432432469</v>
      </c>
      <c r="V284" s="39">
        <v>2169.5</v>
      </c>
      <c r="X284" s="39">
        <f t="shared" si="40"/>
        <v>178378.80000000008</v>
      </c>
      <c r="Y284" s="43">
        <f t="shared" si="41"/>
        <v>36541.600000000006</v>
      </c>
      <c r="AA284" s="43">
        <v>14.7260928113191</v>
      </c>
    </row>
    <row r="285" spans="1:27" s="3" customFormat="1" x14ac:dyDescent="0.25">
      <c r="A285" s="65">
        <v>600</v>
      </c>
      <c r="B285" s="7"/>
      <c r="C285" s="28">
        <v>40670</v>
      </c>
      <c r="D285" s="3">
        <v>17.5</v>
      </c>
      <c r="E285" s="3">
        <v>14.8</v>
      </c>
      <c r="F285" s="3">
        <v>21</v>
      </c>
      <c r="G285" s="3">
        <f t="shared" si="35"/>
        <v>2094.4</v>
      </c>
      <c r="H285" s="3">
        <v>17.5</v>
      </c>
      <c r="I285" s="29" t="s">
        <v>2</v>
      </c>
      <c r="J285" s="3">
        <v>3.3</v>
      </c>
      <c r="K285" s="3">
        <f t="shared" si="37"/>
        <v>399.49999999999989</v>
      </c>
      <c r="L285" s="3">
        <v>3.3</v>
      </c>
      <c r="M285" s="3">
        <f t="shared" si="38"/>
        <v>323.70000000000005</v>
      </c>
      <c r="N285" s="3">
        <v>0</v>
      </c>
      <c r="O285" s="3">
        <f t="shared" si="42"/>
        <v>83.199999999999974</v>
      </c>
      <c r="P285" s="3">
        <v>236</v>
      </c>
      <c r="Q285" s="18">
        <f>1.15+((P285-235)/56)*(0.35-1.15)</f>
        <v>1.1357142857142857</v>
      </c>
      <c r="R285" s="10">
        <f t="shared" si="33"/>
        <v>3.7478571428571423</v>
      </c>
      <c r="S285" s="10">
        <f t="shared" si="34"/>
        <v>-0.44785714285714251</v>
      </c>
      <c r="T285" s="10">
        <f t="shared" si="39"/>
        <v>60.127075289575323</v>
      </c>
      <c r="U285" s="29" t="s">
        <v>3</v>
      </c>
      <c r="V285" s="3">
        <v>1598.9</v>
      </c>
      <c r="X285" s="3">
        <f t="shared" si="40"/>
        <v>179977.70000000007</v>
      </c>
      <c r="Y285" s="3">
        <v>1598.9</v>
      </c>
      <c r="Z285" s="29" t="s">
        <v>4</v>
      </c>
      <c r="AA285" s="3">
        <v>14.7751416071881</v>
      </c>
    </row>
    <row r="286" spans="1:27" s="3" customFormat="1" x14ac:dyDescent="0.25">
      <c r="A286" s="65"/>
      <c r="B286" s="7"/>
      <c r="C286" s="28">
        <v>40671</v>
      </c>
      <c r="D286" s="3">
        <v>14.4</v>
      </c>
      <c r="E286" s="3">
        <v>11.8</v>
      </c>
      <c r="F286" s="3">
        <v>16.399999999999999</v>
      </c>
      <c r="G286" s="3">
        <f t="shared" si="35"/>
        <v>2108.8000000000002</v>
      </c>
      <c r="H286" s="3">
        <f t="shared" si="36"/>
        <v>31.9</v>
      </c>
      <c r="I286" s="3">
        <f>MIN(E285:E305)</f>
        <v>6.7</v>
      </c>
      <c r="J286" s="3">
        <v>0.4</v>
      </c>
      <c r="K286" s="3">
        <f t="shared" si="37"/>
        <v>399.89999999999986</v>
      </c>
      <c r="L286" s="3">
        <v>2.6</v>
      </c>
      <c r="M286" s="3">
        <f t="shared" si="38"/>
        <v>326.30000000000007</v>
      </c>
      <c r="N286" s="3">
        <v>-2.2000000000000002</v>
      </c>
      <c r="O286" s="3">
        <f t="shared" si="42"/>
        <v>80.999999999999972</v>
      </c>
      <c r="P286" s="3">
        <v>237</v>
      </c>
      <c r="Q286" s="18">
        <f t="shared" ref="Q286:Q340" si="43">1.15+((P286-235)/56)*(0.35-1.15)</f>
        <v>1.1214285714285714</v>
      </c>
      <c r="R286" s="10">
        <f t="shared" si="33"/>
        <v>2.9157142857142859</v>
      </c>
      <c r="S286" s="10">
        <f t="shared" si="34"/>
        <v>-2.515714285714286</v>
      </c>
      <c r="T286" s="10">
        <f t="shared" si="39"/>
        <v>57.611361003861035</v>
      </c>
      <c r="U286" s="3">
        <v>21</v>
      </c>
      <c r="V286" s="3">
        <v>1762.7</v>
      </c>
      <c r="X286" s="3">
        <f t="shared" si="40"/>
        <v>181740.40000000008</v>
      </c>
      <c r="Y286" s="3">
        <f t="shared" si="41"/>
        <v>3361.6000000000004</v>
      </c>
      <c r="Z286" s="3">
        <v>38540.800000000003</v>
      </c>
      <c r="AA286" s="3">
        <v>14.823653623621601</v>
      </c>
    </row>
    <row r="287" spans="1:27" s="3" customFormat="1" x14ac:dyDescent="0.25">
      <c r="A287" s="65"/>
      <c r="B287" s="7"/>
      <c r="C287" s="28">
        <v>40672</v>
      </c>
      <c r="D287" s="3">
        <v>14.9</v>
      </c>
      <c r="E287" s="3">
        <v>9.1999999999999993</v>
      </c>
      <c r="F287" s="3">
        <v>20.7</v>
      </c>
      <c r="G287" s="3">
        <f t="shared" si="35"/>
        <v>2123.7000000000003</v>
      </c>
      <c r="H287" s="3">
        <f t="shared" si="36"/>
        <v>46.8</v>
      </c>
      <c r="I287" s="29" t="s">
        <v>5</v>
      </c>
      <c r="J287" s="3">
        <v>0</v>
      </c>
      <c r="K287" s="3">
        <f t="shared" si="37"/>
        <v>399.89999999999986</v>
      </c>
      <c r="L287" s="3">
        <v>3</v>
      </c>
      <c r="M287" s="3">
        <f t="shared" si="38"/>
        <v>329.30000000000007</v>
      </c>
      <c r="N287" s="3">
        <v>-3</v>
      </c>
      <c r="O287" s="3">
        <f t="shared" si="42"/>
        <v>77.999999999999972</v>
      </c>
      <c r="P287" s="3">
        <v>238</v>
      </c>
      <c r="Q287" s="18">
        <f t="shared" si="43"/>
        <v>1.107142857142857</v>
      </c>
      <c r="R287" s="10">
        <f t="shared" si="33"/>
        <v>3.3214285714285712</v>
      </c>
      <c r="S287" s="10">
        <f t="shared" si="34"/>
        <v>-3.3214285714285712</v>
      </c>
      <c r="T287" s="10">
        <f t="shared" si="39"/>
        <v>54.289932432432465</v>
      </c>
      <c r="U287" s="29" t="s">
        <v>6</v>
      </c>
      <c r="V287" s="3">
        <v>1643.7</v>
      </c>
      <c r="X287" s="3">
        <f t="shared" si="40"/>
        <v>183384.10000000009</v>
      </c>
      <c r="Y287" s="3">
        <f t="shared" si="41"/>
        <v>5005.3</v>
      </c>
      <c r="Z287" s="29" t="s">
        <v>7</v>
      </c>
      <c r="AA287" s="3">
        <v>14.8716076817126</v>
      </c>
    </row>
    <row r="288" spans="1:27" s="3" customFormat="1" x14ac:dyDescent="0.25">
      <c r="A288" s="65"/>
      <c r="B288" s="7"/>
      <c r="C288" s="28">
        <v>40673</v>
      </c>
      <c r="D288" s="3">
        <v>14.9</v>
      </c>
      <c r="E288" s="3">
        <v>7.6</v>
      </c>
      <c r="F288" s="3">
        <v>20</v>
      </c>
      <c r="G288" s="3">
        <f t="shared" si="35"/>
        <v>2138.6000000000004</v>
      </c>
      <c r="H288" s="3">
        <f t="shared" si="36"/>
        <v>61.699999999999996</v>
      </c>
      <c r="I288" s="3">
        <f>MAX(F285:F305)</f>
        <v>24.2</v>
      </c>
      <c r="J288" s="3">
        <v>0</v>
      </c>
      <c r="K288" s="3">
        <f t="shared" si="37"/>
        <v>399.89999999999986</v>
      </c>
      <c r="L288" s="3">
        <v>2.1</v>
      </c>
      <c r="M288" s="3">
        <f t="shared" si="38"/>
        <v>331.40000000000009</v>
      </c>
      <c r="N288" s="3">
        <v>-2.1</v>
      </c>
      <c r="O288" s="3">
        <f t="shared" si="42"/>
        <v>75.899999999999977</v>
      </c>
      <c r="P288" s="3">
        <v>239</v>
      </c>
      <c r="Q288" s="18">
        <f t="shared" si="43"/>
        <v>1.0928571428571427</v>
      </c>
      <c r="R288" s="10">
        <f t="shared" si="33"/>
        <v>2.2949999999999999</v>
      </c>
      <c r="S288" s="10">
        <f t="shared" si="34"/>
        <v>-2.2949999999999999</v>
      </c>
      <c r="T288" s="10">
        <f t="shared" si="39"/>
        <v>51.994932432432464</v>
      </c>
      <c r="U288" s="3">
        <v>2</v>
      </c>
      <c r="V288" s="3">
        <v>1329.8</v>
      </c>
      <c r="X288" s="3">
        <f t="shared" si="40"/>
        <v>184713.90000000008</v>
      </c>
      <c r="Y288" s="3">
        <f t="shared" si="41"/>
        <v>6335.1</v>
      </c>
      <c r="Z288" s="3">
        <f>(Z286/100)/I298</f>
        <v>1.2766081483935079</v>
      </c>
      <c r="AA288" s="3">
        <v>14.9189821219744</v>
      </c>
    </row>
    <row r="289" spans="1:27" s="3" customFormat="1" x14ac:dyDescent="0.25">
      <c r="A289" s="65"/>
      <c r="B289" s="7"/>
      <c r="C289" s="28">
        <v>40674</v>
      </c>
      <c r="D289" s="3">
        <v>14</v>
      </c>
      <c r="E289" s="3">
        <v>9.1</v>
      </c>
      <c r="F289" s="3">
        <v>20.5</v>
      </c>
      <c r="G289" s="3">
        <f t="shared" si="35"/>
        <v>2152.6000000000004</v>
      </c>
      <c r="H289" s="3">
        <f t="shared" si="36"/>
        <v>75.699999999999989</v>
      </c>
      <c r="I289" s="29" t="s">
        <v>8</v>
      </c>
      <c r="J289" s="3">
        <v>0</v>
      </c>
      <c r="K289" s="3">
        <f t="shared" si="37"/>
        <v>399.89999999999986</v>
      </c>
      <c r="L289" s="3">
        <v>3.8</v>
      </c>
      <c r="M289" s="3">
        <f t="shared" si="38"/>
        <v>335.2000000000001</v>
      </c>
      <c r="N289" s="3">
        <v>-3.8</v>
      </c>
      <c r="O289" s="3">
        <f t="shared" si="42"/>
        <v>72.09999999999998</v>
      </c>
      <c r="P289" s="3">
        <v>240</v>
      </c>
      <c r="Q289" s="18">
        <f t="shared" si="43"/>
        <v>1.0785714285714285</v>
      </c>
      <c r="R289" s="10">
        <f t="shared" si="33"/>
        <v>4.0985714285714279</v>
      </c>
      <c r="S289" s="10">
        <f t="shared" si="34"/>
        <v>-4.0985714285714279</v>
      </c>
      <c r="T289" s="10">
        <f t="shared" si="39"/>
        <v>47.896361003861038</v>
      </c>
      <c r="U289" s="29" t="s">
        <v>9</v>
      </c>
      <c r="V289" s="3">
        <v>2073.1</v>
      </c>
      <c r="X289" s="3">
        <f t="shared" si="40"/>
        <v>186787.00000000009</v>
      </c>
      <c r="Y289" s="3">
        <f t="shared" si="41"/>
        <v>8408.2000000000007</v>
      </c>
      <c r="Z289" s="29" t="s">
        <v>10</v>
      </c>
      <c r="AA289" s="3">
        <v>14.9657548178534</v>
      </c>
    </row>
    <row r="290" spans="1:27" s="3" customFormat="1" x14ac:dyDescent="0.25">
      <c r="A290" s="65"/>
      <c r="B290" s="7"/>
      <c r="C290" s="28">
        <v>40675</v>
      </c>
      <c r="D290" s="3">
        <v>12.4</v>
      </c>
      <c r="E290" s="3">
        <v>9.5</v>
      </c>
      <c r="F290" s="3">
        <v>16.600000000000001</v>
      </c>
      <c r="G290" s="3">
        <f t="shared" si="35"/>
        <v>2165.0000000000005</v>
      </c>
      <c r="H290" s="3">
        <f t="shared" si="36"/>
        <v>88.1</v>
      </c>
      <c r="I290" s="10">
        <f>AVERAGE(D285:D305)</f>
        <v>14.376190476190473</v>
      </c>
      <c r="J290" s="3">
        <v>0</v>
      </c>
      <c r="K290" s="3">
        <f t="shared" si="37"/>
        <v>399.89999999999986</v>
      </c>
      <c r="L290" s="3">
        <v>2.9</v>
      </c>
      <c r="M290" s="3">
        <f t="shared" si="38"/>
        <v>338.10000000000008</v>
      </c>
      <c r="N290" s="3">
        <v>-2.9</v>
      </c>
      <c r="O290" s="3">
        <f t="shared" si="42"/>
        <v>69.199999999999974</v>
      </c>
      <c r="P290" s="3">
        <v>241</v>
      </c>
      <c r="Q290" s="18">
        <f t="shared" si="43"/>
        <v>1.0642857142857143</v>
      </c>
      <c r="R290" s="10">
        <f t="shared" si="33"/>
        <v>3.0864285714285713</v>
      </c>
      <c r="S290" s="10">
        <f t="shared" si="34"/>
        <v>-3.0864285714285713</v>
      </c>
      <c r="T290" s="10">
        <f t="shared" si="39"/>
        <v>44.809932432432468</v>
      </c>
      <c r="U290" s="3">
        <v>19</v>
      </c>
      <c r="V290" s="3">
        <v>1511.1</v>
      </c>
      <c r="X290" s="3">
        <f t="shared" si="40"/>
        <v>188298.10000000009</v>
      </c>
      <c r="Y290" s="3">
        <f t="shared" si="41"/>
        <v>9919.3000000000011</v>
      </c>
      <c r="Z290" s="3">
        <v>1</v>
      </c>
      <c r="AA290" s="3">
        <v>15.011903191555099</v>
      </c>
    </row>
    <row r="291" spans="1:27" s="3" customFormat="1" x14ac:dyDescent="0.25">
      <c r="A291" s="65"/>
      <c r="B291" s="7"/>
      <c r="C291" s="28">
        <v>40676</v>
      </c>
      <c r="D291" s="3">
        <v>12.6</v>
      </c>
      <c r="E291" s="3">
        <v>6.7</v>
      </c>
      <c r="F291" s="3">
        <v>19.399999999999999</v>
      </c>
      <c r="G291" s="3">
        <f t="shared" si="35"/>
        <v>2177.6000000000004</v>
      </c>
      <c r="H291" s="3">
        <f t="shared" si="36"/>
        <v>100.69999999999999</v>
      </c>
      <c r="I291" s="29" t="s">
        <v>11</v>
      </c>
      <c r="J291" s="3">
        <v>0</v>
      </c>
      <c r="K291" s="3">
        <f t="shared" si="37"/>
        <v>399.89999999999986</v>
      </c>
      <c r="L291" s="3">
        <v>3.2</v>
      </c>
      <c r="M291" s="3">
        <f t="shared" si="38"/>
        <v>341.30000000000007</v>
      </c>
      <c r="N291" s="3">
        <v>-3.2</v>
      </c>
      <c r="O291" s="3">
        <f t="shared" si="42"/>
        <v>65.999999999999972</v>
      </c>
      <c r="P291" s="3">
        <v>242</v>
      </c>
      <c r="Q291" s="18">
        <f t="shared" si="43"/>
        <v>1.0499999999999998</v>
      </c>
      <c r="R291" s="10">
        <f t="shared" si="33"/>
        <v>3.3599999999999994</v>
      </c>
      <c r="S291" s="10">
        <f t="shared" si="34"/>
        <v>-3.3599999999999994</v>
      </c>
      <c r="T291" s="10">
        <f t="shared" si="39"/>
        <v>41.449932432432469</v>
      </c>
      <c r="U291" s="29" t="s">
        <v>12</v>
      </c>
      <c r="V291" s="3">
        <v>1874.1</v>
      </c>
      <c r="X291" s="3">
        <f t="shared" si="40"/>
        <v>190172.2000000001</v>
      </c>
      <c r="Y291" s="3">
        <f t="shared" si="41"/>
        <v>11793.400000000001</v>
      </c>
      <c r="AA291" s="3">
        <v>15.0574042322748</v>
      </c>
    </row>
    <row r="292" spans="1:27" s="3" customFormat="1" x14ac:dyDescent="0.25">
      <c r="A292" s="65"/>
      <c r="B292" s="7"/>
      <c r="C292" s="28">
        <v>40677</v>
      </c>
      <c r="D292" s="3">
        <v>12.1</v>
      </c>
      <c r="E292" s="3">
        <v>9</v>
      </c>
      <c r="F292" s="3">
        <v>16.5</v>
      </c>
      <c r="G292" s="3">
        <f t="shared" si="35"/>
        <v>2189.7000000000003</v>
      </c>
      <c r="H292" s="3">
        <f t="shared" si="36"/>
        <v>112.79999999999998</v>
      </c>
      <c r="I292" s="3">
        <v>0</v>
      </c>
      <c r="J292" s="3">
        <v>0</v>
      </c>
      <c r="K292" s="3">
        <f t="shared" si="37"/>
        <v>399.89999999999986</v>
      </c>
      <c r="L292" s="3">
        <v>3.1</v>
      </c>
      <c r="M292" s="3">
        <f t="shared" si="38"/>
        <v>344.40000000000009</v>
      </c>
      <c r="N292" s="3">
        <v>-3.1</v>
      </c>
      <c r="O292" s="3">
        <f t="shared" si="42"/>
        <v>62.89999999999997</v>
      </c>
      <c r="P292" s="3">
        <v>243</v>
      </c>
      <c r="Q292" s="18">
        <f t="shared" si="43"/>
        <v>1.0357142857142856</v>
      </c>
      <c r="R292" s="10">
        <f t="shared" si="33"/>
        <v>3.2107142857142854</v>
      </c>
      <c r="S292" s="10">
        <f t="shared" si="34"/>
        <v>-3.2107142857142854</v>
      </c>
      <c r="T292" s="10">
        <f t="shared" si="39"/>
        <v>38.239218146718187</v>
      </c>
      <c r="U292" s="10">
        <v>0</v>
      </c>
      <c r="V292" s="3">
        <v>1759</v>
      </c>
      <c r="W292" s="11"/>
      <c r="X292" s="3">
        <f t="shared" si="40"/>
        <v>191931.2000000001</v>
      </c>
      <c r="Y292" s="3">
        <f t="shared" si="41"/>
        <v>13552.400000000001</v>
      </c>
      <c r="AA292" s="3">
        <v>15.1022345169196</v>
      </c>
    </row>
    <row r="293" spans="1:27" s="3" customFormat="1" ht="15" customHeight="1" x14ac:dyDescent="0.25">
      <c r="A293" s="65"/>
      <c r="B293" s="7"/>
      <c r="C293" s="28">
        <v>40678</v>
      </c>
      <c r="D293" s="3">
        <v>12.1</v>
      </c>
      <c r="E293" s="3">
        <v>7.2</v>
      </c>
      <c r="F293" s="3">
        <v>15.9</v>
      </c>
      <c r="G293" s="3">
        <f t="shared" si="35"/>
        <v>2201.8000000000002</v>
      </c>
      <c r="H293" s="3">
        <f t="shared" si="36"/>
        <v>124.89999999999998</v>
      </c>
      <c r="I293" s="29" t="s">
        <v>13</v>
      </c>
      <c r="J293" s="3">
        <v>0</v>
      </c>
      <c r="K293" s="3">
        <f t="shared" si="37"/>
        <v>399.89999999999986</v>
      </c>
      <c r="L293" s="3">
        <v>3.2</v>
      </c>
      <c r="M293" s="3">
        <f t="shared" si="38"/>
        <v>347.60000000000008</v>
      </c>
      <c r="N293" s="3">
        <v>-3.2</v>
      </c>
      <c r="O293" s="3">
        <f t="shared" si="42"/>
        <v>59.699999999999967</v>
      </c>
      <c r="P293" s="3">
        <v>244</v>
      </c>
      <c r="Q293" s="18">
        <f t="shared" si="43"/>
        <v>1.0214285714285714</v>
      </c>
      <c r="R293" s="10">
        <f t="shared" si="33"/>
        <v>3.2685714285714287</v>
      </c>
      <c r="S293" s="10">
        <f t="shared" si="34"/>
        <v>-3.2685714285714287</v>
      </c>
      <c r="T293" s="10">
        <f t="shared" si="39"/>
        <v>34.97064671814676</v>
      </c>
      <c r="U293" s="29" t="s">
        <v>14</v>
      </c>
      <c r="V293" s="3">
        <v>1886</v>
      </c>
      <c r="X293" s="3">
        <f t="shared" si="40"/>
        <v>193817.2000000001</v>
      </c>
      <c r="Y293" s="3">
        <f t="shared" si="41"/>
        <v>15438.400000000001</v>
      </c>
      <c r="AA293" s="3">
        <v>15.1463702334015</v>
      </c>
    </row>
    <row r="294" spans="1:27" s="3" customFormat="1" x14ac:dyDescent="0.25">
      <c r="A294" s="65"/>
      <c r="B294" s="7"/>
      <c r="C294" s="28">
        <v>40679</v>
      </c>
      <c r="D294" s="3">
        <v>13.7</v>
      </c>
      <c r="E294" s="3">
        <v>7.6</v>
      </c>
      <c r="F294" s="3">
        <v>18.600000000000001</v>
      </c>
      <c r="G294" s="3">
        <f t="shared" si="35"/>
        <v>2215.5</v>
      </c>
      <c r="H294" s="3">
        <f t="shared" si="36"/>
        <v>138.59999999999997</v>
      </c>
      <c r="I294" s="3">
        <v>0</v>
      </c>
      <c r="J294" s="3">
        <v>0</v>
      </c>
      <c r="K294" s="3">
        <f t="shared" si="37"/>
        <v>399.89999999999986</v>
      </c>
      <c r="L294" s="3">
        <v>1.6</v>
      </c>
      <c r="M294" s="3">
        <f t="shared" si="38"/>
        <v>349.2000000000001</v>
      </c>
      <c r="N294" s="3">
        <v>-1.6</v>
      </c>
      <c r="O294" s="3">
        <f t="shared" si="42"/>
        <v>58.099999999999966</v>
      </c>
      <c r="P294" s="3">
        <v>245</v>
      </c>
      <c r="Q294" s="18">
        <f t="shared" si="43"/>
        <v>1.0071428571428571</v>
      </c>
      <c r="R294" s="10">
        <f t="shared" si="33"/>
        <v>1.6114285714285714</v>
      </c>
      <c r="S294" s="10">
        <f t="shared" si="34"/>
        <v>-1.6114285714285714</v>
      </c>
      <c r="T294" s="10">
        <f t="shared" si="39"/>
        <v>33.359218146718192</v>
      </c>
      <c r="U294" s="10">
        <f>MAX(T285:T305)</f>
        <v>60.127075289575323</v>
      </c>
      <c r="V294" s="3">
        <v>808.6</v>
      </c>
      <c r="X294" s="3">
        <f t="shared" si="40"/>
        <v>194625.8000000001</v>
      </c>
      <c r="Y294" s="3">
        <f t="shared" si="41"/>
        <v>16247.000000000002</v>
      </c>
      <c r="AA294" s="3">
        <v>15.1897872065722</v>
      </c>
    </row>
    <row r="295" spans="1:27" s="3" customFormat="1" x14ac:dyDescent="0.25">
      <c r="A295" s="65"/>
      <c r="B295" s="7"/>
      <c r="C295" s="28">
        <v>40680</v>
      </c>
      <c r="D295" s="3">
        <v>14.7</v>
      </c>
      <c r="E295" s="3">
        <v>10.7</v>
      </c>
      <c r="F295" s="3">
        <v>18.899999999999999</v>
      </c>
      <c r="G295" s="3">
        <f t="shared" si="35"/>
        <v>2230.1999999999998</v>
      </c>
      <c r="H295" s="3">
        <f t="shared" si="36"/>
        <v>153.29999999999995</v>
      </c>
      <c r="I295" s="29" t="s">
        <v>15</v>
      </c>
      <c r="J295" s="3">
        <v>0</v>
      </c>
      <c r="K295" s="3">
        <f t="shared" si="37"/>
        <v>399.89999999999986</v>
      </c>
      <c r="L295" s="3">
        <v>1.8</v>
      </c>
      <c r="M295" s="3">
        <f t="shared" si="38"/>
        <v>351.00000000000011</v>
      </c>
      <c r="N295" s="3">
        <v>-1.8</v>
      </c>
      <c r="O295" s="3">
        <f t="shared" si="42"/>
        <v>56.299999999999969</v>
      </c>
      <c r="P295" s="3">
        <v>246</v>
      </c>
      <c r="Q295" s="18">
        <f t="shared" si="43"/>
        <v>0.99285714285714277</v>
      </c>
      <c r="R295" s="10">
        <f t="shared" si="33"/>
        <v>1.7871428571428569</v>
      </c>
      <c r="S295" s="10">
        <f t="shared" si="34"/>
        <v>-1.7871428571428569</v>
      </c>
      <c r="T295" s="10">
        <f t="shared" si="39"/>
        <v>31.572075289575334</v>
      </c>
      <c r="U295" s="29" t="s">
        <v>16</v>
      </c>
      <c r="V295" s="3">
        <v>983.7</v>
      </c>
      <c r="X295" s="3">
        <f t="shared" si="40"/>
        <v>195609.50000000012</v>
      </c>
      <c r="Y295" s="3">
        <f t="shared" si="41"/>
        <v>17230.7</v>
      </c>
      <c r="AA295" s="3">
        <v>15.2324609268607</v>
      </c>
    </row>
    <row r="296" spans="1:27" s="3" customFormat="1" x14ac:dyDescent="0.25">
      <c r="A296" s="65"/>
      <c r="B296" s="7"/>
      <c r="C296" s="28">
        <v>40681</v>
      </c>
      <c r="D296" s="3">
        <v>15.5</v>
      </c>
      <c r="E296" s="3">
        <v>9.1</v>
      </c>
      <c r="F296" s="3">
        <v>22.5</v>
      </c>
      <c r="G296" s="3">
        <f t="shared" si="35"/>
        <v>2245.6999999999998</v>
      </c>
      <c r="H296" s="3">
        <f t="shared" si="36"/>
        <v>168.79999999999995</v>
      </c>
      <c r="I296" s="3">
        <v>0</v>
      </c>
      <c r="J296" s="3">
        <v>0</v>
      </c>
      <c r="K296" s="3">
        <f t="shared" si="37"/>
        <v>399.89999999999986</v>
      </c>
      <c r="L296" s="3">
        <v>4.5</v>
      </c>
      <c r="M296" s="3">
        <f t="shared" si="38"/>
        <v>355.50000000000011</v>
      </c>
      <c r="N296" s="3">
        <v>-4.5</v>
      </c>
      <c r="O296" s="3">
        <f t="shared" si="42"/>
        <v>51.799999999999969</v>
      </c>
      <c r="P296" s="3">
        <v>247</v>
      </c>
      <c r="Q296" s="18">
        <f t="shared" si="43"/>
        <v>0.97857142857142854</v>
      </c>
      <c r="R296" s="10">
        <f t="shared" si="33"/>
        <v>4.4035714285714285</v>
      </c>
      <c r="S296" s="10">
        <f t="shared" si="34"/>
        <v>-4.4035714285714285</v>
      </c>
      <c r="T296" s="10">
        <f t="shared" si="39"/>
        <v>27.168503861003906</v>
      </c>
      <c r="U296" s="18">
        <f>AVERAGE(T285:T305)</f>
        <v>29.150959275602172</v>
      </c>
      <c r="V296" s="3">
        <v>2558.6999999999998</v>
      </c>
      <c r="X296" s="3">
        <f t="shared" si="40"/>
        <v>198168.20000000013</v>
      </c>
      <c r="Y296" s="3">
        <f t="shared" si="41"/>
        <v>19789.400000000001</v>
      </c>
      <c r="AA296" s="3">
        <v>15.274366581663999</v>
      </c>
    </row>
    <row r="297" spans="1:27" s="3" customFormat="1" x14ac:dyDescent="0.25">
      <c r="A297" s="65"/>
      <c r="B297" s="7"/>
      <c r="C297" s="28">
        <v>40682</v>
      </c>
      <c r="D297" s="3">
        <v>15.1</v>
      </c>
      <c r="E297" s="3">
        <v>12.7</v>
      </c>
      <c r="F297" s="3">
        <v>19.3</v>
      </c>
      <c r="G297" s="3">
        <f t="shared" si="35"/>
        <v>2260.7999999999997</v>
      </c>
      <c r="H297" s="3">
        <f t="shared" si="36"/>
        <v>183.89999999999995</v>
      </c>
      <c r="I297" s="29" t="s">
        <v>17</v>
      </c>
      <c r="J297" s="3">
        <v>0</v>
      </c>
      <c r="K297" s="3">
        <f t="shared" si="37"/>
        <v>399.89999999999986</v>
      </c>
      <c r="L297" s="3">
        <v>4.3</v>
      </c>
      <c r="M297" s="3">
        <f t="shared" si="38"/>
        <v>359.80000000000013</v>
      </c>
      <c r="N297" s="3">
        <v>-4.3</v>
      </c>
      <c r="O297" s="3">
        <f t="shared" si="42"/>
        <v>47.499999999999972</v>
      </c>
      <c r="P297" s="3">
        <v>248</v>
      </c>
      <c r="Q297" s="18">
        <f t="shared" si="43"/>
        <v>0.96428571428571419</v>
      </c>
      <c r="R297" s="10">
        <f t="shared" si="33"/>
        <v>4.1464285714285705</v>
      </c>
      <c r="S297" s="10">
        <f t="shared" si="34"/>
        <v>-4.1464285714285705</v>
      </c>
      <c r="T297" s="10">
        <f t="shared" si="39"/>
        <v>23.022075289575334</v>
      </c>
      <c r="V297" s="3">
        <v>2455</v>
      </c>
      <c r="X297" s="3">
        <f t="shared" si="40"/>
        <v>200623.20000000013</v>
      </c>
      <c r="Y297" s="3">
        <f t="shared" si="41"/>
        <v>22244.400000000001</v>
      </c>
      <c r="AA297" s="3">
        <v>15.315479089526701</v>
      </c>
    </row>
    <row r="298" spans="1:27" s="3" customFormat="1" x14ac:dyDescent="0.25">
      <c r="A298" s="65"/>
      <c r="B298" s="7"/>
      <c r="C298" s="28">
        <v>40683</v>
      </c>
      <c r="D298" s="3">
        <v>13.9</v>
      </c>
      <c r="E298" s="3">
        <v>8.9</v>
      </c>
      <c r="F298" s="3">
        <v>18.600000000000001</v>
      </c>
      <c r="G298" s="3">
        <f t="shared" si="35"/>
        <v>2274.6999999999998</v>
      </c>
      <c r="H298" s="3">
        <f t="shared" si="36"/>
        <v>197.79999999999995</v>
      </c>
      <c r="I298" s="3">
        <v>301.89999999999998</v>
      </c>
      <c r="J298" s="3">
        <v>0</v>
      </c>
      <c r="K298" s="3">
        <f t="shared" si="37"/>
        <v>399.89999999999986</v>
      </c>
      <c r="L298" s="3">
        <v>4.2</v>
      </c>
      <c r="M298" s="3">
        <f t="shared" si="38"/>
        <v>364.00000000000011</v>
      </c>
      <c r="N298" s="3">
        <v>-4.2</v>
      </c>
      <c r="O298" s="3">
        <f t="shared" si="42"/>
        <v>43.299999999999969</v>
      </c>
      <c r="P298" s="3">
        <v>249</v>
      </c>
      <c r="Q298" s="18">
        <f t="shared" si="43"/>
        <v>0.95</v>
      </c>
      <c r="R298" s="10">
        <f t="shared" si="33"/>
        <v>3.9899999999999998</v>
      </c>
      <c r="S298" s="10">
        <f t="shared" si="34"/>
        <v>-3.9899999999999998</v>
      </c>
      <c r="T298" s="10">
        <f t="shared" si="39"/>
        <v>19.032075289575335</v>
      </c>
      <c r="U298" s="10">
        <f>(U296*100)/197.4</f>
        <v>14.76745657325338</v>
      </c>
      <c r="V298" s="3">
        <v>2580.3000000000002</v>
      </c>
      <c r="X298" s="3">
        <f t="shared" si="40"/>
        <v>203203.50000000012</v>
      </c>
      <c r="Y298" s="3">
        <f t="shared" si="41"/>
        <v>24824.7</v>
      </c>
      <c r="AA298" s="3">
        <v>15.355773137132701</v>
      </c>
    </row>
    <row r="299" spans="1:27" s="3" customFormat="1" x14ac:dyDescent="0.25">
      <c r="A299" s="65"/>
      <c r="B299" s="7"/>
      <c r="C299" s="28">
        <v>40684</v>
      </c>
      <c r="D299" s="3">
        <v>16.2</v>
      </c>
      <c r="E299" s="3">
        <v>8.8000000000000007</v>
      </c>
      <c r="F299" s="3">
        <v>21.8</v>
      </c>
      <c r="G299" s="3">
        <f t="shared" si="35"/>
        <v>2290.8999999999996</v>
      </c>
      <c r="H299" s="3">
        <f t="shared" si="36"/>
        <v>213.99999999999994</v>
      </c>
      <c r="J299" s="3">
        <v>0</v>
      </c>
      <c r="K299" s="3">
        <f t="shared" si="37"/>
        <v>399.89999999999986</v>
      </c>
      <c r="L299" s="3">
        <v>1.6</v>
      </c>
      <c r="M299" s="3">
        <f t="shared" si="38"/>
        <v>365.60000000000014</v>
      </c>
      <c r="N299" s="3">
        <v>-1.6</v>
      </c>
      <c r="O299" s="3">
        <f t="shared" si="42"/>
        <v>41.699999999999967</v>
      </c>
      <c r="P299" s="3">
        <v>250</v>
      </c>
      <c r="Q299" s="18">
        <f t="shared" si="43"/>
        <v>0.93571428571428561</v>
      </c>
      <c r="R299" s="10">
        <f t="shared" si="33"/>
        <v>1.4971428571428571</v>
      </c>
      <c r="S299" s="10">
        <f t="shared" si="34"/>
        <v>-1.4971428571428571</v>
      </c>
      <c r="T299" s="10">
        <f t="shared" si="39"/>
        <v>17.534932432432477</v>
      </c>
      <c r="V299" s="3">
        <v>962.5</v>
      </c>
      <c r="X299" s="3">
        <f t="shared" si="40"/>
        <v>204166.00000000012</v>
      </c>
      <c r="Y299" s="3">
        <f t="shared" si="41"/>
        <v>25787.200000000001</v>
      </c>
      <c r="AA299" s="3">
        <v>15.3952232191133</v>
      </c>
    </row>
    <row r="300" spans="1:27" s="3" customFormat="1" x14ac:dyDescent="0.25">
      <c r="A300" s="65"/>
      <c r="B300" s="7"/>
      <c r="C300" s="28">
        <v>40685</v>
      </c>
      <c r="D300" s="3">
        <v>14.6</v>
      </c>
      <c r="E300" s="3">
        <v>11.4</v>
      </c>
      <c r="F300" s="3">
        <v>19.3</v>
      </c>
      <c r="G300" s="3">
        <f t="shared" si="35"/>
        <v>2305.4999999999995</v>
      </c>
      <c r="H300" s="3">
        <f t="shared" si="36"/>
        <v>228.59999999999994</v>
      </c>
      <c r="J300" s="3">
        <v>0</v>
      </c>
      <c r="K300" s="3">
        <f t="shared" si="37"/>
        <v>399.89999999999986</v>
      </c>
      <c r="L300" s="3">
        <v>4</v>
      </c>
      <c r="M300" s="3">
        <f t="shared" si="38"/>
        <v>369.60000000000014</v>
      </c>
      <c r="N300" s="3">
        <v>-4</v>
      </c>
      <c r="O300" s="3">
        <f t="shared" si="42"/>
        <v>37.699999999999967</v>
      </c>
      <c r="P300" s="3">
        <v>251</v>
      </c>
      <c r="Q300" s="18">
        <f t="shared" si="43"/>
        <v>0.92142857142857137</v>
      </c>
      <c r="R300" s="10">
        <f t="shared" si="33"/>
        <v>3.6857142857142855</v>
      </c>
      <c r="S300" s="10">
        <f t="shared" si="34"/>
        <v>-3.6857142857142855</v>
      </c>
      <c r="T300" s="10">
        <f t="shared" si="39"/>
        <v>13.849218146718192</v>
      </c>
      <c r="V300" s="3">
        <v>2093.1</v>
      </c>
      <c r="X300" s="3">
        <f t="shared" si="40"/>
        <v>206259.10000000012</v>
      </c>
      <c r="Y300" s="3">
        <f t="shared" si="41"/>
        <v>27880.3</v>
      </c>
      <c r="AA300" s="3">
        <v>15.433803680661301</v>
      </c>
    </row>
    <row r="301" spans="1:27" s="3" customFormat="1" x14ac:dyDescent="0.25">
      <c r="A301" s="65"/>
      <c r="B301" s="7"/>
      <c r="C301" s="28">
        <v>40686</v>
      </c>
      <c r="D301" s="3">
        <v>16.100000000000001</v>
      </c>
      <c r="E301" s="3">
        <v>8.6999999999999993</v>
      </c>
      <c r="F301" s="3">
        <v>22.1</v>
      </c>
      <c r="G301" s="3">
        <f t="shared" si="35"/>
        <v>2321.5999999999995</v>
      </c>
      <c r="H301" s="3">
        <f t="shared" si="36"/>
        <v>244.69999999999993</v>
      </c>
      <c r="J301" s="3">
        <v>0</v>
      </c>
      <c r="K301" s="3">
        <f t="shared" si="37"/>
        <v>399.89999999999986</v>
      </c>
      <c r="L301" s="3">
        <v>5.2</v>
      </c>
      <c r="M301" s="3">
        <f t="shared" si="38"/>
        <v>374.80000000000013</v>
      </c>
      <c r="N301" s="3">
        <v>-5.2</v>
      </c>
      <c r="O301" s="3">
        <f t="shared" si="42"/>
        <v>32.499999999999964</v>
      </c>
      <c r="P301" s="3">
        <v>252</v>
      </c>
      <c r="Q301" s="18">
        <f t="shared" si="43"/>
        <v>0.90714285714285703</v>
      </c>
      <c r="R301" s="10">
        <f t="shared" si="33"/>
        <v>4.7171428571428571</v>
      </c>
      <c r="S301" s="10">
        <f t="shared" si="34"/>
        <v>-4.7171428571428571</v>
      </c>
      <c r="T301" s="10">
        <f t="shared" si="39"/>
        <v>9.1320752895753348</v>
      </c>
      <c r="V301" s="3">
        <v>2843.9</v>
      </c>
      <c r="X301" s="3">
        <f t="shared" si="40"/>
        <v>209103.00000000012</v>
      </c>
      <c r="Y301" s="3">
        <f t="shared" si="41"/>
        <v>30724.2</v>
      </c>
      <c r="AA301" s="3">
        <v>15.471488762918799</v>
      </c>
    </row>
    <row r="302" spans="1:27" s="3" customFormat="1" x14ac:dyDescent="0.25">
      <c r="A302" s="65"/>
      <c r="B302" s="7"/>
      <c r="C302" s="28">
        <v>40687</v>
      </c>
      <c r="D302" s="3">
        <v>13.7</v>
      </c>
      <c r="E302" s="3">
        <v>11.4</v>
      </c>
      <c r="F302" s="3">
        <v>17.600000000000001</v>
      </c>
      <c r="G302" s="3">
        <f t="shared" si="35"/>
        <v>2335.2999999999993</v>
      </c>
      <c r="H302" s="3">
        <f t="shared" si="36"/>
        <v>258.39999999999992</v>
      </c>
      <c r="J302" s="3">
        <v>0</v>
      </c>
      <c r="K302" s="3">
        <f t="shared" si="37"/>
        <v>399.89999999999986</v>
      </c>
      <c r="L302" s="3">
        <v>4.0999999999999996</v>
      </c>
      <c r="M302" s="3">
        <f t="shared" si="38"/>
        <v>378.90000000000015</v>
      </c>
      <c r="N302" s="3">
        <v>-4.0999999999999996</v>
      </c>
      <c r="O302" s="3">
        <f t="shared" si="42"/>
        <v>28.399999999999963</v>
      </c>
      <c r="P302" s="3">
        <v>253</v>
      </c>
      <c r="Q302" s="18">
        <f t="shared" si="43"/>
        <v>0.89285714285714279</v>
      </c>
      <c r="R302" s="10">
        <f t="shared" si="33"/>
        <v>3.6607142857142851</v>
      </c>
      <c r="S302" s="10">
        <f t="shared" si="34"/>
        <v>-3.6607142857142851</v>
      </c>
      <c r="T302" s="10">
        <f t="shared" si="39"/>
        <v>5.4713610038610501</v>
      </c>
      <c r="V302" s="3">
        <v>2208.5</v>
      </c>
      <c r="X302" s="3">
        <f t="shared" si="40"/>
        <v>211311.50000000012</v>
      </c>
      <c r="Y302" s="3">
        <f t="shared" si="41"/>
        <v>32932.699999999997</v>
      </c>
      <c r="AA302" s="3">
        <v>15.508252651086901</v>
      </c>
    </row>
    <row r="303" spans="1:27" s="3" customFormat="1" x14ac:dyDescent="0.25">
      <c r="A303" s="65"/>
      <c r="B303" s="7"/>
      <c r="C303" s="28">
        <v>40688</v>
      </c>
      <c r="D303" s="3">
        <v>17</v>
      </c>
      <c r="E303" s="3">
        <v>7.6</v>
      </c>
      <c r="F303" s="3">
        <v>24.2</v>
      </c>
      <c r="G303" s="3">
        <f t="shared" si="35"/>
        <v>2352.2999999999993</v>
      </c>
      <c r="H303" s="3">
        <f t="shared" si="36"/>
        <v>275.39999999999992</v>
      </c>
      <c r="J303" s="3">
        <v>0</v>
      </c>
      <c r="K303" s="3">
        <f t="shared" si="37"/>
        <v>399.89999999999986</v>
      </c>
      <c r="L303" s="3">
        <v>5.5</v>
      </c>
      <c r="M303" s="3">
        <f t="shared" si="38"/>
        <v>384.40000000000015</v>
      </c>
      <c r="N303" s="3">
        <v>-5.5</v>
      </c>
      <c r="O303" s="3">
        <f t="shared" si="42"/>
        <v>22.899999999999963</v>
      </c>
      <c r="P303" s="3">
        <v>254</v>
      </c>
      <c r="Q303" s="18">
        <f t="shared" si="43"/>
        <v>0.87857142857142856</v>
      </c>
      <c r="R303" s="10">
        <f t="shared" si="33"/>
        <v>4.8321428571428573</v>
      </c>
      <c r="S303" s="10">
        <f t="shared" si="34"/>
        <v>-4.8321428571428573</v>
      </c>
      <c r="T303" s="10">
        <f t="shared" si="39"/>
        <v>0.63921814671819277</v>
      </c>
      <c r="V303" s="3">
        <v>2935.8</v>
      </c>
      <c r="X303" s="3">
        <f t="shared" si="40"/>
        <v>214247.3000000001</v>
      </c>
      <c r="Y303" s="3">
        <f t="shared" si="41"/>
        <v>35868.5</v>
      </c>
      <c r="AA303" s="3">
        <v>15.544069525182699</v>
      </c>
    </row>
    <row r="304" spans="1:27" s="3" customFormat="1" x14ac:dyDescent="0.25">
      <c r="A304" s="65"/>
      <c r="B304" s="7"/>
      <c r="C304" s="28">
        <v>40689</v>
      </c>
      <c r="D304" s="3">
        <v>14.2</v>
      </c>
      <c r="E304" s="3">
        <v>12.4</v>
      </c>
      <c r="F304" s="3">
        <v>15.8</v>
      </c>
      <c r="G304" s="3">
        <f t="shared" si="35"/>
        <v>2366.4999999999991</v>
      </c>
      <c r="H304" s="3">
        <f t="shared" si="36"/>
        <v>289.59999999999991</v>
      </c>
      <c r="J304" s="3">
        <v>0.1</v>
      </c>
      <c r="K304" s="3">
        <f t="shared" si="37"/>
        <v>399.99999999999989</v>
      </c>
      <c r="L304" s="3">
        <v>2.8</v>
      </c>
      <c r="M304" s="3">
        <f t="shared" si="38"/>
        <v>387.20000000000016</v>
      </c>
      <c r="N304" s="3">
        <v>-2.6999999999999997</v>
      </c>
      <c r="O304" s="3">
        <f t="shared" si="42"/>
        <v>20.199999999999964</v>
      </c>
      <c r="P304" s="3">
        <v>255</v>
      </c>
      <c r="Q304" s="18">
        <f t="shared" si="43"/>
        <v>0.86428571428571421</v>
      </c>
      <c r="R304" s="10">
        <f t="shared" si="33"/>
        <v>2.4199999999999995</v>
      </c>
      <c r="S304" s="10">
        <f t="shared" si="34"/>
        <v>-2.3199999999999994</v>
      </c>
      <c r="T304" s="10">
        <v>0</v>
      </c>
      <c r="V304" s="3">
        <v>1256.9000000000001</v>
      </c>
      <c r="X304" s="3">
        <f t="shared" si="40"/>
        <v>215504.2000000001</v>
      </c>
      <c r="Y304" s="3">
        <f t="shared" si="41"/>
        <v>37125.4</v>
      </c>
      <c r="AA304" s="3">
        <v>15.578913613345801</v>
      </c>
    </row>
    <row r="305" spans="1:27" s="39" customFormat="1" ht="15.75" thickBot="1" x14ac:dyDescent="0.3">
      <c r="A305" s="65"/>
      <c r="B305" s="47">
        <v>600</v>
      </c>
      <c r="C305" s="52">
        <v>40690</v>
      </c>
      <c r="D305" s="39">
        <v>12.3</v>
      </c>
      <c r="E305" s="39">
        <v>11.1</v>
      </c>
      <c r="F305" s="39">
        <v>15.2</v>
      </c>
      <c r="G305" s="39">
        <f t="shared" si="35"/>
        <v>2378.7999999999993</v>
      </c>
      <c r="H305" s="39">
        <f t="shared" si="36"/>
        <v>301.89999999999992</v>
      </c>
      <c r="J305" s="39">
        <v>0</v>
      </c>
      <c r="K305" s="39">
        <f t="shared" si="37"/>
        <v>399.99999999999989</v>
      </c>
      <c r="L305" s="39">
        <v>2.8</v>
      </c>
      <c r="M305" s="39">
        <f t="shared" si="38"/>
        <v>390.00000000000017</v>
      </c>
      <c r="N305" s="39">
        <v>-2.8</v>
      </c>
      <c r="O305" s="39">
        <f t="shared" si="42"/>
        <v>17.399999999999963</v>
      </c>
      <c r="P305" s="39">
        <v>256</v>
      </c>
      <c r="Q305" s="40">
        <f t="shared" si="43"/>
        <v>0.84999999999999987</v>
      </c>
      <c r="R305" s="41">
        <f t="shared" si="33"/>
        <v>2.3799999999999994</v>
      </c>
      <c r="S305" s="41">
        <f t="shared" si="34"/>
        <v>-2.3799999999999994</v>
      </c>
      <c r="T305" s="42">
        <v>0</v>
      </c>
      <c r="V305" s="39">
        <v>1415.4</v>
      </c>
      <c r="X305" s="39">
        <f t="shared" si="40"/>
        <v>216919.60000000009</v>
      </c>
      <c r="Y305" s="43">
        <f t="shared" si="41"/>
        <v>38540.800000000003</v>
      </c>
      <c r="AA305" s="43">
        <v>15.612759247572299</v>
      </c>
    </row>
    <row r="306" spans="1:27" s="3" customFormat="1" x14ac:dyDescent="0.25">
      <c r="A306" s="55">
        <v>1000</v>
      </c>
      <c r="B306" s="7"/>
      <c r="C306" s="30">
        <v>40691</v>
      </c>
      <c r="D306" s="3">
        <v>13.2</v>
      </c>
      <c r="E306" s="3">
        <v>5.4</v>
      </c>
      <c r="F306" s="3">
        <v>19.7</v>
      </c>
      <c r="G306" s="3">
        <f t="shared" si="35"/>
        <v>2391.9999999999991</v>
      </c>
      <c r="H306" s="3">
        <v>13.2</v>
      </c>
      <c r="I306" s="31" t="s">
        <v>2</v>
      </c>
      <c r="J306" s="3">
        <v>0</v>
      </c>
      <c r="K306" s="3">
        <f t="shared" si="37"/>
        <v>399.99999999999989</v>
      </c>
      <c r="L306" s="3">
        <v>4.5999999999999996</v>
      </c>
      <c r="M306" s="3">
        <f t="shared" si="38"/>
        <v>394.60000000000019</v>
      </c>
      <c r="N306" s="3">
        <v>-4.5999999999999996</v>
      </c>
      <c r="O306" s="3">
        <f t="shared" si="42"/>
        <v>12.799999999999963</v>
      </c>
      <c r="P306" s="3">
        <v>257</v>
      </c>
      <c r="Q306" s="18">
        <f t="shared" si="43"/>
        <v>0.83571428571428563</v>
      </c>
      <c r="R306" s="10">
        <f t="shared" ref="R306:R340" si="44">Q306*L306</f>
        <v>3.8442857142857134</v>
      </c>
      <c r="S306" s="10">
        <f t="shared" ref="S306:S340" si="45">J306-R306</f>
        <v>-3.8442857142857134</v>
      </c>
      <c r="T306" s="10">
        <v>0</v>
      </c>
      <c r="U306" s="31" t="s">
        <v>3</v>
      </c>
      <c r="V306" s="3">
        <v>2900.1</v>
      </c>
      <c r="X306" s="3">
        <f t="shared" si="40"/>
        <v>219819.7000000001</v>
      </c>
      <c r="Y306" s="3">
        <v>2900.1</v>
      </c>
      <c r="Z306" s="31" t="s">
        <v>4</v>
      </c>
      <c r="AA306" s="3">
        <v>15.6455809217266</v>
      </c>
    </row>
    <row r="307" spans="1:27" s="3" customFormat="1" x14ac:dyDescent="0.25">
      <c r="A307" s="55"/>
      <c r="B307" s="7"/>
      <c r="C307" s="30">
        <v>40692</v>
      </c>
      <c r="D307" s="3">
        <v>16.3</v>
      </c>
      <c r="E307" s="3">
        <v>9.1999999999999993</v>
      </c>
      <c r="F307" s="3">
        <v>23.2</v>
      </c>
      <c r="G307" s="3">
        <f t="shared" si="35"/>
        <v>2408.2999999999993</v>
      </c>
      <c r="H307" s="3">
        <f t="shared" si="36"/>
        <v>29.5</v>
      </c>
      <c r="I307" s="3">
        <f>MIN(E306:E332)</f>
        <v>5.4</v>
      </c>
      <c r="J307" s="3">
        <v>0</v>
      </c>
      <c r="K307" s="3">
        <f t="shared" si="37"/>
        <v>399.99999999999989</v>
      </c>
      <c r="L307" s="3">
        <v>4.9000000000000004</v>
      </c>
      <c r="M307" s="3">
        <f t="shared" si="38"/>
        <v>399.50000000000017</v>
      </c>
      <c r="N307" s="3">
        <v>-4.9000000000000004</v>
      </c>
      <c r="O307" s="3">
        <f t="shared" si="42"/>
        <v>7.8999999999999631</v>
      </c>
      <c r="P307" s="3">
        <v>258</v>
      </c>
      <c r="Q307" s="18">
        <f t="shared" si="43"/>
        <v>0.8214285714285714</v>
      </c>
      <c r="R307" s="10">
        <f t="shared" si="44"/>
        <v>4.0250000000000004</v>
      </c>
      <c r="S307" s="10">
        <f t="shared" si="45"/>
        <v>-4.0250000000000004</v>
      </c>
      <c r="T307" s="10">
        <v>0</v>
      </c>
      <c r="U307" s="3">
        <v>18</v>
      </c>
      <c r="V307" s="3">
        <v>2838.3</v>
      </c>
      <c r="X307" s="3">
        <f t="shared" si="40"/>
        <v>222658.00000000009</v>
      </c>
      <c r="Y307" s="3">
        <f t="shared" si="41"/>
        <v>5738.4</v>
      </c>
      <c r="Z307" s="3">
        <v>41586.1</v>
      </c>
      <c r="AA307" s="3">
        <v>15.677353351658899</v>
      </c>
    </row>
    <row r="308" spans="1:27" s="3" customFormat="1" x14ac:dyDescent="0.25">
      <c r="A308" s="55"/>
      <c r="B308" s="7"/>
      <c r="C308" s="30">
        <v>40693</v>
      </c>
      <c r="D308" s="3">
        <v>13.8</v>
      </c>
      <c r="E308" s="3">
        <v>11.2</v>
      </c>
      <c r="F308" s="3">
        <v>20.7</v>
      </c>
      <c r="G308" s="3">
        <f t="shared" ref="G308:G340" si="46">G307+D308</f>
        <v>2422.0999999999995</v>
      </c>
      <c r="H308" s="3">
        <f t="shared" ref="H308:H340" si="47">H307+D308</f>
        <v>43.3</v>
      </c>
      <c r="I308" s="31" t="s">
        <v>5</v>
      </c>
      <c r="J308" s="3">
        <v>3.1</v>
      </c>
      <c r="K308" s="3">
        <f t="shared" ref="K308:K340" si="48">K307+J308</f>
        <v>403.09999999999991</v>
      </c>
      <c r="L308" s="3">
        <v>2.6</v>
      </c>
      <c r="M308" s="3">
        <f t="shared" ref="M308:M340" si="49">M307+L308</f>
        <v>402.10000000000019</v>
      </c>
      <c r="N308" s="3">
        <v>0.5</v>
      </c>
      <c r="O308" s="3">
        <f t="shared" si="42"/>
        <v>8.3999999999999631</v>
      </c>
      <c r="P308" s="3">
        <v>259</v>
      </c>
      <c r="Q308" s="18">
        <f t="shared" si="43"/>
        <v>0.80714285714285716</v>
      </c>
      <c r="R308" s="10">
        <f t="shared" si="44"/>
        <v>2.0985714285714288</v>
      </c>
      <c r="S308" s="10">
        <f t="shared" si="45"/>
        <v>1.0014285714285713</v>
      </c>
      <c r="T308" s="10">
        <f t="shared" ref="T308:T340" si="50">MIN(197.4,(T307+S308))</f>
        <v>1.0014285714285713</v>
      </c>
      <c r="U308" s="31" t="s">
        <v>6</v>
      </c>
      <c r="V308" s="3">
        <v>1130.5</v>
      </c>
      <c r="X308" s="3">
        <f t="shared" ref="X308:X340" si="51">X307+V308</f>
        <v>223788.50000000009</v>
      </c>
      <c r="Y308" s="3">
        <f t="shared" si="41"/>
        <v>6868.9</v>
      </c>
      <c r="Z308" s="31" t="s">
        <v>7</v>
      </c>
      <c r="AA308" s="3">
        <v>15.7080515372264</v>
      </c>
    </row>
    <row r="309" spans="1:27" s="3" customFormat="1" x14ac:dyDescent="0.25">
      <c r="A309" s="55"/>
      <c r="B309" s="7"/>
      <c r="C309" s="30">
        <v>40694</v>
      </c>
      <c r="D309" s="3">
        <v>11.2</v>
      </c>
      <c r="E309" s="3">
        <v>7.6</v>
      </c>
      <c r="F309" s="3">
        <v>14.9</v>
      </c>
      <c r="G309" s="3">
        <f t="shared" si="46"/>
        <v>2433.2999999999993</v>
      </c>
      <c r="H309" s="3">
        <f t="shared" si="47"/>
        <v>54.5</v>
      </c>
      <c r="I309" s="3">
        <f>MAX(F306:F332)</f>
        <v>27.8</v>
      </c>
      <c r="J309" s="3">
        <v>0.1</v>
      </c>
      <c r="K309" s="3">
        <f t="shared" si="48"/>
        <v>403.19999999999993</v>
      </c>
      <c r="L309" s="3">
        <v>3</v>
      </c>
      <c r="M309" s="3">
        <f t="shared" si="49"/>
        <v>405.10000000000019</v>
      </c>
      <c r="N309" s="3">
        <v>-2.9</v>
      </c>
      <c r="O309" s="3">
        <f t="shared" si="42"/>
        <v>5.4999999999999627</v>
      </c>
      <c r="P309" s="3">
        <v>260</v>
      </c>
      <c r="Q309" s="18">
        <f t="shared" si="43"/>
        <v>0.7928571428571427</v>
      </c>
      <c r="R309" s="10">
        <f t="shared" si="44"/>
        <v>2.3785714285714281</v>
      </c>
      <c r="S309" s="10">
        <f t="shared" si="45"/>
        <v>-2.278571428571428</v>
      </c>
      <c r="T309" s="10">
        <v>0</v>
      </c>
      <c r="U309" s="3">
        <v>6</v>
      </c>
      <c r="V309" s="3">
        <v>1743</v>
      </c>
      <c r="X309" s="3">
        <f t="shared" si="51"/>
        <v>225531.50000000009</v>
      </c>
      <c r="Y309" s="3">
        <f t="shared" si="41"/>
        <v>8611.9</v>
      </c>
      <c r="Z309" s="3">
        <f>(Z307/100)/I319</f>
        <v>1.0013508307247772</v>
      </c>
      <c r="AA309" s="3">
        <v>15.7376508259911</v>
      </c>
    </row>
    <row r="310" spans="1:27" s="3" customFormat="1" x14ac:dyDescent="0.25">
      <c r="A310" s="55"/>
      <c r="B310" s="7"/>
      <c r="C310" s="30">
        <v>40695</v>
      </c>
      <c r="D310" s="3">
        <v>13.5</v>
      </c>
      <c r="E310" s="3">
        <v>7</v>
      </c>
      <c r="F310" s="3">
        <v>18.899999999999999</v>
      </c>
      <c r="G310" s="3">
        <f t="shared" si="46"/>
        <v>2446.7999999999993</v>
      </c>
      <c r="H310" s="3">
        <f t="shared" si="47"/>
        <v>68</v>
      </c>
      <c r="I310" s="31" t="s">
        <v>8</v>
      </c>
      <c r="J310" s="3">
        <v>0</v>
      </c>
      <c r="K310" s="3">
        <f t="shared" si="48"/>
        <v>403.19999999999993</v>
      </c>
      <c r="L310" s="3">
        <v>4.5</v>
      </c>
      <c r="M310" s="3">
        <f t="shared" si="49"/>
        <v>409.60000000000019</v>
      </c>
      <c r="N310" s="3">
        <v>-4.5</v>
      </c>
      <c r="O310" s="3">
        <f t="shared" si="42"/>
        <v>0.9999999999999627</v>
      </c>
      <c r="P310" s="3">
        <v>261</v>
      </c>
      <c r="Q310" s="18">
        <f t="shared" si="43"/>
        <v>0.77857142857142847</v>
      </c>
      <c r="R310" s="10">
        <f t="shared" si="44"/>
        <v>3.5035714285714281</v>
      </c>
      <c r="S310" s="10">
        <f t="shared" si="45"/>
        <v>-3.5035714285714281</v>
      </c>
      <c r="T310" s="10">
        <v>0</v>
      </c>
      <c r="U310" s="31" t="s">
        <v>9</v>
      </c>
      <c r="V310" s="3">
        <v>2816.8</v>
      </c>
      <c r="X310" s="3">
        <f t="shared" si="51"/>
        <v>228348.30000000008</v>
      </c>
      <c r="Y310" s="3">
        <f t="shared" si="41"/>
        <v>11428.7</v>
      </c>
      <c r="Z310" s="31" t="s">
        <v>10</v>
      </c>
      <c r="AA310" s="3">
        <v>15.7661269783405</v>
      </c>
    </row>
    <row r="311" spans="1:27" s="3" customFormat="1" x14ac:dyDescent="0.25">
      <c r="A311" s="55"/>
      <c r="B311" s="7"/>
      <c r="C311" s="30">
        <v>40696</v>
      </c>
      <c r="D311" s="3">
        <v>17.5</v>
      </c>
      <c r="E311" s="3">
        <v>10.5</v>
      </c>
      <c r="F311" s="3">
        <v>22.8</v>
      </c>
      <c r="G311" s="3">
        <f t="shared" si="46"/>
        <v>2464.2999999999993</v>
      </c>
      <c r="H311" s="3">
        <f t="shared" si="47"/>
        <v>85.5</v>
      </c>
      <c r="I311" s="10">
        <f>AVERAGE(D306:D332)</f>
        <v>15.381481481481478</v>
      </c>
      <c r="J311" s="3">
        <v>0</v>
      </c>
      <c r="K311" s="3">
        <f t="shared" si="48"/>
        <v>403.19999999999993</v>
      </c>
      <c r="L311" s="3">
        <v>6.1</v>
      </c>
      <c r="M311" s="3">
        <f t="shared" si="49"/>
        <v>415.70000000000022</v>
      </c>
      <c r="N311" s="3">
        <v>-6.1</v>
      </c>
      <c r="O311" s="3">
        <v>0</v>
      </c>
      <c r="P311" s="3">
        <v>262</v>
      </c>
      <c r="Q311" s="18">
        <f t="shared" si="43"/>
        <v>0.76428571428571423</v>
      </c>
      <c r="R311" s="10">
        <f t="shared" si="44"/>
        <v>4.6621428571428565</v>
      </c>
      <c r="S311" s="10">
        <f t="shared" si="45"/>
        <v>-4.6621428571428565</v>
      </c>
      <c r="T311" s="10">
        <v>0</v>
      </c>
      <c r="U311" s="3">
        <v>21</v>
      </c>
      <c r="V311" s="3">
        <v>3121.6</v>
      </c>
      <c r="X311" s="3">
        <f t="shared" si="51"/>
        <v>231469.90000000008</v>
      </c>
      <c r="Y311" s="3">
        <f t="shared" si="41"/>
        <v>14550.300000000001</v>
      </c>
      <c r="Z311" s="3">
        <v>8</v>
      </c>
      <c r="AA311" s="3">
        <v>15.793456233751099</v>
      </c>
    </row>
    <row r="312" spans="1:27" s="3" customFormat="1" x14ac:dyDescent="0.25">
      <c r="A312" s="55"/>
      <c r="B312" s="7"/>
      <c r="C312" s="30">
        <v>40697</v>
      </c>
      <c r="D312" s="3">
        <v>20.7</v>
      </c>
      <c r="E312" s="3">
        <v>14</v>
      </c>
      <c r="F312" s="3">
        <v>27.8</v>
      </c>
      <c r="G312" s="3">
        <f t="shared" si="46"/>
        <v>2484.9999999999991</v>
      </c>
      <c r="H312" s="3">
        <f t="shared" si="47"/>
        <v>106.2</v>
      </c>
      <c r="I312" s="31" t="s">
        <v>11</v>
      </c>
      <c r="J312" s="3">
        <v>0</v>
      </c>
      <c r="K312" s="3">
        <f t="shared" si="48"/>
        <v>403.19999999999993</v>
      </c>
      <c r="L312" s="3">
        <v>7</v>
      </c>
      <c r="M312" s="3">
        <f t="shared" si="49"/>
        <v>422.70000000000022</v>
      </c>
      <c r="N312" s="3">
        <v>-7</v>
      </c>
      <c r="O312" s="3">
        <v>0</v>
      </c>
      <c r="P312" s="3">
        <v>263</v>
      </c>
      <c r="Q312" s="18">
        <f t="shared" si="43"/>
        <v>0.75</v>
      </c>
      <c r="R312" s="10">
        <f t="shared" si="44"/>
        <v>5.25</v>
      </c>
      <c r="S312" s="10">
        <f t="shared" si="45"/>
        <v>-5.25</v>
      </c>
      <c r="T312" s="10">
        <v>0</v>
      </c>
      <c r="U312" s="31" t="s">
        <v>12</v>
      </c>
      <c r="V312" s="3">
        <v>2843</v>
      </c>
      <c r="X312" s="3">
        <f t="shared" si="51"/>
        <v>234312.90000000008</v>
      </c>
      <c r="Y312" s="3">
        <f t="shared" si="41"/>
        <v>17393.300000000003</v>
      </c>
      <c r="AA312" s="3">
        <v>15.819615377891401</v>
      </c>
    </row>
    <row r="313" spans="1:27" s="3" customFormat="1" x14ac:dyDescent="0.25">
      <c r="A313" s="55"/>
      <c r="B313" s="7"/>
      <c r="C313" s="30">
        <v>40698</v>
      </c>
      <c r="D313" s="3">
        <v>20.7</v>
      </c>
      <c r="E313" s="3">
        <v>13.7</v>
      </c>
      <c r="F313" s="3">
        <v>27.8</v>
      </c>
      <c r="G313" s="3">
        <f t="shared" si="46"/>
        <v>2505.6999999999989</v>
      </c>
      <c r="H313" s="3">
        <f t="shared" si="47"/>
        <v>126.9</v>
      </c>
      <c r="I313" s="3">
        <v>0</v>
      </c>
      <c r="J313" s="3">
        <v>6.6</v>
      </c>
      <c r="K313" s="3">
        <f t="shared" si="48"/>
        <v>409.79999999999995</v>
      </c>
      <c r="L313" s="3">
        <v>5.4</v>
      </c>
      <c r="M313" s="3">
        <f t="shared" si="49"/>
        <v>428.10000000000019</v>
      </c>
      <c r="N313" s="3">
        <v>1.1999999999999993</v>
      </c>
      <c r="O313" s="3">
        <f t="shared" ref="O313:O318" si="52">O312+N313</f>
        <v>1.1999999999999993</v>
      </c>
      <c r="P313" s="3">
        <v>264</v>
      </c>
      <c r="Q313" s="18">
        <f t="shared" si="43"/>
        <v>0.73571428571428554</v>
      </c>
      <c r="R313" s="10">
        <f t="shared" si="44"/>
        <v>3.972857142857142</v>
      </c>
      <c r="S313" s="10">
        <f t="shared" si="45"/>
        <v>2.6271428571428577</v>
      </c>
      <c r="T313" s="10">
        <f t="shared" si="50"/>
        <v>2.6271428571428577</v>
      </c>
      <c r="U313" s="10">
        <v>0</v>
      </c>
      <c r="V313" s="3">
        <v>2419.4</v>
      </c>
      <c r="X313" s="3">
        <f t="shared" si="51"/>
        <v>236732.30000000008</v>
      </c>
      <c r="Y313" s="3">
        <f t="shared" si="41"/>
        <v>19812.700000000004</v>
      </c>
      <c r="AA313" s="3">
        <v>15.8445818102358</v>
      </c>
    </row>
    <row r="314" spans="1:27" s="3" customFormat="1" x14ac:dyDescent="0.25">
      <c r="A314" s="55"/>
      <c r="B314" s="7"/>
      <c r="C314" s="30">
        <v>40699</v>
      </c>
      <c r="D314" s="3">
        <v>15.7</v>
      </c>
      <c r="E314" s="3">
        <v>15.1</v>
      </c>
      <c r="F314" s="3">
        <v>17.2</v>
      </c>
      <c r="G314" s="3">
        <f t="shared" si="46"/>
        <v>2521.3999999999987</v>
      </c>
      <c r="H314" s="3">
        <f t="shared" si="47"/>
        <v>142.6</v>
      </c>
      <c r="I314" s="31" t="s">
        <v>13</v>
      </c>
      <c r="J314" s="3">
        <v>8.1999999999999993</v>
      </c>
      <c r="K314" s="3">
        <f t="shared" si="48"/>
        <v>417.99999999999994</v>
      </c>
      <c r="L314" s="3">
        <v>1.2</v>
      </c>
      <c r="M314" s="3">
        <f t="shared" si="49"/>
        <v>429.30000000000018</v>
      </c>
      <c r="N314" s="3">
        <v>6.9999999999999991</v>
      </c>
      <c r="O314" s="3">
        <f t="shared" si="52"/>
        <v>8.1999999999999993</v>
      </c>
      <c r="P314" s="3">
        <v>265</v>
      </c>
      <c r="Q314" s="18">
        <f t="shared" si="43"/>
        <v>0.72142857142857131</v>
      </c>
      <c r="R314" s="10">
        <f t="shared" si="44"/>
        <v>0.86571428571428555</v>
      </c>
      <c r="S314" s="10">
        <f t="shared" si="45"/>
        <v>7.3342857142857136</v>
      </c>
      <c r="T314" s="10">
        <f t="shared" si="50"/>
        <v>9.9614285714285717</v>
      </c>
      <c r="U314" s="31" t="s">
        <v>14</v>
      </c>
      <c r="V314" s="3">
        <v>457.6</v>
      </c>
      <c r="X314" s="3">
        <f t="shared" si="51"/>
        <v>237189.90000000008</v>
      </c>
      <c r="Y314" s="3">
        <f t="shared" ref="Y314:Y340" si="53">Y313+V314</f>
        <v>20270.300000000003</v>
      </c>
      <c r="AA314" s="3">
        <v>15.868333611840001</v>
      </c>
    </row>
    <row r="315" spans="1:27" s="3" customFormat="1" x14ac:dyDescent="0.25">
      <c r="A315" s="55"/>
      <c r="B315" s="7"/>
      <c r="C315" s="30">
        <v>40700</v>
      </c>
      <c r="D315" s="3">
        <v>14</v>
      </c>
      <c r="E315" s="3">
        <v>13.2</v>
      </c>
      <c r="F315" s="3">
        <v>15.2</v>
      </c>
      <c r="G315" s="3">
        <f t="shared" si="46"/>
        <v>2535.3999999999987</v>
      </c>
      <c r="H315" s="3">
        <f t="shared" si="47"/>
        <v>156.6</v>
      </c>
      <c r="I315" s="3">
        <v>2</v>
      </c>
      <c r="J315" s="3">
        <v>0</v>
      </c>
      <c r="K315" s="3">
        <f t="shared" si="48"/>
        <v>417.99999999999994</v>
      </c>
      <c r="L315" s="3">
        <v>0.9</v>
      </c>
      <c r="M315" s="3">
        <f t="shared" si="49"/>
        <v>430.20000000000016</v>
      </c>
      <c r="N315" s="3">
        <v>-0.9</v>
      </c>
      <c r="O315" s="3">
        <f t="shared" si="52"/>
        <v>7.2999999999999989</v>
      </c>
      <c r="P315" s="3">
        <v>266</v>
      </c>
      <c r="Q315" s="18">
        <f t="shared" si="43"/>
        <v>0.70714285714285707</v>
      </c>
      <c r="R315" s="10">
        <f t="shared" si="44"/>
        <v>0.63642857142857134</v>
      </c>
      <c r="S315" s="10">
        <f t="shared" si="45"/>
        <v>-0.63642857142857134</v>
      </c>
      <c r="T315" s="10">
        <f t="shared" si="50"/>
        <v>9.3250000000000011</v>
      </c>
      <c r="U315" s="10">
        <f>MAX(T306:T332)</f>
        <v>28.33071428571429</v>
      </c>
      <c r="V315" s="3">
        <v>507.5</v>
      </c>
      <c r="X315" s="3">
        <f t="shared" si="51"/>
        <v>237697.40000000008</v>
      </c>
      <c r="Y315" s="3">
        <f t="shared" si="53"/>
        <v>20777.800000000003</v>
      </c>
      <c r="AA315" s="3">
        <v>15.8908496129102</v>
      </c>
    </row>
    <row r="316" spans="1:27" s="3" customFormat="1" x14ac:dyDescent="0.25">
      <c r="A316" s="55"/>
      <c r="B316" s="7"/>
      <c r="C316" s="30">
        <v>40701</v>
      </c>
      <c r="D316" s="3">
        <v>14.5</v>
      </c>
      <c r="E316" s="3">
        <v>11.4</v>
      </c>
      <c r="F316" s="3">
        <v>20</v>
      </c>
      <c r="G316" s="3">
        <f t="shared" si="46"/>
        <v>2549.8999999999987</v>
      </c>
      <c r="H316" s="3">
        <f t="shared" si="47"/>
        <v>171.1</v>
      </c>
      <c r="I316" s="31" t="s">
        <v>15</v>
      </c>
      <c r="J316" s="3">
        <v>0</v>
      </c>
      <c r="K316" s="3">
        <f t="shared" si="48"/>
        <v>417.99999999999994</v>
      </c>
      <c r="L316" s="3">
        <v>2.7</v>
      </c>
      <c r="M316" s="3">
        <f t="shared" si="49"/>
        <v>432.90000000000015</v>
      </c>
      <c r="N316" s="3">
        <v>-2.7</v>
      </c>
      <c r="O316" s="3">
        <f t="shared" si="52"/>
        <v>4.5999999999999988</v>
      </c>
      <c r="P316" s="3">
        <v>267</v>
      </c>
      <c r="Q316" s="18">
        <f t="shared" si="43"/>
        <v>0.69285714285714284</v>
      </c>
      <c r="R316" s="10">
        <f t="shared" si="44"/>
        <v>1.8707142857142858</v>
      </c>
      <c r="S316" s="10">
        <f t="shared" si="45"/>
        <v>-1.8707142857142858</v>
      </c>
      <c r="T316" s="10">
        <f t="shared" si="50"/>
        <v>7.4542857142857155</v>
      </c>
      <c r="U316" s="31" t="s">
        <v>16</v>
      </c>
      <c r="V316" s="3">
        <v>1297.0999999999999</v>
      </c>
      <c r="X316" s="3">
        <f t="shared" si="51"/>
        <v>238994.50000000009</v>
      </c>
      <c r="Y316" s="3">
        <f t="shared" si="53"/>
        <v>22074.9</v>
      </c>
      <c r="AA316" s="3">
        <v>15.9121094597803</v>
      </c>
    </row>
    <row r="317" spans="1:27" s="3" customFormat="1" x14ac:dyDescent="0.25">
      <c r="A317" s="55"/>
      <c r="B317" s="7"/>
      <c r="C317" s="30">
        <v>40702</v>
      </c>
      <c r="D317" s="3">
        <v>13.7</v>
      </c>
      <c r="E317" s="3">
        <v>10.3</v>
      </c>
      <c r="F317" s="3">
        <v>18.8</v>
      </c>
      <c r="G317" s="3">
        <f t="shared" si="46"/>
        <v>2563.5999999999985</v>
      </c>
      <c r="H317" s="3">
        <f t="shared" si="47"/>
        <v>184.79999999999998</v>
      </c>
      <c r="I317" s="3">
        <v>0</v>
      </c>
      <c r="J317" s="3">
        <v>1.1000000000000001</v>
      </c>
      <c r="K317" s="3">
        <f t="shared" si="48"/>
        <v>419.09999999999997</v>
      </c>
      <c r="L317" s="3">
        <v>3.6</v>
      </c>
      <c r="M317" s="3">
        <f t="shared" si="49"/>
        <v>436.50000000000017</v>
      </c>
      <c r="N317" s="3">
        <v>-2.5</v>
      </c>
      <c r="O317" s="3">
        <f t="shared" si="52"/>
        <v>2.0999999999999988</v>
      </c>
      <c r="P317" s="3">
        <v>268</v>
      </c>
      <c r="Q317" s="18">
        <f t="shared" si="43"/>
        <v>0.67857142857142849</v>
      </c>
      <c r="R317" s="10">
        <f t="shared" si="44"/>
        <v>2.4428571428571426</v>
      </c>
      <c r="S317" s="10">
        <f t="shared" si="45"/>
        <v>-1.3428571428571425</v>
      </c>
      <c r="T317" s="10">
        <f t="shared" si="50"/>
        <v>6.111428571428573</v>
      </c>
      <c r="U317" s="18">
        <f>AVERAGE(T306:T332)</f>
        <v>10.807698412698414</v>
      </c>
      <c r="V317" s="3">
        <v>1993.5</v>
      </c>
      <c r="X317" s="3">
        <f t="shared" si="51"/>
        <v>240988.00000000009</v>
      </c>
      <c r="Y317" s="3">
        <f t="shared" si="53"/>
        <v>24068.400000000001</v>
      </c>
      <c r="AA317" s="3">
        <v>15.932093680898401</v>
      </c>
    </row>
    <row r="318" spans="1:27" s="3" customFormat="1" x14ac:dyDescent="0.25">
      <c r="A318" s="55"/>
      <c r="B318" s="7"/>
      <c r="C318" s="30">
        <v>40703</v>
      </c>
      <c r="D318" s="3">
        <v>13.3</v>
      </c>
      <c r="E318" s="3">
        <v>10.5</v>
      </c>
      <c r="F318" s="3">
        <v>16.600000000000001</v>
      </c>
      <c r="G318" s="3">
        <f t="shared" si="46"/>
        <v>2576.8999999999987</v>
      </c>
      <c r="H318" s="3">
        <f t="shared" si="47"/>
        <v>198.1</v>
      </c>
      <c r="I318" s="31" t="s">
        <v>17</v>
      </c>
      <c r="J318" s="3">
        <v>0</v>
      </c>
      <c r="K318" s="3">
        <f t="shared" si="48"/>
        <v>419.09999999999997</v>
      </c>
      <c r="L318" s="3">
        <v>1.4</v>
      </c>
      <c r="M318" s="3">
        <f t="shared" si="49"/>
        <v>437.90000000000015</v>
      </c>
      <c r="N318" s="3">
        <v>-1.4</v>
      </c>
      <c r="O318" s="3">
        <f t="shared" si="52"/>
        <v>0.69999999999999885</v>
      </c>
      <c r="P318" s="3">
        <v>269</v>
      </c>
      <c r="Q318" s="18">
        <f t="shared" si="43"/>
        <v>0.66428571428571426</v>
      </c>
      <c r="R318" s="10">
        <f t="shared" si="44"/>
        <v>0.92999999999999994</v>
      </c>
      <c r="S318" s="10">
        <f t="shared" si="45"/>
        <v>-0.92999999999999994</v>
      </c>
      <c r="T318" s="10">
        <f t="shared" si="50"/>
        <v>5.1814285714285733</v>
      </c>
      <c r="V318" s="3">
        <v>695.8</v>
      </c>
      <c r="X318" s="3">
        <f t="shared" si="51"/>
        <v>241683.80000000008</v>
      </c>
      <c r="Y318" s="3">
        <f t="shared" si="53"/>
        <v>24764.2</v>
      </c>
      <c r="AA318" s="3">
        <v>15.950783751414001</v>
      </c>
    </row>
    <row r="319" spans="1:27" s="3" customFormat="1" x14ac:dyDescent="0.25">
      <c r="A319" s="55"/>
      <c r="B319" s="7"/>
      <c r="C319" s="30">
        <v>40704</v>
      </c>
      <c r="D319" s="3">
        <v>13.2</v>
      </c>
      <c r="E319" s="3">
        <v>9.1999999999999993</v>
      </c>
      <c r="F319" s="3">
        <v>17.2</v>
      </c>
      <c r="G319" s="3">
        <f t="shared" si="46"/>
        <v>2590.0999999999985</v>
      </c>
      <c r="H319" s="3">
        <f t="shared" si="47"/>
        <v>211.29999999999998</v>
      </c>
      <c r="I319" s="3">
        <v>415.3</v>
      </c>
      <c r="J319" s="3">
        <v>0.4</v>
      </c>
      <c r="K319" s="3">
        <f t="shared" si="48"/>
        <v>419.49999999999994</v>
      </c>
      <c r="L319" s="3">
        <v>2.7</v>
      </c>
      <c r="M319" s="3">
        <f t="shared" si="49"/>
        <v>440.60000000000014</v>
      </c>
      <c r="N319" s="3">
        <v>-2.3000000000000003</v>
      </c>
      <c r="O319" s="3">
        <v>0</v>
      </c>
      <c r="P319" s="3">
        <v>270</v>
      </c>
      <c r="Q319" s="18">
        <f t="shared" si="43"/>
        <v>0.64999999999999991</v>
      </c>
      <c r="R319" s="10">
        <f t="shared" si="44"/>
        <v>1.7549999999999999</v>
      </c>
      <c r="S319" s="10">
        <f t="shared" si="45"/>
        <v>-1.355</v>
      </c>
      <c r="T319" s="10">
        <f t="shared" si="50"/>
        <v>3.8264285714285733</v>
      </c>
      <c r="U319" s="10">
        <f>(U317*100)/197.4</f>
        <v>5.4750245251765017</v>
      </c>
      <c r="V319" s="3">
        <v>1407.2</v>
      </c>
      <c r="W319" s="11"/>
      <c r="X319" s="3">
        <f t="shared" si="51"/>
        <v>243091.00000000009</v>
      </c>
      <c r="Y319" s="3">
        <f t="shared" si="53"/>
        <v>26171.4</v>
      </c>
      <c r="AA319" s="3">
        <v>15.968162155951299</v>
      </c>
    </row>
    <row r="320" spans="1:27" s="3" customFormat="1" ht="15" customHeight="1" x14ac:dyDescent="0.25">
      <c r="A320" s="55"/>
      <c r="B320" s="32"/>
      <c r="C320" s="30">
        <v>40705</v>
      </c>
      <c r="D320" s="3">
        <v>12.5</v>
      </c>
      <c r="E320" s="3">
        <v>8.9</v>
      </c>
      <c r="F320" s="3">
        <v>16.600000000000001</v>
      </c>
      <c r="G320" s="3">
        <f t="shared" si="46"/>
        <v>2602.5999999999985</v>
      </c>
      <c r="H320" s="3">
        <f t="shared" si="47"/>
        <v>223.79999999999998</v>
      </c>
      <c r="J320" s="3">
        <v>0.2</v>
      </c>
      <c r="K320" s="3">
        <f t="shared" si="48"/>
        <v>419.69999999999993</v>
      </c>
      <c r="L320" s="3">
        <v>2.2999999999999998</v>
      </c>
      <c r="M320" s="3">
        <f t="shared" si="49"/>
        <v>442.90000000000015</v>
      </c>
      <c r="N320" s="3">
        <v>-2.0999999999999996</v>
      </c>
      <c r="O320" s="3">
        <v>0</v>
      </c>
      <c r="P320" s="3">
        <v>271</v>
      </c>
      <c r="Q320" s="18">
        <f t="shared" si="43"/>
        <v>0.63571428571428568</v>
      </c>
      <c r="R320" s="10">
        <f t="shared" si="44"/>
        <v>1.462142857142857</v>
      </c>
      <c r="S320" s="10">
        <f t="shared" si="45"/>
        <v>-1.262142857142857</v>
      </c>
      <c r="T320" s="10">
        <f t="shared" si="50"/>
        <v>2.5642857142857163</v>
      </c>
      <c r="V320" s="3">
        <v>1197.3</v>
      </c>
      <c r="X320" s="3">
        <f t="shared" si="51"/>
        <v>244288.30000000008</v>
      </c>
      <c r="Y320" s="3">
        <f t="shared" si="53"/>
        <v>27368.7</v>
      </c>
      <c r="AA320" s="3">
        <v>15.984212449150601</v>
      </c>
    </row>
    <row r="321" spans="1:27" s="3" customFormat="1" x14ac:dyDescent="0.25">
      <c r="A321" s="55"/>
      <c r="B321" s="32"/>
      <c r="C321" s="30">
        <v>40706</v>
      </c>
      <c r="D321" s="3">
        <v>13.1</v>
      </c>
      <c r="E321" s="3">
        <v>8.3000000000000007</v>
      </c>
      <c r="F321" s="3">
        <v>16</v>
      </c>
      <c r="G321" s="3">
        <f t="shared" si="46"/>
        <v>2615.6999999999985</v>
      </c>
      <c r="H321" s="3">
        <f t="shared" si="47"/>
        <v>236.89999999999998</v>
      </c>
      <c r="J321" s="3">
        <v>7.8</v>
      </c>
      <c r="K321" s="3">
        <f t="shared" si="48"/>
        <v>427.49999999999994</v>
      </c>
      <c r="L321" s="3">
        <v>0.6</v>
      </c>
      <c r="M321" s="3">
        <f t="shared" si="49"/>
        <v>443.50000000000017</v>
      </c>
      <c r="N321" s="3">
        <v>7.2</v>
      </c>
      <c r="O321" s="3">
        <f t="shared" ref="O321:O334" si="54">O320+N321</f>
        <v>7.2</v>
      </c>
      <c r="P321" s="3">
        <v>272</v>
      </c>
      <c r="Q321" s="18">
        <f t="shared" si="43"/>
        <v>0.62142857142857144</v>
      </c>
      <c r="R321" s="10">
        <f t="shared" si="44"/>
        <v>0.37285714285714283</v>
      </c>
      <c r="S321" s="10">
        <f t="shared" si="45"/>
        <v>7.427142857142857</v>
      </c>
      <c r="T321" s="10">
        <f t="shared" si="50"/>
        <v>9.9914285714285729</v>
      </c>
      <c r="V321" s="3">
        <v>445.1</v>
      </c>
      <c r="X321" s="3">
        <f t="shared" si="51"/>
        <v>244733.40000000008</v>
      </c>
      <c r="Y321" s="3">
        <f t="shared" si="53"/>
        <v>27813.8</v>
      </c>
      <c r="AA321" s="3">
        <v>15.9989193135647</v>
      </c>
    </row>
    <row r="322" spans="1:27" s="3" customFormat="1" x14ac:dyDescent="0.25">
      <c r="A322" s="55"/>
      <c r="B322" s="32"/>
      <c r="C322" s="30">
        <v>40707</v>
      </c>
      <c r="D322" s="3">
        <v>18</v>
      </c>
      <c r="E322" s="3">
        <v>14.3</v>
      </c>
      <c r="F322" s="3">
        <v>20.3</v>
      </c>
      <c r="G322" s="3">
        <f t="shared" si="46"/>
        <v>2633.6999999999985</v>
      </c>
      <c r="H322" s="3">
        <f t="shared" si="47"/>
        <v>254.89999999999998</v>
      </c>
      <c r="J322" s="3">
        <v>1.8</v>
      </c>
      <c r="K322" s="3">
        <f t="shared" si="48"/>
        <v>429.29999999999995</v>
      </c>
      <c r="L322" s="3">
        <v>1.2</v>
      </c>
      <c r="M322" s="3">
        <f t="shared" si="49"/>
        <v>444.70000000000016</v>
      </c>
      <c r="N322" s="3">
        <v>0.60000000000000009</v>
      </c>
      <c r="O322" s="3">
        <f t="shared" si="54"/>
        <v>7.8000000000000007</v>
      </c>
      <c r="P322" s="3">
        <v>273</v>
      </c>
      <c r="Q322" s="18">
        <f t="shared" si="43"/>
        <v>0.6071428571428571</v>
      </c>
      <c r="R322" s="10">
        <f t="shared" si="44"/>
        <v>0.72857142857142854</v>
      </c>
      <c r="S322" s="10">
        <f t="shared" si="45"/>
        <v>1.0714285714285716</v>
      </c>
      <c r="T322" s="10">
        <f t="shared" si="50"/>
        <v>11.062857142857144</v>
      </c>
      <c r="V322" s="3">
        <v>757.8</v>
      </c>
      <c r="X322" s="3">
        <f t="shared" si="51"/>
        <v>245491.20000000007</v>
      </c>
      <c r="Y322" s="3">
        <f t="shared" si="53"/>
        <v>28571.599999999999</v>
      </c>
      <c r="AA322" s="3">
        <v>16.012268614500002</v>
      </c>
    </row>
    <row r="323" spans="1:27" s="3" customFormat="1" x14ac:dyDescent="0.25">
      <c r="A323" s="55"/>
      <c r="B323" s="32"/>
      <c r="C323" s="30">
        <v>40708</v>
      </c>
      <c r="D323" s="3">
        <v>18.899999999999999</v>
      </c>
      <c r="E323" s="3">
        <v>16.3</v>
      </c>
      <c r="F323" s="3">
        <v>21.7</v>
      </c>
      <c r="G323" s="3">
        <f t="shared" si="46"/>
        <v>2652.5999999999985</v>
      </c>
      <c r="H323" s="3">
        <f t="shared" si="47"/>
        <v>273.79999999999995</v>
      </c>
      <c r="J323" s="3">
        <v>1.1000000000000001</v>
      </c>
      <c r="K323" s="3">
        <f t="shared" si="48"/>
        <v>430.4</v>
      </c>
      <c r="L323" s="3">
        <v>2.2999999999999998</v>
      </c>
      <c r="M323" s="3">
        <f t="shared" si="49"/>
        <v>447.00000000000017</v>
      </c>
      <c r="N323" s="3">
        <v>-1.1999999999999997</v>
      </c>
      <c r="O323" s="3">
        <f t="shared" si="54"/>
        <v>6.6000000000000014</v>
      </c>
      <c r="P323" s="3">
        <v>274</v>
      </c>
      <c r="Q323" s="18">
        <f t="shared" si="43"/>
        <v>0.59285714285714286</v>
      </c>
      <c r="R323" s="10">
        <f t="shared" si="44"/>
        <v>1.3635714285714284</v>
      </c>
      <c r="S323" s="10">
        <f t="shared" si="45"/>
        <v>-0.26357142857142835</v>
      </c>
      <c r="T323" s="10">
        <f t="shared" si="50"/>
        <v>10.799285714285716</v>
      </c>
      <c r="V323" s="3">
        <v>1198.0999999999999</v>
      </c>
      <c r="X323" s="3">
        <f t="shared" si="51"/>
        <v>246689.30000000008</v>
      </c>
      <c r="Y323" s="3">
        <f t="shared" si="53"/>
        <v>29769.699999999997</v>
      </c>
      <c r="AA323" s="3">
        <v>16.024247451408399</v>
      </c>
    </row>
    <row r="324" spans="1:27" s="3" customFormat="1" x14ac:dyDescent="0.25">
      <c r="A324" s="55"/>
      <c r="B324" s="32"/>
      <c r="C324" s="30">
        <v>40709</v>
      </c>
      <c r="D324" s="3">
        <v>17.2</v>
      </c>
      <c r="E324" s="3">
        <v>15.8</v>
      </c>
      <c r="F324" s="3">
        <v>19.399999999999999</v>
      </c>
      <c r="G324" s="3">
        <f t="shared" si="46"/>
        <v>2669.7999999999984</v>
      </c>
      <c r="H324" s="3">
        <f t="shared" si="47"/>
        <v>290.99999999999994</v>
      </c>
      <c r="J324" s="3">
        <v>2.5</v>
      </c>
      <c r="K324" s="3">
        <f t="shared" si="48"/>
        <v>432.9</v>
      </c>
      <c r="L324" s="3">
        <v>1.8</v>
      </c>
      <c r="M324" s="3">
        <f t="shared" si="49"/>
        <v>448.80000000000018</v>
      </c>
      <c r="N324" s="3">
        <v>0.7</v>
      </c>
      <c r="O324" s="3">
        <f t="shared" si="54"/>
        <v>7.3000000000000016</v>
      </c>
      <c r="P324" s="3">
        <v>275</v>
      </c>
      <c r="Q324" s="18">
        <f t="shared" si="43"/>
        <v>0.57857142857142851</v>
      </c>
      <c r="R324" s="10">
        <f t="shared" si="44"/>
        <v>1.0414285714285714</v>
      </c>
      <c r="S324" s="10">
        <f t="shared" si="45"/>
        <v>1.4585714285714286</v>
      </c>
      <c r="T324" s="10">
        <f t="shared" si="50"/>
        <v>12.257857142857144</v>
      </c>
      <c r="V324" s="3">
        <v>836.4</v>
      </c>
      <c r="X324" s="3">
        <f t="shared" si="51"/>
        <v>247525.70000000007</v>
      </c>
      <c r="Y324" s="3">
        <f t="shared" si="53"/>
        <v>30606.1</v>
      </c>
      <c r="AA324" s="3">
        <v>16.034844205448401</v>
      </c>
    </row>
    <row r="325" spans="1:27" s="3" customFormat="1" x14ac:dyDescent="0.25">
      <c r="A325" s="55"/>
      <c r="B325" s="32"/>
      <c r="C325" s="30">
        <v>40710</v>
      </c>
      <c r="D325" s="3">
        <v>15.7</v>
      </c>
      <c r="E325" s="3">
        <v>12.8</v>
      </c>
      <c r="F325" s="3">
        <v>17.7</v>
      </c>
      <c r="G325" s="3">
        <f t="shared" si="46"/>
        <v>2685.4999999999982</v>
      </c>
      <c r="H325" s="3">
        <f t="shared" si="47"/>
        <v>306.69999999999993</v>
      </c>
      <c r="J325" s="3">
        <v>0.7</v>
      </c>
      <c r="K325" s="3">
        <f t="shared" si="48"/>
        <v>433.59999999999997</v>
      </c>
      <c r="L325" s="3">
        <v>3.4</v>
      </c>
      <c r="M325" s="3">
        <f t="shared" si="49"/>
        <v>452.20000000000016</v>
      </c>
      <c r="N325" s="3">
        <v>-2.7</v>
      </c>
      <c r="O325" s="3">
        <f t="shared" si="54"/>
        <v>4.6000000000000014</v>
      </c>
      <c r="P325" s="3">
        <v>276</v>
      </c>
      <c r="Q325" s="18">
        <f t="shared" si="43"/>
        <v>0.56428571428571428</v>
      </c>
      <c r="R325" s="10">
        <f t="shared" si="44"/>
        <v>1.9185714285714286</v>
      </c>
      <c r="S325" s="10">
        <f t="shared" si="45"/>
        <v>-1.2185714285714286</v>
      </c>
      <c r="T325" s="10">
        <f t="shared" si="50"/>
        <v>11.039285714285716</v>
      </c>
      <c r="V325" s="3">
        <v>1976.1</v>
      </c>
      <c r="X325" s="3">
        <f t="shared" si="51"/>
        <v>249501.80000000008</v>
      </c>
      <c r="Y325" s="3">
        <f t="shared" si="53"/>
        <v>32582.199999999997</v>
      </c>
      <c r="AA325" s="3">
        <v>16.0440485828574</v>
      </c>
    </row>
    <row r="326" spans="1:27" s="3" customFormat="1" x14ac:dyDescent="0.25">
      <c r="A326" s="55"/>
      <c r="B326" s="32"/>
      <c r="C326" s="30">
        <v>40711</v>
      </c>
      <c r="D326" s="3">
        <v>14.2</v>
      </c>
      <c r="E326" s="3">
        <v>13.1</v>
      </c>
      <c r="F326" s="3">
        <v>15.9</v>
      </c>
      <c r="G326" s="3">
        <f t="shared" si="46"/>
        <v>2699.699999999998</v>
      </c>
      <c r="H326" s="3">
        <f t="shared" si="47"/>
        <v>320.89999999999992</v>
      </c>
      <c r="J326" s="3">
        <v>15.3</v>
      </c>
      <c r="K326" s="3">
        <f t="shared" si="48"/>
        <v>448.9</v>
      </c>
      <c r="L326" s="3">
        <v>1.5</v>
      </c>
      <c r="M326" s="3">
        <f t="shared" si="49"/>
        <v>453.70000000000016</v>
      </c>
      <c r="N326" s="3">
        <v>13.8</v>
      </c>
      <c r="O326" s="3">
        <f t="shared" si="54"/>
        <v>18.400000000000002</v>
      </c>
      <c r="P326" s="3">
        <v>277</v>
      </c>
      <c r="Q326" s="18">
        <f t="shared" si="43"/>
        <v>0.54999999999999993</v>
      </c>
      <c r="R326" s="10">
        <f t="shared" si="44"/>
        <v>0.82499999999999996</v>
      </c>
      <c r="S326" s="10">
        <f t="shared" si="45"/>
        <v>14.475000000000001</v>
      </c>
      <c r="T326" s="10">
        <f t="shared" si="50"/>
        <v>25.51428571428572</v>
      </c>
      <c r="V326" s="3">
        <v>561.5</v>
      </c>
      <c r="X326" s="3">
        <f t="shared" si="51"/>
        <v>250063.30000000008</v>
      </c>
      <c r="Y326" s="3">
        <f t="shared" si="53"/>
        <v>33143.699999999997</v>
      </c>
      <c r="AA326" s="3">
        <v>16.051851653800099</v>
      </c>
    </row>
    <row r="327" spans="1:27" s="3" customFormat="1" x14ac:dyDescent="0.25">
      <c r="A327" s="55"/>
      <c r="B327" s="32"/>
      <c r="C327" s="30">
        <v>40712</v>
      </c>
      <c r="D327" s="3">
        <v>14.1</v>
      </c>
      <c r="E327" s="3">
        <v>11.6</v>
      </c>
      <c r="F327" s="3">
        <v>16.600000000000001</v>
      </c>
      <c r="G327" s="3">
        <f t="shared" si="46"/>
        <v>2713.7999999999979</v>
      </c>
      <c r="H327" s="3">
        <f t="shared" si="47"/>
        <v>334.99999999999994</v>
      </c>
      <c r="J327" s="3">
        <v>3.8</v>
      </c>
      <c r="K327" s="3">
        <f t="shared" si="48"/>
        <v>452.7</v>
      </c>
      <c r="L327" s="3">
        <v>2.1</v>
      </c>
      <c r="M327" s="3">
        <f t="shared" si="49"/>
        <v>455.80000000000018</v>
      </c>
      <c r="N327" s="3">
        <v>1.6999999999999997</v>
      </c>
      <c r="O327" s="3">
        <f t="shared" si="54"/>
        <v>20.100000000000001</v>
      </c>
      <c r="P327" s="3">
        <v>278</v>
      </c>
      <c r="Q327" s="18">
        <f t="shared" si="43"/>
        <v>0.53571428571428559</v>
      </c>
      <c r="R327" s="10">
        <f t="shared" si="44"/>
        <v>1.1249999999999998</v>
      </c>
      <c r="S327" s="10">
        <f t="shared" si="45"/>
        <v>2.6749999999999998</v>
      </c>
      <c r="T327" s="10">
        <f t="shared" si="50"/>
        <v>28.18928571428572</v>
      </c>
      <c r="V327" s="3">
        <v>1147.9000000000001</v>
      </c>
      <c r="X327" s="3">
        <f t="shared" si="51"/>
        <v>251211.20000000007</v>
      </c>
      <c r="Y327" s="3">
        <f t="shared" si="53"/>
        <v>34291.599999999999</v>
      </c>
      <c r="AA327" s="3">
        <v>16.0582458863922</v>
      </c>
    </row>
    <row r="328" spans="1:27" s="3" customFormat="1" x14ac:dyDescent="0.25">
      <c r="A328" s="55"/>
      <c r="B328" s="32"/>
      <c r="C328" s="30">
        <v>40713</v>
      </c>
      <c r="D328" s="3">
        <v>14.4</v>
      </c>
      <c r="E328" s="3">
        <v>11.2</v>
      </c>
      <c r="F328" s="3">
        <v>16.600000000000001</v>
      </c>
      <c r="G328" s="3">
        <f t="shared" si="46"/>
        <v>2728.199999999998</v>
      </c>
      <c r="H328" s="3">
        <f t="shared" si="47"/>
        <v>349.39999999999992</v>
      </c>
      <c r="J328" s="3">
        <v>0.8</v>
      </c>
      <c r="K328" s="3">
        <f t="shared" si="48"/>
        <v>453.5</v>
      </c>
      <c r="L328" s="3">
        <v>2.4</v>
      </c>
      <c r="M328" s="3">
        <f t="shared" si="49"/>
        <v>458.20000000000016</v>
      </c>
      <c r="N328" s="3">
        <v>-1.5999999999999999</v>
      </c>
      <c r="O328" s="3">
        <f t="shared" si="54"/>
        <v>18.5</v>
      </c>
      <c r="P328" s="3">
        <v>279</v>
      </c>
      <c r="Q328" s="18">
        <f t="shared" si="43"/>
        <v>0.52142857142857135</v>
      </c>
      <c r="R328" s="10">
        <f t="shared" si="44"/>
        <v>1.2514285714285711</v>
      </c>
      <c r="S328" s="10">
        <f t="shared" si="45"/>
        <v>-0.45142857142857107</v>
      </c>
      <c r="T328" s="10">
        <f t="shared" si="50"/>
        <v>27.737857142857148</v>
      </c>
      <c r="V328" s="3">
        <v>1611.7</v>
      </c>
      <c r="X328" s="3">
        <f t="shared" si="51"/>
        <v>252822.90000000008</v>
      </c>
      <c r="Y328" s="3">
        <f t="shared" si="53"/>
        <v>35903.299999999996</v>
      </c>
      <c r="AA328" s="3">
        <v>16.063225175626499</v>
      </c>
    </row>
    <row r="329" spans="1:27" s="3" customFormat="1" x14ac:dyDescent="0.25">
      <c r="A329" s="55"/>
      <c r="B329" s="32"/>
      <c r="C329" s="30">
        <v>40714</v>
      </c>
      <c r="D329" s="3">
        <v>17</v>
      </c>
      <c r="E329" s="3">
        <v>15</v>
      </c>
      <c r="F329" s="3">
        <v>18.8</v>
      </c>
      <c r="G329" s="3">
        <f t="shared" si="46"/>
        <v>2745.199999999998</v>
      </c>
      <c r="H329" s="3">
        <f t="shared" si="47"/>
        <v>366.39999999999992</v>
      </c>
      <c r="J329" s="3">
        <v>1.1000000000000001</v>
      </c>
      <c r="K329" s="3">
        <f t="shared" si="48"/>
        <v>454.6</v>
      </c>
      <c r="L329" s="3">
        <v>1</v>
      </c>
      <c r="M329" s="3">
        <f t="shared" si="49"/>
        <v>459.20000000000016</v>
      </c>
      <c r="N329" s="3">
        <v>0.10000000000000009</v>
      </c>
      <c r="O329" s="3">
        <f t="shared" si="54"/>
        <v>18.600000000000001</v>
      </c>
      <c r="P329" s="3">
        <v>280</v>
      </c>
      <c r="Q329" s="18">
        <f t="shared" si="43"/>
        <v>0.50714285714285712</v>
      </c>
      <c r="R329" s="10">
        <f t="shared" si="44"/>
        <v>0.50714285714285712</v>
      </c>
      <c r="S329" s="10">
        <f t="shared" si="45"/>
        <v>0.59285714285714297</v>
      </c>
      <c r="T329" s="10">
        <f t="shared" si="50"/>
        <v>28.33071428571429</v>
      </c>
      <c r="V329" s="3">
        <v>487.9</v>
      </c>
      <c r="X329" s="3">
        <f t="shared" si="51"/>
        <v>253310.80000000008</v>
      </c>
      <c r="Y329" s="3">
        <f t="shared" si="53"/>
        <v>36391.199999999997</v>
      </c>
      <c r="AA329" s="3">
        <v>16.066784866973201</v>
      </c>
    </row>
    <row r="330" spans="1:27" s="3" customFormat="1" x14ac:dyDescent="0.25">
      <c r="A330" s="55"/>
      <c r="B330" s="32"/>
      <c r="C330" s="30">
        <v>40715</v>
      </c>
      <c r="D330" s="3">
        <v>17.8</v>
      </c>
      <c r="E330" s="3">
        <v>15.9</v>
      </c>
      <c r="F330" s="3">
        <v>21.2</v>
      </c>
      <c r="G330" s="3">
        <f t="shared" si="46"/>
        <v>2762.9999999999982</v>
      </c>
      <c r="H330" s="3">
        <f t="shared" si="47"/>
        <v>384.19999999999993</v>
      </c>
      <c r="J330" s="3">
        <v>0.5</v>
      </c>
      <c r="K330" s="3">
        <f t="shared" si="48"/>
        <v>455.1</v>
      </c>
      <c r="L330" s="3">
        <v>3.8</v>
      </c>
      <c r="M330" s="3">
        <f t="shared" si="49"/>
        <v>463.00000000000017</v>
      </c>
      <c r="N330" s="3">
        <v>-3.3</v>
      </c>
      <c r="O330" s="3">
        <f t="shared" si="54"/>
        <v>15.3</v>
      </c>
      <c r="P330" s="3">
        <v>281</v>
      </c>
      <c r="Q330" s="18">
        <f t="shared" si="43"/>
        <v>0.49285714285714288</v>
      </c>
      <c r="R330" s="10">
        <f t="shared" si="44"/>
        <v>1.8728571428571428</v>
      </c>
      <c r="S330" s="10">
        <f t="shared" si="45"/>
        <v>-1.3728571428571428</v>
      </c>
      <c r="T330" s="10">
        <f t="shared" si="50"/>
        <v>26.957857142857147</v>
      </c>
      <c r="V330" s="3">
        <v>1999.4</v>
      </c>
      <c r="X330" s="3">
        <f t="shared" si="51"/>
        <v>255310.20000000007</v>
      </c>
      <c r="Y330" s="3">
        <f t="shared" si="53"/>
        <v>38390.6</v>
      </c>
      <c r="AA330" s="3">
        <v>16.068921774459099</v>
      </c>
    </row>
    <row r="331" spans="1:27" s="3" customFormat="1" x14ac:dyDescent="0.25">
      <c r="A331" s="55"/>
      <c r="B331" s="32"/>
      <c r="C331" s="30">
        <v>40716</v>
      </c>
      <c r="D331" s="3">
        <v>15.7</v>
      </c>
      <c r="E331" s="3">
        <v>13.5</v>
      </c>
      <c r="F331" s="3">
        <v>19.600000000000001</v>
      </c>
      <c r="G331" s="3">
        <f t="shared" si="46"/>
        <v>2778.699999999998</v>
      </c>
      <c r="H331" s="3">
        <f t="shared" si="47"/>
        <v>399.89999999999992</v>
      </c>
      <c r="J331" s="3">
        <v>1.3</v>
      </c>
      <c r="K331" s="3">
        <f t="shared" si="48"/>
        <v>456.40000000000003</v>
      </c>
      <c r="L331" s="3">
        <v>3.2</v>
      </c>
      <c r="M331" s="3">
        <f t="shared" si="49"/>
        <v>466.20000000000016</v>
      </c>
      <c r="N331" s="3">
        <v>-1.9000000000000001</v>
      </c>
      <c r="O331" s="3">
        <f t="shared" si="54"/>
        <v>13.4</v>
      </c>
      <c r="P331" s="3">
        <v>282</v>
      </c>
      <c r="Q331" s="18">
        <f t="shared" si="43"/>
        <v>0.47857142857142854</v>
      </c>
      <c r="R331" s="10">
        <f t="shared" si="44"/>
        <v>1.5314285714285714</v>
      </c>
      <c r="S331" s="10">
        <f t="shared" si="45"/>
        <v>-0.23142857142857132</v>
      </c>
      <c r="T331" s="10">
        <f t="shared" si="50"/>
        <v>26.726428571428578</v>
      </c>
      <c r="V331" s="3">
        <v>1569.3</v>
      </c>
      <c r="X331" s="3">
        <f t="shared" si="51"/>
        <v>256879.50000000006</v>
      </c>
      <c r="Y331" s="3">
        <f t="shared" si="53"/>
        <v>39959.9</v>
      </c>
      <c r="AA331" s="3">
        <v>16.069634193082901</v>
      </c>
    </row>
    <row r="332" spans="1:27" s="39" customFormat="1" ht="15.75" thickBot="1" x14ac:dyDescent="0.3">
      <c r="A332" s="55"/>
      <c r="B332" s="53">
        <v>1000</v>
      </c>
      <c r="C332" s="54">
        <v>40717</v>
      </c>
      <c r="D332" s="39">
        <v>15.4</v>
      </c>
      <c r="E332" s="39">
        <v>11.8</v>
      </c>
      <c r="F332" s="39">
        <v>19.600000000000001</v>
      </c>
      <c r="G332" s="39">
        <f t="shared" si="46"/>
        <v>2794.0999999999981</v>
      </c>
      <c r="H332" s="39">
        <f t="shared" si="47"/>
        <v>415.2999999999999</v>
      </c>
      <c r="J332" s="39">
        <v>0</v>
      </c>
      <c r="K332" s="39">
        <f t="shared" si="48"/>
        <v>456.40000000000003</v>
      </c>
      <c r="L332" s="39">
        <v>3.4</v>
      </c>
      <c r="M332" s="39">
        <f t="shared" si="49"/>
        <v>469.60000000000014</v>
      </c>
      <c r="N332" s="39">
        <v>-3.4</v>
      </c>
      <c r="O332" s="39">
        <f t="shared" si="54"/>
        <v>10</v>
      </c>
      <c r="P332" s="39">
        <v>283</v>
      </c>
      <c r="Q332" s="40">
        <f t="shared" si="43"/>
        <v>0.4642857142857143</v>
      </c>
      <c r="R332" s="41">
        <f t="shared" si="44"/>
        <v>1.5785714285714285</v>
      </c>
      <c r="S332" s="41">
        <f t="shared" si="45"/>
        <v>-1.5785714285714285</v>
      </c>
      <c r="T332" s="42">
        <f t="shared" si="50"/>
        <v>25.147857142857148</v>
      </c>
      <c r="V332" s="39">
        <v>1626.2</v>
      </c>
      <c r="X332" s="39">
        <f t="shared" si="51"/>
        <v>258505.70000000007</v>
      </c>
      <c r="Y332" s="43">
        <f t="shared" si="53"/>
        <v>41586.1</v>
      </c>
      <c r="AA332" s="43">
        <v>16.068921905460201</v>
      </c>
    </row>
    <row r="333" spans="1:27" s="3" customFormat="1" x14ac:dyDescent="0.25">
      <c r="A333" s="33"/>
      <c r="B333" s="32"/>
      <c r="C333" s="5">
        <v>40718</v>
      </c>
      <c r="D333" s="3">
        <v>15.3</v>
      </c>
      <c r="E333" s="3">
        <v>10.7</v>
      </c>
      <c r="F333" s="3">
        <v>19.8</v>
      </c>
      <c r="G333" s="3">
        <f t="shared" si="46"/>
        <v>2809.3999999999983</v>
      </c>
      <c r="H333" s="3">
        <v>15.3</v>
      </c>
      <c r="J333" s="3">
        <v>0</v>
      </c>
      <c r="K333" s="3">
        <f t="shared" si="48"/>
        <v>456.40000000000003</v>
      </c>
      <c r="L333" s="3">
        <v>2.7</v>
      </c>
      <c r="M333" s="3">
        <f t="shared" si="49"/>
        <v>472.30000000000013</v>
      </c>
      <c r="N333" s="3">
        <v>-2.7</v>
      </c>
      <c r="O333" s="3">
        <f t="shared" si="54"/>
        <v>7.3</v>
      </c>
      <c r="P333" s="3">
        <v>284</v>
      </c>
      <c r="Q333" s="18">
        <f t="shared" si="43"/>
        <v>0.44999999999999996</v>
      </c>
      <c r="R333" s="10">
        <f t="shared" si="44"/>
        <v>1.2149999999999999</v>
      </c>
      <c r="S333" s="10">
        <f t="shared" si="45"/>
        <v>-1.2149999999999999</v>
      </c>
      <c r="T333" s="10">
        <f t="shared" si="50"/>
        <v>23.932857142857149</v>
      </c>
      <c r="V333" s="3">
        <v>1260.0999999999999</v>
      </c>
      <c r="X333" s="3">
        <f t="shared" si="51"/>
        <v>259765.80000000008</v>
      </c>
      <c r="Y333" s="3">
        <v>1260.0999999999999</v>
      </c>
      <c r="AA333" s="3">
        <v>16.0667861826471</v>
      </c>
    </row>
    <row r="334" spans="1:27" s="3" customFormat="1" x14ac:dyDescent="0.25">
      <c r="A334" s="33"/>
      <c r="B334" s="32"/>
      <c r="C334" s="5">
        <v>40719</v>
      </c>
      <c r="D334" s="3">
        <v>20.399999999999999</v>
      </c>
      <c r="E334" s="3">
        <v>12.7</v>
      </c>
      <c r="F334" s="3">
        <v>27.2</v>
      </c>
      <c r="G334" s="3">
        <f t="shared" si="46"/>
        <v>2829.7999999999984</v>
      </c>
      <c r="H334" s="3">
        <f t="shared" si="47"/>
        <v>35.700000000000003</v>
      </c>
      <c r="J334" s="3">
        <v>0</v>
      </c>
      <c r="K334" s="3">
        <f t="shared" si="48"/>
        <v>456.40000000000003</v>
      </c>
      <c r="L334" s="3">
        <v>2.9</v>
      </c>
      <c r="M334" s="3">
        <f t="shared" si="49"/>
        <v>475.2000000000001</v>
      </c>
      <c r="N334" s="3">
        <v>-2.9</v>
      </c>
      <c r="O334" s="3">
        <f t="shared" si="54"/>
        <v>4.4000000000000004</v>
      </c>
      <c r="P334" s="3">
        <v>285</v>
      </c>
      <c r="Q334" s="18">
        <f t="shared" si="43"/>
        <v>0.43571428571428561</v>
      </c>
      <c r="R334" s="10">
        <f t="shared" si="44"/>
        <v>1.2635714285714281</v>
      </c>
      <c r="S334" s="10">
        <f t="shared" si="45"/>
        <v>-1.2635714285714281</v>
      </c>
      <c r="T334" s="10">
        <f t="shared" si="50"/>
        <v>22.669285714285721</v>
      </c>
      <c r="V334" s="3">
        <v>1237.2</v>
      </c>
      <c r="X334" s="3">
        <f t="shared" si="51"/>
        <v>261003.00000000009</v>
      </c>
      <c r="Y334" s="3">
        <f t="shared" si="53"/>
        <v>2497.3000000000002</v>
      </c>
      <c r="AA334" s="3">
        <v>16.063229779132801</v>
      </c>
    </row>
    <row r="335" spans="1:27" s="3" customFormat="1" x14ac:dyDescent="0.25">
      <c r="A335" s="33"/>
      <c r="B335" s="32"/>
      <c r="C335" s="5">
        <v>40720</v>
      </c>
      <c r="D335" s="3">
        <v>25.6</v>
      </c>
      <c r="E335" s="3">
        <v>16.7</v>
      </c>
      <c r="F335" s="3">
        <v>33.200000000000003</v>
      </c>
      <c r="G335" s="3">
        <f t="shared" si="46"/>
        <v>2855.3999999999983</v>
      </c>
      <c r="H335" s="3">
        <f t="shared" si="47"/>
        <v>61.300000000000004</v>
      </c>
      <c r="J335" s="3">
        <v>0</v>
      </c>
      <c r="K335" s="3">
        <f t="shared" si="48"/>
        <v>456.40000000000003</v>
      </c>
      <c r="L335" s="3">
        <v>7.6</v>
      </c>
      <c r="M335" s="3">
        <f t="shared" si="49"/>
        <v>482.80000000000013</v>
      </c>
      <c r="N335" s="3">
        <v>-7.6</v>
      </c>
      <c r="O335" s="3">
        <v>0</v>
      </c>
      <c r="P335" s="3">
        <v>286</v>
      </c>
      <c r="Q335" s="18">
        <f t="shared" si="43"/>
        <v>0.42142857142857137</v>
      </c>
      <c r="R335" s="10">
        <f t="shared" si="44"/>
        <v>3.2028571428571424</v>
      </c>
      <c r="S335" s="10">
        <f t="shared" si="45"/>
        <v>-3.2028571428571424</v>
      </c>
      <c r="T335" s="10">
        <f t="shared" si="50"/>
        <v>19.46642857142858</v>
      </c>
      <c r="V335" s="3">
        <v>3172.3</v>
      </c>
      <c r="X335" s="3">
        <f t="shared" si="51"/>
        <v>264175.3000000001</v>
      </c>
      <c r="Y335" s="3">
        <f t="shared" si="53"/>
        <v>5669.6</v>
      </c>
      <c r="AA335" s="3">
        <v>16.058256922043999</v>
      </c>
    </row>
    <row r="336" spans="1:27" s="3" customFormat="1" x14ac:dyDescent="0.25">
      <c r="A336" s="33"/>
      <c r="B336" s="32"/>
      <c r="C336" s="5">
        <v>40721</v>
      </c>
      <c r="D336" s="3">
        <v>25.3</v>
      </c>
      <c r="E336" s="3">
        <v>19.7</v>
      </c>
      <c r="F336" s="3">
        <v>31.9</v>
      </c>
      <c r="G336" s="3">
        <f t="shared" si="46"/>
        <v>2880.6999999999985</v>
      </c>
      <c r="H336" s="3">
        <f t="shared" si="47"/>
        <v>86.600000000000009</v>
      </c>
      <c r="J336" s="3">
        <v>0.3</v>
      </c>
      <c r="K336" s="3">
        <f t="shared" si="48"/>
        <v>456.70000000000005</v>
      </c>
      <c r="L336" s="3">
        <v>5.6</v>
      </c>
      <c r="M336" s="3">
        <f t="shared" si="49"/>
        <v>488.40000000000015</v>
      </c>
      <c r="N336" s="3">
        <v>-5.3</v>
      </c>
      <c r="O336" s="3">
        <v>0</v>
      </c>
      <c r="P336" s="3">
        <v>287</v>
      </c>
      <c r="Q336" s="18">
        <f t="shared" si="43"/>
        <v>0.40714285714285714</v>
      </c>
      <c r="R336" s="10">
        <f t="shared" si="44"/>
        <v>2.2799999999999998</v>
      </c>
      <c r="S336" s="10">
        <f t="shared" si="45"/>
        <v>-1.9799999999999998</v>
      </c>
      <c r="T336" s="10">
        <f t="shared" si="50"/>
        <v>17.486428571428579</v>
      </c>
      <c r="V336" s="3">
        <v>2432.6</v>
      </c>
      <c r="X336" s="3">
        <f t="shared" si="51"/>
        <v>266607.90000000008</v>
      </c>
      <c r="Y336" s="3">
        <f t="shared" si="53"/>
        <v>8102.2000000000007</v>
      </c>
      <c r="AA336" s="3">
        <v>16.051873294648299</v>
      </c>
    </row>
    <row r="337" spans="1:27" s="3" customFormat="1" x14ac:dyDescent="0.25">
      <c r="A337" s="33"/>
      <c r="B337" s="32"/>
      <c r="C337" s="5">
        <v>40722</v>
      </c>
      <c r="D337" s="3">
        <v>16.3</v>
      </c>
      <c r="E337" s="3">
        <v>15.9</v>
      </c>
      <c r="F337" s="3">
        <v>18.399999999999999</v>
      </c>
      <c r="G337" s="3">
        <f t="shared" si="46"/>
        <v>2896.9999999999986</v>
      </c>
      <c r="H337" s="3">
        <f t="shared" si="47"/>
        <v>102.9</v>
      </c>
      <c r="J337" s="3">
        <v>0</v>
      </c>
      <c r="K337" s="3">
        <f t="shared" si="48"/>
        <v>456.70000000000005</v>
      </c>
      <c r="L337" s="3">
        <v>1.9</v>
      </c>
      <c r="M337" s="3">
        <f t="shared" si="49"/>
        <v>490.30000000000013</v>
      </c>
      <c r="N337" s="3">
        <v>-1.9</v>
      </c>
      <c r="O337" s="3">
        <v>0</v>
      </c>
      <c r="P337" s="3">
        <v>288</v>
      </c>
      <c r="Q337" s="18">
        <f t="shared" si="43"/>
        <v>0.3928571428571429</v>
      </c>
      <c r="R337" s="10">
        <f t="shared" si="44"/>
        <v>0.74642857142857144</v>
      </c>
      <c r="S337" s="10">
        <f t="shared" si="45"/>
        <v>-0.74642857142857144</v>
      </c>
      <c r="T337" s="10">
        <f t="shared" si="50"/>
        <v>16.740000000000009</v>
      </c>
      <c r="V337" s="3">
        <v>777.2</v>
      </c>
      <c r="X337" s="3">
        <f t="shared" si="51"/>
        <v>267385.10000000009</v>
      </c>
      <c r="Y337" s="3">
        <f t="shared" si="53"/>
        <v>8879.4000000000015</v>
      </c>
      <c r="AA337" s="3">
        <v>16.044086014292098</v>
      </c>
    </row>
    <row r="338" spans="1:27" s="3" customFormat="1" x14ac:dyDescent="0.25">
      <c r="A338" s="33"/>
      <c r="B338" s="32"/>
      <c r="C338" s="5">
        <v>40723</v>
      </c>
      <c r="D338" s="3">
        <v>14.3</v>
      </c>
      <c r="E338" s="3">
        <v>10.9</v>
      </c>
      <c r="F338" s="3">
        <v>19.3</v>
      </c>
      <c r="G338" s="3">
        <f t="shared" si="46"/>
        <v>2911.2999999999988</v>
      </c>
      <c r="H338" s="3">
        <f t="shared" si="47"/>
        <v>117.2</v>
      </c>
      <c r="J338" s="3">
        <v>0</v>
      </c>
      <c r="K338" s="3">
        <f t="shared" si="48"/>
        <v>456.70000000000005</v>
      </c>
      <c r="L338" s="3">
        <v>4.0999999999999996</v>
      </c>
      <c r="M338" s="3">
        <f t="shared" si="49"/>
        <v>494.40000000000015</v>
      </c>
      <c r="N338" s="3">
        <v>-4.0999999999999996</v>
      </c>
      <c r="O338" s="3">
        <v>0</v>
      </c>
      <c r="P338" s="3">
        <v>289</v>
      </c>
      <c r="Q338" s="18">
        <f t="shared" si="43"/>
        <v>0.37857142857142856</v>
      </c>
      <c r="R338" s="10">
        <f t="shared" si="44"/>
        <v>1.552142857142857</v>
      </c>
      <c r="S338" s="10">
        <f t="shared" si="45"/>
        <v>-1.552142857142857</v>
      </c>
      <c r="T338" s="10">
        <f t="shared" si="50"/>
        <v>15.187857142857151</v>
      </c>
      <c r="V338" s="3">
        <v>2019.9</v>
      </c>
      <c r="X338" s="3">
        <f t="shared" si="51"/>
        <v>269405.00000000012</v>
      </c>
      <c r="Y338" s="3">
        <f t="shared" si="53"/>
        <v>10899.300000000001</v>
      </c>
      <c r="AA338" s="3">
        <v>16.034903604951001</v>
      </c>
    </row>
    <row r="339" spans="1:27" s="3" customFormat="1" x14ac:dyDescent="0.25">
      <c r="A339" s="33"/>
      <c r="B339" s="32"/>
      <c r="C339" s="5">
        <v>40724</v>
      </c>
      <c r="D339" s="3">
        <v>14.4</v>
      </c>
      <c r="E339" s="3">
        <v>8.6</v>
      </c>
      <c r="F339" s="3">
        <v>19.3</v>
      </c>
      <c r="G339" s="3">
        <f t="shared" si="46"/>
        <v>2925.6999999999989</v>
      </c>
      <c r="H339" s="3">
        <f t="shared" si="47"/>
        <v>131.6</v>
      </c>
      <c r="J339" s="3">
        <v>0</v>
      </c>
      <c r="K339" s="3">
        <f t="shared" si="48"/>
        <v>456.70000000000005</v>
      </c>
      <c r="L339" s="3">
        <v>4.5</v>
      </c>
      <c r="M339" s="3">
        <f t="shared" si="49"/>
        <v>498.90000000000015</v>
      </c>
      <c r="N339" s="3">
        <v>-4.5</v>
      </c>
      <c r="O339" s="3">
        <v>0</v>
      </c>
      <c r="P339" s="3">
        <v>290</v>
      </c>
      <c r="Q339" s="18">
        <f t="shared" si="43"/>
        <v>0.36428571428571432</v>
      </c>
      <c r="R339" s="10">
        <f t="shared" si="44"/>
        <v>1.6392857142857145</v>
      </c>
      <c r="S339" s="10">
        <f t="shared" si="45"/>
        <v>-1.6392857142857145</v>
      </c>
      <c r="T339" s="10">
        <f t="shared" si="50"/>
        <v>13.548571428571437</v>
      </c>
      <c r="V339" s="3">
        <v>2658.8</v>
      </c>
      <c r="X339" s="3">
        <f t="shared" si="51"/>
        <v>272063.8000000001</v>
      </c>
      <c r="Y339" s="3">
        <f t="shared" si="53"/>
        <v>13558.100000000002</v>
      </c>
      <c r="AA339" s="3">
        <v>16.024335964614099</v>
      </c>
    </row>
    <row r="340" spans="1:27" s="3" customFormat="1" x14ac:dyDescent="0.25">
      <c r="A340" s="33"/>
      <c r="B340" s="32"/>
      <c r="C340" s="5">
        <v>40725</v>
      </c>
      <c r="D340" s="3">
        <v>16.100000000000001</v>
      </c>
      <c r="E340" s="3">
        <v>9.5</v>
      </c>
      <c r="F340" s="3">
        <v>21.5</v>
      </c>
      <c r="G340" s="3">
        <f t="shared" si="46"/>
        <v>2941.7999999999988</v>
      </c>
      <c r="H340" s="3">
        <f t="shared" si="47"/>
        <v>147.69999999999999</v>
      </c>
      <c r="J340" s="3">
        <v>0</v>
      </c>
      <c r="K340" s="3">
        <f t="shared" si="48"/>
        <v>456.70000000000005</v>
      </c>
      <c r="L340" s="3">
        <v>3.5</v>
      </c>
      <c r="M340" s="3">
        <f t="shared" si="49"/>
        <v>502.40000000000015</v>
      </c>
      <c r="N340" s="3">
        <v>-3.5</v>
      </c>
      <c r="O340" s="3">
        <v>0</v>
      </c>
      <c r="P340" s="3">
        <v>291</v>
      </c>
      <c r="Q340" s="18">
        <f t="shared" si="43"/>
        <v>0.35</v>
      </c>
      <c r="R340" s="10">
        <f t="shared" si="44"/>
        <v>1.2249999999999999</v>
      </c>
      <c r="S340" s="10">
        <f t="shared" si="45"/>
        <v>-1.2249999999999999</v>
      </c>
      <c r="T340" s="10">
        <f t="shared" si="50"/>
        <v>12.323571428571437</v>
      </c>
      <c r="V340" s="3">
        <v>1736.3</v>
      </c>
      <c r="X340" s="3">
        <f t="shared" si="51"/>
        <v>273800.10000000009</v>
      </c>
      <c r="Y340" s="3">
        <f t="shared" si="53"/>
        <v>15294.400000000001</v>
      </c>
      <c r="AA340" s="3">
        <v>16.012394327759999</v>
      </c>
    </row>
    <row r="341" spans="1:27" s="3" customFormat="1" x14ac:dyDescent="0.25">
      <c r="A341" s="56" t="s">
        <v>24</v>
      </c>
      <c r="B341" s="56"/>
      <c r="C341" s="56"/>
      <c r="D341" s="56"/>
      <c r="E341" s="56"/>
      <c r="F341" s="56"/>
      <c r="G341" s="56"/>
      <c r="H341" s="56"/>
      <c r="I341" s="56"/>
      <c r="J341" s="56"/>
      <c r="K341" s="56"/>
      <c r="L341" s="56"/>
      <c r="M341" s="56"/>
      <c r="N341" s="56"/>
      <c r="O341" s="56"/>
      <c r="P341" s="56"/>
      <c r="Q341" s="56"/>
      <c r="R341" s="56"/>
      <c r="S341" s="56"/>
      <c r="T341" s="56"/>
      <c r="U341" s="56"/>
      <c r="V341" s="56"/>
      <c r="W341" s="56"/>
      <c r="X341" s="56"/>
      <c r="Y341" s="56"/>
      <c r="Z341" s="56"/>
    </row>
  </sheetData>
  <mergeCells count="14">
    <mergeCell ref="A306:A332"/>
    <mergeCell ref="A341:Z341"/>
    <mergeCell ref="D1:I2"/>
    <mergeCell ref="J1:U2"/>
    <mergeCell ref="V1:Z2"/>
    <mergeCell ref="P3:T3"/>
    <mergeCell ref="G4:H4"/>
    <mergeCell ref="X4:Y4"/>
    <mergeCell ref="A49:Z49"/>
    <mergeCell ref="A50:A119"/>
    <mergeCell ref="A120:A168"/>
    <mergeCell ref="A169:A242"/>
    <mergeCell ref="A264:A284"/>
    <mergeCell ref="A285:A305"/>
  </mergeCells>
  <conditionalFormatting sqref="T1:T4">
    <cfRule type="cellIs" dxfId="21" priority="1" operator="equal">
      <formula>0</formula>
    </cfRule>
    <cfRule type="cellIs" dxfId="20" priority="2" operator="lessThanOrEqual">
      <formula>65.8</formula>
    </cfRule>
  </conditionalFormatting>
  <conditionalFormatting sqref="D5:F48 D50:F340 G50 H120 I59 I57 I61 I63 I127 I129 I131 I133 I176 I180 I178 I182 I244 I246 I250 I252 I254 I271 I273 I275 I277 I298 I319 I292 I294 I296 I315 I313 I317 I265 I267">
    <cfRule type="cellIs" dxfId="19" priority="9" operator="between">
      <formula>25</formula>
      <formula>40</formula>
    </cfRule>
    <cfRule type="cellIs" dxfId="18" priority="10" operator="between">
      <formula>0</formula>
      <formula>5</formula>
    </cfRule>
    <cfRule type="cellIs" dxfId="17" priority="11" operator="between">
      <formula>0</formula>
      <formula>-50</formula>
    </cfRule>
  </conditionalFormatting>
  <conditionalFormatting sqref="N5:N48 N50:N340">
    <cfRule type="cellIs" dxfId="16" priority="8" operator="between">
      <formula>0</formula>
      <formula>-40</formula>
    </cfRule>
  </conditionalFormatting>
  <conditionalFormatting sqref="V5:V341">
    <cfRule type="cellIs" dxfId="15" priority="7" operator="between">
      <formula>899.999</formula>
      <formula>0</formula>
    </cfRule>
  </conditionalFormatting>
  <conditionalFormatting sqref="S50:S340">
    <cfRule type="cellIs" dxfId="14" priority="6" operator="lessThanOrEqual">
      <formula>0</formula>
    </cfRule>
  </conditionalFormatting>
  <conditionalFormatting sqref="T5:T341">
    <cfRule type="cellIs" dxfId="13" priority="4" operator="equal">
      <formula>0</formula>
    </cfRule>
    <cfRule type="cellIs" dxfId="12" priority="5" operator="lessThanOrEqual">
      <formula>65.8</formula>
    </cfRule>
  </conditionalFormatting>
  <conditionalFormatting sqref="V1:V4">
    <cfRule type="cellIs" dxfId="11" priority="3" operator="between">
      <formula>899.999</formula>
      <formula>0</formula>
    </cfRule>
  </conditionalFormatting>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C341"/>
  <sheetViews>
    <sheetView tabSelected="1" zoomScale="80" zoomScaleNormal="80" workbookViewId="0">
      <pane xSplit="3" ySplit="4" topLeftCell="D191" activePane="bottomRight" state="frozen"/>
      <selection pane="topRight" activeCell="D1" sqref="D1"/>
      <selection pane="bottomLeft" activeCell="A5" sqref="A5"/>
      <selection pane="bottomRight" activeCell="AC219" sqref="AC219"/>
    </sheetView>
  </sheetViews>
  <sheetFormatPr baseColWidth="10" defaultRowHeight="15" x14ac:dyDescent="0.25"/>
  <sheetData>
    <row r="1" spans="1:27" s="2" customFormat="1" x14ac:dyDescent="0.25">
      <c r="A1"/>
      <c r="B1" s="1"/>
      <c r="C1"/>
      <c r="D1" s="57" t="s">
        <v>25</v>
      </c>
      <c r="E1" s="57"/>
      <c r="F1" s="57"/>
      <c r="G1" s="57"/>
      <c r="H1" s="57"/>
      <c r="I1" s="57"/>
      <c r="J1" s="57" t="s">
        <v>26</v>
      </c>
      <c r="K1" s="57"/>
      <c r="L1" s="57"/>
      <c r="M1" s="57"/>
      <c r="N1" s="57"/>
      <c r="O1" s="57"/>
      <c r="P1" s="57"/>
      <c r="Q1" s="57"/>
      <c r="R1" s="57"/>
      <c r="S1" s="57"/>
      <c r="T1" s="57"/>
      <c r="U1" s="57"/>
      <c r="V1" s="57" t="s">
        <v>27</v>
      </c>
      <c r="W1" s="58"/>
      <c r="X1" s="58"/>
      <c r="Y1" s="58"/>
      <c r="Z1" s="58"/>
    </row>
    <row r="2" spans="1:27" s="2" customFormat="1" x14ac:dyDescent="0.25">
      <c r="A2"/>
      <c r="B2" s="1"/>
      <c r="C2"/>
      <c r="D2" s="57"/>
      <c r="E2" s="57"/>
      <c r="F2" s="57"/>
      <c r="G2" s="57"/>
      <c r="H2" s="57"/>
      <c r="I2" s="57"/>
      <c r="J2" s="57"/>
      <c r="K2" s="57"/>
      <c r="L2" s="57"/>
      <c r="M2" s="57"/>
      <c r="N2" s="57"/>
      <c r="O2" s="57"/>
      <c r="P2" s="57"/>
      <c r="Q2" s="57"/>
      <c r="R2" s="57"/>
      <c r="S2" s="57"/>
      <c r="T2" s="57"/>
      <c r="U2" s="57"/>
      <c r="V2" s="58"/>
      <c r="W2" s="58"/>
      <c r="X2" s="58"/>
      <c r="Y2" s="58"/>
      <c r="Z2" s="58"/>
    </row>
    <row r="3" spans="1:27" s="2" customFormat="1" x14ac:dyDescent="0.25">
      <c r="A3"/>
      <c r="B3" s="1"/>
      <c r="C3"/>
      <c r="D3" s="34"/>
      <c r="E3" s="34"/>
      <c r="F3" s="34"/>
      <c r="G3" s="34"/>
      <c r="H3" s="34"/>
      <c r="I3" s="34"/>
      <c r="J3" s="34"/>
      <c r="K3" s="34"/>
      <c r="L3" s="34"/>
      <c r="M3" s="34"/>
      <c r="N3" s="34"/>
      <c r="O3" s="34"/>
      <c r="P3" s="57" t="s">
        <v>28</v>
      </c>
      <c r="Q3" s="57"/>
      <c r="R3" s="57"/>
      <c r="S3" s="57"/>
      <c r="T3" s="57"/>
      <c r="U3" s="34"/>
      <c r="V3" s="35"/>
      <c r="W3" s="35"/>
      <c r="X3" s="35"/>
      <c r="Y3" s="35"/>
      <c r="Z3" s="35"/>
    </row>
    <row r="4" spans="1:27" s="2" customFormat="1" x14ac:dyDescent="0.25">
      <c r="A4" t="s">
        <v>29</v>
      </c>
      <c r="B4" s="1">
        <v>5</v>
      </c>
      <c r="C4" t="s">
        <v>30</v>
      </c>
      <c r="D4" t="s">
        <v>31</v>
      </c>
      <c r="E4" t="s">
        <v>32</v>
      </c>
      <c r="F4" t="s">
        <v>33</v>
      </c>
      <c r="G4" s="59" t="s">
        <v>34</v>
      </c>
      <c r="H4" s="59"/>
      <c r="I4" t="s">
        <v>35</v>
      </c>
      <c r="J4" t="s">
        <v>36</v>
      </c>
      <c r="K4" t="s">
        <v>37</v>
      </c>
      <c r="L4" t="s">
        <v>38</v>
      </c>
      <c r="M4" t="s">
        <v>39</v>
      </c>
      <c r="N4" t="s">
        <v>40</v>
      </c>
      <c r="O4" t="s">
        <v>41</v>
      </c>
      <c r="P4" t="s">
        <v>42</v>
      </c>
      <c r="Q4" t="s">
        <v>43</v>
      </c>
      <c r="R4" t="s">
        <v>44</v>
      </c>
      <c r="S4" t="s">
        <v>45</v>
      </c>
      <c r="T4" t="s">
        <v>46</v>
      </c>
      <c r="U4" t="s">
        <v>35</v>
      </c>
      <c r="V4" t="s">
        <v>47</v>
      </c>
      <c r="W4" t="s">
        <v>48</v>
      </c>
      <c r="X4" s="59" t="s">
        <v>49</v>
      </c>
      <c r="Y4" s="59"/>
      <c r="Z4" t="s">
        <v>35</v>
      </c>
      <c r="AA4" s="2" t="s">
        <v>50</v>
      </c>
    </row>
    <row r="5" spans="1:27" s="3" customFormat="1" x14ac:dyDescent="0.25">
      <c r="B5" s="4"/>
      <c r="C5" s="5">
        <v>40391</v>
      </c>
      <c r="D5" s="3">
        <v>17.100000000000001</v>
      </c>
      <c r="E5" s="3">
        <v>13.4</v>
      </c>
      <c r="F5" s="3">
        <v>20.8</v>
      </c>
      <c r="G5" s="6"/>
      <c r="H5" s="6"/>
      <c r="I5" s="6"/>
      <c r="J5" s="3">
        <v>6.6</v>
      </c>
      <c r="K5" s="6"/>
      <c r="L5" s="3">
        <v>1.3</v>
      </c>
      <c r="M5" s="6"/>
      <c r="N5" s="3">
        <v>5.3</v>
      </c>
      <c r="O5" s="6">
        <v>5.3</v>
      </c>
      <c r="T5" s="3">
        <v>5.3</v>
      </c>
      <c r="V5" s="3">
        <v>684.5</v>
      </c>
    </row>
    <row r="6" spans="1:27" s="3" customFormat="1" x14ac:dyDescent="0.25">
      <c r="B6" s="4"/>
      <c r="C6" s="5">
        <v>40392</v>
      </c>
      <c r="D6" s="3">
        <v>17.7</v>
      </c>
      <c r="E6" s="3">
        <v>15.8</v>
      </c>
      <c r="F6" s="3">
        <v>20.7</v>
      </c>
      <c r="G6" s="6"/>
      <c r="H6" s="6"/>
      <c r="I6" s="6"/>
      <c r="J6" s="3">
        <v>1</v>
      </c>
      <c r="K6" s="6"/>
      <c r="L6" s="3">
        <v>3.1</v>
      </c>
      <c r="M6" s="6"/>
      <c r="N6" s="3">
        <v>-2.1</v>
      </c>
      <c r="O6" s="3">
        <f>O5+N6</f>
        <v>3.1999999999999997</v>
      </c>
      <c r="T6" s="3">
        <v>3.1999999999999997</v>
      </c>
      <c r="V6" s="3">
        <v>1496.2</v>
      </c>
    </row>
    <row r="7" spans="1:27" s="3" customFormat="1" x14ac:dyDescent="0.25">
      <c r="B7" s="4"/>
      <c r="C7" s="5">
        <v>40393</v>
      </c>
      <c r="D7" s="3">
        <v>18</v>
      </c>
      <c r="E7" s="3">
        <v>12.4</v>
      </c>
      <c r="F7" s="3">
        <v>23.4</v>
      </c>
      <c r="G7" s="6"/>
      <c r="H7" s="6"/>
      <c r="I7" s="6"/>
      <c r="J7" s="3">
        <v>1</v>
      </c>
      <c r="K7" s="6"/>
      <c r="L7" s="3">
        <v>3.3</v>
      </c>
      <c r="M7" s="6"/>
      <c r="N7" s="3">
        <v>-2.2999999999999998</v>
      </c>
      <c r="O7" s="3">
        <f t="shared" ref="O7:O48" si="0">O6+N7</f>
        <v>0.89999999999999991</v>
      </c>
      <c r="T7" s="3">
        <v>0.89999999999999991</v>
      </c>
      <c r="V7" s="3">
        <v>1548.7</v>
      </c>
    </row>
    <row r="8" spans="1:27" s="3" customFormat="1" x14ac:dyDescent="0.25">
      <c r="B8" s="4"/>
      <c r="C8" s="5">
        <v>40394</v>
      </c>
      <c r="D8" s="3">
        <v>17.100000000000001</v>
      </c>
      <c r="E8" s="3">
        <v>15.4</v>
      </c>
      <c r="F8" s="3">
        <v>20.6</v>
      </c>
      <c r="G8" s="6"/>
      <c r="H8" s="6"/>
      <c r="I8" s="6"/>
      <c r="J8" s="3">
        <v>7.6</v>
      </c>
      <c r="K8" s="6"/>
      <c r="L8" s="3">
        <v>2.6</v>
      </c>
      <c r="M8" s="6"/>
      <c r="N8" s="3">
        <v>5</v>
      </c>
      <c r="O8" s="3">
        <f t="shared" si="0"/>
        <v>5.9</v>
      </c>
      <c r="T8" s="3">
        <v>5.9</v>
      </c>
      <c r="V8" s="3">
        <v>1015.6</v>
      </c>
    </row>
    <row r="9" spans="1:27" s="3" customFormat="1" x14ac:dyDescent="0.25">
      <c r="B9" s="4"/>
      <c r="C9" s="5">
        <v>40395</v>
      </c>
      <c r="D9" s="3">
        <v>16.5</v>
      </c>
      <c r="E9" s="3">
        <v>12.6</v>
      </c>
      <c r="F9" s="3">
        <v>21</v>
      </c>
      <c r="G9" s="6"/>
      <c r="H9" s="6"/>
      <c r="I9" s="6"/>
      <c r="J9" s="3">
        <v>0</v>
      </c>
      <c r="K9" s="6"/>
      <c r="L9" s="3">
        <v>4.5</v>
      </c>
      <c r="M9" s="6"/>
      <c r="N9" s="3">
        <v>-4.5</v>
      </c>
      <c r="O9" s="3">
        <f t="shared" si="0"/>
        <v>1.4000000000000004</v>
      </c>
      <c r="T9" s="3">
        <v>1.4000000000000004</v>
      </c>
      <c r="V9" s="3">
        <v>2375.9</v>
      </c>
    </row>
    <row r="10" spans="1:27" s="3" customFormat="1" x14ac:dyDescent="0.25">
      <c r="B10" s="4"/>
      <c r="C10" s="5">
        <v>40396</v>
      </c>
      <c r="D10" s="3">
        <v>17.7</v>
      </c>
      <c r="E10" s="3">
        <v>12.1</v>
      </c>
      <c r="F10" s="3">
        <v>22.4</v>
      </c>
      <c r="G10" s="6"/>
      <c r="H10" s="6"/>
      <c r="I10" s="6"/>
      <c r="J10" s="3">
        <v>0</v>
      </c>
      <c r="K10" s="6"/>
      <c r="L10" s="3">
        <v>3.9</v>
      </c>
      <c r="M10" s="6"/>
      <c r="N10" s="3">
        <v>-3.9</v>
      </c>
      <c r="O10" s="3">
        <v>0</v>
      </c>
      <c r="T10" s="3">
        <v>0</v>
      </c>
      <c r="V10" s="3">
        <v>2036.3</v>
      </c>
    </row>
    <row r="11" spans="1:27" s="3" customFormat="1" x14ac:dyDescent="0.25">
      <c r="B11" s="4"/>
      <c r="C11" s="5">
        <v>40397</v>
      </c>
      <c r="D11" s="3">
        <v>18</v>
      </c>
      <c r="E11" s="3">
        <v>15.1</v>
      </c>
      <c r="F11" s="3">
        <v>20.7</v>
      </c>
      <c r="G11" s="6"/>
      <c r="H11" s="6"/>
      <c r="I11" s="6"/>
      <c r="J11" s="3">
        <v>1.4</v>
      </c>
      <c r="K11" s="6"/>
      <c r="L11" s="3">
        <v>1.4</v>
      </c>
      <c r="M11" s="6"/>
      <c r="N11" s="3">
        <v>0</v>
      </c>
      <c r="O11" s="3">
        <v>0</v>
      </c>
      <c r="T11" s="3">
        <v>0</v>
      </c>
      <c r="V11" s="3">
        <v>693.8</v>
      </c>
    </row>
    <row r="12" spans="1:27" s="3" customFormat="1" x14ac:dyDescent="0.25">
      <c r="B12" s="4"/>
      <c r="C12" s="5">
        <v>40398</v>
      </c>
      <c r="D12" s="3">
        <v>17.899999999999999</v>
      </c>
      <c r="E12" s="3">
        <v>13.1</v>
      </c>
      <c r="F12" s="3">
        <v>22.4</v>
      </c>
      <c r="G12" s="6"/>
      <c r="H12" s="6"/>
      <c r="I12" s="6"/>
      <c r="J12" s="3">
        <v>0.1</v>
      </c>
      <c r="K12" s="6"/>
      <c r="L12" s="3">
        <v>3</v>
      </c>
      <c r="M12" s="6"/>
      <c r="N12" s="3">
        <v>-2.9</v>
      </c>
      <c r="O12" s="3">
        <v>0</v>
      </c>
      <c r="T12" s="3">
        <v>0</v>
      </c>
      <c r="V12" s="3">
        <v>1401.6</v>
      </c>
    </row>
    <row r="13" spans="1:27" s="3" customFormat="1" x14ac:dyDescent="0.25">
      <c r="B13" s="4"/>
      <c r="C13" s="5">
        <v>40399</v>
      </c>
      <c r="D13" s="3">
        <v>18.899999999999999</v>
      </c>
      <c r="E13" s="3">
        <v>13.6</v>
      </c>
      <c r="F13" s="3">
        <v>24.6</v>
      </c>
      <c r="G13" s="6"/>
      <c r="H13" s="6"/>
      <c r="I13" s="6"/>
      <c r="J13" s="3">
        <v>0.2</v>
      </c>
      <c r="K13" s="6"/>
      <c r="L13" s="3">
        <v>4.5</v>
      </c>
      <c r="M13" s="6"/>
      <c r="N13" s="3">
        <v>-4.3</v>
      </c>
      <c r="O13" s="3">
        <v>0</v>
      </c>
      <c r="T13" s="3">
        <v>0</v>
      </c>
      <c r="V13" s="3">
        <v>2286.9</v>
      </c>
    </row>
    <row r="14" spans="1:27" s="3" customFormat="1" x14ac:dyDescent="0.25">
      <c r="B14" s="4"/>
      <c r="C14" s="5">
        <v>40400</v>
      </c>
      <c r="D14" s="3">
        <v>18.100000000000001</v>
      </c>
      <c r="E14" s="3">
        <v>13.8</v>
      </c>
      <c r="F14" s="3">
        <v>21.9</v>
      </c>
      <c r="G14" s="6"/>
      <c r="H14" s="6"/>
      <c r="I14" s="6"/>
      <c r="J14" s="3">
        <v>3.9</v>
      </c>
      <c r="K14" s="6"/>
      <c r="L14" s="3">
        <v>1.5</v>
      </c>
      <c r="M14" s="6"/>
      <c r="N14" s="3">
        <v>2.4</v>
      </c>
      <c r="O14" s="3">
        <f t="shared" si="0"/>
        <v>2.4</v>
      </c>
      <c r="T14" s="3">
        <v>2.4</v>
      </c>
      <c r="V14" s="3">
        <v>713.2</v>
      </c>
    </row>
    <row r="15" spans="1:27" s="3" customFormat="1" x14ac:dyDescent="0.25">
      <c r="B15" s="4"/>
      <c r="C15" s="5">
        <v>40401</v>
      </c>
      <c r="D15" s="3">
        <v>18.5</v>
      </c>
      <c r="E15" s="3">
        <v>16.600000000000001</v>
      </c>
      <c r="F15" s="3">
        <v>22.7</v>
      </c>
      <c r="G15" s="6"/>
      <c r="H15" s="6"/>
      <c r="I15" s="6"/>
      <c r="J15" s="3">
        <v>0.1</v>
      </c>
      <c r="K15" s="6"/>
      <c r="L15" s="3">
        <v>3.9</v>
      </c>
      <c r="M15" s="6"/>
      <c r="N15" s="3">
        <v>-3.8</v>
      </c>
      <c r="O15" s="3">
        <v>0</v>
      </c>
      <c r="T15" s="3">
        <v>0</v>
      </c>
      <c r="V15" s="3">
        <v>1893</v>
      </c>
    </row>
    <row r="16" spans="1:27" s="3" customFormat="1" x14ac:dyDescent="0.25">
      <c r="B16" s="4"/>
      <c r="C16" s="5">
        <v>40402</v>
      </c>
      <c r="D16" s="3">
        <v>16.8</v>
      </c>
      <c r="E16" s="3">
        <v>14</v>
      </c>
      <c r="F16" s="3">
        <v>21.2</v>
      </c>
      <c r="G16" s="6"/>
      <c r="H16" s="6"/>
      <c r="I16" s="6"/>
      <c r="J16" s="3">
        <v>0</v>
      </c>
      <c r="K16" s="6"/>
      <c r="L16" s="3">
        <v>4.3</v>
      </c>
      <c r="M16" s="6"/>
      <c r="N16" s="3">
        <v>-4.3</v>
      </c>
      <c r="O16" s="3">
        <v>0</v>
      </c>
      <c r="T16" s="3">
        <v>0</v>
      </c>
      <c r="V16" s="3">
        <v>2256.3000000000002</v>
      </c>
    </row>
    <row r="17" spans="2:22" s="3" customFormat="1" x14ac:dyDescent="0.25">
      <c r="B17" s="4"/>
      <c r="C17" s="5">
        <v>40403</v>
      </c>
      <c r="D17" s="3">
        <v>15.5</v>
      </c>
      <c r="E17" s="3">
        <v>11.4</v>
      </c>
      <c r="F17" s="3">
        <v>20.2</v>
      </c>
      <c r="G17" s="6"/>
      <c r="H17" s="6"/>
      <c r="I17" s="6"/>
      <c r="J17" s="3">
        <v>0.1</v>
      </c>
      <c r="K17" s="6"/>
      <c r="L17" s="3">
        <v>3.8</v>
      </c>
      <c r="M17" s="6"/>
      <c r="N17" s="3">
        <v>-3.6999999999999997</v>
      </c>
      <c r="O17" s="3">
        <v>0</v>
      </c>
      <c r="T17" s="3">
        <v>0</v>
      </c>
      <c r="V17" s="3">
        <v>2162</v>
      </c>
    </row>
    <row r="18" spans="2:22" s="3" customFormat="1" x14ac:dyDescent="0.25">
      <c r="B18" s="4"/>
      <c r="C18" s="5">
        <v>40404</v>
      </c>
      <c r="D18" s="3">
        <v>13.6</v>
      </c>
      <c r="E18" s="3">
        <v>10.7</v>
      </c>
      <c r="F18" s="3">
        <v>14.8</v>
      </c>
      <c r="G18" s="6"/>
      <c r="H18" s="6"/>
      <c r="I18" s="6"/>
      <c r="J18" s="3">
        <v>11.5</v>
      </c>
      <c r="K18" s="6"/>
      <c r="L18" s="3">
        <v>1</v>
      </c>
      <c r="M18" s="6"/>
      <c r="N18" s="3">
        <v>10.5</v>
      </c>
      <c r="O18" s="3">
        <f t="shared" si="0"/>
        <v>10.5</v>
      </c>
      <c r="T18" s="3">
        <v>10.5</v>
      </c>
      <c r="V18" s="3">
        <v>726.5</v>
      </c>
    </row>
    <row r="19" spans="2:22" s="3" customFormat="1" x14ac:dyDescent="0.25">
      <c r="B19" s="4"/>
      <c r="C19" s="5">
        <v>40405</v>
      </c>
      <c r="D19" s="3">
        <v>16.3</v>
      </c>
      <c r="E19" s="3">
        <v>12.8</v>
      </c>
      <c r="F19" s="3">
        <v>20.2</v>
      </c>
      <c r="G19" s="6"/>
      <c r="H19" s="6"/>
      <c r="I19" s="6"/>
      <c r="J19" s="3">
        <v>0.8</v>
      </c>
      <c r="K19" s="6"/>
      <c r="L19" s="3">
        <v>1.8</v>
      </c>
      <c r="M19" s="6"/>
      <c r="N19" s="3">
        <v>-1</v>
      </c>
      <c r="O19" s="3">
        <f t="shared" si="0"/>
        <v>9.5</v>
      </c>
      <c r="T19" s="3">
        <v>9.5</v>
      </c>
      <c r="V19" s="3">
        <v>1084.5</v>
      </c>
    </row>
    <row r="20" spans="2:22" s="3" customFormat="1" x14ac:dyDescent="0.25">
      <c r="B20" s="4"/>
      <c r="C20" s="5">
        <v>40406</v>
      </c>
      <c r="D20" s="3">
        <v>17.8</v>
      </c>
      <c r="E20" s="3">
        <v>13.2</v>
      </c>
      <c r="F20" s="3">
        <v>24.1</v>
      </c>
      <c r="G20" s="6"/>
      <c r="H20" s="6"/>
      <c r="I20" s="6"/>
      <c r="J20" s="3">
        <v>0.1</v>
      </c>
      <c r="K20" s="6"/>
      <c r="L20" s="3">
        <v>4.4000000000000004</v>
      </c>
      <c r="M20" s="6"/>
      <c r="N20" s="3">
        <v>-4.3000000000000007</v>
      </c>
      <c r="O20" s="3">
        <f t="shared" si="0"/>
        <v>5.1999999999999993</v>
      </c>
      <c r="T20" s="3">
        <v>5.1999999999999993</v>
      </c>
      <c r="V20" s="3">
        <v>2012.4</v>
      </c>
    </row>
    <row r="21" spans="2:22" s="3" customFormat="1" x14ac:dyDescent="0.25">
      <c r="B21" s="4"/>
      <c r="C21" s="5">
        <v>40407</v>
      </c>
      <c r="D21" s="3">
        <v>15.9</v>
      </c>
      <c r="E21" s="3">
        <v>13.4</v>
      </c>
      <c r="F21" s="3">
        <v>17.600000000000001</v>
      </c>
      <c r="G21" s="6"/>
      <c r="H21" s="6"/>
      <c r="I21" s="6"/>
      <c r="J21" s="3">
        <v>0.5</v>
      </c>
      <c r="K21" s="6"/>
      <c r="L21" s="3">
        <v>1.2</v>
      </c>
      <c r="M21" s="6"/>
      <c r="N21" s="3">
        <v>-0.7</v>
      </c>
      <c r="O21" s="3">
        <f t="shared" si="0"/>
        <v>4.4999999999999991</v>
      </c>
      <c r="T21" s="3">
        <v>4.4999999999999991</v>
      </c>
      <c r="V21" s="3">
        <v>616.29999999999995</v>
      </c>
    </row>
    <row r="22" spans="2:22" s="3" customFormat="1" x14ac:dyDescent="0.25">
      <c r="B22" s="4"/>
      <c r="C22" s="5">
        <v>40408</v>
      </c>
      <c r="D22" s="3">
        <v>16.7</v>
      </c>
      <c r="E22" s="3">
        <v>12.1</v>
      </c>
      <c r="F22" s="3">
        <v>20.7</v>
      </c>
      <c r="G22" s="6"/>
      <c r="H22" s="6"/>
      <c r="I22" s="6"/>
      <c r="J22" s="3">
        <v>0</v>
      </c>
      <c r="K22" s="6"/>
      <c r="L22" s="3">
        <v>4.5</v>
      </c>
      <c r="M22" s="6"/>
      <c r="N22" s="3">
        <v>-4.5</v>
      </c>
      <c r="O22" s="3">
        <f t="shared" si="0"/>
        <v>0</v>
      </c>
      <c r="T22" s="3">
        <v>0</v>
      </c>
      <c r="V22" s="3">
        <v>2554.3000000000002</v>
      </c>
    </row>
    <row r="23" spans="2:22" s="3" customFormat="1" x14ac:dyDescent="0.25">
      <c r="B23" s="4"/>
      <c r="C23" s="5">
        <v>40409</v>
      </c>
      <c r="D23" s="3">
        <v>17.3</v>
      </c>
      <c r="E23" s="3">
        <v>9.6</v>
      </c>
      <c r="F23" s="3">
        <v>24.1</v>
      </c>
      <c r="G23" s="6"/>
      <c r="H23" s="6"/>
      <c r="I23" s="6"/>
      <c r="J23" s="3">
        <v>0</v>
      </c>
      <c r="K23" s="6"/>
      <c r="L23" s="3">
        <v>2.4</v>
      </c>
      <c r="M23" s="6"/>
      <c r="N23" s="3">
        <v>-2.4</v>
      </c>
      <c r="O23" s="3">
        <v>0</v>
      </c>
      <c r="T23" s="3">
        <v>0</v>
      </c>
      <c r="V23" s="3">
        <v>1075.7</v>
      </c>
    </row>
    <row r="24" spans="2:22" s="3" customFormat="1" x14ac:dyDescent="0.25">
      <c r="B24" s="4"/>
      <c r="C24" s="5">
        <v>40410</v>
      </c>
      <c r="D24" s="3">
        <v>19.7</v>
      </c>
      <c r="E24" s="3">
        <v>15.2</v>
      </c>
      <c r="F24" s="3">
        <v>22.9</v>
      </c>
      <c r="G24" s="6"/>
      <c r="H24" s="6"/>
      <c r="I24" s="6"/>
      <c r="J24" s="3">
        <v>0</v>
      </c>
      <c r="K24" s="6"/>
      <c r="L24" s="3">
        <v>2</v>
      </c>
      <c r="M24" s="6"/>
      <c r="N24" s="3">
        <v>-2</v>
      </c>
      <c r="O24" s="3">
        <v>0</v>
      </c>
      <c r="T24" s="3">
        <v>0</v>
      </c>
      <c r="V24" s="3">
        <v>936.3</v>
      </c>
    </row>
    <row r="25" spans="2:22" s="3" customFormat="1" x14ac:dyDescent="0.25">
      <c r="B25" s="4"/>
      <c r="C25" s="5">
        <v>40411</v>
      </c>
      <c r="D25" s="3">
        <v>21.7</v>
      </c>
      <c r="E25" s="3">
        <v>19.100000000000001</v>
      </c>
      <c r="F25" s="3">
        <v>25.2</v>
      </c>
      <c r="G25" s="6"/>
      <c r="H25" s="6"/>
      <c r="I25" s="6"/>
      <c r="J25" s="3">
        <v>0.2</v>
      </c>
      <c r="K25" s="6"/>
      <c r="L25" s="3">
        <v>2.2000000000000002</v>
      </c>
      <c r="M25" s="6"/>
      <c r="N25" s="3">
        <v>-2</v>
      </c>
      <c r="O25" s="3">
        <v>0</v>
      </c>
      <c r="T25" s="3">
        <v>0</v>
      </c>
      <c r="V25" s="3">
        <v>921.6</v>
      </c>
    </row>
    <row r="26" spans="2:22" s="3" customFormat="1" x14ac:dyDescent="0.25">
      <c r="B26" s="4"/>
      <c r="C26" s="5">
        <v>40412</v>
      </c>
      <c r="D26" s="3">
        <v>19.899999999999999</v>
      </c>
      <c r="E26" s="3">
        <v>16</v>
      </c>
      <c r="F26" s="3">
        <v>24.6</v>
      </c>
      <c r="G26" s="6"/>
      <c r="H26" s="6"/>
      <c r="I26" s="6"/>
      <c r="J26" s="3">
        <v>2</v>
      </c>
      <c r="K26" s="6"/>
      <c r="L26" s="3">
        <v>3.2</v>
      </c>
      <c r="M26" s="6"/>
      <c r="N26" s="3">
        <v>-1.2000000000000002</v>
      </c>
      <c r="O26" s="3">
        <v>0</v>
      </c>
      <c r="T26" s="3">
        <v>0</v>
      </c>
      <c r="V26" s="3">
        <v>1729.1</v>
      </c>
    </row>
    <row r="27" spans="2:22" s="3" customFormat="1" x14ac:dyDescent="0.25">
      <c r="B27" s="4"/>
      <c r="C27" s="5">
        <v>40413</v>
      </c>
      <c r="D27" s="3">
        <v>19</v>
      </c>
      <c r="E27" s="3">
        <v>18.100000000000001</v>
      </c>
      <c r="F27" s="3">
        <v>23</v>
      </c>
      <c r="G27" s="6"/>
      <c r="H27" s="6"/>
      <c r="I27" s="6"/>
      <c r="J27" s="3">
        <v>0.5</v>
      </c>
      <c r="K27" s="6"/>
      <c r="L27" s="3">
        <v>3.1</v>
      </c>
      <c r="M27" s="6"/>
      <c r="N27" s="3">
        <v>-2.6</v>
      </c>
      <c r="O27" s="3">
        <v>0</v>
      </c>
      <c r="T27" s="3">
        <v>0</v>
      </c>
      <c r="V27" s="3">
        <v>1296.0999999999999</v>
      </c>
    </row>
    <row r="28" spans="2:22" s="3" customFormat="1" x14ac:dyDescent="0.25">
      <c r="B28" s="4"/>
      <c r="C28" s="5">
        <v>40414</v>
      </c>
      <c r="D28" s="3">
        <v>16.5</v>
      </c>
      <c r="E28" s="3">
        <v>10.6</v>
      </c>
      <c r="F28" s="3">
        <v>20.8</v>
      </c>
      <c r="G28" s="6"/>
      <c r="H28" s="6"/>
      <c r="I28" s="6"/>
      <c r="J28" s="3">
        <v>0.1</v>
      </c>
      <c r="K28" s="6"/>
      <c r="L28" s="3">
        <v>3.4</v>
      </c>
      <c r="M28" s="6"/>
      <c r="N28" s="3">
        <v>-3.3</v>
      </c>
      <c r="O28" s="3">
        <v>0</v>
      </c>
      <c r="T28" s="3">
        <v>0</v>
      </c>
      <c r="V28" s="3">
        <v>1934.5</v>
      </c>
    </row>
    <row r="29" spans="2:22" s="3" customFormat="1" x14ac:dyDescent="0.25">
      <c r="B29" s="4"/>
      <c r="C29" s="5">
        <v>40415</v>
      </c>
      <c r="D29" s="3">
        <v>17.600000000000001</v>
      </c>
      <c r="E29" s="3">
        <v>14.4</v>
      </c>
      <c r="F29" s="3">
        <v>20.399999999999999</v>
      </c>
      <c r="G29" s="6"/>
      <c r="H29" s="6"/>
      <c r="I29" s="6"/>
      <c r="J29" s="3">
        <v>2.2999999999999998</v>
      </c>
      <c r="K29" s="6"/>
      <c r="L29" s="3">
        <v>1.3</v>
      </c>
      <c r="M29" s="6"/>
      <c r="N29" s="3">
        <v>0.99999999999999978</v>
      </c>
      <c r="O29" s="3">
        <f t="shared" si="0"/>
        <v>0.99999999999999978</v>
      </c>
      <c r="T29" s="3">
        <v>0.99999999999999978</v>
      </c>
      <c r="V29" s="3">
        <v>610.70000000000005</v>
      </c>
    </row>
    <row r="30" spans="2:22" s="3" customFormat="1" x14ac:dyDescent="0.25">
      <c r="B30" s="4"/>
      <c r="C30" s="5">
        <v>40416</v>
      </c>
      <c r="D30" s="3">
        <v>20.100000000000001</v>
      </c>
      <c r="E30" s="3">
        <v>19.7</v>
      </c>
      <c r="F30" s="3">
        <v>21.6</v>
      </c>
      <c r="G30" s="6"/>
      <c r="H30" s="6"/>
      <c r="I30" s="6"/>
      <c r="J30" s="3">
        <v>4.2</v>
      </c>
      <c r="K30" s="6"/>
      <c r="L30" s="3">
        <v>2.2000000000000002</v>
      </c>
      <c r="M30" s="6"/>
      <c r="N30" s="3">
        <v>2</v>
      </c>
      <c r="O30" s="3">
        <f t="shared" si="0"/>
        <v>3</v>
      </c>
      <c r="T30" s="3">
        <v>3</v>
      </c>
      <c r="V30" s="3">
        <v>1108.3</v>
      </c>
    </row>
    <row r="31" spans="2:22" s="3" customFormat="1" x14ac:dyDescent="0.25">
      <c r="B31" s="4"/>
      <c r="C31" s="5">
        <v>40417</v>
      </c>
      <c r="D31" s="3">
        <v>16.8</v>
      </c>
      <c r="E31" s="3">
        <v>15.9</v>
      </c>
      <c r="F31" s="3">
        <v>18.899999999999999</v>
      </c>
      <c r="G31" s="6"/>
      <c r="H31" s="6"/>
      <c r="I31" s="6"/>
      <c r="J31" s="3">
        <v>1.7</v>
      </c>
      <c r="K31" s="6"/>
      <c r="L31" s="3">
        <v>1.6</v>
      </c>
      <c r="M31" s="6"/>
      <c r="N31" s="3">
        <v>9.9999999999999867E-2</v>
      </c>
      <c r="O31" s="3">
        <f t="shared" si="0"/>
        <v>3.0999999999999996</v>
      </c>
      <c r="T31" s="3">
        <v>3.0999999999999996</v>
      </c>
      <c r="V31" s="3">
        <v>828</v>
      </c>
    </row>
    <row r="32" spans="2:22" s="3" customFormat="1" x14ac:dyDescent="0.25">
      <c r="B32" s="4"/>
      <c r="C32" s="5">
        <v>40418</v>
      </c>
      <c r="D32" s="3">
        <v>14.7</v>
      </c>
      <c r="E32" s="3">
        <v>9.8000000000000007</v>
      </c>
      <c r="F32" s="3">
        <v>19.8</v>
      </c>
      <c r="G32" s="6"/>
      <c r="H32" s="6"/>
      <c r="I32" s="6"/>
      <c r="J32" s="3">
        <v>0.2</v>
      </c>
      <c r="K32" s="6"/>
      <c r="L32" s="3">
        <v>3.7</v>
      </c>
      <c r="M32" s="6"/>
      <c r="N32" s="3">
        <v>-3.5</v>
      </c>
      <c r="O32" s="3">
        <v>0</v>
      </c>
      <c r="T32" s="3">
        <v>0</v>
      </c>
      <c r="V32" s="3">
        <v>1947.8</v>
      </c>
    </row>
    <row r="33" spans="2:22" s="3" customFormat="1" x14ac:dyDescent="0.25">
      <c r="B33" s="4"/>
      <c r="C33" s="5">
        <v>40419</v>
      </c>
      <c r="D33" s="3">
        <v>15.3</v>
      </c>
      <c r="E33" s="3">
        <v>10.4</v>
      </c>
      <c r="F33" s="3">
        <v>22.7</v>
      </c>
      <c r="G33" s="6"/>
      <c r="H33" s="6"/>
      <c r="I33" s="6"/>
      <c r="J33" s="3">
        <v>0.1</v>
      </c>
      <c r="K33" s="6"/>
      <c r="L33" s="3">
        <v>3.7</v>
      </c>
      <c r="M33" s="6"/>
      <c r="N33" s="3">
        <v>-3.6</v>
      </c>
      <c r="O33" s="3">
        <v>0</v>
      </c>
      <c r="T33" s="3">
        <v>0</v>
      </c>
      <c r="V33" s="3">
        <v>1654.3</v>
      </c>
    </row>
    <row r="34" spans="2:22" s="3" customFormat="1" x14ac:dyDescent="0.25">
      <c r="B34" s="4"/>
      <c r="C34" s="5">
        <v>40420</v>
      </c>
      <c r="D34" s="3">
        <v>14.2</v>
      </c>
      <c r="E34" s="3">
        <v>9.1</v>
      </c>
      <c r="F34" s="3">
        <v>21</v>
      </c>
      <c r="G34" s="6"/>
      <c r="H34" s="6"/>
      <c r="I34" s="6"/>
      <c r="J34" s="3">
        <v>0</v>
      </c>
      <c r="K34" s="6"/>
      <c r="L34" s="3">
        <v>4.5999999999999996</v>
      </c>
      <c r="M34" s="6"/>
      <c r="N34" s="3">
        <v>-4.5999999999999996</v>
      </c>
      <c r="O34" s="3">
        <v>0</v>
      </c>
      <c r="T34" s="3">
        <v>0</v>
      </c>
      <c r="V34" s="3">
        <v>2369.5</v>
      </c>
    </row>
    <row r="35" spans="2:22" s="3" customFormat="1" x14ac:dyDescent="0.25">
      <c r="B35" s="4"/>
      <c r="C35" s="5">
        <v>40421</v>
      </c>
      <c r="D35" s="3">
        <v>15.2</v>
      </c>
      <c r="E35" s="3">
        <v>7</v>
      </c>
      <c r="F35" s="3">
        <v>23</v>
      </c>
      <c r="G35" s="6"/>
      <c r="H35" s="6"/>
      <c r="I35" s="6"/>
      <c r="J35" s="3">
        <v>0</v>
      </c>
      <c r="K35" s="6"/>
      <c r="L35" s="3">
        <v>4.5999999999999996</v>
      </c>
      <c r="M35" s="6"/>
      <c r="N35" s="3">
        <v>-4.5999999999999996</v>
      </c>
      <c r="O35" s="3">
        <v>0</v>
      </c>
      <c r="T35" s="3">
        <v>0</v>
      </c>
      <c r="V35" s="3">
        <v>2254.5</v>
      </c>
    </row>
    <row r="36" spans="2:22" s="3" customFormat="1" x14ac:dyDescent="0.25">
      <c r="B36" s="4"/>
      <c r="C36" s="5">
        <v>40422</v>
      </c>
      <c r="D36" s="3">
        <v>17</v>
      </c>
      <c r="E36" s="3">
        <v>10.4</v>
      </c>
      <c r="F36" s="3">
        <v>23.8</v>
      </c>
      <c r="G36" s="6"/>
      <c r="H36" s="6"/>
      <c r="I36" s="6"/>
      <c r="J36" s="3">
        <v>0</v>
      </c>
      <c r="K36" s="6"/>
      <c r="L36" s="3">
        <v>5</v>
      </c>
      <c r="M36" s="6"/>
      <c r="N36" s="3">
        <v>-5</v>
      </c>
      <c r="O36" s="3">
        <v>0</v>
      </c>
      <c r="T36" s="3">
        <v>0</v>
      </c>
      <c r="V36" s="3">
        <v>2224</v>
      </c>
    </row>
    <row r="37" spans="2:22" s="3" customFormat="1" x14ac:dyDescent="0.25">
      <c r="B37" s="4"/>
      <c r="C37" s="5">
        <v>40423</v>
      </c>
      <c r="D37" s="3">
        <v>18.600000000000001</v>
      </c>
      <c r="E37" s="3">
        <v>11.2</v>
      </c>
      <c r="F37" s="3">
        <v>26.4</v>
      </c>
      <c r="G37" s="6"/>
      <c r="H37" s="6"/>
      <c r="I37" s="6"/>
      <c r="J37" s="3">
        <v>0</v>
      </c>
      <c r="K37" s="6"/>
      <c r="L37" s="3">
        <v>5.2</v>
      </c>
      <c r="M37" s="6"/>
      <c r="N37" s="3">
        <v>-5.2</v>
      </c>
      <c r="O37" s="3">
        <v>0</v>
      </c>
      <c r="T37" s="3">
        <v>0</v>
      </c>
      <c r="V37" s="3">
        <v>2335.6</v>
      </c>
    </row>
    <row r="38" spans="2:22" s="3" customFormat="1" x14ac:dyDescent="0.25">
      <c r="B38" s="4"/>
      <c r="C38" s="5">
        <v>40424</v>
      </c>
      <c r="D38" s="3">
        <v>18.8</v>
      </c>
      <c r="E38" s="3">
        <v>11</v>
      </c>
      <c r="F38" s="3">
        <v>27.1</v>
      </c>
      <c r="G38" s="6"/>
      <c r="H38" s="6"/>
      <c r="I38" s="6"/>
      <c r="J38" s="3">
        <v>0</v>
      </c>
      <c r="K38" s="6"/>
      <c r="L38" s="3">
        <v>4.7</v>
      </c>
      <c r="M38" s="6"/>
      <c r="N38" s="3">
        <v>-4.7</v>
      </c>
      <c r="O38" s="3">
        <v>0</v>
      </c>
      <c r="T38" s="3">
        <v>0</v>
      </c>
      <c r="V38" s="3">
        <v>2063.5</v>
      </c>
    </row>
    <row r="39" spans="2:22" s="3" customFormat="1" x14ac:dyDescent="0.25">
      <c r="B39" s="4"/>
      <c r="C39" s="5">
        <v>40425</v>
      </c>
      <c r="D39" s="3">
        <v>20</v>
      </c>
      <c r="E39" s="3">
        <v>11.6</v>
      </c>
      <c r="F39" s="3">
        <v>27.8</v>
      </c>
      <c r="G39" s="6"/>
      <c r="H39" s="6"/>
      <c r="I39" s="6"/>
      <c r="J39" s="3">
        <v>0</v>
      </c>
      <c r="K39" s="6"/>
      <c r="L39" s="3">
        <v>3.9</v>
      </c>
      <c r="M39" s="6"/>
      <c r="N39" s="3">
        <v>-3.9</v>
      </c>
      <c r="O39" s="3">
        <v>0</v>
      </c>
      <c r="T39" s="3">
        <v>0</v>
      </c>
      <c r="V39" s="3">
        <v>1773.7</v>
      </c>
    </row>
    <row r="40" spans="2:22" s="3" customFormat="1" x14ac:dyDescent="0.25">
      <c r="B40" s="4"/>
      <c r="C40" s="5">
        <v>40426</v>
      </c>
      <c r="D40" s="3">
        <v>21.1</v>
      </c>
      <c r="E40" s="3">
        <v>15.3</v>
      </c>
      <c r="F40" s="3">
        <v>27.4</v>
      </c>
      <c r="G40" s="6"/>
      <c r="H40" s="6"/>
      <c r="I40" s="6"/>
      <c r="J40" s="3">
        <v>0</v>
      </c>
      <c r="K40" s="6"/>
      <c r="L40" s="3">
        <v>4.0999999999999996</v>
      </c>
      <c r="M40" s="6"/>
      <c r="N40" s="3">
        <v>-4.0999999999999996</v>
      </c>
      <c r="O40" s="3">
        <v>0</v>
      </c>
      <c r="T40" s="3">
        <v>0</v>
      </c>
      <c r="V40" s="3">
        <v>1420.3</v>
      </c>
    </row>
    <row r="41" spans="2:22" s="3" customFormat="1" x14ac:dyDescent="0.25">
      <c r="B41" s="4"/>
      <c r="C41" s="5">
        <v>40427</v>
      </c>
      <c r="D41" s="3">
        <v>17.3</v>
      </c>
      <c r="E41" s="3">
        <v>14.1</v>
      </c>
      <c r="F41" s="3">
        <v>21.3</v>
      </c>
      <c r="G41" s="6"/>
      <c r="H41" s="6"/>
      <c r="I41" s="6"/>
      <c r="J41" s="3">
        <v>1.8</v>
      </c>
      <c r="K41" s="6"/>
      <c r="L41" s="3">
        <v>2.1</v>
      </c>
      <c r="M41" s="6"/>
      <c r="N41" s="3">
        <v>-0.30000000000000004</v>
      </c>
      <c r="O41" s="3">
        <v>0</v>
      </c>
      <c r="T41" s="3">
        <v>0</v>
      </c>
      <c r="V41" s="3">
        <v>880.9</v>
      </c>
    </row>
    <row r="42" spans="2:22" s="3" customFormat="1" x14ac:dyDescent="0.25">
      <c r="B42" s="4"/>
      <c r="C42" s="5">
        <v>40428</v>
      </c>
      <c r="D42" s="3">
        <v>15.5</v>
      </c>
      <c r="E42" s="3">
        <v>11.8</v>
      </c>
      <c r="F42" s="3">
        <v>21.9</v>
      </c>
      <c r="G42" s="6"/>
      <c r="H42" s="6"/>
      <c r="I42" s="6"/>
      <c r="J42" s="3">
        <v>15.3</v>
      </c>
      <c r="K42" s="6"/>
      <c r="L42" s="3">
        <v>2.6</v>
      </c>
      <c r="M42" s="6"/>
      <c r="N42" s="3">
        <v>12.700000000000001</v>
      </c>
      <c r="O42" s="3">
        <f t="shared" si="0"/>
        <v>12.700000000000001</v>
      </c>
      <c r="T42" s="3">
        <v>12.700000000000001</v>
      </c>
      <c r="V42" s="3">
        <v>1309.5999999999999</v>
      </c>
    </row>
    <row r="43" spans="2:22" s="3" customFormat="1" x14ac:dyDescent="0.25">
      <c r="B43" s="4"/>
      <c r="C43" s="5">
        <v>40429</v>
      </c>
      <c r="D43" s="3">
        <v>15.4</v>
      </c>
      <c r="E43" s="3">
        <v>11.6</v>
      </c>
      <c r="F43" s="3">
        <v>21.1</v>
      </c>
      <c r="G43" s="6"/>
      <c r="H43" s="6"/>
      <c r="I43" s="6"/>
      <c r="J43" s="3">
        <v>4.7</v>
      </c>
      <c r="K43" s="6"/>
      <c r="L43" s="3">
        <v>3.4</v>
      </c>
      <c r="M43" s="6"/>
      <c r="N43" s="3">
        <v>1.3000000000000003</v>
      </c>
      <c r="O43" s="3">
        <f t="shared" si="0"/>
        <v>14.000000000000002</v>
      </c>
      <c r="T43" s="3">
        <v>14.000000000000002</v>
      </c>
      <c r="V43" s="3">
        <v>1676.2</v>
      </c>
    </row>
    <row r="44" spans="2:22" s="3" customFormat="1" x14ac:dyDescent="0.25">
      <c r="B44" s="4"/>
      <c r="C44" s="5">
        <v>40430</v>
      </c>
      <c r="D44" s="3">
        <v>16.100000000000001</v>
      </c>
      <c r="E44" s="3">
        <v>12</v>
      </c>
      <c r="F44" s="3">
        <v>22.2</v>
      </c>
      <c r="G44" s="6"/>
      <c r="H44" s="6"/>
      <c r="I44" s="6"/>
      <c r="J44" s="3">
        <v>0.5</v>
      </c>
      <c r="K44" s="6"/>
      <c r="L44" s="3">
        <v>2.8</v>
      </c>
      <c r="M44" s="6"/>
      <c r="N44" s="3">
        <v>-2.2999999999999998</v>
      </c>
      <c r="O44" s="3">
        <f t="shared" si="0"/>
        <v>11.700000000000003</v>
      </c>
      <c r="T44" s="3">
        <v>11.700000000000003</v>
      </c>
      <c r="V44" s="3">
        <v>1424.1</v>
      </c>
    </row>
    <row r="45" spans="2:22" s="3" customFormat="1" x14ac:dyDescent="0.25">
      <c r="B45" s="4"/>
      <c r="C45" s="5">
        <v>40431</v>
      </c>
      <c r="D45" s="3">
        <v>16</v>
      </c>
      <c r="E45" s="3">
        <v>10.3</v>
      </c>
      <c r="F45" s="3">
        <v>22.9</v>
      </c>
      <c r="G45" s="6"/>
      <c r="H45" s="6"/>
      <c r="I45" s="6"/>
      <c r="J45" s="3">
        <v>0</v>
      </c>
      <c r="K45" s="6"/>
      <c r="L45" s="3">
        <v>3.3</v>
      </c>
      <c r="M45" s="6"/>
      <c r="N45" s="3">
        <v>-3.3</v>
      </c>
      <c r="O45" s="3">
        <f t="shared" si="0"/>
        <v>8.4000000000000021</v>
      </c>
      <c r="T45" s="3">
        <v>8.4000000000000021</v>
      </c>
      <c r="V45" s="3">
        <v>1784</v>
      </c>
    </row>
    <row r="46" spans="2:22" s="3" customFormat="1" x14ac:dyDescent="0.25">
      <c r="B46" s="4"/>
      <c r="C46" s="5">
        <v>40432</v>
      </c>
      <c r="D46" s="3">
        <v>17.899999999999999</v>
      </c>
      <c r="E46" s="3">
        <v>12.9</v>
      </c>
      <c r="F46" s="3">
        <v>23.2</v>
      </c>
      <c r="G46" s="6"/>
      <c r="H46" s="6"/>
      <c r="I46" s="6"/>
      <c r="J46" s="3">
        <v>0.8</v>
      </c>
      <c r="K46" s="6"/>
      <c r="L46" s="3">
        <v>2.9</v>
      </c>
      <c r="M46" s="6"/>
      <c r="N46" s="3">
        <v>-2.0999999999999996</v>
      </c>
      <c r="O46" s="3">
        <f t="shared" si="0"/>
        <v>6.3000000000000025</v>
      </c>
      <c r="T46" s="3">
        <v>6.3000000000000025</v>
      </c>
      <c r="V46" s="3">
        <v>1370.8</v>
      </c>
    </row>
    <row r="47" spans="2:22" s="3" customFormat="1" x14ac:dyDescent="0.25">
      <c r="B47" s="4"/>
      <c r="C47" s="5">
        <v>40433</v>
      </c>
      <c r="D47" s="3">
        <v>15.6</v>
      </c>
      <c r="E47" s="3">
        <v>11.9</v>
      </c>
      <c r="F47" s="3">
        <v>21.2</v>
      </c>
      <c r="G47" s="6"/>
      <c r="H47" s="6"/>
      <c r="I47" s="6"/>
      <c r="J47" s="3">
        <v>0</v>
      </c>
      <c r="K47" s="6"/>
      <c r="L47" s="3">
        <v>3.7</v>
      </c>
      <c r="M47" s="6"/>
      <c r="N47" s="3">
        <v>-3.7</v>
      </c>
      <c r="O47" s="3">
        <f t="shared" si="0"/>
        <v>2.6000000000000023</v>
      </c>
      <c r="T47" s="3">
        <v>2.6000000000000023</v>
      </c>
      <c r="V47" s="3">
        <v>1748.2</v>
      </c>
    </row>
    <row r="48" spans="2:22" s="3" customFormat="1" x14ac:dyDescent="0.25">
      <c r="B48" s="4"/>
      <c r="C48" s="5">
        <v>40434</v>
      </c>
      <c r="D48" s="3">
        <v>14.9</v>
      </c>
      <c r="E48" s="3">
        <v>8.8000000000000007</v>
      </c>
      <c r="F48" s="3">
        <v>19.399999999999999</v>
      </c>
      <c r="G48" s="6"/>
      <c r="H48" s="6"/>
      <c r="I48" s="6"/>
      <c r="J48" s="3">
        <v>0</v>
      </c>
      <c r="K48" s="6"/>
      <c r="L48" s="3">
        <v>2.4</v>
      </c>
      <c r="M48" s="6"/>
      <c r="N48" s="3">
        <v>-2.4</v>
      </c>
      <c r="O48" s="3">
        <f t="shared" si="0"/>
        <v>0.2000000000000024</v>
      </c>
      <c r="T48" s="3">
        <v>0.2000000000000024</v>
      </c>
      <c r="V48" s="3">
        <v>1385.1</v>
      </c>
    </row>
    <row r="49" spans="1:27" s="43" customFormat="1" ht="15.75" thickBot="1" x14ac:dyDescent="0.3">
      <c r="A49" s="60" t="s">
        <v>0</v>
      </c>
      <c r="B49" s="60"/>
      <c r="C49" s="60"/>
      <c r="D49" s="60"/>
      <c r="E49" s="60"/>
      <c r="F49" s="60"/>
      <c r="G49" s="60"/>
      <c r="H49" s="60"/>
      <c r="I49" s="60"/>
      <c r="J49" s="60"/>
      <c r="K49" s="60"/>
      <c r="L49" s="60"/>
      <c r="M49" s="60"/>
      <c r="N49" s="60"/>
      <c r="O49" s="60"/>
      <c r="P49" s="60"/>
      <c r="Q49" s="60"/>
      <c r="R49" s="60"/>
      <c r="S49" s="60"/>
      <c r="T49" s="60"/>
      <c r="U49" s="60"/>
      <c r="V49" s="60"/>
      <c r="W49" s="60"/>
      <c r="X49" s="60"/>
      <c r="Y49" s="60"/>
      <c r="Z49" s="60"/>
    </row>
    <row r="50" spans="1:27" s="3" customFormat="1" x14ac:dyDescent="0.25">
      <c r="A50" s="61" t="s">
        <v>1</v>
      </c>
      <c r="B50" s="7"/>
      <c r="C50" s="8">
        <v>40435</v>
      </c>
      <c r="D50" s="3">
        <v>16.600000000000001</v>
      </c>
      <c r="E50" s="3">
        <v>12</v>
      </c>
      <c r="F50" s="3">
        <v>21.4</v>
      </c>
      <c r="G50" s="3">
        <v>16.600000000000001</v>
      </c>
      <c r="I50" s="9" t="s">
        <v>51</v>
      </c>
      <c r="J50" s="3">
        <v>0.5</v>
      </c>
      <c r="K50" s="3">
        <f>J50</f>
        <v>0.5</v>
      </c>
      <c r="L50" s="3">
        <v>3.2</v>
      </c>
      <c r="M50" s="3">
        <f>L50</f>
        <v>3.2</v>
      </c>
      <c r="N50" s="3">
        <v>-2.7</v>
      </c>
      <c r="O50" s="3">
        <v>0</v>
      </c>
      <c r="P50" s="3">
        <v>1</v>
      </c>
      <c r="Q50" s="3">
        <v>0.35</v>
      </c>
      <c r="R50" s="10">
        <f t="shared" ref="R50:R113" si="1">Q50*L50</f>
        <v>1.1199999999999999</v>
      </c>
      <c r="S50" s="10">
        <f t="shared" ref="S50:S113" si="2">J50-R50</f>
        <v>-0.61999999999999988</v>
      </c>
      <c r="T50" s="10">
        <v>0</v>
      </c>
      <c r="U50" s="9"/>
      <c r="V50" s="3">
        <v>1531</v>
      </c>
      <c r="X50" s="3">
        <f>V50</f>
        <v>1531</v>
      </c>
      <c r="Z50" s="9" t="s">
        <v>63</v>
      </c>
      <c r="AA50" s="3">
        <v>12.7247130029575</v>
      </c>
    </row>
    <row r="51" spans="1:27" s="3" customFormat="1" x14ac:dyDescent="0.25">
      <c r="A51" s="61"/>
      <c r="B51" s="7"/>
      <c r="C51" s="8">
        <v>40436</v>
      </c>
      <c r="D51" s="3">
        <v>15.5</v>
      </c>
      <c r="E51" s="3">
        <v>14</v>
      </c>
      <c r="F51" s="3">
        <v>18.3</v>
      </c>
      <c r="G51" s="3">
        <f>G50+D51</f>
        <v>32.1</v>
      </c>
      <c r="I51" s="3">
        <f>MIN(E50:E119)</f>
        <v>-1.2</v>
      </c>
      <c r="J51" s="3">
        <v>2.9</v>
      </c>
      <c r="K51" s="3">
        <f>K50+J51</f>
        <v>3.4</v>
      </c>
      <c r="L51" s="3">
        <v>2.2999999999999998</v>
      </c>
      <c r="M51" s="3">
        <f>M50+L51</f>
        <v>5.5</v>
      </c>
      <c r="N51" s="3">
        <v>0.60000000000000009</v>
      </c>
      <c r="O51" s="3">
        <f>O50+N51</f>
        <v>0.60000000000000009</v>
      </c>
      <c r="P51" s="3">
        <v>2</v>
      </c>
      <c r="Q51" s="3">
        <v>0.35</v>
      </c>
      <c r="R51" s="10">
        <f t="shared" si="1"/>
        <v>0.80499999999999994</v>
      </c>
      <c r="S51" s="10">
        <f t="shared" si="2"/>
        <v>2.0949999999999998</v>
      </c>
      <c r="T51" s="10">
        <f>MIN(197.4,(T50+S51))</f>
        <v>2.0949999999999998</v>
      </c>
      <c r="V51" s="3">
        <v>1112.2</v>
      </c>
      <c r="X51" s="3">
        <f>X50+V51</f>
        <v>2643.2</v>
      </c>
      <c r="Z51" s="3">
        <v>52400.600000000006</v>
      </c>
      <c r="AA51" s="3">
        <v>12.667095814664201</v>
      </c>
    </row>
    <row r="52" spans="1:27" s="3" customFormat="1" x14ac:dyDescent="0.25">
      <c r="A52" s="61"/>
      <c r="B52" s="7"/>
      <c r="C52" s="8">
        <v>40437</v>
      </c>
      <c r="D52" s="3">
        <v>14.4</v>
      </c>
      <c r="E52" s="3">
        <v>11.7</v>
      </c>
      <c r="F52" s="3">
        <v>18.600000000000001</v>
      </c>
      <c r="G52" s="3">
        <f t="shared" ref="G52:G115" si="3">G51+D52</f>
        <v>46.5</v>
      </c>
      <c r="I52" s="9" t="s">
        <v>52</v>
      </c>
      <c r="J52" s="3">
        <v>0.2</v>
      </c>
      <c r="K52" s="3">
        <f t="shared" ref="K52:K115" si="4">K51+J52</f>
        <v>3.6</v>
      </c>
      <c r="L52" s="3">
        <v>2.2000000000000002</v>
      </c>
      <c r="M52" s="3">
        <f t="shared" ref="M52:M115" si="5">M51+L52</f>
        <v>7.7</v>
      </c>
      <c r="N52" s="3">
        <v>-2</v>
      </c>
      <c r="O52" s="3">
        <v>0</v>
      </c>
      <c r="P52" s="3">
        <v>3</v>
      </c>
      <c r="Q52" s="3">
        <v>0.35</v>
      </c>
      <c r="R52" s="10">
        <f t="shared" si="1"/>
        <v>0.77</v>
      </c>
      <c r="S52" s="10">
        <f t="shared" si="2"/>
        <v>-0.57000000000000006</v>
      </c>
      <c r="T52" s="10">
        <f t="shared" ref="T52:T115" si="6">MIN(197.4,(T51+S52))</f>
        <v>1.5249999999999997</v>
      </c>
      <c r="U52" s="9" t="s">
        <v>58</v>
      </c>
      <c r="V52" s="3">
        <v>1106.7</v>
      </c>
      <c r="X52" s="3">
        <f t="shared" ref="X52:X115" si="7">X51+V52</f>
        <v>3749.8999999999996</v>
      </c>
      <c r="Z52" s="9" t="s">
        <v>65</v>
      </c>
      <c r="AA52" s="3">
        <v>12.6094155464097</v>
      </c>
    </row>
    <row r="53" spans="1:27" s="3" customFormat="1" x14ac:dyDescent="0.25">
      <c r="A53" s="61"/>
      <c r="B53" s="7"/>
      <c r="C53" s="8">
        <v>40438</v>
      </c>
      <c r="D53" s="3">
        <v>12.6</v>
      </c>
      <c r="E53" s="3">
        <v>9.5</v>
      </c>
      <c r="F53" s="3">
        <v>18.399999999999999</v>
      </c>
      <c r="G53" s="3">
        <f t="shared" si="3"/>
        <v>59.1</v>
      </c>
      <c r="I53" s="3">
        <f>MAX(F50:F119)</f>
        <v>26.9</v>
      </c>
      <c r="J53" s="3">
        <v>0</v>
      </c>
      <c r="K53" s="3">
        <f t="shared" si="4"/>
        <v>3.6</v>
      </c>
      <c r="L53" s="3">
        <v>2.9</v>
      </c>
      <c r="M53" s="3">
        <f t="shared" si="5"/>
        <v>10.6</v>
      </c>
      <c r="N53" s="3">
        <v>-2.9</v>
      </c>
      <c r="O53" s="3">
        <v>0</v>
      </c>
      <c r="P53" s="3">
        <v>4</v>
      </c>
      <c r="Q53" s="3">
        <v>0.35</v>
      </c>
      <c r="R53" s="10">
        <f t="shared" si="1"/>
        <v>1.0149999999999999</v>
      </c>
      <c r="S53" s="10">
        <f t="shared" si="2"/>
        <v>-1.0149999999999999</v>
      </c>
      <c r="T53" s="10">
        <f t="shared" si="6"/>
        <v>0.50999999999999979</v>
      </c>
      <c r="U53" s="3">
        <v>6</v>
      </c>
      <c r="V53" s="3">
        <v>1532</v>
      </c>
      <c r="X53" s="3">
        <f t="shared" si="7"/>
        <v>5281.9</v>
      </c>
      <c r="Z53" s="3">
        <f>(Z51/100)/I63</f>
        <v>0.64350485079209152</v>
      </c>
      <c r="AA53" s="3">
        <v>12.5516779716794</v>
      </c>
    </row>
    <row r="54" spans="1:27" s="3" customFormat="1" x14ac:dyDescent="0.25">
      <c r="A54" s="61"/>
      <c r="B54" s="7"/>
      <c r="C54" s="8">
        <v>40439</v>
      </c>
      <c r="D54" s="3">
        <v>11.6</v>
      </c>
      <c r="E54" s="3">
        <v>4.7</v>
      </c>
      <c r="F54" s="3">
        <v>18.8</v>
      </c>
      <c r="G54" s="3">
        <f t="shared" si="3"/>
        <v>70.7</v>
      </c>
      <c r="I54" s="9" t="s">
        <v>53</v>
      </c>
      <c r="J54" s="3">
        <v>0</v>
      </c>
      <c r="K54" s="3">
        <f t="shared" si="4"/>
        <v>3.6</v>
      </c>
      <c r="L54" s="3">
        <v>2</v>
      </c>
      <c r="M54" s="3">
        <f t="shared" si="5"/>
        <v>12.6</v>
      </c>
      <c r="N54" s="3">
        <v>-2</v>
      </c>
      <c r="O54" s="3">
        <v>0</v>
      </c>
      <c r="P54" s="3">
        <v>5</v>
      </c>
      <c r="Q54" s="3">
        <v>0.35</v>
      </c>
      <c r="R54" s="10">
        <f t="shared" si="1"/>
        <v>0.7</v>
      </c>
      <c r="S54" s="10">
        <f t="shared" si="2"/>
        <v>-0.7</v>
      </c>
      <c r="T54" s="10">
        <v>0</v>
      </c>
      <c r="U54" s="9" t="s">
        <v>59</v>
      </c>
      <c r="V54" s="3">
        <v>1110.2</v>
      </c>
      <c r="X54" s="3">
        <f t="shared" si="7"/>
        <v>6392.0999999999995</v>
      </c>
      <c r="Z54" s="9" t="s">
        <v>64</v>
      </c>
      <c r="AA54" s="3">
        <v>12.4938887637508</v>
      </c>
    </row>
    <row r="55" spans="1:27" s="3" customFormat="1" x14ac:dyDescent="0.25">
      <c r="A55" s="61"/>
      <c r="B55" s="7"/>
      <c r="C55" s="8">
        <v>40440</v>
      </c>
      <c r="D55" s="3">
        <v>12.4</v>
      </c>
      <c r="E55" s="3">
        <v>4.9000000000000004</v>
      </c>
      <c r="F55" s="3">
        <v>21.2</v>
      </c>
      <c r="G55" s="3">
        <f t="shared" si="3"/>
        <v>83.100000000000009</v>
      </c>
      <c r="I55" s="10">
        <f>AVERAGE(D50:D119)</f>
        <v>11.632857142857146</v>
      </c>
      <c r="J55" s="3">
        <v>0</v>
      </c>
      <c r="K55" s="3">
        <f t="shared" si="4"/>
        <v>3.6</v>
      </c>
      <c r="L55" s="3">
        <v>3.4</v>
      </c>
      <c r="M55" s="3">
        <f t="shared" si="5"/>
        <v>16</v>
      </c>
      <c r="N55" s="3">
        <v>-3.4</v>
      </c>
      <c r="O55" s="3">
        <v>0</v>
      </c>
      <c r="P55" s="3">
        <v>6</v>
      </c>
      <c r="Q55" s="3">
        <v>0.35</v>
      </c>
      <c r="R55" s="10">
        <f t="shared" si="1"/>
        <v>1.19</v>
      </c>
      <c r="S55" s="10">
        <f t="shared" si="2"/>
        <v>-1.19</v>
      </c>
      <c r="T55" s="10">
        <v>0</v>
      </c>
      <c r="U55" s="3">
        <v>25</v>
      </c>
      <c r="V55" s="3">
        <v>1797.1</v>
      </c>
      <c r="X55" s="3">
        <f t="shared" si="7"/>
        <v>8189.1999999999989</v>
      </c>
      <c r="Z55" s="3">
        <v>51</v>
      </c>
      <c r="AA55" s="3">
        <v>12.436053511699001</v>
      </c>
    </row>
    <row r="56" spans="1:27" s="3" customFormat="1" x14ac:dyDescent="0.25">
      <c r="A56" s="61"/>
      <c r="B56" s="7"/>
      <c r="C56" s="8">
        <v>40441</v>
      </c>
      <c r="D56" s="3">
        <v>13.5</v>
      </c>
      <c r="E56" s="3">
        <v>5.8</v>
      </c>
      <c r="F56" s="3">
        <v>22.1</v>
      </c>
      <c r="G56" s="3">
        <f t="shared" si="3"/>
        <v>96.600000000000009</v>
      </c>
      <c r="I56" s="9" t="s">
        <v>54</v>
      </c>
      <c r="J56" s="3">
        <v>0</v>
      </c>
      <c r="K56" s="3">
        <f t="shared" si="4"/>
        <v>3.6</v>
      </c>
      <c r="L56" s="3">
        <v>3.3</v>
      </c>
      <c r="M56" s="3">
        <f t="shared" si="5"/>
        <v>19.3</v>
      </c>
      <c r="N56" s="3">
        <v>-3.3</v>
      </c>
      <c r="O56" s="3">
        <v>0</v>
      </c>
      <c r="P56" s="3">
        <v>7</v>
      </c>
      <c r="Q56" s="3">
        <v>0.35</v>
      </c>
      <c r="R56" s="10">
        <f t="shared" si="1"/>
        <v>1.1549999999999998</v>
      </c>
      <c r="S56" s="10">
        <f t="shared" si="2"/>
        <v>-1.1549999999999998</v>
      </c>
      <c r="T56" s="10">
        <v>0</v>
      </c>
      <c r="U56" s="9" t="s">
        <v>60</v>
      </c>
      <c r="V56" s="3">
        <v>1898.6</v>
      </c>
      <c r="X56" s="3">
        <f t="shared" si="7"/>
        <v>10087.799999999999</v>
      </c>
      <c r="AA56" s="3">
        <v>12.378177736463099</v>
      </c>
    </row>
    <row r="57" spans="1:27" s="3" customFormat="1" x14ac:dyDescent="0.25">
      <c r="A57" s="61"/>
      <c r="B57" s="7"/>
      <c r="C57" s="8">
        <v>40442</v>
      </c>
      <c r="D57" s="3">
        <v>15.3</v>
      </c>
      <c r="E57" s="3">
        <v>7.5</v>
      </c>
      <c r="F57" s="3">
        <v>24.6</v>
      </c>
      <c r="G57" s="3">
        <f t="shared" si="3"/>
        <v>111.9</v>
      </c>
      <c r="I57" s="3">
        <f>2</f>
        <v>2</v>
      </c>
      <c r="J57" s="3">
        <v>0</v>
      </c>
      <c r="K57" s="3">
        <f t="shared" si="4"/>
        <v>3.6</v>
      </c>
      <c r="L57" s="3">
        <v>3.9</v>
      </c>
      <c r="M57" s="3">
        <f t="shared" si="5"/>
        <v>23.2</v>
      </c>
      <c r="N57" s="3">
        <v>-3.9</v>
      </c>
      <c r="O57" s="3">
        <v>0</v>
      </c>
      <c r="P57" s="3">
        <v>8</v>
      </c>
      <c r="Q57" s="3">
        <v>0.35</v>
      </c>
      <c r="R57" s="10">
        <f t="shared" si="1"/>
        <v>1.365</v>
      </c>
      <c r="S57" s="10">
        <f t="shared" si="2"/>
        <v>-1.365</v>
      </c>
      <c r="T57" s="10">
        <v>0</v>
      </c>
      <c r="U57" s="3">
        <v>0</v>
      </c>
      <c r="V57" s="3">
        <v>1798.7</v>
      </c>
      <c r="X57" s="3">
        <f t="shared" si="7"/>
        <v>11886.5</v>
      </c>
      <c r="AA57" s="3">
        <v>12.320266906978199</v>
      </c>
    </row>
    <row r="58" spans="1:27" s="3" customFormat="1" x14ac:dyDescent="0.25">
      <c r="A58" s="61"/>
      <c r="B58" s="7"/>
      <c r="C58" s="8">
        <v>40443</v>
      </c>
      <c r="D58" s="3">
        <v>17.100000000000001</v>
      </c>
      <c r="E58" s="3">
        <v>9</v>
      </c>
      <c r="F58" s="3">
        <v>26.9</v>
      </c>
      <c r="G58" s="3">
        <f t="shared" si="3"/>
        <v>129</v>
      </c>
      <c r="I58" s="9" t="s">
        <v>55</v>
      </c>
      <c r="J58" s="3">
        <v>0.1</v>
      </c>
      <c r="K58" s="3">
        <f t="shared" si="4"/>
        <v>3.7</v>
      </c>
      <c r="L58" s="3">
        <v>3.6</v>
      </c>
      <c r="M58" s="3">
        <f t="shared" si="5"/>
        <v>26.8</v>
      </c>
      <c r="N58" s="3">
        <v>-3.5</v>
      </c>
      <c r="O58" s="3">
        <v>0</v>
      </c>
      <c r="P58" s="3">
        <v>9</v>
      </c>
      <c r="Q58" s="3">
        <v>0.35</v>
      </c>
      <c r="R58" s="10">
        <f t="shared" si="1"/>
        <v>1.26</v>
      </c>
      <c r="S58" s="10">
        <f t="shared" si="2"/>
        <v>-1.1599999999999999</v>
      </c>
      <c r="T58" s="10">
        <v>0</v>
      </c>
      <c r="U58" s="9" t="s">
        <v>61</v>
      </c>
      <c r="V58" s="3">
        <v>1446.9</v>
      </c>
      <c r="X58" s="3">
        <f t="shared" si="7"/>
        <v>13333.4</v>
      </c>
      <c r="AA58" s="3">
        <v>12.2623264563753</v>
      </c>
    </row>
    <row r="59" spans="1:27" s="3" customFormat="1" x14ac:dyDescent="0.25">
      <c r="A59" s="61"/>
      <c r="B59" s="7"/>
      <c r="C59" s="8">
        <v>40444</v>
      </c>
      <c r="D59" s="3">
        <v>15.9</v>
      </c>
      <c r="E59" s="3">
        <v>13.7</v>
      </c>
      <c r="F59" s="3">
        <v>20.3</v>
      </c>
      <c r="G59" s="3">
        <f t="shared" si="3"/>
        <v>144.9</v>
      </c>
      <c r="I59" s="3">
        <v>1</v>
      </c>
      <c r="J59" s="3">
        <v>7.4</v>
      </c>
      <c r="K59" s="3">
        <f t="shared" si="4"/>
        <v>11.100000000000001</v>
      </c>
      <c r="L59" s="3">
        <v>1.8</v>
      </c>
      <c r="M59" s="3">
        <f t="shared" si="5"/>
        <v>28.6</v>
      </c>
      <c r="N59" s="3">
        <v>5.6000000000000005</v>
      </c>
      <c r="O59" s="3">
        <f>O58+N59</f>
        <v>5.6000000000000005</v>
      </c>
      <c r="P59" s="3">
        <v>10</v>
      </c>
      <c r="Q59" s="3">
        <v>0.35</v>
      </c>
      <c r="R59" s="10">
        <f t="shared" si="1"/>
        <v>0.63</v>
      </c>
      <c r="S59" s="10">
        <f t="shared" si="2"/>
        <v>6.7700000000000005</v>
      </c>
      <c r="T59" s="10">
        <f t="shared" si="6"/>
        <v>6.7700000000000005</v>
      </c>
      <c r="U59" s="10">
        <f>MAX(T50:T119)</f>
        <v>145.13591666666665</v>
      </c>
      <c r="V59" s="3">
        <v>814.9</v>
      </c>
      <c r="X59" s="3">
        <f t="shared" si="7"/>
        <v>14148.3</v>
      </c>
      <c r="AA59" s="3">
        <v>12.2043617982565</v>
      </c>
    </row>
    <row r="60" spans="1:27" s="3" customFormat="1" x14ac:dyDescent="0.25">
      <c r="A60" s="61"/>
      <c r="B60" s="7"/>
      <c r="C60" s="8">
        <v>40445</v>
      </c>
      <c r="D60" s="3">
        <v>13.8</v>
      </c>
      <c r="E60" s="3">
        <v>10.7</v>
      </c>
      <c r="F60" s="3">
        <v>18.2</v>
      </c>
      <c r="G60" s="3">
        <f t="shared" si="3"/>
        <v>158.70000000000002</v>
      </c>
      <c r="I60" s="9" t="s">
        <v>56</v>
      </c>
      <c r="J60" s="3">
        <v>0.8</v>
      </c>
      <c r="K60" s="3">
        <f t="shared" si="4"/>
        <v>11.900000000000002</v>
      </c>
      <c r="L60" s="3">
        <v>2</v>
      </c>
      <c r="M60" s="3">
        <f t="shared" si="5"/>
        <v>30.6</v>
      </c>
      <c r="N60" s="3">
        <v>-1.2</v>
      </c>
      <c r="O60" s="3">
        <f>O59+N60</f>
        <v>4.4000000000000004</v>
      </c>
      <c r="P60" s="3">
        <v>11</v>
      </c>
      <c r="Q60" s="3">
        <f>0.35+((P60-10)/60)*(1-0.35)</f>
        <v>0.36083333333333334</v>
      </c>
      <c r="R60" s="10">
        <f>Q60*L60</f>
        <v>0.72166666666666668</v>
      </c>
      <c r="S60" s="10">
        <f>J60-R60</f>
        <v>7.8333333333333366E-2</v>
      </c>
      <c r="T60" s="10">
        <f>MIN(197.4,(T59+S60))</f>
        <v>6.8483333333333336</v>
      </c>
      <c r="U60" s="9" t="s">
        <v>62</v>
      </c>
      <c r="V60" s="3">
        <v>1056.3</v>
      </c>
      <c r="X60" s="3">
        <f t="shared" si="7"/>
        <v>15204.599999999999</v>
      </c>
      <c r="AA60" s="3">
        <v>12.1463783430485</v>
      </c>
    </row>
    <row r="61" spans="1:27" s="3" customFormat="1" x14ac:dyDescent="0.25">
      <c r="A61" s="61"/>
      <c r="B61" s="7"/>
      <c r="C61" s="8">
        <v>40446</v>
      </c>
      <c r="D61" s="3">
        <v>10.9</v>
      </c>
      <c r="E61" s="3">
        <v>10.7</v>
      </c>
      <c r="F61" s="3">
        <v>13.9</v>
      </c>
      <c r="G61" s="3">
        <f t="shared" si="3"/>
        <v>169.60000000000002</v>
      </c>
      <c r="I61" s="3">
        <v>15</v>
      </c>
      <c r="J61" s="3">
        <v>0</v>
      </c>
      <c r="K61" s="3">
        <f t="shared" si="4"/>
        <v>11.900000000000002</v>
      </c>
      <c r="L61" s="3">
        <v>2.2999999999999998</v>
      </c>
      <c r="M61" s="3">
        <f t="shared" si="5"/>
        <v>32.9</v>
      </c>
      <c r="N61" s="3">
        <v>-2.2999999999999998</v>
      </c>
      <c r="O61" s="3">
        <f>O60+N61</f>
        <v>2.1000000000000005</v>
      </c>
      <c r="P61" s="3">
        <v>12</v>
      </c>
      <c r="Q61" s="3">
        <f t="shared" ref="Q61:Q119" si="8">0.35+((P61-10)/60)*(1-0.35)</f>
        <v>0.37166666666666665</v>
      </c>
      <c r="R61" s="10">
        <f t="shared" si="1"/>
        <v>0.85483333333333322</v>
      </c>
      <c r="S61" s="10">
        <f t="shared" si="2"/>
        <v>-0.85483333333333322</v>
      </c>
      <c r="T61" s="10">
        <f t="shared" si="6"/>
        <v>5.9935</v>
      </c>
      <c r="U61" s="18">
        <f>AVERAGE(T50:T119)</f>
        <v>65.498604761904772</v>
      </c>
      <c r="V61" s="3">
        <v>801.8</v>
      </c>
      <c r="X61" s="3">
        <f t="shared" si="7"/>
        <v>16006.399999999998</v>
      </c>
      <c r="AA61" s="3">
        <v>12.0883815144407</v>
      </c>
    </row>
    <row r="62" spans="1:27" s="3" customFormat="1" x14ac:dyDescent="0.25">
      <c r="A62" s="61"/>
      <c r="B62" s="7"/>
      <c r="C62" s="8">
        <v>40447</v>
      </c>
      <c r="D62" s="3">
        <v>8.8000000000000007</v>
      </c>
      <c r="E62" s="3">
        <v>3.8</v>
      </c>
      <c r="F62" s="3">
        <v>14.7</v>
      </c>
      <c r="G62" s="3">
        <f t="shared" si="3"/>
        <v>178.40000000000003</v>
      </c>
      <c r="I62" s="9" t="s">
        <v>57</v>
      </c>
      <c r="J62" s="3">
        <v>0</v>
      </c>
      <c r="K62" s="3">
        <f t="shared" si="4"/>
        <v>11.900000000000002</v>
      </c>
      <c r="L62" s="3">
        <v>2</v>
      </c>
      <c r="M62" s="3">
        <f t="shared" si="5"/>
        <v>34.9</v>
      </c>
      <c r="N62" s="3">
        <v>-2</v>
      </c>
      <c r="O62" s="3">
        <f>O61+N62</f>
        <v>0.10000000000000053</v>
      </c>
      <c r="P62" s="3">
        <v>13</v>
      </c>
      <c r="Q62" s="3">
        <f t="shared" si="8"/>
        <v>0.38249999999999995</v>
      </c>
      <c r="R62" s="10">
        <f t="shared" si="1"/>
        <v>0.7649999999999999</v>
      </c>
      <c r="S62" s="10">
        <f t="shared" si="2"/>
        <v>-0.7649999999999999</v>
      </c>
      <c r="T62" s="10">
        <f t="shared" si="6"/>
        <v>5.2285000000000004</v>
      </c>
      <c r="V62" s="3">
        <v>1104.2</v>
      </c>
      <c r="X62" s="3">
        <f t="shared" si="7"/>
        <v>17110.599999999999</v>
      </c>
      <c r="AA62" s="3">
        <v>12.030376765913299</v>
      </c>
    </row>
    <row r="63" spans="1:27" s="3" customFormat="1" x14ac:dyDescent="0.25">
      <c r="A63" s="61"/>
      <c r="B63" s="7"/>
      <c r="C63" s="8">
        <v>40448</v>
      </c>
      <c r="D63" s="3">
        <v>11.9</v>
      </c>
      <c r="E63" s="3">
        <v>6.8</v>
      </c>
      <c r="F63" s="3">
        <v>16.399999999999999</v>
      </c>
      <c r="G63" s="3">
        <f t="shared" si="3"/>
        <v>190.30000000000004</v>
      </c>
      <c r="I63" s="3">
        <v>814.3</v>
      </c>
      <c r="J63" s="3">
        <v>0</v>
      </c>
      <c r="K63" s="3">
        <f t="shared" si="4"/>
        <v>11.900000000000002</v>
      </c>
      <c r="L63" s="3">
        <v>1.2</v>
      </c>
      <c r="M63" s="3">
        <f t="shared" si="5"/>
        <v>36.1</v>
      </c>
      <c r="N63" s="3">
        <v>-1.2</v>
      </c>
      <c r="O63" s="3">
        <v>0</v>
      </c>
      <c r="P63" s="3">
        <v>14</v>
      </c>
      <c r="Q63" s="3">
        <f t="shared" si="8"/>
        <v>0.39333333333333331</v>
      </c>
      <c r="R63" s="10">
        <f t="shared" si="1"/>
        <v>0.47199999999999998</v>
      </c>
      <c r="S63" s="10">
        <f t="shared" si="2"/>
        <v>-0.47199999999999998</v>
      </c>
      <c r="T63" s="10">
        <f t="shared" si="6"/>
        <v>4.7565000000000008</v>
      </c>
      <c r="U63" s="10">
        <f>(U61*100)/197.4</f>
        <v>33.180650841897048</v>
      </c>
      <c r="V63" s="3">
        <v>393.3</v>
      </c>
      <c r="X63" s="3">
        <f t="shared" si="7"/>
        <v>17503.899999999998</v>
      </c>
      <c r="AA63" s="3">
        <v>11.972369597360601</v>
      </c>
    </row>
    <row r="64" spans="1:27" s="3" customFormat="1" x14ac:dyDescent="0.25">
      <c r="A64" s="61"/>
      <c r="B64" s="7"/>
      <c r="C64" s="8">
        <v>40449</v>
      </c>
      <c r="D64" s="3">
        <v>12.9</v>
      </c>
      <c r="E64" s="3">
        <v>6.6</v>
      </c>
      <c r="F64" s="3">
        <v>20.100000000000001</v>
      </c>
      <c r="G64" s="3">
        <f t="shared" si="3"/>
        <v>203.20000000000005</v>
      </c>
      <c r="J64" s="3">
        <v>0</v>
      </c>
      <c r="K64" s="3">
        <f t="shared" si="4"/>
        <v>11.900000000000002</v>
      </c>
      <c r="L64" s="3">
        <v>2.4</v>
      </c>
      <c r="M64" s="3">
        <f t="shared" si="5"/>
        <v>38.5</v>
      </c>
      <c r="N64" s="3">
        <v>-2.4</v>
      </c>
      <c r="O64" s="3">
        <v>0</v>
      </c>
      <c r="P64" s="3">
        <v>15</v>
      </c>
      <c r="Q64" s="3">
        <f t="shared" si="8"/>
        <v>0.40416666666666667</v>
      </c>
      <c r="R64" s="10">
        <f t="shared" si="1"/>
        <v>0.97</v>
      </c>
      <c r="S64" s="10">
        <f t="shared" si="2"/>
        <v>-0.97</v>
      </c>
      <c r="T64" s="10">
        <f t="shared" si="6"/>
        <v>3.7865000000000011</v>
      </c>
      <c r="V64" s="3">
        <v>1332.6</v>
      </c>
      <c r="X64" s="3">
        <f t="shared" si="7"/>
        <v>18836.499999999996</v>
      </c>
      <c r="AA64" s="3">
        <v>11.9143655718154</v>
      </c>
    </row>
    <row r="65" spans="1:27" s="3" customFormat="1" x14ac:dyDescent="0.25">
      <c r="A65" s="61"/>
      <c r="B65" s="7"/>
      <c r="C65" s="8">
        <v>40450</v>
      </c>
      <c r="D65" s="3">
        <v>13</v>
      </c>
      <c r="E65" s="3">
        <v>9</v>
      </c>
      <c r="F65" s="3">
        <v>17.3</v>
      </c>
      <c r="G65" s="3">
        <f t="shared" si="3"/>
        <v>216.20000000000005</v>
      </c>
      <c r="J65" s="3">
        <v>8</v>
      </c>
      <c r="K65" s="3">
        <f t="shared" si="4"/>
        <v>19.900000000000002</v>
      </c>
      <c r="L65" s="3">
        <v>0.9</v>
      </c>
      <c r="M65" s="3">
        <f t="shared" si="5"/>
        <v>39.4</v>
      </c>
      <c r="N65" s="3">
        <v>7.1</v>
      </c>
      <c r="O65" s="3">
        <f t="shared" ref="O65:O128" si="9">O64+N65</f>
        <v>7.1</v>
      </c>
      <c r="P65" s="3">
        <v>16</v>
      </c>
      <c r="Q65" s="3">
        <f t="shared" si="8"/>
        <v>0.41499999999999998</v>
      </c>
      <c r="R65" s="10">
        <f t="shared" si="1"/>
        <v>0.3735</v>
      </c>
      <c r="S65" s="10">
        <f t="shared" si="2"/>
        <v>7.6265000000000001</v>
      </c>
      <c r="T65" s="10">
        <f t="shared" si="6"/>
        <v>11.413</v>
      </c>
      <c r="V65" s="3">
        <v>368.8</v>
      </c>
      <c r="X65" s="3">
        <f t="shared" si="7"/>
        <v>19205.299999999996</v>
      </c>
      <c r="AA65" s="3">
        <v>11.856370332278001</v>
      </c>
    </row>
    <row r="66" spans="1:27" s="3" customFormat="1" x14ac:dyDescent="0.25">
      <c r="A66" s="61"/>
      <c r="B66" s="7"/>
      <c r="C66" s="8">
        <v>40451</v>
      </c>
      <c r="D66" s="3">
        <v>11.7</v>
      </c>
      <c r="E66" s="3">
        <v>6.8</v>
      </c>
      <c r="F66" s="3">
        <v>15.6</v>
      </c>
      <c r="G66" s="3">
        <f t="shared" si="3"/>
        <v>227.90000000000003</v>
      </c>
      <c r="J66" s="3">
        <v>2.4</v>
      </c>
      <c r="K66" s="3">
        <f t="shared" si="4"/>
        <v>22.3</v>
      </c>
      <c r="L66" s="3">
        <v>1.1000000000000001</v>
      </c>
      <c r="M66" s="3">
        <f t="shared" si="5"/>
        <v>40.5</v>
      </c>
      <c r="N66" s="3">
        <v>1.2999999999999998</v>
      </c>
      <c r="O66" s="3">
        <f t="shared" si="9"/>
        <v>8.3999999999999986</v>
      </c>
      <c r="P66" s="3">
        <v>17</v>
      </c>
      <c r="Q66" s="3">
        <f t="shared" si="8"/>
        <v>0.42583333333333329</v>
      </c>
      <c r="R66" s="10">
        <f t="shared" si="1"/>
        <v>0.46841666666666665</v>
      </c>
      <c r="S66" s="10">
        <f t="shared" si="2"/>
        <v>1.9315833333333332</v>
      </c>
      <c r="T66" s="10">
        <f t="shared" si="6"/>
        <v>13.344583333333333</v>
      </c>
      <c r="V66" s="3">
        <v>931.9</v>
      </c>
      <c r="X66" s="3">
        <f t="shared" si="7"/>
        <v>20137.199999999997</v>
      </c>
      <c r="AA66" s="3">
        <v>11.7983896186562</v>
      </c>
    </row>
    <row r="67" spans="1:27" s="3" customFormat="1" x14ac:dyDescent="0.25">
      <c r="A67" s="61"/>
      <c r="B67" s="7"/>
      <c r="C67" s="8">
        <v>40452</v>
      </c>
      <c r="D67" s="3">
        <v>15.3</v>
      </c>
      <c r="E67" s="3">
        <v>12.7</v>
      </c>
      <c r="F67" s="3">
        <v>17.100000000000001</v>
      </c>
      <c r="G67" s="3">
        <f t="shared" si="3"/>
        <v>243.20000000000005</v>
      </c>
      <c r="J67" s="3">
        <v>17.7</v>
      </c>
      <c r="K67" s="3">
        <f t="shared" si="4"/>
        <v>40</v>
      </c>
      <c r="L67" s="3">
        <v>0.5</v>
      </c>
      <c r="M67" s="3">
        <f t="shared" si="5"/>
        <v>41</v>
      </c>
      <c r="N67" s="3">
        <v>17.2</v>
      </c>
      <c r="O67" s="3">
        <f t="shared" si="9"/>
        <v>25.599999999999998</v>
      </c>
      <c r="P67" s="3">
        <v>18</v>
      </c>
      <c r="Q67" s="3">
        <f t="shared" si="8"/>
        <v>0.43666666666666665</v>
      </c>
      <c r="R67" s="10">
        <f t="shared" si="1"/>
        <v>0.21833333333333332</v>
      </c>
      <c r="S67" s="10">
        <f t="shared" si="2"/>
        <v>17.481666666666666</v>
      </c>
      <c r="T67" s="10">
        <f t="shared" si="6"/>
        <v>30.826249999999998</v>
      </c>
      <c r="V67" s="3">
        <v>210.6</v>
      </c>
      <c r="X67" s="3">
        <f t="shared" si="7"/>
        <v>20347.799999999996</v>
      </c>
      <c r="AA67" s="3">
        <v>11.740429284817401</v>
      </c>
    </row>
    <row r="68" spans="1:27" s="3" customFormat="1" x14ac:dyDescent="0.25">
      <c r="A68" s="61"/>
      <c r="B68" s="7"/>
      <c r="C68" s="8">
        <v>40453</v>
      </c>
      <c r="D68" s="3">
        <v>17.2</v>
      </c>
      <c r="E68" s="3">
        <v>16.399999999999999</v>
      </c>
      <c r="F68" s="3">
        <v>18.899999999999999</v>
      </c>
      <c r="G68" s="3">
        <f t="shared" si="3"/>
        <v>260.40000000000003</v>
      </c>
      <c r="J68" s="3">
        <v>9.1999999999999993</v>
      </c>
      <c r="K68" s="3">
        <f t="shared" si="4"/>
        <v>49.2</v>
      </c>
      <c r="L68" s="3">
        <v>1.5</v>
      </c>
      <c r="M68" s="3">
        <f t="shared" si="5"/>
        <v>42.5</v>
      </c>
      <c r="N68" s="3">
        <v>7.6999999999999993</v>
      </c>
      <c r="O68" s="3">
        <f t="shared" si="9"/>
        <v>33.299999999999997</v>
      </c>
      <c r="P68" s="3">
        <v>19</v>
      </c>
      <c r="Q68" s="3">
        <f t="shared" si="8"/>
        <v>0.44750000000000001</v>
      </c>
      <c r="R68" s="10">
        <f t="shared" si="1"/>
        <v>0.67125000000000001</v>
      </c>
      <c r="S68" s="10">
        <f t="shared" si="2"/>
        <v>8.5287499999999987</v>
      </c>
      <c r="T68" s="10">
        <f t="shared" si="6"/>
        <v>39.354999999999997</v>
      </c>
      <c r="V68" s="3">
        <v>539</v>
      </c>
      <c r="X68" s="3">
        <f t="shared" si="7"/>
        <v>20886.799999999996</v>
      </c>
      <c r="AA68" s="3">
        <v>11.6824953157588</v>
      </c>
    </row>
    <row r="69" spans="1:27" s="3" customFormat="1" x14ac:dyDescent="0.25">
      <c r="A69" s="61"/>
      <c r="B69" s="7"/>
      <c r="C69" s="8">
        <v>40454</v>
      </c>
      <c r="D69" s="3">
        <v>15.6</v>
      </c>
      <c r="E69" s="3">
        <v>15.4</v>
      </c>
      <c r="F69" s="3">
        <v>15.8</v>
      </c>
      <c r="G69" s="3">
        <f t="shared" si="3"/>
        <v>276.00000000000006</v>
      </c>
      <c r="J69" s="3">
        <v>15.1</v>
      </c>
      <c r="K69" s="3">
        <f t="shared" si="4"/>
        <v>64.3</v>
      </c>
      <c r="L69" s="3">
        <v>1</v>
      </c>
      <c r="M69" s="3">
        <f t="shared" si="5"/>
        <v>43.5</v>
      </c>
      <c r="N69" s="3">
        <v>14.1</v>
      </c>
      <c r="O69" s="3">
        <f t="shared" si="9"/>
        <v>47.4</v>
      </c>
      <c r="P69" s="3">
        <v>20</v>
      </c>
      <c r="Q69" s="3">
        <f t="shared" si="8"/>
        <v>0.45833333333333331</v>
      </c>
      <c r="R69" s="10">
        <f t="shared" si="1"/>
        <v>0.45833333333333331</v>
      </c>
      <c r="S69" s="10">
        <f t="shared" si="2"/>
        <v>14.641666666666666</v>
      </c>
      <c r="T69" s="10">
        <f t="shared" si="6"/>
        <v>53.996666666666663</v>
      </c>
      <c r="V69" s="3">
        <v>492.9</v>
      </c>
      <c r="X69" s="3">
        <f t="shared" si="7"/>
        <v>21379.699999999997</v>
      </c>
      <c r="AA69" s="3">
        <v>11.624593844895101</v>
      </c>
    </row>
    <row r="70" spans="1:27" s="3" customFormat="1" x14ac:dyDescent="0.25">
      <c r="A70" s="61"/>
      <c r="B70" s="7"/>
      <c r="C70" s="8">
        <v>40455</v>
      </c>
      <c r="D70" s="3">
        <v>14.6</v>
      </c>
      <c r="E70" s="3">
        <v>14.1</v>
      </c>
      <c r="F70" s="3">
        <v>16.399999999999999</v>
      </c>
      <c r="G70" s="3">
        <f t="shared" si="3"/>
        <v>290.60000000000008</v>
      </c>
      <c r="J70" s="3">
        <v>9.1999999999999993</v>
      </c>
      <c r="K70" s="3">
        <f t="shared" si="4"/>
        <v>73.5</v>
      </c>
      <c r="L70" s="3">
        <v>0.8</v>
      </c>
      <c r="M70" s="3">
        <f t="shared" si="5"/>
        <v>44.3</v>
      </c>
      <c r="N70" s="3">
        <v>8.3999999999999986</v>
      </c>
      <c r="O70" s="3">
        <f t="shared" si="9"/>
        <v>55.8</v>
      </c>
      <c r="P70" s="3">
        <v>21</v>
      </c>
      <c r="Q70" s="3">
        <f t="shared" si="8"/>
        <v>0.46916666666666662</v>
      </c>
      <c r="R70" s="10">
        <f t="shared" si="1"/>
        <v>0.3753333333333333</v>
      </c>
      <c r="S70" s="10">
        <f t="shared" si="2"/>
        <v>8.8246666666666655</v>
      </c>
      <c r="T70" s="10">
        <f t="shared" si="6"/>
        <v>62.821333333333328</v>
      </c>
      <c r="V70" s="3">
        <v>219</v>
      </c>
      <c r="X70" s="3">
        <f t="shared" si="7"/>
        <v>21598.699999999997</v>
      </c>
      <c r="AA70" s="3">
        <v>11.566731171465699</v>
      </c>
    </row>
    <row r="71" spans="1:27" s="3" customFormat="1" x14ac:dyDescent="0.25">
      <c r="A71" s="61"/>
      <c r="B71" s="7"/>
      <c r="C71" s="8">
        <v>40456</v>
      </c>
      <c r="D71" s="3">
        <v>15.7</v>
      </c>
      <c r="E71" s="3">
        <v>12.3</v>
      </c>
      <c r="F71" s="3">
        <v>17.100000000000001</v>
      </c>
      <c r="G71" s="3">
        <f t="shared" si="3"/>
        <v>306.30000000000007</v>
      </c>
      <c r="J71" s="3">
        <v>18.100000000000001</v>
      </c>
      <c r="K71" s="3">
        <f t="shared" si="4"/>
        <v>91.6</v>
      </c>
      <c r="L71" s="3">
        <v>0.2</v>
      </c>
      <c r="M71" s="3">
        <f t="shared" si="5"/>
        <v>44.5</v>
      </c>
      <c r="N71" s="3">
        <v>17.900000000000002</v>
      </c>
      <c r="O71" s="3">
        <f t="shared" si="9"/>
        <v>73.7</v>
      </c>
      <c r="P71" s="3">
        <v>22</v>
      </c>
      <c r="Q71" s="3">
        <f t="shared" si="8"/>
        <v>0.48</v>
      </c>
      <c r="R71" s="10">
        <f t="shared" si="1"/>
        <v>9.6000000000000002E-2</v>
      </c>
      <c r="S71" s="10">
        <f t="shared" si="2"/>
        <v>18.004000000000001</v>
      </c>
      <c r="T71" s="10">
        <f t="shared" si="6"/>
        <v>80.825333333333333</v>
      </c>
      <c r="V71" s="3">
        <v>159.80000000000001</v>
      </c>
      <c r="X71" s="3">
        <f t="shared" si="7"/>
        <v>21758.499999999996</v>
      </c>
      <c r="AA71" s="3">
        <v>11.5089137780611</v>
      </c>
    </row>
    <row r="72" spans="1:27" s="3" customFormat="1" x14ac:dyDescent="0.25">
      <c r="A72" s="61"/>
      <c r="B72" s="7"/>
      <c r="C72" s="8">
        <v>40457</v>
      </c>
      <c r="D72" s="3">
        <v>14.5</v>
      </c>
      <c r="E72" s="3">
        <v>14.3</v>
      </c>
      <c r="F72" s="3">
        <v>17.2</v>
      </c>
      <c r="G72" s="3">
        <f t="shared" si="3"/>
        <v>320.80000000000007</v>
      </c>
      <c r="J72" s="3">
        <v>0.2</v>
      </c>
      <c r="K72" s="3">
        <f t="shared" si="4"/>
        <v>91.8</v>
      </c>
      <c r="L72" s="3">
        <v>1.7</v>
      </c>
      <c r="M72" s="3">
        <f t="shared" si="5"/>
        <v>46.2</v>
      </c>
      <c r="N72" s="3">
        <v>-1.5</v>
      </c>
      <c r="O72" s="3">
        <f t="shared" si="9"/>
        <v>72.2</v>
      </c>
      <c r="P72" s="3">
        <v>23</v>
      </c>
      <c r="Q72" s="3">
        <f t="shared" si="8"/>
        <v>0.49083333333333334</v>
      </c>
      <c r="R72" s="10">
        <f t="shared" si="1"/>
        <v>0.8344166666666667</v>
      </c>
      <c r="S72" s="10">
        <f t="shared" si="2"/>
        <v>-0.63441666666666663</v>
      </c>
      <c r="T72" s="10">
        <f t="shared" si="6"/>
        <v>80.190916666666666</v>
      </c>
      <c r="V72" s="3">
        <v>917.9</v>
      </c>
      <c r="X72" s="3">
        <f t="shared" si="7"/>
        <v>22676.399999999998</v>
      </c>
      <c r="AA72" s="3">
        <v>11.451148348265299</v>
      </c>
    </row>
    <row r="73" spans="1:27" s="3" customFormat="1" x14ac:dyDescent="0.25">
      <c r="A73" s="61"/>
      <c r="B73" s="7"/>
      <c r="C73" s="8">
        <v>40458</v>
      </c>
      <c r="D73" s="3">
        <v>15.4</v>
      </c>
      <c r="E73" s="3">
        <v>8.5</v>
      </c>
      <c r="F73" s="3">
        <v>20.8</v>
      </c>
      <c r="G73" s="3">
        <f t="shared" si="3"/>
        <v>336.20000000000005</v>
      </c>
      <c r="J73" s="3">
        <v>0</v>
      </c>
      <c r="K73" s="3">
        <f t="shared" si="4"/>
        <v>91.8</v>
      </c>
      <c r="L73" s="3">
        <v>1.5</v>
      </c>
      <c r="M73" s="3">
        <f t="shared" si="5"/>
        <v>47.7</v>
      </c>
      <c r="N73" s="3">
        <v>-1.5</v>
      </c>
      <c r="O73" s="3">
        <f t="shared" si="9"/>
        <v>70.7</v>
      </c>
      <c r="P73" s="3">
        <v>24</v>
      </c>
      <c r="Q73" s="3">
        <f t="shared" si="8"/>
        <v>0.50166666666666671</v>
      </c>
      <c r="R73" s="10">
        <f t="shared" si="1"/>
        <v>0.75250000000000006</v>
      </c>
      <c r="S73" s="10">
        <f t="shared" si="2"/>
        <v>-0.75250000000000006</v>
      </c>
      <c r="T73" s="10">
        <f t="shared" si="6"/>
        <v>79.438416666666669</v>
      </c>
      <c r="V73" s="3">
        <v>1096.5999999999999</v>
      </c>
      <c r="X73" s="3">
        <f t="shared" si="7"/>
        <v>23772.999999999996</v>
      </c>
      <c r="AA73" s="3">
        <v>11.393441784411801</v>
      </c>
    </row>
    <row r="74" spans="1:27" s="3" customFormat="1" x14ac:dyDescent="0.25">
      <c r="A74" s="61"/>
      <c r="B74" s="7"/>
      <c r="C74" s="8">
        <v>40459</v>
      </c>
      <c r="D74" s="3">
        <v>19</v>
      </c>
      <c r="E74" s="3">
        <v>15.5</v>
      </c>
      <c r="F74" s="3">
        <v>23.8</v>
      </c>
      <c r="G74" s="3">
        <f t="shared" si="3"/>
        <v>355.20000000000005</v>
      </c>
      <c r="J74" s="3">
        <v>0</v>
      </c>
      <c r="K74" s="3">
        <f t="shared" si="4"/>
        <v>91.8</v>
      </c>
      <c r="L74" s="3">
        <v>2.8</v>
      </c>
      <c r="M74" s="3">
        <f t="shared" si="5"/>
        <v>50.5</v>
      </c>
      <c r="N74" s="3">
        <v>-2.8</v>
      </c>
      <c r="O74" s="3">
        <f t="shared" si="9"/>
        <v>67.900000000000006</v>
      </c>
      <c r="P74" s="3">
        <v>25</v>
      </c>
      <c r="Q74" s="3">
        <f t="shared" si="8"/>
        <v>0.51249999999999996</v>
      </c>
      <c r="R74" s="10">
        <f t="shared" si="1"/>
        <v>1.4349999999999998</v>
      </c>
      <c r="S74" s="10">
        <f t="shared" si="2"/>
        <v>-1.4349999999999998</v>
      </c>
      <c r="T74" s="10">
        <f t="shared" si="6"/>
        <v>78.003416666666666</v>
      </c>
      <c r="V74" s="3">
        <v>1261.5999999999999</v>
      </c>
      <c r="X74" s="3">
        <f t="shared" si="7"/>
        <v>25034.599999999995</v>
      </c>
      <c r="AA74" s="3">
        <v>11.335801225446801</v>
      </c>
    </row>
    <row r="75" spans="1:27" s="3" customFormat="1" x14ac:dyDescent="0.25">
      <c r="A75" s="61"/>
      <c r="B75" s="7"/>
      <c r="C75" s="8">
        <v>40460</v>
      </c>
      <c r="D75" s="3">
        <v>18.600000000000001</v>
      </c>
      <c r="E75" s="3">
        <v>15.4</v>
      </c>
      <c r="F75" s="3">
        <v>23.4</v>
      </c>
      <c r="G75" s="3">
        <f t="shared" si="3"/>
        <v>373.80000000000007</v>
      </c>
      <c r="J75" s="3">
        <v>0</v>
      </c>
      <c r="K75" s="3">
        <f t="shared" si="4"/>
        <v>91.8</v>
      </c>
      <c r="L75" s="3">
        <v>2.6</v>
      </c>
      <c r="M75" s="3">
        <f t="shared" si="5"/>
        <v>53.1</v>
      </c>
      <c r="N75" s="3">
        <v>-2.6</v>
      </c>
      <c r="O75" s="3">
        <f t="shared" si="9"/>
        <v>65.300000000000011</v>
      </c>
      <c r="P75" s="3">
        <v>26</v>
      </c>
      <c r="Q75" s="3">
        <f t="shared" si="8"/>
        <v>0.52333333333333332</v>
      </c>
      <c r="R75" s="10">
        <f t="shared" si="1"/>
        <v>1.3606666666666667</v>
      </c>
      <c r="S75" s="10">
        <f t="shared" si="2"/>
        <v>-1.3606666666666667</v>
      </c>
      <c r="T75" s="10">
        <f t="shared" si="6"/>
        <v>76.642750000000007</v>
      </c>
      <c r="V75" s="3">
        <v>1322.7</v>
      </c>
      <c r="X75" s="3">
        <f t="shared" si="7"/>
        <v>26357.299999999996</v>
      </c>
      <c r="AA75" s="3">
        <v>11.278234064892301</v>
      </c>
    </row>
    <row r="76" spans="1:27" s="3" customFormat="1" x14ac:dyDescent="0.25">
      <c r="A76" s="61"/>
      <c r="B76" s="7"/>
      <c r="C76" s="8">
        <v>40461</v>
      </c>
      <c r="D76" s="3">
        <v>17.8</v>
      </c>
      <c r="E76" s="3">
        <v>16</v>
      </c>
      <c r="F76" s="3">
        <v>22.3</v>
      </c>
      <c r="G76" s="3">
        <f t="shared" si="3"/>
        <v>391.60000000000008</v>
      </c>
      <c r="J76" s="3">
        <v>0</v>
      </c>
      <c r="K76" s="3">
        <f t="shared" si="4"/>
        <v>91.8</v>
      </c>
      <c r="L76" s="3">
        <v>2.6</v>
      </c>
      <c r="M76" s="3">
        <f t="shared" si="5"/>
        <v>55.7</v>
      </c>
      <c r="N76" s="3">
        <v>-2.6</v>
      </c>
      <c r="O76" s="3">
        <f t="shared" si="9"/>
        <v>62.70000000000001</v>
      </c>
      <c r="P76" s="3">
        <v>27</v>
      </c>
      <c r="Q76" s="3">
        <f t="shared" si="8"/>
        <v>0.53416666666666668</v>
      </c>
      <c r="R76" s="10">
        <f t="shared" si="1"/>
        <v>1.3888333333333334</v>
      </c>
      <c r="S76" s="10">
        <f t="shared" si="2"/>
        <v>-1.3888333333333334</v>
      </c>
      <c r="T76" s="10">
        <f t="shared" si="6"/>
        <v>75.253916666666669</v>
      </c>
      <c r="V76" s="3">
        <v>1301</v>
      </c>
      <c r="X76" s="3">
        <f t="shared" si="7"/>
        <v>27658.299999999996</v>
      </c>
      <c r="AA76" s="3">
        <v>11.220747968898101</v>
      </c>
    </row>
    <row r="77" spans="1:27" s="3" customFormat="1" x14ac:dyDescent="0.25">
      <c r="A77" s="61"/>
      <c r="B77" s="7"/>
      <c r="C77" s="8">
        <v>40462</v>
      </c>
      <c r="D77" s="3">
        <v>14</v>
      </c>
      <c r="E77" s="3">
        <v>10.199999999999999</v>
      </c>
      <c r="F77" s="3">
        <v>19.8</v>
      </c>
      <c r="G77" s="3">
        <f t="shared" si="3"/>
        <v>405.60000000000008</v>
      </c>
      <c r="J77" s="3">
        <v>0</v>
      </c>
      <c r="K77" s="3">
        <f t="shared" si="4"/>
        <v>91.8</v>
      </c>
      <c r="L77" s="3">
        <v>3.5</v>
      </c>
      <c r="M77" s="3">
        <f t="shared" si="5"/>
        <v>59.2</v>
      </c>
      <c r="N77" s="3">
        <v>-3.5</v>
      </c>
      <c r="O77" s="3">
        <f t="shared" si="9"/>
        <v>59.20000000000001</v>
      </c>
      <c r="P77" s="3">
        <v>28</v>
      </c>
      <c r="Q77" s="3">
        <f t="shared" si="8"/>
        <v>0.54499999999999993</v>
      </c>
      <c r="R77" s="10">
        <f t="shared" si="1"/>
        <v>1.9074999999999998</v>
      </c>
      <c r="S77" s="10">
        <f t="shared" si="2"/>
        <v>-1.9074999999999998</v>
      </c>
      <c r="T77" s="10">
        <f t="shared" si="6"/>
        <v>73.34641666666667</v>
      </c>
      <c r="V77" s="3">
        <v>1317.1</v>
      </c>
      <c r="X77" s="3">
        <f t="shared" si="7"/>
        <v>28975.399999999994</v>
      </c>
      <c r="AA77" s="3">
        <v>11.163350894371</v>
      </c>
    </row>
    <row r="78" spans="1:27" s="3" customFormat="1" x14ac:dyDescent="0.25">
      <c r="A78" s="61"/>
      <c r="B78" s="7"/>
      <c r="C78" s="8">
        <v>40463</v>
      </c>
      <c r="D78" s="3">
        <v>12.5</v>
      </c>
      <c r="E78" s="3">
        <v>8.1999999999999993</v>
      </c>
      <c r="F78" s="3">
        <v>19.3</v>
      </c>
      <c r="G78" s="3">
        <f t="shared" si="3"/>
        <v>418.10000000000008</v>
      </c>
      <c r="J78" s="3">
        <v>0</v>
      </c>
      <c r="K78" s="3">
        <f t="shared" si="4"/>
        <v>91.8</v>
      </c>
      <c r="L78" s="3">
        <v>3.1</v>
      </c>
      <c r="M78" s="3">
        <f t="shared" si="5"/>
        <v>62.300000000000004</v>
      </c>
      <c r="N78" s="3">
        <v>-3.1</v>
      </c>
      <c r="O78" s="3">
        <f t="shared" si="9"/>
        <v>56.100000000000009</v>
      </c>
      <c r="P78" s="3">
        <v>29</v>
      </c>
      <c r="Q78" s="3">
        <f t="shared" si="8"/>
        <v>0.55583333333333329</v>
      </c>
      <c r="R78" s="10">
        <f t="shared" si="1"/>
        <v>1.7230833333333333</v>
      </c>
      <c r="S78" s="10">
        <f t="shared" si="2"/>
        <v>-1.7230833333333333</v>
      </c>
      <c r="T78" s="10">
        <f t="shared" si="6"/>
        <v>71.623333333333335</v>
      </c>
      <c r="V78" s="3">
        <v>1512.9</v>
      </c>
      <c r="X78" s="3">
        <f t="shared" si="7"/>
        <v>30488.299999999996</v>
      </c>
      <c r="AA78" s="3">
        <v>11.1060511071659</v>
      </c>
    </row>
    <row r="79" spans="1:27" s="3" customFormat="1" x14ac:dyDescent="0.25">
      <c r="A79" s="61"/>
      <c r="B79" s="7"/>
      <c r="C79" s="8">
        <v>40464</v>
      </c>
      <c r="D79" s="3">
        <v>11</v>
      </c>
      <c r="E79" s="3">
        <v>6.7</v>
      </c>
      <c r="F79" s="3">
        <v>15.9</v>
      </c>
      <c r="G79" s="3">
        <f t="shared" si="3"/>
        <v>429.10000000000008</v>
      </c>
      <c r="J79" s="3">
        <v>0</v>
      </c>
      <c r="K79" s="3">
        <f t="shared" si="4"/>
        <v>91.8</v>
      </c>
      <c r="L79" s="3">
        <v>2.4</v>
      </c>
      <c r="M79" s="3">
        <f t="shared" si="5"/>
        <v>64.7</v>
      </c>
      <c r="N79" s="3">
        <v>-2.4</v>
      </c>
      <c r="O79" s="3">
        <f t="shared" si="9"/>
        <v>53.70000000000001</v>
      </c>
      <c r="P79" s="3">
        <v>30</v>
      </c>
      <c r="Q79" s="3">
        <f t="shared" si="8"/>
        <v>0.56666666666666665</v>
      </c>
      <c r="R79" s="10">
        <f t="shared" si="1"/>
        <v>1.3599999999999999</v>
      </c>
      <c r="S79" s="10">
        <f t="shared" si="2"/>
        <v>-1.3599999999999999</v>
      </c>
      <c r="T79" s="10">
        <f t="shared" si="6"/>
        <v>70.263333333333335</v>
      </c>
      <c r="V79" s="3">
        <v>1359.3</v>
      </c>
      <c r="X79" s="3">
        <f t="shared" si="7"/>
        <v>31847.599999999995</v>
      </c>
      <c r="AA79" s="3">
        <v>11.0488572003194</v>
      </c>
    </row>
    <row r="80" spans="1:27" s="3" customFormat="1" x14ac:dyDescent="0.25">
      <c r="A80" s="61"/>
      <c r="B80" s="7"/>
      <c r="C80" s="8">
        <v>40465</v>
      </c>
      <c r="D80" s="3">
        <v>12.1</v>
      </c>
      <c r="E80" s="3">
        <v>9.6999999999999993</v>
      </c>
      <c r="F80" s="3">
        <v>14.6</v>
      </c>
      <c r="G80" s="3">
        <f t="shared" si="3"/>
        <v>441.2000000000001</v>
      </c>
      <c r="J80" s="3">
        <v>0</v>
      </c>
      <c r="K80" s="3">
        <f t="shared" si="4"/>
        <v>91.8</v>
      </c>
      <c r="L80" s="3">
        <v>1.1000000000000001</v>
      </c>
      <c r="M80" s="3">
        <f t="shared" si="5"/>
        <v>65.8</v>
      </c>
      <c r="N80" s="3">
        <v>-1.1000000000000001</v>
      </c>
      <c r="O80" s="3">
        <f t="shared" si="9"/>
        <v>52.600000000000009</v>
      </c>
      <c r="P80" s="3">
        <v>31</v>
      </c>
      <c r="Q80" s="3">
        <f t="shared" si="8"/>
        <v>0.5774999999999999</v>
      </c>
      <c r="R80" s="10">
        <f t="shared" si="1"/>
        <v>0.63524999999999998</v>
      </c>
      <c r="S80" s="10">
        <f t="shared" si="2"/>
        <v>-0.63524999999999998</v>
      </c>
      <c r="T80" s="10">
        <f t="shared" si="6"/>
        <v>69.628083333333336</v>
      </c>
      <c r="V80" s="3">
        <v>410.7</v>
      </c>
      <c r="X80" s="3">
        <f t="shared" si="7"/>
        <v>32258.299999999996</v>
      </c>
      <c r="AA80" s="3">
        <v>10.9917781123049</v>
      </c>
    </row>
    <row r="81" spans="1:27" s="3" customFormat="1" x14ac:dyDescent="0.25">
      <c r="A81" s="61"/>
      <c r="B81" s="7"/>
      <c r="C81" s="8">
        <v>40466</v>
      </c>
      <c r="D81" s="3">
        <v>11.8</v>
      </c>
      <c r="E81" s="3">
        <v>9.4</v>
      </c>
      <c r="F81" s="3">
        <v>14</v>
      </c>
      <c r="G81" s="3">
        <f t="shared" si="3"/>
        <v>453.00000000000011</v>
      </c>
      <c r="J81" s="3">
        <v>0.7</v>
      </c>
      <c r="K81" s="3">
        <f t="shared" si="4"/>
        <v>92.5</v>
      </c>
      <c r="L81" s="3">
        <v>0.7</v>
      </c>
      <c r="M81" s="3">
        <f t="shared" si="5"/>
        <v>66.5</v>
      </c>
      <c r="N81" s="3">
        <v>0</v>
      </c>
      <c r="O81" s="3">
        <f t="shared" si="9"/>
        <v>52.600000000000009</v>
      </c>
      <c r="P81" s="3">
        <v>32</v>
      </c>
      <c r="Q81" s="3">
        <f t="shared" si="8"/>
        <v>0.58833333333333326</v>
      </c>
      <c r="R81" s="10">
        <f t="shared" si="1"/>
        <v>0.41183333333333327</v>
      </c>
      <c r="S81" s="10">
        <f t="shared" si="2"/>
        <v>0.28816666666666668</v>
      </c>
      <c r="T81" s="10">
        <f t="shared" si="6"/>
        <v>69.916250000000005</v>
      </c>
      <c r="V81" s="3">
        <v>203.9</v>
      </c>
      <c r="X81" s="3">
        <f t="shared" si="7"/>
        <v>32462.199999999997</v>
      </c>
      <c r="AA81" s="3">
        <v>10.9348231452836</v>
      </c>
    </row>
    <row r="82" spans="1:27" s="3" customFormat="1" x14ac:dyDescent="0.25">
      <c r="A82" s="61"/>
      <c r="B82" s="7"/>
      <c r="C82" s="8">
        <v>40467</v>
      </c>
      <c r="D82" s="3">
        <v>11.2</v>
      </c>
      <c r="E82" s="3">
        <v>9.6</v>
      </c>
      <c r="F82" s="3">
        <v>15.3</v>
      </c>
      <c r="G82" s="3">
        <f t="shared" si="3"/>
        <v>464.2000000000001</v>
      </c>
      <c r="J82" s="3">
        <v>0.2</v>
      </c>
      <c r="K82" s="3">
        <f t="shared" si="4"/>
        <v>92.7</v>
      </c>
      <c r="L82" s="3">
        <v>2</v>
      </c>
      <c r="M82" s="3">
        <f t="shared" si="5"/>
        <v>68.5</v>
      </c>
      <c r="N82" s="3">
        <v>-1.8</v>
      </c>
      <c r="O82" s="3">
        <f t="shared" si="9"/>
        <v>50.800000000000011</v>
      </c>
      <c r="P82" s="3">
        <v>33</v>
      </c>
      <c r="Q82" s="3">
        <f t="shared" si="8"/>
        <v>0.59916666666666663</v>
      </c>
      <c r="R82" s="10">
        <f t="shared" si="1"/>
        <v>1.1983333333333333</v>
      </c>
      <c r="S82" s="10">
        <f t="shared" si="2"/>
        <v>-0.99833333333333329</v>
      </c>
      <c r="T82" s="10">
        <f t="shared" si="6"/>
        <v>68.91791666666667</v>
      </c>
      <c r="V82" s="3">
        <v>1000</v>
      </c>
      <c r="X82" s="3">
        <f t="shared" si="7"/>
        <v>33462.199999999997</v>
      </c>
      <c r="AA82" s="3">
        <v>10.878001983322999</v>
      </c>
    </row>
    <row r="83" spans="1:27" s="3" customFormat="1" x14ac:dyDescent="0.25">
      <c r="A83" s="61"/>
      <c r="B83" s="7"/>
      <c r="C83" s="8">
        <v>40468</v>
      </c>
      <c r="D83" s="3">
        <v>8.5</v>
      </c>
      <c r="E83" s="3">
        <v>6</v>
      </c>
      <c r="F83" s="3">
        <v>12.3</v>
      </c>
      <c r="G83" s="3">
        <f t="shared" si="3"/>
        <v>472.7000000000001</v>
      </c>
      <c r="J83" s="3">
        <v>0</v>
      </c>
      <c r="K83" s="3">
        <f t="shared" si="4"/>
        <v>92.7</v>
      </c>
      <c r="L83" s="3">
        <v>0.9</v>
      </c>
      <c r="M83" s="3">
        <f t="shared" si="5"/>
        <v>69.400000000000006</v>
      </c>
      <c r="N83" s="3">
        <v>-0.9</v>
      </c>
      <c r="O83" s="3">
        <f t="shared" si="9"/>
        <v>49.900000000000013</v>
      </c>
      <c r="P83" s="3">
        <v>34</v>
      </c>
      <c r="Q83" s="3">
        <f t="shared" si="8"/>
        <v>0.61</v>
      </c>
      <c r="R83" s="10">
        <f t="shared" si="1"/>
        <v>0.54900000000000004</v>
      </c>
      <c r="S83" s="10">
        <f t="shared" si="2"/>
        <v>-0.54900000000000004</v>
      </c>
      <c r="T83" s="10">
        <f t="shared" si="6"/>
        <v>68.368916666666664</v>
      </c>
      <c r="V83" s="3">
        <v>474.6</v>
      </c>
      <c r="X83" s="3">
        <f t="shared" si="7"/>
        <v>33936.799999999996</v>
      </c>
      <c r="AA83" s="3">
        <v>10.8213247105489</v>
      </c>
    </row>
    <row r="84" spans="1:27" s="3" customFormat="1" x14ac:dyDescent="0.25">
      <c r="A84" s="61"/>
      <c r="B84" s="7"/>
      <c r="C84" s="8">
        <v>40469</v>
      </c>
      <c r="D84" s="3">
        <v>9.1</v>
      </c>
      <c r="E84" s="3">
        <v>3.4</v>
      </c>
      <c r="F84" s="3">
        <v>12.6</v>
      </c>
      <c r="G84" s="3">
        <f t="shared" si="3"/>
        <v>481.80000000000013</v>
      </c>
      <c r="J84" s="3">
        <v>0</v>
      </c>
      <c r="K84" s="3">
        <f t="shared" si="4"/>
        <v>92.7</v>
      </c>
      <c r="L84" s="3">
        <v>0.3</v>
      </c>
      <c r="M84" s="3">
        <f t="shared" si="5"/>
        <v>69.7</v>
      </c>
      <c r="N84" s="3">
        <v>-0.3</v>
      </c>
      <c r="O84" s="3">
        <f t="shared" si="9"/>
        <v>49.600000000000016</v>
      </c>
      <c r="P84" s="3">
        <v>35</v>
      </c>
      <c r="Q84" s="3">
        <f t="shared" si="8"/>
        <v>0.62083333333333335</v>
      </c>
      <c r="R84" s="10">
        <f t="shared" si="1"/>
        <v>0.18625</v>
      </c>
      <c r="S84" s="10">
        <f t="shared" si="2"/>
        <v>-0.18625</v>
      </c>
      <c r="T84" s="10">
        <f t="shared" si="6"/>
        <v>68.182666666666663</v>
      </c>
      <c r="V84" s="3">
        <v>382</v>
      </c>
      <c r="X84" s="3">
        <f t="shared" si="7"/>
        <v>34318.799999999996</v>
      </c>
      <c r="AA84" s="3">
        <v>10.764801829194701</v>
      </c>
    </row>
    <row r="85" spans="1:27" s="3" customFormat="1" x14ac:dyDescent="0.25">
      <c r="A85" s="61"/>
      <c r="B85" s="7"/>
      <c r="C85" s="8">
        <v>40470</v>
      </c>
      <c r="D85" s="3">
        <v>12.1</v>
      </c>
      <c r="E85" s="3">
        <v>11.5</v>
      </c>
      <c r="F85" s="3">
        <v>13.9</v>
      </c>
      <c r="G85" s="3">
        <f t="shared" si="3"/>
        <v>493.90000000000015</v>
      </c>
      <c r="J85" s="3">
        <v>1.1000000000000001</v>
      </c>
      <c r="K85" s="3">
        <f t="shared" si="4"/>
        <v>93.8</v>
      </c>
      <c r="L85" s="3">
        <v>1.7</v>
      </c>
      <c r="M85" s="3">
        <f t="shared" si="5"/>
        <v>71.400000000000006</v>
      </c>
      <c r="N85" s="3">
        <v>-0.59999999999999987</v>
      </c>
      <c r="O85" s="3">
        <f t="shared" si="9"/>
        <v>49.000000000000014</v>
      </c>
      <c r="P85" s="3">
        <v>36</v>
      </c>
      <c r="Q85" s="3">
        <f t="shared" si="8"/>
        <v>0.6316666666666666</v>
      </c>
      <c r="R85" s="10">
        <f t="shared" si="1"/>
        <v>1.0738333333333332</v>
      </c>
      <c r="S85" s="10">
        <f t="shared" si="2"/>
        <v>2.6166666666666893E-2</v>
      </c>
      <c r="T85" s="10">
        <f t="shared" si="6"/>
        <v>68.208833333333331</v>
      </c>
      <c r="V85" s="3">
        <v>950</v>
      </c>
      <c r="X85" s="3">
        <f t="shared" si="7"/>
        <v>35268.799999999996</v>
      </c>
      <c r="AA85" s="3">
        <v>10.7084442775047</v>
      </c>
    </row>
    <row r="86" spans="1:27" s="3" customFormat="1" x14ac:dyDescent="0.25">
      <c r="A86" s="61"/>
      <c r="B86" s="7"/>
      <c r="C86" s="8">
        <v>40471</v>
      </c>
      <c r="D86" s="3">
        <v>7.7</v>
      </c>
      <c r="E86" s="3">
        <v>5.9</v>
      </c>
      <c r="F86" s="3">
        <v>12.9</v>
      </c>
      <c r="G86" s="3">
        <f t="shared" si="3"/>
        <v>501.60000000000014</v>
      </c>
      <c r="J86" s="3">
        <v>0.4</v>
      </c>
      <c r="K86" s="3">
        <f t="shared" si="4"/>
        <v>94.2</v>
      </c>
      <c r="L86" s="3">
        <v>1.9</v>
      </c>
      <c r="M86" s="3">
        <f t="shared" si="5"/>
        <v>73.300000000000011</v>
      </c>
      <c r="N86" s="3">
        <v>-1.5</v>
      </c>
      <c r="O86" s="3">
        <f t="shared" si="9"/>
        <v>47.500000000000014</v>
      </c>
      <c r="P86" s="3">
        <v>37</v>
      </c>
      <c r="Q86" s="3">
        <f t="shared" si="8"/>
        <v>0.64250000000000007</v>
      </c>
      <c r="R86" s="10">
        <f t="shared" si="1"/>
        <v>1.22075</v>
      </c>
      <c r="S86" s="10">
        <f t="shared" si="2"/>
        <v>-0.82074999999999998</v>
      </c>
      <c r="T86" s="10">
        <f t="shared" si="6"/>
        <v>67.388083333333327</v>
      </c>
      <c r="V86" s="3">
        <v>1134.7</v>
      </c>
      <c r="X86" s="3">
        <f t="shared" si="7"/>
        <v>36403.499999999993</v>
      </c>
      <c r="AA86" s="3">
        <v>10.652263447446201</v>
      </c>
    </row>
    <row r="87" spans="1:27" s="3" customFormat="1" x14ac:dyDescent="0.25">
      <c r="A87" s="61"/>
      <c r="B87" s="7"/>
      <c r="C87" s="8">
        <v>40472</v>
      </c>
      <c r="D87" s="3">
        <v>5.2</v>
      </c>
      <c r="E87" s="3">
        <v>-0.9</v>
      </c>
      <c r="F87" s="3">
        <v>11.5</v>
      </c>
      <c r="G87" s="3">
        <f t="shared" si="3"/>
        <v>506.80000000000013</v>
      </c>
      <c r="J87" s="3">
        <v>0.2</v>
      </c>
      <c r="K87" s="3">
        <f t="shared" si="4"/>
        <v>94.4</v>
      </c>
      <c r="L87" s="3">
        <v>1.5</v>
      </c>
      <c r="M87" s="3">
        <f t="shared" si="5"/>
        <v>74.800000000000011</v>
      </c>
      <c r="N87" s="3">
        <v>-1.3</v>
      </c>
      <c r="O87" s="3">
        <f t="shared" si="9"/>
        <v>46.200000000000017</v>
      </c>
      <c r="P87" s="3">
        <v>38</v>
      </c>
      <c r="Q87" s="3">
        <f t="shared" si="8"/>
        <v>0.65333333333333332</v>
      </c>
      <c r="R87" s="10">
        <f t="shared" si="1"/>
        <v>0.98</v>
      </c>
      <c r="S87" s="10">
        <f t="shared" si="2"/>
        <v>-0.78</v>
      </c>
      <c r="T87" s="10">
        <f t="shared" si="6"/>
        <v>66.608083333333326</v>
      </c>
      <c r="V87" s="3">
        <v>1129.2</v>
      </c>
      <c r="X87" s="3">
        <f t="shared" si="7"/>
        <v>37532.69999999999</v>
      </c>
      <c r="AA87" s="3">
        <v>10.5962712021773</v>
      </c>
    </row>
    <row r="88" spans="1:27" s="3" customFormat="1" x14ac:dyDescent="0.25">
      <c r="A88" s="61"/>
      <c r="B88" s="7"/>
      <c r="C88" s="8">
        <v>40473</v>
      </c>
      <c r="D88" s="3">
        <v>7.8</v>
      </c>
      <c r="E88" s="3">
        <v>4.4000000000000004</v>
      </c>
      <c r="F88" s="3">
        <v>13.2</v>
      </c>
      <c r="G88" s="3">
        <f t="shared" si="3"/>
        <v>514.60000000000014</v>
      </c>
      <c r="J88" s="3">
        <v>0.2</v>
      </c>
      <c r="K88" s="3">
        <f t="shared" si="4"/>
        <v>94.600000000000009</v>
      </c>
      <c r="L88" s="3">
        <v>1.5</v>
      </c>
      <c r="M88" s="3">
        <f t="shared" si="5"/>
        <v>76.300000000000011</v>
      </c>
      <c r="N88" s="3">
        <v>-1.3</v>
      </c>
      <c r="O88" s="3">
        <f t="shared" si="9"/>
        <v>44.90000000000002</v>
      </c>
      <c r="P88" s="3">
        <v>39</v>
      </c>
      <c r="Q88" s="3">
        <f t="shared" si="8"/>
        <v>0.66416666666666668</v>
      </c>
      <c r="R88" s="10">
        <f t="shared" si="1"/>
        <v>0.99625000000000008</v>
      </c>
      <c r="S88" s="10">
        <f t="shared" si="2"/>
        <v>-0.79625000000000012</v>
      </c>
      <c r="T88" s="10">
        <f t="shared" si="6"/>
        <v>65.811833333333325</v>
      </c>
      <c r="V88" s="3">
        <v>1006.5</v>
      </c>
      <c r="X88" s="3">
        <f t="shared" si="7"/>
        <v>38539.19999999999</v>
      </c>
      <c r="AA88" s="3">
        <v>10.540479893213901</v>
      </c>
    </row>
    <row r="89" spans="1:27" s="3" customFormat="1" x14ac:dyDescent="0.25">
      <c r="A89" s="61"/>
      <c r="B89" s="7"/>
      <c r="C89" s="8">
        <v>40474</v>
      </c>
      <c r="D89" s="3">
        <v>9.8000000000000007</v>
      </c>
      <c r="E89" s="3">
        <v>4.0999999999999996</v>
      </c>
      <c r="F89" s="3">
        <v>14.9</v>
      </c>
      <c r="G89" s="3">
        <f t="shared" si="3"/>
        <v>524.40000000000009</v>
      </c>
      <c r="J89" s="3">
        <v>1.6</v>
      </c>
      <c r="K89" s="3">
        <f t="shared" si="4"/>
        <v>96.2</v>
      </c>
      <c r="L89" s="3">
        <v>1.2</v>
      </c>
      <c r="M89" s="3">
        <f t="shared" si="5"/>
        <v>77.500000000000014</v>
      </c>
      <c r="N89" s="3">
        <v>0.40000000000000013</v>
      </c>
      <c r="O89" s="3">
        <f t="shared" si="9"/>
        <v>45.300000000000018</v>
      </c>
      <c r="P89" s="3">
        <v>40</v>
      </c>
      <c r="Q89" s="3">
        <f t="shared" si="8"/>
        <v>0.67500000000000004</v>
      </c>
      <c r="R89" s="10">
        <f t="shared" si="1"/>
        <v>0.81</v>
      </c>
      <c r="S89" s="10">
        <f t="shared" si="2"/>
        <v>0.79</v>
      </c>
      <c r="T89" s="10">
        <f t="shared" si="6"/>
        <v>66.601833333333332</v>
      </c>
      <c r="V89" s="3">
        <v>964</v>
      </c>
      <c r="X89" s="3">
        <f t="shared" si="7"/>
        <v>39503.19999999999</v>
      </c>
      <c r="AA89" s="3">
        <v>10.4849023772331</v>
      </c>
    </row>
    <row r="90" spans="1:27" s="3" customFormat="1" x14ac:dyDescent="0.25">
      <c r="A90" s="61"/>
      <c r="B90" s="7"/>
      <c r="C90" s="8">
        <v>40475</v>
      </c>
      <c r="D90" s="3">
        <v>7.1</v>
      </c>
      <c r="E90" s="3">
        <v>2.6</v>
      </c>
      <c r="F90" s="3">
        <v>13.8</v>
      </c>
      <c r="G90" s="3">
        <f t="shared" si="3"/>
        <v>531.50000000000011</v>
      </c>
      <c r="J90" s="3">
        <v>0.7</v>
      </c>
      <c r="K90" s="3">
        <f t="shared" si="4"/>
        <v>96.9</v>
      </c>
      <c r="L90" s="3">
        <v>1</v>
      </c>
      <c r="M90" s="3">
        <f t="shared" si="5"/>
        <v>78.500000000000014</v>
      </c>
      <c r="N90" s="3">
        <v>-0.30000000000000004</v>
      </c>
      <c r="O90" s="3">
        <f t="shared" si="9"/>
        <v>45.000000000000021</v>
      </c>
      <c r="P90" s="3">
        <v>41</v>
      </c>
      <c r="Q90" s="3">
        <f t="shared" si="8"/>
        <v>0.68583333333333329</v>
      </c>
      <c r="R90" s="10">
        <f t="shared" si="1"/>
        <v>0.68583333333333329</v>
      </c>
      <c r="S90" s="10">
        <f t="shared" si="2"/>
        <v>1.4166666666666661E-2</v>
      </c>
      <c r="T90" s="10">
        <f t="shared" si="6"/>
        <v>66.616</v>
      </c>
      <c r="V90" s="3">
        <v>637.1</v>
      </c>
      <c r="X90" s="3">
        <f t="shared" si="7"/>
        <v>40140.299999999988</v>
      </c>
      <c r="AA90" s="3">
        <v>10.429552032444199</v>
      </c>
    </row>
    <row r="91" spans="1:27" s="3" customFormat="1" x14ac:dyDescent="0.25">
      <c r="A91" s="61"/>
      <c r="B91" s="7"/>
      <c r="C91" s="8">
        <v>40476</v>
      </c>
      <c r="D91" s="3">
        <v>5.7</v>
      </c>
      <c r="E91" s="3">
        <v>1.7</v>
      </c>
      <c r="F91" s="3">
        <v>12.8</v>
      </c>
      <c r="G91" s="3">
        <f t="shared" si="3"/>
        <v>537.20000000000016</v>
      </c>
      <c r="J91" s="3">
        <v>0</v>
      </c>
      <c r="K91" s="3">
        <f t="shared" si="4"/>
        <v>96.9</v>
      </c>
      <c r="L91" s="3">
        <v>1.8</v>
      </c>
      <c r="M91" s="3">
        <f t="shared" si="5"/>
        <v>80.300000000000011</v>
      </c>
      <c r="N91" s="3">
        <v>-1.8</v>
      </c>
      <c r="O91" s="3">
        <f t="shared" si="9"/>
        <v>43.200000000000024</v>
      </c>
      <c r="P91" s="3">
        <v>42</v>
      </c>
      <c r="Q91" s="3">
        <f t="shared" si="8"/>
        <v>0.69666666666666666</v>
      </c>
      <c r="R91" s="10">
        <f t="shared" si="1"/>
        <v>1.254</v>
      </c>
      <c r="S91" s="10">
        <f t="shared" si="2"/>
        <v>-1.254</v>
      </c>
      <c r="T91" s="10">
        <f t="shared" si="6"/>
        <v>65.361999999999995</v>
      </c>
      <c r="V91" s="3">
        <v>1022.5</v>
      </c>
      <c r="X91" s="3">
        <f t="shared" si="7"/>
        <v>41162.799999999988</v>
      </c>
      <c r="AA91" s="3">
        <v>10.374442774453</v>
      </c>
    </row>
    <row r="92" spans="1:27" s="3" customFormat="1" x14ac:dyDescent="0.25">
      <c r="A92" s="61"/>
      <c r="B92" s="7"/>
      <c r="C92" s="8">
        <v>40477</v>
      </c>
      <c r="D92" s="3">
        <v>6.4</v>
      </c>
      <c r="E92" s="3">
        <v>-1.2</v>
      </c>
      <c r="F92" s="3">
        <v>12.8</v>
      </c>
      <c r="G92" s="3">
        <f t="shared" si="3"/>
        <v>543.60000000000014</v>
      </c>
      <c r="J92" s="3">
        <v>0.2</v>
      </c>
      <c r="K92" s="3">
        <f t="shared" si="4"/>
        <v>97.100000000000009</v>
      </c>
      <c r="L92" s="3">
        <v>0.8</v>
      </c>
      <c r="M92" s="3">
        <f t="shared" si="5"/>
        <v>81.100000000000009</v>
      </c>
      <c r="N92" s="3">
        <v>-0.60000000000000009</v>
      </c>
      <c r="O92" s="3">
        <f t="shared" si="9"/>
        <v>42.600000000000023</v>
      </c>
      <c r="P92" s="3">
        <v>43</v>
      </c>
      <c r="Q92" s="3">
        <f t="shared" si="8"/>
        <v>0.70750000000000002</v>
      </c>
      <c r="R92" s="10">
        <f t="shared" si="1"/>
        <v>0.56600000000000006</v>
      </c>
      <c r="S92" s="10">
        <f t="shared" si="2"/>
        <v>-0.36600000000000005</v>
      </c>
      <c r="T92" s="10">
        <f t="shared" si="6"/>
        <v>64.995999999999995</v>
      </c>
      <c r="V92" s="3">
        <v>389.5</v>
      </c>
      <c r="X92" s="3">
        <f t="shared" si="7"/>
        <v>41552.299999999988</v>
      </c>
      <c r="AA92" s="3">
        <v>10.3195890715385</v>
      </c>
    </row>
    <row r="93" spans="1:27" s="3" customFormat="1" x14ac:dyDescent="0.25">
      <c r="A93" s="61"/>
      <c r="B93" s="7"/>
      <c r="C93" s="8">
        <v>40478</v>
      </c>
      <c r="D93" s="3">
        <v>11.1</v>
      </c>
      <c r="E93" s="3">
        <v>7.2</v>
      </c>
      <c r="F93" s="3">
        <v>14.5</v>
      </c>
      <c r="G93" s="3">
        <f t="shared" si="3"/>
        <v>554.70000000000016</v>
      </c>
      <c r="J93" s="3">
        <v>0.1</v>
      </c>
      <c r="K93" s="3">
        <f t="shared" si="4"/>
        <v>97.2</v>
      </c>
      <c r="L93" s="3">
        <v>0.8</v>
      </c>
      <c r="M93" s="3">
        <f t="shared" si="5"/>
        <v>81.900000000000006</v>
      </c>
      <c r="N93" s="3">
        <v>-0.70000000000000007</v>
      </c>
      <c r="O93" s="3">
        <f t="shared" si="9"/>
        <v>41.90000000000002</v>
      </c>
      <c r="P93" s="3">
        <v>44</v>
      </c>
      <c r="Q93" s="3">
        <f t="shared" si="8"/>
        <v>0.71833333333333327</v>
      </c>
      <c r="R93" s="10">
        <f t="shared" si="1"/>
        <v>0.57466666666666666</v>
      </c>
      <c r="S93" s="10">
        <f t="shared" si="2"/>
        <v>-0.47466666666666668</v>
      </c>
      <c r="T93" s="10">
        <f t="shared" si="6"/>
        <v>64.521333333333331</v>
      </c>
      <c r="V93" s="3">
        <v>334.4</v>
      </c>
      <c r="X93" s="3">
        <f t="shared" si="7"/>
        <v>41886.69999999999</v>
      </c>
      <c r="AA93" s="3">
        <v>10.265005959254699</v>
      </c>
    </row>
    <row r="94" spans="1:27" s="3" customFormat="1" x14ac:dyDescent="0.25">
      <c r="A94" s="61"/>
      <c r="B94" s="7"/>
      <c r="C94" s="8">
        <v>40479</v>
      </c>
      <c r="D94" s="3">
        <v>12</v>
      </c>
      <c r="E94" s="3">
        <v>10.6</v>
      </c>
      <c r="F94" s="3">
        <v>14.6</v>
      </c>
      <c r="G94" s="3">
        <f t="shared" si="3"/>
        <v>566.70000000000016</v>
      </c>
      <c r="J94" s="3">
        <v>0</v>
      </c>
      <c r="K94" s="3">
        <f t="shared" si="4"/>
        <v>97.2</v>
      </c>
      <c r="L94" s="3">
        <v>0.7</v>
      </c>
      <c r="M94" s="3">
        <f t="shared" si="5"/>
        <v>82.600000000000009</v>
      </c>
      <c r="N94" s="3">
        <v>-0.7</v>
      </c>
      <c r="O94" s="3">
        <f t="shared" si="9"/>
        <v>41.200000000000017</v>
      </c>
      <c r="P94" s="3">
        <v>45</v>
      </c>
      <c r="Q94" s="3">
        <f t="shared" si="8"/>
        <v>0.72916666666666674</v>
      </c>
      <c r="R94" s="10">
        <f t="shared" si="1"/>
        <v>0.51041666666666674</v>
      </c>
      <c r="S94" s="10">
        <f t="shared" si="2"/>
        <v>-0.51041666666666674</v>
      </c>
      <c r="T94" s="10">
        <f t="shared" si="6"/>
        <v>64.01091666666666</v>
      </c>
      <c r="V94" s="3">
        <v>333.4</v>
      </c>
      <c r="X94" s="3">
        <f t="shared" si="7"/>
        <v>42220.099999999991</v>
      </c>
      <c r="AA94" s="3">
        <v>10.210709054264401</v>
      </c>
    </row>
    <row r="95" spans="1:27" s="3" customFormat="1" x14ac:dyDescent="0.25">
      <c r="A95" s="61"/>
      <c r="B95" s="7"/>
      <c r="C95" s="8">
        <v>40480</v>
      </c>
      <c r="D95" s="3">
        <v>12.5</v>
      </c>
      <c r="E95" s="3">
        <v>10.6</v>
      </c>
      <c r="F95" s="3">
        <v>16.5</v>
      </c>
      <c r="G95" s="3">
        <f t="shared" si="3"/>
        <v>579.20000000000016</v>
      </c>
      <c r="J95" s="3">
        <v>9.6</v>
      </c>
      <c r="K95" s="3">
        <f t="shared" si="4"/>
        <v>106.8</v>
      </c>
      <c r="L95" s="3">
        <v>1.8</v>
      </c>
      <c r="M95" s="3">
        <f t="shared" si="5"/>
        <v>84.4</v>
      </c>
      <c r="N95" s="3">
        <v>7.8</v>
      </c>
      <c r="O95" s="3">
        <f t="shared" si="9"/>
        <v>49.000000000000014</v>
      </c>
      <c r="P95" s="3">
        <v>46</v>
      </c>
      <c r="Q95" s="3">
        <f t="shared" si="8"/>
        <v>0.74</v>
      </c>
      <c r="R95" s="10">
        <f t="shared" si="1"/>
        <v>1.3320000000000001</v>
      </c>
      <c r="S95" s="10">
        <f t="shared" si="2"/>
        <v>8.2679999999999989</v>
      </c>
      <c r="T95" s="10">
        <f t="shared" si="6"/>
        <v>72.27891666666666</v>
      </c>
      <c r="V95" s="3">
        <v>900.5</v>
      </c>
      <c r="X95" s="3">
        <f t="shared" si="7"/>
        <v>43120.599999999991</v>
      </c>
      <c r="AA95" s="3">
        <v>10.1567145673041</v>
      </c>
    </row>
    <row r="96" spans="1:27" s="3" customFormat="1" x14ac:dyDescent="0.25">
      <c r="A96" s="61"/>
      <c r="B96" s="7"/>
      <c r="C96" s="8">
        <v>40481</v>
      </c>
      <c r="D96" s="3">
        <v>11.7</v>
      </c>
      <c r="E96" s="3">
        <v>7.7</v>
      </c>
      <c r="F96" s="3">
        <v>16.3</v>
      </c>
      <c r="G96" s="3">
        <f t="shared" si="3"/>
        <v>590.9000000000002</v>
      </c>
      <c r="J96" s="3">
        <v>0.3</v>
      </c>
      <c r="K96" s="3">
        <f t="shared" si="4"/>
        <v>107.1</v>
      </c>
      <c r="L96" s="3">
        <v>1.1000000000000001</v>
      </c>
      <c r="M96" s="3">
        <f t="shared" si="5"/>
        <v>85.5</v>
      </c>
      <c r="N96" s="3">
        <v>-0.8</v>
      </c>
      <c r="O96" s="3">
        <f t="shared" si="9"/>
        <v>48.200000000000017</v>
      </c>
      <c r="P96" s="3">
        <v>47</v>
      </c>
      <c r="Q96" s="3">
        <f t="shared" si="8"/>
        <v>0.75083333333333335</v>
      </c>
      <c r="R96" s="10">
        <f t="shared" si="1"/>
        <v>0.82591666666666674</v>
      </c>
      <c r="S96" s="10">
        <f t="shared" si="2"/>
        <v>-0.52591666666666681</v>
      </c>
      <c r="T96" s="10">
        <f t="shared" si="6"/>
        <v>71.753</v>
      </c>
      <c r="V96" s="3">
        <v>679.3</v>
      </c>
      <c r="X96" s="3">
        <f t="shared" si="7"/>
        <v>43799.899999999994</v>
      </c>
      <c r="AA96" s="3">
        <v>10.1030393151739</v>
      </c>
    </row>
    <row r="97" spans="1:27" s="3" customFormat="1" x14ac:dyDescent="0.25">
      <c r="A97" s="61"/>
      <c r="B97" s="7"/>
      <c r="C97" s="8">
        <v>40482</v>
      </c>
      <c r="D97" s="3">
        <v>12.3</v>
      </c>
      <c r="E97" s="3">
        <v>10.199999999999999</v>
      </c>
      <c r="F97" s="3">
        <v>14.1</v>
      </c>
      <c r="G97" s="3">
        <f t="shared" si="3"/>
        <v>603.20000000000016</v>
      </c>
      <c r="J97" s="3">
        <v>0.4</v>
      </c>
      <c r="K97" s="3">
        <f t="shared" si="4"/>
        <v>107.5</v>
      </c>
      <c r="L97" s="3">
        <v>0.9</v>
      </c>
      <c r="M97" s="3">
        <f t="shared" si="5"/>
        <v>86.4</v>
      </c>
      <c r="N97" s="3">
        <v>-0.5</v>
      </c>
      <c r="O97" s="3">
        <f t="shared" si="9"/>
        <v>47.700000000000017</v>
      </c>
      <c r="P97" s="3">
        <v>48</v>
      </c>
      <c r="Q97" s="3">
        <f t="shared" si="8"/>
        <v>0.76166666666666671</v>
      </c>
      <c r="R97" s="10">
        <f t="shared" si="1"/>
        <v>0.68550000000000011</v>
      </c>
      <c r="S97" s="10">
        <f t="shared" si="2"/>
        <v>-0.28550000000000009</v>
      </c>
      <c r="T97" s="10">
        <f t="shared" si="6"/>
        <v>71.467500000000001</v>
      </c>
      <c r="V97" s="3">
        <v>762.8</v>
      </c>
      <c r="X97" s="3">
        <f t="shared" si="7"/>
        <v>44562.7</v>
      </c>
      <c r="AA97" s="3">
        <v>10.0497007316379</v>
      </c>
    </row>
    <row r="98" spans="1:27" s="3" customFormat="1" x14ac:dyDescent="0.25">
      <c r="A98" s="61"/>
      <c r="B98" s="7"/>
      <c r="C98" s="8">
        <v>40483</v>
      </c>
      <c r="D98" s="3">
        <v>11.7</v>
      </c>
      <c r="E98" s="3">
        <v>10.7</v>
      </c>
      <c r="F98" s="3">
        <v>15.4</v>
      </c>
      <c r="G98" s="3">
        <f t="shared" si="3"/>
        <v>614.9000000000002</v>
      </c>
      <c r="J98" s="3">
        <v>0</v>
      </c>
      <c r="K98" s="3">
        <f t="shared" si="4"/>
        <v>107.5</v>
      </c>
      <c r="L98" s="3">
        <v>1.8</v>
      </c>
      <c r="M98" s="3">
        <f t="shared" si="5"/>
        <v>88.2</v>
      </c>
      <c r="N98" s="3">
        <v>-1.8</v>
      </c>
      <c r="O98" s="3">
        <f t="shared" si="9"/>
        <v>45.90000000000002</v>
      </c>
      <c r="P98" s="3">
        <v>49</v>
      </c>
      <c r="Q98" s="3">
        <f t="shared" si="8"/>
        <v>0.77249999999999996</v>
      </c>
      <c r="R98" s="10">
        <f t="shared" si="1"/>
        <v>1.3905000000000001</v>
      </c>
      <c r="S98" s="10">
        <f t="shared" si="2"/>
        <v>-1.3905000000000001</v>
      </c>
      <c r="T98" s="10">
        <f t="shared" si="6"/>
        <v>70.076999999999998</v>
      </c>
      <c r="V98" s="3">
        <v>820.8</v>
      </c>
      <c r="X98" s="3">
        <f t="shared" si="7"/>
        <v>45383.5</v>
      </c>
      <c r="AA98" s="3">
        <v>9.9967168771169792</v>
      </c>
    </row>
    <row r="99" spans="1:27" s="3" customFormat="1" x14ac:dyDescent="0.25">
      <c r="A99" s="61"/>
      <c r="B99" s="7"/>
      <c r="C99" s="8">
        <v>40484</v>
      </c>
      <c r="D99" s="3">
        <v>12.4</v>
      </c>
      <c r="E99" s="3">
        <v>6.6</v>
      </c>
      <c r="F99" s="3">
        <v>16.399999999999999</v>
      </c>
      <c r="G99" s="3">
        <f t="shared" si="3"/>
        <v>627.30000000000018</v>
      </c>
      <c r="J99" s="3">
        <v>0.1</v>
      </c>
      <c r="K99" s="3">
        <f t="shared" si="4"/>
        <v>107.6</v>
      </c>
      <c r="L99" s="3">
        <v>0.1</v>
      </c>
      <c r="M99" s="3">
        <f t="shared" si="5"/>
        <v>88.3</v>
      </c>
      <c r="N99" s="3">
        <v>0</v>
      </c>
      <c r="O99" s="3">
        <f t="shared" si="9"/>
        <v>45.90000000000002</v>
      </c>
      <c r="P99" s="3">
        <v>50</v>
      </c>
      <c r="Q99" s="3">
        <f t="shared" si="8"/>
        <v>0.78333333333333333</v>
      </c>
      <c r="R99" s="10">
        <f t="shared" si="1"/>
        <v>7.8333333333333338E-2</v>
      </c>
      <c r="S99" s="10">
        <f t="shared" si="2"/>
        <v>2.1666666666666667E-2</v>
      </c>
      <c r="T99" s="10">
        <f t="shared" si="6"/>
        <v>70.098666666666659</v>
      </c>
      <c r="V99" s="3">
        <v>221.3</v>
      </c>
      <c r="X99" s="3">
        <f t="shared" si="7"/>
        <v>45604.800000000003</v>
      </c>
      <c r="AA99" s="3">
        <v>9.9441064470457103</v>
      </c>
    </row>
    <row r="100" spans="1:27" s="3" customFormat="1" x14ac:dyDescent="0.25">
      <c r="A100" s="61"/>
      <c r="B100" s="7"/>
      <c r="C100" s="8">
        <v>40485</v>
      </c>
      <c r="D100" s="3">
        <v>14.7</v>
      </c>
      <c r="E100" s="3">
        <v>12.2</v>
      </c>
      <c r="F100" s="3">
        <v>16.2</v>
      </c>
      <c r="G100" s="3">
        <f t="shared" si="3"/>
        <v>642.00000000000023</v>
      </c>
      <c r="J100" s="3">
        <v>0.2</v>
      </c>
      <c r="K100" s="3">
        <f t="shared" si="4"/>
        <v>107.8</v>
      </c>
      <c r="L100" s="3">
        <v>0.3</v>
      </c>
      <c r="M100" s="3">
        <f t="shared" si="5"/>
        <v>88.6</v>
      </c>
      <c r="N100" s="3">
        <v>-9.9999999999999978E-2</v>
      </c>
      <c r="O100" s="3">
        <f t="shared" si="9"/>
        <v>45.800000000000018</v>
      </c>
      <c r="P100" s="3">
        <v>51</v>
      </c>
      <c r="Q100" s="3">
        <f t="shared" si="8"/>
        <v>0.79416666666666669</v>
      </c>
      <c r="R100" s="10">
        <f t="shared" si="1"/>
        <v>0.23824999999999999</v>
      </c>
      <c r="S100" s="10">
        <f t="shared" si="2"/>
        <v>-3.8249999999999978E-2</v>
      </c>
      <c r="T100" s="10">
        <f t="shared" si="6"/>
        <v>70.060416666666654</v>
      </c>
      <c r="V100" s="3">
        <v>233.7</v>
      </c>
      <c r="X100" s="3">
        <f t="shared" si="7"/>
        <v>45838.5</v>
      </c>
      <c r="AA100" s="3">
        <v>9.8918887787624996</v>
      </c>
    </row>
    <row r="101" spans="1:27" s="3" customFormat="1" x14ac:dyDescent="0.25">
      <c r="A101" s="61"/>
      <c r="B101" s="7"/>
      <c r="C101" s="8">
        <v>40486</v>
      </c>
      <c r="D101" s="3">
        <v>15.3</v>
      </c>
      <c r="E101" s="3">
        <v>15.1</v>
      </c>
      <c r="F101" s="3">
        <v>16.399999999999999</v>
      </c>
      <c r="G101" s="3">
        <f t="shared" si="3"/>
        <v>657.30000000000018</v>
      </c>
      <c r="J101" s="3">
        <v>0</v>
      </c>
      <c r="K101" s="3">
        <f t="shared" si="4"/>
        <v>107.8</v>
      </c>
      <c r="L101" s="3">
        <v>1.4</v>
      </c>
      <c r="M101" s="3">
        <f t="shared" si="5"/>
        <v>90</v>
      </c>
      <c r="N101" s="3">
        <v>-1.4</v>
      </c>
      <c r="O101" s="3">
        <f t="shared" si="9"/>
        <v>44.40000000000002</v>
      </c>
      <c r="P101" s="3">
        <v>52</v>
      </c>
      <c r="Q101" s="3">
        <f t="shared" si="8"/>
        <v>0.80499999999999994</v>
      </c>
      <c r="R101" s="10">
        <f t="shared" si="1"/>
        <v>1.1269999999999998</v>
      </c>
      <c r="S101" s="10">
        <f t="shared" si="2"/>
        <v>-1.1269999999999998</v>
      </c>
      <c r="T101" s="10">
        <f t="shared" si="6"/>
        <v>68.933416666666659</v>
      </c>
      <c r="V101" s="3">
        <v>176.5</v>
      </c>
      <c r="X101" s="3">
        <f t="shared" si="7"/>
        <v>46015</v>
      </c>
      <c r="AA101" s="3">
        <v>9.8400838567940205</v>
      </c>
    </row>
    <row r="102" spans="1:27" s="3" customFormat="1" x14ac:dyDescent="0.25">
      <c r="A102" s="61"/>
      <c r="B102" s="7"/>
      <c r="C102" s="8">
        <v>40487</v>
      </c>
      <c r="D102" s="3">
        <v>14</v>
      </c>
      <c r="E102" s="3">
        <v>12.8</v>
      </c>
      <c r="F102" s="3">
        <v>16.899999999999999</v>
      </c>
      <c r="G102" s="3">
        <f t="shared" si="3"/>
        <v>671.30000000000018</v>
      </c>
      <c r="J102" s="3">
        <v>0.1</v>
      </c>
      <c r="K102" s="3">
        <f t="shared" si="4"/>
        <v>107.89999999999999</v>
      </c>
      <c r="L102" s="3">
        <v>1.8</v>
      </c>
      <c r="M102" s="3">
        <f t="shared" si="5"/>
        <v>91.8</v>
      </c>
      <c r="N102" s="3">
        <v>-1.7</v>
      </c>
      <c r="O102" s="3">
        <f t="shared" si="9"/>
        <v>42.700000000000017</v>
      </c>
      <c r="P102" s="3">
        <v>53</v>
      </c>
      <c r="Q102" s="3">
        <f t="shared" si="8"/>
        <v>0.81583333333333341</v>
      </c>
      <c r="R102" s="10">
        <f t="shared" si="1"/>
        <v>1.4685000000000001</v>
      </c>
      <c r="S102" s="10">
        <f t="shared" si="2"/>
        <v>-1.3685</v>
      </c>
      <c r="T102" s="10">
        <f t="shared" si="6"/>
        <v>67.564916666666662</v>
      </c>
      <c r="V102" s="3">
        <v>580.29999999999995</v>
      </c>
      <c r="X102" s="3">
        <f t="shared" si="7"/>
        <v>46595.3</v>
      </c>
      <c r="AA102" s="3">
        <v>9.7887123163906296</v>
      </c>
    </row>
    <row r="103" spans="1:27" s="3" customFormat="1" x14ac:dyDescent="0.25">
      <c r="A103" s="61"/>
      <c r="B103" s="7"/>
      <c r="C103" s="8">
        <v>40488</v>
      </c>
      <c r="D103" s="3">
        <v>11.6</v>
      </c>
      <c r="E103" s="3">
        <v>11</v>
      </c>
      <c r="F103" s="3">
        <v>12.9</v>
      </c>
      <c r="G103" s="3">
        <f t="shared" si="3"/>
        <v>682.9000000000002</v>
      </c>
      <c r="J103" s="3">
        <v>11.5</v>
      </c>
      <c r="K103" s="3">
        <f t="shared" si="4"/>
        <v>119.39999999999999</v>
      </c>
      <c r="L103" s="3">
        <v>0.3</v>
      </c>
      <c r="M103" s="3">
        <f t="shared" si="5"/>
        <v>92.1</v>
      </c>
      <c r="N103" s="3">
        <v>11.2</v>
      </c>
      <c r="O103" s="3">
        <f t="shared" si="9"/>
        <v>53.90000000000002</v>
      </c>
      <c r="P103" s="3">
        <v>54</v>
      </c>
      <c r="Q103" s="3">
        <f t="shared" si="8"/>
        <v>0.82666666666666666</v>
      </c>
      <c r="R103" s="10">
        <f t="shared" si="1"/>
        <v>0.248</v>
      </c>
      <c r="S103" s="10">
        <f t="shared" si="2"/>
        <v>11.252000000000001</v>
      </c>
      <c r="T103" s="10">
        <f t="shared" si="6"/>
        <v>78.816916666666657</v>
      </c>
      <c r="V103" s="3">
        <v>136</v>
      </c>
      <c r="X103" s="3">
        <f t="shared" si="7"/>
        <v>46731.3</v>
      </c>
      <c r="AA103" s="3">
        <v>9.7377954451645401</v>
      </c>
    </row>
    <row r="104" spans="1:27" s="3" customFormat="1" x14ac:dyDescent="0.25">
      <c r="A104" s="61"/>
      <c r="B104" s="7"/>
      <c r="C104" s="8">
        <v>40489</v>
      </c>
      <c r="D104" s="3">
        <v>6.4</v>
      </c>
      <c r="E104" s="3">
        <v>4.4000000000000004</v>
      </c>
      <c r="F104" s="3">
        <v>8.5</v>
      </c>
      <c r="G104" s="3">
        <f t="shared" si="3"/>
        <v>689.30000000000018</v>
      </c>
      <c r="J104" s="3">
        <v>7.2</v>
      </c>
      <c r="K104" s="3">
        <f t="shared" si="4"/>
        <v>126.6</v>
      </c>
      <c r="L104" s="3">
        <v>0.5</v>
      </c>
      <c r="M104" s="3">
        <f t="shared" si="5"/>
        <v>92.6</v>
      </c>
      <c r="N104" s="3">
        <v>6.7</v>
      </c>
      <c r="O104" s="3">
        <f t="shared" si="9"/>
        <v>60.600000000000023</v>
      </c>
      <c r="P104" s="3">
        <v>55</v>
      </c>
      <c r="Q104" s="3">
        <f t="shared" si="8"/>
        <v>0.83750000000000002</v>
      </c>
      <c r="R104" s="10">
        <f t="shared" si="1"/>
        <v>0.41875000000000001</v>
      </c>
      <c r="S104" s="10">
        <f t="shared" si="2"/>
        <v>6.78125</v>
      </c>
      <c r="T104" s="10">
        <f t="shared" si="6"/>
        <v>85.598166666666657</v>
      </c>
      <c r="V104" s="3">
        <v>529.1</v>
      </c>
      <c r="X104" s="3">
        <f t="shared" si="7"/>
        <v>47260.4</v>
      </c>
      <c r="AA104" s="3">
        <v>9.6873551826779796</v>
      </c>
    </row>
    <row r="105" spans="1:27" s="3" customFormat="1" x14ac:dyDescent="0.25">
      <c r="A105" s="61"/>
      <c r="B105" s="7"/>
      <c r="C105" s="8">
        <v>40490</v>
      </c>
      <c r="D105" s="3">
        <v>8.3000000000000007</v>
      </c>
      <c r="E105" s="3">
        <v>3.9</v>
      </c>
      <c r="F105" s="3">
        <v>11.8</v>
      </c>
      <c r="G105" s="3">
        <f t="shared" si="3"/>
        <v>697.60000000000014</v>
      </c>
      <c r="J105" s="3">
        <v>4.2</v>
      </c>
      <c r="K105" s="3">
        <f t="shared" si="4"/>
        <v>130.79999999999998</v>
      </c>
      <c r="L105" s="3">
        <v>0.8</v>
      </c>
      <c r="M105" s="3">
        <f t="shared" si="5"/>
        <v>93.399999999999991</v>
      </c>
      <c r="N105" s="3">
        <v>3.4000000000000004</v>
      </c>
      <c r="O105" s="3">
        <f t="shared" si="9"/>
        <v>64.000000000000028</v>
      </c>
      <c r="P105" s="3">
        <v>56</v>
      </c>
      <c r="Q105" s="3">
        <f t="shared" si="8"/>
        <v>0.84833333333333338</v>
      </c>
      <c r="R105" s="10">
        <f t="shared" si="1"/>
        <v>0.67866666666666675</v>
      </c>
      <c r="S105" s="10">
        <f t="shared" si="2"/>
        <v>3.5213333333333336</v>
      </c>
      <c r="T105" s="10">
        <f t="shared" si="6"/>
        <v>89.119499999999988</v>
      </c>
      <c r="V105" s="3">
        <v>526.1</v>
      </c>
      <c r="X105" s="3">
        <f t="shared" si="7"/>
        <v>47786.5</v>
      </c>
      <c r="AA105" s="3">
        <v>9.6374141178255108</v>
      </c>
    </row>
    <row r="106" spans="1:27" s="3" customFormat="1" x14ac:dyDescent="0.25">
      <c r="A106" s="61"/>
      <c r="B106" s="7"/>
      <c r="C106" s="8">
        <v>40491</v>
      </c>
      <c r="D106" s="3">
        <v>9</v>
      </c>
      <c r="E106" s="3">
        <v>7.6</v>
      </c>
      <c r="F106" s="3">
        <v>10.4</v>
      </c>
      <c r="G106" s="3">
        <f t="shared" si="3"/>
        <v>706.60000000000014</v>
      </c>
      <c r="J106" s="3">
        <v>3.4</v>
      </c>
      <c r="K106" s="3">
        <f t="shared" si="4"/>
        <v>134.19999999999999</v>
      </c>
      <c r="L106" s="3">
        <v>0.4</v>
      </c>
      <c r="M106" s="3">
        <f t="shared" si="5"/>
        <v>93.8</v>
      </c>
      <c r="N106" s="3">
        <v>3</v>
      </c>
      <c r="O106" s="3">
        <f t="shared" si="9"/>
        <v>67.000000000000028</v>
      </c>
      <c r="P106" s="3">
        <v>57</v>
      </c>
      <c r="Q106" s="3">
        <f t="shared" si="8"/>
        <v>0.85916666666666663</v>
      </c>
      <c r="R106" s="10">
        <f t="shared" si="1"/>
        <v>0.34366666666666668</v>
      </c>
      <c r="S106" s="10">
        <f t="shared" si="2"/>
        <v>3.0563333333333333</v>
      </c>
      <c r="T106" s="10">
        <f t="shared" si="6"/>
        <v>92.175833333333316</v>
      </c>
      <c r="V106" s="3">
        <v>177</v>
      </c>
      <c r="X106" s="3">
        <f t="shared" si="7"/>
        <v>47963.5</v>
      </c>
      <c r="AA106" s="3">
        <v>9.5879954838522501</v>
      </c>
    </row>
    <row r="107" spans="1:27" s="3" customFormat="1" x14ac:dyDescent="0.25">
      <c r="A107" s="61"/>
      <c r="B107" s="7"/>
      <c r="C107" s="8">
        <v>40492</v>
      </c>
      <c r="D107" s="3">
        <v>6.8</v>
      </c>
      <c r="E107" s="3">
        <v>5.4</v>
      </c>
      <c r="F107" s="3">
        <v>8.9</v>
      </c>
      <c r="G107" s="3">
        <f t="shared" si="3"/>
        <v>713.40000000000009</v>
      </c>
      <c r="J107" s="3">
        <v>2.2999999999999998</v>
      </c>
      <c r="K107" s="3">
        <f t="shared" si="4"/>
        <v>136.5</v>
      </c>
      <c r="L107" s="3">
        <v>1</v>
      </c>
      <c r="M107" s="3">
        <f t="shared" si="5"/>
        <v>94.8</v>
      </c>
      <c r="N107" s="3">
        <v>1.2999999999999998</v>
      </c>
      <c r="O107" s="3">
        <f t="shared" si="9"/>
        <v>68.300000000000026</v>
      </c>
      <c r="P107" s="3">
        <v>58</v>
      </c>
      <c r="Q107" s="3">
        <f t="shared" si="8"/>
        <v>0.87</v>
      </c>
      <c r="R107" s="10">
        <f t="shared" si="1"/>
        <v>0.87</v>
      </c>
      <c r="S107" s="10">
        <f t="shared" si="2"/>
        <v>1.4299999999999997</v>
      </c>
      <c r="T107" s="10">
        <f t="shared" si="6"/>
        <v>93.605833333333322</v>
      </c>
      <c r="V107" s="3">
        <v>629.29999999999995</v>
      </c>
      <c r="X107" s="3">
        <f t="shared" si="7"/>
        <v>48592.800000000003</v>
      </c>
      <c r="AA107" s="3">
        <v>9.5391231508480097</v>
      </c>
    </row>
    <row r="108" spans="1:27" s="3" customFormat="1" x14ac:dyDescent="0.25">
      <c r="A108" s="61"/>
      <c r="B108" s="7"/>
      <c r="C108" s="8">
        <v>40493</v>
      </c>
      <c r="D108" s="3">
        <v>11.2</v>
      </c>
      <c r="E108" s="3">
        <v>2.5</v>
      </c>
      <c r="F108" s="3">
        <v>15.1</v>
      </c>
      <c r="G108" s="3">
        <f t="shared" si="3"/>
        <v>724.60000000000014</v>
      </c>
      <c r="J108" s="3">
        <v>6.4</v>
      </c>
      <c r="K108" s="3">
        <f t="shared" si="4"/>
        <v>142.9</v>
      </c>
      <c r="L108" s="3">
        <v>0</v>
      </c>
      <c r="M108" s="3">
        <f t="shared" si="5"/>
        <v>94.8</v>
      </c>
      <c r="N108" s="3">
        <v>6.4</v>
      </c>
      <c r="O108" s="3">
        <f t="shared" si="9"/>
        <v>74.700000000000031</v>
      </c>
      <c r="P108" s="3">
        <v>59</v>
      </c>
      <c r="Q108" s="3">
        <f t="shared" si="8"/>
        <v>0.88083333333333336</v>
      </c>
      <c r="R108" s="10">
        <f t="shared" si="1"/>
        <v>0</v>
      </c>
      <c r="S108" s="10">
        <f t="shared" si="2"/>
        <v>6.4</v>
      </c>
      <c r="T108" s="10">
        <f t="shared" si="6"/>
        <v>100.00583333333333</v>
      </c>
      <c r="V108" s="3">
        <v>98.9</v>
      </c>
      <c r="X108" s="3">
        <f t="shared" si="7"/>
        <v>48691.700000000004</v>
      </c>
      <c r="AA108" s="3">
        <v>9.4908216155575502</v>
      </c>
    </row>
    <row r="109" spans="1:27" s="3" customFormat="1" x14ac:dyDescent="0.25">
      <c r="A109" s="61"/>
      <c r="B109" s="7"/>
      <c r="C109" s="8">
        <v>40494</v>
      </c>
      <c r="D109" s="3">
        <v>13.9</v>
      </c>
      <c r="E109" s="3">
        <v>11.5</v>
      </c>
      <c r="F109" s="3">
        <v>15.6</v>
      </c>
      <c r="G109" s="3">
        <f t="shared" si="3"/>
        <v>738.50000000000011</v>
      </c>
      <c r="J109" s="3">
        <v>9.4</v>
      </c>
      <c r="K109" s="3">
        <f t="shared" si="4"/>
        <v>152.30000000000001</v>
      </c>
      <c r="L109" s="3">
        <v>0.8</v>
      </c>
      <c r="M109" s="3">
        <f t="shared" si="5"/>
        <v>95.6</v>
      </c>
      <c r="N109" s="3">
        <v>8.6</v>
      </c>
      <c r="O109" s="3">
        <f t="shared" si="9"/>
        <v>83.300000000000026</v>
      </c>
      <c r="P109" s="3">
        <v>60</v>
      </c>
      <c r="Q109" s="3">
        <f t="shared" si="8"/>
        <v>0.89166666666666672</v>
      </c>
      <c r="R109" s="10">
        <f t="shared" si="1"/>
        <v>0.71333333333333337</v>
      </c>
      <c r="S109" s="10">
        <f t="shared" si="2"/>
        <v>8.6866666666666674</v>
      </c>
      <c r="T109" s="10">
        <f t="shared" si="6"/>
        <v>108.6925</v>
      </c>
      <c r="V109" s="3">
        <v>198</v>
      </c>
      <c r="X109" s="3">
        <f t="shared" si="7"/>
        <v>48889.700000000004</v>
      </c>
      <c r="AA109" s="3">
        <v>9.4431159883480404</v>
      </c>
    </row>
    <row r="110" spans="1:27" s="3" customFormat="1" x14ac:dyDescent="0.25">
      <c r="A110" s="61"/>
      <c r="B110" s="7"/>
      <c r="C110" s="8">
        <v>40495</v>
      </c>
      <c r="D110" s="3">
        <v>14.1</v>
      </c>
      <c r="E110" s="3">
        <v>14.2</v>
      </c>
      <c r="F110" s="3">
        <v>14.5</v>
      </c>
      <c r="G110" s="3">
        <f t="shared" si="3"/>
        <v>752.60000000000014</v>
      </c>
      <c r="J110" s="3">
        <v>34.6</v>
      </c>
      <c r="K110" s="3">
        <f t="shared" si="4"/>
        <v>186.9</v>
      </c>
      <c r="L110" s="3">
        <v>0.7</v>
      </c>
      <c r="M110" s="3">
        <f t="shared" si="5"/>
        <v>96.3</v>
      </c>
      <c r="N110" s="3">
        <v>33.9</v>
      </c>
      <c r="O110" s="3">
        <f t="shared" si="9"/>
        <v>117.20000000000002</v>
      </c>
      <c r="P110" s="3">
        <v>61</v>
      </c>
      <c r="Q110" s="3">
        <f t="shared" si="8"/>
        <v>0.90249999999999997</v>
      </c>
      <c r="R110" s="10">
        <f t="shared" si="1"/>
        <v>0.63174999999999992</v>
      </c>
      <c r="S110" s="10">
        <f t="shared" si="2"/>
        <v>33.968250000000005</v>
      </c>
      <c r="T110" s="10">
        <f t="shared" si="6"/>
        <v>142.66075000000001</v>
      </c>
      <c r="V110" s="3">
        <v>94.1</v>
      </c>
      <c r="X110" s="3">
        <f t="shared" si="7"/>
        <v>48983.8</v>
      </c>
      <c r="AA110" s="3">
        <v>9.3960319771778806</v>
      </c>
    </row>
    <row r="111" spans="1:27" s="3" customFormat="1" x14ac:dyDescent="0.25">
      <c r="A111" s="61"/>
      <c r="B111" s="7"/>
      <c r="C111" s="8">
        <v>40496</v>
      </c>
      <c r="D111" s="3">
        <v>9.5</v>
      </c>
      <c r="E111" s="3">
        <v>7.3</v>
      </c>
      <c r="F111" s="3">
        <v>11.7</v>
      </c>
      <c r="G111" s="3">
        <f t="shared" si="3"/>
        <v>762.10000000000014</v>
      </c>
      <c r="J111" s="3">
        <v>1.1000000000000001</v>
      </c>
      <c r="K111" s="3">
        <f t="shared" si="4"/>
        <v>188</v>
      </c>
      <c r="L111" s="3">
        <v>0.6</v>
      </c>
      <c r="M111" s="3">
        <f t="shared" si="5"/>
        <v>96.899999999999991</v>
      </c>
      <c r="N111" s="3">
        <v>0.50000000000000011</v>
      </c>
      <c r="O111" s="3">
        <f t="shared" si="9"/>
        <v>117.70000000000002</v>
      </c>
      <c r="P111" s="3">
        <v>62</v>
      </c>
      <c r="Q111" s="3">
        <f t="shared" si="8"/>
        <v>0.91333333333333333</v>
      </c>
      <c r="R111" s="10">
        <f t="shared" si="1"/>
        <v>0.54799999999999993</v>
      </c>
      <c r="S111" s="10">
        <f t="shared" si="2"/>
        <v>0.55200000000000016</v>
      </c>
      <c r="T111" s="10">
        <f t="shared" si="6"/>
        <v>143.21275</v>
      </c>
      <c r="V111" s="3">
        <v>401.1</v>
      </c>
      <c r="X111" s="3">
        <f t="shared" si="7"/>
        <v>49384.9</v>
      </c>
      <c r="AA111" s="3">
        <v>9.3495958684151308</v>
      </c>
    </row>
    <row r="112" spans="1:27" s="3" customFormat="1" x14ac:dyDescent="0.25">
      <c r="A112" s="61"/>
      <c r="B112" s="7"/>
      <c r="C112" s="8">
        <v>40497</v>
      </c>
      <c r="D112" s="3">
        <v>6.3</v>
      </c>
      <c r="E112" s="3">
        <v>4</v>
      </c>
      <c r="F112" s="3">
        <v>11.4</v>
      </c>
      <c r="G112" s="3">
        <f t="shared" si="3"/>
        <v>768.40000000000009</v>
      </c>
      <c r="J112" s="3">
        <v>0.2</v>
      </c>
      <c r="K112" s="3">
        <f t="shared" si="4"/>
        <v>188.2</v>
      </c>
      <c r="L112" s="3">
        <v>1.1000000000000001</v>
      </c>
      <c r="M112" s="3">
        <f t="shared" si="5"/>
        <v>97.999999999999986</v>
      </c>
      <c r="N112" s="3">
        <v>-0.90000000000000013</v>
      </c>
      <c r="O112" s="3">
        <f t="shared" si="9"/>
        <v>116.80000000000001</v>
      </c>
      <c r="P112" s="3">
        <v>63</v>
      </c>
      <c r="Q112" s="3">
        <f t="shared" si="8"/>
        <v>0.92416666666666669</v>
      </c>
      <c r="R112" s="10">
        <f t="shared" si="1"/>
        <v>1.0165833333333334</v>
      </c>
      <c r="S112" s="10">
        <f t="shared" si="2"/>
        <v>-0.81658333333333344</v>
      </c>
      <c r="T112" s="10">
        <f t="shared" si="6"/>
        <v>142.39616666666666</v>
      </c>
      <c r="V112" s="3">
        <v>607.1</v>
      </c>
      <c r="X112" s="3">
        <f t="shared" si="7"/>
        <v>49992</v>
      </c>
      <c r="AA112" s="3">
        <v>9.3038345043603208</v>
      </c>
    </row>
    <row r="113" spans="1:27" s="3" customFormat="1" x14ac:dyDescent="0.25">
      <c r="A113" s="61"/>
      <c r="B113" s="7"/>
      <c r="C113" s="8">
        <v>40498</v>
      </c>
      <c r="D113" s="3">
        <v>5.4</v>
      </c>
      <c r="E113" s="3">
        <v>0.2</v>
      </c>
      <c r="F113" s="3">
        <v>11.7</v>
      </c>
      <c r="G113" s="3">
        <f t="shared" si="3"/>
        <v>773.80000000000007</v>
      </c>
      <c r="J113" s="3">
        <v>0.5</v>
      </c>
      <c r="K113" s="3">
        <f t="shared" si="4"/>
        <v>188.7</v>
      </c>
      <c r="L113" s="3">
        <v>1.1000000000000001</v>
      </c>
      <c r="M113" s="3">
        <f t="shared" si="5"/>
        <v>99.09999999999998</v>
      </c>
      <c r="N113" s="3">
        <v>-0.60000000000000009</v>
      </c>
      <c r="O113" s="3">
        <f t="shared" si="9"/>
        <v>116.20000000000002</v>
      </c>
      <c r="P113" s="3">
        <v>64</v>
      </c>
      <c r="Q113" s="3">
        <f t="shared" si="8"/>
        <v>0.93500000000000005</v>
      </c>
      <c r="R113" s="10">
        <f t="shared" si="1"/>
        <v>1.0285000000000002</v>
      </c>
      <c r="S113" s="10">
        <f t="shared" si="2"/>
        <v>-0.52850000000000019</v>
      </c>
      <c r="T113" s="10">
        <f t="shared" si="6"/>
        <v>141.86766666666665</v>
      </c>
      <c r="V113" s="3">
        <v>783.5</v>
      </c>
      <c r="X113" s="3">
        <f t="shared" si="7"/>
        <v>50775.5</v>
      </c>
      <c r="AA113" s="3">
        <v>9.2587752573368096</v>
      </c>
    </row>
    <row r="114" spans="1:27" s="3" customFormat="1" x14ac:dyDescent="0.25">
      <c r="A114" s="61"/>
      <c r="B114" s="7"/>
      <c r="C114" s="8">
        <v>40499</v>
      </c>
      <c r="D114" s="3">
        <v>5.7</v>
      </c>
      <c r="E114" s="3">
        <v>5.2</v>
      </c>
      <c r="F114" s="3">
        <v>6.8</v>
      </c>
      <c r="G114" s="3">
        <f t="shared" si="3"/>
        <v>779.50000000000011</v>
      </c>
      <c r="J114" s="3">
        <v>2.2000000000000002</v>
      </c>
      <c r="K114" s="3">
        <f t="shared" si="4"/>
        <v>190.89999999999998</v>
      </c>
      <c r="L114" s="3">
        <v>0.4</v>
      </c>
      <c r="M114" s="3">
        <f t="shared" si="5"/>
        <v>99.499999999999986</v>
      </c>
      <c r="N114" s="3">
        <v>1.8000000000000003</v>
      </c>
      <c r="O114" s="3">
        <f t="shared" si="9"/>
        <v>118.00000000000001</v>
      </c>
      <c r="P114" s="3">
        <v>65</v>
      </c>
      <c r="Q114" s="3">
        <f t="shared" si="8"/>
        <v>0.9458333333333333</v>
      </c>
      <c r="R114" s="10">
        <f t="shared" ref="R114:R177" si="10">Q114*L114</f>
        <v>0.37833333333333335</v>
      </c>
      <c r="S114" s="10">
        <f t="shared" ref="S114:S177" si="11">J114-R114</f>
        <v>1.8216666666666668</v>
      </c>
      <c r="T114" s="10">
        <f>MIN(197.4,(T113+S114))</f>
        <v>143.68933333333331</v>
      </c>
      <c r="V114" s="3">
        <v>112.6</v>
      </c>
      <c r="X114" s="3">
        <f t="shared" si="7"/>
        <v>50888.1</v>
      </c>
      <c r="AA114" s="3">
        <v>9.2144460002220008</v>
      </c>
    </row>
    <row r="115" spans="1:27" s="3" customFormat="1" x14ac:dyDescent="0.25">
      <c r="A115" s="61"/>
      <c r="B115" s="7"/>
      <c r="C115" s="8">
        <v>40500</v>
      </c>
      <c r="D115" s="3">
        <v>6.7</v>
      </c>
      <c r="E115" s="3">
        <v>3.6</v>
      </c>
      <c r="F115" s="3">
        <v>11.9</v>
      </c>
      <c r="G115" s="3">
        <f t="shared" si="3"/>
        <v>786.20000000000016</v>
      </c>
      <c r="J115" s="3">
        <v>0.2</v>
      </c>
      <c r="K115" s="3">
        <f t="shared" si="4"/>
        <v>191.09999999999997</v>
      </c>
      <c r="L115" s="3">
        <v>0.7</v>
      </c>
      <c r="M115" s="3">
        <f t="shared" si="5"/>
        <v>100.19999999999999</v>
      </c>
      <c r="N115" s="3">
        <v>-0.49999999999999994</v>
      </c>
      <c r="O115" s="3">
        <f t="shared" si="9"/>
        <v>117.50000000000001</v>
      </c>
      <c r="P115" s="3">
        <v>66</v>
      </c>
      <c r="Q115" s="3">
        <f t="shared" si="8"/>
        <v>0.95666666666666667</v>
      </c>
      <c r="R115" s="10">
        <f t="shared" si="10"/>
        <v>0.66966666666666663</v>
      </c>
      <c r="S115" s="10">
        <f t="shared" si="11"/>
        <v>-0.46966666666666662</v>
      </c>
      <c r="T115" s="10">
        <f t="shared" si="6"/>
        <v>143.21966666666665</v>
      </c>
      <c r="V115" s="3">
        <v>436.4</v>
      </c>
      <c r="X115" s="3">
        <f t="shared" si="7"/>
        <v>51324.5</v>
      </c>
      <c r="AA115" s="3">
        <v>9.1708750733060302</v>
      </c>
    </row>
    <row r="116" spans="1:27" s="3" customFormat="1" x14ac:dyDescent="0.25">
      <c r="A116" s="61"/>
      <c r="B116" s="7"/>
      <c r="C116" s="8">
        <v>40501</v>
      </c>
      <c r="D116" s="3">
        <v>7.6</v>
      </c>
      <c r="E116" s="3">
        <v>3.1</v>
      </c>
      <c r="F116" s="3">
        <v>12.3</v>
      </c>
      <c r="G116" s="3">
        <f t="shared" ref="G116:G179" si="12">G115+D116</f>
        <v>793.80000000000018</v>
      </c>
      <c r="J116" s="3">
        <v>2.4</v>
      </c>
      <c r="K116" s="3">
        <f t="shared" ref="K116:K179" si="13">K115+J116</f>
        <v>193.49999999999997</v>
      </c>
      <c r="L116" s="3">
        <v>0.5</v>
      </c>
      <c r="M116" s="3">
        <f t="shared" ref="M116:M179" si="14">M115+L116</f>
        <v>100.69999999999999</v>
      </c>
      <c r="N116" s="3">
        <v>1.9</v>
      </c>
      <c r="O116" s="3">
        <f t="shared" si="9"/>
        <v>119.40000000000002</v>
      </c>
      <c r="P116" s="3">
        <v>67</v>
      </c>
      <c r="Q116" s="3">
        <f t="shared" si="8"/>
        <v>0.96749999999999992</v>
      </c>
      <c r="R116" s="10">
        <f t="shared" si="10"/>
        <v>0.48374999999999996</v>
      </c>
      <c r="S116" s="10">
        <f t="shared" si="11"/>
        <v>1.91625</v>
      </c>
      <c r="T116" s="10">
        <f t="shared" ref="T116:T179" si="15">MIN(197.4,(T115+S116))</f>
        <v>145.13591666666665</v>
      </c>
      <c r="V116" s="3">
        <v>299.3</v>
      </c>
      <c r="X116" s="3">
        <f t="shared" ref="X116:X179" si="16">X115+V116</f>
        <v>51623.8</v>
      </c>
      <c r="AA116" s="3">
        <v>9.1280912473793894</v>
      </c>
    </row>
    <row r="117" spans="1:27" s="3" customFormat="1" x14ac:dyDescent="0.25">
      <c r="A117" s="61"/>
      <c r="B117" s="7"/>
      <c r="C117" s="8">
        <v>40502</v>
      </c>
      <c r="D117" s="3">
        <v>7.9</v>
      </c>
      <c r="E117" s="3">
        <v>6.9</v>
      </c>
      <c r="F117" s="3">
        <v>10.3</v>
      </c>
      <c r="G117" s="3">
        <f t="shared" si="12"/>
        <v>801.70000000000016</v>
      </c>
      <c r="J117" s="3">
        <v>0</v>
      </c>
      <c r="K117" s="3">
        <f t="shared" si="13"/>
        <v>193.49999999999997</v>
      </c>
      <c r="L117" s="3">
        <v>0.9</v>
      </c>
      <c r="M117" s="3">
        <f t="shared" si="14"/>
        <v>101.6</v>
      </c>
      <c r="N117" s="3">
        <v>-0.9</v>
      </c>
      <c r="O117" s="3">
        <f t="shared" si="9"/>
        <v>118.50000000000001</v>
      </c>
      <c r="P117" s="3">
        <v>68</v>
      </c>
      <c r="Q117" s="3">
        <f t="shared" si="8"/>
        <v>0.97833333333333339</v>
      </c>
      <c r="R117" s="10">
        <f t="shared" si="10"/>
        <v>0.88050000000000006</v>
      </c>
      <c r="S117" s="10">
        <f t="shared" si="11"/>
        <v>-0.88050000000000006</v>
      </c>
      <c r="T117" s="10">
        <f t="shared" si="15"/>
        <v>144.25541666666663</v>
      </c>
      <c r="V117" s="3">
        <v>393.4</v>
      </c>
      <c r="X117" s="3">
        <f t="shared" si="16"/>
        <v>52017.200000000004</v>
      </c>
      <c r="AA117" s="3">
        <v>9.0861236829689993</v>
      </c>
    </row>
    <row r="118" spans="1:27" s="3" customFormat="1" x14ac:dyDescent="0.25">
      <c r="A118" s="61"/>
      <c r="B118" s="7"/>
      <c r="C118" s="8">
        <v>40503</v>
      </c>
      <c r="D118" s="3">
        <v>6.5</v>
      </c>
      <c r="E118" s="3">
        <v>5.3</v>
      </c>
      <c r="F118" s="3">
        <v>8.4</v>
      </c>
      <c r="G118" s="3">
        <f t="shared" si="12"/>
        <v>808.20000000000016</v>
      </c>
      <c r="J118" s="3">
        <v>0.3</v>
      </c>
      <c r="K118" s="3">
        <f t="shared" si="13"/>
        <v>193.79999999999998</v>
      </c>
      <c r="L118" s="3">
        <v>0.4</v>
      </c>
      <c r="M118" s="3">
        <f t="shared" si="14"/>
        <v>102</v>
      </c>
      <c r="N118" s="3">
        <v>-0.10000000000000003</v>
      </c>
      <c r="O118" s="3">
        <f t="shared" si="9"/>
        <v>118.40000000000002</v>
      </c>
      <c r="P118" s="3">
        <v>69</v>
      </c>
      <c r="Q118" s="3">
        <f t="shared" si="8"/>
        <v>0.98916666666666664</v>
      </c>
      <c r="R118" s="10">
        <f t="shared" si="10"/>
        <v>0.39566666666666667</v>
      </c>
      <c r="S118" s="10">
        <f t="shared" si="11"/>
        <v>-9.5666666666666678E-2</v>
      </c>
      <c r="T118" s="10">
        <f t="shared" si="15"/>
        <v>144.15974999999997</v>
      </c>
      <c r="V118" s="3">
        <v>126.5</v>
      </c>
      <c r="X118" s="3">
        <f t="shared" si="16"/>
        <v>52143.700000000004</v>
      </c>
      <c r="AA118" s="3">
        <v>9.0450018856624599</v>
      </c>
    </row>
    <row r="119" spans="1:27" s="39" customFormat="1" ht="15.75" thickBot="1" x14ac:dyDescent="0.3">
      <c r="A119" s="61"/>
      <c r="B119" s="47"/>
      <c r="C119" s="48">
        <v>40504</v>
      </c>
      <c r="D119" s="39">
        <v>6.1</v>
      </c>
      <c r="E119" s="39">
        <v>5.0999999999999996</v>
      </c>
      <c r="F119" s="39">
        <v>8.6</v>
      </c>
      <c r="G119" s="39">
        <f t="shared" si="12"/>
        <v>814.30000000000018</v>
      </c>
      <c r="J119" s="39">
        <v>0.3</v>
      </c>
      <c r="K119" s="39">
        <f t="shared" si="13"/>
        <v>194.1</v>
      </c>
      <c r="L119" s="39">
        <v>0.4</v>
      </c>
      <c r="M119" s="39">
        <f t="shared" si="14"/>
        <v>102.4</v>
      </c>
      <c r="N119" s="39">
        <v>-0.10000000000000003</v>
      </c>
      <c r="O119" s="39">
        <f t="shared" si="9"/>
        <v>118.30000000000003</v>
      </c>
      <c r="P119" s="39">
        <v>70</v>
      </c>
      <c r="Q119" s="43">
        <f t="shared" si="8"/>
        <v>1</v>
      </c>
      <c r="R119" s="41">
        <f t="shared" si="10"/>
        <v>0.4</v>
      </c>
      <c r="S119" s="41">
        <f t="shared" si="11"/>
        <v>-0.10000000000000003</v>
      </c>
      <c r="T119" s="42">
        <f t="shared" si="15"/>
        <v>144.05974999999998</v>
      </c>
      <c r="V119" s="39">
        <v>256.89999999999998</v>
      </c>
      <c r="W119" s="39">
        <f>(X119/100)/I63</f>
        <v>0.64350485079209152</v>
      </c>
      <c r="X119" s="39">
        <f t="shared" si="16"/>
        <v>52400.600000000006</v>
      </c>
      <c r="AA119" s="43">
        <v>9.0047556574835408</v>
      </c>
    </row>
    <row r="120" spans="1:27" s="3" customFormat="1" x14ac:dyDescent="0.25">
      <c r="A120" s="62" t="s">
        <v>18</v>
      </c>
      <c r="B120" s="12"/>
      <c r="C120" s="13">
        <v>40505</v>
      </c>
      <c r="D120" s="3">
        <v>4.8</v>
      </c>
      <c r="E120" s="3">
        <v>3</v>
      </c>
      <c r="F120" s="3">
        <v>9.9</v>
      </c>
      <c r="G120" s="3">
        <f t="shared" si="12"/>
        <v>819.10000000000014</v>
      </c>
      <c r="H120" s="3">
        <v>4.8</v>
      </c>
      <c r="I120" s="14" t="s">
        <v>2</v>
      </c>
      <c r="J120" s="3">
        <v>0.1</v>
      </c>
      <c r="K120" s="3">
        <f t="shared" si="13"/>
        <v>194.2</v>
      </c>
      <c r="L120" s="3">
        <v>1</v>
      </c>
      <c r="M120" s="3">
        <f t="shared" si="14"/>
        <v>103.4</v>
      </c>
      <c r="N120" s="3">
        <v>-0.9</v>
      </c>
      <c r="O120" s="3">
        <f t="shared" si="9"/>
        <v>117.40000000000002</v>
      </c>
      <c r="P120" s="3">
        <v>71</v>
      </c>
      <c r="Q120" s="3">
        <v>1</v>
      </c>
      <c r="R120" s="10">
        <f t="shared" si="10"/>
        <v>1</v>
      </c>
      <c r="S120" s="10">
        <f t="shared" si="11"/>
        <v>-0.9</v>
      </c>
      <c r="T120" s="10">
        <f t="shared" si="15"/>
        <v>143.15974999999997</v>
      </c>
      <c r="U120" s="14" t="s">
        <v>3</v>
      </c>
      <c r="V120" s="3">
        <v>591.20000000000005</v>
      </c>
      <c r="X120" s="3">
        <f t="shared" si="16"/>
        <v>52991.8</v>
      </c>
      <c r="Y120" s="3">
        <f>V120</f>
        <v>591.20000000000005</v>
      </c>
      <c r="Z120" s="14" t="s">
        <v>4</v>
      </c>
      <c r="AA120" s="15">
        <v>8.9654150443073704</v>
      </c>
    </row>
    <row r="121" spans="1:27" s="3" customFormat="1" x14ac:dyDescent="0.25">
      <c r="A121" s="62"/>
      <c r="B121" s="12"/>
      <c r="C121" s="13">
        <v>40506</v>
      </c>
      <c r="D121" s="3">
        <v>4.3</v>
      </c>
      <c r="E121" s="3">
        <v>1</v>
      </c>
      <c r="F121" s="3">
        <v>7.5</v>
      </c>
      <c r="G121" s="3">
        <f t="shared" si="12"/>
        <v>823.40000000000009</v>
      </c>
      <c r="H121" s="3">
        <f>H120+D121</f>
        <v>9.1</v>
      </c>
      <c r="I121" s="3">
        <f>MIN(E120:E168)</f>
        <v>-5.9</v>
      </c>
      <c r="J121" s="3">
        <v>1.9</v>
      </c>
      <c r="K121" s="3">
        <f t="shared" si="13"/>
        <v>196.1</v>
      </c>
      <c r="L121" s="3">
        <v>0.2</v>
      </c>
      <c r="M121" s="3">
        <f t="shared" si="14"/>
        <v>103.60000000000001</v>
      </c>
      <c r="N121" s="3">
        <v>1.7</v>
      </c>
      <c r="O121" s="3">
        <f t="shared" si="9"/>
        <v>119.10000000000002</v>
      </c>
      <c r="P121" s="3">
        <v>72</v>
      </c>
      <c r="Q121" s="3">
        <v>1</v>
      </c>
      <c r="R121" s="10">
        <f t="shared" si="10"/>
        <v>0.2</v>
      </c>
      <c r="S121" s="10">
        <f t="shared" si="11"/>
        <v>1.7</v>
      </c>
      <c r="T121" s="10">
        <f t="shared" si="15"/>
        <v>144.85974999999996</v>
      </c>
      <c r="U121" s="3">
        <v>27</v>
      </c>
      <c r="V121" s="3">
        <v>283.10000000000002</v>
      </c>
      <c r="X121" s="3">
        <f t="shared" si="16"/>
        <v>53274.9</v>
      </c>
      <c r="Y121" s="3">
        <f>Y120+V121</f>
        <v>874.30000000000007</v>
      </c>
      <c r="Z121" s="3">
        <v>15716.799999999996</v>
      </c>
      <c r="AA121" s="15">
        <v>8.9270102793325297</v>
      </c>
    </row>
    <row r="122" spans="1:27" s="3" customFormat="1" x14ac:dyDescent="0.25">
      <c r="A122" s="62"/>
      <c r="B122" s="12"/>
      <c r="C122" s="13">
        <v>40507</v>
      </c>
      <c r="D122" s="3">
        <v>2.7</v>
      </c>
      <c r="E122" s="3">
        <v>1.1000000000000001</v>
      </c>
      <c r="F122" s="3">
        <v>5.4</v>
      </c>
      <c r="G122" s="3">
        <f t="shared" si="12"/>
        <v>826.10000000000014</v>
      </c>
      <c r="H122" s="3">
        <f t="shared" ref="H122:H185" si="17">H121+D122</f>
        <v>11.8</v>
      </c>
      <c r="I122" s="14" t="s">
        <v>5</v>
      </c>
      <c r="J122" s="3">
        <v>0</v>
      </c>
      <c r="K122" s="3">
        <f t="shared" si="13"/>
        <v>196.1</v>
      </c>
      <c r="L122" s="3">
        <v>0.5</v>
      </c>
      <c r="M122" s="3">
        <f t="shared" si="14"/>
        <v>104.10000000000001</v>
      </c>
      <c r="N122" s="3">
        <v>-0.5</v>
      </c>
      <c r="O122" s="3">
        <f t="shared" si="9"/>
        <v>118.60000000000002</v>
      </c>
      <c r="P122" s="3">
        <v>73</v>
      </c>
      <c r="Q122" s="3">
        <v>1</v>
      </c>
      <c r="R122" s="10">
        <f t="shared" si="10"/>
        <v>0.5</v>
      </c>
      <c r="S122" s="10">
        <f t="shared" si="11"/>
        <v>-0.5</v>
      </c>
      <c r="T122" s="10">
        <f t="shared" si="15"/>
        <v>144.35974999999996</v>
      </c>
      <c r="U122" s="14" t="s">
        <v>6</v>
      </c>
      <c r="V122" s="3">
        <v>511.3</v>
      </c>
      <c r="X122" s="3">
        <f t="shared" si="16"/>
        <v>53786.200000000004</v>
      </c>
      <c r="Y122" s="3">
        <f t="shared" ref="Y122:Y185" si="18">Y121+V122</f>
        <v>1385.6000000000001</v>
      </c>
      <c r="Z122" s="14" t="s">
        <v>7</v>
      </c>
      <c r="AA122" s="15">
        <v>8.8895717226579496</v>
      </c>
    </row>
    <row r="123" spans="1:27" s="3" customFormat="1" x14ac:dyDescent="0.25">
      <c r="A123" s="62"/>
      <c r="B123" s="12"/>
      <c r="C123" s="13">
        <v>40508</v>
      </c>
      <c r="D123" s="3">
        <v>1.5</v>
      </c>
      <c r="E123" s="3">
        <v>0.1</v>
      </c>
      <c r="F123" s="3">
        <v>4.5999999999999996</v>
      </c>
      <c r="G123" s="3">
        <f t="shared" si="12"/>
        <v>827.60000000000014</v>
      </c>
      <c r="H123" s="3">
        <f t="shared" si="17"/>
        <v>13.3</v>
      </c>
      <c r="I123" s="3">
        <f>MAX(F120:F168)</f>
        <v>12.8</v>
      </c>
      <c r="J123" s="3">
        <v>0</v>
      </c>
      <c r="K123" s="3">
        <f t="shared" si="13"/>
        <v>196.1</v>
      </c>
      <c r="L123" s="3">
        <v>0.4</v>
      </c>
      <c r="M123" s="3">
        <f t="shared" si="14"/>
        <v>104.50000000000001</v>
      </c>
      <c r="N123" s="3">
        <v>-0.4</v>
      </c>
      <c r="O123" s="3">
        <f t="shared" si="9"/>
        <v>118.20000000000002</v>
      </c>
      <c r="P123" s="3">
        <v>74</v>
      </c>
      <c r="Q123" s="3">
        <v>1</v>
      </c>
      <c r="R123" s="10">
        <f t="shared" si="10"/>
        <v>0.4</v>
      </c>
      <c r="S123" s="10">
        <f t="shared" si="11"/>
        <v>-0.4</v>
      </c>
      <c r="T123" s="10">
        <f t="shared" si="15"/>
        <v>143.95974999999996</v>
      </c>
      <c r="U123" s="3">
        <v>0</v>
      </c>
      <c r="V123" s="3">
        <v>499.2</v>
      </c>
      <c r="X123" s="3">
        <f t="shared" si="16"/>
        <v>54285.4</v>
      </c>
      <c r="Y123" s="3">
        <f t="shared" si="18"/>
        <v>1884.8000000000002</v>
      </c>
      <c r="Z123" s="3">
        <f>(Z121/100)/I133</f>
        <v>1.0470886075949364</v>
      </c>
      <c r="AA123" s="15">
        <v>8.8531297970460692</v>
      </c>
    </row>
    <row r="124" spans="1:27" s="3" customFormat="1" x14ac:dyDescent="0.25">
      <c r="A124" s="62"/>
      <c r="B124" s="12"/>
      <c r="C124" s="13">
        <v>40509</v>
      </c>
      <c r="D124" s="3">
        <v>0.9</v>
      </c>
      <c r="E124" s="3">
        <v>0.1</v>
      </c>
      <c r="F124" s="3">
        <v>2.5</v>
      </c>
      <c r="G124" s="3">
        <f t="shared" si="12"/>
        <v>828.50000000000011</v>
      </c>
      <c r="H124" s="3">
        <f t="shared" si="17"/>
        <v>14.200000000000001</v>
      </c>
      <c r="I124" s="14" t="s">
        <v>8</v>
      </c>
      <c r="J124" s="3">
        <v>0.2</v>
      </c>
      <c r="K124" s="3">
        <f t="shared" si="13"/>
        <v>196.29999999999998</v>
      </c>
      <c r="L124" s="3">
        <v>0.3</v>
      </c>
      <c r="M124" s="3">
        <f t="shared" si="14"/>
        <v>104.80000000000001</v>
      </c>
      <c r="N124" s="3">
        <v>-9.9999999999999978E-2</v>
      </c>
      <c r="O124" s="3">
        <f t="shared" si="9"/>
        <v>118.10000000000002</v>
      </c>
      <c r="P124" s="3">
        <v>75</v>
      </c>
      <c r="Q124" s="3">
        <v>1</v>
      </c>
      <c r="R124" s="10">
        <f t="shared" si="10"/>
        <v>0.3</v>
      </c>
      <c r="S124" s="10">
        <f t="shared" si="11"/>
        <v>-9.9999999999999978E-2</v>
      </c>
      <c r="T124" s="10">
        <f t="shared" si="15"/>
        <v>143.85974999999996</v>
      </c>
      <c r="U124" s="14" t="s">
        <v>9</v>
      </c>
      <c r="V124" s="3">
        <v>114.1</v>
      </c>
      <c r="X124" s="3">
        <f t="shared" si="16"/>
        <v>54399.5</v>
      </c>
      <c r="Y124" s="3">
        <f t="shared" si="18"/>
        <v>1998.9</v>
      </c>
      <c r="Z124" s="14" t="s">
        <v>10</v>
      </c>
      <c r="AA124" s="15">
        <v>8.8177149199891005</v>
      </c>
    </row>
    <row r="125" spans="1:27" s="3" customFormat="1" x14ac:dyDescent="0.25">
      <c r="A125" s="62"/>
      <c r="B125" s="12"/>
      <c r="C125" s="13">
        <v>40510</v>
      </c>
      <c r="D125" s="3">
        <v>0.4</v>
      </c>
      <c r="E125" s="3">
        <v>0.7</v>
      </c>
      <c r="F125" s="3">
        <v>1.5</v>
      </c>
      <c r="G125" s="3">
        <f t="shared" si="12"/>
        <v>828.90000000000009</v>
      </c>
      <c r="H125" s="3">
        <f t="shared" si="17"/>
        <v>14.600000000000001</v>
      </c>
      <c r="I125" s="10">
        <f>AVERAGE(D120:D168)</f>
        <v>2.8428571428571425</v>
      </c>
      <c r="J125" s="3">
        <v>0.6</v>
      </c>
      <c r="K125" s="3">
        <f t="shared" si="13"/>
        <v>196.89999999999998</v>
      </c>
      <c r="L125" s="3">
        <v>0.4</v>
      </c>
      <c r="M125" s="3">
        <f t="shared" si="14"/>
        <v>105.20000000000002</v>
      </c>
      <c r="N125" s="3">
        <v>0.19999999999999996</v>
      </c>
      <c r="O125" s="3">
        <f t="shared" si="9"/>
        <v>118.30000000000003</v>
      </c>
      <c r="P125" s="3">
        <v>76</v>
      </c>
      <c r="Q125" s="3">
        <v>1</v>
      </c>
      <c r="R125" s="10">
        <f t="shared" si="10"/>
        <v>0.4</v>
      </c>
      <c r="S125" s="10">
        <f t="shared" si="11"/>
        <v>0.19999999999999996</v>
      </c>
      <c r="T125" s="10">
        <f t="shared" si="15"/>
        <v>144.05974999999995</v>
      </c>
      <c r="U125" s="3">
        <v>0</v>
      </c>
      <c r="V125" s="3">
        <v>99.3</v>
      </c>
      <c r="X125" s="3">
        <f t="shared" si="16"/>
        <v>54498.8</v>
      </c>
      <c r="Y125" s="3">
        <f t="shared" si="18"/>
        <v>2098.2000000000003</v>
      </c>
      <c r="Z125" s="3">
        <v>49</v>
      </c>
      <c r="AA125" s="15">
        <v>8.7833574322332097</v>
      </c>
    </row>
    <row r="126" spans="1:27" s="3" customFormat="1" x14ac:dyDescent="0.25">
      <c r="A126" s="62"/>
      <c r="B126" s="12"/>
      <c r="C126" s="13">
        <v>40511</v>
      </c>
      <c r="D126" s="3">
        <v>-1.9</v>
      </c>
      <c r="E126" s="3">
        <v>-5</v>
      </c>
      <c r="F126" s="3">
        <v>3</v>
      </c>
      <c r="G126" s="3">
        <v>828.9</v>
      </c>
      <c r="H126" s="3">
        <v>14.6</v>
      </c>
      <c r="I126" s="14" t="s">
        <v>11</v>
      </c>
      <c r="J126" s="3">
        <v>0</v>
      </c>
      <c r="K126" s="3">
        <f t="shared" si="13"/>
        <v>196.89999999999998</v>
      </c>
      <c r="L126" s="3">
        <v>0.6</v>
      </c>
      <c r="M126" s="3">
        <f t="shared" si="14"/>
        <v>105.80000000000001</v>
      </c>
      <c r="N126" s="3">
        <v>-0.6</v>
      </c>
      <c r="O126" s="3">
        <f t="shared" si="9"/>
        <v>117.70000000000003</v>
      </c>
      <c r="P126" s="3">
        <v>77</v>
      </c>
      <c r="Q126" s="3">
        <v>1</v>
      </c>
      <c r="R126" s="10">
        <f t="shared" si="10"/>
        <v>0.6</v>
      </c>
      <c r="S126" s="10">
        <f t="shared" si="11"/>
        <v>-0.6</v>
      </c>
      <c r="T126" s="10">
        <f t="shared" si="15"/>
        <v>143.45974999999996</v>
      </c>
      <c r="U126" s="14" t="s">
        <v>12</v>
      </c>
      <c r="V126" s="3">
        <v>670.4</v>
      </c>
      <c r="X126" s="3">
        <f t="shared" si="16"/>
        <v>55169.200000000004</v>
      </c>
      <c r="Y126" s="3">
        <f t="shared" si="18"/>
        <v>2768.6000000000004</v>
      </c>
      <c r="AA126" s="15">
        <v>8.7500875229543809</v>
      </c>
    </row>
    <row r="127" spans="1:27" s="3" customFormat="1" x14ac:dyDescent="0.25">
      <c r="A127" s="62"/>
      <c r="B127" s="12"/>
      <c r="C127" s="13">
        <v>40512</v>
      </c>
      <c r="D127" s="3">
        <v>-2.1</v>
      </c>
      <c r="E127" s="3">
        <v>-4.8</v>
      </c>
      <c r="F127" s="3">
        <v>2.1</v>
      </c>
      <c r="G127" s="3">
        <v>828.9</v>
      </c>
      <c r="H127" s="3">
        <v>14.6</v>
      </c>
      <c r="I127" s="3">
        <v>21</v>
      </c>
      <c r="J127" s="3">
        <v>0</v>
      </c>
      <c r="K127" s="3">
        <f t="shared" si="13"/>
        <v>196.89999999999998</v>
      </c>
      <c r="L127" s="3">
        <v>0.7</v>
      </c>
      <c r="M127" s="3">
        <f t="shared" si="14"/>
        <v>106.50000000000001</v>
      </c>
      <c r="N127" s="3">
        <v>-0.7</v>
      </c>
      <c r="O127" s="3">
        <f t="shared" si="9"/>
        <v>117.00000000000003</v>
      </c>
      <c r="P127" s="3">
        <v>78</v>
      </c>
      <c r="Q127" s="3">
        <v>1</v>
      </c>
      <c r="R127" s="10">
        <f t="shared" si="10"/>
        <v>0.7</v>
      </c>
      <c r="S127" s="10">
        <f t="shared" si="11"/>
        <v>-0.7</v>
      </c>
      <c r="T127" s="10">
        <f t="shared" si="15"/>
        <v>142.75974999999997</v>
      </c>
      <c r="U127" s="10">
        <f>MIN(T120:T168)</f>
        <v>142.25974999999997</v>
      </c>
      <c r="V127" s="3">
        <v>572.29999999999995</v>
      </c>
      <c r="X127" s="3">
        <f t="shared" si="16"/>
        <v>55741.500000000007</v>
      </c>
      <c r="Y127" s="3">
        <f t="shared" si="18"/>
        <v>3340.9000000000005</v>
      </c>
      <c r="AA127" s="15">
        <v>8.7179351518204609</v>
      </c>
    </row>
    <row r="128" spans="1:27" s="3" customFormat="1" x14ac:dyDescent="0.25">
      <c r="A128" s="62"/>
      <c r="B128" s="12"/>
      <c r="C128" s="13">
        <v>40513</v>
      </c>
      <c r="D128" s="3">
        <v>-2.2999999999999998</v>
      </c>
      <c r="E128" s="3">
        <v>-5.0999999999999996</v>
      </c>
      <c r="F128" s="3">
        <v>0.2</v>
      </c>
      <c r="G128" s="3">
        <v>828.9</v>
      </c>
      <c r="H128" s="3">
        <v>14.6</v>
      </c>
      <c r="I128" s="14" t="s">
        <v>13</v>
      </c>
      <c r="J128" s="3">
        <v>0</v>
      </c>
      <c r="K128" s="3">
        <f t="shared" si="13"/>
        <v>196.89999999999998</v>
      </c>
      <c r="L128" s="3">
        <v>0.4</v>
      </c>
      <c r="M128" s="3">
        <f t="shared" si="14"/>
        <v>106.90000000000002</v>
      </c>
      <c r="N128" s="3">
        <v>-0.4</v>
      </c>
      <c r="O128" s="3">
        <f t="shared" si="9"/>
        <v>116.60000000000002</v>
      </c>
      <c r="P128" s="3">
        <v>79</v>
      </c>
      <c r="Q128" s="3">
        <v>1</v>
      </c>
      <c r="R128" s="10">
        <f t="shared" si="10"/>
        <v>0.4</v>
      </c>
      <c r="S128" s="10">
        <f t="shared" si="11"/>
        <v>-0.4</v>
      </c>
      <c r="T128" s="10">
        <f t="shared" si="15"/>
        <v>142.35974999999996</v>
      </c>
      <c r="U128" s="14" t="s">
        <v>14</v>
      </c>
      <c r="V128" s="3">
        <v>252.9</v>
      </c>
      <c r="X128" s="3">
        <f t="shared" si="16"/>
        <v>55994.400000000009</v>
      </c>
      <c r="Y128" s="3">
        <f t="shared" si="18"/>
        <v>3593.8000000000006</v>
      </c>
      <c r="AA128" s="15">
        <v>8.6869299682154892</v>
      </c>
    </row>
    <row r="129" spans="1:27" s="3" customFormat="1" x14ac:dyDescent="0.25">
      <c r="A129" s="62"/>
      <c r="B129" s="12"/>
      <c r="C129" s="13">
        <v>40514</v>
      </c>
      <c r="D129" s="3">
        <v>-1.2</v>
      </c>
      <c r="E129" s="3">
        <v>-2.7</v>
      </c>
      <c r="F129" s="3">
        <v>0.5</v>
      </c>
      <c r="G129" s="3">
        <v>828.9</v>
      </c>
      <c r="H129" s="3">
        <v>14.6</v>
      </c>
      <c r="I129" s="3">
        <v>0</v>
      </c>
      <c r="J129" s="3">
        <v>0</v>
      </c>
      <c r="K129" s="3">
        <f t="shared" si="13"/>
        <v>196.89999999999998</v>
      </c>
      <c r="L129" s="3">
        <v>0.1</v>
      </c>
      <c r="M129" s="3">
        <f t="shared" si="14"/>
        <v>107.00000000000001</v>
      </c>
      <c r="N129" s="3">
        <v>-0.1</v>
      </c>
      <c r="O129" s="3">
        <f t="shared" ref="O129:O192" si="19">O128+N129</f>
        <v>116.50000000000003</v>
      </c>
      <c r="P129" s="3">
        <v>80</v>
      </c>
      <c r="Q129" s="3">
        <v>1</v>
      </c>
      <c r="R129" s="10">
        <f t="shared" si="10"/>
        <v>0.1</v>
      </c>
      <c r="S129" s="10">
        <f t="shared" si="11"/>
        <v>-0.1</v>
      </c>
      <c r="T129" s="10">
        <f t="shared" si="15"/>
        <v>142.25974999999997</v>
      </c>
      <c r="U129" s="10">
        <f>MAX(T120:T168)</f>
        <v>197.4</v>
      </c>
      <c r="V129" s="3">
        <v>112.8</v>
      </c>
      <c r="X129" s="3">
        <f t="shared" si="16"/>
        <v>56107.200000000012</v>
      </c>
      <c r="Y129" s="3">
        <f t="shared" si="18"/>
        <v>3706.6000000000008</v>
      </c>
      <c r="AA129" s="15">
        <v>8.6571012279438708</v>
      </c>
    </row>
    <row r="130" spans="1:27" s="3" customFormat="1" x14ac:dyDescent="0.25">
      <c r="A130" s="62"/>
      <c r="B130" s="12"/>
      <c r="C130" s="13">
        <v>40515</v>
      </c>
      <c r="D130" s="3">
        <v>-0.3</v>
      </c>
      <c r="E130" s="3">
        <v>-1.3</v>
      </c>
      <c r="F130" s="3">
        <v>1.8</v>
      </c>
      <c r="G130" s="3">
        <v>828.9</v>
      </c>
      <c r="H130" s="3">
        <v>14.6</v>
      </c>
      <c r="I130" s="14" t="s">
        <v>15</v>
      </c>
      <c r="J130" s="3">
        <v>2.9</v>
      </c>
      <c r="K130" s="3">
        <f t="shared" si="13"/>
        <v>199.79999999999998</v>
      </c>
      <c r="L130" s="3">
        <v>0.4</v>
      </c>
      <c r="M130" s="3">
        <f t="shared" si="14"/>
        <v>107.40000000000002</v>
      </c>
      <c r="N130" s="3">
        <v>2.5</v>
      </c>
      <c r="O130" s="3">
        <f t="shared" si="19"/>
        <v>119.00000000000003</v>
      </c>
      <c r="P130" s="3">
        <v>81</v>
      </c>
      <c r="Q130" s="3">
        <v>1</v>
      </c>
      <c r="R130" s="10">
        <f t="shared" si="10"/>
        <v>0.4</v>
      </c>
      <c r="S130" s="10">
        <f t="shared" si="11"/>
        <v>2.5</v>
      </c>
      <c r="T130" s="10">
        <f t="shared" si="15"/>
        <v>144.75974999999997</v>
      </c>
      <c r="U130" s="14" t="s">
        <v>16</v>
      </c>
      <c r="V130" s="3">
        <v>384.2</v>
      </c>
      <c r="X130" s="3">
        <f t="shared" si="16"/>
        <v>56491.400000000009</v>
      </c>
      <c r="Y130" s="3">
        <f t="shared" si="18"/>
        <v>4090.8000000000006</v>
      </c>
      <c r="AA130" s="15">
        <v>8.6284777077740902</v>
      </c>
    </row>
    <row r="131" spans="1:27" s="3" customFormat="1" x14ac:dyDescent="0.25">
      <c r="A131" s="62"/>
      <c r="B131" s="12"/>
      <c r="C131" s="13">
        <v>40516</v>
      </c>
      <c r="D131" s="3">
        <v>4.5999999999999996</v>
      </c>
      <c r="E131" s="3">
        <v>-0.8</v>
      </c>
      <c r="F131" s="3">
        <v>7.3</v>
      </c>
      <c r="G131" s="3">
        <f t="shared" si="12"/>
        <v>833.5</v>
      </c>
      <c r="H131" s="3">
        <f t="shared" si="17"/>
        <v>19.2</v>
      </c>
      <c r="I131" s="3">
        <v>24</v>
      </c>
      <c r="J131" s="3">
        <v>5</v>
      </c>
      <c r="K131" s="3">
        <f t="shared" si="13"/>
        <v>204.79999999999998</v>
      </c>
      <c r="L131" s="3">
        <v>0.1</v>
      </c>
      <c r="M131" s="3">
        <f t="shared" si="14"/>
        <v>107.50000000000001</v>
      </c>
      <c r="N131" s="3">
        <v>4.9000000000000004</v>
      </c>
      <c r="O131" s="3">
        <f t="shared" si="19"/>
        <v>123.90000000000003</v>
      </c>
      <c r="P131" s="3">
        <v>82</v>
      </c>
      <c r="Q131" s="3">
        <v>1</v>
      </c>
      <c r="R131" s="10">
        <f t="shared" si="10"/>
        <v>0.1</v>
      </c>
      <c r="S131" s="10">
        <f t="shared" si="11"/>
        <v>4.9000000000000004</v>
      </c>
      <c r="T131" s="10">
        <f t="shared" si="15"/>
        <v>149.65974999999997</v>
      </c>
      <c r="U131" s="18">
        <f>AVERAGE(T120:T168)</f>
        <v>165.92630102040812</v>
      </c>
      <c r="V131" s="3">
        <v>287.7</v>
      </c>
      <c r="X131" s="3">
        <f t="shared" si="16"/>
        <v>56779.100000000006</v>
      </c>
      <c r="Y131" s="3">
        <f t="shared" si="18"/>
        <v>4378.5000000000009</v>
      </c>
      <c r="AA131" s="15">
        <v>8.6010876182217704</v>
      </c>
    </row>
    <row r="132" spans="1:27" s="3" customFormat="1" x14ac:dyDescent="0.25">
      <c r="A132" s="62"/>
      <c r="B132" s="12"/>
      <c r="C132" s="13">
        <v>40517</v>
      </c>
      <c r="D132" s="3">
        <v>3.8</v>
      </c>
      <c r="E132" s="3">
        <v>2.5</v>
      </c>
      <c r="F132" s="3">
        <v>4.5</v>
      </c>
      <c r="G132" s="3">
        <f t="shared" si="12"/>
        <v>837.3</v>
      </c>
      <c r="H132" s="3">
        <f t="shared" si="17"/>
        <v>23</v>
      </c>
      <c r="I132" s="14" t="s">
        <v>17</v>
      </c>
      <c r="J132" s="3">
        <v>2.8</v>
      </c>
      <c r="K132" s="3">
        <f t="shared" si="13"/>
        <v>207.6</v>
      </c>
      <c r="L132" s="3">
        <v>0.1</v>
      </c>
      <c r="M132" s="3">
        <f t="shared" si="14"/>
        <v>107.60000000000001</v>
      </c>
      <c r="N132" s="3">
        <v>2.6999999999999997</v>
      </c>
      <c r="O132" s="3">
        <f t="shared" si="19"/>
        <v>126.60000000000004</v>
      </c>
      <c r="P132" s="3">
        <v>83</v>
      </c>
      <c r="Q132" s="3">
        <v>1</v>
      </c>
      <c r="R132" s="10">
        <f t="shared" si="10"/>
        <v>0.1</v>
      </c>
      <c r="S132" s="10">
        <f t="shared" si="11"/>
        <v>2.6999999999999997</v>
      </c>
      <c r="T132" s="10">
        <f t="shared" si="15"/>
        <v>152.35974999999996</v>
      </c>
      <c r="U132" s="14" t="s">
        <v>19</v>
      </c>
      <c r="V132" s="3">
        <v>85.6</v>
      </c>
      <c r="X132" s="3">
        <f t="shared" si="16"/>
        <v>56864.700000000004</v>
      </c>
      <c r="Y132" s="3">
        <f t="shared" si="18"/>
        <v>4464.1000000000013</v>
      </c>
      <c r="AA132" s="15">
        <v>8.5749585150120193</v>
      </c>
    </row>
    <row r="133" spans="1:27" s="3" customFormat="1" x14ac:dyDescent="0.25">
      <c r="A133" s="62"/>
      <c r="B133" s="12"/>
      <c r="C133" s="13">
        <v>40518</v>
      </c>
      <c r="D133" s="3">
        <v>3.3</v>
      </c>
      <c r="E133" s="3">
        <v>3.4</v>
      </c>
      <c r="F133" s="3">
        <v>4.3</v>
      </c>
      <c r="G133" s="3">
        <f t="shared" si="12"/>
        <v>840.59999999999991</v>
      </c>
      <c r="H133" s="3">
        <f t="shared" si="17"/>
        <v>26.3</v>
      </c>
      <c r="I133" s="3">
        <v>150.1</v>
      </c>
      <c r="J133" s="3">
        <v>0.5</v>
      </c>
      <c r="K133" s="3">
        <f t="shared" si="13"/>
        <v>208.1</v>
      </c>
      <c r="L133" s="3">
        <v>0.5</v>
      </c>
      <c r="M133" s="3">
        <f t="shared" si="14"/>
        <v>108.10000000000001</v>
      </c>
      <c r="N133" s="3">
        <v>0</v>
      </c>
      <c r="O133" s="3">
        <f t="shared" si="19"/>
        <v>126.60000000000004</v>
      </c>
      <c r="P133" s="3">
        <v>84</v>
      </c>
      <c r="Q133" s="3">
        <v>1</v>
      </c>
      <c r="R133" s="10">
        <f t="shared" si="10"/>
        <v>0.5</v>
      </c>
      <c r="S133" s="10">
        <f t="shared" si="11"/>
        <v>0</v>
      </c>
      <c r="T133" s="10">
        <f t="shared" si="15"/>
        <v>152.35974999999996</v>
      </c>
      <c r="U133" s="10">
        <v>45</v>
      </c>
      <c r="V133" s="3">
        <v>112.8</v>
      </c>
      <c r="X133" s="3">
        <f t="shared" si="16"/>
        <v>56977.500000000007</v>
      </c>
      <c r="Y133" s="3">
        <f t="shared" si="18"/>
        <v>4576.9000000000015</v>
      </c>
      <c r="AA133" s="15">
        <v>8.5501172096972606</v>
      </c>
    </row>
    <row r="134" spans="1:27" s="3" customFormat="1" x14ac:dyDescent="0.25">
      <c r="A134" s="62"/>
      <c r="B134" s="12"/>
      <c r="C134" s="13">
        <v>40519</v>
      </c>
      <c r="D134" s="3">
        <v>1.9</v>
      </c>
      <c r="E134" s="3">
        <v>0.6</v>
      </c>
      <c r="F134" s="3">
        <v>3.2</v>
      </c>
      <c r="G134" s="3">
        <f t="shared" si="12"/>
        <v>842.49999999999989</v>
      </c>
      <c r="H134" s="3">
        <f t="shared" si="17"/>
        <v>28.2</v>
      </c>
      <c r="J134" s="3">
        <v>2.7</v>
      </c>
      <c r="K134" s="3">
        <f t="shared" si="13"/>
        <v>210.79999999999998</v>
      </c>
      <c r="L134" s="3">
        <v>0.2</v>
      </c>
      <c r="M134" s="3">
        <f t="shared" si="14"/>
        <v>108.30000000000001</v>
      </c>
      <c r="N134" s="3">
        <v>2.5</v>
      </c>
      <c r="O134" s="3">
        <f t="shared" si="19"/>
        <v>129.10000000000002</v>
      </c>
      <c r="P134" s="3">
        <v>85</v>
      </c>
      <c r="Q134" s="3">
        <v>1</v>
      </c>
      <c r="R134" s="10">
        <f t="shared" si="10"/>
        <v>0.2</v>
      </c>
      <c r="S134" s="10">
        <f t="shared" si="11"/>
        <v>2.5</v>
      </c>
      <c r="T134" s="10">
        <f t="shared" si="15"/>
        <v>154.85974999999996</v>
      </c>
      <c r="V134" s="3">
        <v>132.69999999999999</v>
      </c>
      <c r="X134" s="3">
        <f t="shared" si="16"/>
        <v>57110.200000000004</v>
      </c>
      <c r="Y134" s="3">
        <f t="shared" si="18"/>
        <v>4709.6000000000013</v>
      </c>
      <c r="AA134" s="15">
        <v>8.5265896799417202</v>
      </c>
    </row>
    <row r="135" spans="1:27" s="3" customFormat="1" x14ac:dyDescent="0.25">
      <c r="A135" s="62"/>
      <c r="B135" s="12"/>
      <c r="C135" s="13">
        <v>40520</v>
      </c>
      <c r="D135" s="3">
        <v>2.7</v>
      </c>
      <c r="E135" s="3">
        <v>2.1</v>
      </c>
      <c r="F135" s="3">
        <v>3.9</v>
      </c>
      <c r="G135" s="3">
        <f t="shared" si="12"/>
        <v>845.19999999999993</v>
      </c>
      <c r="H135" s="3">
        <f t="shared" si="17"/>
        <v>30.9</v>
      </c>
      <c r="J135" s="3">
        <v>4.5999999999999996</v>
      </c>
      <c r="K135" s="3">
        <f t="shared" si="13"/>
        <v>215.39999999999998</v>
      </c>
      <c r="L135" s="3">
        <v>0.4</v>
      </c>
      <c r="M135" s="3">
        <f t="shared" si="14"/>
        <v>108.70000000000002</v>
      </c>
      <c r="N135" s="3">
        <v>4.1999999999999993</v>
      </c>
      <c r="O135" s="3">
        <f t="shared" si="19"/>
        <v>133.30000000000001</v>
      </c>
      <c r="P135" s="3">
        <v>86</v>
      </c>
      <c r="Q135" s="3">
        <v>1</v>
      </c>
      <c r="R135" s="10">
        <f t="shared" si="10"/>
        <v>0.4</v>
      </c>
      <c r="S135" s="10">
        <f t="shared" si="11"/>
        <v>4.1999999999999993</v>
      </c>
      <c r="T135" s="10">
        <f t="shared" si="15"/>
        <v>159.05974999999995</v>
      </c>
      <c r="U135" s="10">
        <f>(U131*100)/197.4</f>
        <v>84.055876910034513</v>
      </c>
      <c r="V135" s="3">
        <v>92.9</v>
      </c>
      <c r="X135" s="3">
        <f t="shared" si="16"/>
        <v>57203.100000000006</v>
      </c>
      <c r="Y135" s="3">
        <f t="shared" si="18"/>
        <v>4802.5000000000009</v>
      </c>
      <c r="AA135" s="15">
        <v>8.5044009800137506</v>
      </c>
    </row>
    <row r="136" spans="1:27" s="3" customFormat="1" x14ac:dyDescent="0.25">
      <c r="A136" s="62"/>
      <c r="B136" s="12"/>
      <c r="C136" s="13">
        <v>40521</v>
      </c>
      <c r="D136" s="3">
        <v>1.5</v>
      </c>
      <c r="E136" s="3">
        <v>-0.2</v>
      </c>
      <c r="F136" s="3">
        <v>6.2</v>
      </c>
      <c r="G136" s="3">
        <f t="shared" si="12"/>
        <v>846.69999999999993</v>
      </c>
      <c r="H136" s="3">
        <f t="shared" si="17"/>
        <v>32.4</v>
      </c>
      <c r="J136" s="3">
        <v>0</v>
      </c>
      <c r="K136" s="3">
        <f t="shared" si="13"/>
        <v>215.39999999999998</v>
      </c>
      <c r="L136" s="3">
        <v>1</v>
      </c>
      <c r="M136" s="3">
        <f t="shared" si="14"/>
        <v>109.70000000000002</v>
      </c>
      <c r="N136" s="3">
        <v>-1</v>
      </c>
      <c r="O136" s="3">
        <f t="shared" si="19"/>
        <v>132.30000000000001</v>
      </c>
      <c r="P136" s="3">
        <v>87</v>
      </c>
      <c r="Q136" s="3">
        <v>1</v>
      </c>
      <c r="R136" s="10">
        <f t="shared" si="10"/>
        <v>1</v>
      </c>
      <c r="S136" s="10">
        <f t="shared" si="11"/>
        <v>-1</v>
      </c>
      <c r="T136" s="10">
        <f t="shared" si="15"/>
        <v>158.05974999999995</v>
      </c>
      <c r="V136" s="3">
        <v>685.4</v>
      </c>
      <c r="X136" s="3">
        <f t="shared" si="16"/>
        <v>57888.500000000007</v>
      </c>
      <c r="Y136" s="3">
        <f t="shared" si="18"/>
        <v>5487.9000000000005</v>
      </c>
      <c r="AA136" s="15">
        <v>8.4835751520538096</v>
      </c>
    </row>
    <row r="137" spans="1:27" s="3" customFormat="1" x14ac:dyDescent="0.25">
      <c r="A137" s="62"/>
      <c r="B137" s="12"/>
      <c r="C137" s="13">
        <v>40522</v>
      </c>
      <c r="D137" s="3">
        <v>2.9</v>
      </c>
      <c r="E137" s="3">
        <v>-1.2</v>
      </c>
      <c r="F137" s="3">
        <v>5.4</v>
      </c>
      <c r="G137" s="3">
        <f t="shared" si="12"/>
        <v>849.59999999999991</v>
      </c>
      <c r="H137" s="3">
        <f t="shared" si="17"/>
        <v>35.299999999999997</v>
      </c>
      <c r="J137" s="3">
        <v>0</v>
      </c>
      <c r="K137" s="3">
        <f t="shared" si="13"/>
        <v>215.39999999999998</v>
      </c>
      <c r="L137" s="3">
        <v>0.3</v>
      </c>
      <c r="M137" s="3">
        <f t="shared" si="14"/>
        <v>110.00000000000001</v>
      </c>
      <c r="N137" s="3">
        <v>-0.3</v>
      </c>
      <c r="O137" s="3">
        <f t="shared" si="19"/>
        <v>132</v>
      </c>
      <c r="P137" s="3">
        <v>88</v>
      </c>
      <c r="Q137" s="3">
        <v>1</v>
      </c>
      <c r="R137" s="10">
        <f t="shared" si="10"/>
        <v>0.3</v>
      </c>
      <c r="S137" s="10">
        <f t="shared" si="11"/>
        <v>-0.3</v>
      </c>
      <c r="T137" s="10">
        <f t="shared" si="15"/>
        <v>157.75974999999994</v>
      </c>
      <c r="V137" s="3">
        <v>157.9</v>
      </c>
      <c r="X137" s="3">
        <f t="shared" si="16"/>
        <v>58046.400000000009</v>
      </c>
      <c r="Y137" s="3">
        <f t="shared" si="18"/>
        <v>5645.8</v>
      </c>
      <c r="AA137" s="15">
        <v>8.4641351387067392</v>
      </c>
    </row>
    <row r="138" spans="1:27" s="3" customFormat="1" x14ac:dyDescent="0.25">
      <c r="A138" s="62"/>
      <c r="B138" s="12"/>
      <c r="C138" s="13">
        <v>40523</v>
      </c>
      <c r="D138" s="3">
        <v>5.9</v>
      </c>
      <c r="E138" s="3">
        <v>4</v>
      </c>
      <c r="F138" s="3">
        <v>7.5</v>
      </c>
      <c r="G138" s="3">
        <f t="shared" si="12"/>
        <v>855.49999999999989</v>
      </c>
      <c r="H138" s="3">
        <f t="shared" si="17"/>
        <v>41.199999999999996</v>
      </c>
      <c r="J138" s="3">
        <v>0</v>
      </c>
      <c r="K138" s="3">
        <f t="shared" si="13"/>
        <v>215.39999999999998</v>
      </c>
      <c r="L138" s="3">
        <v>0.3</v>
      </c>
      <c r="M138" s="3">
        <f t="shared" si="14"/>
        <v>110.30000000000001</v>
      </c>
      <c r="N138" s="3">
        <v>-0.3</v>
      </c>
      <c r="O138" s="3">
        <f t="shared" si="19"/>
        <v>131.69999999999999</v>
      </c>
      <c r="P138" s="3">
        <v>89</v>
      </c>
      <c r="Q138" s="3">
        <v>1</v>
      </c>
      <c r="R138" s="10">
        <f t="shared" si="10"/>
        <v>0.3</v>
      </c>
      <c r="S138" s="10">
        <f t="shared" si="11"/>
        <v>-0.3</v>
      </c>
      <c r="T138" s="10">
        <f t="shared" si="15"/>
        <v>157.45974999999993</v>
      </c>
      <c r="V138" s="3">
        <v>106.8</v>
      </c>
      <c r="X138" s="3">
        <f t="shared" si="16"/>
        <v>58153.200000000012</v>
      </c>
      <c r="Y138" s="3">
        <f t="shared" si="18"/>
        <v>5752.6</v>
      </c>
      <c r="AA138" s="15">
        <v>8.4461026977227203</v>
      </c>
    </row>
    <row r="139" spans="1:27" s="3" customFormat="1" x14ac:dyDescent="0.25">
      <c r="A139" s="62"/>
      <c r="B139" s="12"/>
      <c r="C139" s="13">
        <v>40524</v>
      </c>
      <c r="D139" s="3">
        <v>5.2</v>
      </c>
      <c r="E139" s="3">
        <v>4.5</v>
      </c>
      <c r="F139" s="3">
        <v>7.9</v>
      </c>
      <c r="G139" s="3">
        <f t="shared" si="12"/>
        <v>860.69999999999993</v>
      </c>
      <c r="H139" s="3">
        <f t="shared" si="17"/>
        <v>46.4</v>
      </c>
      <c r="J139" s="3">
        <v>0</v>
      </c>
      <c r="K139" s="3">
        <f t="shared" si="13"/>
        <v>215.39999999999998</v>
      </c>
      <c r="L139" s="3">
        <v>0.9</v>
      </c>
      <c r="M139" s="3">
        <f t="shared" si="14"/>
        <v>111.20000000000002</v>
      </c>
      <c r="N139" s="3">
        <v>-0.9</v>
      </c>
      <c r="O139" s="3">
        <f t="shared" si="19"/>
        <v>130.79999999999998</v>
      </c>
      <c r="P139" s="3">
        <v>90</v>
      </c>
      <c r="Q139" s="3">
        <v>1</v>
      </c>
      <c r="R139" s="10">
        <f t="shared" si="10"/>
        <v>0.9</v>
      </c>
      <c r="S139" s="10">
        <f t="shared" si="11"/>
        <v>-0.9</v>
      </c>
      <c r="T139" s="10">
        <f t="shared" si="15"/>
        <v>156.55974999999992</v>
      </c>
      <c r="V139" s="3">
        <v>509.5</v>
      </c>
      <c r="X139" s="3">
        <f t="shared" si="16"/>
        <v>58662.700000000012</v>
      </c>
      <c r="Y139" s="3">
        <f t="shared" si="18"/>
        <v>6262.1</v>
      </c>
      <c r="AA139" s="15">
        <v>8.4294983191401904</v>
      </c>
    </row>
    <row r="140" spans="1:27" s="3" customFormat="1" x14ac:dyDescent="0.25">
      <c r="A140" s="62"/>
      <c r="B140" s="12"/>
      <c r="C140" s="13">
        <v>40525</v>
      </c>
      <c r="D140" s="3">
        <v>0.4</v>
      </c>
      <c r="E140" s="3">
        <v>-0.4</v>
      </c>
      <c r="F140" s="3">
        <v>3.5</v>
      </c>
      <c r="G140" s="3">
        <f t="shared" si="12"/>
        <v>861.09999999999991</v>
      </c>
      <c r="H140" s="3">
        <f t="shared" si="17"/>
        <v>46.8</v>
      </c>
      <c r="J140" s="3">
        <v>0</v>
      </c>
      <c r="K140" s="3">
        <f t="shared" si="13"/>
        <v>215.39999999999998</v>
      </c>
      <c r="L140" s="3">
        <v>0.8</v>
      </c>
      <c r="M140" s="3">
        <f t="shared" si="14"/>
        <v>112.00000000000001</v>
      </c>
      <c r="N140" s="3">
        <v>-0.8</v>
      </c>
      <c r="O140" s="3">
        <f t="shared" si="19"/>
        <v>129.99999999999997</v>
      </c>
      <c r="P140" s="3">
        <v>91</v>
      </c>
      <c r="Q140" s="3">
        <v>1</v>
      </c>
      <c r="R140" s="10">
        <f t="shared" si="10"/>
        <v>0.8</v>
      </c>
      <c r="S140" s="10">
        <f t="shared" si="11"/>
        <v>-0.8</v>
      </c>
      <c r="T140" s="10">
        <f t="shared" si="15"/>
        <v>155.75974999999991</v>
      </c>
      <c r="V140" s="3">
        <v>664.8</v>
      </c>
      <c r="X140" s="3">
        <f t="shared" si="16"/>
        <v>59327.500000000015</v>
      </c>
      <c r="Y140" s="3">
        <f t="shared" si="18"/>
        <v>6926.9000000000005</v>
      </c>
      <c r="AA140" s="15">
        <v>8.4143411456663699</v>
      </c>
    </row>
    <row r="141" spans="1:27" s="3" customFormat="1" x14ac:dyDescent="0.25">
      <c r="A141" s="62"/>
      <c r="B141" s="12"/>
      <c r="C141" s="13">
        <v>40526</v>
      </c>
      <c r="D141" s="3">
        <v>1.2</v>
      </c>
      <c r="E141" s="3">
        <v>-3.6</v>
      </c>
      <c r="F141" s="3">
        <v>7.8</v>
      </c>
      <c r="G141" s="3">
        <f t="shared" si="12"/>
        <v>862.3</v>
      </c>
      <c r="H141" s="3">
        <f t="shared" si="17"/>
        <v>48</v>
      </c>
      <c r="J141" s="3">
        <v>0</v>
      </c>
      <c r="K141" s="3">
        <f t="shared" si="13"/>
        <v>215.39999999999998</v>
      </c>
      <c r="L141" s="3">
        <v>0.7</v>
      </c>
      <c r="M141" s="3">
        <f t="shared" si="14"/>
        <v>112.70000000000002</v>
      </c>
      <c r="N141" s="3">
        <v>-0.7</v>
      </c>
      <c r="O141" s="3">
        <f t="shared" si="19"/>
        <v>129.29999999999998</v>
      </c>
      <c r="P141" s="3">
        <v>92</v>
      </c>
      <c r="Q141" s="3">
        <v>1</v>
      </c>
      <c r="R141" s="10">
        <f t="shared" si="10"/>
        <v>0.7</v>
      </c>
      <c r="S141" s="10">
        <f t="shared" si="11"/>
        <v>-0.7</v>
      </c>
      <c r="T141" s="10">
        <f t="shared" si="15"/>
        <v>155.05974999999992</v>
      </c>
      <c r="V141" s="3">
        <v>357.9</v>
      </c>
      <c r="X141" s="3">
        <f t="shared" si="16"/>
        <v>59685.400000000016</v>
      </c>
      <c r="Y141" s="3">
        <f t="shared" si="18"/>
        <v>7284.8</v>
      </c>
      <c r="AA141" s="15">
        <v>8.4006488968663096</v>
      </c>
    </row>
    <row r="142" spans="1:27" s="3" customFormat="1" x14ac:dyDescent="0.25">
      <c r="A142" s="62"/>
      <c r="B142" s="12"/>
      <c r="C142" s="13">
        <v>40527</v>
      </c>
      <c r="D142" s="3">
        <v>-0.8</v>
      </c>
      <c r="E142" s="3">
        <v>-3.7</v>
      </c>
      <c r="F142" s="3">
        <v>2.8</v>
      </c>
      <c r="G142" s="3">
        <v>862.3</v>
      </c>
      <c r="H142" s="3">
        <v>48</v>
      </c>
      <c r="J142" s="3">
        <v>0.5</v>
      </c>
      <c r="K142" s="3">
        <f t="shared" si="13"/>
        <v>215.89999999999998</v>
      </c>
      <c r="L142" s="3">
        <v>0.2</v>
      </c>
      <c r="M142" s="3">
        <f t="shared" si="14"/>
        <v>112.90000000000002</v>
      </c>
      <c r="N142" s="3">
        <v>0.3</v>
      </c>
      <c r="O142" s="3">
        <f t="shared" si="19"/>
        <v>129.6</v>
      </c>
      <c r="P142" s="3">
        <v>93</v>
      </c>
      <c r="Q142" s="3">
        <v>1</v>
      </c>
      <c r="R142" s="10">
        <f t="shared" si="10"/>
        <v>0.2</v>
      </c>
      <c r="S142" s="10">
        <f t="shared" si="11"/>
        <v>0.3</v>
      </c>
      <c r="T142" s="10">
        <f t="shared" si="15"/>
        <v>155.35974999999993</v>
      </c>
      <c r="V142" s="3">
        <v>292.7</v>
      </c>
      <c r="X142" s="3">
        <f t="shared" si="16"/>
        <v>59978.100000000013</v>
      </c>
      <c r="Y142" s="3">
        <f t="shared" si="18"/>
        <v>7577.5</v>
      </c>
      <c r="AA142" s="15">
        <v>8.3884377977584599</v>
      </c>
    </row>
    <row r="143" spans="1:27" s="3" customFormat="1" x14ac:dyDescent="0.25">
      <c r="A143" s="62"/>
      <c r="B143" s="12"/>
      <c r="C143" s="13">
        <v>40528</v>
      </c>
      <c r="D143" s="3">
        <v>4.0999999999999996</v>
      </c>
      <c r="E143" s="3">
        <v>-0.5</v>
      </c>
      <c r="F143" s="3">
        <v>6</v>
      </c>
      <c r="G143" s="3">
        <f t="shared" si="12"/>
        <v>866.4</v>
      </c>
      <c r="H143" s="3">
        <f t="shared" si="17"/>
        <v>52.1</v>
      </c>
      <c r="J143" s="3">
        <v>4.5999999999999996</v>
      </c>
      <c r="K143" s="3">
        <f t="shared" si="13"/>
        <v>220.49999999999997</v>
      </c>
      <c r="L143" s="3">
        <v>0</v>
      </c>
      <c r="M143" s="3">
        <f t="shared" si="14"/>
        <v>112.90000000000002</v>
      </c>
      <c r="N143" s="3">
        <v>4.5999999999999996</v>
      </c>
      <c r="O143" s="3">
        <f t="shared" si="19"/>
        <v>134.19999999999999</v>
      </c>
      <c r="P143" s="3">
        <v>94</v>
      </c>
      <c r="Q143" s="3">
        <v>1</v>
      </c>
      <c r="R143" s="10">
        <f t="shared" si="10"/>
        <v>0</v>
      </c>
      <c r="S143" s="10">
        <f t="shared" si="11"/>
        <v>4.5999999999999996</v>
      </c>
      <c r="T143" s="10">
        <f t="shared" si="15"/>
        <v>159.95974999999993</v>
      </c>
      <c r="V143" s="3">
        <v>92.1</v>
      </c>
      <c r="X143" s="3">
        <f t="shared" si="16"/>
        <v>60070.200000000012</v>
      </c>
      <c r="Y143" s="3">
        <f t="shared" si="18"/>
        <v>7669.6</v>
      </c>
      <c r="AA143" s="15">
        <v>8.3777225123951595</v>
      </c>
    </row>
    <row r="144" spans="1:27" s="3" customFormat="1" x14ac:dyDescent="0.25">
      <c r="A144" s="62"/>
      <c r="B144" s="12"/>
      <c r="C144" s="13">
        <v>40529</v>
      </c>
      <c r="D144" s="3">
        <v>0.5</v>
      </c>
      <c r="E144" s="3">
        <v>-1.1000000000000001</v>
      </c>
      <c r="F144" s="3">
        <v>2.5</v>
      </c>
      <c r="G144" s="3">
        <f t="shared" si="12"/>
        <v>866.9</v>
      </c>
      <c r="H144" s="3">
        <f t="shared" si="17"/>
        <v>52.6</v>
      </c>
      <c r="J144" s="3">
        <v>0</v>
      </c>
      <c r="K144" s="3">
        <f t="shared" si="13"/>
        <v>220.49999999999997</v>
      </c>
      <c r="L144" s="3">
        <v>0.5</v>
      </c>
      <c r="M144" s="3">
        <f t="shared" si="14"/>
        <v>113.40000000000002</v>
      </c>
      <c r="N144" s="3">
        <v>-0.5</v>
      </c>
      <c r="O144" s="3">
        <f t="shared" si="19"/>
        <v>133.69999999999999</v>
      </c>
      <c r="P144" s="3">
        <v>95</v>
      </c>
      <c r="Q144" s="3">
        <v>1</v>
      </c>
      <c r="R144" s="10">
        <f t="shared" si="10"/>
        <v>0.5</v>
      </c>
      <c r="S144" s="10">
        <f t="shared" si="11"/>
        <v>-0.5</v>
      </c>
      <c r="T144" s="10">
        <f t="shared" si="15"/>
        <v>159.45974999999993</v>
      </c>
      <c r="V144" s="3">
        <v>548.9</v>
      </c>
      <c r="X144" s="3">
        <f t="shared" si="16"/>
        <v>60619.100000000013</v>
      </c>
      <c r="Y144" s="3">
        <f t="shared" si="18"/>
        <v>8218.5</v>
      </c>
      <c r="AA144" s="15">
        <v>8.3685160829780205</v>
      </c>
    </row>
    <row r="145" spans="1:27" s="3" customFormat="1" x14ac:dyDescent="0.25">
      <c r="A145" s="62"/>
      <c r="B145" s="12"/>
      <c r="C145" s="13">
        <v>40530</v>
      </c>
      <c r="D145" s="3">
        <v>0.1</v>
      </c>
      <c r="E145" s="3">
        <v>-1.5</v>
      </c>
      <c r="F145" s="3">
        <v>1.4</v>
      </c>
      <c r="G145" s="3">
        <f t="shared" si="12"/>
        <v>867</v>
      </c>
      <c r="H145" s="3">
        <f t="shared" si="17"/>
        <v>52.7</v>
      </c>
      <c r="J145" s="3">
        <v>2.9</v>
      </c>
      <c r="K145" s="3">
        <f t="shared" si="13"/>
        <v>223.39999999999998</v>
      </c>
      <c r="L145" s="3">
        <v>0.1</v>
      </c>
      <c r="M145" s="3">
        <f t="shared" si="14"/>
        <v>113.50000000000001</v>
      </c>
      <c r="N145" s="3">
        <v>2.8</v>
      </c>
      <c r="O145" s="3">
        <f t="shared" si="19"/>
        <v>136.5</v>
      </c>
      <c r="P145" s="3">
        <v>96</v>
      </c>
      <c r="Q145" s="3">
        <v>1</v>
      </c>
      <c r="R145" s="10">
        <f t="shared" si="10"/>
        <v>0.1</v>
      </c>
      <c r="S145" s="10">
        <f t="shared" si="11"/>
        <v>2.8</v>
      </c>
      <c r="T145" s="10">
        <f t="shared" si="15"/>
        <v>162.25974999999994</v>
      </c>
      <c r="V145" s="3">
        <v>107.1</v>
      </c>
      <c r="X145" s="3">
        <f t="shared" si="16"/>
        <v>60726.200000000012</v>
      </c>
      <c r="Y145" s="3">
        <f t="shared" si="18"/>
        <v>8325.6</v>
      </c>
      <c r="AA145" s="15">
        <v>8.3608298750230894</v>
      </c>
    </row>
    <row r="146" spans="1:27" s="3" customFormat="1" x14ac:dyDescent="0.25">
      <c r="A146" s="62"/>
      <c r="B146" s="12"/>
      <c r="C146" s="13">
        <v>40531</v>
      </c>
      <c r="D146" s="3">
        <v>4.4000000000000004</v>
      </c>
      <c r="E146" s="3">
        <v>-0.4</v>
      </c>
      <c r="F146" s="3">
        <v>10.6</v>
      </c>
      <c r="G146" s="3">
        <f t="shared" si="12"/>
        <v>871.4</v>
      </c>
      <c r="H146" s="3">
        <f t="shared" si="17"/>
        <v>57.1</v>
      </c>
      <c r="J146" s="3">
        <v>14.5</v>
      </c>
      <c r="K146" s="3">
        <f t="shared" si="13"/>
        <v>237.89999999999998</v>
      </c>
      <c r="L146" s="3">
        <v>0.9</v>
      </c>
      <c r="M146" s="3">
        <f t="shared" si="14"/>
        <v>114.40000000000002</v>
      </c>
      <c r="N146" s="3">
        <v>13.6</v>
      </c>
      <c r="O146" s="3">
        <f t="shared" si="19"/>
        <v>150.1</v>
      </c>
      <c r="P146" s="3">
        <v>97</v>
      </c>
      <c r="Q146" s="3">
        <v>1</v>
      </c>
      <c r="R146" s="10">
        <f t="shared" si="10"/>
        <v>0.9</v>
      </c>
      <c r="S146" s="10">
        <f t="shared" si="11"/>
        <v>13.6</v>
      </c>
      <c r="T146" s="10">
        <f t="shared" si="15"/>
        <v>175.85974999999993</v>
      </c>
      <c r="V146" s="3">
        <v>350.4</v>
      </c>
      <c r="X146" s="3">
        <f t="shared" si="16"/>
        <v>61076.600000000013</v>
      </c>
      <c r="Y146" s="3">
        <f t="shared" si="18"/>
        <v>8676</v>
      </c>
      <c r="AA146" s="15">
        <v>8.3546735290476395</v>
      </c>
    </row>
    <row r="147" spans="1:27" s="3" customFormat="1" x14ac:dyDescent="0.25">
      <c r="A147" s="62"/>
      <c r="B147" s="12"/>
      <c r="C147" s="13">
        <v>40532</v>
      </c>
      <c r="D147" s="3">
        <v>4.2</v>
      </c>
      <c r="E147" s="3">
        <v>1.4</v>
      </c>
      <c r="F147" s="3">
        <v>5.9</v>
      </c>
      <c r="G147" s="3">
        <f t="shared" si="12"/>
        <v>875.6</v>
      </c>
      <c r="H147" s="3">
        <f t="shared" si="17"/>
        <v>61.300000000000004</v>
      </c>
      <c r="J147" s="3">
        <v>0.8</v>
      </c>
      <c r="K147" s="3">
        <f t="shared" si="13"/>
        <v>238.7</v>
      </c>
      <c r="L147" s="3">
        <v>0.5</v>
      </c>
      <c r="M147" s="3">
        <f t="shared" si="14"/>
        <v>114.90000000000002</v>
      </c>
      <c r="N147" s="3">
        <v>0.30000000000000004</v>
      </c>
      <c r="O147" s="3">
        <f t="shared" si="19"/>
        <v>150.4</v>
      </c>
      <c r="P147" s="3">
        <v>98</v>
      </c>
      <c r="Q147" s="3">
        <v>1</v>
      </c>
      <c r="R147" s="10">
        <f t="shared" si="10"/>
        <v>0.5</v>
      </c>
      <c r="S147" s="10">
        <f t="shared" si="11"/>
        <v>0.30000000000000004</v>
      </c>
      <c r="T147" s="10">
        <f t="shared" si="15"/>
        <v>176.15974999999995</v>
      </c>
      <c r="V147" s="3">
        <v>447.9</v>
      </c>
      <c r="X147" s="3">
        <f t="shared" si="16"/>
        <v>61524.500000000015</v>
      </c>
      <c r="Y147" s="3">
        <f t="shared" si="18"/>
        <v>9123.9</v>
      </c>
      <c r="AA147" s="15">
        <v>8.3500549192009093</v>
      </c>
    </row>
    <row r="148" spans="1:27" s="3" customFormat="1" x14ac:dyDescent="0.25">
      <c r="A148" s="62"/>
      <c r="B148" s="12"/>
      <c r="C148" s="13">
        <v>40533</v>
      </c>
      <c r="D148" s="3">
        <v>0.6</v>
      </c>
      <c r="E148" s="3">
        <v>-1.8</v>
      </c>
      <c r="F148" s="3">
        <v>2.4</v>
      </c>
      <c r="G148" s="3">
        <f t="shared" si="12"/>
        <v>876.2</v>
      </c>
      <c r="H148" s="3">
        <f t="shared" si="17"/>
        <v>61.900000000000006</v>
      </c>
      <c r="J148" s="3">
        <v>0.4</v>
      </c>
      <c r="K148" s="3">
        <f t="shared" si="13"/>
        <v>239.1</v>
      </c>
      <c r="L148" s="3">
        <v>0.3</v>
      </c>
      <c r="M148" s="3">
        <f t="shared" si="14"/>
        <v>115.20000000000002</v>
      </c>
      <c r="N148" s="3">
        <v>0.10000000000000003</v>
      </c>
      <c r="O148" s="3">
        <f t="shared" si="19"/>
        <v>150.5</v>
      </c>
      <c r="P148" s="3">
        <v>99</v>
      </c>
      <c r="Q148" s="3">
        <v>1</v>
      </c>
      <c r="R148" s="10">
        <f t="shared" si="10"/>
        <v>0.3</v>
      </c>
      <c r="S148" s="10">
        <f t="shared" si="11"/>
        <v>0.10000000000000003</v>
      </c>
      <c r="T148" s="10">
        <f t="shared" si="15"/>
        <v>176.25974999999994</v>
      </c>
      <c r="V148" s="3">
        <v>188</v>
      </c>
      <c r="X148" s="3">
        <f t="shared" si="16"/>
        <v>61712.500000000015</v>
      </c>
      <c r="Y148" s="3">
        <f t="shared" si="18"/>
        <v>9311.9</v>
      </c>
      <c r="AA148" s="15">
        <v>8.3469801192051296</v>
      </c>
    </row>
    <row r="149" spans="1:27" s="3" customFormat="1" x14ac:dyDescent="0.25">
      <c r="A149" s="62"/>
      <c r="B149" s="12"/>
      <c r="C149" s="13">
        <v>40534</v>
      </c>
      <c r="D149" s="3">
        <v>2.1</v>
      </c>
      <c r="E149" s="3">
        <v>0.5</v>
      </c>
      <c r="F149" s="3">
        <v>3.2</v>
      </c>
      <c r="G149" s="3">
        <f t="shared" si="12"/>
        <v>878.30000000000007</v>
      </c>
      <c r="H149" s="3">
        <f t="shared" si="17"/>
        <v>64</v>
      </c>
      <c r="J149" s="3">
        <v>0.7</v>
      </c>
      <c r="K149" s="3">
        <f t="shared" si="13"/>
        <v>239.79999999999998</v>
      </c>
      <c r="L149" s="3">
        <v>0.4</v>
      </c>
      <c r="M149" s="3">
        <f t="shared" si="14"/>
        <v>115.60000000000002</v>
      </c>
      <c r="N149" s="3">
        <v>0.29999999999999993</v>
      </c>
      <c r="O149" s="3">
        <f t="shared" si="19"/>
        <v>150.80000000000001</v>
      </c>
      <c r="P149" s="3">
        <v>100</v>
      </c>
      <c r="Q149" s="3">
        <v>1</v>
      </c>
      <c r="R149" s="10">
        <f t="shared" si="10"/>
        <v>0.4</v>
      </c>
      <c r="S149" s="10">
        <f t="shared" si="11"/>
        <v>0.29999999999999993</v>
      </c>
      <c r="T149" s="10">
        <f t="shared" si="15"/>
        <v>176.55974999999995</v>
      </c>
      <c r="V149" s="3">
        <v>411.5</v>
      </c>
      <c r="X149" s="3">
        <f t="shared" si="16"/>
        <v>62124.000000000015</v>
      </c>
      <c r="Y149" s="3">
        <f t="shared" si="18"/>
        <v>9723.4</v>
      </c>
      <c r="AA149" s="15">
        <v>8.3454533759116405</v>
      </c>
    </row>
    <row r="150" spans="1:27" s="3" customFormat="1" x14ac:dyDescent="0.25">
      <c r="A150" s="62"/>
      <c r="B150" s="12"/>
      <c r="C150" s="13">
        <v>40535</v>
      </c>
      <c r="D150" s="3">
        <v>3.5</v>
      </c>
      <c r="E150" s="3">
        <v>2.2999999999999998</v>
      </c>
      <c r="F150" s="3">
        <v>4.0999999999999996</v>
      </c>
      <c r="G150" s="3">
        <f t="shared" si="12"/>
        <v>881.80000000000007</v>
      </c>
      <c r="H150" s="3">
        <f t="shared" si="17"/>
        <v>67.5</v>
      </c>
      <c r="J150" s="3">
        <v>0.4</v>
      </c>
      <c r="K150" s="3">
        <f t="shared" si="13"/>
        <v>240.2</v>
      </c>
      <c r="L150" s="3">
        <v>0.8</v>
      </c>
      <c r="M150" s="3">
        <f t="shared" si="14"/>
        <v>116.40000000000002</v>
      </c>
      <c r="N150" s="3">
        <v>-0.4</v>
      </c>
      <c r="O150" s="3">
        <f t="shared" si="19"/>
        <v>150.4</v>
      </c>
      <c r="P150" s="3">
        <v>101</v>
      </c>
      <c r="Q150" s="3">
        <v>1</v>
      </c>
      <c r="R150" s="10">
        <f t="shared" si="10"/>
        <v>0.8</v>
      </c>
      <c r="S150" s="10">
        <f t="shared" si="11"/>
        <v>-0.4</v>
      </c>
      <c r="T150" s="10">
        <f t="shared" si="15"/>
        <v>176.15974999999995</v>
      </c>
      <c r="V150" s="3">
        <v>534.29999999999995</v>
      </c>
      <c r="X150" s="3">
        <f t="shared" si="16"/>
        <v>62658.300000000017</v>
      </c>
      <c r="Y150" s="3">
        <f t="shared" si="18"/>
        <v>10257.699999999999</v>
      </c>
      <c r="AA150" s="15">
        <v>8.3454770907109808</v>
      </c>
    </row>
    <row r="151" spans="1:27" s="3" customFormat="1" x14ac:dyDescent="0.25">
      <c r="A151" s="62"/>
      <c r="B151" s="12"/>
      <c r="C151" s="13">
        <v>40536</v>
      </c>
      <c r="D151" s="3">
        <v>2.6</v>
      </c>
      <c r="E151" s="3">
        <v>1.3</v>
      </c>
      <c r="F151" s="3">
        <v>4.5999999999999996</v>
      </c>
      <c r="G151" s="3">
        <f t="shared" si="12"/>
        <v>884.40000000000009</v>
      </c>
      <c r="H151" s="3">
        <f t="shared" si="17"/>
        <v>70.099999999999994</v>
      </c>
      <c r="J151" s="3">
        <v>0</v>
      </c>
      <c r="K151" s="3">
        <f t="shared" si="13"/>
        <v>240.2</v>
      </c>
      <c r="L151" s="3">
        <v>1</v>
      </c>
      <c r="M151" s="3">
        <f t="shared" si="14"/>
        <v>117.40000000000002</v>
      </c>
      <c r="N151" s="3">
        <v>-1</v>
      </c>
      <c r="O151" s="3">
        <f t="shared" si="19"/>
        <v>149.4</v>
      </c>
      <c r="P151" s="3">
        <v>102</v>
      </c>
      <c r="Q151" s="3">
        <v>1</v>
      </c>
      <c r="R151" s="10">
        <f t="shared" si="10"/>
        <v>1</v>
      </c>
      <c r="S151" s="10">
        <f t="shared" si="11"/>
        <v>-1</v>
      </c>
      <c r="T151" s="10">
        <f t="shared" si="15"/>
        <v>175.15974999999995</v>
      </c>
      <c r="V151" s="3">
        <v>435.4</v>
      </c>
      <c r="X151" s="3">
        <f t="shared" si="16"/>
        <v>63093.700000000019</v>
      </c>
      <c r="Y151" s="3">
        <f t="shared" si="18"/>
        <v>10693.099999999999</v>
      </c>
      <c r="AA151" s="15">
        <v>8.3470518089656096</v>
      </c>
    </row>
    <row r="152" spans="1:27" s="3" customFormat="1" x14ac:dyDescent="0.25">
      <c r="A152" s="62"/>
      <c r="B152" s="12"/>
      <c r="C152" s="13">
        <v>40537</v>
      </c>
      <c r="D152" s="3">
        <v>0.1</v>
      </c>
      <c r="E152" s="3">
        <v>-0.9</v>
      </c>
      <c r="F152" s="3">
        <v>4.7</v>
      </c>
      <c r="G152" s="3">
        <f t="shared" si="12"/>
        <v>884.50000000000011</v>
      </c>
      <c r="H152" s="3">
        <f t="shared" si="17"/>
        <v>70.199999999999989</v>
      </c>
      <c r="J152" s="3">
        <v>0</v>
      </c>
      <c r="K152" s="3">
        <f t="shared" si="13"/>
        <v>240.2</v>
      </c>
      <c r="L152" s="3">
        <v>0.8</v>
      </c>
      <c r="M152" s="3">
        <f t="shared" si="14"/>
        <v>118.20000000000002</v>
      </c>
      <c r="N152" s="3">
        <v>-0.8</v>
      </c>
      <c r="O152" s="3">
        <f t="shared" si="19"/>
        <v>148.6</v>
      </c>
      <c r="P152" s="3">
        <v>103</v>
      </c>
      <c r="Q152" s="3">
        <v>1</v>
      </c>
      <c r="R152" s="10">
        <f t="shared" si="10"/>
        <v>0.8</v>
      </c>
      <c r="S152" s="10">
        <f t="shared" si="11"/>
        <v>-0.8</v>
      </c>
      <c r="T152" s="10">
        <f t="shared" si="15"/>
        <v>174.35974999999993</v>
      </c>
      <c r="V152" s="3">
        <v>663.3</v>
      </c>
      <c r="X152" s="3">
        <f t="shared" si="16"/>
        <v>63757.000000000022</v>
      </c>
      <c r="Y152" s="3">
        <f t="shared" si="18"/>
        <v>11356.399999999998</v>
      </c>
      <c r="AA152" s="15">
        <v>8.3501762175618701</v>
      </c>
    </row>
    <row r="153" spans="1:27" s="3" customFormat="1" x14ac:dyDescent="0.25">
      <c r="A153" s="62"/>
      <c r="B153" s="12"/>
      <c r="C153" s="13">
        <v>40538</v>
      </c>
      <c r="D153" s="3">
        <v>-2.2000000000000002</v>
      </c>
      <c r="E153" s="3">
        <v>-5.9</v>
      </c>
      <c r="F153" s="3">
        <v>-0.1</v>
      </c>
      <c r="G153" s="3">
        <v>884.5</v>
      </c>
      <c r="H153" s="3">
        <v>70.2</v>
      </c>
      <c r="J153" s="3">
        <v>0</v>
      </c>
      <c r="K153" s="3">
        <f t="shared" si="13"/>
        <v>240.2</v>
      </c>
      <c r="L153" s="3">
        <v>0.3</v>
      </c>
      <c r="M153" s="3">
        <f t="shared" si="14"/>
        <v>118.50000000000001</v>
      </c>
      <c r="N153" s="3">
        <v>-0.3</v>
      </c>
      <c r="O153" s="3">
        <f t="shared" si="19"/>
        <v>148.29999999999998</v>
      </c>
      <c r="P153" s="3">
        <v>104</v>
      </c>
      <c r="Q153" s="3">
        <v>1</v>
      </c>
      <c r="R153" s="10">
        <f t="shared" si="10"/>
        <v>0.3</v>
      </c>
      <c r="S153" s="10">
        <f t="shared" si="11"/>
        <v>-0.3</v>
      </c>
      <c r="T153" s="10">
        <f t="shared" si="15"/>
        <v>174.05974999999992</v>
      </c>
      <c r="V153" s="3">
        <v>359.4</v>
      </c>
      <c r="X153" s="3">
        <f t="shared" si="16"/>
        <v>64116.400000000023</v>
      </c>
      <c r="Y153" s="3">
        <f t="shared" si="18"/>
        <v>11715.799999999997</v>
      </c>
      <c r="AA153" s="15">
        <v>8.3548471506033692</v>
      </c>
    </row>
    <row r="154" spans="1:27" s="3" customFormat="1" x14ac:dyDescent="0.25">
      <c r="A154" s="62"/>
      <c r="B154" s="12"/>
      <c r="C154" s="13">
        <v>40539</v>
      </c>
      <c r="D154" s="3">
        <v>1.1000000000000001</v>
      </c>
      <c r="E154" s="3">
        <v>-0.7</v>
      </c>
      <c r="F154" s="3">
        <v>3.7</v>
      </c>
      <c r="G154" s="3">
        <f t="shared" si="12"/>
        <v>885.6</v>
      </c>
      <c r="H154" s="3">
        <f t="shared" si="17"/>
        <v>71.3</v>
      </c>
      <c r="J154" s="3">
        <v>6.2</v>
      </c>
      <c r="K154" s="3">
        <f t="shared" si="13"/>
        <v>246.39999999999998</v>
      </c>
      <c r="L154" s="3">
        <v>0.9</v>
      </c>
      <c r="M154" s="3">
        <f t="shared" si="14"/>
        <v>119.40000000000002</v>
      </c>
      <c r="N154" s="3">
        <v>5.3</v>
      </c>
      <c r="O154" s="3">
        <f t="shared" si="19"/>
        <v>153.6</v>
      </c>
      <c r="P154" s="3">
        <v>105</v>
      </c>
      <c r="Q154" s="3">
        <v>1</v>
      </c>
      <c r="R154" s="10">
        <f t="shared" si="10"/>
        <v>0.9</v>
      </c>
      <c r="S154" s="10">
        <f t="shared" si="11"/>
        <v>5.3</v>
      </c>
      <c r="T154" s="10">
        <f t="shared" si="15"/>
        <v>179.35974999999993</v>
      </c>
      <c r="V154" s="3">
        <v>228.7</v>
      </c>
      <c r="X154" s="3">
        <f t="shared" si="16"/>
        <v>64345.10000000002</v>
      </c>
      <c r="Y154" s="3">
        <f t="shared" si="18"/>
        <v>11944.499999999998</v>
      </c>
      <c r="AA154" s="15">
        <v>8.3610596031940396</v>
      </c>
    </row>
    <row r="155" spans="1:27" s="3" customFormat="1" x14ac:dyDescent="0.25">
      <c r="A155" s="62"/>
      <c r="B155" s="12"/>
      <c r="C155" s="13">
        <v>40540</v>
      </c>
      <c r="D155" s="3">
        <v>6</v>
      </c>
      <c r="E155" s="3">
        <v>1.4</v>
      </c>
      <c r="F155" s="3">
        <v>8.1</v>
      </c>
      <c r="G155" s="3">
        <f t="shared" si="12"/>
        <v>891.6</v>
      </c>
      <c r="H155" s="3">
        <f t="shared" si="17"/>
        <v>77.3</v>
      </c>
      <c r="J155" s="3">
        <v>0.3</v>
      </c>
      <c r="K155" s="3">
        <f t="shared" si="13"/>
        <v>246.7</v>
      </c>
      <c r="L155" s="3">
        <v>0.4</v>
      </c>
      <c r="M155" s="3">
        <f t="shared" si="14"/>
        <v>119.80000000000003</v>
      </c>
      <c r="N155" s="3">
        <v>-0.10000000000000003</v>
      </c>
      <c r="O155" s="3">
        <f t="shared" si="19"/>
        <v>153.5</v>
      </c>
      <c r="P155" s="3">
        <v>106</v>
      </c>
      <c r="Q155" s="3">
        <v>1</v>
      </c>
      <c r="R155" s="10">
        <f t="shared" si="10"/>
        <v>0.4</v>
      </c>
      <c r="S155" s="10">
        <f t="shared" si="11"/>
        <v>-0.10000000000000003</v>
      </c>
      <c r="T155" s="10">
        <f t="shared" si="15"/>
        <v>179.25974999999994</v>
      </c>
      <c r="V155" s="3">
        <v>268.3</v>
      </c>
      <c r="X155" s="3">
        <f t="shared" si="16"/>
        <v>64613.400000000023</v>
      </c>
      <c r="Y155" s="3">
        <f t="shared" si="18"/>
        <v>12212.799999999997</v>
      </c>
      <c r="AA155" s="15">
        <v>8.3688067531851402</v>
      </c>
    </row>
    <row r="156" spans="1:27" s="3" customFormat="1" x14ac:dyDescent="0.25">
      <c r="A156" s="62"/>
      <c r="B156" s="7"/>
      <c r="C156" s="13">
        <v>40541</v>
      </c>
      <c r="D156" s="3">
        <v>7.3</v>
      </c>
      <c r="E156" s="3">
        <v>6.3</v>
      </c>
      <c r="F156" s="3">
        <v>8</v>
      </c>
      <c r="G156" s="3">
        <f t="shared" si="12"/>
        <v>898.9</v>
      </c>
      <c r="H156" s="3">
        <f t="shared" si="17"/>
        <v>84.6</v>
      </c>
      <c r="J156" s="3">
        <v>2.8</v>
      </c>
      <c r="K156" s="3">
        <f t="shared" si="13"/>
        <v>249.5</v>
      </c>
      <c r="L156" s="3">
        <v>0.3</v>
      </c>
      <c r="M156" s="3">
        <f t="shared" si="14"/>
        <v>120.10000000000002</v>
      </c>
      <c r="N156" s="3">
        <v>2.5</v>
      </c>
      <c r="O156" s="3">
        <f t="shared" si="19"/>
        <v>156</v>
      </c>
      <c r="P156" s="3">
        <v>107</v>
      </c>
      <c r="Q156" s="3">
        <v>1</v>
      </c>
      <c r="R156" s="10">
        <f t="shared" si="10"/>
        <v>0.3</v>
      </c>
      <c r="S156" s="10">
        <f t="shared" si="11"/>
        <v>2.5</v>
      </c>
      <c r="T156" s="10">
        <f t="shared" si="15"/>
        <v>181.75974999999994</v>
      </c>
      <c r="V156" s="3">
        <v>269.89999999999998</v>
      </c>
      <c r="X156" s="3">
        <f t="shared" si="16"/>
        <v>64883.300000000025</v>
      </c>
      <c r="Y156" s="3">
        <f t="shared" si="18"/>
        <v>12482.699999999997</v>
      </c>
      <c r="AA156" s="15">
        <v>8.3780799906893897</v>
      </c>
    </row>
    <row r="157" spans="1:27" s="3" customFormat="1" x14ac:dyDescent="0.25">
      <c r="A157" s="62"/>
      <c r="B157" s="12"/>
      <c r="C157" s="13">
        <v>40542</v>
      </c>
      <c r="D157" s="3">
        <v>5.5</v>
      </c>
      <c r="E157" s="3">
        <v>4.5</v>
      </c>
      <c r="F157" s="3">
        <v>5.7</v>
      </c>
      <c r="G157" s="3">
        <f t="shared" si="12"/>
        <v>904.4</v>
      </c>
      <c r="H157" s="3">
        <f t="shared" si="17"/>
        <v>90.1</v>
      </c>
      <c r="J157" s="3">
        <v>0</v>
      </c>
      <c r="K157" s="3">
        <f t="shared" si="13"/>
        <v>249.5</v>
      </c>
      <c r="L157" s="3">
        <v>0.1</v>
      </c>
      <c r="M157" s="3">
        <f t="shared" si="14"/>
        <v>120.20000000000002</v>
      </c>
      <c r="N157" s="3">
        <v>-0.1</v>
      </c>
      <c r="O157" s="3">
        <f t="shared" si="19"/>
        <v>155.9</v>
      </c>
      <c r="P157" s="3">
        <v>108</v>
      </c>
      <c r="Q157" s="3">
        <v>1</v>
      </c>
      <c r="R157" s="10">
        <f t="shared" si="10"/>
        <v>0.1</v>
      </c>
      <c r="S157" s="10">
        <f t="shared" si="11"/>
        <v>-0.1</v>
      </c>
      <c r="T157" s="10">
        <f t="shared" si="15"/>
        <v>181.65974999999995</v>
      </c>
      <c r="V157" s="3">
        <v>143.6</v>
      </c>
      <c r="X157" s="3">
        <f t="shared" si="16"/>
        <v>65026.900000000023</v>
      </c>
      <c r="Y157" s="3">
        <f t="shared" si="18"/>
        <v>12626.299999999997</v>
      </c>
      <c r="AA157" s="15">
        <v>8.3888689550965605</v>
      </c>
    </row>
    <row r="158" spans="1:27" s="3" customFormat="1" x14ac:dyDescent="0.25">
      <c r="A158" s="62"/>
      <c r="B158" s="12"/>
      <c r="C158" s="13">
        <v>40543</v>
      </c>
      <c r="D158" s="3">
        <v>3.3</v>
      </c>
      <c r="E158" s="3">
        <v>2.4</v>
      </c>
      <c r="F158" s="3">
        <v>4.0999999999999996</v>
      </c>
      <c r="G158" s="3">
        <f t="shared" si="12"/>
        <v>907.69999999999993</v>
      </c>
      <c r="H158" s="3">
        <f t="shared" si="17"/>
        <v>93.399999999999991</v>
      </c>
      <c r="J158" s="3">
        <v>0</v>
      </c>
      <c r="K158" s="3">
        <f t="shared" si="13"/>
        <v>249.5</v>
      </c>
      <c r="L158" s="3">
        <v>0.1</v>
      </c>
      <c r="M158" s="3">
        <f t="shared" si="14"/>
        <v>120.30000000000001</v>
      </c>
      <c r="N158" s="3">
        <v>-0.1</v>
      </c>
      <c r="O158" s="3">
        <f t="shared" si="19"/>
        <v>155.80000000000001</v>
      </c>
      <c r="P158" s="3">
        <v>109</v>
      </c>
      <c r="Q158" s="3">
        <v>1</v>
      </c>
      <c r="R158" s="10">
        <f t="shared" si="10"/>
        <v>0.1</v>
      </c>
      <c r="S158" s="10">
        <f t="shared" si="11"/>
        <v>-0.1</v>
      </c>
      <c r="T158" s="10">
        <f t="shared" si="15"/>
        <v>181.55974999999995</v>
      </c>
      <c r="V158" s="3">
        <v>148.69999999999999</v>
      </c>
      <c r="X158" s="3">
        <f t="shared" si="16"/>
        <v>65175.60000000002</v>
      </c>
      <c r="Y158" s="3">
        <f t="shared" si="18"/>
        <v>12774.999999999998</v>
      </c>
      <c r="AA158" s="15">
        <v>8.4011615792606609</v>
      </c>
    </row>
    <row r="159" spans="1:27" s="3" customFormat="1" x14ac:dyDescent="0.25">
      <c r="A159" s="62"/>
      <c r="B159" s="12"/>
      <c r="C159" s="13">
        <v>40544</v>
      </c>
      <c r="D159" s="3">
        <v>1.1000000000000001</v>
      </c>
      <c r="E159" s="3">
        <v>-0.3</v>
      </c>
      <c r="F159" s="3">
        <v>3.1</v>
      </c>
      <c r="G159" s="3">
        <f t="shared" si="12"/>
        <v>908.8</v>
      </c>
      <c r="H159" s="3">
        <f t="shared" si="17"/>
        <v>94.499999999999986</v>
      </c>
      <c r="J159" s="3">
        <v>0</v>
      </c>
      <c r="K159" s="3">
        <f t="shared" si="13"/>
        <v>249.5</v>
      </c>
      <c r="L159" s="3">
        <v>0.1</v>
      </c>
      <c r="M159" s="3">
        <f t="shared" si="14"/>
        <v>120.4</v>
      </c>
      <c r="N159" s="3">
        <v>-0.1</v>
      </c>
      <c r="O159" s="3">
        <f t="shared" si="19"/>
        <v>155.70000000000002</v>
      </c>
      <c r="P159" s="3">
        <v>110</v>
      </c>
      <c r="Q159" s="3">
        <v>1</v>
      </c>
      <c r="R159" s="10">
        <f t="shared" si="10"/>
        <v>0.1</v>
      </c>
      <c r="S159" s="10">
        <f t="shared" si="11"/>
        <v>-0.1</v>
      </c>
      <c r="T159" s="10">
        <f t="shared" si="15"/>
        <v>181.45974999999996</v>
      </c>
      <c r="V159" s="3">
        <v>76.2</v>
      </c>
      <c r="X159" s="3">
        <f t="shared" si="16"/>
        <v>65251.800000000017</v>
      </c>
      <c r="Y159" s="3">
        <f t="shared" si="18"/>
        <v>12851.199999999999</v>
      </c>
      <c r="AA159" s="15">
        <v>8.4193892160187005</v>
      </c>
    </row>
    <row r="160" spans="1:27" s="3" customFormat="1" x14ac:dyDescent="0.25">
      <c r="A160" s="62"/>
      <c r="B160" s="12"/>
      <c r="C160" s="13">
        <v>40545</v>
      </c>
      <c r="D160" s="3">
        <v>3.5</v>
      </c>
      <c r="E160" s="3">
        <v>2.6</v>
      </c>
      <c r="F160" s="3">
        <v>6.3</v>
      </c>
      <c r="G160" s="3">
        <f t="shared" si="12"/>
        <v>912.3</v>
      </c>
      <c r="H160" s="3">
        <f t="shared" si="17"/>
        <v>97.999999999999986</v>
      </c>
      <c r="J160" s="3">
        <v>0</v>
      </c>
      <c r="K160" s="3">
        <f t="shared" si="13"/>
        <v>249.5</v>
      </c>
      <c r="L160" s="3">
        <v>0.4</v>
      </c>
      <c r="M160" s="3">
        <f t="shared" si="14"/>
        <v>120.80000000000001</v>
      </c>
      <c r="N160" s="3">
        <v>-0.4</v>
      </c>
      <c r="O160" s="3">
        <f t="shared" si="19"/>
        <v>155.30000000000001</v>
      </c>
      <c r="P160" s="3">
        <v>111</v>
      </c>
      <c r="Q160" s="3">
        <v>1</v>
      </c>
      <c r="R160" s="10">
        <f t="shared" si="10"/>
        <v>0.4</v>
      </c>
      <c r="S160" s="10">
        <f t="shared" si="11"/>
        <v>-0.4</v>
      </c>
      <c r="T160" s="10">
        <f t="shared" si="15"/>
        <v>181.05974999999995</v>
      </c>
      <c r="V160" s="3">
        <v>381.9</v>
      </c>
      <c r="X160" s="3">
        <f t="shared" si="16"/>
        <v>65633.700000000012</v>
      </c>
      <c r="Y160" s="3">
        <f t="shared" si="18"/>
        <v>13233.099999999999</v>
      </c>
      <c r="AA160" s="15">
        <v>8.4350877093723202</v>
      </c>
    </row>
    <row r="161" spans="1:27" s="3" customFormat="1" x14ac:dyDescent="0.25">
      <c r="A161" s="62"/>
      <c r="B161" s="12"/>
      <c r="C161" s="13">
        <v>40546</v>
      </c>
      <c r="D161" s="3">
        <v>1.5</v>
      </c>
      <c r="E161" s="3">
        <v>0.1</v>
      </c>
      <c r="F161" s="3">
        <v>3.4</v>
      </c>
      <c r="G161" s="3">
        <f t="shared" si="12"/>
        <v>913.8</v>
      </c>
      <c r="H161" s="3">
        <f t="shared" si="17"/>
        <v>99.499999999999986</v>
      </c>
      <c r="J161" s="3">
        <v>0</v>
      </c>
      <c r="K161" s="3">
        <f t="shared" si="13"/>
        <v>249.5</v>
      </c>
      <c r="L161" s="3">
        <v>0.5</v>
      </c>
      <c r="M161" s="3">
        <f t="shared" si="14"/>
        <v>121.30000000000001</v>
      </c>
      <c r="N161" s="3">
        <v>-0.5</v>
      </c>
      <c r="O161" s="3">
        <f t="shared" si="19"/>
        <v>154.80000000000001</v>
      </c>
      <c r="P161" s="3">
        <v>112</v>
      </c>
      <c r="Q161" s="3">
        <v>1</v>
      </c>
      <c r="R161" s="10">
        <f t="shared" si="10"/>
        <v>0.5</v>
      </c>
      <c r="S161" s="10">
        <f t="shared" si="11"/>
        <v>-0.5</v>
      </c>
      <c r="T161" s="10">
        <f t="shared" si="15"/>
        <v>180.55974999999995</v>
      </c>
      <c r="V161" s="3">
        <v>390.5</v>
      </c>
      <c r="X161" s="3">
        <f t="shared" si="16"/>
        <v>66024.200000000012</v>
      </c>
      <c r="Y161" s="3">
        <f t="shared" si="18"/>
        <v>13623.599999999999</v>
      </c>
      <c r="AA161" s="15">
        <v>8.4522385901356891</v>
      </c>
    </row>
    <row r="162" spans="1:27" s="3" customFormat="1" x14ac:dyDescent="0.25">
      <c r="A162" s="62"/>
      <c r="B162" s="12"/>
      <c r="C162" s="13">
        <v>40547</v>
      </c>
      <c r="D162" s="3">
        <v>2.1</v>
      </c>
      <c r="E162" s="3">
        <v>1.5</v>
      </c>
      <c r="F162" s="3">
        <v>4.2</v>
      </c>
      <c r="G162" s="3">
        <f t="shared" si="12"/>
        <v>915.9</v>
      </c>
      <c r="H162" s="3">
        <f t="shared" si="17"/>
        <v>101.59999999999998</v>
      </c>
      <c r="J162" s="3">
        <v>0</v>
      </c>
      <c r="K162" s="3">
        <f t="shared" si="13"/>
        <v>249.5</v>
      </c>
      <c r="L162" s="3">
        <v>0.7</v>
      </c>
      <c r="M162" s="3">
        <f t="shared" si="14"/>
        <v>122.00000000000001</v>
      </c>
      <c r="N162" s="3">
        <v>-0.7</v>
      </c>
      <c r="O162" s="3">
        <f t="shared" si="19"/>
        <v>154.10000000000002</v>
      </c>
      <c r="P162" s="3">
        <v>113</v>
      </c>
      <c r="Q162" s="3">
        <v>1</v>
      </c>
      <c r="R162" s="10">
        <f t="shared" si="10"/>
        <v>0.7</v>
      </c>
      <c r="S162" s="10">
        <f t="shared" si="11"/>
        <v>-0.7</v>
      </c>
      <c r="T162" s="10">
        <f t="shared" si="15"/>
        <v>179.85974999999996</v>
      </c>
      <c r="V162" s="3">
        <v>283.3</v>
      </c>
      <c r="X162" s="3">
        <f t="shared" si="16"/>
        <v>66307.500000000015</v>
      </c>
      <c r="Y162" s="3">
        <f t="shared" si="18"/>
        <v>13906.899999999998</v>
      </c>
      <c r="AA162" s="15">
        <v>8.4708231076445308</v>
      </c>
    </row>
    <row r="163" spans="1:27" s="3" customFormat="1" x14ac:dyDescent="0.25">
      <c r="A163" s="62"/>
      <c r="B163" s="12"/>
      <c r="C163" s="13">
        <v>40548</v>
      </c>
      <c r="D163" s="3">
        <v>4</v>
      </c>
      <c r="E163" s="3">
        <v>-0.2</v>
      </c>
      <c r="F163" s="3">
        <v>11.6</v>
      </c>
      <c r="G163" s="3">
        <f t="shared" si="12"/>
        <v>919.9</v>
      </c>
      <c r="H163" s="3">
        <f t="shared" si="17"/>
        <v>105.59999999999998</v>
      </c>
      <c r="J163" s="3">
        <v>9</v>
      </c>
      <c r="K163" s="3">
        <f t="shared" si="13"/>
        <v>258.5</v>
      </c>
      <c r="L163" s="3">
        <v>0.7</v>
      </c>
      <c r="M163" s="3">
        <f t="shared" si="14"/>
        <v>122.70000000000002</v>
      </c>
      <c r="N163" s="3">
        <v>8.3000000000000007</v>
      </c>
      <c r="O163" s="3">
        <f t="shared" si="19"/>
        <v>162.40000000000003</v>
      </c>
      <c r="P163" s="3">
        <v>114</v>
      </c>
      <c r="Q163" s="3">
        <v>1</v>
      </c>
      <c r="R163" s="10">
        <f t="shared" si="10"/>
        <v>0.7</v>
      </c>
      <c r="S163" s="10">
        <f t="shared" si="11"/>
        <v>8.3000000000000007</v>
      </c>
      <c r="T163" s="10">
        <f t="shared" si="15"/>
        <v>188.15974999999997</v>
      </c>
      <c r="V163" s="3">
        <v>148.1</v>
      </c>
      <c r="X163" s="3">
        <f t="shared" si="16"/>
        <v>66455.60000000002</v>
      </c>
      <c r="Y163" s="3">
        <f t="shared" si="18"/>
        <v>14054.999999999998</v>
      </c>
      <c r="AA163" s="15">
        <v>8.4908211407778005</v>
      </c>
    </row>
    <row r="164" spans="1:27" s="3" customFormat="1" x14ac:dyDescent="0.25">
      <c r="A164" s="62"/>
      <c r="B164" s="7"/>
      <c r="C164" s="13">
        <v>40549</v>
      </c>
      <c r="D164" s="3">
        <v>12</v>
      </c>
      <c r="E164" s="3">
        <v>7.7</v>
      </c>
      <c r="F164" s="3">
        <v>12.8</v>
      </c>
      <c r="G164" s="3">
        <f t="shared" si="12"/>
        <v>931.9</v>
      </c>
      <c r="H164" s="3">
        <f t="shared" si="17"/>
        <v>117.59999999999998</v>
      </c>
      <c r="J164" s="3">
        <v>7.7</v>
      </c>
      <c r="K164" s="3">
        <f t="shared" si="13"/>
        <v>266.2</v>
      </c>
      <c r="L164" s="3">
        <v>0.2</v>
      </c>
      <c r="M164" s="3">
        <f t="shared" si="14"/>
        <v>122.90000000000002</v>
      </c>
      <c r="N164" s="3">
        <v>7.5</v>
      </c>
      <c r="O164" s="3">
        <f t="shared" si="19"/>
        <v>169.90000000000003</v>
      </c>
      <c r="P164" s="3">
        <v>115</v>
      </c>
      <c r="Q164" s="3">
        <v>1</v>
      </c>
      <c r="R164" s="10">
        <f t="shared" si="10"/>
        <v>0.2</v>
      </c>
      <c r="S164" s="10">
        <f t="shared" si="11"/>
        <v>7.5</v>
      </c>
      <c r="T164" s="10">
        <f t="shared" si="15"/>
        <v>195.65974999999997</v>
      </c>
      <c r="V164" s="3">
        <v>71.3</v>
      </c>
      <c r="X164" s="3">
        <f t="shared" si="16"/>
        <v>66526.900000000023</v>
      </c>
      <c r="Y164" s="3">
        <f t="shared" si="18"/>
        <v>14126.299999999997</v>
      </c>
      <c r="AA164" s="15">
        <v>8.5122112765059796</v>
      </c>
    </row>
    <row r="165" spans="1:27" s="3" customFormat="1" x14ac:dyDescent="0.25">
      <c r="A165" s="62"/>
      <c r="B165" s="7"/>
      <c r="C165" s="13">
        <v>40550</v>
      </c>
      <c r="D165" s="3">
        <v>11.7</v>
      </c>
      <c r="E165" s="3">
        <v>11.5</v>
      </c>
      <c r="F165" s="3">
        <v>12.2</v>
      </c>
      <c r="G165" s="3">
        <f t="shared" si="12"/>
        <v>943.6</v>
      </c>
      <c r="H165" s="3">
        <f t="shared" si="17"/>
        <v>129.29999999999998</v>
      </c>
      <c r="J165" s="3">
        <v>6.6</v>
      </c>
      <c r="K165" s="3">
        <f t="shared" si="13"/>
        <v>272.8</v>
      </c>
      <c r="L165" s="3">
        <v>0.7</v>
      </c>
      <c r="M165" s="3">
        <f t="shared" si="14"/>
        <v>123.60000000000002</v>
      </c>
      <c r="N165" s="3">
        <v>5.8999999999999995</v>
      </c>
      <c r="O165" s="3">
        <f t="shared" si="19"/>
        <v>175.80000000000004</v>
      </c>
      <c r="P165" s="3">
        <v>116</v>
      </c>
      <c r="Q165" s="3">
        <v>1</v>
      </c>
      <c r="R165" s="10">
        <f t="shared" si="10"/>
        <v>0.7</v>
      </c>
      <c r="S165" s="10">
        <f t="shared" si="11"/>
        <v>5.8999999999999995</v>
      </c>
      <c r="T165" s="10">
        <f t="shared" si="15"/>
        <v>197.4</v>
      </c>
      <c r="V165" s="3">
        <v>295.39999999999998</v>
      </c>
      <c r="X165" s="3">
        <f t="shared" si="16"/>
        <v>66822.300000000017</v>
      </c>
      <c r="Y165" s="3">
        <f t="shared" si="18"/>
        <v>14421.699999999997</v>
      </c>
      <c r="AA165" s="15">
        <v>8.5349708918221392</v>
      </c>
    </row>
    <row r="166" spans="1:27" s="3" customFormat="1" x14ac:dyDescent="0.25">
      <c r="A166" s="62"/>
      <c r="B166" s="7"/>
      <c r="C166" s="13">
        <v>40551</v>
      </c>
      <c r="D166" s="3">
        <v>9.6999999999999993</v>
      </c>
      <c r="E166" s="3">
        <v>7.7</v>
      </c>
      <c r="F166" s="3">
        <v>11.7</v>
      </c>
      <c r="G166" s="3">
        <f t="shared" si="12"/>
        <v>953.30000000000007</v>
      </c>
      <c r="H166" s="3">
        <f t="shared" si="17"/>
        <v>138.99999999999997</v>
      </c>
      <c r="J166" s="3">
        <v>6</v>
      </c>
      <c r="K166" s="3">
        <f t="shared" si="13"/>
        <v>278.8</v>
      </c>
      <c r="L166" s="3">
        <v>0.8</v>
      </c>
      <c r="M166" s="3">
        <f t="shared" si="14"/>
        <v>124.40000000000002</v>
      </c>
      <c r="N166" s="3">
        <v>5.2</v>
      </c>
      <c r="O166" s="3">
        <f t="shared" si="19"/>
        <v>181.00000000000003</v>
      </c>
      <c r="P166" s="3">
        <v>117</v>
      </c>
      <c r="Q166" s="3">
        <v>1</v>
      </c>
      <c r="R166" s="10">
        <f t="shared" si="10"/>
        <v>0.8</v>
      </c>
      <c r="S166" s="10">
        <f t="shared" si="11"/>
        <v>5.2</v>
      </c>
      <c r="T166" s="10">
        <f t="shared" si="15"/>
        <v>197.4</v>
      </c>
      <c r="V166" s="3">
        <v>195.3</v>
      </c>
      <c r="X166" s="3">
        <f t="shared" si="16"/>
        <v>67017.60000000002</v>
      </c>
      <c r="Y166" s="3">
        <f t="shared" si="18"/>
        <v>14616.999999999996</v>
      </c>
      <c r="AA166" s="15">
        <v>8.5590762384411292</v>
      </c>
    </row>
    <row r="167" spans="1:27" s="3" customFormat="1" x14ac:dyDescent="0.25">
      <c r="A167" s="62"/>
      <c r="B167" s="12"/>
      <c r="C167" s="13">
        <v>40552</v>
      </c>
      <c r="D167" s="3">
        <v>5</v>
      </c>
      <c r="E167" s="3">
        <v>3.1</v>
      </c>
      <c r="F167" s="3">
        <v>8.6</v>
      </c>
      <c r="G167" s="3">
        <f t="shared" si="12"/>
        <v>958.30000000000007</v>
      </c>
      <c r="H167" s="3">
        <f t="shared" si="17"/>
        <v>143.99999999999997</v>
      </c>
      <c r="J167" s="3">
        <v>0.9</v>
      </c>
      <c r="K167" s="3">
        <f t="shared" si="13"/>
        <v>279.7</v>
      </c>
      <c r="L167" s="3">
        <v>0.8</v>
      </c>
      <c r="M167" s="3">
        <f t="shared" si="14"/>
        <v>125.20000000000002</v>
      </c>
      <c r="N167" s="3">
        <v>9.9999999999999978E-2</v>
      </c>
      <c r="O167" s="3">
        <f t="shared" si="19"/>
        <v>181.10000000000002</v>
      </c>
      <c r="P167" s="3">
        <v>118</v>
      </c>
      <c r="Q167" s="3">
        <v>1</v>
      </c>
      <c r="R167" s="10">
        <f t="shared" si="10"/>
        <v>0.8</v>
      </c>
      <c r="S167" s="10">
        <f t="shared" si="11"/>
        <v>9.9999999999999978E-2</v>
      </c>
      <c r="T167" s="10">
        <f t="shared" si="15"/>
        <v>197.4</v>
      </c>
      <c r="V167" s="3">
        <v>633.4</v>
      </c>
      <c r="X167" s="3">
        <f t="shared" si="16"/>
        <v>67651.000000000015</v>
      </c>
      <c r="Y167" s="3">
        <f t="shared" si="18"/>
        <v>15250.399999999996</v>
      </c>
      <c r="AA167" s="15">
        <v>8.5845025296519992</v>
      </c>
    </row>
    <row r="168" spans="1:27" s="39" customFormat="1" ht="15.75" thickBot="1" x14ac:dyDescent="0.3">
      <c r="A168" s="62"/>
      <c r="B168" s="44"/>
      <c r="C168" s="45">
        <v>40553</v>
      </c>
      <c r="D168" s="39">
        <v>6.1</v>
      </c>
      <c r="E168" s="39">
        <v>2.5</v>
      </c>
      <c r="F168" s="39">
        <v>8.8000000000000007</v>
      </c>
      <c r="G168" s="39">
        <f t="shared" si="12"/>
        <v>964.40000000000009</v>
      </c>
      <c r="H168" s="39">
        <f t="shared" si="17"/>
        <v>150.09999999999997</v>
      </c>
      <c r="J168" s="39">
        <v>5.0999999999999996</v>
      </c>
      <c r="K168" s="39">
        <f t="shared" si="13"/>
        <v>284.8</v>
      </c>
      <c r="L168" s="39">
        <v>0.7</v>
      </c>
      <c r="M168" s="39">
        <f t="shared" si="14"/>
        <v>125.90000000000002</v>
      </c>
      <c r="N168" s="39">
        <v>4.3999999999999995</v>
      </c>
      <c r="O168" s="39">
        <f t="shared" si="19"/>
        <v>185.50000000000003</v>
      </c>
      <c r="P168" s="39">
        <v>119</v>
      </c>
      <c r="Q168" s="43">
        <v>1</v>
      </c>
      <c r="R168" s="41">
        <f t="shared" si="10"/>
        <v>0.7</v>
      </c>
      <c r="S168" s="41">
        <f t="shared" si="11"/>
        <v>4.3999999999999995</v>
      </c>
      <c r="T168" s="42">
        <f t="shared" si="15"/>
        <v>197.4</v>
      </c>
      <c r="V168" s="39">
        <v>466.4</v>
      </c>
      <c r="W168" s="39">
        <f>(Y168/100)/I133</f>
        <v>1.0470886075949364</v>
      </c>
      <c r="X168" s="39">
        <f t="shared" si="16"/>
        <v>68117.400000000009</v>
      </c>
      <c r="Y168" s="43">
        <f t="shared" si="18"/>
        <v>15716.799999999996</v>
      </c>
      <c r="AA168" s="46">
        <v>8.61122402871605</v>
      </c>
    </row>
    <row r="169" spans="1:27" s="3" customFormat="1" ht="15" customHeight="1" x14ac:dyDescent="0.25">
      <c r="A169" s="63" t="s">
        <v>20</v>
      </c>
      <c r="B169" s="7"/>
      <c r="C169" s="16">
        <v>40554</v>
      </c>
      <c r="D169" s="3">
        <v>8.3000000000000007</v>
      </c>
      <c r="E169" s="3">
        <v>7.4</v>
      </c>
      <c r="F169" s="3">
        <v>9.6999999999999993</v>
      </c>
      <c r="G169" s="3">
        <f t="shared" si="12"/>
        <v>972.7</v>
      </c>
      <c r="H169" s="3">
        <v>8.3000000000000007</v>
      </c>
      <c r="I169" s="17" t="s">
        <v>2</v>
      </c>
      <c r="J169" s="3">
        <v>1.5</v>
      </c>
      <c r="K169" s="3">
        <f t="shared" si="13"/>
        <v>286.3</v>
      </c>
      <c r="L169" s="3">
        <v>0.7</v>
      </c>
      <c r="M169" s="3">
        <f t="shared" si="14"/>
        <v>126.60000000000002</v>
      </c>
      <c r="N169" s="3">
        <v>0.8</v>
      </c>
      <c r="O169" s="3">
        <f t="shared" si="19"/>
        <v>186.30000000000004</v>
      </c>
      <c r="P169" s="3">
        <v>120</v>
      </c>
      <c r="Q169" s="18">
        <f>1+((P169-119)/74)*(1.15-1)</f>
        <v>1.0020270270270271</v>
      </c>
      <c r="R169" s="10">
        <f t="shared" si="10"/>
        <v>0.70141891891891894</v>
      </c>
      <c r="S169" s="10">
        <f t="shared" si="11"/>
        <v>0.79858108108108106</v>
      </c>
      <c r="T169" s="10">
        <f t="shared" si="15"/>
        <v>197.4</v>
      </c>
      <c r="U169" s="17" t="s">
        <v>3</v>
      </c>
      <c r="V169" s="3">
        <v>165.9</v>
      </c>
      <c r="X169" s="3">
        <f t="shared" si="16"/>
        <v>68283.3</v>
      </c>
      <c r="Y169" s="3">
        <v>165.9</v>
      </c>
      <c r="Z169" s="17" t="s">
        <v>4</v>
      </c>
      <c r="AA169" s="15">
        <v>8.6392141382164898</v>
      </c>
    </row>
    <row r="170" spans="1:27" s="3" customFormat="1" x14ac:dyDescent="0.25">
      <c r="A170" s="63"/>
      <c r="B170" s="7"/>
      <c r="C170" s="16">
        <v>40555</v>
      </c>
      <c r="D170" s="3">
        <v>11.3</v>
      </c>
      <c r="E170" s="3">
        <v>6.8</v>
      </c>
      <c r="F170" s="3">
        <v>12.8</v>
      </c>
      <c r="G170" s="3">
        <f t="shared" si="12"/>
        <v>984</v>
      </c>
      <c r="H170" s="3">
        <f>H169+D170</f>
        <v>19.600000000000001</v>
      </c>
      <c r="I170" s="3">
        <f>MIN(E169:E242)</f>
        <v>-4</v>
      </c>
      <c r="J170" s="3">
        <v>0.2</v>
      </c>
      <c r="K170" s="3">
        <f t="shared" si="13"/>
        <v>286.5</v>
      </c>
      <c r="L170" s="3">
        <v>0</v>
      </c>
      <c r="M170" s="3">
        <f t="shared" si="14"/>
        <v>126.60000000000002</v>
      </c>
      <c r="N170" s="3">
        <v>0.2</v>
      </c>
      <c r="O170" s="3">
        <f t="shared" si="19"/>
        <v>186.50000000000003</v>
      </c>
      <c r="P170" s="3">
        <v>121</v>
      </c>
      <c r="Q170" s="18">
        <f t="shared" ref="Q170:Q233" si="20">1+((P170-119)/74)*(1.15-1)</f>
        <v>1.0040540540540541</v>
      </c>
      <c r="R170" s="10">
        <f t="shared" si="10"/>
        <v>0</v>
      </c>
      <c r="S170" s="10">
        <f t="shared" si="11"/>
        <v>0.2</v>
      </c>
      <c r="T170" s="10">
        <f t="shared" si="15"/>
        <v>197.4</v>
      </c>
      <c r="V170" s="3">
        <v>100.8</v>
      </c>
      <c r="X170" s="3">
        <f t="shared" si="16"/>
        <v>68384.100000000006</v>
      </c>
      <c r="Y170" s="3">
        <f t="shared" si="18"/>
        <v>266.7</v>
      </c>
      <c r="Z170" s="3">
        <v>46966.999999999993</v>
      </c>
      <c r="AA170" s="15">
        <v>8.6684454897849594</v>
      </c>
    </row>
    <row r="171" spans="1:27" s="3" customFormat="1" x14ac:dyDescent="0.25">
      <c r="A171" s="63"/>
      <c r="B171" s="7"/>
      <c r="C171" s="16">
        <v>40556</v>
      </c>
      <c r="D171" s="3">
        <v>12.4</v>
      </c>
      <c r="E171" s="3">
        <v>11.3</v>
      </c>
      <c r="F171" s="3">
        <v>12.9</v>
      </c>
      <c r="G171" s="3">
        <f t="shared" si="12"/>
        <v>996.4</v>
      </c>
      <c r="H171" s="3">
        <f t="shared" si="17"/>
        <v>32</v>
      </c>
      <c r="I171" s="17" t="s">
        <v>5</v>
      </c>
      <c r="J171" s="3">
        <v>0</v>
      </c>
      <c r="K171" s="3">
        <f t="shared" si="13"/>
        <v>286.5</v>
      </c>
      <c r="L171" s="3">
        <v>0.6</v>
      </c>
      <c r="M171" s="3">
        <f t="shared" si="14"/>
        <v>127.20000000000002</v>
      </c>
      <c r="N171" s="3">
        <v>-0.6</v>
      </c>
      <c r="O171" s="3">
        <f t="shared" si="19"/>
        <v>185.90000000000003</v>
      </c>
      <c r="P171" s="3">
        <v>122</v>
      </c>
      <c r="Q171" s="18">
        <f t="shared" si="20"/>
        <v>1.0060810810810812</v>
      </c>
      <c r="R171" s="10">
        <f t="shared" si="10"/>
        <v>0.60364864864864864</v>
      </c>
      <c r="S171" s="10">
        <f t="shared" si="11"/>
        <v>-0.60364864864864864</v>
      </c>
      <c r="T171" s="10">
        <f t="shared" si="15"/>
        <v>196.79635135135135</v>
      </c>
      <c r="U171" s="17" t="s">
        <v>6</v>
      </c>
      <c r="V171" s="3">
        <v>145.9</v>
      </c>
      <c r="X171" s="3">
        <f t="shared" si="16"/>
        <v>68530</v>
      </c>
      <c r="Y171" s="3">
        <f t="shared" si="18"/>
        <v>412.6</v>
      </c>
      <c r="Z171" s="17" t="s">
        <v>7</v>
      </c>
      <c r="AA171" s="15">
        <v>8.6988900336550294</v>
      </c>
    </row>
    <row r="172" spans="1:27" s="3" customFormat="1" x14ac:dyDescent="0.25">
      <c r="A172" s="63"/>
      <c r="B172" s="7"/>
      <c r="C172" s="16">
        <v>40557</v>
      </c>
      <c r="D172" s="3">
        <v>10.9</v>
      </c>
      <c r="E172" s="3">
        <v>10.1</v>
      </c>
      <c r="F172" s="3">
        <v>12.9</v>
      </c>
      <c r="G172" s="3">
        <f t="shared" si="12"/>
        <v>1007.3</v>
      </c>
      <c r="H172" s="3">
        <f t="shared" si="17"/>
        <v>42.9</v>
      </c>
      <c r="I172" s="3">
        <f>MAX(F169:F242)</f>
        <v>19.399999999999999</v>
      </c>
      <c r="J172" s="3">
        <v>3.9</v>
      </c>
      <c r="K172" s="3">
        <f t="shared" si="13"/>
        <v>290.39999999999998</v>
      </c>
      <c r="L172" s="3">
        <v>1.3</v>
      </c>
      <c r="M172" s="3">
        <f t="shared" si="14"/>
        <v>128.50000000000003</v>
      </c>
      <c r="N172" s="3">
        <v>2.5999999999999996</v>
      </c>
      <c r="O172" s="3">
        <f t="shared" si="19"/>
        <v>188.50000000000003</v>
      </c>
      <c r="P172" s="3">
        <v>123</v>
      </c>
      <c r="Q172" s="18">
        <f t="shared" si="20"/>
        <v>1.008108108108108</v>
      </c>
      <c r="R172" s="10">
        <f t="shared" si="10"/>
        <v>1.3105405405405406</v>
      </c>
      <c r="S172" s="10">
        <f t="shared" si="11"/>
        <v>2.5894594594594595</v>
      </c>
      <c r="T172" s="10">
        <f t="shared" si="15"/>
        <v>197.4</v>
      </c>
      <c r="U172" s="3">
        <v>0</v>
      </c>
      <c r="V172" s="3">
        <v>171.5</v>
      </c>
      <c r="X172" s="3">
        <f t="shared" si="16"/>
        <v>68701.5</v>
      </c>
      <c r="Y172" s="3">
        <f t="shared" si="18"/>
        <v>584.1</v>
      </c>
      <c r="Z172" s="3">
        <f>(Z170/100)/I182</f>
        <v>0.86035904011723741</v>
      </c>
      <c r="AA172" s="15">
        <v>8.7305191275220508</v>
      </c>
    </row>
    <row r="173" spans="1:27" s="3" customFormat="1" x14ac:dyDescent="0.25">
      <c r="A173" s="63"/>
      <c r="B173" s="7"/>
      <c r="C173" s="16">
        <v>40558</v>
      </c>
      <c r="D173" s="3">
        <v>10.9</v>
      </c>
      <c r="E173" s="3">
        <v>8.9</v>
      </c>
      <c r="F173" s="3">
        <v>13.9</v>
      </c>
      <c r="G173" s="3">
        <f t="shared" si="12"/>
        <v>1018.1999999999999</v>
      </c>
      <c r="H173" s="3">
        <f t="shared" si="17"/>
        <v>53.8</v>
      </c>
      <c r="I173" s="17" t="s">
        <v>8</v>
      </c>
      <c r="J173" s="3">
        <v>0</v>
      </c>
      <c r="K173" s="3">
        <f t="shared" si="13"/>
        <v>290.39999999999998</v>
      </c>
      <c r="L173" s="3">
        <v>0.9</v>
      </c>
      <c r="M173" s="3">
        <f t="shared" si="14"/>
        <v>129.40000000000003</v>
      </c>
      <c r="N173" s="3">
        <v>-0.9</v>
      </c>
      <c r="O173" s="3">
        <f t="shared" si="19"/>
        <v>187.60000000000002</v>
      </c>
      <c r="P173" s="3">
        <v>124</v>
      </c>
      <c r="Q173" s="18">
        <f t="shared" si="20"/>
        <v>1.0101351351351351</v>
      </c>
      <c r="R173" s="10">
        <f t="shared" si="10"/>
        <v>0.90912162162162158</v>
      </c>
      <c r="S173" s="10">
        <f t="shared" si="11"/>
        <v>-0.90912162162162158</v>
      </c>
      <c r="T173" s="10">
        <f t="shared" si="15"/>
        <v>196.4908783783784</v>
      </c>
      <c r="U173" s="17" t="s">
        <v>9</v>
      </c>
      <c r="V173" s="3">
        <v>195.5</v>
      </c>
      <c r="X173" s="3">
        <f t="shared" si="16"/>
        <v>68897</v>
      </c>
      <c r="Y173" s="3">
        <f t="shared" si="18"/>
        <v>779.6</v>
      </c>
      <c r="Z173" s="17" t="s">
        <v>10</v>
      </c>
      <c r="AA173" s="15">
        <v>8.7633036242218001</v>
      </c>
    </row>
    <row r="174" spans="1:27" s="3" customFormat="1" x14ac:dyDescent="0.25">
      <c r="A174" s="63"/>
      <c r="B174" s="7"/>
      <c r="C174" s="16">
        <v>40559</v>
      </c>
      <c r="D174" s="3">
        <v>9</v>
      </c>
      <c r="E174" s="3">
        <v>6.9</v>
      </c>
      <c r="F174" s="3">
        <v>9.9</v>
      </c>
      <c r="G174" s="3">
        <f t="shared" si="12"/>
        <v>1027.1999999999998</v>
      </c>
      <c r="H174" s="3">
        <f t="shared" si="17"/>
        <v>62.8</v>
      </c>
      <c r="I174" s="3">
        <f>AVERAGE(D169:D242)</f>
        <v>7.3770270270270233</v>
      </c>
      <c r="J174" s="3">
        <v>0.7</v>
      </c>
      <c r="K174" s="3">
        <f t="shared" si="13"/>
        <v>291.09999999999997</v>
      </c>
      <c r="L174" s="3">
        <v>0.1</v>
      </c>
      <c r="M174" s="3">
        <f t="shared" si="14"/>
        <v>129.50000000000003</v>
      </c>
      <c r="N174" s="3">
        <v>0.6</v>
      </c>
      <c r="O174" s="3">
        <f t="shared" si="19"/>
        <v>188.20000000000002</v>
      </c>
      <c r="P174" s="3">
        <v>125</v>
      </c>
      <c r="Q174" s="18">
        <f t="shared" si="20"/>
        <v>1.0121621621621621</v>
      </c>
      <c r="R174" s="10">
        <f t="shared" si="10"/>
        <v>0.10121621621621622</v>
      </c>
      <c r="S174" s="10">
        <f t="shared" si="11"/>
        <v>0.59878378378378372</v>
      </c>
      <c r="T174" s="10">
        <f t="shared" si="15"/>
        <v>197.08966216216217</v>
      </c>
      <c r="U174" s="3">
        <v>0</v>
      </c>
      <c r="V174" s="3">
        <v>218.4</v>
      </c>
      <c r="X174" s="3">
        <f t="shared" si="16"/>
        <v>69115.399999999994</v>
      </c>
      <c r="Y174" s="3">
        <f t="shared" si="18"/>
        <v>998</v>
      </c>
      <c r="Z174" s="3">
        <v>57</v>
      </c>
      <c r="AA174" s="15">
        <v>8.7972139577765898</v>
      </c>
    </row>
    <row r="175" spans="1:27" s="3" customFormat="1" x14ac:dyDescent="0.25">
      <c r="A175" s="63"/>
      <c r="B175" s="7"/>
      <c r="C175" s="16">
        <v>40560</v>
      </c>
      <c r="D175" s="3">
        <v>10.4</v>
      </c>
      <c r="E175" s="3">
        <v>9.1999999999999993</v>
      </c>
      <c r="F175" s="3">
        <v>12.9</v>
      </c>
      <c r="G175" s="3">
        <f t="shared" si="12"/>
        <v>1037.5999999999999</v>
      </c>
      <c r="H175" s="3">
        <f t="shared" si="17"/>
        <v>73.2</v>
      </c>
      <c r="I175" s="17" t="s">
        <v>11</v>
      </c>
      <c r="J175" s="3">
        <v>1.2</v>
      </c>
      <c r="K175" s="3">
        <f t="shared" si="13"/>
        <v>292.29999999999995</v>
      </c>
      <c r="L175" s="3">
        <v>0.9</v>
      </c>
      <c r="M175" s="3">
        <f t="shared" si="14"/>
        <v>130.40000000000003</v>
      </c>
      <c r="N175" s="3">
        <v>0.29999999999999993</v>
      </c>
      <c r="O175" s="3">
        <f t="shared" si="19"/>
        <v>188.50000000000003</v>
      </c>
      <c r="P175" s="3">
        <v>126</v>
      </c>
      <c r="Q175" s="18">
        <f t="shared" si="20"/>
        <v>1.0141891891891892</v>
      </c>
      <c r="R175" s="10">
        <f t="shared" si="10"/>
        <v>0.91277027027027036</v>
      </c>
      <c r="S175" s="10">
        <f t="shared" si="11"/>
        <v>0.2872297297297296</v>
      </c>
      <c r="T175" s="10">
        <f t="shared" si="15"/>
        <v>197.37689189189189</v>
      </c>
      <c r="U175" s="17" t="s">
        <v>12</v>
      </c>
      <c r="V175" s="3">
        <v>197.3</v>
      </c>
      <c r="X175" s="3">
        <f t="shared" si="16"/>
        <v>69312.7</v>
      </c>
      <c r="Y175" s="3">
        <f t="shared" si="18"/>
        <v>1195.3</v>
      </c>
      <c r="AA175" s="15">
        <v>8.8322202273963804</v>
      </c>
    </row>
    <row r="176" spans="1:27" s="3" customFormat="1" x14ac:dyDescent="0.25">
      <c r="A176" s="63"/>
      <c r="B176" s="12"/>
      <c r="C176" s="16">
        <v>40561</v>
      </c>
      <c r="D176" s="3">
        <v>6.4</v>
      </c>
      <c r="E176" s="3">
        <v>4.4000000000000004</v>
      </c>
      <c r="F176" s="3">
        <v>8.3000000000000007</v>
      </c>
      <c r="G176" s="3">
        <f t="shared" si="12"/>
        <v>1044</v>
      </c>
      <c r="H176" s="3">
        <f t="shared" si="17"/>
        <v>79.600000000000009</v>
      </c>
      <c r="I176" s="3">
        <v>14</v>
      </c>
      <c r="J176" s="3">
        <v>0.2</v>
      </c>
      <c r="K176" s="3">
        <f t="shared" si="13"/>
        <v>292.49999999999994</v>
      </c>
      <c r="L176" s="3">
        <v>0.6</v>
      </c>
      <c r="M176" s="3">
        <f t="shared" si="14"/>
        <v>131.00000000000003</v>
      </c>
      <c r="N176" s="3">
        <v>-0.39999999999999997</v>
      </c>
      <c r="O176" s="3">
        <f t="shared" si="19"/>
        <v>188.10000000000002</v>
      </c>
      <c r="P176" s="3">
        <v>127</v>
      </c>
      <c r="Q176" s="18">
        <f t="shared" si="20"/>
        <v>1.0162162162162163</v>
      </c>
      <c r="R176" s="10">
        <f t="shared" si="10"/>
        <v>0.60972972972972972</v>
      </c>
      <c r="S176" s="10">
        <f t="shared" si="11"/>
        <v>-0.40972972972972971</v>
      </c>
      <c r="T176" s="10">
        <f t="shared" si="15"/>
        <v>196.96716216216217</v>
      </c>
      <c r="U176" s="10">
        <f>MIN(T169:T242)</f>
        <v>155.94993243243246</v>
      </c>
      <c r="V176" s="3">
        <v>258.39999999999998</v>
      </c>
      <c r="X176" s="3">
        <f t="shared" si="16"/>
        <v>69571.099999999991</v>
      </c>
      <c r="Y176" s="3">
        <f t="shared" si="18"/>
        <v>1453.6999999999998</v>
      </c>
      <c r="AA176" s="15">
        <v>8.8682922790623309</v>
      </c>
    </row>
    <row r="177" spans="1:28" s="3" customFormat="1" x14ac:dyDescent="0.25">
      <c r="A177" s="63"/>
      <c r="B177" s="12"/>
      <c r="C177" s="16">
        <v>40562</v>
      </c>
      <c r="D177" s="3">
        <v>1.8</v>
      </c>
      <c r="E177" s="3">
        <v>-2.4</v>
      </c>
      <c r="F177" s="3">
        <v>7.7</v>
      </c>
      <c r="G177" s="3">
        <f t="shared" si="12"/>
        <v>1045.8</v>
      </c>
      <c r="H177" s="3">
        <f t="shared" si="17"/>
        <v>81.400000000000006</v>
      </c>
      <c r="I177" s="17" t="s">
        <v>13</v>
      </c>
      <c r="J177" s="3">
        <v>0</v>
      </c>
      <c r="K177" s="3">
        <f t="shared" si="13"/>
        <v>292.49999999999994</v>
      </c>
      <c r="L177" s="3">
        <v>0.9</v>
      </c>
      <c r="M177" s="3">
        <f t="shared" si="14"/>
        <v>131.90000000000003</v>
      </c>
      <c r="N177" s="3">
        <v>-0.9</v>
      </c>
      <c r="O177" s="3">
        <f t="shared" si="19"/>
        <v>187.20000000000002</v>
      </c>
      <c r="P177" s="3">
        <v>128</v>
      </c>
      <c r="Q177" s="18">
        <f t="shared" si="20"/>
        <v>1.0182432432432433</v>
      </c>
      <c r="R177" s="10">
        <f t="shared" si="10"/>
        <v>0.91641891891891902</v>
      </c>
      <c r="S177" s="10">
        <f t="shared" si="11"/>
        <v>-0.91641891891891902</v>
      </c>
      <c r="T177" s="10">
        <f t="shared" si="15"/>
        <v>196.05074324324326</v>
      </c>
      <c r="U177" s="17" t="s">
        <v>14</v>
      </c>
      <c r="V177" s="3">
        <v>684.8</v>
      </c>
      <c r="X177" s="3">
        <f t="shared" si="16"/>
        <v>70255.899999999994</v>
      </c>
      <c r="Y177" s="3">
        <f t="shared" si="18"/>
        <v>2138.5</v>
      </c>
      <c r="AA177" s="15">
        <v>8.9053997843622401</v>
      </c>
    </row>
    <row r="178" spans="1:28" s="3" customFormat="1" x14ac:dyDescent="0.25">
      <c r="A178" s="63"/>
      <c r="B178" s="12"/>
      <c r="C178" s="16">
        <v>40563</v>
      </c>
      <c r="D178" s="3">
        <v>2.2999999999999998</v>
      </c>
      <c r="E178" s="3">
        <v>-1.8</v>
      </c>
      <c r="F178" s="3">
        <v>8.4</v>
      </c>
      <c r="G178" s="3">
        <f t="shared" si="12"/>
        <v>1048.0999999999999</v>
      </c>
      <c r="H178" s="3">
        <f t="shared" si="17"/>
        <v>83.7</v>
      </c>
      <c r="I178" s="3">
        <v>0</v>
      </c>
      <c r="J178" s="3">
        <v>0.1</v>
      </c>
      <c r="K178" s="3">
        <f t="shared" si="13"/>
        <v>292.59999999999997</v>
      </c>
      <c r="L178" s="3">
        <v>0.7</v>
      </c>
      <c r="M178" s="3">
        <f t="shared" si="14"/>
        <v>132.60000000000002</v>
      </c>
      <c r="N178" s="3">
        <v>-0.6</v>
      </c>
      <c r="O178" s="3">
        <f t="shared" si="19"/>
        <v>186.60000000000002</v>
      </c>
      <c r="P178" s="3">
        <v>129</v>
      </c>
      <c r="Q178" s="18">
        <f t="shared" si="20"/>
        <v>1.0202702702702702</v>
      </c>
      <c r="R178" s="10">
        <f t="shared" ref="R178:R241" si="21">Q178*L178</f>
        <v>0.71418918918918906</v>
      </c>
      <c r="S178" s="10">
        <f t="shared" ref="S178:S241" si="22">J178-R178</f>
        <v>-0.61418918918918908</v>
      </c>
      <c r="T178" s="10">
        <f t="shared" si="15"/>
        <v>195.43655405405408</v>
      </c>
      <c r="U178" s="10">
        <f>MAX(T169:T242)</f>
        <v>197.4</v>
      </c>
      <c r="V178" s="3">
        <v>391.2</v>
      </c>
      <c r="X178" s="3">
        <f t="shared" si="16"/>
        <v>70647.099999999991</v>
      </c>
      <c r="Y178" s="3">
        <f t="shared" si="18"/>
        <v>2529.6999999999998</v>
      </c>
      <c r="AA178" s="15">
        <v>8.9435123162883503</v>
      </c>
    </row>
    <row r="179" spans="1:28" s="3" customFormat="1" x14ac:dyDescent="0.25">
      <c r="A179" s="63"/>
      <c r="B179" s="12"/>
      <c r="C179" s="16">
        <v>40564</v>
      </c>
      <c r="D179" s="3">
        <v>2.5</v>
      </c>
      <c r="E179" s="3">
        <v>0.8</v>
      </c>
      <c r="F179" s="3">
        <v>5.5</v>
      </c>
      <c r="G179" s="3">
        <f t="shared" si="12"/>
        <v>1050.5999999999999</v>
      </c>
      <c r="H179" s="3">
        <f t="shared" si="17"/>
        <v>86.2</v>
      </c>
      <c r="I179" s="17" t="s">
        <v>15</v>
      </c>
      <c r="J179" s="3">
        <v>0</v>
      </c>
      <c r="K179" s="3">
        <f t="shared" si="13"/>
        <v>292.59999999999997</v>
      </c>
      <c r="L179" s="3">
        <v>0.6</v>
      </c>
      <c r="M179" s="3">
        <f t="shared" si="14"/>
        <v>133.20000000000002</v>
      </c>
      <c r="N179" s="3">
        <v>-0.6</v>
      </c>
      <c r="O179" s="3">
        <f t="shared" si="19"/>
        <v>186.00000000000003</v>
      </c>
      <c r="P179" s="3">
        <v>130</v>
      </c>
      <c r="Q179" s="18">
        <f t="shared" si="20"/>
        <v>1.0222972972972972</v>
      </c>
      <c r="R179" s="10">
        <f t="shared" si="21"/>
        <v>0.61337837837837828</v>
      </c>
      <c r="S179" s="10">
        <f t="shared" si="22"/>
        <v>-0.61337837837837828</v>
      </c>
      <c r="T179" s="10">
        <f t="shared" si="15"/>
        <v>194.82317567567571</v>
      </c>
      <c r="U179" s="17" t="s">
        <v>16</v>
      </c>
      <c r="V179" s="3">
        <v>602.1</v>
      </c>
      <c r="X179" s="3">
        <f t="shared" si="16"/>
        <v>71249.2</v>
      </c>
      <c r="Y179" s="3">
        <f t="shared" si="18"/>
        <v>3131.7999999999997</v>
      </c>
      <c r="AA179" s="15">
        <v>8.9825994217501801</v>
      </c>
    </row>
    <row r="180" spans="1:28" s="3" customFormat="1" x14ac:dyDescent="0.25">
      <c r="A180" s="63"/>
      <c r="B180" s="7"/>
      <c r="C180" s="16">
        <v>40565</v>
      </c>
      <c r="D180" s="3">
        <v>3</v>
      </c>
      <c r="E180" s="3">
        <v>-0.3</v>
      </c>
      <c r="F180" s="3">
        <v>5.2</v>
      </c>
      <c r="G180" s="3">
        <f t="shared" ref="G180:G243" si="23">G179+D180</f>
        <v>1053.5999999999999</v>
      </c>
      <c r="H180" s="3">
        <f t="shared" si="17"/>
        <v>89.2</v>
      </c>
      <c r="I180" s="3">
        <v>23</v>
      </c>
      <c r="J180" s="3">
        <v>0.4</v>
      </c>
      <c r="K180" s="3">
        <f t="shared" ref="K180:K243" si="24">K179+J180</f>
        <v>292.99999999999994</v>
      </c>
      <c r="L180" s="3">
        <v>0.4</v>
      </c>
      <c r="M180" s="3">
        <f t="shared" ref="M180:M243" si="25">M179+L180</f>
        <v>133.60000000000002</v>
      </c>
      <c r="N180" s="3">
        <v>0</v>
      </c>
      <c r="O180" s="3">
        <f t="shared" si="19"/>
        <v>186.00000000000003</v>
      </c>
      <c r="P180" s="3">
        <v>131</v>
      </c>
      <c r="Q180" s="18">
        <f t="shared" si="20"/>
        <v>1.0243243243243243</v>
      </c>
      <c r="R180" s="10">
        <f t="shared" si="21"/>
        <v>0.40972972972972976</v>
      </c>
      <c r="S180" s="10">
        <f t="shared" si="22"/>
        <v>-9.7297297297297414E-3</v>
      </c>
      <c r="T180" s="10">
        <f t="shared" ref="T180:T243" si="26">MIN(197.4,(T179+S180))</f>
        <v>194.81344594594597</v>
      </c>
      <c r="U180" s="18">
        <f>AVERAGE(T169:T242)</f>
        <v>188.63694119795468</v>
      </c>
      <c r="V180" s="3">
        <v>611.5</v>
      </c>
      <c r="X180" s="3">
        <f t="shared" ref="X180:X243" si="27">X179+V180</f>
        <v>71860.7</v>
      </c>
      <c r="Y180" s="3">
        <f t="shared" si="18"/>
        <v>3743.2999999999997</v>
      </c>
      <c r="AA180" s="3">
        <v>9.02263069059555</v>
      </c>
    </row>
    <row r="181" spans="1:28" s="3" customFormat="1" x14ac:dyDescent="0.25">
      <c r="A181" s="63"/>
      <c r="B181" s="7"/>
      <c r="C181" s="16">
        <v>40566</v>
      </c>
      <c r="D181" s="3">
        <v>5.6</v>
      </c>
      <c r="E181" s="3">
        <v>3.4</v>
      </c>
      <c r="F181" s="3">
        <v>6.5</v>
      </c>
      <c r="G181" s="3">
        <f t="shared" si="23"/>
        <v>1059.1999999999998</v>
      </c>
      <c r="H181" s="3">
        <f t="shared" si="17"/>
        <v>94.8</v>
      </c>
      <c r="I181" s="17" t="s">
        <v>17</v>
      </c>
      <c r="J181" s="3">
        <v>0.6</v>
      </c>
      <c r="K181" s="3">
        <f t="shared" si="24"/>
        <v>293.59999999999997</v>
      </c>
      <c r="L181" s="3">
        <v>0.5</v>
      </c>
      <c r="M181" s="3">
        <f t="shared" si="25"/>
        <v>134.10000000000002</v>
      </c>
      <c r="N181" s="3">
        <v>9.9999999999999978E-2</v>
      </c>
      <c r="O181" s="3">
        <f t="shared" si="19"/>
        <v>186.10000000000002</v>
      </c>
      <c r="P181" s="3">
        <v>132</v>
      </c>
      <c r="Q181" s="18">
        <f t="shared" si="20"/>
        <v>1.0263513513513514</v>
      </c>
      <c r="R181" s="10">
        <f t="shared" si="21"/>
        <v>0.51317567567567568</v>
      </c>
      <c r="S181" s="10">
        <f t="shared" si="22"/>
        <v>8.6824324324324298E-2</v>
      </c>
      <c r="T181" s="10">
        <f t="shared" si="26"/>
        <v>194.90027027027028</v>
      </c>
      <c r="V181" s="3">
        <v>252.1</v>
      </c>
      <c r="X181" s="3">
        <f t="shared" si="27"/>
        <v>72112.800000000003</v>
      </c>
      <c r="Y181" s="3">
        <f t="shared" si="18"/>
        <v>3995.3999999999996</v>
      </c>
      <c r="AA181" s="3">
        <v>9.0635758209727104</v>
      </c>
    </row>
    <row r="182" spans="1:28" s="3" customFormat="1" x14ac:dyDescent="0.25">
      <c r="A182" s="63"/>
      <c r="B182" s="7"/>
      <c r="C182" s="16">
        <v>40567</v>
      </c>
      <c r="D182" s="3">
        <v>5.8</v>
      </c>
      <c r="E182" s="3">
        <v>5.9</v>
      </c>
      <c r="F182" s="3">
        <v>6.9</v>
      </c>
      <c r="G182" s="3">
        <f t="shared" si="23"/>
        <v>1064.9999999999998</v>
      </c>
      <c r="H182" s="3">
        <f t="shared" si="17"/>
        <v>100.6</v>
      </c>
      <c r="I182" s="3">
        <v>545.9</v>
      </c>
      <c r="J182" s="3">
        <v>0.2</v>
      </c>
      <c r="K182" s="3">
        <f t="shared" si="24"/>
        <v>293.79999999999995</v>
      </c>
      <c r="L182" s="3">
        <v>0.6</v>
      </c>
      <c r="M182" s="3">
        <f t="shared" si="25"/>
        <v>134.70000000000002</v>
      </c>
      <c r="N182" s="3">
        <v>-0.39999999999999997</v>
      </c>
      <c r="O182" s="3">
        <f t="shared" si="19"/>
        <v>185.70000000000002</v>
      </c>
      <c r="P182" s="3">
        <v>133</v>
      </c>
      <c r="Q182" s="18">
        <f t="shared" si="20"/>
        <v>1.0283783783783784</v>
      </c>
      <c r="R182" s="10">
        <f t="shared" si="21"/>
        <v>0.61702702702702705</v>
      </c>
      <c r="S182" s="10">
        <f t="shared" si="22"/>
        <v>-0.41702702702702704</v>
      </c>
      <c r="T182" s="10">
        <f t="shared" si="26"/>
        <v>194.48324324324327</v>
      </c>
      <c r="U182" s="10">
        <f>(U180*100)/197.4</f>
        <v>95.560760485286067</v>
      </c>
      <c r="V182" s="3">
        <v>349.4</v>
      </c>
      <c r="X182" s="3">
        <f t="shared" si="27"/>
        <v>72462.2</v>
      </c>
      <c r="Y182" s="3">
        <f t="shared" si="18"/>
        <v>4344.7999999999993</v>
      </c>
      <c r="AA182" s="3">
        <v>9.1054046809047993</v>
      </c>
    </row>
    <row r="183" spans="1:28" s="3" customFormat="1" x14ac:dyDescent="0.25">
      <c r="A183" s="63"/>
      <c r="B183" s="7"/>
      <c r="C183" s="16">
        <v>40568</v>
      </c>
      <c r="D183" s="3">
        <v>5.7</v>
      </c>
      <c r="E183" s="3">
        <v>2.6</v>
      </c>
      <c r="F183" s="3">
        <v>8.1999999999999993</v>
      </c>
      <c r="G183" s="3">
        <f t="shared" si="23"/>
        <v>1070.6999999999998</v>
      </c>
      <c r="H183" s="3">
        <f t="shared" si="17"/>
        <v>106.3</v>
      </c>
      <c r="J183" s="3">
        <v>3.6</v>
      </c>
      <c r="K183" s="3">
        <f t="shared" si="24"/>
        <v>297.39999999999998</v>
      </c>
      <c r="L183" s="3">
        <v>0.4</v>
      </c>
      <c r="M183" s="3">
        <f t="shared" si="25"/>
        <v>135.10000000000002</v>
      </c>
      <c r="N183" s="3">
        <v>3.2</v>
      </c>
      <c r="O183" s="3">
        <f t="shared" si="19"/>
        <v>188.9</v>
      </c>
      <c r="P183" s="3">
        <v>134</v>
      </c>
      <c r="Q183" s="18">
        <f t="shared" si="20"/>
        <v>1.0304054054054055</v>
      </c>
      <c r="R183" s="10">
        <f t="shared" si="21"/>
        <v>0.41216216216216223</v>
      </c>
      <c r="S183" s="10">
        <f t="shared" si="22"/>
        <v>3.1878378378378378</v>
      </c>
      <c r="T183" s="10">
        <f t="shared" si="26"/>
        <v>197.4</v>
      </c>
      <c r="V183" s="3">
        <v>251.7</v>
      </c>
      <c r="X183" s="3">
        <f t="shared" si="27"/>
        <v>72713.899999999994</v>
      </c>
      <c r="Y183" s="3">
        <f t="shared" si="18"/>
        <v>4596.4999999999991</v>
      </c>
      <c r="AA183" s="3">
        <v>9.1480873659837592</v>
      </c>
    </row>
    <row r="184" spans="1:28" s="3" customFormat="1" x14ac:dyDescent="0.25">
      <c r="A184" s="63"/>
      <c r="B184" s="7"/>
      <c r="C184" s="16">
        <v>40569</v>
      </c>
      <c r="D184" s="3">
        <v>6.7</v>
      </c>
      <c r="E184" s="3">
        <v>5.3</v>
      </c>
      <c r="F184" s="3">
        <v>8.8000000000000007</v>
      </c>
      <c r="G184" s="3">
        <f t="shared" si="23"/>
        <v>1077.3999999999999</v>
      </c>
      <c r="H184" s="3">
        <f t="shared" si="17"/>
        <v>113</v>
      </c>
      <c r="J184" s="3">
        <v>2.8</v>
      </c>
      <c r="K184" s="3">
        <f t="shared" si="24"/>
        <v>300.2</v>
      </c>
      <c r="L184" s="3">
        <v>0.5</v>
      </c>
      <c r="M184" s="3">
        <f t="shared" si="25"/>
        <v>135.60000000000002</v>
      </c>
      <c r="N184" s="3">
        <v>2.2999999999999998</v>
      </c>
      <c r="O184" s="3">
        <f t="shared" si="19"/>
        <v>191.20000000000002</v>
      </c>
      <c r="P184" s="3">
        <v>135</v>
      </c>
      <c r="Q184" s="18">
        <f t="shared" si="20"/>
        <v>1.0324324324324323</v>
      </c>
      <c r="R184" s="10">
        <f t="shared" si="21"/>
        <v>0.51621621621621616</v>
      </c>
      <c r="S184" s="10">
        <f t="shared" si="22"/>
        <v>2.2837837837837838</v>
      </c>
      <c r="T184" s="10">
        <f t="shared" si="26"/>
        <v>197.4</v>
      </c>
      <c r="V184" s="3">
        <v>209.5</v>
      </c>
      <c r="X184" s="3">
        <f t="shared" si="27"/>
        <v>72923.399999999994</v>
      </c>
      <c r="Y184" s="3">
        <f t="shared" si="18"/>
        <v>4805.9999999999991</v>
      </c>
      <c r="AA184" s="3">
        <v>9.1915942531253005</v>
      </c>
    </row>
    <row r="185" spans="1:28" s="3" customFormat="1" x14ac:dyDescent="0.25">
      <c r="A185" s="63"/>
      <c r="B185" s="7"/>
      <c r="C185" s="16">
        <v>40570</v>
      </c>
      <c r="D185" s="3">
        <v>4.2</v>
      </c>
      <c r="E185" s="3">
        <v>3.6</v>
      </c>
      <c r="F185" s="3">
        <v>5</v>
      </c>
      <c r="G185" s="3">
        <f t="shared" si="23"/>
        <v>1081.5999999999999</v>
      </c>
      <c r="H185" s="3">
        <f t="shared" si="17"/>
        <v>117.2</v>
      </c>
      <c r="J185" s="3">
        <v>0</v>
      </c>
      <c r="K185" s="3">
        <f t="shared" si="24"/>
        <v>300.2</v>
      </c>
      <c r="L185" s="3">
        <v>0.9</v>
      </c>
      <c r="M185" s="3">
        <f t="shared" si="25"/>
        <v>136.50000000000003</v>
      </c>
      <c r="N185" s="3">
        <v>-0.9</v>
      </c>
      <c r="O185" s="3">
        <f t="shared" si="19"/>
        <v>190.3</v>
      </c>
      <c r="P185" s="3">
        <v>136</v>
      </c>
      <c r="Q185" s="18">
        <f t="shared" si="20"/>
        <v>1.0344594594594594</v>
      </c>
      <c r="R185" s="10">
        <f t="shared" si="21"/>
        <v>0.93101351351351347</v>
      </c>
      <c r="S185" s="10">
        <f t="shared" si="22"/>
        <v>-0.93101351351351347</v>
      </c>
      <c r="T185" s="10">
        <f t="shared" si="26"/>
        <v>196.4689864864865</v>
      </c>
      <c r="V185" s="3">
        <v>222.3</v>
      </c>
      <c r="X185" s="3">
        <f t="shared" si="27"/>
        <v>73145.7</v>
      </c>
      <c r="Y185" s="3">
        <f t="shared" si="18"/>
        <v>5028.2999999999993</v>
      </c>
      <c r="AA185" s="3">
        <v>9.2358960503577805</v>
      </c>
    </row>
    <row r="186" spans="1:28" s="3" customFormat="1" x14ac:dyDescent="0.25">
      <c r="A186" s="63"/>
      <c r="B186" s="7"/>
      <c r="C186" s="16">
        <v>40571</v>
      </c>
      <c r="D186" s="3">
        <v>0.6</v>
      </c>
      <c r="E186" s="3">
        <v>-0.8</v>
      </c>
      <c r="F186" s="3">
        <v>1.2</v>
      </c>
      <c r="G186" s="3">
        <f t="shared" si="23"/>
        <v>1082.1999999999998</v>
      </c>
      <c r="H186" s="3">
        <f t="shared" ref="H186:H242" si="28">H185+D186</f>
        <v>117.8</v>
      </c>
      <c r="J186" s="71">
        <v>0</v>
      </c>
      <c r="K186" s="3">
        <f t="shared" si="24"/>
        <v>300.2</v>
      </c>
      <c r="L186" s="3">
        <v>0.7</v>
      </c>
      <c r="M186" s="3">
        <f t="shared" si="25"/>
        <v>137.20000000000002</v>
      </c>
      <c r="N186" s="3">
        <v>-0.7</v>
      </c>
      <c r="O186" s="3">
        <f t="shared" si="19"/>
        <v>189.60000000000002</v>
      </c>
      <c r="P186" s="3">
        <v>137</v>
      </c>
      <c r="Q186" s="18">
        <f t="shared" si="20"/>
        <v>1.0364864864864864</v>
      </c>
      <c r="R186" s="10">
        <f t="shared" si="21"/>
        <v>0.72554054054054051</v>
      </c>
      <c r="S186" s="10">
        <f t="shared" si="22"/>
        <v>-0.72554054054054051</v>
      </c>
      <c r="T186" s="10">
        <f t="shared" si="26"/>
        <v>195.74344594594595</v>
      </c>
      <c r="V186" s="3">
        <v>225.9</v>
      </c>
      <c r="X186" s="3">
        <f t="shared" si="27"/>
        <v>73371.599999999991</v>
      </c>
      <c r="Y186" s="3">
        <f t="shared" ref="Y186:Y249" si="29">Y185+V186</f>
        <v>5254.1999999999989</v>
      </c>
      <c r="AA186" s="3">
        <v>9.2809638426474006</v>
      </c>
      <c r="AB186" s="73" t="s">
        <v>70</v>
      </c>
    </row>
    <row r="187" spans="1:28" s="3" customFormat="1" x14ac:dyDescent="0.25">
      <c r="A187" s="63"/>
      <c r="B187" s="7"/>
      <c r="C187" s="16">
        <v>40572</v>
      </c>
      <c r="D187" s="3">
        <v>0.9</v>
      </c>
      <c r="E187" s="3">
        <v>-0.5</v>
      </c>
      <c r="F187" s="3">
        <v>4.2</v>
      </c>
      <c r="G187" s="3">
        <f t="shared" si="23"/>
        <v>1083.0999999999999</v>
      </c>
      <c r="H187" s="3">
        <f t="shared" si="28"/>
        <v>118.7</v>
      </c>
      <c r="J187" s="71">
        <v>0</v>
      </c>
      <c r="K187" s="3">
        <f t="shared" si="24"/>
        <v>300.2</v>
      </c>
      <c r="L187" s="3">
        <v>1</v>
      </c>
      <c r="M187" s="3">
        <f t="shared" si="25"/>
        <v>138.20000000000002</v>
      </c>
      <c r="N187" s="3">
        <v>-1</v>
      </c>
      <c r="O187" s="3">
        <f t="shared" si="19"/>
        <v>188.60000000000002</v>
      </c>
      <c r="P187" s="3">
        <v>138</v>
      </c>
      <c r="Q187" s="18">
        <f t="shared" si="20"/>
        <v>1.0385135135135135</v>
      </c>
      <c r="R187" s="10">
        <f t="shared" si="21"/>
        <v>1.0385135135135135</v>
      </c>
      <c r="S187" s="10">
        <f t="shared" si="22"/>
        <v>-1.0385135135135135</v>
      </c>
      <c r="T187" s="10">
        <f t="shared" si="26"/>
        <v>194.70493243243243</v>
      </c>
      <c r="V187" s="3">
        <v>849.1</v>
      </c>
      <c r="X187" s="3">
        <f t="shared" si="27"/>
        <v>74220.7</v>
      </c>
      <c r="Y187" s="3">
        <f t="shared" si="29"/>
        <v>6103.2999999999993</v>
      </c>
      <c r="AA187" s="3">
        <v>9.3267691337885896</v>
      </c>
      <c r="AB187" s="18">
        <f>AVERAGE(T193:T206)</f>
        <v>190.94484555984553</v>
      </c>
    </row>
    <row r="188" spans="1:28" s="3" customFormat="1" x14ac:dyDescent="0.25">
      <c r="A188" s="63"/>
      <c r="B188" s="7"/>
      <c r="C188" s="16">
        <v>40573</v>
      </c>
      <c r="D188" s="3">
        <v>-0.8</v>
      </c>
      <c r="E188" s="3">
        <v>-1.7</v>
      </c>
      <c r="F188" s="3">
        <v>2.1</v>
      </c>
      <c r="G188" s="3">
        <v>1083.0999999999999</v>
      </c>
      <c r="H188" s="3">
        <f t="shared" si="28"/>
        <v>117.9</v>
      </c>
      <c r="J188" s="71">
        <v>0</v>
      </c>
      <c r="K188" s="3">
        <f t="shared" si="24"/>
        <v>300.2</v>
      </c>
      <c r="L188" s="3">
        <v>0.7</v>
      </c>
      <c r="M188" s="3">
        <f t="shared" si="25"/>
        <v>138.9</v>
      </c>
      <c r="N188" s="3">
        <v>-0.7</v>
      </c>
      <c r="O188" s="3">
        <f t="shared" si="19"/>
        <v>187.90000000000003</v>
      </c>
      <c r="P188" s="3">
        <v>139</v>
      </c>
      <c r="Q188" s="18">
        <f t="shared" si="20"/>
        <v>1.0405405405405406</v>
      </c>
      <c r="R188" s="10">
        <f t="shared" si="21"/>
        <v>0.72837837837837838</v>
      </c>
      <c r="S188" s="10">
        <f t="shared" si="22"/>
        <v>-0.72837837837837838</v>
      </c>
      <c r="T188" s="10">
        <f t="shared" si="26"/>
        <v>193.97655405405405</v>
      </c>
      <c r="V188" s="3">
        <v>554.29999999999995</v>
      </c>
      <c r="X188" s="3">
        <f t="shared" si="27"/>
        <v>74775</v>
      </c>
      <c r="Y188" s="3">
        <f t="shared" si="29"/>
        <v>6657.5999999999995</v>
      </c>
      <c r="AA188" s="3">
        <v>9.37328388441213</v>
      </c>
      <c r="AB188" s="73" t="s">
        <v>69</v>
      </c>
    </row>
    <row r="189" spans="1:28" s="3" customFormat="1" x14ac:dyDescent="0.25">
      <c r="A189" s="63"/>
      <c r="B189" s="7"/>
      <c r="C189" s="16">
        <v>40574</v>
      </c>
      <c r="D189" s="3">
        <v>-1.2</v>
      </c>
      <c r="E189" s="3">
        <v>-4</v>
      </c>
      <c r="F189" s="3">
        <v>0.7</v>
      </c>
      <c r="G189" s="3">
        <v>1083.0999999999999</v>
      </c>
      <c r="H189" s="3">
        <f t="shared" si="28"/>
        <v>116.7</v>
      </c>
      <c r="J189" s="71">
        <v>0</v>
      </c>
      <c r="K189" s="3">
        <f t="shared" si="24"/>
        <v>300.2</v>
      </c>
      <c r="L189" s="3">
        <v>0.7</v>
      </c>
      <c r="M189" s="3">
        <f t="shared" si="25"/>
        <v>139.6</v>
      </c>
      <c r="N189" s="3">
        <v>-0.7</v>
      </c>
      <c r="O189" s="3">
        <f t="shared" si="19"/>
        <v>187.20000000000005</v>
      </c>
      <c r="P189" s="3">
        <v>140</v>
      </c>
      <c r="Q189" s="18">
        <f t="shared" si="20"/>
        <v>1.0425675675675676</v>
      </c>
      <c r="R189" s="10">
        <f t="shared" si="21"/>
        <v>0.72979729729729725</v>
      </c>
      <c r="S189" s="10">
        <f t="shared" si="22"/>
        <v>-0.72979729729729725</v>
      </c>
      <c r="T189" s="10">
        <f t="shared" si="26"/>
        <v>193.24675675675675</v>
      </c>
      <c r="V189" s="3">
        <v>684.6</v>
      </c>
      <c r="X189" s="3">
        <f t="shared" si="27"/>
        <v>75459.600000000006</v>
      </c>
      <c r="Y189" s="3">
        <f t="shared" si="29"/>
        <v>7342.2</v>
      </c>
      <c r="AA189" s="3">
        <v>9.4204805461851908</v>
      </c>
      <c r="AB189" s="3">
        <v>4</v>
      </c>
    </row>
    <row r="190" spans="1:28" s="3" customFormat="1" x14ac:dyDescent="0.25">
      <c r="A190" s="63"/>
      <c r="B190" s="7"/>
      <c r="C190" s="16">
        <v>40575</v>
      </c>
      <c r="D190" s="3">
        <v>2.2000000000000002</v>
      </c>
      <c r="E190" s="3">
        <v>-0.9</v>
      </c>
      <c r="F190" s="3">
        <v>4.4000000000000004</v>
      </c>
      <c r="G190" s="3">
        <f t="shared" si="23"/>
        <v>1085.3</v>
      </c>
      <c r="H190" s="3">
        <f t="shared" si="28"/>
        <v>118.9</v>
      </c>
      <c r="J190" s="71">
        <v>0.2</v>
      </c>
      <c r="K190" s="3">
        <f t="shared" si="24"/>
        <v>300.39999999999998</v>
      </c>
      <c r="L190" s="3">
        <v>0.5</v>
      </c>
      <c r="M190" s="3">
        <f t="shared" si="25"/>
        <v>140.1</v>
      </c>
      <c r="N190" s="3">
        <v>-0.3</v>
      </c>
      <c r="O190" s="3">
        <f t="shared" si="19"/>
        <v>186.90000000000003</v>
      </c>
      <c r="P190" s="3">
        <v>141</v>
      </c>
      <c r="Q190" s="18">
        <f t="shared" si="20"/>
        <v>1.0445945945945945</v>
      </c>
      <c r="R190" s="10">
        <f t="shared" si="21"/>
        <v>0.52229729729729724</v>
      </c>
      <c r="S190" s="10">
        <f t="shared" si="22"/>
        <v>-0.32229729729729722</v>
      </c>
      <c r="T190" s="10">
        <f t="shared" si="26"/>
        <v>192.92445945945946</v>
      </c>
      <c r="V190" s="3">
        <v>322.3</v>
      </c>
      <c r="X190" s="3">
        <f t="shared" si="27"/>
        <v>75781.900000000009</v>
      </c>
      <c r="Y190" s="3">
        <f t="shared" si="29"/>
        <v>7664.5</v>
      </c>
      <c r="AA190" s="3">
        <v>9.4683320922958405</v>
      </c>
      <c r="AB190" s="73" t="s">
        <v>68</v>
      </c>
    </row>
    <row r="191" spans="1:28" s="3" customFormat="1" x14ac:dyDescent="0.25">
      <c r="A191" s="63"/>
      <c r="B191" s="7"/>
      <c r="C191" s="16">
        <v>40576</v>
      </c>
      <c r="D191" s="3">
        <v>5.9</v>
      </c>
      <c r="E191" s="3">
        <v>3.3</v>
      </c>
      <c r="F191" s="3">
        <v>9.1999999999999993</v>
      </c>
      <c r="G191" s="3">
        <f t="shared" si="23"/>
        <v>1091.2</v>
      </c>
      <c r="H191" s="3">
        <f t="shared" si="28"/>
        <v>124.80000000000001</v>
      </c>
      <c r="J191" s="71">
        <v>1.4</v>
      </c>
      <c r="K191" s="3">
        <f t="shared" si="24"/>
        <v>301.79999999999995</v>
      </c>
      <c r="L191" s="3">
        <v>0.5</v>
      </c>
      <c r="M191" s="3">
        <f t="shared" si="25"/>
        <v>140.6</v>
      </c>
      <c r="N191" s="3">
        <v>0.89999999999999991</v>
      </c>
      <c r="O191" s="3">
        <f t="shared" si="19"/>
        <v>187.80000000000004</v>
      </c>
      <c r="P191" s="3">
        <v>142</v>
      </c>
      <c r="Q191" s="18">
        <f t="shared" si="20"/>
        <v>1.0466216216216215</v>
      </c>
      <c r="R191" s="10">
        <f t="shared" si="21"/>
        <v>0.52331081081081077</v>
      </c>
      <c r="S191" s="10">
        <f t="shared" si="22"/>
        <v>0.87668918918918914</v>
      </c>
      <c r="T191" s="10">
        <f t="shared" si="26"/>
        <v>193.80114864864865</v>
      </c>
      <c r="V191" s="3">
        <v>266.5</v>
      </c>
      <c r="X191" s="3">
        <f t="shared" si="27"/>
        <v>76048.400000000009</v>
      </c>
      <c r="Y191" s="3">
        <f t="shared" si="29"/>
        <v>7931</v>
      </c>
      <c r="AA191" s="3">
        <v>9.5168120443305408</v>
      </c>
      <c r="AB191" s="3">
        <v>0</v>
      </c>
    </row>
    <row r="192" spans="1:28" s="3" customFormat="1" x14ac:dyDescent="0.25">
      <c r="A192" s="63"/>
      <c r="B192" s="7"/>
      <c r="C192" s="16">
        <v>40577</v>
      </c>
      <c r="D192" s="3">
        <v>9.1</v>
      </c>
      <c r="E192" s="3">
        <v>8</v>
      </c>
      <c r="F192" s="3">
        <v>11.5</v>
      </c>
      <c r="G192" s="3">
        <f t="shared" si="23"/>
        <v>1100.3</v>
      </c>
      <c r="H192" s="3">
        <f t="shared" si="28"/>
        <v>133.9</v>
      </c>
      <c r="J192" s="71">
        <v>0.1</v>
      </c>
      <c r="K192" s="3">
        <f t="shared" si="24"/>
        <v>301.89999999999998</v>
      </c>
      <c r="L192" s="3">
        <v>1.2</v>
      </c>
      <c r="M192" s="3">
        <f t="shared" si="25"/>
        <v>141.79999999999998</v>
      </c>
      <c r="N192" s="3">
        <v>-1.0999999999999999</v>
      </c>
      <c r="O192" s="3">
        <f t="shared" si="19"/>
        <v>186.70000000000005</v>
      </c>
      <c r="P192" s="3">
        <v>143</v>
      </c>
      <c r="Q192" s="18">
        <f t="shared" si="20"/>
        <v>1.0486486486486486</v>
      </c>
      <c r="R192" s="10">
        <f t="shared" si="21"/>
        <v>1.2583783783783782</v>
      </c>
      <c r="S192" s="10">
        <f t="shared" si="22"/>
        <v>-1.1583783783783781</v>
      </c>
      <c r="T192" s="10">
        <f t="shared" si="26"/>
        <v>192.64277027027026</v>
      </c>
      <c r="V192" s="3">
        <v>747.2</v>
      </c>
      <c r="X192" s="3">
        <f t="shared" si="27"/>
        <v>76795.600000000006</v>
      </c>
      <c r="Y192" s="3">
        <f t="shared" si="29"/>
        <v>8678.2000000000007</v>
      </c>
      <c r="AA192" s="3">
        <v>9.5658944956672105</v>
      </c>
      <c r="AB192" s="73" t="s">
        <v>67</v>
      </c>
    </row>
    <row r="193" spans="1:29" s="3" customFormat="1" x14ac:dyDescent="0.25">
      <c r="A193" s="63"/>
      <c r="B193" s="7"/>
      <c r="C193" s="16">
        <v>40578</v>
      </c>
      <c r="D193" s="3">
        <v>10.1</v>
      </c>
      <c r="E193" s="3">
        <v>6.7</v>
      </c>
      <c r="F193" s="3">
        <v>12.2</v>
      </c>
      <c r="G193" s="3">
        <f t="shared" si="23"/>
        <v>1110.3999999999999</v>
      </c>
      <c r="H193" s="3">
        <f t="shared" si="28"/>
        <v>144</v>
      </c>
      <c r="J193" s="71">
        <v>0</v>
      </c>
      <c r="K193" s="3">
        <f t="shared" si="24"/>
        <v>301.89999999999998</v>
      </c>
      <c r="L193" s="3">
        <v>0.9</v>
      </c>
      <c r="M193" s="3">
        <f t="shared" si="25"/>
        <v>142.69999999999999</v>
      </c>
      <c r="N193" s="3">
        <v>-0.9</v>
      </c>
      <c r="O193" s="3">
        <f t="shared" ref="O193:O206" si="30">O192+N193</f>
        <v>185.80000000000004</v>
      </c>
      <c r="P193" s="3">
        <v>144</v>
      </c>
      <c r="Q193" s="18">
        <f t="shared" si="20"/>
        <v>1.0506756756756757</v>
      </c>
      <c r="R193" s="10">
        <f t="shared" si="21"/>
        <v>0.94560810810810814</v>
      </c>
      <c r="S193" s="10">
        <f t="shared" si="22"/>
        <v>-0.94560810810810814</v>
      </c>
      <c r="T193" s="72">
        <f t="shared" si="26"/>
        <v>191.69716216216216</v>
      </c>
      <c r="V193" s="3">
        <v>162.80000000000001</v>
      </c>
      <c r="X193" s="3">
        <f t="shared" si="27"/>
        <v>76958.400000000009</v>
      </c>
      <c r="Y193" s="3">
        <f t="shared" si="29"/>
        <v>8841</v>
      </c>
      <c r="AA193" s="3">
        <v>9.6155541315168893</v>
      </c>
      <c r="AB193" s="3">
        <v>0</v>
      </c>
    </row>
    <row r="194" spans="1:29" s="3" customFormat="1" x14ac:dyDescent="0.25">
      <c r="A194" s="63"/>
      <c r="B194" s="7"/>
      <c r="C194" s="16">
        <v>40579</v>
      </c>
      <c r="D194" s="3">
        <v>11</v>
      </c>
      <c r="E194" s="3">
        <v>10.5</v>
      </c>
      <c r="F194" s="3">
        <v>12.5</v>
      </c>
      <c r="G194" s="3">
        <f t="shared" si="23"/>
        <v>1121.3999999999999</v>
      </c>
      <c r="H194" s="3">
        <f t="shared" si="28"/>
        <v>155</v>
      </c>
      <c r="J194" s="71">
        <v>0</v>
      </c>
      <c r="K194" s="3">
        <f t="shared" si="24"/>
        <v>301.89999999999998</v>
      </c>
      <c r="L194" s="3">
        <v>1.7</v>
      </c>
      <c r="M194" s="3">
        <f t="shared" si="25"/>
        <v>144.39999999999998</v>
      </c>
      <c r="N194" s="3">
        <v>-1.7</v>
      </c>
      <c r="O194" s="3">
        <f t="shared" si="30"/>
        <v>184.10000000000005</v>
      </c>
      <c r="P194" s="3">
        <v>145</v>
      </c>
      <c r="Q194" s="18">
        <f t="shared" si="20"/>
        <v>1.0527027027027027</v>
      </c>
      <c r="R194" s="10">
        <f t="shared" si="21"/>
        <v>1.7895945945945946</v>
      </c>
      <c r="S194" s="10">
        <f t="shared" si="22"/>
        <v>-1.7895945945945946</v>
      </c>
      <c r="T194" s="72">
        <f t="shared" si="26"/>
        <v>189.90756756756755</v>
      </c>
      <c r="V194" s="3">
        <v>174.3</v>
      </c>
      <c r="X194" s="3">
        <f t="shared" si="27"/>
        <v>77132.700000000012</v>
      </c>
      <c r="Y194" s="3">
        <f t="shared" si="29"/>
        <v>9015.2999999999993</v>
      </c>
      <c r="AA194" s="3">
        <v>9.6657662457569504</v>
      </c>
      <c r="AB194" s="73" t="s">
        <v>66</v>
      </c>
    </row>
    <row r="195" spans="1:29" s="3" customFormat="1" x14ac:dyDescent="0.25">
      <c r="A195" s="63"/>
      <c r="B195" s="7"/>
      <c r="C195" s="16">
        <v>40580</v>
      </c>
      <c r="D195" s="3">
        <v>9.3000000000000007</v>
      </c>
      <c r="E195" s="3">
        <v>9.1</v>
      </c>
      <c r="F195" s="3">
        <v>10.3</v>
      </c>
      <c r="G195" s="3">
        <f t="shared" si="23"/>
        <v>1130.6999999999998</v>
      </c>
      <c r="H195" s="3">
        <f t="shared" si="28"/>
        <v>164.3</v>
      </c>
      <c r="J195" s="71">
        <v>0</v>
      </c>
      <c r="K195" s="3">
        <f t="shared" si="24"/>
        <v>301.89999999999998</v>
      </c>
      <c r="L195" s="3">
        <v>1.4</v>
      </c>
      <c r="M195" s="3">
        <f t="shared" si="25"/>
        <v>145.79999999999998</v>
      </c>
      <c r="N195" s="3">
        <v>-1.4</v>
      </c>
      <c r="O195" s="3">
        <f t="shared" si="30"/>
        <v>182.70000000000005</v>
      </c>
      <c r="P195" s="3">
        <v>146</v>
      </c>
      <c r="Q195" s="18">
        <f t="shared" si="20"/>
        <v>1.0547297297297298</v>
      </c>
      <c r="R195" s="10">
        <f t="shared" si="21"/>
        <v>1.4766216216216217</v>
      </c>
      <c r="S195" s="10">
        <f t="shared" si="22"/>
        <v>-1.4766216216216217</v>
      </c>
      <c r="T195" s="72">
        <f t="shared" si="26"/>
        <v>188.43094594594592</v>
      </c>
      <c r="V195" s="3">
        <v>183.1</v>
      </c>
      <c r="X195" s="3">
        <f t="shared" si="27"/>
        <v>77315.800000000017</v>
      </c>
      <c r="Y195" s="3">
        <f t="shared" si="29"/>
        <v>9198.4</v>
      </c>
      <c r="AA195" s="3">
        <v>9.7165067547050707</v>
      </c>
      <c r="AB195" s="3">
        <f>SUM(J197:J206)</f>
        <v>16.2</v>
      </c>
    </row>
    <row r="196" spans="1:29" s="68" customFormat="1" x14ac:dyDescent="0.25">
      <c r="A196" s="63"/>
      <c r="B196" s="66" t="s">
        <v>71</v>
      </c>
      <c r="C196" s="67">
        <v>40581</v>
      </c>
      <c r="D196" s="68">
        <v>10.1</v>
      </c>
      <c r="E196" s="68">
        <v>7.3</v>
      </c>
      <c r="F196" s="68">
        <v>13.5</v>
      </c>
      <c r="G196" s="68">
        <f t="shared" si="23"/>
        <v>1140.7999999999997</v>
      </c>
      <c r="H196" s="68">
        <f t="shared" si="28"/>
        <v>174.4</v>
      </c>
      <c r="J196" s="68">
        <v>1.8</v>
      </c>
      <c r="K196" s="68">
        <f t="shared" si="24"/>
        <v>303.7</v>
      </c>
      <c r="L196" s="68">
        <v>1.1000000000000001</v>
      </c>
      <c r="M196" s="68">
        <f t="shared" si="25"/>
        <v>146.89999999999998</v>
      </c>
      <c r="N196" s="68">
        <v>0.7</v>
      </c>
      <c r="O196" s="68">
        <f t="shared" si="30"/>
        <v>183.40000000000003</v>
      </c>
      <c r="P196" s="68">
        <v>147</v>
      </c>
      <c r="Q196" s="69">
        <f t="shared" si="20"/>
        <v>1.0567567567567566</v>
      </c>
      <c r="R196" s="70">
        <f t="shared" si="21"/>
        <v>1.1624324324324324</v>
      </c>
      <c r="S196" s="70">
        <f t="shared" si="22"/>
        <v>0.63756756756756761</v>
      </c>
      <c r="T196" s="70">
        <f t="shared" si="26"/>
        <v>189.06851351351349</v>
      </c>
      <c r="V196" s="68">
        <v>371.9</v>
      </c>
      <c r="X196" s="68">
        <f t="shared" si="27"/>
        <v>77687.700000000012</v>
      </c>
      <c r="Y196" s="68">
        <f t="shared" si="29"/>
        <v>9570.2999999999993</v>
      </c>
      <c r="AA196" s="68">
        <v>9.7677522079885293</v>
      </c>
    </row>
    <row r="197" spans="1:29" s="3" customFormat="1" x14ac:dyDescent="0.25">
      <c r="A197" s="63"/>
      <c r="B197" s="7"/>
      <c r="C197" s="16">
        <v>40582</v>
      </c>
      <c r="D197" s="3">
        <v>9.6</v>
      </c>
      <c r="E197" s="3">
        <v>8.8000000000000007</v>
      </c>
      <c r="F197" s="3">
        <v>11.7</v>
      </c>
      <c r="G197" s="3">
        <f t="shared" si="23"/>
        <v>1150.3999999999996</v>
      </c>
      <c r="H197" s="3">
        <f t="shared" si="28"/>
        <v>184</v>
      </c>
      <c r="J197" s="71">
        <v>0.5</v>
      </c>
      <c r="K197" s="3">
        <f t="shared" si="24"/>
        <v>304.2</v>
      </c>
      <c r="L197" s="3">
        <v>0.3</v>
      </c>
      <c r="M197" s="3">
        <f t="shared" si="25"/>
        <v>147.19999999999999</v>
      </c>
      <c r="N197" s="3">
        <v>0.2</v>
      </c>
      <c r="O197" s="3">
        <f t="shared" si="30"/>
        <v>183.60000000000002</v>
      </c>
      <c r="P197" s="3">
        <v>148</v>
      </c>
      <c r="Q197" s="18">
        <f t="shared" si="20"/>
        <v>1.0587837837837837</v>
      </c>
      <c r="R197" s="10">
        <f t="shared" si="21"/>
        <v>0.31763513513513508</v>
      </c>
      <c r="S197" s="10">
        <f t="shared" si="22"/>
        <v>0.18236486486486492</v>
      </c>
      <c r="T197" s="72">
        <f t="shared" si="26"/>
        <v>189.25087837837836</v>
      </c>
      <c r="V197" s="3">
        <v>240</v>
      </c>
      <c r="X197" s="3">
        <f t="shared" si="27"/>
        <v>77927.700000000012</v>
      </c>
      <c r="Y197" s="3">
        <f t="shared" si="29"/>
        <v>9810.2999999999993</v>
      </c>
      <c r="AA197" s="3">
        <v>9.8194797966666592</v>
      </c>
    </row>
    <row r="198" spans="1:29" s="3" customFormat="1" x14ac:dyDescent="0.25">
      <c r="A198" s="63"/>
      <c r="B198" s="7"/>
      <c r="C198" s="16">
        <v>40583</v>
      </c>
      <c r="D198" s="3">
        <v>8.1</v>
      </c>
      <c r="E198" s="3">
        <v>5.6</v>
      </c>
      <c r="F198" s="3">
        <v>9.6999999999999993</v>
      </c>
      <c r="G198" s="3">
        <f t="shared" si="23"/>
        <v>1158.4999999999995</v>
      </c>
      <c r="H198" s="3">
        <f t="shared" si="28"/>
        <v>192.1</v>
      </c>
      <c r="J198" s="71">
        <v>0.5</v>
      </c>
      <c r="K198" s="3">
        <f t="shared" si="24"/>
        <v>304.7</v>
      </c>
      <c r="L198" s="3">
        <v>0.8</v>
      </c>
      <c r="M198" s="3">
        <f t="shared" si="25"/>
        <v>148</v>
      </c>
      <c r="N198" s="3">
        <v>-0.30000000000000004</v>
      </c>
      <c r="O198" s="3">
        <f t="shared" si="30"/>
        <v>183.3</v>
      </c>
      <c r="P198" s="3">
        <v>149</v>
      </c>
      <c r="Q198" s="18">
        <f t="shared" si="20"/>
        <v>1.0608108108108107</v>
      </c>
      <c r="R198" s="10">
        <f t="shared" si="21"/>
        <v>0.84864864864864864</v>
      </c>
      <c r="S198" s="10">
        <f t="shared" si="22"/>
        <v>-0.34864864864864864</v>
      </c>
      <c r="T198" s="72">
        <f t="shared" si="26"/>
        <v>188.9022297297297</v>
      </c>
      <c r="V198" s="3">
        <v>767.3</v>
      </c>
      <c r="X198" s="3">
        <f t="shared" si="27"/>
        <v>78695.000000000015</v>
      </c>
      <c r="Y198" s="3">
        <f t="shared" si="29"/>
        <v>10577.599999999999</v>
      </c>
      <c r="AA198" s="3">
        <v>9.87166735876594</v>
      </c>
    </row>
    <row r="199" spans="1:29" s="3" customFormat="1" x14ac:dyDescent="0.25">
      <c r="A199" s="63"/>
      <c r="B199" s="7"/>
      <c r="C199" s="16">
        <v>40584</v>
      </c>
      <c r="D199" s="3">
        <v>11.4</v>
      </c>
      <c r="E199" s="3">
        <v>8.6</v>
      </c>
      <c r="F199" s="3">
        <v>15</v>
      </c>
      <c r="G199" s="3">
        <f t="shared" si="23"/>
        <v>1169.8999999999996</v>
      </c>
      <c r="H199" s="3">
        <f t="shared" si="28"/>
        <v>203.5</v>
      </c>
      <c r="J199" s="71">
        <v>0.2</v>
      </c>
      <c r="K199" s="3">
        <f t="shared" si="24"/>
        <v>304.89999999999998</v>
      </c>
      <c r="L199" s="3">
        <v>0.9</v>
      </c>
      <c r="M199" s="3">
        <f t="shared" si="25"/>
        <v>148.9</v>
      </c>
      <c r="N199" s="3">
        <v>-0.7</v>
      </c>
      <c r="O199" s="3">
        <f t="shared" si="30"/>
        <v>182.60000000000002</v>
      </c>
      <c r="P199" s="3">
        <v>150</v>
      </c>
      <c r="Q199" s="18">
        <f t="shared" si="20"/>
        <v>1.0628378378378378</v>
      </c>
      <c r="R199" s="10">
        <f t="shared" si="21"/>
        <v>0.95655405405405403</v>
      </c>
      <c r="S199" s="10">
        <f t="shared" si="22"/>
        <v>-0.75655405405405407</v>
      </c>
      <c r="T199" s="72">
        <f t="shared" si="26"/>
        <v>188.14567567567565</v>
      </c>
      <c r="V199" s="3">
        <v>362.6</v>
      </c>
      <c r="X199" s="3">
        <f t="shared" si="27"/>
        <v>79057.60000000002</v>
      </c>
      <c r="Y199" s="3">
        <f t="shared" si="29"/>
        <v>10940.199999999999</v>
      </c>
      <c r="AA199" s="3">
        <v>9.9242933823874697</v>
      </c>
    </row>
    <row r="200" spans="1:29" s="3" customFormat="1" x14ac:dyDescent="0.25">
      <c r="A200" s="63"/>
      <c r="B200" s="7"/>
      <c r="C200" s="16">
        <v>40585</v>
      </c>
      <c r="D200" s="3">
        <v>11.1</v>
      </c>
      <c r="E200" s="3">
        <v>7</v>
      </c>
      <c r="F200" s="3">
        <v>16.7</v>
      </c>
      <c r="G200" s="3">
        <f t="shared" si="23"/>
        <v>1180.9999999999995</v>
      </c>
      <c r="H200" s="3">
        <f t="shared" si="28"/>
        <v>214.6</v>
      </c>
      <c r="J200" s="71">
        <v>1.6</v>
      </c>
      <c r="K200" s="3">
        <f t="shared" si="24"/>
        <v>306.5</v>
      </c>
      <c r="L200" s="3">
        <v>1.8</v>
      </c>
      <c r="M200" s="3">
        <f t="shared" si="25"/>
        <v>150.70000000000002</v>
      </c>
      <c r="N200" s="3">
        <v>-0.19999999999999996</v>
      </c>
      <c r="O200" s="3">
        <f t="shared" si="30"/>
        <v>182.40000000000003</v>
      </c>
      <c r="P200" s="3">
        <v>151</v>
      </c>
      <c r="Q200" s="18">
        <f t="shared" si="20"/>
        <v>1.0648648648648649</v>
      </c>
      <c r="R200" s="10">
        <f t="shared" si="21"/>
        <v>1.9167567567567567</v>
      </c>
      <c r="S200" s="10">
        <f t="shared" si="22"/>
        <v>-0.31675675675675663</v>
      </c>
      <c r="T200" s="72">
        <f t="shared" si="26"/>
        <v>187.8289189189189</v>
      </c>
      <c r="V200" s="3">
        <v>954.2</v>
      </c>
      <c r="X200" s="3">
        <f t="shared" si="27"/>
        <v>80011.800000000017</v>
      </c>
      <c r="Y200" s="3">
        <f t="shared" si="29"/>
        <v>11894.4</v>
      </c>
      <c r="AA200" s="3">
        <v>9.9773370065455698</v>
      </c>
    </row>
    <row r="201" spans="1:29" s="3" customFormat="1" x14ac:dyDescent="0.25">
      <c r="A201" s="63"/>
      <c r="B201" s="7"/>
      <c r="C201" s="16">
        <v>40586</v>
      </c>
      <c r="D201" s="3">
        <v>9</v>
      </c>
      <c r="E201" s="3">
        <v>8.3000000000000007</v>
      </c>
      <c r="F201" s="3">
        <v>11.9</v>
      </c>
      <c r="G201" s="3">
        <f t="shared" si="23"/>
        <v>1189.9999999999995</v>
      </c>
      <c r="H201" s="3">
        <f t="shared" si="28"/>
        <v>223.6</v>
      </c>
      <c r="J201" s="71">
        <v>0.4</v>
      </c>
      <c r="K201" s="3">
        <f t="shared" si="24"/>
        <v>306.89999999999998</v>
      </c>
      <c r="L201" s="3">
        <v>1.3</v>
      </c>
      <c r="M201" s="3">
        <f t="shared" si="25"/>
        <v>152.00000000000003</v>
      </c>
      <c r="N201" s="3">
        <v>-0.9</v>
      </c>
      <c r="O201" s="3">
        <f t="shared" si="30"/>
        <v>181.50000000000003</v>
      </c>
      <c r="P201" s="3">
        <v>152</v>
      </c>
      <c r="Q201" s="18">
        <f t="shared" si="20"/>
        <v>1.0668918918918919</v>
      </c>
      <c r="R201" s="10">
        <f t="shared" si="21"/>
        <v>1.3869594594594596</v>
      </c>
      <c r="S201" s="10">
        <f t="shared" si="22"/>
        <v>-0.98695945945945962</v>
      </c>
      <c r="T201" s="72">
        <f t="shared" si="26"/>
        <v>186.84195945945945</v>
      </c>
      <c r="V201" s="3">
        <v>669.1</v>
      </c>
      <c r="X201" s="3">
        <f t="shared" si="27"/>
        <v>80680.900000000023</v>
      </c>
      <c r="Y201" s="3">
        <f t="shared" si="29"/>
        <v>12563.5</v>
      </c>
      <c r="AA201" s="3">
        <v>10.0307780198942</v>
      </c>
    </row>
    <row r="202" spans="1:29" s="3" customFormat="1" x14ac:dyDescent="0.25">
      <c r="A202" s="63"/>
      <c r="B202" s="7"/>
      <c r="C202" s="16">
        <v>40587</v>
      </c>
      <c r="D202" s="3">
        <v>7.5</v>
      </c>
      <c r="E202" s="3">
        <v>5.9</v>
      </c>
      <c r="F202" s="3">
        <v>8.8000000000000007</v>
      </c>
      <c r="G202" s="3">
        <f t="shared" si="23"/>
        <v>1197.4999999999995</v>
      </c>
      <c r="H202" s="3">
        <f t="shared" si="28"/>
        <v>231.1</v>
      </c>
      <c r="J202" s="71">
        <v>6.4</v>
      </c>
      <c r="K202" s="3">
        <f t="shared" si="24"/>
        <v>313.29999999999995</v>
      </c>
      <c r="L202" s="3">
        <v>0.4</v>
      </c>
      <c r="M202" s="3">
        <f t="shared" si="25"/>
        <v>152.40000000000003</v>
      </c>
      <c r="N202" s="3">
        <v>6</v>
      </c>
      <c r="O202" s="3">
        <f t="shared" si="30"/>
        <v>187.50000000000003</v>
      </c>
      <c r="P202" s="3">
        <v>153</v>
      </c>
      <c r="Q202" s="18">
        <f t="shared" si="20"/>
        <v>1.0689189189189188</v>
      </c>
      <c r="R202" s="10">
        <f t="shared" si="21"/>
        <v>0.42756756756756753</v>
      </c>
      <c r="S202" s="10">
        <f t="shared" si="22"/>
        <v>5.9724324324324325</v>
      </c>
      <c r="T202" s="72">
        <f t="shared" si="26"/>
        <v>192.81439189189189</v>
      </c>
      <c r="V202" s="3">
        <v>228.8</v>
      </c>
      <c r="X202" s="3">
        <f t="shared" si="27"/>
        <v>80909.700000000026</v>
      </c>
      <c r="Y202" s="3">
        <f t="shared" si="29"/>
        <v>12792.3</v>
      </c>
      <c r="AA202" s="3">
        <v>10.084596857494899</v>
      </c>
      <c r="AC202" s="73" t="s">
        <v>70</v>
      </c>
    </row>
    <row r="203" spans="1:29" s="3" customFormat="1" x14ac:dyDescent="0.25">
      <c r="A203" s="63"/>
      <c r="B203" s="7"/>
      <c r="C203" s="16">
        <v>40588</v>
      </c>
      <c r="D203" s="3">
        <v>5.3</v>
      </c>
      <c r="E203" s="3">
        <v>2.7</v>
      </c>
      <c r="F203" s="3">
        <v>8.3000000000000007</v>
      </c>
      <c r="G203" s="3">
        <f t="shared" si="23"/>
        <v>1202.7999999999995</v>
      </c>
      <c r="H203" s="3">
        <f t="shared" si="28"/>
        <v>236.4</v>
      </c>
      <c r="J203" s="71">
        <v>1.9</v>
      </c>
      <c r="K203" s="3">
        <f t="shared" si="24"/>
        <v>315.19999999999993</v>
      </c>
      <c r="L203" s="3">
        <v>0.8</v>
      </c>
      <c r="M203" s="3">
        <f t="shared" si="25"/>
        <v>153.20000000000005</v>
      </c>
      <c r="N203" s="3">
        <v>1.0999999999999999</v>
      </c>
      <c r="O203" s="3">
        <f t="shared" si="30"/>
        <v>188.60000000000002</v>
      </c>
      <c r="P203" s="3">
        <v>154</v>
      </c>
      <c r="Q203" s="18">
        <f t="shared" si="20"/>
        <v>1.0709459459459458</v>
      </c>
      <c r="R203" s="10">
        <f t="shared" si="21"/>
        <v>0.85675675675675667</v>
      </c>
      <c r="S203" s="10">
        <f t="shared" si="22"/>
        <v>1.0432432432432432</v>
      </c>
      <c r="T203" s="72">
        <f t="shared" si="26"/>
        <v>193.85763513513513</v>
      </c>
      <c r="V203" s="3">
        <v>865.4</v>
      </c>
      <c r="X203" s="3">
        <f t="shared" si="27"/>
        <v>81775.10000000002</v>
      </c>
      <c r="Y203" s="3">
        <f t="shared" si="29"/>
        <v>13657.699999999999</v>
      </c>
      <c r="AA203" s="3">
        <v>10.138774595775301</v>
      </c>
      <c r="AC203" s="18">
        <f>(AB187*(40/130))+(AB218*(90/130))</f>
        <v>181.14656667656666</v>
      </c>
    </row>
    <row r="204" spans="1:29" s="3" customFormat="1" x14ac:dyDescent="0.25">
      <c r="A204" s="63"/>
      <c r="B204" s="7"/>
      <c r="C204" s="16">
        <v>40589</v>
      </c>
      <c r="D204" s="3">
        <v>6.8</v>
      </c>
      <c r="E204" s="3">
        <v>5.2</v>
      </c>
      <c r="F204" s="3">
        <v>10.1</v>
      </c>
      <c r="G204" s="3">
        <f t="shared" si="23"/>
        <v>1209.5999999999995</v>
      </c>
      <c r="H204" s="3">
        <f t="shared" si="28"/>
        <v>243.20000000000002</v>
      </c>
      <c r="J204" s="71">
        <v>2.7</v>
      </c>
      <c r="K204" s="3">
        <f t="shared" si="24"/>
        <v>317.89999999999992</v>
      </c>
      <c r="L204" s="3">
        <v>1.1000000000000001</v>
      </c>
      <c r="M204" s="3">
        <f t="shared" si="25"/>
        <v>154.30000000000004</v>
      </c>
      <c r="N204" s="3">
        <v>1.6</v>
      </c>
      <c r="O204" s="3">
        <f t="shared" si="30"/>
        <v>190.20000000000002</v>
      </c>
      <c r="P204" s="3">
        <v>155</v>
      </c>
      <c r="Q204" s="18">
        <f t="shared" si="20"/>
        <v>1.0729729729729729</v>
      </c>
      <c r="R204" s="10">
        <f t="shared" si="21"/>
        <v>1.1802702702702703</v>
      </c>
      <c r="S204" s="10">
        <f t="shared" si="22"/>
        <v>1.5197297297297299</v>
      </c>
      <c r="T204" s="72">
        <f t="shared" si="26"/>
        <v>195.37736486486486</v>
      </c>
      <c r="V204" s="3">
        <v>646.20000000000005</v>
      </c>
      <c r="X204" s="3">
        <f t="shared" si="27"/>
        <v>82421.300000000017</v>
      </c>
      <c r="Y204" s="3">
        <f t="shared" si="29"/>
        <v>14303.9</v>
      </c>
      <c r="AA204" s="3">
        <v>10.193292945824201</v>
      </c>
      <c r="AC204" s="73" t="s">
        <v>73</v>
      </c>
    </row>
    <row r="205" spans="1:29" s="3" customFormat="1" x14ac:dyDescent="0.25">
      <c r="A205" s="63"/>
      <c r="B205" s="7"/>
      <c r="C205" s="16">
        <v>40590</v>
      </c>
      <c r="D205" s="3">
        <v>6.7</v>
      </c>
      <c r="E205" s="3">
        <v>3.2</v>
      </c>
      <c r="F205" s="3">
        <v>10.7</v>
      </c>
      <c r="G205" s="3">
        <f t="shared" si="23"/>
        <v>1216.2999999999995</v>
      </c>
      <c r="H205" s="3">
        <f t="shared" si="28"/>
        <v>249.9</v>
      </c>
      <c r="J205" s="71">
        <v>1.9</v>
      </c>
      <c r="K205" s="3">
        <f t="shared" si="24"/>
        <v>319.7999999999999</v>
      </c>
      <c r="L205" s="3">
        <v>1</v>
      </c>
      <c r="M205" s="3">
        <f t="shared" si="25"/>
        <v>155.30000000000004</v>
      </c>
      <c r="N205" s="3">
        <v>0.89999999999999991</v>
      </c>
      <c r="O205" s="3">
        <f t="shared" si="30"/>
        <v>191.10000000000002</v>
      </c>
      <c r="P205" s="3">
        <v>156</v>
      </c>
      <c r="Q205" s="18">
        <f t="shared" si="20"/>
        <v>1.075</v>
      </c>
      <c r="R205" s="10">
        <f t="shared" si="21"/>
        <v>1.075</v>
      </c>
      <c r="S205" s="10">
        <f t="shared" si="22"/>
        <v>0.82499999999999996</v>
      </c>
      <c r="T205" s="72">
        <f t="shared" si="26"/>
        <v>196.20236486486485</v>
      </c>
      <c r="V205" s="3">
        <v>798.5</v>
      </c>
      <c r="X205" s="3">
        <f t="shared" si="27"/>
        <v>83219.800000000017</v>
      </c>
      <c r="Y205" s="3">
        <f t="shared" si="29"/>
        <v>15102.4</v>
      </c>
      <c r="AA205" s="3">
        <v>10.248134245162101</v>
      </c>
      <c r="AC205" s="10">
        <f>(AB189*(40/130))+(AB220*(90/130))</f>
        <v>7.4615384615384617</v>
      </c>
    </row>
    <row r="206" spans="1:29" s="3" customFormat="1" x14ac:dyDescent="0.25">
      <c r="A206" s="63"/>
      <c r="B206" s="7"/>
      <c r="C206" s="16">
        <v>40591</v>
      </c>
      <c r="D206" s="3">
        <v>7.5</v>
      </c>
      <c r="E206" s="3">
        <v>4.4000000000000004</v>
      </c>
      <c r="F206" s="3">
        <v>13.1</v>
      </c>
      <c r="G206" s="3">
        <f t="shared" si="23"/>
        <v>1223.7999999999995</v>
      </c>
      <c r="H206" s="3">
        <f t="shared" si="28"/>
        <v>257.39999999999998</v>
      </c>
      <c r="J206" s="71">
        <v>0.1</v>
      </c>
      <c r="K206" s="3">
        <f t="shared" si="24"/>
        <v>319.89999999999992</v>
      </c>
      <c r="L206" s="3">
        <v>1.3</v>
      </c>
      <c r="M206" s="3">
        <f t="shared" si="25"/>
        <v>156.60000000000005</v>
      </c>
      <c r="N206" s="3">
        <v>-1.2</v>
      </c>
      <c r="O206" s="3">
        <f t="shared" si="30"/>
        <v>189.90000000000003</v>
      </c>
      <c r="P206" s="3">
        <v>157</v>
      </c>
      <c r="Q206" s="18">
        <f t="shared" si="20"/>
        <v>1.077027027027027</v>
      </c>
      <c r="R206" s="10">
        <f t="shared" si="21"/>
        <v>1.4001351351351352</v>
      </c>
      <c r="S206" s="10">
        <f t="shared" si="22"/>
        <v>-1.3001351351351351</v>
      </c>
      <c r="T206" s="72">
        <f t="shared" si="26"/>
        <v>194.90222972972973</v>
      </c>
      <c r="V206" s="3">
        <v>911.5</v>
      </c>
      <c r="X206" s="3">
        <f t="shared" si="27"/>
        <v>84131.300000000017</v>
      </c>
      <c r="Y206" s="3">
        <f t="shared" si="29"/>
        <v>16013.9</v>
      </c>
      <c r="AA206" s="3">
        <v>10.3032814481223</v>
      </c>
      <c r="AC206" s="73" t="s">
        <v>68</v>
      </c>
    </row>
    <row r="207" spans="1:29" s="3" customFormat="1" x14ac:dyDescent="0.25">
      <c r="A207" s="63"/>
      <c r="B207" s="7"/>
      <c r="C207" s="16">
        <v>40592</v>
      </c>
      <c r="D207" s="3">
        <v>5</v>
      </c>
      <c r="E207" s="3">
        <v>-0.2</v>
      </c>
      <c r="F207" s="3">
        <v>8.6</v>
      </c>
      <c r="G207" s="3">
        <f t="shared" si="23"/>
        <v>1228.7999999999995</v>
      </c>
      <c r="H207" s="3">
        <f t="shared" si="28"/>
        <v>262.39999999999998</v>
      </c>
      <c r="J207" s="3">
        <v>9.9</v>
      </c>
      <c r="K207" s="3">
        <f t="shared" si="24"/>
        <v>329.7999999999999</v>
      </c>
      <c r="L207" s="3">
        <v>0.5</v>
      </c>
      <c r="M207" s="3">
        <f t="shared" si="25"/>
        <v>157.10000000000005</v>
      </c>
      <c r="N207" s="3">
        <v>9.4</v>
      </c>
      <c r="O207" s="3">
        <v>197.4</v>
      </c>
      <c r="P207" s="3">
        <v>158</v>
      </c>
      <c r="Q207" s="18">
        <f t="shared" si="20"/>
        <v>1.0790540540540541</v>
      </c>
      <c r="R207" s="10">
        <f t="shared" si="21"/>
        <v>0.53952702702702704</v>
      </c>
      <c r="S207" s="10">
        <f t="shared" si="22"/>
        <v>9.360472972972973</v>
      </c>
      <c r="T207" s="10">
        <f t="shared" si="26"/>
        <v>197.4</v>
      </c>
      <c r="V207" s="3">
        <v>373.2</v>
      </c>
      <c r="X207" s="3">
        <f t="shared" si="27"/>
        <v>84504.500000000015</v>
      </c>
      <c r="Y207" s="3">
        <f t="shared" si="29"/>
        <v>16387.099999999999</v>
      </c>
      <c r="AA207" s="3">
        <v>10.358718114969401</v>
      </c>
      <c r="AC207" s="10">
        <f>(AB191*(40/130))+(AB222*(90/130))</f>
        <v>4.8461538461538458</v>
      </c>
    </row>
    <row r="208" spans="1:29" s="3" customFormat="1" x14ac:dyDescent="0.25">
      <c r="A208" s="63"/>
      <c r="B208" s="7"/>
      <c r="C208" s="16">
        <v>40593</v>
      </c>
      <c r="D208" s="3">
        <v>9.6999999999999993</v>
      </c>
      <c r="E208" s="3">
        <v>7.7</v>
      </c>
      <c r="F208" s="3">
        <v>13.1</v>
      </c>
      <c r="G208" s="3">
        <f t="shared" si="23"/>
        <v>1238.4999999999995</v>
      </c>
      <c r="H208" s="3">
        <f t="shared" si="28"/>
        <v>272.09999999999997</v>
      </c>
      <c r="J208" s="3">
        <v>0.7</v>
      </c>
      <c r="K208" s="3">
        <f t="shared" si="24"/>
        <v>330.49999999999989</v>
      </c>
      <c r="L208" s="3">
        <v>0.8</v>
      </c>
      <c r="M208" s="3">
        <f t="shared" si="25"/>
        <v>157.90000000000006</v>
      </c>
      <c r="N208" s="3">
        <v>-0.10000000000000009</v>
      </c>
      <c r="O208" s="3">
        <f>O207+N208</f>
        <v>197.3</v>
      </c>
      <c r="P208" s="3">
        <v>159</v>
      </c>
      <c r="Q208" s="18">
        <f t="shared" si="20"/>
        <v>1.0810810810810811</v>
      </c>
      <c r="R208" s="10">
        <f t="shared" si="21"/>
        <v>0.86486486486486491</v>
      </c>
      <c r="S208" s="10">
        <f t="shared" si="22"/>
        <v>-0.16486486486486496</v>
      </c>
      <c r="T208" s="10">
        <f t="shared" si="26"/>
        <v>197.23513513513515</v>
      </c>
      <c r="V208" s="3">
        <v>256.2</v>
      </c>
      <c r="X208" s="3">
        <f t="shared" si="27"/>
        <v>84760.700000000012</v>
      </c>
      <c r="Y208" s="3">
        <f t="shared" si="29"/>
        <v>16643.3</v>
      </c>
      <c r="AA208" s="3">
        <v>10.4144283998791</v>
      </c>
      <c r="AC208" s="73" t="s">
        <v>67</v>
      </c>
    </row>
    <row r="209" spans="1:29" s="3" customFormat="1" x14ac:dyDescent="0.25">
      <c r="A209" s="63"/>
      <c r="B209" s="7"/>
      <c r="C209" s="16">
        <v>40594</v>
      </c>
      <c r="D209" s="3">
        <v>8.1</v>
      </c>
      <c r="E209" s="3">
        <v>6.7</v>
      </c>
      <c r="F209" s="3">
        <v>10.1</v>
      </c>
      <c r="G209" s="3">
        <f t="shared" si="23"/>
        <v>1246.5999999999995</v>
      </c>
      <c r="H209" s="3">
        <f t="shared" si="28"/>
        <v>280.2</v>
      </c>
      <c r="J209" s="3">
        <v>0.9</v>
      </c>
      <c r="K209" s="3">
        <f t="shared" si="24"/>
        <v>331.39999999999986</v>
      </c>
      <c r="L209" s="3">
        <v>0.4</v>
      </c>
      <c r="M209" s="3">
        <f t="shared" si="25"/>
        <v>158.30000000000007</v>
      </c>
      <c r="N209" s="3">
        <v>0.5</v>
      </c>
      <c r="O209" s="3">
        <v>197.4</v>
      </c>
      <c r="P209" s="3">
        <v>160</v>
      </c>
      <c r="Q209" s="18">
        <f t="shared" si="20"/>
        <v>1.083108108108108</v>
      </c>
      <c r="R209" s="10">
        <f t="shared" si="21"/>
        <v>0.4332432432432432</v>
      </c>
      <c r="S209" s="10">
        <f t="shared" si="22"/>
        <v>0.46675675675675682</v>
      </c>
      <c r="T209" s="10">
        <f t="shared" si="26"/>
        <v>197.4</v>
      </c>
      <c r="V209" s="3">
        <v>241.9</v>
      </c>
      <c r="X209" s="3">
        <f t="shared" si="27"/>
        <v>85002.6</v>
      </c>
      <c r="Y209" s="3">
        <f t="shared" si="29"/>
        <v>16885.2</v>
      </c>
      <c r="AA209" s="3">
        <v>10.4703970378929</v>
      </c>
      <c r="AC209" s="3">
        <f>(AB193*(40/130))+(AB224*(90/130))</f>
        <v>0</v>
      </c>
    </row>
    <row r="210" spans="1:29" s="3" customFormat="1" x14ac:dyDescent="0.25">
      <c r="A210" s="63"/>
      <c r="B210" s="7"/>
      <c r="C210" s="16">
        <v>40595</v>
      </c>
      <c r="D210" s="3">
        <v>8.1999999999999993</v>
      </c>
      <c r="E210" s="3">
        <v>7.1</v>
      </c>
      <c r="F210" s="3">
        <v>11</v>
      </c>
      <c r="G210" s="3">
        <f t="shared" si="23"/>
        <v>1254.7999999999995</v>
      </c>
      <c r="H210" s="3">
        <f t="shared" si="28"/>
        <v>288.39999999999998</v>
      </c>
      <c r="J210" s="3">
        <v>11.3</v>
      </c>
      <c r="K210" s="3">
        <f t="shared" si="24"/>
        <v>342.69999999999987</v>
      </c>
      <c r="L210" s="3">
        <v>0.6</v>
      </c>
      <c r="M210" s="3">
        <f t="shared" si="25"/>
        <v>158.90000000000006</v>
      </c>
      <c r="N210" s="3">
        <v>10.700000000000001</v>
      </c>
      <c r="O210" s="3">
        <v>197.4</v>
      </c>
      <c r="P210" s="3">
        <v>161</v>
      </c>
      <c r="Q210" s="18">
        <f t="shared" si="20"/>
        <v>1.085135135135135</v>
      </c>
      <c r="R210" s="10">
        <f t="shared" si="21"/>
        <v>0.65108108108108098</v>
      </c>
      <c r="S210" s="10">
        <f t="shared" si="22"/>
        <v>10.64891891891892</v>
      </c>
      <c r="T210" s="10">
        <f t="shared" si="26"/>
        <v>197.4</v>
      </c>
      <c r="V210" s="3">
        <v>301.39999999999998</v>
      </c>
      <c r="X210" s="3">
        <f t="shared" si="27"/>
        <v>85304</v>
      </c>
      <c r="Y210" s="3">
        <f t="shared" si="29"/>
        <v>17186.600000000002</v>
      </c>
      <c r="AA210" s="3">
        <v>10.526609330957299</v>
      </c>
      <c r="AC210" s="73" t="s">
        <v>66</v>
      </c>
    </row>
    <row r="211" spans="1:29" s="3" customFormat="1" x14ac:dyDescent="0.25">
      <c r="A211" s="63"/>
      <c r="B211" s="7"/>
      <c r="C211" s="16">
        <v>40596</v>
      </c>
      <c r="D211" s="3">
        <v>7.7</v>
      </c>
      <c r="E211" s="3">
        <v>6.3</v>
      </c>
      <c r="F211" s="3">
        <v>8.9</v>
      </c>
      <c r="G211" s="3">
        <f t="shared" si="23"/>
        <v>1262.4999999999995</v>
      </c>
      <c r="H211" s="3">
        <f t="shared" si="28"/>
        <v>296.09999999999997</v>
      </c>
      <c r="J211" s="3">
        <v>0.3</v>
      </c>
      <c r="K211" s="3">
        <f t="shared" si="24"/>
        <v>342.99999999999989</v>
      </c>
      <c r="L211" s="3">
        <v>0.2</v>
      </c>
      <c r="M211" s="3">
        <f t="shared" si="25"/>
        <v>159.10000000000005</v>
      </c>
      <c r="N211" s="3">
        <v>9.9999999999999978E-2</v>
      </c>
      <c r="O211" s="3">
        <v>197.4</v>
      </c>
      <c r="P211" s="3">
        <v>162</v>
      </c>
      <c r="Q211" s="18">
        <f t="shared" si="20"/>
        <v>1.0871621621621621</v>
      </c>
      <c r="R211" s="10">
        <f t="shared" si="21"/>
        <v>0.21743243243243243</v>
      </c>
      <c r="S211" s="10">
        <f t="shared" si="22"/>
        <v>8.2567567567567557E-2</v>
      </c>
      <c r="T211" s="10">
        <f t="shared" si="26"/>
        <v>197.4</v>
      </c>
      <c r="V211" s="3">
        <v>256.8</v>
      </c>
      <c r="X211" s="3">
        <f t="shared" si="27"/>
        <v>85560.8</v>
      </c>
      <c r="Y211" s="3">
        <f t="shared" si="29"/>
        <v>17443.400000000001</v>
      </c>
      <c r="AA211" s="3">
        <v>10.5830511331501</v>
      </c>
      <c r="AC211" s="10">
        <f>(AB195*(40/130))+(AB226*(90/130))</f>
        <v>9.7615384615384606</v>
      </c>
    </row>
    <row r="212" spans="1:29" s="3" customFormat="1" x14ac:dyDescent="0.25">
      <c r="A212" s="63"/>
      <c r="B212" s="7"/>
      <c r="C212" s="16">
        <v>40597</v>
      </c>
      <c r="D212" s="3">
        <v>9.3000000000000007</v>
      </c>
      <c r="E212" s="3">
        <v>6.9</v>
      </c>
      <c r="F212" s="3">
        <v>11.5</v>
      </c>
      <c r="G212" s="3">
        <f t="shared" si="23"/>
        <v>1271.7999999999995</v>
      </c>
      <c r="H212" s="3">
        <f t="shared" si="28"/>
        <v>305.39999999999998</v>
      </c>
      <c r="J212" s="3">
        <v>1.9</v>
      </c>
      <c r="K212" s="3">
        <f t="shared" si="24"/>
        <v>344.89999999999986</v>
      </c>
      <c r="L212" s="3">
        <v>0.4</v>
      </c>
      <c r="M212" s="3">
        <f t="shared" si="25"/>
        <v>159.50000000000006</v>
      </c>
      <c r="N212" s="3">
        <v>1.5</v>
      </c>
      <c r="O212" s="3">
        <v>197.4</v>
      </c>
      <c r="P212" s="3">
        <v>163</v>
      </c>
      <c r="Q212" s="18">
        <f t="shared" si="20"/>
        <v>1.0891891891891892</v>
      </c>
      <c r="R212" s="10">
        <f t="shared" si="21"/>
        <v>0.43567567567567567</v>
      </c>
      <c r="S212" s="10">
        <f t="shared" si="22"/>
        <v>1.4643243243243242</v>
      </c>
      <c r="T212" s="10">
        <f t="shared" si="26"/>
        <v>197.4</v>
      </c>
      <c r="V212" s="3">
        <v>234.1</v>
      </c>
      <c r="X212" s="3">
        <f t="shared" si="27"/>
        <v>85794.900000000009</v>
      </c>
      <c r="Y212" s="3">
        <f t="shared" si="29"/>
        <v>17677.5</v>
      </c>
      <c r="AA212" s="3">
        <v>10.639708835189101</v>
      </c>
    </row>
    <row r="213" spans="1:29" s="3" customFormat="1" x14ac:dyDescent="0.25">
      <c r="A213" s="63"/>
      <c r="B213" s="7"/>
      <c r="C213" s="16">
        <v>40598</v>
      </c>
      <c r="D213" s="3">
        <v>11</v>
      </c>
      <c r="E213" s="3">
        <v>9.8000000000000007</v>
      </c>
      <c r="F213" s="3">
        <v>13.7</v>
      </c>
      <c r="G213" s="3">
        <f t="shared" si="23"/>
        <v>1282.7999999999995</v>
      </c>
      <c r="H213" s="3">
        <f t="shared" si="28"/>
        <v>316.39999999999998</v>
      </c>
      <c r="J213" s="3">
        <v>0.4</v>
      </c>
      <c r="K213" s="3">
        <f t="shared" si="24"/>
        <v>345.29999999999984</v>
      </c>
      <c r="L213" s="3">
        <v>0.6</v>
      </c>
      <c r="M213" s="3">
        <f t="shared" si="25"/>
        <v>160.10000000000005</v>
      </c>
      <c r="N213" s="3">
        <v>-0.19999999999999996</v>
      </c>
      <c r="O213" s="3">
        <f>O212+N213</f>
        <v>197.20000000000002</v>
      </c>
      <c r="P213" s="3">
        <v>164</v>
      </c>
      <c r="Q213" s="18">
        <f t="shared" si="20"/>
        <v>1.0912162162162162</v>
      </c>
      <c r="R213" s="10">
        <f t="shared" si="21"/>
        <v>0.65472972972972976</v>
      </c>
      <c r="S213" s="10">
        <f t="shared" si="22"/>
        <v>-0.25472972972972974</v>
      </c>
      <c r="T213" s="10">
        <f t="shared" si="26"/>
        <v>197.14527027027029</v>
      </c>
      <c r="V213" s="3">
        <v>292.60000000000002</v>
      </c>
      <c r="X213" s="3">
        <f t="shared" si="27"/>
        <v>86087.500000000015</v>
      </c>
      <c r="Y213" s="3">
        <f t="shared" si="29"/>
        <v>17970.099999999999</v>
      </c>
      <c r="AA213" s="3">
        <v>10.696569348312501</v>
      </c>
    </row>
    <row r="214" spans="1:29" s="3" customFormat="1" x14ac:dyDescent="0.25">
      <c r="A214" s="63"/>
      <c r="B214" s="7"/>
      <c r="C214" s="16">
        <v>40599</v>
      </c>
      <c r="D214" s="3">
        <v>10.199999999999999</v>
      </c>
      <c r="E214" s="3">
        <v>6.6</v>
      </c>
      <c r="F214" s="3">
        <v>13.4</v>
      </c>
      <c r="G214" s="3">
        <f t="shared" si="23"/>
        <v>1292.9999999999995</v>
      </c>
      <c r="H214" s="3">
        <f t="shared" si="28"/>
        <v>326.59999999999997</v>
      </c>
      <c r="J214" s="3">
        <v>0.9</v>
      </c>
      <c r="K214" s="3">
        <f t="shared" si="24"/>
        <v>346.19999999999982</v>
      </c>
      <c r="L214" s="3">
        <v>0.3</v>
      </c>
      <c r="M214" s="3">
        <f t="shared" si="25"/>
        <v>160.40000000000006</v>
      </c>
      <c r="N214" s="3">
        <v>0.60000000000000009</v>
      </c>
      <c r="O214" s="3">
        <v>197.4</v>
      </c>
      <c r="P214" s="3">
        <v>165</v>
      </c>
      <c r="Q214" s="18">
        <f t="shared" si="20"/>
        <v>1.0932432432432431</v>
      </c>
      <c r="R214" s="10">
        <f t="shared" si="21"/>
        <v>0.3279729729729729</v>
      </c>
      <c r="S214" s="10">
        <f t="shared" si="22"/>
        <v>0.57202702702702712</v>
      </c>
      <c r="T214" s="10">
        <f t="shared" si="26"/>
        <v>197.4</v>
      </c>
      <c r="V214" s="3">
        <v>212.7</v>
      </c>
      <c r="X214" s="3">
        <f t="shared" si="27"/>
        <v>86300.200000000012</v>
      </c>
      <c r="Y214" s="3">
        <f t="shared" si="29"/>
        <v>18182.8</v>
      </c>
      <c r="AA214" s="3">
        <v>10.7536200876135</v>
      </c>
    </row>
    <row r="215" spans="1:29" s="3" customFormat="1" x14ac:dyDescent="0.25">
      <c r="A215" s="63"/>
      <c r="B215" s="7"/>
      <c r="C215" s="16">
        <v>40600</v>
      </c>
      <c r="D215" s="3">
        <v>9.8000000000000007</v>
      </c>
      <c r="E215" s="3">
        <v>8.6999999999999993</v>
      </c>
      <c r="F215" s="3">
        <v>12.9</v>
      </c>
      <c r="G215" s="3">
        <f t="shared" si="23"/>
        <v>1302.7999999999995</v>
      </c>
      <c r="H215" s="3">
        <f t="shared" si="28"/>
        <v>336.4</v>
      </c>
      <c r="J215" s="3">
        <v>2.4</v>
      </c>
      <c r="K215" s="3">
        <f t="shared" si="24"/>
        <v>348.5999999999998</v>
      </c>
      <c r="L215" s="3">
        <v>1.3</v>
      </c>
      <c r="M215" s="3">
        <f t="shared" si="25"/>
        <v>161.70000000000007</v>
      </c>
      <c r="N215" s="3">
        <v>1.0999999999999999</v>
      </c>
      <c r="O215" s="3">
        <v>197.4</v>
      </c>
      <c r="P215" s="3">
        <v>166</v>
      </c>
      <c r="Q215" s="18">
        <f t="shared" si="20"/>
        <v>1.0952702702702701</v>
      </c>
      <c r="R215" s="10">
        <f t="shared" si="21"/>
        <v>1.4238513513513513</v>
      </c>
      <c r="S215" s="10">
        <f t="shared" si="22"/>
        <v>0.97614864864864859</v>
      </c>
      <c r="T215" s="10">
        <f t="shared" si="26"/>
        <v>197.4</v>
      </c>
      <c r="V215" s="3">
        <v>480.3</v>
      </c>
      <c r="X215" s="3">
        <f t="shared" si="27"/>
        <v>86780.500000000015</v>
      </c>
      <c r="Y215" s="3">
        <f t="shared" si="29"/>
        <v>18663.099999999999</v>
      </c>
      <c r="AA215" s="3">
        <v>10.810848954906399</v>
      </c>
    </row>
    <row r="216" spans="1:29" s="3" customFormat="1" x14ac:dyDescent="0.25">
      <c r="A216" s="63"/>
      <c r="B216" s="7"/>
      <c r="C216" s="16">
        <v>40601</v>
      </c>
      <c r="D216" s="3">
        <v>6.1</v>
      </c>
      <c r="E216" s="3">
        <v>3.3</v>
      </c>
      <c r="F216" s="3">
        <v>9.6</v>
      </c>
      <c r="G216" s="3">
        <f t="shared" si="23"/>
        <v>1308.8999999999994</v>
      </c>
      <c r="H216" s="3">
        <f t="shared" si="28"/>
        <v>342.5</v>
      </c>
      <c r="J216" s="3">
        <v>4.3</v>
      </c>
      <c r="K216" s="3">
        <f t="shared" si="24"/>
        <v>352.89999999999981</v>
      </c>
      <c r="L216" s="3">
        <v>1.2</v>
      </c>
      <c r="M216" s="3">
        <f t="shared" si="25"/>
        <v>162.90000000000006</v>
      </c>
      <c r="N216" s="3">
        <v>3.0999999999999996</v>
      </c>
      <c r="O216" s="3">
        <v>197.4</v>
      </c>
      <c r="P216" s="3">
        <v>167</v>
      </c>
      <c r="Q216" s="18">
        <f t="shared" si="20"/>
        <v>1.0972972972972972</v>
      </c>
      <c r="R216" s="10">
        <f t="shared" si="21"/>
        <v>1.3167567567567566</v>
      </c>
      <c r="S216" s="10">
        <f t="shared" si="22"/>
        <v>2.9832432432432432</v>
      </c>
      <c r="T216" s="10">
        <f t="shared" si="26"/>
        <v>197.4</v>
      </c>
      <c r="V216" s="3">
        <v>795.5</v>
      </c>
      <c r="X216" s="3">
        <f t="shared" si="27"/>
        <v>87576.000000000015</v>
      </c>
      <c r="Y216" s="3">
        <f t="shared" si="29"/>
        <v>19458.599999999999</v>
      </c>
      <c r="AA216" s="3">
        <v>10.868244321193201</v>
      </c>
    </row>
    <row r="217" spans="1:29" s="3" customFormat="1" x14ac:dyDescent="0.25">
      <c r="A217" s="63"/>
      <c r="B217" s="7"/>
      <c r="C217" s="16">
        <v>40602</v>
      </c>
      <c r="D217" s="3">
        <v>5.2</v>
      </c>
      <c r="E217" s="3">
        <v>4</v>
      </c>
      <c r="F217" s="3">
        <v>7.4</v>
      </c>
      <c r="G217" s="3">
        <f t="shared" si="23"/>
        <v>1314.0999999999995</v>
      </c>
      <c r="H217" s="3">
        <f t="shared" si="28"/>
        <v>347.7</v>
      </c>
      <c r="J217" s="71">
        <v>0.1</v>
      </c>
      <c r="K217" s="3">
        <f t="shared" si="24"/>
        <v>352.99999999999983</v>
      </c>
      <c r="L217" s="3">
        <v>0.9</v>
      </c>
      <c r="M217" s="3">
        <f t="shared" si="25"/>
        <v>163.80000000000007</v>
      </c>
      <c r="N217" s="3">
        <v>-0.8</v>
      </c>
      <c r="O217" s="3">
        <f t="shared" ref="O217:O280" si="31">O216+N217</f>
        <v>196.6</v>
      </c>
      <c r="P217" s="3">
        <v>168</v>
      </c>
      <c r="Q217" s="18">
        <f t="shared" si="20"/>
        <v>1.0993243243243243</v>
      </c>
      <c r="R217" s="10">
        <f t="shared" si="21"/>
        <v>0.98939189189189181</v>
      </c>
      <c r="S217" s="10">
        <f t="shared" si="22"/>
        <v>-0.88939189189189183</v>
      </c>
      <c r="T217" s="10">
        <f t="shared" si="26"/>
        <v>196.5106081081081</v>
      </c>
      <c r="V217" s="3">
        <v>358.9</v>
      </c>
      <c r="X217" s="3">
        <f t="shared" si="27"/>
        <v>87934.900000000009</v>
      </c>
      <c r="Y217" s="3">
        <f t="shared" si="29"/>
        <v>19817.5</v>
      </c>
      <c r="AA217" s="3">
        <v>10.9257950087975</v>
      </c>
      <c r="AB217" s="73" t="s">
        <v>70</v>
      </c>
    </row>
    <row r="218" spans="1:29" s="3" customFormat="1" x14ac:dyDescent="0.25">
      <c r="A218" s="63"/>
      <c r="B218" s="7"/>
      <c r="C218" s="16">
        <v>40603</v>
      </c>
      <c r="D218" s="3">
        <v>5.4</v>
      </c>
      <c r="E218" s="3">
        <v>4.0999999999999996</v>
      </c>
      <c r="F218" s="3">
        <v>7.4</v>
      </c>
      <c r="G218" s="3">
        <f t="shared" si="23"/>
        <v>1319.4999999999995</v>
      </c>
      <c r="H218" s="3">
        <f t="shared" si="28"/>
        <v>353.09999999999997</v>
      </c>
      <c r="J218" s="71">
        <v>0</v>
      </c>
      <c r="K218" s="3">
        <f t="shared" si="24"/>
        <v>352.99999999999983</v>
      </c>
      <c r="L218" s="3">
        <v>1</v>
      </c>
      <c r="M218" s="3">
        <f t="shared" si="25"/>
        <v>164.80000000000007</v>
      </c>
      <c r="N218" s="3">
        <v>-1</v>
      </c>
      <c r="O218" s="3">
        <f t="shared" si="31"/>
        <v>195.6</v>
      </c>
      <c r="P218" s="3">
        <v>169</v>
      </c>
      <c r="Q218" s="18">
        <f t="shared" si="20"/>
        <v>1.1013513513513513</v>
      </c>
      <c r="R218" s="10">
        <f t="shared" si="21"/>
        <v>1.1013513513513513</v>
      </c>
      <c r="S218" s="10">
        <f t="shared" si="22"/>
        <v>-1.1013513513513513</v>
      </c>
      <c r="T218" s="10">
        <f t="shared" si="26"/>
        <v>195.40925675675675</v>
      </c>
      <c r="V218" s="3">
        <v>456.1</v>
      </c>
      <c r="X218" s="3">
        <f t="shared" si="27"/>
        <v>88391.000000000015</v>
      </c>
      <c r="Y218" s="3">
        <f t="shared" si="29"/>
        <v>20273.599999999999</v>
      </c>
      <c r="AA218" s="3">
        <v>10.9834902732216</v>
      </c>
      <c r="AB218" s="18">
        <f>AVERAGE(T224:T237)</f>
        <v>176.79177606177606</v>
      </c>
    </row>
    <row r="219" spans="1:29" s="3" customFormat="1" x14ac:dyDescent="0.25">
      <c r="A219" s="63"/>
      <c r="B219" s="7"/>
      <c r="C219" s="16">
        <v>40604</v>
      </c>
      <c r="D219" s="3">
        <v>5.4</v>
      </c>
      <c r="E219" s="3">
        <v>4.2</v>
      </c>
      <c r="F219" s="3">
        <v>8.3000000000000007</v>
      </c>
      <c r="G219" s="3">
        <f t="shared" si="23"/>
        <v>1324.8999999999996</v>
      </c>
      <c r="H219" s="3">
        <f t="shared" si="28"/>
        <v>358.49999999999994</v>
      </c>
      <c r="J219" s="71">
        <v>0</v>
      </c>
      <c r="K219" s="3">
        <f t="shared" si="24"/>
        <v>352.99999999999983</v>
      </c>
      <c r="L219" s="3">
        <v>1.9</v>
      </c>
      <c r="M219" s="3">
        <f t="shared" si="25"/>
        <v>166.70000000000007</v>
      </c>
      <c r="N219" s="3">
        <v>-1.9</v>
      </c>
      <c r="O219" s="3">
        <f t="shared" si="31"/>
        <v>193.7</v>
      </c>
      <c r="P219" s="3">
        <v>170</v>
      </c>
      <c r="Q219" s="18">
        <f t="shared" si="20"/>
        <v>1.1033783783783784</v>
      </c>
      <c r="R219" s="10">
        <f t="shared" si="21"/>
        <v>2.0964189189189186</v>
      </c>
      <c r="S219" s="10">
        <f t="shared" si="22"/>
        <v>-2.0964189189189186</v>
      </c>
      <c r="T219" s="10">
        <f t="shared" si="26"/>
        <v>193.31283783783783</v>
      </c>
      <c r="V219" s="3">
        <v>1379.7</v>
      </c>
      <c r="X219" s="3">
        <f t="shared" si="27"/>
        <v>89770.700000000012</v>
      </c>
      <c r="Y219" s="3">
        <f t="shared" si="29"/>
        <v>21653.3</v>
      </c>
      <c r="AA219" s="3">
        <v>11.0413197847836</v>
      </c>
      <c r="AB219" s="73" t="s">
        <v>69</v>
      </c>
    </row>
    <row r="220" spans="1:29" s="3" customFormat="1" x14ac:dyDescent="0.25">
      <c r="A220" s="63"/>
      <c r="B220" s="7"/>
      <c r="C220" s="16">
        <v>40605</v>
      </c>
      <c r="D220" s="3">
        <v>5.2</v>
      </c>
      <c r="E220" s="3">
        <v>2.6</v>
      </c>
      <c r="F220" s="3">
        <v>10.7</v>
      </c>
      <c r="G220" s="3">
        <f t="shared" si="23"/>
        <v>1330.0999999999997</v>
      </c>
      <c r="H220" s="3">
        <f t="shared" si="28"/>
        <v>363.69999999999993</v>
      </c>
      <c r="J220" s="71">
        <v>0</v>
      </c>
      <c r="K220" s="3">
        <f t="shared" si="24"/>
        <v>352.99999999999983</v>
      </c>
      <c r="L220" s="3">
        <v>2.5</v>
      </c>
      <c r="M220" s="3">
        <f t="shared" si="25"/>
        <v>169.20000000000007</v>
      </c>
      <c r="N220" s="3">
        <v>-2.5</v>
      </c>
      <c r="O220" s="3">
        <f t="shared" si="31"/>
        <v>191.2</v>
      </c>
      <c r="P220" s="3">
        <v>171</v>
      </c>
      <c r="Q220" s="18">
        <f t="shared" si="20"/>
        <v>1.1054054054054054</v>
      </c>
      <c r="R220" s="10">
        <f t="shared" si="21"/>
        <v>2.7635135135135136</v>
      </c>
      <c r="S220" s="10">
        <f t="shared" si="22"/>
        <v>-2.7635135135135136</v>
      </c>
      <c r="T220" s="10">
        <f t="shared" si="26"/>
        <v>190.54932432432432</v>
      </c>
      <c r="V220" s="3">
        <v>1503.1</v>
      </c>
      <c r="X220" s="3">
        <f t="shared" si="27"/>
        <v>91273.800000000017</v>
      </c>
      <c r="Y220" s="3">
        <f t="shared" si="29"/>
        <v>23156.399999999998</v>
      </c>
      <c r="AA220" s="3">
        <v>11.0992736100799</v>
      </c>
      <c r="AB220" s="3">
        <v>9</v>
      </c>
    </row>
    <row r="221" spans="1:29" s="3" customFormat="1" x14ac:dyDescent="0.25">
      <c r="A221" s="63"/>
      <c r="B221" s="7"/>
      <c r="C221" s="16">
        <v>40606</v>
      </c>
      <c r="D221" s="3">
        <v>4.4000000000000004</v>
      </c>
      <c r="E221" s="3">
        <v>0.1</v>
      </c>
      <c r="F221" s="3">
        <v>9.8000000000000007</v>
      </c>
      <c r="G221" s="3">
        <f t="shared" si="23"/>
        <v>1334.4999999999998</v>
      </c>
      <c r="H221" s="3">
        <f t="shared" si="28"/>
        <v>368.09999999999991</v>
      </c>
      <c r="J221" s="71">
        <v>0</v>
      </c>
      <c r="K221" s="3">
        <f t="shared" si="24"/>
        <v>352.99999999999983</v>
      </c>
      <c r="L221" s="3">
        <v>2</v>
      </c>
      <c r="M221" s="3">
        <f t="shared" si="25"/>
        <v>171.20000000000007</v>
      </c>
      <c r="N221" s="3">
        <v>-2</v>
      </c>
      <c r="O221" s="3">
        <f t="shared" si="31"/>
        <v>189.2</v>
      </c>
      <c r="P221" s="3">
        <v>172</v>
      </c>
      <c r="Q221" s="18">
        <f t="shared" si="20"/>
        <v>1.1074324324324323</v>
      </c>
      <c r="R221" s="10">
        <f t="shared" si="21"/>
        <v>2.2148648648648646</v>
      </c>
      <c r="S221" s="10">
        <f t="shared" si="22"/>
        <v>-2.2148648648648646</v>
      </c>
      <c r="T221" s="10">
        <f t="shared" si="26"/>
        <v>188.33445945945945</v>
      </c>
      <c r="V221" s="3">
        <v>1501</v>
      </c>
      <c r="X221" s="3">
        <f t="shared" si="27"/>
        <v>92774.800000000017</v>
      </c>
      <c r="Y221" s="3">
        <f t="shared" si="29"/>
        <v>24657.399999999998</v>
      </c>
      <c r="AA221" s="3">
        <v>11.157342193318399</v>
      </c>
      <c r="AB221" s="73" t="s">
        <v>68</v>
      </c>
    </row>
    <row r="222" spans="1:29" s="3" customFormat="1" x14ac:dyDescent="0.25">
      <c r="A222" s="63"/>
      <c r="B222" s="7"/>
      <c r="C222" s="16">
        <v>40607</v>
      </c>
      <c r="D222" s="3">
        <v>4.4000000000000004</v>
      </c>
      <c r="E222" s="3">
        <v>-0.1</v>
      </c>
      <c r="F222" s="3">
        <v>10.3</v>
      </c>
      <c r="G222" s="3">
        <f t="shared" si="23"/>
        <v>1338.8999999999999</v>
      </c>
      <c r="H222" s="3">
        <f t="shared" si="28"/>
        <v>372.49999999999989</v>
      </c>
      <c r="J222" s="71">
        <v>0</v>
      </c>
      <c r="K222" s="3">
        <f t="shared" si="24"/>
        <v>352.99999999999983</v>
      </c>
      <c r="L222" s="3">
        <v>1.8</v>
      </c>
      <c r="M222" s="3">
        <f t="shared" si="25"/>
        <v>173.00000000000009</v>
      </c>
      <c r="N222" s="3">
        <v>-1.8</v>
      </c>
      <c r="O222" s="3">
        <f t="shared" si="31"/>
        <v>187.39999999999998</v>
      </c>
      <c r="P222" s="3">
        <v>173</v>
      </c>
      <c r="Q222" s="18">
        <f t="shared" si="20"/>
        <v>1.1094594594594593</v>
      </c>
      <c r="R222" s="10">
        <f t="shared" si="21"/>
        <v>1.9970270270270269</v>
      </c>
      <c r="S222" s="10">
        <f t="shared" si="22"/>
        <v>-1.9970270270270269</v>
      </c>
      <c r="T222" s="10">
        <f t="shared" si="26"/>
        <v>186.33743243243242</v>
      </c>
      <c r="V222" s="3">
        <v>1565.1</v>
      </c>
      <c r="X222" s="3">
        <f t="shared" si="27"/>
        <v>94339.900000000023</v>
      </c>
      <c r="Y222" s="3">
        <f t="shared" si="29"/>
        <v>26222.499999999996</v>
      </c>
      <c r="AA222" s="3">
        <v>11.215516337560899</v>
      </c>
      <c r="AB222" s="3">
        <v>7</v>
      </c>
    </row>
    <row r="223" spans="1:29" s="3" customFormat="1" x14ac:dyDescent="0.25">
      <c r="A223" s="63"/>
      <c r="B223" s="7"/>
      <c r="C223" s="16">
        <v>40608</v>
      </c>
      <c r="D223" s="3">
        <v>4.3</v>
      </c>
      <c r="E223" s="3">
        <v>-1.1000000000000001</v>
      </c>
      <c r="F223" s="3">
        <v>10.7</v>
      </c>
      <c r="G223" s="3">
        <f t="shared" si="23"/>
        <v>1343.1999999999998</v>
      </c>
      <c r="H223" s="3">
        <f t="shared" si="28"/>
        <v>376.7999999999999</v>
      </c>
      <c r="J223" s="71">
        <v>0</v>
      </c>
      <c r="K223" s="3">
        <f t="shared" si="24"/>
        <v>352.99999999999983</v>
      </c>
      <c r="L223" s="3">
        <v>1.9</v>
      </c>
      <c r="M223" s="3">
        <f t="shared" si="25"/>
        <v>174.90000000000009</v>
      </c>
      <c r="N223" s="3">
        <v>-1.9</v>
      </c>
      <c r="O223" s="3">
        <f t="shared" si="31"/>
        <v>185.49999999999997</v>
      </c>
      <c r="P223" s="3">
        <v>174</v>
      </c>
      <c r="Q223" s="18">
        <f t="shared" si="20"/>
        <v>1.1114864864864864</v>
      </c>
      <c r="R223" s="10">
        <f t="shared" si="21"/>
        <v>2.1118243243243242</v>
      </c>
      <c r="S223" s="10">
        <f t="shared" si="22"/>
        <v>-2.1118243243243242</v>
      </c>
      <c r="T223" s="10">
        <f t="shared" si="26"/>
        <v>184.2256081081081</v>
      </c>
      <c r="V223" s="3">
        <v>1540.4</v>
      </c>
      <c r="X223" s="3">
        <f t="shared" si="27"/>
        <v>95880.300000000017</v>
      </c>
      <c r="Y223" s="3">
        <f t="shared" si="29"/>
        <v>27762.899999999998</v>
      </c>
      <c r="AA223" s="3">
        <v>11.2737871859081</v>
      </c>
      <c r="AB223" s="73" t="s">
        <v>67</v>
      </c>
    </row>
    <row r="224" spans="1:29" s="3" customFormat="1" x14ac:dyDescent="0.25">
      <c r="A224" s="63"/>
      <c r="B224" s="7"/>
      <c r="C224" s="16">
        <v>40609</v>
      </c>
      <c r="D224" s="3">
        <v>3.9</v>
      </c>
      <c r="E224" s="3">
        <v>-0.8</v>
      </c>
      <c r="F224" s="3">
        <v>9.9</v>
      </c>
      <c r="G224" s="3">
        <f t="shared" si="23"/>
        <v>1347.1</v>
      </c>
      <c r="H224" s="3">
        <f t="shared" si="28"/>
        <v>380.69999999999987</v>
      </c>
      <c r="J224" s="71">
        <v>0</v>
      </c>
      <c r="K224" s="3">
        <f t="shared" si="24"/>
        <v>352.99999999999983</v>
      </c>
      <c r="L224" s="3">
        <v>1.9</v>
      </c>
      <c r="M224" s="3">
        <f t="shared" si="25"/>
        <v>176.8000000000001</v>
      </c>
      <c r="N224" s="3">
        <v>-1.9</v>
      </c>
      <c r="O224" s="3">
        <f t="shared" si="31"/>
        <v>183.59999999999997</v>
      </c>
      <c r="P224" s="3">
        <v>175</v>
      </c>
      <c r="Q224" s="18">
        <f t="shared" si="20"/>
        <v>1.1135135135135135</v>
      </c>
      <c r="R224" s="10">
        <f t="shared" si="21"/>
        <v>2.1156756756756754</v>
      </c>
      <c r="S224" s="10">
        <f t="shared" si="22"/>
        <v>-2.1156756756756754</v>
      </c>
      <c r="T224" s="72">
        <f t="shared" si="26"/>
        <v>182.10993243243243</v>
      </c>
      <c r="V224" s="3">
        <v>1601.7</v>
      </c>
      <c r="X224" s="3">
        <f t="shared" si="27"/>
        <v>97482.000000000015</v>
      </c>
      <c r="Y224" s="3">
        <f t="shared" si="29"/>
        <v>29364.6</v>
      </c>
      <c r="AA224" s="3">
        <v>11.332146202658601</v>
      </c>
      <c r="AB224" s="3">
        <v>0</v>
      </c>
    </row>
    <row r="225" spans="1:28" s="3" customFormat="1" x14ac:dyDescent="0.25">
      <c r="A225" s="63"/>
      <c r="B225" s="7"/>
      <c r="C225" s="16">
        <v>40610</v>
      </c>
      <c r="D225" s="3">
        <v>6.6</v>
      </c>
      <c r="E225" s="3">
        <v>-1.2</v>
      </c>
      <c r="F225" s="3">
        <v>13</v>
      </c>
      <c r="G225" s="3">
        <f t="shared" si="23"/>
        <v>1353.6999999999998</v>
      </c>
      <c r="H225" s="3">
        <f t="shared" si="28"/>
        <v>387.2999999999999</v>
      </c>
      <c r="J225" s="71">
        <v>0</v>
      </c>
      <c r="K225" s="3">
        <f t="shared" si="24"/>
        <v>352.99999999999983</v>
      </c>
      <c r="L225" s="3">
        <v>1.7</v>
      </c>
      <c r="M225" s="3">
        <f t="shared" si="25"/>
        <v>178.50000000000009</v>
      </c>
      <c r="N225" s="3">
        <v>-1.7</v>
      </c>
      <c r="O225" s="3">
        <f t="shared" si="31"/>
        <v>181.89999999999998</v>
      </c>
      <c r="P225" s="3">
        <v>176</v>
      </c>
      <c r="Q225" s="18">
        <f t="shared" si="20"/>
        <v>1.1155405405405405</v>
      </c>
      <c r="R225" s="10">
        <f t="shared" si="21"/>
        <v>1.8964189189189189</v>
      </c>
      <c r="S225" s="10">
        <f t="shared" si="22"/>
        <v>-1.8964189189189189</v>
      </c>
      <c r="T225" s="72">
        <f t="shared" si="26"/>
        <v>180.2135135135135</v>
      </c>
      <c r="V225" s="3">
        <v>1559.9</v>
      </c>
      <c r="X225" s="3">
        <f t="shared" si="27"/>
        <v>99041.900000000009</v>
      </c>
      <c r="Y225" s="3">
        <f t="shared" si="29"/>
        <v>30924.5</v>
      </c>
      <c r="AA225" s="3">
        <v>11.390585154468599</v>
      </c>
      <c r="AB225" s="73" t="s">
        <v>66</v>
      </c>
    </row>
    <row r="226" spans="1:28" s="3" customFormat="1" x14ac:dyDescent="0.25">
      <c r="A226" s="63"/>
      <c r="B226" s="7"/>
      <c r="C226" s="16">
        <v>40611</v>
      </c>
      <c r="D226" s="3">
        <v>8</v>
      </c>
      <c r="E226" s="3">
        <v>4.5999999999999996</v>
      </c>
      <c r="F226" s="3">
        <v>14</v>
      </c>
      <c r="G226" s="3">
        <f t="shared" si="23"/>
        <v>1361.6999999999998</v>
      </c>
      <c r="H226" s="3">
        <f t="shared" si="28"/>
        <v>395.2999999999999</v>
      </c>
      <c r="J226" s="71">
        <v>0</v>
      </c>
      <c r="K226" s="3">
        <f t="shared" si="24"/>
        <v>352.99999999999983</v>
      </c>
      <c r="L226" s="3">
        <v>1.8</v>
      </c>
      <c r="M226" s="3">
        <f t="shared" si="25"/>
        <v>180.3000000000001</v>
      </c>
      <c r="N226" s="3">
        <v>-1.8</v>
      </c>
      <c r="O226" s="3">
        <f t="shared" si="31"/>
        <v>180.09999999999997</v>
      </c>
      <c r="P226" s="3">
        <v>177</v>
      </c>
      <c r="Q226" s="18">
        <f t="shared" si="20"/>
        <v>1.1175675675675676</v>
      </c>
      <c r="R226" s="10">
        <f t="shared" si="21"/>
        <v>2.0116216216216216</v>
      </c>
      <c r="S226" s="10">
        <f t="shared" si="22"/>
        <v>-2.0116216216216216</v>
      </c>
      <c r="T226" s="72">
        <f t="shared" si="26"/>
        <v>178.20189189189188</v>
      </c>
      <c r="V226" s="3">
        <v>1232.2</v>
      </c>
      <c r="X226" s="3">
        <f t="shared" si="27"/>
        <v>100274.1</v>
      </c>
      <c r="Y226" s="3">
        <f t="shared" si="29"/>
        <v>32156.7</v>
      </c>
      <c r="AA226" s="3">
        <v>11.4490960915339</v>
      </c>
      <c r="AB226" s="3">
        <f>SUM(J228:J237)</f>
        <v>6.8999999999999995</v>
      </c>
    </row>
    <row r="227" spans="1:28" s="68" customFormat="1" x14ac:dyDescent="0.25">
      <c r="A227" s="63"/>
      <c r="B227" s="66" t="s">
        <v>72</v>
      </c>
      <c r="C227" s="67">
        <v>40612</v>
      </c>
      <c r="D227" s="68">
        <v>7.1</v>
      </c>
      <c r="E227" s="68">
        <v>1.3</v>
      </c>
      <c r="F227" s="68">
        <v>12.4</v>
      </c>
      <c r="G227" s="68">
        <f t="shared" si="23"/>
        <v>1368.7999999999997</v>
      </c>
      <c r="H227" s="68">
        <f t="shared" si="28"/>
        <v>402.39999999999992</v>
      </c>
      <c r="J227" s="68">
        <v>0</v>
      </c>
      <c r="K227" s="68">
        <f t="shared" si="24"/>
        <v>352.99999999999983</v>
      </c>
      <c r="L227" s="68">
        <v>0.9</v>
      </c>
      <c r="M227" s="68">
        <f t="shared" si="25"/>
        <v>181.2000000000001</v>
      </c>
      <c r="N227" s="68">
        <v>-0.9</v>
      </c>
      <c r="O227" s="68">
        <f t="shared" si="31"/>
        <v>179.19999999999996</v>
      </c>
      <c r="P227" s="68">
        <v>178</v>
      </c>
      <c r="Q227" s="69">
        <f t="shared" si="20"/>
        <v>1.1195945945945944</v>
      </c>
      <c r="R227" s="70">
        <f t="shared" si="21"/>
        <v>1.0076351351351349</v>
      </c>
      <c r="S227" s="70">
        <f t="shared" si="22"/>
        <v>-1.0076351351351349</v>
      </c>
      <c r="T227" s="70">
        <f t="shared" si="26"/>
        <v>177.19425675675674</v>
      </c>
      <c r="V227" s="68">
        <v>498.7</v>
      </c>
      <c r="X227" s="68">
        <f t="shared" si="27"/>
        <v>100772.8</v>
      </c>
      <c r="Y227" s="68">
        <f t="shared" si="29"/>
        <v>32655.4</v>
      </c>
      <c r="AA227" s="68">
        <v>11.507671328814601</v>
      </c>
    </row>
    <row r="228" spans="1:28" s="3" customFormat="1" x14ac:dyDescent="0.25">
      <c r="A228" s="63"/>
      <c r="B228" s="7"/>
      <c r="C228" s="16">
        <v>40613</v>
      </c>
      <c r="D228" s="3">
        <v>9.6999999999999993</v>
      </c>
      <c r="E228" s="3">
        <v>7.7</v>
      </c>
      <c r="F228" s="3">
        <v>14</v>
      </c>
      <c r="G228" s="3">
        <f t="shared" si="23"/>
        <v>1378.4999999999998</v>
      </c>
      <c r="H228" s="3">
        <f t="shared" si="28"/>
        <v>412.09999999999991</v>
      </c>
      <c r="J228" s="71">
        <v>0</v>
      </c>
      <c r="K228" s="3">
        <f t="shared" si="24"/>
        <v>352.99999999999983</v>
      </c>
      <c r="L228" s="3">
        <v>1.2</v>
      </c>
      <c r="M228" s="3">
        <f t="shared" si="25"/>
        <v>182.40000000000009</v>
      </c>
      <c r="N228" s="3">
        <v>-1.2</v>
      </c>
      <c r="O228" s="3">
        <f t="shared" si="31"/>
        <v>177.99999999999997</v>
      </c>
      <c r="P228" s="3">
        <v>179</v>
      </c>
      <c r="Q228" s="18">
        <f t="shared" si="20"/>
        <v>1.1216216216216215</v>
      </c>
      <c r="R228" s="10">
        <f t="shared" si="21"/>
        <v>1.3459459459459457</v>
      </c>
      <c r="S228" s="10">
        <f t="shared" si="22"/>
        <v>-1.3459459459459457</v>
      </c>
      <c r="T228" s="72">
        <f t="shared" si="26"/>
        <v>175.8483108108108</v>
      </c>
      <c r="V228" s="3">
        <v>343</v>
      </c>
      <c r="X228" s="3">
        <f t="shared" si="27"/>
        <v>101115.8</v>
      </c>
      <c r="Y228" s="3">
        <f t="shared" si="29"/>
        <v>32998.400000000001</v>
      </c>
      <c r="AA228" s="3">
        <v>11.5663034273196</v>
      </c>
    </row>
    <row r="229" spans="1:28" s="3" customFormat="1" x14ac:dyDescent="0.25">
      <c r="A229" s="63"/>
      <c r="B229" s="7"/>
      <c r="C229" s="16">
        <v>40614</v>
      </c>
      <c r="D229" s="3">
        <v>8.1</v>
      </c>
      <c r="E229" s="3">
        <v>4.5</v>
      </c>
      <c r="F229" s="3">
        <v>10.6</v>
      </c>
      <c r="G229" s="3">
        <f t="shared" si="23"/>
        <v>1386.5999999999997</v>
      </c>
      <c r="H229" s="3">
        <f t="shared" si="28"/>
        <v>420.19999999999993</v>
      </c>
      <c r="J229" s="71">
        <v>2</v>
      </c>
      <c r="K229" s="3">
        <f t="shared" si="24"/>
        <v>354.99999999999983</v>
      </c>
      <c r="L229" s="3">
        <v>0.4</v>
      </c>
      <c r="M229" s="3">
        <f t="shared" si="25"/>
        <v>182.8000000000001</v>
      </c>
      <c r="N229" s="3">
        <v>1.6</v>
      </c>
      <c r="O229" s="3">
        <f t="shared" si="31"/>
        <v>179.59999999999997</v>
      </c>
      <c r="P229" s="3">
        <v>180</v>
      </c>
      <c r="Q229" s="18">
        <f t="shared" si="20"/>
        <v>1.1236486486486486</v>
      </c>
      <c r="R229" s="10">
        <f t="shared" si="21"/>
        <v>0.44945945945945942</v>
      </c>
      <c r="S229" s="10">
        <f t="shared" si="22"/>
        <v>1.5505405405405406</v>
      </c>
      <c r="T229" s="72">
        <f t="shared" si="26"/>
        <v>177.39885135135134</v>
      </c>
      <c r="V229" s="3">
        <v>247.6</v>
      </c>
      <c r="X229" s="3">
        <f t="shared" si="27"/>
        <v>101363.40000000001</v>
      </c>
      <c r="Y229" s="3">
        <f t="shared" si="29"/>
        <v>33246</v>
      </c>
      <c r="AA229" s="3">
        <v>11.6249851754635</v>
      </c>
    </row>
    <row r="230" spans="1:28" s="3" customFormat="1" x14ac:dyDescent="0.25">
      <c r="A230" s="63"/>
      <c r="B230" s="7"/>
      <c r="C230" s="16">
        <v>40615</v>
      </c>
      <c r="D230" s="3">
        <v>8.8000000000000007</v>
      </c>
      <c r="E230" s="3">
        <v>8.1999999999999993</v>
      </c>
      <c r="F230" s="3">
        <v>10.8</v>
      </c>
      <c r="G230" s="3">
        <f t="shared" si="23"/>
        <v>1395.3999999999996</v>
      </c>
      <c r="H230" s="3">
        <f t="shared" si="28"/>
        <v>428.99999999999994</v>
      </c>
      <c r="J230" s="71">
        <v>2.6</v>
      </c>
      <c r="K230" s="3">
        <f t="shared" si="24"/>
        <v>357.59999999999985</v>
      </c>
      <c r="L230" s="3">
        <v>0.5</v>
      </c>
      <c r="M230" s="3">
        <f t="shared" si="25"/>
        <v>183.3000000000001</v>
      </c>
      <c r="N230" s="3">
        <v>2.1</v>
      </c>
      <c r="O230" s="3">
        <f t="shared" si="31"/>
        <v>181.69999999999996</v>
      </c>
      <c r="P230" s="3">
        <v>181</v>
      </c>
      <c r="Q230" s="18">
        <f t="shared" si="20"/>
        <v>1.1256756756756756</v>
      </c>
      <c r="R230" s="10">
        <f t="shared" si="21"/>
        <v>0.56283783783783781</v>
      </c>
      <c r="S230" s="10">
        <f t="shared" si="22"/>
        <v>2.0371621621621623</v>
      </c>
      <c r="T230" s="72">
        <f t="shared" si="26"/>
        <v>179.4360135135135</v>
      </c>
      <c r="V230" s="3">
        <v>314.60000000000002</v>
      </c>
      <c r="X230" s="3">
        <f t="shared" si="27"/>
        <v>101678.00000000001</v>
      </c>
      <c r="Y230" s="3">
        <f t="shared" si="29"/>
        <v>33560.6</v>
      </c>
      <c r="AA230" s="3">
        <v>11.6837095705081</v>
      </c>
    </row>
    <row r="231" spans="1:28" s="3" customFormat="1" x14ac:dyDescent="0.25">
      <c r="A231" s="63"/>
      <c r="B231" s="7"/>
      <c r="C231" s="16">
        <v>40616</v>
      </c>
      <c r="D231" s="3">
        <v>9.5</v>
      </c>
      <c r="E231" s="3">
        <v>3.7</v>
      </c>
      <c r="F231" s="3">
        <v>13.7</v>
      </c>
      <c r="G231" s="3">
        <f t="shared" si="23"/>
        <v>1404.8999999999996</v>
      </c>
      <c r="H231" s="3">
        <f t="shared" si="28"/>
        <v>438.49999999999994</v>
      </c>
      <c r="J231" s="71">
        <v>0</v>
      </c>
      <c r="K231" s="3">
        <f t="shared" si="24"/>
        <v>357.59999999999985</v>
      </c>
      <c r="L231" s="3">
        <v>0.6</v>
      </c>
      <c r="M231" s="3">
        <f t="shared" si="25"/>
        <v>183.90000000000009</v>
      </c>
      <c r="N231" s="3">
        <v>-0.6</v>
      </c>
      <c r="O231" s="3">
        <f t="shared" si="31"/>
        <v>181.09999999999997</v>
      </c>
      <c r="P231" s="3">
        <v>182</v>
      </c>
      <c r="Q231" s="18">
        <f t="shared" si="20"/>
        <v>1.1277027027027027</v>
      </c>
      <c r="R231" s="10">
        <f t="shared" si="21"/>
        <v>0.67662162162162154</v>
      </c>
      <c r="S231" s="10">
        <f t="shared" si="22"/>
        <v>-0.67662162162162154</v>
      </c>
      <c r="T231" s="72">
        <f t="shared" si="26"/>
        <v>178.75939189189188</v>
      </c>
      <c r="V231" s="3">
        <v>467.2</v>
      </c>
      <c r="X231" s="3">
        <f t="shared" si="27"/>
        <v>102145.20000000001</v>
      </c>
      <c r="Y231" s="3">
        <f t="shared" si="29"/>
        <v>34027.799999999996</v>
      </c>
      <c r="AA231" s="3">
        <v>11.7424698000957</v>
      </c>
    </row>
    <row r="232" spans="1:28" s="3" customFormat="1" x14ac:dyDescent="0.25">
      <c r="A232" s="63"/>
      <c r="B232" s="7"/>
      <c r="C232" s="16">
        <v>40617</v>
      </c>
      <c r="D232" s="3">
        <v>13.3</v>
      </c>
      <c r="E232" s="3">
        <v>10.1</v>
      </c>
      <c r="F232" s="3">
        <v>17.7</v>
      </c>
      <c r="G232" s="3">
        <f t="shared" si="23"/>
        <v>1418.1999999999996</v>
      </c>
      <c r="H232" s="3">
        <f t="shared" si="28"/>
        <v>451.79999999999995</v>
      </c>
      <c r="J232" s="71">
        <v>0</v>
      </c>
      <c r="K232" s="3">
        <f t="shared" si="24"/>
        <v>357.59999999999985</v>
      </c>
      <c r="L232" s="3">
        <v>1.6</v>
      </c>
      <c r="M232" s="3">
        <f t="shared" si="25"/>
        <v>185.50000000000009</v>
      </c>
      <c r="N232" s="3">
        <v>-1.6</v>
      </c>
      <c r="O232" s="3">
        <f t="shared" si="31"/>
        <v>179.49999999999997</v>
      </c>
      <c r="P232" s="3">
        <v>183</v>
      </c>
      <c r="Q232" s="18">
        <f t="shared" si="20"/>
        <v>1.1297297297297297</v>
      </c>
      <c r="R232" s="10">
        <f t="shared" si="21"/>
        <v>1.8075675675675678</v>
      </c>
      <c r="S232" s="10">
        <f t="shared" si="22"/>
        <v>-1.8075675675675678</v>
      </c>
      <c r="T232" s="72">
        <f t="shared" si="26"/>
        <v>176.95182432432432</v>
      </c>
      <c r="V232" s="3">
        <v>321.7</v>
      </c>
      <c r="X232" s="3">
        <f t="shared" si="27"/>
        <v>102466.90000000001</v>
      </c>
      <c r="Y232" s="3">
        <f t="shared" si="29"/>
        <v>34349.499999999993</v>
      </c>
      <c r="AA232" s="3">
        <v>11.8012592238835</v>
      </c>
    </row>
    <row r="233" spans="1:28" s="3" customFormat="1" x14ac:dyDescent="0.25">
      <c r="A233" s="63"/>
      <c r="B233" s="7"/>
      <c r="C233" s="16">
        <v>40618</v>
      </c>
      <c r="D233" s="3">
        <v>10.199999999999999</v>
      </c>
      <c r="E233" s="3">
        <v>9</v>
      </c>
      <c r="F233" s="3">
        <v>12.2</v>
      </c>
      <c r="G233" s="3">
        <f t="shared" si="23"/>
        <v>1428.3999999999996</v>
      </c>
      <c r="H233" s="3">
        <f t="shared" si="28"/>
        <v>461.99999999999994</v>
      </c>
      <c r="J233" s="71">
        <v>0</v>
      </c>
      <c r="K233" s="3">
        <f t="shared" si="24"/>
        <v>357.59999999999985</v>
      </c>
      <c r="L233" s="3">
        <v>1.7</v>
      </c>
      <c r="M233" s="3">
        <f t="shared" si="25"/>
        <v>187.20000000000007</v>
      </c>
      <c r="N233" s="3">
        <v>-1.7</v>
      </c>
      <c r="O233" s="3">
        <f t="shared" si="31"/>
        <v>177.79999999999998</v>
      </c>
      <c r="P233" s="3">
        <v>184</v>
      </c>
      <c r="Q233" s="18">
        <f t="shared" si="20"/>
        <v>1.1317567567567566</v>
      </c>
      <c r="R233" s="10">
        <f t="shared" si="21"/>
        <v>1.9239864864864862</v>
      </c>
      <c r="S233" s="10">
        <f t="shared" si="22"/>
        <v>-1.9239864864864862</v>
      </c>
      <c r="T233" s="72">
        <f t="shared" si="26"/>
        <v>175.02783783783784</v>
      </c>
      <c r="V233" s="3">
        <v>978</v>
      </c>
      <c r="X233" s="3">
        <f t="shared" si="27"/>
        <v>103444.90000000001</v>
      </c>
      <c r="Y233" s="3">
        <f t="shared" si="29"/>
        <v>35327.499999999993</v>
      </c>
      <c r="AA233" s="3">
        <v>11.8600713552808</v>
      </c>
    </row>
    <row r="234" spans="1:28" s="3" customFormat="1" x14ac:dyDescent="0.25">
      <c r="A234" s="63"/>
      <c r="B234" s="7"/>
      <c r="C234" s="16">
        <v>40619</v>
      </c>
      <c r="D234" s="3">
        <v>8.6</v>
      </c>
      <c r="E234" s="3">
        <v>8.5</v>
      </c>
      <c r="F234" s="3">
        <v>9.5</v>
      </c>
      <c r="G234" s="3">
        <f t="shared" si="23"/>
        <v>1436.9999999999995</v>
      </c>
      <c r="H234" s="3">
        <f t="shared" si="28"/>
        <v>470.59999999999997</v>
      </c>
      <c r="J234" s="71">
        <v>0</v>
      </c>
      <c r="K234" s="3">
        <f t="shared" si="24"/>
        <v>357.59999999999985</v>
      </c>
      <c r="L234" s="3">
        <v>1</v>
      </c>
      <c r="M234" s="3">
        <f t="shared" si="25"/>
        <v>188.20000000000007</v>
      </c>
      <c r="N234" s="3">
        <v>-1</v>
      </c>
      <c r="O234" s="3">
        <f t="shared" si="31"/>
        <v>176.79999999999998</v>
      </c>
      <c r="P234" s="3">
        <v>185</v>
      </c>
      <c r="Q234" s="18">
        <f t="shared" ref="Q234:Q242" si="32">1+((P234-119)/74)*(1.15-1)</f>
        <v>1.1337837837837836</v>
      </c>
      <c r="R234" s="10">
        <f t="shared" si="21"/>
        <v>1.1337837837837836</v>
      </c>
      <c r="S234" s="10">
        <f t="shared" si="22"/>
        <v>-1.1337837837837836</v>
      </c>
      <c r="T234" s="72">
        <f t="shared" si="26"/>
        <v>173.89405405405407</v>
      </c>
      <c r="V234" s="3">
        <v>571.6</v>
      </c>
      <c r="X234" s="3">
        <f t="shared" si="27"/>
        <v>104016.50000000001</v>
      </c>
      <c r="Y234" s="3">
        <f t="shared" si="29"/>
        <v>35899.099999999991</v>
      </c>
      <c r="AA234" s="3">
        <v>11.9188998432952</v>
      </c>
    </row>
    <row r="235" spans="1:28" s="3" customFormat="1" x14ac:dyDescent="0.25">
      <c r="A235" s="63"/>
      <c r="B235" s="7"/>
      <c r="C235" s="16">
        <v>40620</v>
      </c>
      <c r="D235" s="3">
        <v>10.199999999999999</v>
      </c>
      <c r="E235" s="3">
        <v>6.1</v>
      </c>
      <c r="F235" s="3">
        <v>14.1</v>
      </c>
      <c r="G235" s="3">
        <f t="shared" si="23"/>
        <v>1447.1999999999996</v>
      </c>
      <c r="H235" s="3">
        <f t="shared" si="28"/>
        <v>480.79999999999995</v>
      </c>
      <c r="J235" s="71">
        <v>2.2999999999999998</v>
      </c>
      <c r="K235" s="3">
        <f t="shared" si="24"/>
        <v>359.89999999999986</v>
      </c>
      <c r="L235" s="3">
        <v>0.6</v>
      </c>
      <c r="M235" s="3">
        <f t="shared" si="25"/>
        <v>188.80000000000007</v>
      </c>
      <c r="N235" s="3">
        <v>1.6999999999999997</v>
      </c>
      <c r="O235" s="3">
        <f t="shared" si="31"/>
        <v>178.49999999999997</v>
      </c>
      <c r="P235" s="3">
        <v>186</v>
      </c>
      <c r="Q235" s="18">
        <f t="shared" si="32"/>
        <v>1.1358108108108107</v>
      </c>
      <c r="R235" s="10">
        <f t="shared" si="21"/>
        <v>0.68148648648648635</v>
      </c>
      <c r="S235" s="10">
        <f t="shared" si="22"/>
        <v>1.6185135135135136</v>
      </c>
      <c r="T235" s="72">
        <f t="shared" si="26"/>
        <v>175.51256756756757</v>
      </c>
      <c r="V235" s="3">
        <v>314.5</v>
      </c>
      <c r="X235" s="3">
        <f t="shared" si="27"/>
        <v>104331.00000000001</v>
      </c>
      <c r="Y235" s="3">
        <f t="shared" si="29"/>
        <v>36213.599999999991</v>
      </c>
      <c r="AA235" s="3">
        <v>11.9777384544863</v>
      </c>
    </row>
    <row r="236" spans="1:28" s="3" customFormat="1" x14ac:dyDescent="0.25">
      <c r="A236" s="63"/>
      <c r="B236" s="7"/>
      <c r="C236" s="16">
        <v>40621</v>
      </c>
      <c r="D236" s="3">
        <v>7.9</v>
      </c>
      <c r="E236" s="3">
        <v>5.0999999999999996</v>
      </c>
      <c r="F236" s="3">
        <v>11.6</v>
      </c>
      <c r="G236" s="3">
        <f t="shared" si="23"/>
        <v>1455.0999999999997</v>
      </c>
      <c r="H236" s="3">
        <f t="shared" si="28"/>
        <v>488.69999999999993</v>
      </c>
      <c r="J236" s="71">
        <v>0</v>
      </c>
      <c r="K236" s="3">
        <f t="shared" si="24"/>
        <v>359.89999999999986</v>
      </c>
      <c r="L236" s="3">
        <v>2.1</v>
      </c>
      <c r="M236" s="3">
        <f t="shared" si="25"/>
        <v>190.90000000000006</v>
      </c>
      <c r="N236" s="3">
        <v>-2.1</v>
      </c>
      <c r="O236" s="3">
        <f t="shared" si="31"/>
        <v>176.39999999999998</v>
      </c>
      <c r="P236" s="3">
        <v>187</v>
      </c>
      <c r="Q236" s="18">
        <f t="shared" si="32"/>
        <v>1.1378378378378378</v>
      </c>
      <c r="R236" s="10">
        <f t="shared" si="21"/>
        <v>2.3894594594594594</v>
      </c>
      <c r="S236" s="10">
        <f t="shared" si="22"/>
        <v>-2.3894594594594594</v>
      </c>
      <c r="T236" s="72">
        <f t="shared" si="26"/>
        <v>173.12310810810811</v>
      </c>
      <c r="V236" s="3">
        <v>1342.5</v>
      </c>
      <c r="X236" s="3">
        <f t="shared" si="27"/>
        <v>105673.50000000001</v>
      </c>
      <c r="Y236" s="3">
        <f t="shared" si="29"/>
        <v>37556.099999999991</v>
      </c>
      <c r="AA236" s="3">
        <v>12.0365810550304</v>
      </c>
    </row>
    <row r="237" spans="1:28" s="3" customFormat="1" x14ac:dyDescent="0.25">
      <c r="A237" s="63"/>
      <c r="B237" s="7"/>
      <c r="C237" s="16">
        <v>40622</v>
      </c>
      <c r="D237" s="3">
        <v>8.1999999999999993</v>
      </c>
      <c r="E237" s="3">
        <v>5.6</v>
      </c>
      <c r="F237" s="3">
        <v>13</v>
      </c>
      <c r="G237" s="3">
        <f t="shared" si="23"/>
        <v>1463.2999999999997</v>
      </c>
      <c r="H237" s="3">
        <f t="shared" si="28"/>
        <v>496.89999999999992</v>
      </c>
      <c r="J237" s="71">
        <v>0</v>
      </c>
      <c r="K237" s="3">
        <f t="shared" si="24"/>
        <v>359.89999999999986</v>
      </c>
      <c r="L237" s="3">
        <v>1.5</v>
      </c>
      <c r="M237" s="3">
        <f t="shared" si="25"/>
        <v>192.40000000000006</v>
      </c>
      <c r="N237" s="3">
        <v>-1.5</v>
      </c>
      <c r="O237" s="3">
        <f t="shared" si="31"/>
        <v>174.89999999999998</v>
      </c>
      <c r="P237" s="3">
        <v>188</v>
      </c>
      <c r="Q237" s="18">
        <f t="shared" si="32"/>
        <v>1.1398648648648648</v>
      </c>
      <c r="R237" s="10">
        <f t="shared" si="21"/>
        <v>1.7097972972972972</v>
      </c>
      <c r="S237" s="10">
        <f t="shared" si="22"/>
        <v>-1.7097972972972972</v>
      </c>
      <c r="T237" s="72">
        <f t="shared" si="26"/>
        <v>171.41331081081083</v>
      </c>
      <c r="V237" s="3">
        <v>1028.8</v>
      </c>
      <c r="X237" s="3">
        <f t="shared" si="27"/>
        <v>106702.30000000002</v>
      </c>
      <c r="Y237" s="3">
        <f t="shared" si="29"/>
        <v>38584.899999999994</v>
      </c>
      <c r="AA237" s="3">
        <v>12.095421592892601</v>
      </c>
    </row>
    <row r="238" spans="1:28" s="3" customFormat="1" x14ac:dyDescent="0.25">
      <c r="A238" s="63"/>
      <c r="B238" s="7"/>
      <c r="C238" s="16">
        <v>40623</v>
      </c>
      <c r="D238" s="3">
        <v>7.2</v>
      </c>
      <c r="E238" s="3">
        <v>-0.3</v>
      </c>
      <c r="F238" s="3">
        <v>15.5</v>
      </c>
      <c r="G238" s="3">
        <f t="shared" si="23"/>
        <v>1470.4999999999998</v>
      </c>
      <c r="H238" s="3">
        <f t="shared" si="28"/>
        <v>504.09999999999991</v>
      </c>
      <c r="J238" s="3">
        <v>0</v>
      </c>
      <c r="K238" s="3">
        <f t="shared" si="24"/>
        <v>359.89999999999986</v>
      </c>
      <c r="L238" s="3">
        <v>2.7</v>
      </c>
      <c r="M238" s="3">
        <f t="shared" si="25"/>
        <v>195.10000000000005</v>
      </c>
      <c r="N238" s="3">
        <v>-2.7</v>
      </c>
      <c r="O238" s="3">
        <f t="shared" si="31"/>
        <v>172.2</v>
      </c>
      <c r="P238" s="3">
        <v>189</v>
      </c>
      <c r="Q238" s="18">
        <f t="shared" si="32"/>
        <v>1.1418918918918919</v>
      </c>
      <c r="R238" s="10">
        <f t="shared" si="21"/>
        <v>3.0831081081081084</v>
      </c>
      <c r="S238" s="10">
        <f t="shared" si="22"/>
        <v>-3.0831081081081084</v>
      </c>
      <c r="T238" s="10">
        <f t="shared" si="26"/>
        <v>168.33020270270271</v>
      </c>
      <c r="V238" s="3">
        <v>1907.2</v>
      </c>
      <c r="X238" s="3">
        <f t="shared" si="27"/>
        <v>108609.50000000001</v>
      </c>
      <c r="Y238" s="3">
        <f t="shared" si="29"/>
        <v>40492.099999999991</v>
      </c>
      <c r="AA238" s="3">
        <v>12.1542540801066</v>
      </c>
    </row>
    <row r="239" spans="1:28" s="3" customFormat="1" x14ac:dyDescent="0.25">
      <c r="A239" s="63"/>
      <c r="B239" s="7"/>
      <c r="C239" s="16">
        <v>40624</v>
      </c>
      <c r="D239" s="3">
        <v>9.3000000000000007</v>
      </c>
      <c r="E239" s="3">
        <v>1.8</v>
      </c>
      <c r="F239" s="3">
        <v>17.7</v>
      </c>
      <c r="G239" s="3">
        <f t="shared" si="23"/>
        <v>1479.7999999999997</v>
      </c>
      <c r="H239" s="3">
        <f t="shared" si="28"/>
        <v>513.39999999999986</v>
      </c>
      <c r="J239" s="3">
        <v>0</v>
      </c>
      <c r="K239" s="3">
        <f t="shared" si="24"/>
        <v>359.89999999999986</v>
      </c>
      <c r="L239" s="3">
        <v>3.3</v>
      </c>
      <c r="M239" s="3">
        <f t="shared" si="25"/>
        <v>198.40000000000006</v>
      </c>
      <c r="N239" s="3">
        <v>-3.3</v>
      </c>
      <c r="O239" s="3">
        <f t="shared" si="31"/>
        <v>168.89999999999998</v>
      </c>
      <c r="P239" s="3">
        <v>190</v>
      </c>
      <c r="Q239" s="18">
        <f t="shared" si="32"/>
        <v>1.1439189189189189</v>
      </c>
      <c r="R239" s="10">
        <f t="shared" si="21"/>
        <v>3.7749324324324323</v>
      </c>
      <c r="S239" s="10">
        <f t="shared" si="22"/>
        <v>-3.7749324324324323</v>
      </c>
      <c r="T239" s="10">
        <f t="shared" si="26"/>
        <v>164.55527027027028</v>
      </c>
      <c r="V239" s="3">
        <v>1959.8</v>
      </c>
      <c r="X239" s="3">
        <f t="shared" si="27"/>
        <v>110569.30000000002</v>
      </c>
      <c r="Y239" s="3">
        <f t="shared" si="29"/>
        <v>42451.899999999994</v>
      </c>
      <c r="AA239" s="3">
        <v>12.2130725751594</v>
      </c>
    </row>
    <row r="240" spans="1:28" s="3" customFormat="1" x14ac:dyDescent="0.25">
      <c r="A240" s="63"/>
      <c r="B240" s="7"/>
      <c r="C240" s="16">
        <v>40625</v>
      </c>
      <c r="D240" s="3">
        <v>10.3</v>
      </c>
      <c r="E240" s="3">
        <v>2</v>
      </c>
      <c r="F240" s="3">
        <v>19</v>
      </c>
      <c r="G240" s="3">
        <f t="shared" si="23"/>
        <v>1490.0999999999997</v>
      </c>
      <c r="H240" s="3">
        <f t="shared" si="28"/>
        <v>523.69999999999982</v>
      </c>
      <c r="J240" s="3">
        <v>0</v>
      </c>
      <c r="K240" s="3">
        <f t="shared" si="24"/>
        <v>359.89999999999986</v>
      </c>
      <c r="L240" s="3">
        <v>3.2</v>
      </c>
      <c r="M240" s="3">
        <f t="shared" si="25"/>
        <v>201.60000000000005</v>
      </c>
      <c r="N240" s="3">
        <v>-3.2</v>
      </c>
      <c r="O240" s="3">
        <f t="shared" si="31"/>
        <v>165.7</v>
      </c>
      <c r="P240" s="3">
        <v>191</v>
      </c>
      <c r="Q240" s="18">
        <f t="shared" si="32"/>
        <v>1.1459459459459458</v>
      </c>
      <c r="R240" s="10">
        <f t="shared" si="21"/>
        <v>3.6670270270270269</v>
      </c>
      <c r="S240" s="10">
        <f t="shared" si="22"/>
        <v>-3.6670270270270269</v>
      </c>
      <c r="T240" s="10">
        <f t="shared" si="26"/>
        <v>160.88824324324327</v>
      </c>
      <c r="V240" s="3">
        <v>1993.5</v>
      </c>
      <c r="X240" s="3">
        <f t="shared" si="27"/>
        <v>112562.80000000002</v>
      </c>
      <c r="Y240" s="3">
        <f t="shared" si="29"/>
        <v>44445.399999999994</v>
      </c>
      <c r="AA240" s="3">
        <v>12.2718711654767</v>
      </c>
    </row>
    <row r="241" spans="1:27" s="3" customFormat="1" x14ac:dyDescent="0.25">
      <c r="A241" s="63"/>
      <c r="B241" s="7"/>
      <c r="C241" s="16">
        <v>40626</v>
      </c>
      <c r="D241" s="3">
        <v>10.8</v>
      </c>
      <c r="E241" s="3">
        <v>3.8</v>
      </c>
      <c r="F241" s="3">
        <v>19.399999999999999</v>
      </c>
      <c r="G241" s="3">
        <f t="shared" si="23"/>
        <v>1500.8999999999996</v>
      </c>
      <c r="H241" s="3">
        <f t="shared" si="28"/>
        <v>534.49999999999977</v>
      </c>
      <c r="J241" s="3">
        <v>0</v>
      </c>
      <c r="K241" s="3">
        <f t="shared" si="24"/>
        <v>359.89999999999986</v>
      </c>
      <c r="L241" s="3">
        <v>3.3</v>
      </c>
      <c r="M241" s="3">
        <f t="shared" si="25"/>
        <v>204.90000000000006</v>
      </c>
      <c r="N241" s="3">
        <v>-3.3</v>
      </c>
      <c r="O241" s="3">
        <f t="shared" si="31"/>
        <v>162.39999999999998</v>
      </c>
      <c r="P241" s="3">
        <v>192</v>
      </c>
      <c r="Q241" s="18">
        <f t="shared" si="32"/>
        <v>1.1479729729729728</v>
      </c>
      <c r="R241" s="10">
        <f t="shared" si="21"/>
        <v>3.7883108108108101</v>
      </c>
      <c r="S241" s="10">
        <f t="shared" si="22"/>
        <v>-3.7883108108108101</v>
      </c>
      <c r="T241" s="10">
        <f t="shared" si="26"/>
        <v>157.09993243243247</v>
      </c>
      <c r="V241" s="3">
        <v>2015.7</v>
      </c>
      <c r="W241" s="11"/>
      <c r="X241" s="3">
        <f t="shared" si="27"/>
        <v>114578.50000000001</v>
      </c>
      <c r="Y241" s="3">
        <f t="shared" si="29"/>
        <v>46461.099999999991</v>
      </c>
      <c r="AA241" s="3">
        <v>12.3306439500082</v>
      </c>
    </row>
    <row r="242" spans="1:27" s="39" customFormat="1" ht="15" customHeight="1" thickBot="1" x14ac:dyDescent="0.3">
      <c r="A242" s="63"/>
      <c r="B242" s="36"/>
      <c r="C242" s="37">
        <v>40627</v>
      </c>
      <c r="D242" s="38">
        <v>11.4</v>
      </c>
      <c r="E242" s="38">
        <v>4.3</v>
      </c>
      <c r="F242" s="38">
        <v>18.600000000000001</v>
      </c>
      <c r="G242" s="39">
        <f t="shared" si="23"/>
        <v>1512.2999999999997</v>
      </c>
      <c r="H242" s="39">
        <f t="shared" si="28"/>
        <v>545.89999999999975</v>
      </c>
      <c r="J242" s="38">
        <v>0</v>
      </c>
      <c r="K242" s="39">
        <f t="shared" si="24"/>
        <v>359.89999999999986</v>
      </c>
      <c r="L242" s="38">
        <v>1</v>
      </c>
      <c r="M242" s="39">
        <f t="shared" si="25"/>
        <v>205.90000000000006</v>
      </c>
      <c r="N242" s="38">
        <v>-1</v>
      </c>
      <c r="O242" s="39">
        <f t="shared" si="31"/>
        <v>161.39999999999998</v>
      </c>
      <c r="P242" s="39">
        <v>193</v>
      </c>
      <c r="Q242" s="40">
        <f t="shared" si="32"/>
        <v>1.1499999999999999</v>
      </c>
      <c r="R242" s="41">
        <f t="shared" ref="R242:R305" si="33">Q242*L242</f>
        <v>1.1499999999999999</v>
      </c>
      <c r="S242" s="41">
        <f t="shared" ref="S242:S305" si="34">J242-R242</f>
        <v>-1.1499999999999999</v>
      </c>
      <c r="T242" s="42">
        <f t="shared" si="26"/>
        <v>155.94993243243246</v>
      </c>
      <c r="V242" s="38">
        <v>505.9</v>
      </c>
      <c r="W242" s="38"/>
      <c r="X242" s="39">
        <f t="shared" si="27"/>
        <v>115084.40000000001</v>
      </c>
      <c r="Y242" s="43">
        <f t="shared" si="29"/>
        <v>46966.999999999993</v>
      </c>
      <c r="AA242" s="43">
        <v>12.389385021906101</v>
      </c>
    </row>
    <row r="243" spans="1:27" s="3" customFormat="1" x14ac:dyDescent="0.25">
      <c r="A243" s="20" t="s">
        <v>21</v>
      </c>
      <c r="B243" s="4"/>
      <c r="C243" s="21">
        <v>40628</v>
      </c>
      <c r="D243" s="3">
        <v>12.2</v>
      </c>
      <c r="E243" s="3">
        <v>5.7</v>
      </c>
      <c r="F243" s="3">
        <v>19</v>
      </c>
      <c r="G243" s="3">
        <f t="shared" si="23"/>
        <v>1524.4999999999998</v>
      </c>
      <c r="H243" s="3">
        <v>12.2</v>
      </c>
      <c r="I243" s="22" t="s">
        <v>2</v>
      </c>
      <c r="J243" s="3">
        <v>2.2999999999999998</v>
      </c>
      <c r="K243" s="3">
        <f t="shared" si="24"/>
        <v>362.19999999999987</v>
      </c>
      <c r="L243" s="3">
        <v>1.3</v>
      </c>
      <c r="M243" s="3">
        <f t="shared" si="25"/>
        <v>207.20000000000007</v>
      </c>
      <c r="N243" s="3">
        <v>0.99999999999999978</v>
      </c>
      <c r="O243" s="3">
        <f t="shared" si="31"/>
        <v>162.39999999999998</v>
      </c>
      <c r="P243" s="3">
        <v>194</v>
      </c>
      <c r="Q243" s="3">
        <v>1.1499999999999999</v>
      </c>
      <c r="R243" s="10">
        <f t="shared" si="33"/>
        <v>1.4949999999999999</v>
      </c>
      <c r="S243" s="10">
        <f t="shared" si="34"/>
        <v>0.80499999999999994</v>
      </c>
      <c r="T243" s="10">
        <f t="shared" si="26"/>
        <v>156.75493243243247</v>
      </c>
      <c r="U243" s="22" t="s">
        <v>3</v>
      </c>
      <c r="V243" s="3">
        <v>687.1</v>
      </c>
      <c r="X243" s="3">
        <f t="shared" si="27"/>
        <v>115771.50000000001</v>
      </c>
      <c r="Y243" s="3">
        <v>687.1</v>
      </c>
      <c r="Z243" s="22" t="s">
        <v>4</v>
      </c>
      <c r="AA243" s="3">
        <v>12.4480884512964</v>
      </c>
    </row>
    <row r="244" spans="1:27" s="3" customFormat="1" x14ac:dyDescent="0.25">
      <c r="A244" s="23"/>
      <c r="B244" s="4"/>
      <c r="C244" s="21">
        <v>40629</v>
      </c>
      <c r="D244" s="3">
        <v>12.2</v>
      </c>
      <c r="E244" s="3">
        <v>9.6</v>
      </c>
      <c r="F244" s="3">
        <v>15.7</v>
      </c>
      <c r="G244" s="3">
        <f t="shared" ref="G244:G307" si="35">G243+D244</f>
        <v>1536.6999999999998</v>
      </c>
      <c r="H244" s="3">
        <f t="shared" ref="H244:H307" si="36">H243+D244</f>
        <v>24.4</v>
      </c>
      <c r="I244" s="3">
        <v>2.4</v>
      </c>
      <c r="J244" s="3">
        <v>1.4</v>
      </c>
      <c r="K244" s="3">
        <f t="shared" ref="K244:K307" si="37">K243+J244</f>
        <v>363.59999999999985</v>
      </c>
      <c r="L244" s="3">
        <v>1.4</v>
      </c>
      <c r="M244" s="3">
        <f t="shared" ref="M244:M307" si="38">M243+L244</f>
        <v>208.60000000000008</v>
      </c>
      <c r="N244" s="3">
        <v>0</v>
      </c>
      <c r="O244" s="3">
        <f t="shared" si="31"/>
        <v>162.39999999999998</v>
      </c>
      <c r="P244" s="3">
        <v>195</v>
      </c>
      <c r="Q244" s="3">
        <v>1.1499999999999999</v>
      </c>
      <c r="R244" s="10">
        <f t="shared" si="33"/>
        <v>1.6099999999999999</v>
      </c>
      <c r="S244" s="10">
        <f t="shared" si="34"/>
        <v>-0.20999999999999996</v>
      </c>
      <c r="T244" s="10">
        <f t="shared" ref="T244:T303" si="39">MIN(197.4,(T243+S244))</f>
        <v>156.54493243243246</v>
      </c>
      <c r="U244" s="3">
        <v>17</v>
      </c>
      <c r="V244" s="3">
        <v>830.8</v>
      </c>
      <c r="X244" s="3">
        <f t="shared" ref="X244:X307" si="40">X243+V244</f>
        <v>116602.30000000002</v>
      </c>
      <c r="Y244" s="3">
        <f t="shared" si="29"/>
        <v>1517.9</v>
      </c>
      <c r="Z244" s="3">
        <v>26752.800000000003</v>
      </c>
      <c r="AA244" s="3">
        <v>12.506748268137301</v>
      </c>
    </row>
    <row r="245" spans="1:27" s="3" customFormat="1" x14ac:dyDescent="0.25">
      <c r="A245" s="23"/>
      <c r="B245" s="4"/>
      <c r="C245" s="21">
        <v>40630</v>
      </c>
      <c r="D245" s="3">
        <v>11.6</v>
      </c>
      <c r="E245" s="3">
        <v>7.2</v>
      </c>
      <c r="F245" s="3">
        <v>16.399999999999999</v>
      </c>
      <c r="G245" s="3">
        <f t="shared" si="35"/>
        <v>1548.2999999999997</v>
      </c>
      <c r="H245" s="3">
        <f t="shared" si="36"/>
        <v>36</v>
      </c>
      <c r="I245" s="22" t="s">
        <v>5</v>
      </c>
      <c r="J245" s="3">
        <v>0.2</v>
      </c>
      <c r="K245" s="3">
        <f t="shared" si="37"/>
        <v>363.79999999999984</v>
      </c>
      <c r="L245" s="3">
        <v>1.2</v>
      </c>
      <c r="M245" s="3">
        <f t="shared" si="38"/>
        <v>209.80000000000007</v>
      </c>
      <c r="N245" s="3">
        <v>-1</v>
      </c>
      <c r="O245" s="3">
        <f t="shared" si="31"/>
        <v>161.39999999999998</v>
      </c>
      <c r="P245" s="3">
        <v>196</v>
      </c>
      <c r="Q245" s="3">
        <v>1.1499999999999999</v>
      </c>
      <c r="R245" s="10">
        <f t="shared" si="33"/>
        <v>1.38</v>
      </c>
      <c r="S245" s="10">
        <f t="shared" si="34"/>
        <v>-1.18</v>
      </c>
      <c r="T245" s="10">
        <f t="shared" si="39"/>
        <v>155.36493243243245</v>
      </c>
      <c r="U245" s="22" t="s">
        <v>6</v>
      </c>
      <c r="V245" s="3">
        <v>621.70000000000005</v>
      </c>
      <c r="X245" s="3">
        <f t="shared" si="40"/>
        <v>117224.00000000001</v>
      </c>
      <c r="Y245" s="3">
        <f t="shared" si="29"/>
        <v>2139.6000000000004</v>
      </c>
      <c r="Z245" s="22" t="s">
        <v>7</v>
      </c>
      <c r="AA245" s="3">
        <v>12.565358445162101</v>
      </c>
    </row>
    <row r="246" spans="1:27" s="3" customFormat="1" x14ac:dyDescent="0.25">
      <c r="A246" s="23"/>
      <c r="B246" s="4"/>
      <c r="C246" s="21">
        <v>40631</v>
      </c>
      <c r="D246" s="3">
        <v>11.7</v>
      </c>
      <c r="E246" s="3">
        <v>10</v>
      </c>
      <c r="F246" s="3">
        <v>14.7</v>
      </c>
      <c r="G246" s="3">
        <f t="shared" si="35"/>
        <v>1559.9999999999998</v>
      </c>
      <c r="H246" s="3">
        <f t="shared" si="36"/>
        <v>47.7</v>
      </c>
      <c r="I246" s="3">
        <v>24.8</v>
      </c>
      <c r="J246" s="3">
        <v>5.9</v>
      </c>
      <c r="K246" s="3">
        <f t="shared" si="37"/>
        <v>369.69999999999982</v>
      </c>
      <c r="L246" s="3">
        <v>0.7</v>
      </c>
      <c r="M246" s="3">
        <f t="shared" si="38"/>
        <v>210.50000000000006</v>
      </c>
      <c r="N246" s="3">
        <v>5.2</v>
      </c>
      <c r="O246" s="3">
        <f t="shared" si="31"/>
        <v>166.59999999999997</v>
      </c>
      <c r="P246" s="3">
        <v>197</v>
      </c>
      <c r="Q246" s="3">
        <v>1.1499999999999999</v>
      </c>
      <c r="R246" s="10">
        <f t="shared" si="33"/>
        <v>0.80499999999999994</v>
      </c>
      <c r="S246" s="10">
        <f t="shared" si="34"/>
        <v>5.0950000000000006</v>
      </c>
      <c r="T246" s="10">
        <f t="shared" si="39"/>
        <v>160.45993243243245</v>
      </c>
      <c r="U246" s="3">
        <v>0</v>
      </c>
      <c r="V246" s="3">
        <v>322.89999999999998</v>
      </c>
      <c r="X246" s="3">
        <f t="shared" si="40"/>
        <v>117546.90000000001</v>
      </c>
      <c r="Y246" s="3">
        <f t="shared" si="29"/>
        <v>2462.5000000000005</v>
      </c>
      <c r="Z246" s="3">
        <f>(Z244/100)/I256</f>
        <v>1.0499529042386186</v>
      </c>
      <c r="AA246" s="3">
        <v>12.6239128809042</v>
      </c>
    </row>
    <row r="247" spans="1:27" s="3" customFormat="1" x14ac:dyDescent="0.25">
      <c r="A247" s="20" t="s">
        <v>22</v>
      </c>
      <c r="B247" s="4"/>
      <c r="C247" s="21">
        <v>40632</v>
      </c>
      <c r="D247" s="3">
        <v>11.1</v>
      </c>
      <c r="E247" s="3">
        <v>8.4</v>
      </c>
      <c r="F247" s="3">
        <v>13.6</v>
      </c>
      <c r="G247" s="3">
        <f t="shared" si="35"/>
        <v>1571.0999999999997</v>
      </c>
      <c r="H247" s="3">
        <f t="shared" si="36"/>
        <v>58.800000000000004</v>
      </c>
      <c r="I247" s="22" t="s">
        <v>8</v>
      </c>
      <c r="J247" s="3">
        <v>3.2</v>
      </c>
      <c r="K247" s="3">
        <f t="shared" si="37"/>
        <v>372.89999999999981</v>
      </c>
      <c r="L247" s="3">
        <v>0.5</v>
      </c>
      <c r="M247" s="3">
        <f t="shared" si="38"/>
        <v>211.00000000000006</v>
      </c>
      <c r="N247" s="3">
        <v>2.7</v>
      </c>
      <c r="O247" s="3">
        <f t="shared" si="31"/>
        <v>169.29999999999995</v>
      </c>
      <c r="P247" s="3">
        <v>198</v>
      </c>
      <c r="Q247" s="3">
        <v>1.1499999999999999</v>
      </c>
      <c r="R247" s="10">
        <f t="shared" si="33"/>
        <v>0.57499999999999996</v>
      </c>
      <c r="S247" s="10">
        <f t="shared" si="34"/>
        <v>2.625</v>
      </c>
      <c r="T247" s="10">
        <f t="shared" si="39"/>
        <v>163.08493243243245</v>
      </c>
      <c r="U247" s="22" t="s">
        <v>9</v>
      </c>
      <c r="V247" s="3">
        <v>307.60000000000002</v>
      </c>
      <c r="X247" s="3">
        <f t="shared" si="40"/>
        <v>117854.50000000001</v>
      </c>
      <c r="Y247" s="3">
        <f t="shared" si="29"/>
        <v>2770.1000000000004</v>
      </c>
      <c r="Z247" s="22" t="s">
        <v>10</v>
      </c>
      <c r="AA247" s="3">
        <v>12.6824053828018</v>
      </c>
    </row>
    <row r="248" spans="1:27" s="3" customFormat="1" x14ac:dyDescent="0.25">
      <c r="A248" s="23"/>
      <c r="B248" s="4"/>
      <c r="C248" s="21">
        <v>40633</v>
      </c>
      <c r="D248" s="24">
        <v>13.3</v>
      </c>
      <c r="E248" s="24">
        <v>12.6</v>
      </c>
      <c r="F248" s="24">
        <v>14.8</v>
      </c>
      <c r="G248" s="3">
        <f t="shared" si="35"/>
        <v>1584.3999999999996</v>
      </c>
      <c r="H248" s="3">
        <f t="shared" si="36"/>
        <v>72.100000000000009</v>
      </c>
      <c r="I248" s="10">
        <f>AVERAGE(D243:D263)</f>
        <v>12.133333333333335</v>
      </c>
      <c r="J248" s="24">
        <v>0.1</v>
      </c>
      <c r="K248" s="3">
        <f t="shared" si="37"/>
        <v>372.99999999999983</v>
      </c>
      <c r="L248" s="24">
        <v>0.7</v>
      </c>
      <c r="M248" s="3">
        <f t="shared" si="38"/>
        <v>211.70000000000005</v>
      </c>
      <c r="N248" s="24">
        <v>-0.6</v>
      </c>
      <c r="O248" s="3">
        <f t="shared" si="31"/>
        <v>168.69999999999996</v>
      </c>
      <c r="P248" s="3">
        <v>199</v>
      </c>
      <c r="Q248" s="3">
        <v>1.1499999999999999</v>
      </c>
      <c r="R248" s="10">
        <f t="shared" si="33"/>
        <v>0.80499999999999994</v>
      </c>
      <c r="S248" s="10">
        <f t="shared" si="34"/>
        <v>-0.70499999999999996</v>
      </c>
      <c r="T248" s="10">
        <f t="shared" si="39"/>
        <v>162.37993243243244</v>
      </c>
      <c r="U248" s="3">
        <v>0</v>
      </c>
      <c r="V248" s="24">
        <v>290.3</v>
      </c>
      <c r="W248" s="19"/>
      <c r="X248" s="3">
        <f t="shared" si="40"/>
        <v>118144.80000000002</v>
      </c>
      <c r="Y248" s="3">
        <f t="shared" si="29"/>
        <v>3060.4000000000005</v>
      </c>
      <c r="Z248" s="3">
        <v>8</v>
      </c>
      <c r="AA248" s="3">
        <v>12.7408296503808</v>
      </c>
    </row>
    <row r="249" spans="1:27" s="3" customFormat="1" ht="15" customHeight="1" x14ac:dyDescent="0.25">
      <c r="A249" s="23"/>
      <c r="B249" s="4"/>
      <c r="C249" s="21">
        <v>40634</v>
      </c>
      <c r="D249" s="3">
        <v>15.5</v>
      </c>
      <c r="E249" s="3">
        <v>12</v>
      </c>
      <c r="F249" s="3">
        <v>19.5</v>
      </c>
      <c r="G249" s="3">
        <f t="shared" si="35"/>
        <v>1599.8999999999996</v>
      </c>
      <c r="H249" s="3">
        <f t="shared" si="36"/>
        <v>87.600000000000009</v>
      </c>
      <c r="I249" s="22" t="s">
        <v>11</v>
      </c>
      <c r="J249" s="3">
        <v>0</v>
      </c>
      <c r="K249" s="3">
        <f t="shared" si="37"/>
        <v>372.99999999999983</v>
      </c>
      <c r="L249" s="3">
        <v>1.7</v>
      </c>
      <c r="M249" s="3">
        <f t="shared" si="38"/>
        <v>213.40000000000003</v>
      </c>
      <c r="N249" s="3">
        <v>-1.7</v>
      </c>
      <c r="O249" s="3">
        <f t="shared" si="31"/>
        <v>166.99999999999997</v>
      </c>
      <c r="P249" s="3">
        <v>200</v>
      </c>
      <c r="Q249" s="3">
        <v>1.1499999999999999</v>
      </c>
      <c r="R249" s="10">
        <f t="shared" si="33"/>
        <v>1.9549999999999998</v>
      </c>
      <c r="S249" s="10">
        <f t="shared" si="34"/>
        <v>-1.9549999999999998</v>
      </c>
      <c r="T249" s="10">
        <f t="shared" si="39"/>
        <v>160.42493243243243</v>
      </c>
      <c r="U249" s="22" t="s">
        <v>12</v>
      </c>
      <c r="V249" s="3">
        <v>966.5</v>
      </c>
      <c r="X249" s="3">
        <f t="shared" si="40"/>
        <v>119111.30000000002</v>
      </c>
      <c r="Y249" s="3">
        <f t="shared" si="29"/>
        <v>4026.9000000000005</v>
      </c>
      <c r="Z249" s="24"/>
      <c r="AA249" s="3">
        <v>12.7991792585143</v>
      </c>
    </row>
    <row r="250" spans="1:27" s="3" customFormat="1" x14ac:dyDescent="0.25">
      <c r="A250" s="23"/>
      <c r="B250" s="4"/>
      <c r="C250" s="21">
        <v>40635</v>
      </c>
      <c r="D250" s="3">
        <v>13.9</v>
      </c>
      <c r="E250" s="3">
        <v>11.8</v>
      </c>
      <c r="F250" s="3">
        <v>18.899999999999999</v>
      </c>
      <c r="G250" s="3">
        <f t="shared" si="35"/>
        <v>1613.7999999999997</v>
      </c>
      <c r="H250" s="3">
        <f t="shared" si="36"/>
        <v>101.50000000000001</v>
      </c>
      <c r="I250" s="3">
        <v>0</v>
      </c>
      <c r="J250" s="3">
        <v>0.2</v>
      </c>
      <c r="K250" s="3">
        <f t="shared" si="37"/>
        <v>373.19999999999982</v>
      </c>
      <c r="L250" s="3">
        <v>2</v>
      </c>
      <c r="M250" s="3">
        <f t="shared" si="38"/>
        <v>215.40000000000003</v>
      </c>
      <c r="N250" s="3">
        <v>-1.8</v>
      </c>
      <c r="O250" s="3">
        <f t="shared" si="31"/>
        <v>165.19999999999996</v>
      </c>
      <c r="P250" s="3">
        <v>201</v>
      </c>
      <c r="Q250" s="3">
        <v>1.1499999999999999</v>
      </c>
      <c r="R250" s="10">
        <f t="shared" si="33"/>
        <v>2.2999999999999998</v>
      </c>
      <c r="S250" s="10">
        <f t="shared" si="34"/>
        <v>-2.0999999999999996</v>
      </c>
      <c r="T250" s="10">
        <f t="shared" si="39"/>
        <v>158.32493243243243</v>
      </c>
      <c r="U250" s="10">
        <f>MIN(T243:T263)</f>
        <v>120.69993243243246</v>
      </c>
      <c r="V250" s="3">
        <v>1050.8</v>
      </c>
      <c r="X250" s="3">
        <f t="shared" si="40"/>
        <v>120162.10000000002</v>
      </c>
      <c r="Y250" s="3">
        <f t="shared" ref="Y250:Y313" si="41">Y249+V250</f>
        <v>5077.7000000000007</v>
      </c>
      <c r="AA250" s="3">
        <v>12.8574476407617</v>
      </c>
    </row>
    <row r="251" spans="1:27" s="3" customFormat="1" x14ac:dyDescent="0.25">
      <c r="A251" s="23"/>
      <c r="B251" s="4"/>
      <c r="C251" s="21">
        <v>40636</v>
      </c>
      <c r="D251" s="3">
        <v>10</v>
      </c>
      <c r="E251" s="3">
        <v>6.1</v>
      </c>
      <c r="F251" s="3">
        <v>15.6</v>
      </c>
      <c r="G251" s="3">
        <f t="shared" si="35"/>
        <v>1623.7999999999997</v>
      </c>
      <c r="H251" s="3">
        <f t="shared" si="36"/>
        <v>111.50000000000001</v>
      </c>
      <c r="I251" s="22" t="s">
        <v>13</v>
      </c>
      <c r="J251" s="3">
        <v>3.2</v>
      </c>
      <c r="K251" s="3">
        <f t="shared" si="37"/>
        <v>376.39999999999981</v>
      </c>
      <c r="L251" s="3">
        <v>1.3</v>
      </c>
      <c r="M251" s="3">
        <f t="shared" si="38"/>
        <v>216.70000000000005</v>
      </c>
      <c r="N251" s="3">
        <v>1.9000000000000001</v>
      </c>
      <c r="O251" s="3">
        <f t="shared" si="31"/>
        <v>167.09999999999997</v>
      </c>
      <c r="P251" s="3">
        <v>202</v>
      </c>
      <c r="Q251" s="3">
        <v>1.1499999999999999</v>
      </c>
      <c r="R251" s="10">
        <f t="shared" si="33"/>
        <v>1.4949999999999999</v>
      </c>
      <c r="S251" s="10">
        <f t="shared" si="34"/>
        <v>1.7050000000000003</v>
      </c>
      <c r="T251" s="10">
        <f t="shared" si="39"/>
        <v>160.02993243243245</v>
      </c>
      <c r="U251" s="22" t="s">
        <v>14</v>
      </c>
      <c r="V251" s="3">
        <v>908.1</v>
      </c>
      <c r="X251" s="3">
        <f t="shared" si="40"/>
        <v>121070.20000000003</v>
      </c>
      <c r="Y251" s="3">
        <f t="shared" si="41"/>
        <v>5985.8000000000011</v>
      </c>
      <c r="AA251" s="3">
        <v>12.915628072785401</v>
      </c>
    </row>
    <row r="252" spans="1:27" s="3" customFormat="1" x14ac:dyDescent="0.25">
      <c r="A252" s="23"/>
      <c r="B252" s="4"/>
      <c r="C252" s="21">
        <v>40637</v>
      </c>
      <c r="D252" s="3">
        <v>9.3000000000000007</v>
      </c>
      <c r="E252" s="3">
        <v>5.0999999999999996</v>
      </c>
      <c r="F252" s="3">
        <v>13.2</v>
      </c>
      <c r="G252" s="3">
        <f t="shared" si="35"/>
        <v>1633.0999999999997</v>
      </c>
      <c r="H252" s="3">
        <f t="shared" si="36"/>
        <v>120.80000000000001</v>
      </c>
      <c r="I252" s="3">
        <v>0</v>
      </c>
      <c r="J252" s="3">
        <v>0</v>
      </c>
      <c r="K252" s="3">
        <f t="shared" si="37"/>
        <v>376.39999999999981</v>
      </c>
      <c r="L252" s="3">
        <v>2.2000000000000002</v>
      </c>
      <c r="M252" s="3">
        <f t="shared" si="38"/>
        <v>218.90000000000003</v>
      </c>
      <c r="N252" s="3">
        <v>-2.2000000000000002</v>
      </c>
      <c r="O252" s="3">
        <f t="shared" si="31"/>
        <v>164.89999999999998</v>
      </c>
      <c r="P252" s="3">
        <v>203</v>
      </c>
      <c r="Q252" s="3">
        <v>1.1499999999999999</v>
      </c>
      <c r="R252" s="10">
        <f t="shared" si="33"/>
        <v>2.5299999999999998</v>
      </c>
      <c r="S252" s="10">
        <f t="shared" si="34"/>
        <v>-2.5299999999999998</v>
      </c>
      <c r="T252" s="10">
        <f t="shared" si="39"/>
        <v>157.49993243243244</v>
      </c>
      <c r="U252" s="10">
        <f>MAX(T243:T263)</f>
        <v>163.08493243243245</v>
      </c>
      <c r="V252" s="3">
        <v>1656.1</v>
      </c>
      <c r="X252" s="3">
        <f t="shared" si="40"/>
        <v>122726.30000000003</v>
      </c>
      <c r="Y252" s="3">
        <f t="shared" si="41"/>
        <v>7641.9000000000015</v>
      </c>
      <c r="AA252" s="3">
        <v>12.973713655852</v>
      </c>
    </row>
    <row r="253" spans="1:27" s="3" customFormat="1" x14ac:dyDescent="0.25">
      <c r="A253" s="23"/>
      <c r="B253" s="4"/>
      <c r="C253" s="21">
        <v>40638</v>
      </c>
      <c r="D253" s="3">
        <v>11.6</v>
      </c>
      <c r="E253" s="3">
        <v>6</v>
      </c>
      <c r="F253" s="3">
        <v>18.2</v>
      </c>
      <c r="G253" s="3">
        <f t="shared" si="35"/>
        <v>1644.6999999999996</v>
      </c>
      <c r="H253" s="3">
        <f t="shared" si="36"/>
        <v>132.4</v>
      </c>
      <c r="I253" s="22" t="s">
        <v>15</v>
      </c>
      <c r="J253" s="3">
        <v>0</v>
      </c>
      <c r="K253" s="3">
        <f t="shared" si="37"/>
        <v>376.39999999999981</v>
      </c>
      <c r="L253" s="3">
        <v>2.8</v>
      </c>
      <c r="M253" s="3">
        <f t="shared" si="38"/>
        <v>221.70000000000005</v>
      </c>
      <c r="N253" s="3">
        <v>-2.8</v>
      </c>
      <c r="O253" s="3">
        <f t="shared" si="31"/>
        <v>162.09999999999997</v>
      </c>
      <c r="P253" s="3">
        <v>204</v>
      </c>
      <c r="Q253" s="3">
        <v>1.1499999999999999</v>
      </c>
      <c r="R253" s="10">
        <f t="shared" si="33"/>
        <v>3.2199999999999998</v>
      </c>
      <c r="S253" s="10">
        <f t="shared" si="34"/>
        <v>-3.2199999999999998</v>
      </c>
      <c r="T253" s="10">
        <f t="shared" si="39"/>
        <v>154.27993243243245</v>
      </c>
      <c r="U253" s="22" t="s">
        <v>16</v>
      </c>
      <c r="V253" s="3">
        <v>1729.8</v>
      </c>
      <c r="X253" s="3">
        <f t="shared" si="40"/>
        <v>124456.10000000003</v>
      </c>
      <c r="Y253" s="3">
        <f t="shared" si="41"/>
        <v>9371.7000000000007</v>
      </c>
      <c r="AA253" s="3">
        <v>13.0316973004188</v>
      </c>
    </row>
    <row r="254" spans="1:27" s="3" customFormat="1" x14ac:dyDescent="0.25">
      <c r="A254" s="23"/>
      <c r="B254" s="4"/>
      <c r="C254" s="21">
        <v>40639</v>
      </c>
      <c r="D254" s="3">
        <v>14.6</v>
      </c>
      <c r="E254" s="3">
        <v>6.1</v>
      </c>
      <c r="F254" s="3">
        <v>22.1</v>
      </c>
      <c r="G254" s="3">
        <f t="shared" si="35"/>
        <v>1659.2999999999995</v>
      </c>
      <c r="H254" s="3">
        <f t="shared" si="36"/>
        <v>147</v>
      </c>
      <c r="I254" s="3">
        <v>2</v>
      </c>
      <c r="J254" s="3">
        <v>0</v>
      </c>
      <c r="K254" s="3">
        <f t="shared" si="37"/>
        <v>376.39999999999981</v>
      </c>
      <c r="L254" s="3">
        <v>3.6</v>
      </c>
      <c r="M254" s="3">
        <f t="shared" si="38"/>
        <v>225.30000000000004</v>
      </c>
      <c r="N254" s="3">
        <v>-3.6</v>
      </c>
      <c r="O254" s="3">
        <f t="shared" si="31"/>
        <v>158.49999999999997</v>
      </c>
      <c r="P254" s="3">
        <v>205</v>
      </c>
      <c r="Q254" s="3">
        <v>1.1499999999999999</v>
      </c>
      <c r="R254" s="10">
        <f t="shared" si="33"/>
        <v>4.1399999999999997</v>
      </c>
      <c r="S254" s="10">
        <f t="shared" si="34"/>
        <v>-4.1399999999999997</v>
      </c>
      <c r="T254" s="10">
        <f t="shared" si="39"/>
        <v>150.13993243243246</v>
      </c>
      <c r="U254" s="18">
        <f>AVERAGE(T243:T263)</f>
        <v>146.50374195624195</v>
      </c>
      <c r="V254" s="3">
        <v>2033.9</v>
      </c>
      <c r="X254" s="3">
        <f t="shared" si="40"/>
        <v>126490.00000000003</v>
      </c>
      <c r="Y254" s="3">
        <f t="shared" si="41"/>
        <v>11405.6</v>
      </c>
      <c r="AA254" s="3">
        <v>13.0895717098142</v>
      </c>
    </row>
    <row r="255" spans="1:27" s="3" customFormat="1" x14ac:dyDescent="0.25">
      <c r="A255" s="23"/>
      <c r="B255" s="4"/>
      <c r="C255" s="21">
        <v>40640</v>
      </c>
      <c r="D255" s="3">
        <v>13.9</v>
      </c>
      <c r="E255" s="3">
        <v>5.6</v>
      </c>
      <c r="F255" s="3">
        <v>24.8</v>
      </c>
      <c r="G255" s="3">
        <f t="shared" si="35"/>
        <v>1673.1999999999996</v>
      </c>
      <c r="H255" s="3">
        <f t="shared" si="36"/>
        <v>160.9</v>
      </c>
      <c r="I255" s="22" t="s">
        <v>17</v>
      </c>
      <c r="J255" s="3">
        <v>0</v>
      </c>
      <c r="K255" s="3">
        <f t="shared" si="37"/>
        <v>376.39999999999981</v>
      </c>
      <c r="L255" s="3">
        <v>4.5</v>
      </c>
      <c r="M255" s="3">
        <f t="shared" si="38"/>
        <v>229.80000000000004</v>
      </c>
      <c r="N255" s="3">
        <v>-4.5</v>
      </c>
      <c r="O255" s="3">
        <f t="shared" si="31"/>
        <v>153.99999999999997</v>
      </c>
      <c r="P255" s="3">
        <v>206</v>
      </c>
      <c r="Q255" s="3">
        <v>1.1499999999999999</v>
      </c>
      <c r="R255" s="10">
        <f t="shared" si="33"/>
        <v>5.1749999999999998</v>
      </c>
      <c r="S255" s="10">
        <f t="shared" si="34"/>
        <v>-5.1749999999999998</v>
      </c>
      <c r="T255" s="10">
        <f t="shared" si="39"/>
        <v>144.96493243243245</v>
      </c>
      <c r="V255" s="3">
        <v>2253.6</v>
      </c>
      <c r="X255" s="3">
        <f t="shared" si="40"/>
        <v>128743.60000000003</v>
      </c>
      <c r="Y255" s="3">
        <f t="shared" si="41"/>
        <v>13659.2</v>
      </c>
      <c r="AA255" s="3">
        <v>13.1473293640191</v>
      </c>
    </row>
    <row r="256" spans="1:27" s="3" customFormat="1" x14ac:dyDescent="0.25">
      <c r="A256" s="23"/>
      <c r="B256" s="4"/>
      <c r="C256" s="21">
        <v>40641</v>
      </c>
      <c r="D256" s="3">
        <v>14.7</v>
      </c>
      <c r="E256" s="3">
        <v>6.1</v>
      </c>
      <c r="F256" s="3">
        <v>24</v>
      </c>
      <c r="G256" s="3">
        <f t="shared" si="35"/>
        <v>1687.8999999999996</v>
      </c>
      <c r="H256" s="3">
        <f t="shared" si="36"/>
        <v>175.6</v>
      </c>
      <c r="I256" s="25">
        <v>254.8</v>
      </c>
      <c r="J256" s="3">
        <v>0</v>
      </c>
      <c r="K256" s="3">
        <f t="shared" si="37"/>
        <v>376.39999999999981</v>
      </c>
      <c r="L256" s="3">
        <v>3.9</v>
      </c>
      <c r="M256" s="3">
        <f t="shared" si="38"/>
        <v>233.70000000000005</v>
      </c>
      <c r="N256" s="3">
        <v>-3.9</v>
      </c>
      <c r="O256" s="3">
        <f t="shared" si="31"/>
        <v>150.09999999999997</v>
      </c>
      <c r="P256" s="3">
        <v>207</v>
      </c>
      <c r="Q256" s="3">
        <v>1.1499999999999999</v>
      </c>
      <c r="R256" s="10">
        <f t="shared" si="33"/>
        <v>4.4849999999999994</v>
      </c>
      <c r="S256" s="10">
        <f t="shared" si="34"/>
        <v>-4.4849999999999994</v>
      </c>
      <c r="T256" s="10">
        <f t="shared" si="39"/>
        <v>140.47993243243246</v>
      </c>
      <c r="U256" s="10">
        <f>(U254*100)/197.4</f>
        <v>74.216687921095215</v>
      </c>
      <c r="V256" s="3">
        <v>2273.5</v>
      </c>
      <c r="X256" s="3">
        <f t="shared" si="40"/>
        <v>131017.10000000003</v>
      </c>
      <c r="Y256" s="3">
        <f t="shared" si="41"/>
        <v>15932.7</v>
      </c>
      <c r="AA256" s="3">
        <v>13.204962503558599</v>
      </c>
    </row>
    <row r="257" spans="1:27" s="3" customFormat="1" x14ac:dyDescent="0.25">
      <c r="A257" s="23"/>
      <c r="B257" s="4"/>
      <c r="C257" s="21">
        <v>40642</v>
      </c>
      <c r="D257" s="3">
        <v>15.5</v>
      </c>
      <c r="E257" s="3">
        <v>9.5</v>
      </c>
      <c r="F257" s="3">
        <v>22.5</v>
      </c>
      <c r="G257" s="3">
        <f t="shared" si="35"/>
        <v>1703.3999999999996</v>
      </c>
      <c r="H257" s="3">
        <f t="shared" si="36"/>
        <v>191.1</v>
      </c>
      <c r="J257" s="3">
        <v>0</v>
      </c>
      <c r="K257" s="3">
        <f t="shared" si="37"/>
        <v>376.39999999999981</v>
      </c>
      <c r="L257" s="3">
        <v>4</v>
      </c>
      <c r="M257" s="3">
        <f t="shared" si="38"/>
        <v>237.70000000000005</v>
      </c>
      <c r="N257" s="3">
        <v>-4</v>
      </c>
      <c r="O257" s="3">
        <f t="shared" si="31"/>
        <v>146.09999999999997</v>
      </c>
      <c r="P257" s="3">
        <v>208</v>
      </c>
      <c r="Q257" s="3">
        <v>1.1499999999999999</v>
      </c>
      <c r="R257" s="10">
        <f t="shared" si="33"/>
        <v>4.5999999999999996</v>
      </c>
      <c r="S257" s="10">
        <f t="shared" si="34"/>
        <v>-4.5999999999999996</v>
      </c>
      <c r="T257" s="10">
        <f t="shared" si="39"/>
        <v>135.87993243243247</v>
      </c>
      <c r="V257" s="3">
        <v>2204.9</v>
      </c>
      <c r="X257" s="3">
        <f t="shared" si="40"/>
        <v>133222.00000000003</v>
      </c>
      <c r="Y257" s="3">
        <f t="shared" si="41"/>
        <v>18137.600000000002</v>
      </c>
      <c r="AA257" s="3">
        <v>13.2624631135172</v>
      </c>
    </row>
    <row r="258" spans="1:27" s="3" customFormat="1" x14ac:dyDescent="0.25">
      <c r="A258" s="23"/>
      <c r="B258" s="4"/>
      <c r="C258" s="21">
        <v>40643</v>
      </c>
      <c r="D258" s="3">
        <v>14.5</v>
      </c>
      <c r="E258" s="3">
        <v>7.9</v>
      </c>
      <c r="F258" s="3">
        <v>22.2</v>
      </c>
      <c r="G258" s="3">
        <f t="shared" si="35"/>
        <v>1717.8999999999996</v>
      </c>
      <c r="H258" s="3">
        <f t="shared" si="36"/>
        <v>205.6</v>
      </c>
      <c r="J258" s="3">
        <v>0</v>
      </c>
      <c r="K258" s="3">
        <f t="shared" si="37"/>
        <v>376.39999999999981</v>
      </c>
      <c r="L258" s="3">
        <v>3.4</v>
      </c>
      <c r="M258" s="3">
        <f t="shared" si="38"/>
        <v>241.10000000000005</v>
      </c>
      <c r="N258" s="3">
        <v>-3.4</v>
      </c>
      <c r="O258" s="3">
        <f t="shared" si="31"/>
        <v>142.69999999999996</v>
      </c>
      <c r="P258" s="3">
        <v>209</v>
      </c>
      <c r="Q258" s="3">
        <v>1.1499999999999999</v>
      </c>
      <c r="R258" s="10">
        <f t="shared" si="33"/>
        <v>3.9099999999999997</v>
      </c>
      <c r="S258" s="10">
        <f t="shared" si="34"/>
        <v>-3.9099999999999997</v>
      </c>
      <c r="T258" s="10">
        <f t="shared" si="39"/>
        <v>131.96993243243247</v>
      </c>
      <c r="V258" s="3">
        <v>2080.8000000000002</v>
      </c>
      <c r="X258" s="3">
        <f t="shared" si="40"/>
        <v>135302.80000000002</v>
      </c>
      <c r="Y258" s="3">
        <f t="shared" si="41"/>
        <v>20218.400000000001</v>
      </c>
      <c r="AA258" s="3">
        <v>13.319822907690501</v>
      </c>
    </row>
    <row r="259" spans="1:27" s="3" customFormat="1" x14ac:dyDescent="0.25">
      <c r="A259" s="23"/>
      <c r="B259" s="4"/>
      <c r="C259" s="21">
        <v>40644</v>
      </c>
      <c r="D259" s="3">
        <v>10.5</v>
      </c>
      <c r="E259" s="3">
        <v>8.1</v>
      </c>
      <c r="F259" s="3">
        <v>13.5</v>
      </c>
      <c r="G259" s="3">
        <f t="shared" si="35"/>
        <v>1728.3999999999996</v>
      </c>
      <c r="H259" s="3">
        <f t="shared" si="36"/>
        <v>216.1</v>
      </c>
      <c r="J259" s="3">
        <v>0</v>
      </c>
      <c r="K259" s="3">
        <f t="shared" si="37"/>
        <v>376.39999999999981</v>
      </c>
      <c r="L259" s="3">
        <v>1</v>
      </c>
      <c r="M259" s="3">
        <f t="shared" si="38"/>
        <v>242.10000000000005</v>
      </c>
      <c r="N259" s="3">
        <v>-1</v>
      </c>
      <c r="O259" s="3">
        <f t="shared" si="31"/>
        <v>141.69999999999996</v>
      </c>
      <c r="P259" s="3">
        <v>210</v>
      </c>
      <c r="Q259" s="3">
        <v>1.1499999999999999</v>
      </c>
      <c r="R259" s="10">
        <f t="shared" si="33"/>
        <v>1.1499999999999999</v>
      </c>
      <c r="S259" s="10">
        <f t="shared" si="34"/>
        <v>-1.1499999999999999</v>
      </c>
      <c r="T259" s="10">
        <f t="shared" si="39"/>
        <v>130.81993243243247</v>
      </c>
      <c r="V259" s="3">
        <v>705.7</v>
      </c>
      <c r="X259" s="3">
        <f t="shared" si="40"/>
        <v>136008.50000000003</v>
      </c>
      <c r="Y259" s="3">
        <f t="shared" si="41"/>
        <v>20924.100000000002</v>
      </c>
      <c r="AA259" s="3">
        <v>13.3770333128915</v>
      </c>
    </row>
    <row r="260" spans="1:27" s="3" customFormat="1" x14ac:dyDescent="0.25">
      <c r="A260" s="23"/>
      <c r="B260" s="4"/>
      <c r="C260" s="21">
        <v>40645</v>
      </c>
      <c r="D260" s="3">
        <v>8.5</v>
      </c>
      <c r="E260" s="3">
        <v>5.8</v>
      </c>
      <c r="F260" s="3">
        <v>13.4</v>
      </c>
      <c r="G260" s="3">
        <f t="shared" si="35"/>
        <v>1736.8999999999996</v>
      </c>
      <c r="H260" s="3">
        <f t="shared" si="36"/>
        <v>224.6</v>
      </c>
      <c r="J260" s="3">
        <v>0</v>
      </c>
      <c r="K260" s="3">
        <f t="shared" si="37"/>
        <v>376.39999999999981</v>
      </c>
      <c r="L260" s="3">
        <v>3.1</v>
      </c>
      <c r="M260" s="3">
        <f t="shared" si="38"/>
        <v>245.20000000000005</v>
      </c>
      <c r="N260" s="3">
        <v>-3.1</v>
      </c>
      <c r="O260" s="3">
        <f t="shared" si="31"/>
        <v>138.59999999999997</v>
      </c>
      <c r="P260" s="3">
        <v>211</v>
      </c>
      <c r="Q260" s="3">
        <v>1.1499999999999999</v>
      </c>
      <c r="R260" s="10">
        <f t="shared" si="33"/>
        <v>3.5649999999999999</v>
      </c>
      <c r="S260" s="10">
        <f t="shared" si="34"/>
        <v>-3.5649999999999999</v>
      </c>
      <c r="T260" s="10">
        <f t="shared" si="39"/>
        <v>127.25493243243247</v>
      </c>
      <c r="V260" s="3">
        <v>2091.1</v>
      </c>
      <c r="X260" s="3">
        <f t="shared" si="40"/>
        <v>138099.60000000003</v>
      </c>
      <c r="Y260" s="3">
        <f t="shared" si="41"/>
        <v>23015.200000000001</v>
      </c>
      <c r="AA260" s="3">
        <v>13.4340854534294</v>
      </c>
    </row>
    <row r="261" spans="1:27" s="3" customFormat="1" x14ac:dyDescent="0.25">
      <c r="A261" s="23"/>
      <c r="B261" s="4"/>
      <c r="C261" s="21">
        <v>40646</v>
      </c>
      <c r="D261" s="3">
        <v>7.8</v>
      </c>
      <c r="E261" s="3">
        <v>2.4</v>
      </c>
      <c r="F261" s="3">
        <v>14</v>
      </c>
      <c r="G261" s="3">
        <f t="shared" si="35"/>
        <v>1744.6999999999996</v>
      </c>
      <c r="H261" s="3">
        <f t="shared" si="36"/>
        <v>232.4</v>
      </c>
      <c r="J261" s="3">
        <v>0</v>
      </c>
      <c r="K261" s="3">
        <f t="shared" si="37"/>
        <v>376.39999999999981</v>
      </c>
      <c r="L261" s="3">
        <v>1.1000000000000001</v>
      </c>
      <c r="M261" s="3">
        <f t="shared" si="38"/>
        <v>246.30000000000004</v>
      </c>
      <c r="N261" s="3">
        <v>-1.1000000000000001</v>
      </c>
      <c r="O261" s="3">
        <f t="shared" si="31"/>
        <v>137.49999999999997</v>
      </c>
      <c r="P261" s="3">
        <v>212</v>
      </c>
      <c r="Q261" s="3">
        <v>1.1499999999999999</v>
      </c>
      <c r="R261" s="10">
        <f t="shared" si="33"/>
        <v>1.2649999999999999</v>
      </c>
      <c r="S261" s="10">
        <f t="shared" si="34"/>
        <v>-1.2649999999999999</v>
      </c>
      <c r="T261" s="10">
        <f t="shared" si="39"/>
        <v>125.98993243243247</v>
      </c>
      <c r="V261" s="3">
        <v>567.4</v>
      </c>
      <c r="X261" s="3">
        <f t="shared" si="40"/>
        <v>138667.00000000003</v>
      </c>
      <c r="Y261" s="3">
        <f t="shared" si="41"/>
        <v>23582.600000000002</v>
      </c>
      <c r="AA261" s="3">
        <v>13.490970135784</v>
      </c>
    </row>
    <row r="262" spans="1:27" s="3" customFormat="1" x14ac:dyDescent="0.25">
      <c r="A262" s="23"/>
      <c r="B262" s="4"/>
      <c r="C262" s="21">
        <v>40647</v>
      </c>
      <c r="D262" s="3">
        <v>10.4</v>
      </c>
      <c r="E262" s="3">
        <v>2.9</v>
      </c>
      <c r="F262" s="3">
        <v>17.2</v>
      </c>
      <c r="G262" s="3">
        <f t="shared" si="35"/>
        <v>1755.0999999999997</v>
      </c>
      <c r="H262" s="3">
        <f t="shared" si="36"/>
        <v>242.8</v>
      </c>
      <c r="J262" s="3">
        <v>0</v>
      </c>
      <c r="K262" s="3">
        <f t="shared" si="37"/>
        <v>376.39999999999981</v>
      </c>
      <c r="L262" s="3">
        <v>2.4</v>
      </c>
      <c r="M262" s="3">
        <f t="shared" si="38"/>
        <v>248.70000000000005</v>
      </c>
      <c r="N262" s="3">
        <v>-2.4</v>
      </c>
      <c r="O262" s="3">
        <f t="shared" si="31"/>
        <v>135.09999999999997</v>
      </c>
      <c r="P262" s="3">
        <v>213</v>
      </c>
      <c r="Q262" s="3">
        <v>1.1499999999999999</v>
      </c>
      <c r="R262" s="10">
        <f t="shared" si="33"/>
        <v>2.76</v>
      </c>
      <c r="S262" s="10">
        <f t="shared" si="34"/>
        <v>-2.76</v>
      </c>
      <c r="T262" s="10">
        <f t="shared" si="39"/>
        <v>123.22993243243246</v>
      </c>
      <c r="V262" s="3">
        <v>1693.8</v>
      </c>
      <c r="X262" s="3">
        <f t="shared" si="40"/>
        <v>140360.80000000002</v>
      </c>
      <c r="Y262" s="3">
        <f t="shared" si="41"/>
        <v>25276.400000000001</v>
      </c>
      <c r="AA262" s="3">
        <v>13.547677833501201</v>
      </c>
    </row>
    <row r="263" spans="1:27" s="39" customFormat="1" ht="15.75" thickBot="1" x14ac:dyDescent="0.3">
      <c r="A263" s="49" t="s">
        <v>23</v>
      </c>
      <c r="B263" s="36"/>
      <c r="C263" s="50">
        <v>40648</v>
      </c>
      <c r="D263" s="39">
        <v>12</v>
      </c>
      <c r="E263" s="39">
        <v>8</v>
      </c>
      <c r="F263" s="39">
        <v>17.3</v>
      </c>
      <c r="G263" s="39">
        <f t="shared" si="35"/>
        <v>1767.0999999999997</v>
      </c>
      <c r="H263" s="39">
        <f t="shared" si="36"/>
        <v>254.8</v>
      </c>
      <c r="J263" s="39">
        <v>0</v>
      </c>
      <c r="K263" s="39">
        <f t="shared" si="37"/>
        <v>376.39999999999981</v>
      </c>
      <c r="L263" s="39">
        <v>2.2000000000000002</v>
      </c>
      <c r="M263" s="39">
        <f t="shared" si="38"/>
        <v>250.90000000000003</v>
      </c>
      <c r="N263" s="39">
        <v>-2.2000000000000002</v>
      </c>
      <c r="O263" s="39">
        <f t="shared" si="31"/>
        <v>132.89999999999998</v>
      </c>
      <c r="P263" s="39">
        <v>214</v>
      </c>
      <c r="Q263" s="43">
        <v>1.1499999999999999</v>
      </c>
      <c r="R263" s="41">
        <f t="shared" si="33"/>
        <v>2.5299999999999998</v>
      </c>
      <c r="S263" s="41">
        <f t="shared" si="34"/>
        <v>-2.5299999999999998</v>
      </c>
      <c r="T263" s="42">
        <f t="shared" si="39"/>
        <v>120.69993243243246</v>
      </c>
      <c r="V263" s="39">
        <v>1476.4</v>
      </c>
      <c r="X263" s="39">
        <f t="shared" si="40"/>
        <v>141837.20000000001</v>
      </c>
      <c r="Y263" s="43">
        <f t="shared" si="41"/>
        <v>26752.800000000003</v>
      </c>
      <c r="AA263" s="43">
        <v>13.6041986723355</v>
      </c>
    </row>
    <row r="264" spans="1:27" s="3" customFormat="1" x14ac:dyDescent="0.25">
      <c r="A264" s="64">
        <v>300</v>
      </c>
      <c r="B264" s="7"/>
      <c r="C264" s="26">
        <v>40649</v>
      </c>
      <c r="D264" s="3">
        <v>11.7</v>
      </c>
      <c r="E264" s="3">
        <v>7.3</v>
      </c>
      <c r="F264" s="3">
        <v>18</v>
      </c>
      <c r="G264" s="3">
        <f t="shared" si="35"/>
        <v>1778.7999999999997</v>
      </c>
      <c r="H264" s="3">
        <v>11.7</v>
      </c>
      <c r="I264" s="27" t="s">
        <v>2</v>
      </c>
      <c r="J264" s="3">
        <v>0</v>
      </c>
      <c r="K264" s="3">
        <f t="shared" si="37"/>
        <v>376.39999999999981</v>
      </c>
      <c r="L264" s="3">
        <v>2.2000000000000002</v>
      </c>
      <c r="M264" s="3">
        <f t="shared" si="38"/>
        <v>253.10000000000002</v>
      </c>
      <c r="N264" s="3">
        <v>-2.2000000000000002</v>
      </c>
      <c r="O264" s="3">
        <f t="shared" si="31"/>
        <v>130.69999999999999</v>
      </c>
      <c r="P264" s="3">
        <v>215</v>
      </c>
      <c r="Q264" s="3">
        <v>1.1499999999999999</v>
      </c>
      <c r="R264" s="10">
        <f t="shared" si="33"/>
        <v>2.5299999999999998</v>
      </c>
      <c r="S264" s="10">
        <f t="shared" si="34"/>
        <v>-2.5299999999999998</v>
      </c>
      <c r="T264" s="10">
        <f t="shared" si="39"/>
        <v>118.16993243243246</v>
      </c>
      <c r="U264" s="27" t="s">
        <v>3</v>
      </c>
      <c r="V264" s="3">
        <v>1132.5999999999999</v>
      </c>
      <c r="X264" s="3">
        <f t="shared" si="40"/>
        <v>142969.80000000002</v>
      </c>
      <c r="Y264" s="3">
        <v>1132.5999999999999</v>
      </c>
      <c r="Z264" s="27" t="s">
        <v>4</v>
      </c>
      <c r="AA264" s="3">
        <v>13.660522415674199</v>
      </c>
    </row>
    <row r="265" spans="1:27" s="3" customFormat="1" x14ac:dyDescent="0.25">
      <c r="A265" s="64"/>
      <c r="B265" s="7"/>
      <c r="C265" s="26">
        <v>40650</v>
      </c>
      <c r="D265" s="3">
        <v>12.2</v>
      </c>
      <c r="E265" s="3">
        <v>3.8</v>
      </c>
      <c r="F265" s="3">
        <v>19.8</v>
      </c>
      <c r="G265" s="3">
        <f t="shared" si="35"/>
        <v>1790.9999999999998</v>
      </c>
      <c r="H265" s="3">
        <f t="shared" si="36"/>
        <v>23.9</v>
      </c>
      <c r="I265" s="3">
        <v>3.8</v>
      </c>
      <c r="J265" s="3">
        <v>0</v>
      </c>
      <c r="K265" s="3">
        <f t="shared" si="37"/>
        <v>376.39999999999981</v>
      </c>
      <c r="L265" s="3">
        <v>3.3</v>
      </c>
      <c r="M265" s="3">
        <f t="shared" si="38"/>
        <v>256.40000000000003</v>
      </c>
      <c r="N265" s="3">
        <v>-3.3</v>
      </c>
      <c r="O265" s="3">
        <f t="shared" si="31"/>
        <v>127.39999999999999</v>
      </c>
      <c r="P265" s="3">
        <v>216</v>
      </c>
      <c r="Q265" s="3">
        <v>1.1499999999999999</v>
      </c>
      <c r="R265" s="10">
        <f t="shared" si="33"/>
        <v>3.7949999999999995</v>
      </c>
      <c r="S265" s="10">
        <f t="shared" si="34"/>
        <v>-3.7949999999999995</v>
      </c>
      <c r="T265" s="10">
        <f t="shared" si="39"/>
        <v>114.37493243243246</v>
      </c>
      <c r="U265" s="3">
        <v>20</v>
      </c>
      <c r="V265" s="3">
        <v>1691.1</v>
      </c>
      <c r="X265" s="3">
        <f t="shared" si="40"/>
        <v>144660.90000000002</v>
      </c>
      <c r="Y265" s="3">
        <f t="shared" si="41"/>
        <v>2823.7</v>
      </c>
      <c r="Z265" s="3">
        <v>36541.600000000006</v>
      </c>
      <c r="AA265" s="3">
        <v>13.7166384502749</v>
      </c>
    </row>
    <row r="266" spans="1:27" s="3" customFormat="1" x14ac:dyDescent="0.25">
      <c r="A266" s="64"/>
      <c r="B266" s="7"/>
      <c r="C266" s="26">
        <v>40651</v>
      </c>
      <c r="D266" s="3">
        <v>13.9</v>
      </c>
      <c r="E266" s="3">
        <v>5.2</v>
      </c>
      <c r="F266" s="3">
        <v>20.7</v>
      </c>
      <c r="G266" s="3">
        <f t="shared" si="35"/>
        <v>1804.8999999999999</v>
      </c>
      <c r="H266" s="3">
        <f t="shared" si="36"/>
        <v>37.799999999999997</v>
      </c>
      <c r="I266" s="27" t="s">
        <v>5</v>
      </c>
      <c r="J266" s="3">
        <v>0</v>
      </c>
      <c r="K266" s="3">
        <f t="shared" si="37"/>
        <v>376.39999999999981</v>
      </c>
      <c r="L266" s="3">
        <v>3.5</v>
      </c>
      <c r="M266" s="3">
        <f t="shared" si="38"/>
        <v>259.90000000000003</v>
      </c>
      <c r="N266" s="3">
        <v>-3.5</v>
      </c>
      <c r="O266" s="3">
        <f t="shared" si="31"/>
        <v>123.89999999999999</v>
      </c>
      <c r="P266" s="3">
        <v>217</v>
      </c>
      <c r="Q266" s="3">
        <v>1.1499999999999999</v>
      </c>
      <c r="R266" s="10">
        <f t="shared" si="33"/>
        <v>4.0249999999999995</v>
      </c>
      <c r="S266" s="10">
        <f t="shared" si="34"/>
        <v>-4.0249999999999995</v>
      </c>
      <c r="T266" s="10">
        <f t="shared" si="39"/>
        <v>110.34993243243245</v>
      </c>
      <c r="U266" s="27" t="s">
        <v>6</v>
      </c>
      <c r="V266" s="3">
        <v>2164.8000000000002</v>
      </c>
      <c r="X266" s="3">
        <f t="shared" si="40"/>
        <v>146825.70000000001</v>
      </c>
      <c r="Y266" s="3">
        <f t="shared" si="41"/>
        <v>4988.5</v>
      </c>
      <c r="Z266" s="27" t="s">
        <v>7</v>
      </c>
      <c r="AA266" s="3">
        <v>13.772535772356401</v>
      </c>
    </row>
    <row r="267" spans="1:27" s="3" customFormat="1" x14ac:dyDescent="0.25">
      <c r="A267" s="64"/>
      <c r="B267" s="7"/>
      <c r="C267" s="26">
        <v>40652</v>
      </c>
      <c r="D267" s="3">
        <v>15.9</v>
      </c>
      <c r="E267" s="3">
        <v>7.2</v>
      </c>
      <c r="F267" s="3">
        <v>24</v>
      </c>
      <c r="G267" s="3">
        <f t="shared" si="35"/>
        <v>1820.8</v>
      </c>
      <c r="H267" s="3">
        <f t="shared" si="36"/>
        <v>53.699999999999996</v>
      </c>
      <c r="I267" s="3">
        <v>25.2</v>
      </c>
      <c r="J267" s="3">
        <v>0</v>
      </c>
      <c r="K267" s="3">
        <f t="shared" si="37"/>
        <v>376.39999999999981</v>
      </c>
      <c r="L267" s="3">
        <v>4</v>
      </c>
      <c r="M267" s="3">
        <f t="shared" si="38"/>
        <v>263.90000000000003</v>
      </c>
      <c r="N267" s="3">
        <v>-4</v>
      </c>
      <c r="O267" s="3">
        <f t="shared" si="31"/>
        <v>119.89999999999999</v>
      </c>
      <c r="P267" s="3">
        <v>218</v>
      </c>
      <c r="Q267" s="3">
        <v>1.1499999999999999</v>
      </c>
      <c r="R267" s="10">
        <f t="shared" si="33"/>
        <v>4.5999999999999996</v>
      </c>
      <c r="S267" s="10">
        <f t="shared" si="34"/>
        <v>-4.5999999999999996</v>
      </c>
      <c r="T267" s="10">
        <f t="shared" si="39"/>
        <v>105.74993243243246</v>
      </c>
      <c r="U267" s="3">
        <v>0</v>
      </c>
      <c r="V267" s="3">
        <v>2257.6999999999998</v>
      </c>
      <c r="X267" s="3">
        <f t="shared" si="40"/>
        <v>149083.40000000002</v>
      </c>
      <c r="Y267" s="3">
        <f t="shared" si="41"/>
        <v>7246.2</v>
      </c>
      <c r="Z267" s="3">
        <f>(Z265/100)/I277</f>
        <v>1.1795222724338283</v>
      </c>
      <c r="AA267" s="3">
        <v>13.828202974085199</v>
      </c>
    </row>
    <row r="268" spans="1:27" s="3" customFormat="1" x14ac:dyDescent="0.25">
      <c r="A268" s="64"/>
      <c r="B268" s="7"/>
      <c r="C268" s="26">
        <v>40653</v>
      </c>
      <c r="D268" s="3">
        <v>16.399999999999999</v>
      </c>
      <c r="E268" s="3">
        <v>9</v>
      </c>
      <c r="F268" s="3">
        <v>23.2</v>
      </c>
      <c r="G268" s="3">
        <f t="shared" si="35"/>
        <v>1837.2</v>
      </c>
      <c r="H268" s="3">
        <f t="shared" si="36"/>
        <v>70.099999999999994</v>
      </c>
      <c r="I268" s="27" t="s">
        <v>8</v>
      </c>
      <c r="J268" s="3">
        <v>0</v>
      </c>
      <c r="K268" s="3">
        <f t="shared" si="37"/>
        <v>376.39999999999981</v>
      </c>
      <c r="L268" s="3">
        <v>4.7</v>
      </c>
      <c r="M268" s="3">
        <f t="shared" si="38"/>
        <v>268.60000000000002</v>
      </c>
      <c r="N268" s="3">
        <v>-4.7</v>
      </c>
      <c r="O268" s="3">
        <f t="shared" si="31"/>
        <v>115.19999999999999</v>
      </c>
      <c r="P268" s="3">
        <v>219</v>
      </c>
      <c r="Q268" s="3">
        <v>1.1499999999999999</v>
      </c>
      <c r="R268" s="10">
        <f t="shared" si="33"/>
        <v>5.4049999999999994</v>
      </c>
      <c r="S268" s="10">
        <f t="shared" si="34"/>
        <v>-5.4049999999999994</v>
      </c>
      <c r="T268" s="10">
        <f t="shared" si="39"/>
        <v>100.34493243243246</v>
      </c>
      <c r="U268" s="27" t="s">
        <v>9</v>
      </c>
      <c r="V268" s="3">
        <v>2536.9</v>
      </c>
      <c r="X268" s="3">
        <f t="shared" si="40"/>
        <v>151620.30000000002</v>
      </c>
      <c r="Y268" s="3">
        <f t="shared" si="41"/>
        <v>9783.1</v>
      </c>
      <c r="Z268" s="27" t="s">
        <v>10</v>
      </c>
      <c r="AA268" s="3">
        <v>13.8836282305015</v>
      </c>
    </row>
    <row r="269" spans="1:27" s="3" customFormat="1" x14ac:dyDescent="0.25">
      <c r="A269" s="64"/>
      <c r="B269" s="7"/>
      <c r="C269" s="26">
        <v>40654</v>
      </c>
      <c r="D269" s="3">
        <v>15.7</v>
      </c>
      <c r="E269" s="3">
        <v>9.6</v>
      </c>
      <c r="F269" s="3">
        <v>23.8</v>
      </c>
      <c r="G269" s="3">
        <f t="shared" si="35"/>
        <v>1852.9</v>
      </c>
      <c r="H269" s="3">
        <f t="shared" si="36"/>
        <v>85.8</v>
      </c>
      <c r="I269" s="10">
        <f>AVERAGE(D264:D284)</f>
        <v>14.752380952380953</v>
      </c>
      <c r="J269" s="3">
        <v>0</v>
      </c>
      <c r="K269" s="3">
        <f t="shared" si="37"/>
        <v>376.39999999999981</v>
      </c>
      <c r="L269" s="3">
        <v>3</v>
      </c>
      <c r="M269" s="3">
        <f t="shared" si="38"/>
        <v>271.60000000000002</v>
      </c>
      <c r="N269" s="3">
        <v>-3</v>
      </c>
      <c r="O269" s="3">
        <f t="shared" si="31"/>
        <v>112.19999999999999</v>
      </c>
      <c r="P269" s="3">
        <v>220</v>
      </c>
      <c r="Q269" s="3">
        <v>1.1499999999999999</v>
      </c>
      <c r="R269" s="10">
        <f t="shared" si="33"/>
        <v>3.4499999999999997</v>
      </c>
      <c r="S269" s="10">
        <f t="shared" si="34"/>
        <v>-3.4499999999999997</v>
      </c>
      <c r="T269" s="10">
        <f t="shared" si="39"/>
        <v>96.894932432432455</v>
      </c>
      <c r="U269" s="3">
        <v>6</v>
      </c>
      <c r="V269" s="3">
        <v>1517.1</v>
      </c>
      <c r="X269" s="3">
        <f t="shared" si="40"/>
        <v>153137.40000000002</v>
      </c>
      <c r="Y269" s="3">
        <f t="shared" si="41"/>
        <v>11300.2</v>
      </c>
      <c r="Z269" s="3">
        <v>2</v>
      </c>
      <c r="AA269" s="3">
        <v>13.938799286936201</v>
      </c>
    </row>
    <row r="270" spans="1:27" s="3" customFormat="1" x14ac:dyDescent="0.25">
      <c r="A270" s="64"/>
      <c r="B270" s="7"/>
      <c r="C270" s="26">
        <v>40655</v>
      </c>
      <c r="D270" s="3">
        <v>16.899999999999999</v>
      </c>
      <c r="E270" s="3">
        <v>12.5</v>
      </c>
      <c r="F270" s="3">
        <v>23.7</v>
      </c>
      <c r="G270" s="3">
        <f t="shared" si="35"/>
        <v>1869.8000000000002</v>
      </c>
      <c r="H270" s="3">
        <f t="shared" si="36"/>
        <v>102.69999999999999</v>
      </c>
      <c r="I270" s="27" t="s">
        <v>11</v>
      </c>
      <c r="J270" s="3">
        <v>0</v>
      </c>
      <c r="K270" s="3">
        <f t="shared" si="37"/>
        <v>376.39999999999981</v>
      </c>
      <c r="L270" s="3">
        <v>4.5999999999999996</v>
      </c>
      <c r="M270" s="3">
        <f t="shared" si="38"/>
        <v>276.20000000000005</v>
      </c>
      <c r="N270" s="3">
        <v>-4.5999999999999996</v>
      </c>
      <c r="O270" s="3">
        <f t="shared" si="31"/>
        <v>107.6</v>
      </c>
      <c r="P270" s="3">
        <v>221</v>
      </c>
      <c r="Q270" s="3">
        <v>1.1499999999999999</v>
      </c>
      <c r="R270" s="10">
        <f t="shared" si="33"/>
        <v>5.2899999999999991</v>
      </c>
      <c r="S270" s="10">
        <f t="shared" si="34"/>
        <v>-5.2899999999999991</v>
      </c>
      <c r="T270" s="10">
        <f t="shared" si="39"/>
        <v>91.604932432432463</v>
      </c>
      <c r="U270" s="27" t="s">
        <v>12</v>
      </c>
      <c r="V270" s="3">
        <v>2074.1999999999998</v>
      </c>
      <c r="X270" s="3">
        <f t="shared" si="40"/>
        <v>155211.60000000003</v>
      </c>
      <c r="Y270" s="3">
        <f t="shared" si="41"/>
        <v>13374.400000000001</v>
      </c>
      <c r="AA270" s="3">
        <v>13.9937034469721</v>
      </c>
    </row>
    <row r="271" spans="1:27" s="3" customFormat="1" x14ac:dyDescent="0.25">
      <c r="A271" s="64"/>
      <c r="B271" s="7"/>
      <c r="C271" s="26">
        <v>40656</v>
      </c>
      <c r="D271" s="3">
        <v>15.8</v>
      </c>
      <c r="E271" s="3">
        <v>9.4</v>
      </c>
      <c r="F271" s="3">
        <v>25.2</v>
      </c>
      <c r="G271" s="3">
        <f t="shared" si="35"/>
        <v>1885.6000000000001</v>
      </c>
      <c r="H271" s="3">
        <f t="shared" si="36"/>
        <v>118.49999999999999</v>
      </c>
      <c r="I271" s="3">
        <v>0</v>
      </c>
      <c r="J271" s="3">
        <v>1.6</v>
      </c>
      <c r="K271" s="3">
        <f t="shared" si="37"/>
        <v>377.99999999999983</v>
      </c>
      <c r="L271" s="3">
        <v>4.3</v>
      </c>
      <c r="M271" s="3">
        <f t="shared" si="38"/>
        <v>280.50000000000006</v>
      </c>
      <c r="N271" s="3">
        <v>-2.6999999999999997</v>
      </c>
      <c r="O271" s="3">
        <f t="shared" si="31"/>
        <v>104.89999999999999</v>
      </c>
      <c r="P271" s="3">
        <v>222</v>
      </c>
      <c r="Q271" s="3">
        <v>1.1499999999999999</v>
      </c>
      <c r="R271" s="10">
        <f t="shared" si="33"/>
        <v>4.9449999999999994</v>
      </c>
      <c r="S271" s="10">
        <f t="shared" si="34"/>
        <v>-3.3449999999999993</v>
      </c>
      <c r="T271" s="10">
        <f t="shared" si="39"/>
        <v>88.259932432432464</v>
      </c>
      <c r="U271" s="10">
        <f>MIN(T264:T284)</f>
        <v>60.574932432432469</v>
      </c>
      <c r="V271" s="3">
        <v>2007.6</v>
      </c>
      <c r="W271" s="11"/>
      <c r="X271" s="3">
        <f t="shared" si="40"/>
        <v>157219.20000000004</v>
      </c>
      <c r="Y271" s="3">
        <f t="shared" si="41"/>
        <v>15382.000000000002</v>
      </c>
      <c r="AA271" s="3">
        <v>14.0483275610059</v>
      </c>
    </row>
    <row r="272" spans="1:27" s="3" customFormat="1" ht="15" customHeight="1" x14ac:dyDescent="0.25">
      <c r="A272" s="64"/>
      <c r="B272" s="7"/>
      <c r="C272" s="26">
        <v>40657</v>
      </c>
      <c r="D272" s="3">
        <v>14.6</v>
      </c>
      <c r="E272" s="3">
        <v>10.199999999999999</v>
      </c>
      <c r="F272" s="3">
        <v>22.1</v>
      </c>
      <c r="G272" s="3">
        <f t="shared" si="35"/>
        <v>1900.2</v>
      </c>
      <c r="H272" s="3">
        <f t="shared" si="36"/>
        <v>133.1</v>
      </c>
      <c r="I272" s="27" t="s">
        <v>13</v>
      </c>
      <c r="J272" s="3">
        <v>0</v>
      </c>
      <c r="K272" s="3">
        <f t="shared" si="37"/>
        <v>377.99999999999983</v>
      </c>
      <c r="L272" s="3">
        <v>3.9</v>
      </c>
      <c r="M272" s="3">
        <f t="shared" si="38"/>
        <v>284.40000000000003</v>
      </c>
      <c r="N272" s="3">
        <v>-3.9</v>
      </c>
      <c r="O272" s="3">
        <f t="shared" si="31"/>
        <v>100.99999999999999</v>
      </c>
      <c r="P272" s="3">
        <v>223</v>
      </c>
      <c r="Q272" s="3">
        <v>1.1499999999999999</v>
      </c>
      <c r="R272" s="10">
        <f t="shared" si="33"/>
        <v>4.4849999999999994</v>
      </c>
      <c r="S272" s="10">
        <f t="shared" si="34"/>
        <v>-4.4849999999999994</v>
      </c>
      <c r="T272" s="10">
        <f t="shared" si="39"/>
        <v>83.774932432432465</v>
      </c>
      <c r="U272" s="27" t="s">
        <v>14</v>
      </c>
      <c r="V272" s="3">
        <v>1919.8</v>
      </c>
      <c r="X272" s="3">
        <f t="shared" si="40"/>
        <v>159139.00000000003</v>
      </c>
      <c r="Y272" s="3">
        <f t="shared" si="41"/>
        <v>17301.800000000003</v>
      </c>
      <c r="AA272" s="3">
        <v>14.102658015474701</v>
      </c>
    </row>
    <row r="273" spans="1:27" s="3" customFormat="1" x14ac:dyDescent="0.25">
      <c r="A273" s="64"/>
      <c r="B273" s="7"/>
      <c r="C273" s="26">
        <v>40658</v>
      </c>
      <c r="D273" s="3">
        <v>15.8</v>
      </c>
      <c r="E273" s="3">
        <v>10.3</v>
      </c>
      <c r="F273" s="3">
        <v>23.6</v>
      </c>
      <c r="G273" s="3">
        <f t="shared" si="35"/>
        <v>1916</v>
      </c>
      <c r="H273" s="3">
        <f t="shared" si="36"/>
        <v>148.9</v>
      </c>
      <c r="I273" s="3">
        <v>1</v>
      </c>
      <c r="J273" s="3">
        <v>0</v>
      </c>
      <c r="K273" s="3">
        <f t="shared" si="37"/>
        <v>377.99999999999983</v>
      </c>
      <c r="L273" s="3">
        <v>4.8</v>
      </c>
      <c r="M273" s="3">
        <f t="shared" si="38"/>
        <v>289.20000000000005</v>
      </c>
      <c r="N273" s="3">
        <v>-4.8</v>
      </c>
      <c r="O273" s="3">
        <f t="shared" si="31"/>
        <v>96.199999999999989</v>
      </c>
      <c r="P273" s="3">
        <v>224</v>
      </c>
      <c r="Q273" s="3">
        <v>1.1499999999999999</v>
      </c>
      <c r="R273" s="10">
        <f t="shared" si="33"/>
        <v>5.52</v>
      </c>
      <c r="S273" s="10">
        <f t="shared" si="34"/>
        <v>-5.52</v>
      </c>
      <c r="T273" s="10">
        <f t="shared" si="39"/>
        <v>78.254932432432469</v>
      </c>
      <c r="U273" s="10">
        <f>MAX(T264:T284)</f>
        <v>118.16993243243246</v>
      </c>
      <c r="V273" s="3">
        <v>2547.1</v>
      </c>
      <c r="X273" s="3">
        <f t="shared" si="40"/>
        <v>161686.10000000003</v>
      </c>
      <c r="Y273" s="3">
        <f t="shared" si="41"/>
        <v>19848.900000000001</v>
      </c>
      <c r="AA273" s="3">
        <v>14.156680722811201</v>
      </c>
    </row>
    <row r="274" spans="1:27" s="3" customFormat="1" x14ac:dyDescent="0.25">
      <c r="A274" s="64"/>
      <c r="B274" s="7"/>
      <c r="C274" s="26">
        <v>40659</v>
      </c>
      <c r="D274" s="3">
        <v>15.1</v>
      </c>
      <c r="E274" s="3">
        <v>10.8</v>
      </c>
      <c r="F274" s="3">
        <v>22.2</v>
      </c>
      <c r="G274" s="3">
        <f t="shared" si="35"/>
        <v>1931.1</v>
      </c>
      <c r="H274" s="3">
        <f t="shared" si="36"/>
        <v>164</v>
      </c>
      <c r="I274" s="27" t="s">
        <v>15</v>
      </c>
      <c r="J274" s="3">
        <v>0</v>
      </c>
      <c r="K274" s="3">
        <f t="shared" si="37"/>
        <v>377.99999999999983</v>
      </c>
      <c r="L274" s="3">
        <v>4.9000000000000004</v>
      </c>
      <c r="M274" s="3">
        <f t="shared" si="38"/>
        <v>294.10000000000002</v>
      </c>
      <c r="N274" s="3">
        <v>-4.9000000000000004</v>
      </c>
      <c r="O274" s="3">
        <f t="shared" si="31"/>
        <v>91.299999999999983</v>
      </c>
      <c r="P274" s="3">
        <v>225</v>
      </c>
      <c r="Q274" s="3">
        <v>1.1499999999999999</v>
      </c>
      <c r="R274" s="10">
        <f t="shared" si="33"/>
        <v>5.6349999999999998</v>
      </c>
      <c r="S274" s="10">
        <f t="shared" si="34"/>
        <v>-5.6349999999999998</v>
      </c>
      <c r="T274" s="10">
        <f t="shared" si="39"/>
        <v>72.619932432432464</v>
      </c>
      <c r="U274" s="27" t="s">
        <v>16</v>
      </c>
      <c r="V274" s="3">
        <v>2656.7</v>
      </c>
      <c r="X274" s="3">
        <f t="shared" si="40"/>
        <v>164342.80000000005</v>
      </c>
      <c r="Y274" s="3">
        <f t="shared" si="41"/>
        <v>22505.600000000002</v>
      </c>
      <c r="AA274" s="3">
        <v>14.210381112199199</v>
      </c>
    </row>
    <row r="275" spans="1:27" s="3" customFormat="1" x14ac:dyDescent="0.25">
      <c r="A275" s="64"/>
      <c r="B275" s="7"/>
      <c r="C275" s="26">
        <v>40660</v>
      </c>
      <c r="D275" s="3">
        <v>13.3</v>
      </c>
      <c r="E275" s="3">
        <v>9.9</v>
      </c>
      <c r="F275" s="3">
        <v>18.8</v>
      </c>
      <c r="G275" s="3">
        <f t="shared" si="35"/>
        <v>1944.3999999999999</v>
      </c>
      <c r="H275" s="3">
        <f t="shared" si="36"/>
        <v>177.3</v>
      </c>
      <c r="I275" s="3">
        <v>1</v>
      </c>
      <c r="J275" s="3">
        <v>0</v>
      </c>
      <c r="K275" s="3">
        <f t="shared" si="37"/>
        <v>377.99999999999983</v>
      </c>
      <c r="L275" s="3">
        <v>3.1</v>
      </c>
      <c r="M275" s="3">
        <f t="shared" si="38"/>
        <v>297.20000000000005</v>
      </c>
      <c r="N275" s="3">
        <v>-3.1</v>
      </c>
      <c r="O275" s="3">
        <f t="shared" si="31"/>
        <v>88.199999999999989</v>
      </c>
      <c r="P275" s="3">
        <v>226</v>
      </c>
      <c r="Q275" s="3">
        <v>1.1499999999999999</v>
      </c>
      <c r="R275" s="10">
        <f t="shared" si="33"/>
        <v>3.5649999999999999</v>
      </c>
      <c r="S275" s="10">
        <f t="shared" si="34"/>
        <v>-3.5649999999999999</v>
      </c>
      <c r="T275" s="10">
        <f t="shared" si="39"/>
        <v>69.054932432432466</v>
      </c>
      <c r="U275" s="18">
        <f>AVERAGE(T264:T284)</f>
        <v>81.729456241956257</v>
      </c>
      <c r="V275" s="3">
        <v>1250.2</v>
      </c>
      <c r="X275" s="3">
        <f t="shared" si="40"/>
        <v>165593.00000000006</v>
      </c>
      <c r="Y275" s="3">
        <f t="shared" si="41"/>
        <v>23755.800000000003</v>
      </c>
      <c r="AA275" s="3">
        <v>14.2637441212025</v>
      </c>
    </row>
    <row r="276" spans="1:27" s="3" customFormat="1" x14ac:dyDescent="0.25">
      <c r="A276" s="64"/>
      <c r="B276" s="7"/>
      <c r="C276" s="26">
        <v>40661</v>
      </c>
      <c r="D276" s="3">
        <v>11.6</v>
      </c>
      <c r="E276" s="3">
        <v>6.7</v>
      </c>
      <c r="F276" s="3">
        <v>17.100000000000001</v>
      </c>
      <c r="G276" s="3">
        <f t="shared" si="35"/>
        <v>1955.9999999999998</v>
      </c>
      <c r="H276" s="3">
        <f t="shared" si="36"/>
        <v>188.9</v>
      </c>
      <c r="I276" s="27" t="s">
        <v>17</v>
      </c>
      <c r="J276" s="3">
        <v>0</v>
      </c>
      <c r="K276" s="3">
        <f t="shared" si="37"/>
        <v>377.99999999999983</v>
      </c>
      <c r="L276" s="3">
        <v>3.7</v>
      </c>
      <c r="M276" s="3">
        <f t="shared" si="38"/>
        <v>300.90000000000003</v>
      </c>
      <c r="N276" s="3">
        <v>-3.7</v>
      </c>
      <c r="O276" s="3">
        <f t="shared" si="31"/>
        <v>84.499999999999986</v>
      </c>
      <c r="P276" s="3">
        <v>227</v>
      </c>
      <c r="Q276" s="3">
        <v>1.1499999999999999</v>
      </c>
      <c r="R276" s="10">
        <f t="shared" si="33"/>
        <v>4.2549999999999999</v>
      </c>
      <c r="S276" s="10">
        <f t="shared" si="34"/>
        <v>-4.2549999999999999</v>
      </c>
      <c r="T276" s="10">
        <f t="shared" si="39"/>
        <v>64.79993243243247</v>
      </c>
      <c r="V276" s="3">
        <v>2366.1</v>
      </c>
      <c r="X276" s="3">
        <f t="shared" si="40"/>
        <v>167959.10000000006</v>
      </c>
      <c r="Y276" s="3">
        <f t="shared" si="41"/>
        <v>26121.9</v>
      </c>
      <c r="AA276" s="3">
        <v>14.316754188346501</v>
      </c>
    </row>
    <row r="277" spans="1:27" s="3" customFormat="1" x14ac:dyDescent="0.25">
      <c r="A277" s="64"/>
      <c r="B277" s="7"/>
      <c r="C277" s="26">
        <v>40662</v>
      </c>
      <c r="D277" s="3">
        <v>12.4</v>
      </c>
      <c r="E277" s="3">
        <v>8.8000000000000007</v>
      </c>
      <c r="F277" s="3">
        <v>15.1</v>
      </c>
      <c r="G277" s="3">
        <f t="shared" si="35"/>
        <v>1968.3999999999999</v>
      </c>
      <c r="H277" s="3">
        <f t="shared" si="36"/>
        <v>201.3</v>
      </c>
      <c r="I277" s="3">
        <v>309.8</v>
      </c>
      <c r="J277" s="3">
        <v>1.7</v>
      </c>
      <c r="K277" s="3">
        <f t="shared" si="37"/>
        <v>379.69999999999982</v>
      </c>
      <c r="L277" s="3">
        <v>1.7</v>
      </c>
      <c r="M277" s="3">
        <f t="shared" si="38"/>
        <v>302.60000000000002</v>
      </c>
      <c r="N277" s="3">
        <v>0</v>
      </c>
      <c r="O277" s="3">
        <f t="shared" si="31"/>
        <v>84.499999999999986</v>
      </c>
      <c r="P277" s="3">
        <v>228</v>
      </c>
      <c r="Q277" s="3">
        <v>1.1499999999999999</v>
      </c>
      <c r="R277" s="10">
        <f t="shared" si="33"/>
        <v>1.9549999999999998</v>
      </c>
      <c r="S277" s="10">
        <f t="shared" si="34"/>
        <v>-0.25499999999999989</v>
      </c>
      <c r="T277" s="10">
        <f t="shared" si="39"/>
        <v>64.544932432432475</v>
      </c>
      <c r="U277" s="10">
        <f>(U275*100)/197.4</f>
        <v>41.402966687921101</v>
      </c>
      <c r="V277" s="3">
        <v>1120.5</v>
      </c>
      <c r="X277" s="3">
        <f t="shared" si="40"/>
        <v>169079.60000000006</v>
      </c>
      <c r="Y277" s="3">
        <f t="shared" si="41"/>
        <v>27242.400000000001</v>
      </c>
      <c r="AA277" s="3">
        <v>14.3693952467345</v>
      </c>
    </row>
    <row r="278" spans="1:27" s="3" customFormat="1" x14ac:dyDescent="0.25">
      <c r="A278" s="64"/>
      <c r="B278" s="7"/>
      <c r="C278" s="26">
        <v>40663</v>
      </c>
      <c r="D278" s="3">
        <v>15.6</v>
      </c>
      <c r="E278" s="3">
        <v>9.8000000000000007</v>
      </c>
      <c r="F278" s="3">
        <v>22.1</v>
      </c>
      <c r="G278" s="3">
        <f t="shared" si="35"/>
        <v>1983.9999999999998</v>
      </c>
      <c r="H278" s="3">
        <f t="shared" si="36"/>
        <v>216.9</v>
      </c>
      <c r="J278" s="3">
        <v>2.7</v>
      </c>
      <c r="K278" s="3">
        <f t="shared" si="37"/>
        <v>382.39999999999981</v>
      </c>
      <c r="L278" s="3">
        <v>3.7</v>
      </c>
      <c r="M278" s="3">
        <f t="shared" si="38"/>
        <v>306.3</v>
      </c>
      <c r="N278" s="3">
        <v>-1</v>
      </c>
      <c r="O278" s="3">
        <f t="shared" si="31"/>
        <v>83.499999999999986</v>
      </c>
      <c r="P278" s="3">
        <v>229</v>
      </c>
      <c r="Q278" s="3">
        <v>1.1499999999999999</v>
      </c>
      <c r="R278" s="10">
        <f t="shared" si="33"/>
        <v>4.2549999999999999</v>
      </c>
      <c r="S278" s="10">
        <f t="shared" si="34"/>
        <v>-1.5549999999999997</v>
      </c>
      <c r="T278" s="10">
        <f t="shared" si="39"/>
        <v>62.989932432432475</v>
      </c>
      <c r="V278" s="3">
        <v>2025.2</v>
      </c>
      <c r="X278" s="3">
        <f t="shared" si="40"/>
        <v>171104.80000000008</v>
      </c>
      <c r="Y278" s="3">
        <f t="shared" si="41"/>
        <v>29267.600000000002</v>
      </c>
      <c r="AA278" s="3">
        <v>14.421650718784701</v>
      </c>
    </row>
    <row r="279" spans="1:27" s="3" customFormat="1" x14ac:dyDescent="0.25">
      <c r="A279" s="64"/>
      <c r="B279" s="7"/>
      <c r="C279" s="26">
        <v>40664</v>
      </c>
      <c r="D279" s="3">
        <v>15.4</v>
      </c>
      <c r="E279" s="3">
        <v>12.2</v>
      </c>
      <c r="F279" s="3">
        <v>17.8</v>
      </c>
      <c r="G279" s="3">
        <f t="shared" si="35"/>
        <v>1999.3999999999999</v>
      </c>
      <c r="H279" s="3">
        <f t="shared" si="36"/>
        <v>232.3</v>
      </c>
      <c r="J279" s="3">
        <v>0.1</v>
      </c>
      <c r="K279" s="3">
        <f t="shared" si="37"/>
        <v>382.49999999999983</v>
      </c>
      <c r="L279" s="3">
        <v>1.1000000000000001</v>
      </c>
      <c r="M279" s="3">
        <f t="shared" si="38"/>
        <v>307.40000000000003</v>
      </c>
      <c r="N279" s="3">
        <v>-1</v>
      </c>
      <c r="O279" s="3">
        <f t="shared" si="31"/>
        <v>82.499999999999986</v>
      </c>
      <c r="P279" s="3">
        <v>230</v>
      </c>
      <c r="Q279" s="3">
        <v>1.1499999999999999</v>
      </c>
      <c r="R279" s="10">
        <f t="shared" si="33"/>
        <v>1.2649999999999999</v>
      </c>
      <c r="S279" s="10">
        <f t="shared" si="34"/>
        <v>-1.1649999999999998</v>
      </c>
      <c r="T279" s="10">
        <f t="shared" si="39"/>
        <v>61.824932432432476</v>
      </c>
      <c r="V279" s="3">
        <v>581.70000000000005</v>
      </c>
      <c r="X279" s="3">
        <f t="shared" si="40"/>
        <v>171686.50000000009</v>
      </c>
      <c r="Y279" s="3">
        <f t="shared" si="41"/>
        <v>29849.300000000003</v>
      </c>
      <c r="AA279" s="3">
        <v>14.4735035121777</v>
      </c>
    </row>
    <row r="280" spans="1:27" s="3" customFormat="1" x14ac:dyDescent="0.25">
      <c r="A280" s="64"/>
      <c r="B280" s="7"/>
      <c r="C280" s="26">
        <v>40665</v>
      </c>
      <c r="D280" s="3">
        <v>15.2</v>
      </c>
      <c r="E280" s="3">
        <v>12.7</v>
      </c>
      <c r="F280" s="3">
        <v>20.7</v>
      </c>
      <c r="G280" s="3">
        <f t="shared" si="35"/>
        <v>2014.6</v>
      </c>
      <c r="H280" s="3">
        <f t="shared" si="36"/>
        <v>247.5</v>
      </c>
      <c r="J280" s="3">
        <v>12.1</v>
      </c>
      <c r="K280" s="3">
        <f t="shared" si="37"/>
        <v>394.59999999999985</v>
      </c>
      <c r="L280" s="3">
        <v>1.8</v>
      </c>
      <c r="M280" s="3">
        <f t="shared" si="38"/>
        <v>309.20000000000005</v>
      </c>
      <c r="N280" s="3">
        <v>10.299999999999999</v>
      </c>
      <c r="O280" s="3">
        <f t="shared" si="31"/>
        <v>92.799999999999983</v>
      </c>
      <c r="P280" s="3">
        <v>231</v>
      </c>
      <c r="Q280" s="3">
        <v>1.1499999999999999</v>
      </c>
      <c r="R280" s="10">
        <f t="shared" si="33"/>
        <v>2.0699999999999998</v>
      </c>
      <c r="S280" s="10">
        <f t="shared" si="34"/>
        <v>10.029999999999999</v>
      </c>
      <c r="T280" s="10">
        <f t="shared" si="39"/>
        <v>71.854932432432477</v>
      </c>
      <c r="V280" s="3">
        <v>834.5</v>
      </c>
      <c r="X280" s="3">
        <f t="shared" si="40"/>
        <v>172521.00000000009</v>
      </c>
      <c r="Y280" s="3">
        <f t="shared" si="41"/>
        <v>30683.800000000003</v>
      </c>
      <c r="AA280" s="3">
        <v>14.5249360171082</v>
      </c>
    </row>
    <row r="281" spans="1:27" s="3" customFormat="1" x14ac:dyDescent="0.25">
      <c r="A281" s="64"/>
      <c r="B281" s="7"/>
      <c r="C281" s="26">
        <v>40666</v>
      </c>
      <c r="D281" s="3">
        <v>14.1</v>
      </c>
      <c r="E281" s="3">
        <v>10.6</v>
      </c>
      <c r="F281" s="3">
        <v>18.2</v>
      </c>
      <c r="G281" s="3">
        <f t="shared" si="35"/>
        <v>2028.6999999999998</v>
      </c>
      <c r="H281" s="3">
        <f t="shared" si="36"/>
        <v>261.60000000000002</v>
      </c>
      <c r="J281" s="3">
        <v>0.5</v>
      </c>
      <c r="K281" s="3">
        <f t="shared" si="37"/>
        <v>395.09999999999985</v>
      </c>
      <c r="L281" s="3">
        <v>2.8</v>
      </c>
      <c r="M281" s="3">
        <f t="shared" si="38"/>
        <v>312.00000000000006</v>
      </c>
      <c r="N281" s="3">
        <v>-2.2999999999999998</v>
      </c>
      <c r="O281" s="3">
        <f t="shared" ref="O281:O310" si="42">O280+N281</f>
        <v>90.499999999999986</v>
      </c>
      <c r="P281" s="3">
        <v>232</v>
      </c>
      <c r="Q281" s="3">
        <v>1.1499999999999999</v>
      </c>
      <c r="R281" s="10">
        <f t="shared" si="33"/>
        <v>3.2199999999999998</v>
      </c>
      <c r="S281" s="10">
        <f t="shared" si="34"/>
        <v>-2.7199999999999998</v>
      </c>
      <c r="T281" s="10">
        <f t="shared" si="39"/>
        <v>69.134932432432478</v>
      </c>
      <c r="V281" s="3">
        <v>1481.8</v>
      </c>
      <c r="X281" s="3">
        <f t="shared" si="40"/>
        <v>174002.80000000008</v>
      </c>
      <c r="Y281" s="3">
        <f t="shared" si="41"/>
        <v>32165.600000000002</v>
      </c>
      <c r="AA281" s="3">
        <v>14.575930104935701</v>
      </c>
    </row>
    <row r="282" spans="1:27" s="3" customFormat="1" x14ac:dyDescent="0.25">
      <c r="A282" s="64"/>
      <c r="B282" s="7"/>
      <c r="C282" s="26">
        <v>40667</v>
      </c>
      <c r="D282" s="3">
        <v>14.9</v>
      </c>
      <c r="E282" s="3">
        <v>12</v>
      </c>
      <c r="F282" s="3">
        <v>20.100000000000001</v>
      </c>
      <c r="G282" s="3">
        <f t="shared" si="35"/>
        <v>2043.6</v>
      </c>
      <c r="H282" s="3">
        <f t="shared" si="36"/>
        <v>276.5</v>
      </c>
      <c r="J282" s="3">
        <v>0</v>
      </c>
      <c r="K282" s="3">
        <f t="shared" si="37"/>
        <v>395.09999999999985</v>
      </c>
      <c r="L282" s="3">
        <v>1.9</v>
      </c>
      <c r="M282" s="3">
        <f t="shared" si="38"/>
        <v>313.90000000000003</v>
      </c>
      <c r="N282" s="3">
        <v>-1.9</v>
      </c>
      <c r="O282" s="3">
        <f t="shared" si="42"/>
        <v>88.59999999999998</v>
      </c>
      <c r="P282" s="3">
        <v>233</v>
      </c>
      <c r="Q282" s="3">
        <v>1.1499999999999999</v>
      </c>
      <c r="R282" s="10">
        <f t="shared" si="33"/>
        <v>2.1849999999999996</v>
      </c>
      <c r="S282" s="10">
        <f t="shared" si="34"/>
        <v>-2.1849999999999996</v>
      </c>
      <c r="T282" s="10">
        <f t="shared" si="39"/>
        <v>66.949932432432476</v>
      </c>
      <c r="V282" s="3">
        <v>936.1</v>
      </c>
      <c r="X282" s="3">
        <f t="shared" si="40"/>
        <v>174938.90000000008</v>
      </c>
      <c r="Y282" s="3">
        <f t="shared" si="41"/>
        <v>33101.700000000004</v>
      </c>
      <c r="AA282" s="3">
        <v>14.6264671283348</v>
      </c>
    </row>
    <row r="283" spans="1:27" s="3" customFormat="1" x14ac:dyDescent="0.25">
      <c r="A283" s="64"/>
      <c r="B283" s="7"/>
      <c r="C283" s="26">
        <v>40668</v>
      </c>
      <c r="D283" s="3">
        <v>15.3</v>
      </c>
      <c r="E283" s="3">
        <v>9.8000000000000007</v>
      </c>
      <c r="F283" s="3">
        <v>20.399999999999999</v>
      </c>
      <c r="G283" s="3">
        <f t="shared" si="35"/>
        <v>2058.9</v>
      </c>
      <c r="H283" s="3">
        <f t="shared" si="36"/>
        <v>291.8</v>
      </c>
      <c r="J283" s="3">
        <v>0</v>
      </c>
      <c r="K283" s="3">
        <f t="shared" si="37"/>
        <v>395.09999999999985</v>
      </c>
      <c r="L283" s="3">
        <v>2.4</v>
      </c>
      <c r="M283" s="3">
        <f t="shared" si="38"/>
        <v>316.3</v>
      </c>
      <c r="N283" s="3">
        <v>-2.4</v>
      </c>
      <c r="O283" s="3">
        <f t="shared" si="42"/>
        <v>86.199999999999974</v>
      </c>
      <c r="P283" s="3">
        <v>234</v>
      </c>
      <c r="Q283" s="3">
        <v>1.1499999999999999</v>
      </c>
      <c r="R283" s="10">
        <f t="shared" si="33"/>
        <v>2.76</v>
      </c>
      <c r="S283" s="10">
        <f t="shared" si="34"/>
        <v>-2.76</v>
      </c>
      <c r="T283" s="10">
        <f t="shared" si="39"/>
        <v>64.189932432432471</v>
      </c>
      <c r="V283" s="3">
        <v>1270.4000000000001</v>
      </c>
      <c r="X283" s="3">
        <f t="shared" si="40"/>
        <v>176209.30000000008</v>
      </c>
      <c r="Y283" s="3">
        <f t="shared" si="41"/>
        <v>34372.100000000006</v>
      </c>
      <c r="AA283" s="3">
        <v>14.676527923044199</v>
      </c>
    </row>
    <row r="284" spans="1:27" s="39" customFormat="1" ht="15.75" thickBot="1" x14ac:dyDescent="0.3">
      <c r="A284" s="64"/>
      <c r="B284" s="47">
        <v>300</v>
      </c>
      <c r="C284" s="51">
        <v>40669</v>
      </c>
      <c r="D284" s="39">
        <v>18</v>
      </c>
      <c r="E284" s="39">
        <v>11.8</v>
      </c>
      <c r="F284" s="39">
        <v>24.6</v>
      </c>
      <c r="G284" s="39">
        <f t="shared" si="35"/>
        <v>2076.9</v>
      </c>
      <c r="H284" s="39">
        <f t="shared" si="36"/>
        <v>309.8</v>
      </c>
      <c r="J284" s="39">
        <v>1.1000000000000001</v>
      </c>
      <c r="K284" s="39">
        <f t="shared" si="37"/>
        <v>396.19999999999987</v>
      </c>
      <c r="L284" s="39">
        <v>4.0999999999999996</v>
      </c>
      <c r="M284" s="39">
        <f t="shared" si="38"/>
        <v>320.40000000000003</v>
      </c>
      <c r="N284" s="39">
        <v>-2.9999999999999996</v>
      </c>
      <c r="O284" s="39">
        <f t="shared" si="42"/>
        <v>83.199999999999974</v>
      </c>
      <c r="P284" s="39">
        <v>235</v>
      </c>
      <c r="Q284" s="43">
        <v>1.1499999999999999</v>
      </c>
      <c r="R284" s="41">
        <f t="shared" si="33"/>
        <v>4.714999999999999</v>
      </c>
      <c r="S284" s="41">
        <f t="shared" si="34"/>
        <v>-3.6149999999999989</v>
      </c>
      <c r="T284" s="42">
        <f t="shared" si="39"/>
        <v>60.574932432432469</v>
      </c>
      <c r="V284" s="39">
        <v>2169.5</v>
      </c>
      <c r="X284" s="39">
        <f t="shared" si="40"/>
        <v>178378.80000000008</v>
      </c>
      <c r="Y284" s="43">
        <f t="shared" si="41"/>
        <v>36541.600000000006</v>
      </c>
      <c r="AA284" s="43">
        <v>14.7260928113191</v>
      </c>
    </row>
    <row r="285" spans="1:27" s="3" customFormat="1" x14ac:dyDescent="0.25">
      <c r="A285" s="65">
        <v>600</v>
      </c>
      <c r="B285" s="7"/>
      <c r="C285" s="28">
        <v>40670</v>
      </c>
      <c r="D285" s="3">
        <v>17.5</v>
      </c>
      <c r="E285" s="3">
        <v>14.8</v>
      </c>
      <c r="F285" s="3">
        <v>21</v>
      </c>
      <c r="G285" s="3">
        <f t="shared" si="35"/>
        <v>2094.4</v>
      </c>
      <c r="H285" s="3">
        <v>17.5</v>
      </c>
      <c r="I285" s="29" t="s">
        <v>2</v>
      </c>
      <c r="J285" s="3">
        <v>3.3</v>
      </c>
      <c r="K285" s="3">
        <f t="shared" si="37"/>
        <v>399.49999999999989</v>
      </c>
      <c r="L285" s="3">
        <v>3.3</v>
      </c>
      <c r="M285" s="3">
        <f t="shared" si="38"/>
        <v>323.70000000000005</v>
      </c>
      <c r="N285" s="3">
        <v>0</v>
      </c>
      <c r="O285" s="3">
        <f t="shared" si="42"/>
        <v>83.199999999999974</v>
      </c>
      <c r="P285" s="3">
        <v>236</v>
      </c>
      <c r="Q285" s="18">
        <f>1.15+((P285-235)/56)*(0.35-1.15)</f>
        <v>1.1357142857142857</v>
      </c>
      <c r="R285" s="10">
        <f t="shared" si="33"/>
        <v>3.7478571428571423</v>
      </c>
      <c r="S285" s="10">
        <f t="shared" si="34"/>
        <v>-0.44785714285714251</v>
      </c>
      <c r="T285" s="10">
        <f t="shared" si="39"/>
        <v>60.127075289575323</v>
      </c>
      <c r="U285" s="29" t="s">
        <v>3</v>
      </c>
      <c r="V285" s="3">
        <v>1598.9</v>
      </c>
      <c r="X285" s="3">
        <f t="shared" si="40"/>
        <v>179977.70000000007</v>
      </c>
      <c r="Y285" s="3">
        <v>1598.9</v>
      </c>
      <c r="Z285" s="29" t="s">
        <v>4</v>
      </c>
      <c r="AA285" s="3">
        <v>14.7751416071881</v>
      </c>
    </row>
    <row r="286" spans="1:27" s="3" customFormat="1" x14ac:dyDescent="0.25">
      <c r="A286" s="65"/>
      <c r="B286" s="7"/>
      <c r="C286" s="28">
        <v>40671</v>
      </c>
      <c r="D286" s="3">
        <v>14.4</v>
      </c>
      <c r="E286" s="3">
        <v>11.8</v>
      </c>
      <c r="F286" s="3">
        <v>16.399999999999999</v>
      </c>
      <c r="G286" s="3">
        <f t="shared" si="35"/>
        <v>2108.8000000000002</v>
      </c>
      <c r="H286" s="3">
        <f t="shared" si="36"/>
        <v>31.9</v>
      </c>
      <c r="I286" s="3">
        <f>MIN(E285:E305)</f>
        <v>6.7</v>
      </c>
      <c r="J286" s="3">
        <v>0.4</v>
      </c>
      <c r="K286" s="3">
        <f t="shared" si="37"/>
        <v>399.89999999999986</v>
      </c>
      <c r="L286" s="3">
        <v>2.6</v>
      </c>
      <c r="M286" s="3">
        <f t="shared" si="38"/>
        <v>326.30000000000007</v>
      </c>
      <c r="N286" s="3">
        <v>-2.2000000000000002</v>
      </c>
      <c r="O286" s="3">
        <f t="shared" si="42"/>
        <v>80.999999999999972</v>
      </c>
      <c r="P286" s="3">
        <v>237</v>
      </c>
      <c r="Q286" s="18">
        <f t="shared" ref="Q286:Q340" si="43">1.15+((P286-235)/56)*(0.35-1.15)</f>
        <v>1.1214285714285714</v>
      </c>
      <c r="R286" s="10">
        <f t="shared" si="33"/>
        <v>2.9157142857142859</v>
      </c>
      <c r="S286" s="10">
        <f t="shared" si="34"/>
        <v>-2.515714285714286</v>
      </c>
      <c r="T286" s="10">
        <f t="shared" si="39"/>
        <v>57.611361003861035</v>
      </c>
      <c r="U286" s="3">
        <v>21</v>
      </c>
      <c r="V286" s="3">
        <v>1762.7</v>
      </c>
      <c r="X286" s="3">
        <f t="shared" si="40"/>
        <v>181740.40000000008</v>
      </c>
      <c r="Y286" s="3">
        <f t="shared" si="41"/>
        <v>3361.6000000000004</v>
      </c>
      <c r="Z286" s="3">
        <v>38540.800000000003</v>
      </c>
      <c r="AA286" s="3">
        <v>14.823653623621601</v>
      </c>
    </row>
    <row r="287" spans="1:27" s="3" customFormat="1" x14ac:dyDescent="0.25">
      <c r="A287" s="65"/>
      <c r="B287" s="7"/>
      <c r="C287" s="28">
        <v>40672</v>
      </c>
      <c r="D287" s="3">
        <v>14.9</v>
      </c>
      <c r="E287" s="3">
        <v>9.1999999999999993</v>
      </c>
      <c r="F287" s="3">
        <v>20.7</v>
      </c>
      <c r="G287" s="3">
        <f t="shared" si="35"/>
        <v>2123.7000000000003</v>
      </c>
      <c r="H287" s="3">
        <f t="shared" si="36"/>
        <v>46.8</v>
      </c>
      <c r="I287" s="29" t="s">
        <v>5</v>
      </c>
      <c r="J287" s="3">
        <v>0</v>
      </c>
      <c r="K287" s="3">
        <f t="shared" si="37"/>
        <v>399.89999999999986</v>
      </c>
      <c r="L287" s="3">
        <v>3</v>
      </c>
      <c r="M287" s="3">
        <f t="shared" si="38"/>
        <v>329.30000000000007</v>
      </c>
      <c r="N287" s="3">
        <v>-3</v>
      </c>
      <c r="O287" s="3">
        <f t="shared" si="42"/>
        <v>77.999999999999972</v>
      </c>
      <c r="P287" s="3">
        <v>238</v>
      </c>
      <c r="Q287" s="18">
        <f t="shared" si="43"/>
        <v>1.107142857142857</v>
      </c>
      <c r="R287" s="10">
        <f t="shared" si="33"/>
        <v>3.3214285714285712</v>
      </c>
      <c r="S287" s="10">
        <f t="shared" si="34"/>
        <v>-3.3214285714285712</v>
      </c>
      <c r="T287" s="10">
        <f t="shared" si="39"/>
        <v>54.289932432432465</v>
      </c>
      <c r="U287" s="29" t="s">
        <v>6</v>
      </c>
      <c r="V287" s="3">
        <v>1643.7</v>
      </c>
      <c r="X287" s="3">
        <f t="shared" si="40"/>
        <v>183384.10000000009</v>
      </c>
      <c r="Y287" s="3">
        <f t="shared" si="41"/>
        <v>5005.3</v>
      </c>
      <c r="Z287" s="29" t="s">
        <v>7</v>
      </c>
      <c r="AA287" s="3">
        <v>14.8716076817126</v>
      </c>
    </row>
    <row r="288" spans="1:27" s="3" customFormat="1" x14ac:dyDescent="0.25">
      <c r="A288" s="65"/>
      <c r="B288" s="7"/>
      <c r="C288" s="28">
        <v>40673</v>
      </c>
      <c r="D288" s="3">
        <v>14.9</v>
      </c>
      <c r="E288" s="3">
        <v>7.6</v>
      </c>
      <c r="F288" s="3">
        <v>20</v>
      </c>
      <c r="G288" s="3">
        <f t="shared" si="35"/>
        <v>2138.6000000000004</v>
      </c>
      <c r="H288" s="3">
        <f t="shared" si="36"/>
        <v>61.699999999999996</v>
      </c>
      <c r="I288" s="3">
        <f>MAX(F285:F305)</f>
        <v>24.2</v>
      </c>
      <c r="J288" s="3">
        <v>0</v>
      </c>
      <c r="K288" s="3">
        <f t="shared" si="37"/>
        <v>399.89999999999986</v>
      </c>
      <c r="L288" s="3">
        <v>2.1</v>
      </c>
      <c r="M288" s="3">
        <f t="shared" si="38"/>
        <v>331.40000000000009</v>
      </c>
      <c r="N288" s="3">
        <v>-2.1</v>
      </c>
      <c r="O288" s="3">
        <f t="shared" si="42"/>
        <v>75.899999999999977</v>
      </c>
      <c r="P288" s="3">
        <v>239</v>
      </c>
      <c r="Q288" s="18">
        <f t="shared" si="43"/>
        <v>1.0928571428571427</v>
      </c>
      <c r="R288" s="10">
        <f t="shared" si="33"/>
        <v>2.2949999999999999</v>
      </c>
      <c r="S288" s="10">
        <f t="shared" si="34"/>
        <v>-2.2949999999999999</v>
      </c>
      <c r="T288" s="10">
        <f t="shared" si="39"/>
        <v>51.994932432432464</v>
      </c>
      <c r="U288" s="3">
        <v>2</v>
      </c>
      <c r="V288" s="3">
        <v>1329.8</v>
      </c>
      <c r="X288" s="3">
        <f t="shared" si="40"/>
        <v>184713.90000000008</v>
      </c>
      <c r="Y288" s="3">
        <f t="shared" si="41"/>
        <v>6335.1</v>
      </c>
      <c r="Z288" s="3">
        <f>(Z286/100)/I298</f>
        <v>1.2766081483935079</v>
      </c>
      <c r="AA288" s="3">
        <v>14.9189821219744</v>
      </c>
    </row>
    <row r="289" spans="1:27" s="3" customFormat="1" x14ac:dyDescent="0.25">
      <c r="A289" s="65"/>
      <c r="B289" s="7"/>
      <c r="C289" s="28">
        <v>40674</v>
      </c>
      <c r="D289" s="3">
        <v>14</v>
      </c>
      <c r="E289" s="3">
        <v>9.1</v>
      </c>
      <c r="F289" s="3">
        <v>20.5</v>
      </c>
      <c r="G289" s="3">
        <f t="shared" si="35"/>
        <v>2152.6000000000004</v>
      </c>
      <c r="H289" s="3">
        <f t="shared" si="36"/>
        <v>75.699999999999989</v>
      </c>
      <c r="I289" s="29" t="s">
        <v>8</v>
      </c>
      <c r="J289" s="3">
        <v>0</v>
      </c>
      <c r="K289" s="3">
        <f t="shared" si="37"/>
        <v>399.89999999999986</v>
      </c>
      <c r="L289" s="3">
        <v>3.8</v>
      </c>
      <c r="M289" s="3">
        <f t="shared" si="38"/>
        <v>335.2000000000001</v>
      </c>
      <c r="N289" s="3">
        <v>-3.8</v>
      </c>
      <c r="O289" s="3">
        <f t="shared" si="42"/>
        <v>72.09999999999998</v>
      </c>
      <c r="P289" s="3">
        <v>240</v>
      </c>
      <c r="Q289" s="18">
        <f t="shared" si="43"/>
        <v>1.0785714285714285</v>
      </c>
      <c r="R289" s="10">
        <f t="shared" si="33"/>
        <v>4.0985714285714279</v>
      </c>
      <c r="S289" s="10">
        <f t="shared" si="34"/>
        <v>-4.0985714285714279</v>
      </c>
      <c r="T289" s="10">
        <f t="shared" si="39"/>
        <v>47.896361003861038</v>
      </c>
      <c r="U289" s="29" t="s">
        <v>9</v>
      </c>
      <c r="V289" s="3">
        <v>2073.1</v>
      </c>
      <c r="X289" s="3">
        <f t="shared" si="40"/>
        <v>186787.00000000009</v>
      </c>
      <c r="Y289" s="3">
        <f t="shared" si="41"/>
        <v>8408.2000000000007</v>
      </c>
      <c r="Z289" s="29" t="s">
        <v>10</v>
      </c>
      <c r="AA289" s="3">
        <v>14.9657548178534</v>
      </c>
    </row>
    <row r="290" spans="1:27" s="3" customFormat="1" x14ac:dyDescent="0.25">
      <c r="A290" s="65"/>
      <c r="B290" s="7"/>
      <c r="C290" s="28">
        <v>40675</v>
      </c>
      <c r="D290" s="3">
        <v>12.4</v>
      </c>
      <c r="E290" s="3">
        <v>9.5</v>
      </c>
      <c r="F290" s="3">
        <v>16.600000000000001</v>
      </c>
      <c r="G290" s="3">
        <f t="shared" si="35"/>
        <v>2165.0000000000005</v>
      </c>
      <c r="H290" s="3">
        <f t="shared" si="36"/>
        <v>88.1</v>
      </c>
      <c r="I290" s="10">
        <f>AVERAGE(D285:D305)</f>
        <v>14.376190476190473</v>
      </c>
      <c r="J290" s="3">
        <v>0</v>
      </c>
      <c r="K290" s="3">
        <f t="shared" si="37"/>
        <v>399.89999999999986</v>
      </c>
      <c r="L290" s="3">
        <v>2.9</v>
      </c>
      <c r="M290" s="3">
        <f t="shared" si="38"/>
        <v>338.10000000000008</v>
      </c>
      <c r="N290" s="3">
        <v>-2.9</v>
      </c>
      <c r="O290" s="3">
        <f t="shared" si="42"/>
        <v>69.199999999999974</v>
      </c>
      <c r="P290" s="3">
        <v>241</v>
      </c>
      <c r="Q290" s="18">
        <f t="shared" si="43"/>
        <v>1.0642857142857143</v>
      </c>
      <c r="R290" s="10">
        <f t="shared" si="33"/>
        <v>3.0864285714285713</v>
      </c>
      <c r="S290" s="10">
        <f t="shared" si="34"/>
        <v>-3.0864285714285713</v>
      </c>
      <c r="T290" s="10">
        <f t="shared" si="39"/>
        <v>44.809932432432468</v>
      </c>
      <c r="U290" s="3">
        <v>19</v>
      </c>
      <c r="V290" s="3">
        <v>1511.1</v>
      </c>
      <c r="X290" s="3">
        <f t="shared" si="40"/>
        <v>188298.10000000009</v>
      </c>
      <c r="Y290" s="3">
        <f t="shared" si="41"/>
        <v>9919.3000000000011</v>
      </c>
      <c r="Z290" s="3">
        <v>1</v>
      </c>
      <c r="AA290" s="3">
        <v>15.011903191555099</v>
      </c>
    </row>
    <row r="291" spans="1:27" s="3" customFormat="1" x14ac:dyDescent="0.25">
      <c r="A291" s="65"/>
      <c r="B291" s="7"/>
      <c r="C291" s="28">
        <v>40676</v>
      </c>
      <c r="D291" s="3">
        <v>12.6</v>
      </c>
      <c r="E291" s="3">
        <v>6.7</v>
      </c>
      <c r="F291" s="3">
        <v>19.399999999999999</v>
      </c>
      <c r="G291" s="3">
        <f t="shared" si="35"/>
        <v>2177.6000000000004</v>
      </c>
      <c r="H291" s="3">
        <f t="shared" si="36"/>
        <v>100.69999999999999</v>
      </c>
      <c r="I291" s="29" t="s">
        <v>11</v>
      </c>
      <c r="J291" s="3">
        <v>0</v>
      </c>
      <c r="K291" s="3">
        <f t="shared" si="37"/>
        <v>399.89999999999986</v>
      </c>
      <c r="L291" s="3">
        <v>3.2</v>
      </c>
      <c r="M291" s="3">
        <f t="shared" si="38"/>
        <v>341.30000000000007</v>
      </c>
      <c r="N291" s="3">
        <v>-3.2</v>
      </c>
      <c r="O291" s="3">
        <f t="shared" si="42"/>
        <v>65.999999999999972</v>
      </c>
      <c r="P291" s="3">
        <v>242</v>
      </c>
      <c r="Q291" s="18">
        <f t="shared" si="43"/>
        <v>1.0499999999999998</v>
      </c>
      <c r="R291" s="10">
        <f t="shared" si="33"/>
        <v>3.3599999999999994</v>
      </c>
      <c r="S291" s="10">
        <f t="shared" si="34"/>
        <v>-3.3599999999999994</v>
      </c>
      <c r="T291" s="10">
        <f t="shared" si="39"/>
        <v>41.449932432432469</v>
      </c>
      <c r="U291" s="29" t="s">
        <v>12</v>
      </c>
      <c r="V291" s="3">
        <v>1874.1</v>
      </c>
      <c r="X291" s="3">
        <f t="shared" si="40"/>
        <v>190172.2000000001</v>
      </c>
      <c r="Y291" s="3">
        <f t="shared" si="41"/>
        <v>11793.400000000001</v>
      </c>
      <c r="AA291" s="3">
        <v>15.0574042322748</v>
      </c>
    </row>
    <row r="292" spans="1:27" s="3" customFormat="1" x14ac:dyDescent="0.25">
      <c r="A292" s="65"/>
      <c r="B292" s="7"/>
      <c r="C292" s="28">
        <v>40677</v>
      </c>
      <c r="D292" s="3">
        <v>12.1</v>
      </c>
      <c r="E292" s="3">
        <v>9</v>
      </c>
      <c r="F292" s="3">
        <v>16.5</v>
      </c>
      <c r="G292" s="3">
        <f t="shared" si="35"/>
        <v>2189.7000000000003</v>
      </c>
      <c r="H292" s="3">
        <f t="shared" si="36"/>
        <v>112.79999999999998</v>
      </c>
      <c r="I292" s="3">
        <v>0</v>
      </c>
      <c r="J292" s="3">
        <v>0</v>
      </c>
      <c r="K292" s="3">
        <f t="shared" si="37"/>
        <v>399.89999999999986</v>
      </c>
      <c r="L292" s="3">
        <v>3.1</v>
      </c>
      <c r="M292" s="3">
        <f t="shared" si="38"/>
        <v>344.40000000000009</v>
      </c>
      <c r="N292" s="3">
        <v>-3.1</v>
      </c>
      <c r="O292" s="3">
        <f t="shared" si="42"/>
        <v>62.89999999999997</v>
      </c>
      <c r="P292" s="3">
        <v>243</v>
      </c>
      <c r="Q292" s="18">
        <f t="shared" si="43"/>
        <v>1.0357142857142856</v>
      </c>
      <c r="R292" s="10">
        <f t="shared" si="33"/>
        <v>3.2107142857142854</v>
      </c>
      <c r="S292" s="10">
        <f t="shared" si="34"/>
        <v>-3.2107142857142854</v>
      </c>
      <c r="T292" s="10">
        <f t="shared" si="39"/>
        <v>38.239218146718187</v>
      </c>
      <c r="U292" s="10">
        <v>0</v>
      </c>
      <c r="V292" s="3">
        <v>1759</v>
      </c>
      <c r="W292" s="11"/>
      <c r="X292" s="3">
        <f t="shared" si="40"/>
        <v>191931.2000000001</v>
      </c>
      <c r="Y292" s="3">
        <f t="shared" si="41"/>
        <v>13552.400000000001</v>
      </c>
      <c r="AA292" s="3">
        <v>15.1022345169196</v>
      </c>
    </row>
    <row r="293" spans="1:27" s="3" customFormat="1" ht="15" customHeight="1" x14ac:dyDescent="0.25">
      <c r="A293" s="65"/>
      <c r="B293" s="7"/>
      <c r="C293" s="28">
        <v>40678</v>
      </c>
      <c r="D293" s="3">
        <v>12.1</v>
      </c>
      <c r="E293" s="3">
        <v>7.2</v>
      </c>
      <c r="F293" s="3">
        <v>15.9</v>
      </c>
      <c r="G293" s="3">
        <f t="shared" si="35"/>
        <v>2201.8000000000002</v>
      </c>
      <c r="H293" s="3">
        <f t="shared" si="36"/>
        <v>124.89999999999998</v>
      </c>
      <c r="I293" s="29" t="s">
        <v>13</v>
      </c>
      <c r="J293" s="3">
        <v>0</v>
      </c>
      <c r="K293" s="3">
        <f t="shared" si="37"/>
        <v>399.89999999999986</v>
      </c>
      <c r="L293" s="3">
        <v>3.2</v>
      </c>
      <c r="M293" s="3">
        <f t="shared" si="38"/>
        <v>347.60000000000008</v>
      </c>
      <c r="N293" s="3">
        <v>-3.2</v>
      </c>
      <c r="O293" s="3">
        <f t="shared" si="42"/>
        <v>59.699999999999967</v>
      </c>
      <c r="P293" s="3">
        <v>244</v>
      </c>
      <c r="Q293" s="18">
        <f t="shared" si="43"/>
        <v>1.0214285714285714</v>
      </c>
      <c r="R293" s="10">
        <f t="shared" si="33"/>
        <v>3.2685714285714287</v>
      </c>
      <c r="S293" s="10">
        <f t="shared" si="34"/>
        <v>-3.2685714285714287</v>
      </c>
      <c r="T293" s="10">
        <f t="shared" si="39"/>
        <v>34.97064671814676</v>
      </c>
      <c r="U293" s="29" t="s">
        <v>14</v>
      </c>
      <c r="V293" s="3">
        <v>1886</v>
      </c>
      <c r="X293" s="3">
        <f t="shared" si="40"/>
        <v>193817.2000000001</v>
      </c>
      <c r="Y293" s="3">
        <f t="shared" si="41"/>
        <v>15438.400000000001</v>
      </c>
      <c r="AA293" s="3">
        <v>15.1463702334015</v>
      </c>
    </row>
    <row r="294" spans="1:27" s="3" customFormat="1" x14ac:dyDescent="0.25">
      <c r="A294" s="65"/>
      <c r="B294" s="7"/>
      <c r="C294" s="28">
        <v>40679</v>
      </c>
      <c r="D294" s="3">
        <v>13.7</v>
      </c>
      <c r="E294" s="3">
        <v>7.6</v>
      </c>
      <c r="F294" s="3">
        <v>18.600000000000001</v>
      </c>
      <c r="G294" s="3">
        <f t="shared" si="35"/>
        <v>2215.5</v>
      </c>
      <c r="H294" s="3">
        <f t="shared" si="36"/>
        <v>138.59999999999997</v>
      </c>
      <c r="I294" s="3">
        <v>0</v>
      </c>
      <c r="J294" s="3">
        <v>0</v>
      </c>
      <c r="K294" s="3">
        <f t="shared" si="37"/>
        <v>399.89999999999986</v>
      </c>
      <c r="L294" s="3">
        <v>1.6</v>
      </c>
      <c r="M294" s="3">
        <f t="shared" si="38"/>
        <v>349.2000000000001</v>
      </c>
      <c r="N294" s="3">
        <v>-1.6</v>
      </c>
      <c r="O294" s="3">
        <f t="shared" si="42"/>
        <v>58.099999999999966</v>
      </c>
      <c r="P294" s="3">
        <v>245</v>
      </c>
      <c r="Q294" s="18">
        <f t="shared" si="43"/>
        <v>1.0071428571428571</v>
      </c>
      <c r="R294" s="10">
        <f t="shared" si="33"/>
        <v>1.6114285714285714</v>
      </c>
      <c r="S294" s="10">
        <f t="shared" si="34"/>
        <v>-1.6114285714285714</v>
      </c>
      <c r="T294" s="10">
        <f t="shared" si="39"/>
        <v>33.359218146718192</v>
      </c>
      <c r="U294" s="10">
        <f>MAX(T285:T305)</f>
        <v>60.127075289575323</v>
      </c>
      <c r="V294" s="3">
        <v>808.6</v>
      </c>
      <c r="X294" s="3">
        <f t="shared" si="40"/>
        <v>194625.8000000001</v>
      </c>
      <c r="Y294" s="3">
        <f t="shared" si="41"/>
        <v>16247.000000000002</v>
      </c>
      <c r="AA294" s="3">
        <v>15.1897872065722</v>
      </c>
    </row>
    <row r="295" spans="1:27" s="3" customFormat="1" x14ac:dyDescent="0.25">
      <c r="A295" s="65"/>
      <c r="B295" s="7"/>
      <c r="C295" s="28">
        <v>40680</v>
      </c>
      <c r="D295" s="3">
        <v>14.7</v>
      </c>
      <c r="E295" s="3">
        <v>10.7</v>
      </c>
      <c r="F295" s="3">
        <v>18.899999999999999</v>
      </c>
      <c r="G295" s="3">
        <f t="shared" si="35"/>
        <v>2230.1999999999998</v>
      </c>
      <c r="H295" s="3">
        <f t="shared" si="36"/>
        <v>153.29999999999995</v>
      </c>
      <c r="I295" s="29" t="s">
        <v>15</v>
      </c>
      <c r="J295" s="3">
        <v>0</v>
      </c>
      <c r="K295" s="3">
        <f t="shared" si="37"/>
        <v>399.89999999999986</v>
      </c>
      <c r="L295" s="3">
        <v>1.8</v>
      </c>
      <c r="M295" s="3">
        <f t="shared" si="38"/>
        <v>351.00000000000011</v>
      </c>
      <c r="N295" s="3">
        <v>-1.8</v>
      </c>
      <c r="O295" s="3">
        <f t="shared" si="42"/>
        <v>56.299999999999969</v>
      </c>
      <c r="P295" s="3">
        <v>246</v>
      </c>
      <c r="Q295" s="18">
        <f t="shared" si="43"/>
        <v>0.99285714285714277</v>
      </c>
      <c r="R295" s="10">
        <f t="shared" si="33"/>
        <v>1.7871428571428569</v>
      </c>
      <c r="S295" s="10">
        <f t="shared" si="34"/>
        <v>-1.7871428571428569</v>
      </c>
      <c r="T295" s="10">
        <f t="shared" si="39"/>
        <v>31.572075289575334</v>
      </c>
      <c r="U295" s="29" t="s">
        <v>16</v>
      </c>
      <c r="V295" s="3">
        <v>983.7</v>
      </c>
      <c r="X295" s="3">
        <f t="shared" si="40"/>
        <v>195609.50000000012</v>
      </c>
      <c r="Y295" s="3">
        <f t="shared" si="41"/>
        <v>17230.7</v>
      </c>
      <c r="AA295" s="3">
        <v>15.2324609268607</v>
      </c>
    </row>
    <row r="296" spans="1:27" s="3" customFormat="1" x14ac:dyDescent="0.25">
      <c r="A296" s="65"/>
      <c r="B296" s="7"/>
      <c r="C296" s="28">
        <v>40681</v>
      </c>
      <c r="D296" s="3">
        <v>15.5</v>
      </c>
      <c r="E296" s="3">
        <v>9.1</v>
      </c>
      <c r="F296" s="3">
        <v>22.5</v>
      </c>
      <c r="G296" s="3">
        <f t="shared" si="35"/>
        <v>2245.6999999999998</v>
      </c>
      <c r="H296" s="3">
        <f t="shared" si="36"/>
        <v>168.79999999999995</v>
      </c>
      <c r="I296" s="3">
        <v>0</v>
      </c>
      <c r="J296" s="3">
        <v>0</v>
      </c>
      <c r="K296" s="3">
        <f t="shared" si="37"/>
        <v>399.89999999999986</v>
      </c>
      <c r="L296" s="3">
        <v>4.5</v>
      </c>
      <c r="M296" s="3">
        <f t="shared" si="38"/>
        <v>355.50000000000011</v>
      </c>
      <c r="N296" s="3">
        <v>-4.5</v>
      </c>
      <c r="O296" s="3">
        <f t="shared" si="42"/>
        <v>51.799999999999969</v>
      </c>
      <c r="P296" s="3">
        <v>247</v>
      </c>
      <c r="Q296" s="18">
        <f t="shared" si="43"/>
        <v>0.97857142857142854</v>
      </c>
      <c r="R296" s="10">
        <f t="shared" si="33"/>
        <v>4.4035714285714285</v>
      </c>
      <c r="S296" s="10">
        <f t="shared" si="34"/>
        <v>-4.4035714285714285</v>
      </c>
      <c r="T296" s="10">
        <f t="shared" si="39"/>
        <v>27.168503861003906</v>
      </c>
      <c r="U296" s="18">
        <f>AVERAGE(T285:T305)</f>
        <v>29.150959275602172</v>
      </c>
      <c r="V296" s="3">
        <v>2558.6999999999998</v>
      </c>
      <c r="X296" s="3">
        <f t="shared" si="40"/>
        <v>198168.20000000013</v>
      </c>
      <c r="Y296" s="3">
        <f t="shared" si="41"/>
        <v>19789.400000000001</v>
      </c>
      <c r="AA296" s="3">
        <v>15.274366581663999</v>
      </c>
    </row>
    <row r="297" spans="1:27" s="3" customFormat="1" x14ac:dyDescent="0.25">
      <c r="A297" s="65"/>
      <c r="B297" s="7"/>
      <c r="C297" s="28">
        <v>40682</v>
      </c>
      <c r="D297" s="3">
        <v>15.1</v>
      </c>
      <c r="E297" s="3">
        <v>12.7</v>
      </c>
      <c r="F297" s="3">
        <v>19.3</v>
      </c>
      <c r="G297" s="3">
        <f t="shared" si="35"/>
        <v>2260.7999999999997</v>
      </c>
      <c r="H297" s="3">
        <f t="shared" si="36"/>
        <v>183.89999999999995</v>
      </c>
      <c r="I297" s="29" t="s">
        <v>17</v>
      </c>
      <c r="J297" s="3">
        <v>0</v>
      </c>
      <c r="K297" s="3">
        <f t="shared" si="37"/>
        <v>399.89999999999986</v>
      </c>
      <c r="L297" s="3">
        <v>4.3</v>
      </c>
      <c r="M297" s="3">
        <f t="shared" si="38"/>
        <v>359.80000000000013</v>
      </c>
      <c r="N297" s="3">
        <v>-4.3</v>
      </c>
      <c r="O297" s="3">
        <f t="shared" si="42"/>
        <v>47.499999999999972</v>
      </c>
      <c r="P297" s="3">
        <v>248</v>
      </c>
      <c r="Q297" s="18">
        <f t="shared" si="43"/>
        <v>0.96428571428571419</v>
      </c>
      <c r="R297" s="10">
        <f t="shared" si="33"/>
        <v>4.1464285714285705</v>
      </c>
      <c r="S297" s="10">
        <f t="shared" si="34"/>
        <v>-4.1464285714285705</v>
      </c>
      <c r="T297" s="10">
        <f t="shared" si="39"/>
        <v>23.022075289575334</v>
      </c>
      <c r="V297" s="3">
        <v>2455</v>
      </c>
      <c r="X297" s="3">
        <f t="shared" si="40"/>
        <v>200623.20000000013</v>
      </c>
      <c r="Y297" s="3">
        <f t="shared" si="41"/>
        <v>22244.400000000001</v>
      </c>
      <c r="AA297" s="3">
        <v>15.315479089526701</v>
      </c>
    </row>
    <row r="298" spans="1:27" s="3" customFormat="1" x14ac:dyDescent="0.25">
      <c r="A298" s="65"/>
      <c r="B298" s="7"/>
      <c r="C298" s="28">
        <v>40683</v>
      </c>
      <c r="D298" s="3">
        <v>13.9</v>
      </c>
      <c r="E298" s="3">
        <v>8.9</v>
      </c>
      <c r="F298" s="3">
        <v>18.600000000000001</v>
      </c>
      <c r="G298" s="3">
        <f t="shared" si="35"/>
        <v>2274.6999999999998</v>
      </c>
      <c r="H298" s="3">
        <f t="shared" si="36"/>
        <v>197.79999999999995</v>
      </c>
      <c r="I298" s="3">
        <v>301.89999999999998</v>
      </c>
      <c r="J298" s="3">
        <v>0</v>
      </c>
      <c r="K298" s="3">
        <f t="shared" si="37"/>
        <v>399.89999999999986</v>
      </c>
      <c r="L298" s="3">
        <v>4.2</v>
      </c>
      <c r="M298" s="3">
        <f t="shared" si="38"/>
        <v>364.00000000000011</v>
      </c>
      <c r="N298" s="3">
        <v>-4.2</v>
      </c>
      <c r="O298" s="3">
        <f t="shared" si="42"/>
        <v>43.299999999999969</v>
      </c>
      <c r="P298" s="3">
        <v>249</v>
      </c>
      <c r="Q298" s="18">
        <f t="shared" si="43"/>
        <v>0.95</v>
      </c>
      <c r="R298" s="10">
        <f t="shared" si="33"/>
        <v>3.9899999999999998</v>
      </c>
      <c r="S298" s="10">
        <f t="shared" si="34"/>
        <v>-3.9899999999999998</v>
      </c>
      <c r="T298" s="10">
        <f t="shared" si="39"/>
        <v>19.032075289575335</v>
      </c>
      <c r="U298" s="10">
        <f>(U296*100)/197.4</f>
        <v>14.76745657325338</v>
      </c>
      <c r="V298" s="3">
        <v>2580.3000000000002</v>
      </c>
      <c r="X298" s="3">
        <f t="shared" si="40"/>
        <v>203203.50000000012</v>
      </c>
      <c r="Y298" s="3">
        <f t="shared" si="41"/>
        <v>24824.7</v>
      </c>
      <c r="AA298" s="3">
        <v>15.355773137132701</v>
      </c>
    </row>
    <row r="299" spans="1:27" s="3" customFormat="1" x14ac:dyDescent="0.25">
      <c r="A299" s="65"/>
      <c r="B299" s="7"/>
      <c r="C299" s="28">
        <v>40684</v>
      </c>
      <c r="D299" s="3">
        <v>16.2</v>
      </c>
      <c r="E299" s="3">
        <v>8.8000000000000007</v>
      </c>
      <c r="F299" s="3">
        <v>21.8</v>
      </c>
      <c r="G299" s="3">
        <f t="shared" si="35"/>
        <v>2290.8999999999996</v>
      </c>
      <c r="H299" s="3">
        <f t="shared" si="36"/>
        <v>213.99999999999994</v>
      </c>
      <c r="J299" s="3">
        <v>0</v>
      </c>
      <c r="K299" s="3">
        <f t="shared" si="37"/>
        <v>399.89999999999986</v>
      </c>
      <c r="L299" s="3">
        <v>1.6</v>
      </c>
      <c r="M299" s="3">
        <f t="shared" si="38"/>
        <v>365.60000000000014</v>
      </c>
      <c r="N299" s="3">
        <v>-1.6</v>
      </c>
      <c r="O299" s="3">
        <f t="shared" si="42"/>
        <v>41.699999999999967</v>
      </c>
      <c r="P299" s="3">
        <v>250</v>
      </c>
      <c r="Q299" s="18">
        <f t="shared" si="43"/>
        <v>0.93571428571428561</v>
      </c>
      <c r="R299" s="10">
        <f t="shared" si="33"/>
        <v>1.4971428571428571</v>
      </c>
      <c r="S299" s="10">
        <f t="shared" si="34"/>
        <v>-1.4971428571428571</v>
      </c>
      <c r="T299" s="10">
        <f t="shared" si="39"/>
        <v>17.534932432432477</v>
      </c>
      <c r="V299" s="3">
        <v>962.5</v>
      </c>
      <c r="X299" s="3">
        <f t="shared" si="40"/>
        <v>204166.00000000012</v>
      </c>
      <c r="Y299" s="3">
        <f t="shared" si="41"/>
        <v>25787.200000000001</v>
      </c>
      <c r="AA299" s="3">
        <v>15.3952232191133</v>
      </c>
    </row>
    <row r="300" spans="1:27" s="3" customFormat="1" x14ac:dyDescent="0.25">
      <c r="A300" s="65"/>
      <c r="B300" s="7"/>
      <c r="C300" s="28">
        <v>40685</v>
      </c>
      <c r="D300" s="3">
        <v>14.6</v>
      </c>
      <c r="E300" s="3">
        <v>11.4</v>
      </c>
      <c r="F300" s="3">
        <v>19.3</v>
      </c>
      <c r="G300" s="3">
        <f t="shared" si="35"/>
        <v>2305.4999999999995</v>
      </c>
      <c r="H300" s="3">
        <f t="shared" si="36"/>
        <v>228.59999999999994</v>
      </c>
      <c r="J300" s="3">
        <v>0</v>
      </c>
      <c r="K300" s="3">
        <f t="shared" si="37"/>
        <v>399.89999999999986</v>
      </c>
      <c r="L300" s="3">
        <v>4</v>
      </c>
      <c r="M300" s="3">
        <f t="shared" si="38"/>
        <v>369.60000000000014</v>
      </c>
      <c r="N300" s="3">
        <v>-4</v>
      </c>
      <c r="O300" s="3">
        <f t="shared" si="42"/>
        <v>37.699999999999967</v>
      </c>
      <c r="P300" s="3">
        <v>251</v>
      </c>
      <c r="Q300" s="18">
        <f t="shared" si="43"/>
        <v>0.92142857142857137</v>
      </c>
      <c r="R300" s="10">
        <f t="shared" si="33"/>
        <v>3.6857142857142855</v>
      </c>
      <c r="S300" s="10">
        <f t="shared" si="34"/>
        <v>-3.6857142857142855</v>
      </c>
      <c r="T300" s="10">
        <f t="shared" si="39"/>
        <v>13.849218146718192</v>
      </c>
      <c r="V300" s="3">
        <v>2093.1</v>
      </c>
      <c r="X300" s="3">
        <f t="shared" si="40"/>
        <v>206259.10000000012</v>
      </c>
      <c r="Y300" s="3">
        <f t="shared" si="41"/>
        <v>27880.3</v>
      </c>
      <c r="AA300" s="3">
        <v>15.433803680661301</v>
      </c>
    </row>
    <row r="301" spans="1:27" s="3" customFormat="1" x14ac:dyDescent="0.25">
      <c r="A301" s="65"/>
      <c r="B301" s="7"/>
      <c r="C301" s="28">
        <v>40686</v>
      </c>
      <c r="D301" s="3">
        <v>16.100000000000001</v>
      </c>
      <c r="E301" s="3">
        <v>8.6999999999999993</v>
      </c>
      <c r="F301" s="3">
        <v>22.1</v>
      </c>
      <c r="G301" s="3">
        <f t="shared" si="35"/>
        <v>2321.5999999999995</v>
      </c>
      <c r="H301" s="3">
        <f t="shared" si="36"/>
        <v>244.69999999999993</v>
      </c>
      <c r="J301" s="3">
        <v>0</v>
      </c>
      <c r="K301" s="3">
        <f t="shared" si="37"/>
        <v>399.89999999999986</v>
      </c>
      <c r="L301" s="3">
        <v>5.2</v>
      </c>
      <c r="M301" s="3">
        <f t="shared" si="38"/>
        <v>374.80000000000013</v>
      </c>
      <c r="N301" s="3">
        <v>-5.2</v>
      </c>
      <c r="O301" s="3">
        <f t="shared" si="42"/>
        <v>32.499999999999964</v>
      </c>
      <c r="P301" s="3">
        <v>252</v>
      </c>
      <c r="Q301" s="18">
        <f t="shared" si="43"/>
        <v>0.90714285714285703</v>
      </c>
      <c r="R301" s="10">
        <f t="shared" si="33"/>
        <v>4.7171428571428571</v>
      </c>
      <c r="S301" s="10">
        <f t="shared" si="34"/>
        <v>-4.7171428571428571</v>
      </c>
      <c r="T301" s="10">
        <f t="shared" si="39"/>
        <v>9.1320752895753348</v>
      </c>
      <c r="V301" s="3">
        <v>2843.9</v>
      </c>
      <c r="X301" s="3">
        <f t="shared" si="40"/>
        <v>209103.00000000012</v>
      </c>
      <c r="Y301" s="3">
        <f t="shared" si="41"/>
        <v>30724.2</v>
      </c>
      <c r="AA301" s="3">
        <v>15.471488762918799</v>
      </c>
    </row>
    <row r="302" spans="1:27" s="3" customFormat="1" x14ac:dyDescent="0.25">
      <c r="A302" s="65"/>
      <c r="B302" s="7"/>
      <c r="C302" s="28">
        <v>40687</v>
      </c>
      <c r="D302" s="3">
        <v>13.7</v>
      </c>
      <c r="E302" s="3">
        <v>11.4</v>
      </c>
      <c r="F302" s="3">
        <v>17.600000000000001</v>
      </c>
      <c r="G302" s="3">
        <f t="shared" si="35"/>
        <v>2335.2999999999993</v>
      </c>
      <c r="H302" s="3">
        <f t="shared" si="36"/>
        <v>258.39999999999992</v>
      </c>
      <c r="J302" s="3">
        <v>0</v>
      </c>
      <c r="K302" s="3">
        <f t="shared" si="37"/>
        <v>399.89999999999986</v>
      </c>
      <c r="L302" s="3">
        <v>4.0999999999999996</v>
      </c>
      <c r="M302" s="3">
        <f t="shared" si="38"/>
        <v>378.90000000000015</v>
      </c>
      <c r="N302" s="3">
        <v>-4.0999999999999996</v>
      </c>
      <c r="O302" s="3">
        <f t="shared" si="42"/>
        <v>28.399999999999963</v>
      </c>
      <c r="P302" s="3">
        <v>253</v>
      </c>
      <c r="Q302" s="18">
        <f t="shared" si="43"/>
        <v>0.89285714285714279</v>
      </c>
      <c r="R302" s="10">
        <f t="shared" si="33"/>
        <v>3.6607142857142851</v>
      </c>
      <c r="S302" s="10">
        <f t="shared" si="34"/>
        <v>-3.6607142857142851</v>
      </c>
      <c r="T302" s="10">
        <f t="shared" si="39"/>
        <v>5.4713610038610501</v>
      </c>
      <c r="V302" s="3">
        <v>2208.5</v>
      </c>
      <c r="X302" s="3">
        <f t="shared" si="40"/>
        <v>211311.50000000012</v>
      </c>
      <c r="Y302" s="3">
        <f t="shared" si="41"/>
        <v>32932.699999999997</v>
      </c>
      <c r="AA302" s="3">
        <v>15.508252651086901</v>
      </c>
    </row>
    <row r="303" spans="1:27" s="3" customFormat="1" x14ac:dyDescent="0.25">
      <c r="A303" s="65"/>
      <c r="B303" s="7"/>
      <c r="C303" s="28">
        <v>40688</v>
      </c>
      <c r="D303" s="3">
        <v>17</v>
      </c>
      <c r="E303" s="3">
        <v>7.6</v>
      </c>
      <c r="F303" s="3">
        <v>24.2</v>
      </c>
      <c r="G303" s="3">
        <f t="shared" si="35"/>
        <v>2352.2999999999993</v>
      </c>
      <c r="H303" s="3">
        <f t="shared" si="36"/>
        <v>275.39999999999992</v>
      </c>
      <c r="J303" s="3">
        <v>0</v>
      </c>
      <c r="K303" s="3">
        <f t="shared" si="37"/>
        <v>399.89999999999986</v>
      </c>
      <c r="L303" s="3">
        <v>5.5</v>
      </c>
      <c r="M303" s="3">
        <f t="shared" si="38"/>
        <v>384.40000000000015</v>
      </c>
      <c r="N303" s="3">
        <v>-5.5</v>
      </c>
      <c r="O303" s="3">
        <f t="shared" si="42"/>
        <v>22.899999999999963</v>
      </c>
      <c r="P303" s="3">
        <v>254</v>
      </c>
      <c r="Q303" s="18">
        <f t="shared" si="43"/>
        <v>0.87857142857142856</v>
      </c>
      <c r="R303" s="10">
        <f t="shared" si="33"/>
        <v>4.8321428571428573</v>
      </c>
      <c r="S303" s="10">
        <f t="shared" si="34"/>
        <v>-4.8321428571428573</v>
      </c>
      <c r="T303" s="10">
        <f t="shared" si="39"/>
        <v>0.63921814671819277</v>
      </c>
      <c r="V303" s="3">
        <v>2935.8</v>
      </c>
      <c r="X303" s="3">
        <f t="shared" si="40"/>
        <v>214247.3000000001</v>
      </c>
      <c r="Y303" s="3">
        <f t="shared" si="41"/>
        <v>35868.5</v>
      </c>
      <c r="AA303" s="3">
        <v>15.544069525182699</v>
      </c>
    </row>
    <row r="304" spans="1:27" s="3" customFormat="1" x14ac:dyDescent="0.25">
      <c r="A304" s="65"/>
      <c r="B304" s="7"/>
      <c r="C304" s="28">
        <v>40689</v>
      </c>
      <c r="D304" s="3">
        <v>14.2</v>
      </c>
      <c r="E304" s="3">
        <v>12.4</v>
      </c>
      <c r="F304" s="3">
        <v>15.8</v>
      </c>
      <c r="G304" s="3">
        <f t="shared" si="35"/>
        <v>2366.4999999999991</v>
      </c>
      <c r="H304" s="3">
        <f t="shared" si="36"/>
        <v>289.59999999999991</v>
      </c>
      <c r="J304" s="3">
        <v>0.1</v>
      </c>
      <c r="K304" s="3">
        <f t="shared" si="37"/>
        <v>399.99999999999989</v>
      </c>
      <c r="L304" s="3">
        <v>2.8</v>
      </c>
      <c r="M304" s="3">
        <f t="shared" si="38"/>
        <v>387.20000000000016</v>
      </c>
      <c r="N304" s="3">
        <v>-2.6999999999999997</v>
      </c>
      <c r="O304" s="3">
        <f t="shared" si="42"/>
        <v>20.199999999999964</v>
      </c>
      <c r="P304" s="3">
        <v>255</v>
      </c>
      <c r="Q304" s="18">
        <f t="shared" si="43"/>
        <v>0.86428571428571421</v>
      </c>
      <c r="R304" s="10">
        <f t="shared" si="33"/>
        <v>2.4199999999999995</v>
      </c>
      <c r="S304" s="10">
        <f t="shared" si="34"/>
        <v>-2.3199999999999994</v>
      </c>
      <c r="T304" s="10">
        <v>0</v>
      </c>
      <c r="V304" s="3">
        <v>1256.9000000000001</v>
      </c>
      <c r="X304" s="3">
        <f t="shared" si="40"/>
        <v>215504.2000000001</v>
      </c>
      <c r="Y304" s="3">
        <f t="shared" si="41"/>
        <v>37125.4</v>
      </c>
      <c r="AA304" s="3">
        <v>15.578913613345801</v>
      </c>
    </row>
    <row r="305" spans="1:27" s="39" customFormat="1" ht="15.75" thickBot="1" x14ac:dyDescent="0.3">
      <c r="A305" s="65"/>
      <c r="B305" s="47">
        <v>600</v>
      </c>
      <c r="C305" s="52">
        <v>40690</v>
      </c>
      <c r="D305" s="39">
        <v>12.3</v>
      </c>
      <c r="E305" s="39">
        <v>11.1</v>
      </c>
      <c r="F305" s="39">
        <v>15.2</v>
      </c>
      <c r="G305" s="39">
        <f t="shared" si="35"/>
        <v>2378.7999999999993</v>
      </c>
      <c r="H305" s="39">
        <f t="shared" si="36"/>
        <v>301.89999999999992</v>
      </c>
      <c r="J305" s="39">
        <v>0</v>
      </c>
      <c r="K305" s="39">
        <f t="shared" si="37"/>
        <v>399.99999999999989</v>
      </c>
      <c r="L305" s="39">
        <v>2.8</v>
      </c>
      <c r="M305" s="39">
        <f t="shared" si="38"/>
        <v>390.00000000000017</v>
      </c>
      <c r="N305" s="39">
        <v>-2.8</v>
      </c>
      <c r="O305" s="39">
        <f t="shared" si="42"/>
        <v>17.399999999999963</v>
      </c>
      <c r="P305" s="39">
        <v>256</v>
      </c>
      <c r="Q305" s="40">
        <f t="shared" si="43"/>
        <v>0.84999999999999987</v>
      </c>
      <c r="R305" s="41">
        <f t="shared" si="33"/>
        <v>2.3799999999999994</v>
      </c>
      <c r="S305" s="41">
        <f t="shared" si="34"/>
        <v>-2.3799999999999994</v>
      </c>
      <c r="T305" s="42">
        <v>0</v>
      </c>
      <c r="V305" s="39">
        <v>1415.4</v>
      </c>
      <c r="X305" s="39">
        <f t="shared" si="40"/>
        <v>216919.60000000009</v>
      </c>
      <c r="Y305" s="43">
        <f t="shared" si="41"/>
        <v>38540.800000000003</v>
      </c>
      <c r="AA305" s="43">
        <v>15.612759247572299</v>
      </c>
    </row>
    <row r="306" spans="1:27" s="3" customFormat="1" x14ac:dyDescent="0.25">
      <c r="A306" s="55">
        <v>1000</v>
      </c>
      <c r="B306" s="7"/>
      <c r="C306" s="30">
        <v>40691</v>
      </c>
      <c r="D306" s="3">
        <v>13.2</v>
      </c>
      <c r="E306" s="3">
        <v>5.4</v>
      </c>
      <c r="F306" s="3">
        <v>19.7</v>
      </c>
      <c r="G306" s="3">
        <f t="shared" si="35"/>
        <v>2391.9999999999991</v>
      </c>
      <c r="H306" s="3">
        <v>13.2</v>
      </c>
      <c r="I306" s="31" t="s">
        <v>2</v>
      </c>
      <c r="J306" s="3">
        <v>0</v>
      </c>
      <c r="K306" s="3">
        <f t="shared" si="37"/>
        <v>399.99999999999989</v>
      </c>
      <c r="L306" s="3">
        <v>4.5999999999999996</v>
      </c>
      <c r="M306" s="3">
        <f t="shared" si="38"/>
        <v>394.60000000000019</v>
      </c>
      <c r="N306" s="3">
        <v>-4.5999999999999996</v>
      </c>
      <c r="O306" s="3">
        <f t="shared" si="42"/>
        <v>12.799999999999963</v>
      </c>
      <c r="P306" s="3">
        <v>257</v>
      </c>
      <c r="Q306" s="18">
        <f t="shared" si="43"/>
        <v>0.83571428571428563</v>
      </c>
      <c r="R306" s="10">
        <f t="shared" ref="R306:R340" si="44">Q306*L306</f>
        <v>3.8442857142857134</v>
      </c>
      <c r="S306" s="10">
        <f t="shared" ref="S306:S340" si="45">J306-R306</f>
        <v>-3.8442857142857134</v>
      </c>
      <c r="T306" s="10">
        <v>0</v>
      </c>
      <c r="U306" s="31" t="s">
        <v>3</v>
      </c>
      <c r="V306" s="3">
        <v>2900.1</v>
      </c>
      <c r="X306" s="3">
        <f t="shared" si="40"/>
        <v>219819.7000000001</v>
      </c>
      <c r="Y306" s="3">
        <v>2900.1</v>
      </c>
      <c r="Z306" s="31" t="s">
        <v>4</v>
      </c>
      <c r="AA306" s="3">
        <v>15.6455809217266</v>
      </c>
    </row>
    <row r="307" spans="1:27" s="3" customFormat="1" x14ac:dyDescent="0.25">
      <c r="A307" s="55"/>
      <c r="B307" s="7"/>
      <c r="C307" s="30">
        <v>40692</v>
      </c>
      <c r="D307" s="3">
        <v>16.3</v>
      </c>
      <c r="E307" s="3">
        <v>9.1999999999999993</v>
      </c>
      <c r="F307" s="3">
        <v>23.2</v>
      </c>
      <c r="G307" s="3">
        <f t="shared" si="35"/>
        <v>2408.2999999999993</v>
      </c>
      <c r="H307" s="3">
        <f t="shared" si="36"/>
        <v>29.5</v>
      </c>
      <c r="I307" s="3">
        <f>MIN(E306:E332)</f>
        <v>5.4</v>
      </c>
      <c r="J307" s="3">
        <v>0</v>
      </c>
      <c r="K307" s="3">
        <f t="shared" si="37"/>
        <v>399.99999999999989</v>
      </c>
      <c r="L307" s="3">
        <v>4.9000000000000004</v>
      </c>
      <c r="M307" s="3">
        <f t="shared" si="38"/>
        <v>399.50000000000017</v>
      </c>
      <c r="N307" s="3">
        <v>-4.9000000000000004</v>
      </c>
      <c r="O307" s="3">
        <f t="shared" si="42"/>
        <v>7.8999999999999631</v>
      </c>
      <c r="P307" s="3">
        <v>258</v>
      </c>
      <c r="Q307" s="18">
        <f t="shared" si="43"/>
        <v>0.8214285714285714</v>
      </c>
      <c r="R307" s="10">
        <f t="shared" si="44"/>
        <v>4.0250000000000004</v>
      </c>
      <c r="S307" s="10">
        <f t="shared" si="45"/>
        <v>-4.0250000000000004</v>
      </c>
      <c r="T307" s="10">
        <v>0</v>
      </c>
      <c r="U307" s="3">
        <v>18</v>
      </c>
      <c r="V307" s="3">
        <v>2838.3</v>
      </c>
      <c r="X307" s="3">
        <f t="shared" si="40"/>
        <v>222658.00000000009</v>
      </c>
      <c r="Y307" s="3">
        <f t="shared" si="41"/>
        <v>5738.4</v>
      </c>
      <c r="Z307" s="3">
        <v>41586.1</v>
      </c>
      <c r="AA307" s="3">
        <v>15.677353351658899</v>
      </c>
    </row>
    <row r="308" spans="1:27" s="3" customFormat="1" x14ac:dyDescent="0.25">
      <c r="A308" s="55"/>
      <c r="B308" s="7"/>
      <c r="C308" s="30">
        <v>40693</v>
      </c>
      <c r="D308" s="3">
        <v>13.8</v>
      </c>
      <c r="E308" s="3">
        <v>11.2</v>
      </c>
      <c r="F308" s="3">
        <v>20.7</v>
      </c>
      <c r="G308" s="3">
        <f t="shared" ref="G308:G340" si="46">G307+D308</f>
        <v>2422.0999999999995</v>
      </c>
      <c r="H308" s="3">
        <f t="shared" ref="H308:H340" si="47">H307+D308</f>
        <v>43.3</v>
      </c>
      <c r="I308" s="31" t="s">
        <v>5</v>
      </c>
      <c r="J308" s="3">
        <v>3.1</v>
      </c>
      <c r="K308" s="3">
        <f t="shared" ref="K308:K340" si="48">K307+J308</f>
        <v>403.09999999999991</v>
      </c>
      <c r="L308" s="3">
        <v>2.6</v>
      </c>
      <c r="M308" s="3">
        <f t="shared" ref="M308:M340" si="49">M307+L308</f>
        <v>402.10000000000019</v>
      </c>
      <c r="N308" s="3">
        <v>0.5</v>
      </c>
      <c r="O308" s="3">
        <f t="shared" si="42"/>
        <v>8.3999999999999631</v>
      </c>
      <c r="P308" s="3">
        <v>259</v>
      </c>
      <c r="Q308" s="18">
        <f t="shared" si="43"/>
        <v>0.80714285714285716</v>
      </c>
      <c r="R308" s="10">
        <f t="shared" si="44"/>
        <v>2.0985714285714288</v>
      </c>
      <c r="S308" s="10">
        <f t="shared" si="45"/>
        <v>1.0014285714285713</v>
      </c>
      <c r="T308" s="10">
        <f t="shared" ref="T308:T340" si="50">MIN(197.4,(T307+S308))</f>
        <v>1.0014285714285713</v>
      </c>
      <c r="U308" s="31" t="s">
        <v>6</v>
      </c>
      <c r="V308" s="3">
        <v>1130.5</v>
      </c>
      <c r="X308" s="3">
        <f t="shared" ref="X308:X340" si="51">X307+V308</f>
        <v>223788.50000000009</v>
      </c>
      <c r="Y308" s="3">
        <f t="shared" si="41"/>
        <v>6868.9</v>
      </c>
      <c r="Z308" s="31" t="s">
        <v>7</v>
      </c>
      <c r="AA308" s="3">
        <v>15.7080515372264</v>
      </c>
    </row>
    <row r="309" spans="1:27" s="3" customFormat="1" x14ac:dyDescent="0.25">
      <c r="A309" s="55"/>
      <c r="B309" s="7"/>
      <c r="C309" s="30">
        <v>40694</v>
      </c>
      <c r="D309" s="3">
        <v>11.2</v>
      </c>
      <c r="E309" s="3">
        <v>7.6</v>
      </c>
      <c r="F309" s="3">
        <v>14.9</v>
      </c>
      <c r="G309" s="3">
        <f t="shared" si="46"/>
        <v>2433.2999999999993</v>
      </c>
      <c r="H309" s="3">
        <f t="shared" si="47"/>
        <v>54.5</v>
      </c>
      <c r="I309" s="3">
        <f>MAX(F306:F332)</f>
        <v>27.8</v>
      </c>
      <c r="J309" s="3">
        <v>0.1</v>
      </c>
      <c r="K309" s="3">
        <f t="shared" si="48"/>
        <v>403.19999999999993</v>
      </c>
      <c r="L309" s="3">
        <v>3</v>
      </c>
      <c r="M309" s="3">
        <f t="shared" si="49"/>
        <v>405.10000000000019</v>
      </c>
      <c r="N309" s="3">
        <v>-2.9</v>
      </c>
      <c r="O309" s="3">
        <f t="shared" si="42"/>
        <v>5.4999999999999627</v>
      </c>
      <c r="P309" s="3">
        <v>260</v>
      </c>
      <c r="Q309" s="18">
        <f t="shared" si="43"/>
        <v>0.7928571428571427</v>
      </c>
      <c r="R309" s="10">
        <f t="shared" si="44"/>
        <v>2.3785714285714281</v>
      </c>
      <c r="S309" s="10">
        <f t="shared" si="45"/>
        <v>-2.278571428571428</v>
      </c>
      <c r="T309" s="10">
        <v>0</v>
      </c>
      <c r="U309" s="3">
        <v>6</v>
      </c>
      <c r="V309" s="3">
        <v>1743</v>
      </c>
      <c r="X309" s="3">
        <f t="shared" si="51"/>
        <v>225531.50000000009</v>
      </c>
      <c r="Y309" s="3">
        <f t="shared" si="41"/>
        <v>8611.9</v>
      </c>
      <c r="Z309" s="3">
        <f>(Z307/100)/I319</f>
        <v>1.0013508307247772</v>
      </c>
      <c r="AA309" s="3">
        <v>15.7376508259911</v>
      </c>
    </row>
    <row r="310" spans="1:27" s="3" customFormat="1" x14ac:dyDescent="0.25">
      <c r="A310" s="55"/>
      <c r="B310" s="7"/>
      <c r="C310" s="30">
        <v>40695</v>
      </c>
      <c r="D310" s="3">
        <v>13.5</v>
      </c>
      <c r="E310" s="3">
        <v>7</v>
      </c>
      <c r="F310" s="3">
        <v>18.899999999999999</v>
      </c>
      <c r="G310" s="3">
        <f t="shared" si="46"/>
        <v>2446.7999999999993</v>
      </c>
      <c r="H310" s="3">
        <f t="shared" si="47"/>
        <v>68</v>
      </c>
      <c r="I310" s="31" t="s">
        <v>8</v>
      </c>
      <c r="J310" s="3">
        <v>0</v>
      </c>
      <c r="K310" s="3">
        <f t="shared" si="48"/>
        <v>403.19999999999993</v>
      </c>
      <c r="L310" s="3">
        <v>4.5</v>
      </c>
      <c r="M310" s="3">
        <f t="shared" si="49"/>
        <v>409.60000000000019</v>
      </c>
      <c r="N310" s="3">
        <v>-4.5</v>
      </c>
      <c r="O310" s="3">
        <f t="shared" si="42"/>
        <v>0.9999999999999627</v>
      </c>
      <c r="P310" s="3">
        <v>261</v>
      </c>
      <c r="Q310" s="18">
        <f t="shared" si="43"/>
        <v>0.77857142857142847</v>
      </c>
      <c r="R310" s="10">
        <f t="shared" si="44"/>
        <v>3.5035714285714281</v>
      </c>
      <c r="S310" s="10">
        <f t="shared" si="45"/>
        <v>-3.5035714285714281</v>
      </c>
      <c r="T310" s="10">
        <v>0</v>
      </c>
      <c r="U310" s="31" t="s">
        <v>9</v>
      </c>
      <c r="V310" s="3">
        <v>2816.8</v>
      </c>
      <c r="X310" s="3">
        <f t="shared" si="51"/>
        <v>228348.30000000008</v>
      </c>
      <c r="Y310" s="3">
        <f t="shared" si="41"/>
        <v>11428.7</v>
      </c>
      <c r="Z310" s="31" t="s">
        <v>10</v>
      </c>
      <c r="AA310" s="3">
        <v>15.7661269783405</v>
      </c>
    </row>
    <row r="311" spans="1:27" s="3" customFormat="1" x14ac:dyDescent="0.25">
      <c r="A311" s="55"/>
      <c r="B311" s="7"/>
      <c r="C311" s="30">
        <v>40696</v>
      </c>
      <c r="D311" s="3">
        <v>17.5</v>
      </c>
      <c r="E311" s="3">
        <v>10.5</v>
      </c>
      <c r="F311" s="3">
        <v>22.8</v>
      </c>
      <c r="G311" s="3">
        <f t="shared" si="46"/>
        <v>2464.2999999999993</v>
      </c>
      <c r="H311" s="3">
        <f t="shared" si="47"/>
        <v>85.5</v>
      </c>
      <c r="I311" s="10">
        <f>AVERAGE(D306:D332)</f>
        <v>15.381481481481478</v>
      </c>
      <c r="J311" s="3">
        <v>0</v>
      </c>
      <c r="K311" s="3">
        <f t="shared" si="48"/>
        <v>403.19999999999993</v>
      </c>
      <c r="L311" s="3">
        <v>6.1</v>
      </c>
      <c r="M311" s="3">
        <f t="shared" si="49"/>
        <v>415.70000000000022</v>
      </c>
      <c r="N311" s="3">
        <v>-6.1</v>
      </c>
      <c r="O311" s="3">
        <v>0</v>
      </c>
      <c r="P311" s="3">
        <v>262</v>
      </c>
      <c r="Q311" s="18">
        <f t="shared" si="43"/>
        <v>0.76428571428571423</v>
      </c>
      <c r="R311" s="10">
        <f t="shared" si="44"/>
        <v>4.6621428571428565</v>
      </c>
      <c r="S311" s="10">
        <f t="shared" si="45"/>
        <v>-4.6621428571428565</v>
      </c>
      <c r="T311" s="10">
        <v>0</v>
      </c>
      <c r="U311" s="3">
        <v>21</v>
      </c>
      <c r="V311" s="3">
        <v>3121.6</v>
      </c>
      <c r="X311" s="3">
        <f t="shared" si="51"/>
        <v>231469.90000000008</v>
      </c>
      <c r="Y311" s="3">
        <f t="shared" si="41"/>
        <v>14550.300000000001</v>
      </c>
      <c r="Z311" s="3">
        <v>8</v>
      </c>
      <c r="AA311" s="3">
        <v>15.793456233751099</v>
      </c>
    </row>
    <row r="312" spans="1:27" s="3" customFormat="1" x14ac:dyDescent="0.25">
      <c r="A312" s="55"/>
      <c r="B312" s="7"/>
      <c r="C312" s="30">
        <v>40697</v>
      </c>
      <c r="D312" s="3">
        <v>20.7</v>
      </c>
      <c r="E312" s="3">
        <v>14</v>
      </c>
      <c r="F312" s="3">
        <v>27.8</v>
      </c>
      <c r="G312" s="3">
        <f t="shared" si="46"/>
        <v>2484.9999999999991</v>
      </c>
      <c r="H312" s="3">
        <f t="shared" si="47"/>
        <v>106.2</v>
      </c>
      <c r="I312" s="31" t="s">
        <v>11</v>
      </c>
      <c r="J312" s="3">
        <v>0</v>
      </c>
      <c r="K312" s="3">
        <f t="shared" si="48"/>
        <v>403.19999999999993</v>
      </c>
      <c r="L312" s="3">
        <v>7</v>
      </c>
      <c r="M312" s="3">
        <f t="shared" si="49"/>
        <v>422.70000000000022</v>
      </c>
      <c r="N312" s="3">
        <v>-7</v>
      </c>
      <c r="O312" s="3">
        <v>0</v>
      </c>
      <c r="P312" s="3">
        <v>263</v>
      </c>
      <c r="Q312" s="18">
        <f t="shared" si="43"/>
        <v>0.75</v>
      </c>
      <c r="R312" s="10">
        <f t="shared" si="44"/>
        <v>5.25</v>
      </c>
      <c r="S312" s="10">
        <f t="shared" si="45"/>
        <v>-5.25</v>
      </c>
      <c r="T312" s="10">
        <v>0</v>
      </c>
      <c r="U312" s="31" t="s">
        <v>12</v>
      </c>
      <c r="V312" s="3">
        <v>2843</v>
      </c>
      <c r="X312" s="3">
        <f t="shared" si="51"/>
        <v>234312.90000000008</v>
      </c>
      <c r="Y312" s="3">
        <f t="shared" si="41"/>
        <v>17393.300000000003</v>
      </c>
      <c r="AA312" s="3">
        <v>15.819615377891401</v>
      </c>
    </row>
    <row r="313" spans="1:27" s="3" customFormat="1" x14ac:dyDescent="0.25">
      <c r="A313" s="55"/>
      <c r="B313" s="7"/>
      <c r="C313" s="30">
        <v>40698</v>
      </c>
      <c r="D313" s="3">
        <v>20.7</v>
      </c>
      <c r="E313" s="3">
        <v>13.7</v>
      </c>
      <c r="F313" s="3">
        <v>27.8</v>
      </c>
      <c r="G313" s="3">
        <f t="shared" si="46"/>
        <v>2505.6999999999989</v>
      </c>
      <c r="H313" s="3">
        <f t="shared" si="47"/>
        <v>126.9</v>
      </c>
      <c r="I313" s="3">
        <v>0</v>
      </c>
      <c r="J313" s="3">
        <v>6.6</v>
      </c>
      <c r="K313" s="3">
        <f t="shared" si="48"/>
        <v>409.79999999999995</v>
      </c>
      <c r="L313" s="3">
        <v>5.4</v>
      </c>
      <c r="M313" s="3">
        <f t="shared" si="49"/>
        <v>428.10000000000019</v>
      </c>
      <c r="N313" s="3">
        <v>1.1999999999999993</v>
      </c>
      <c r="O313" s="3">
        <f t="shared" ref="O313:O318" si="52">O312+N313</f>
        <v>1.1999999999999993</v>
      </c>
      <c r="P313" s="3">
        <v>264</v>
      </c>
      <c r="Q313" s="18">
        <f t="shared" si="43"/>
        <v>0.73571428571428554</v>
      </c>
      <c r="R313" s="10">
        <f t="shared" si="44"/>
        <v>3.972857142857142</v>
      </c>
      <c r="S313" s="10">
        <f t="shared" si="45"/>
        <v>2.6271428571428577</v>
      </c>
      <c r="T313" s="10">
        <f t="shared" si="50"/>
        <v>2.6271428571428577</v>
      </c>
      <c r="U313" s="10">
        <v>0</v>
      </c>
      <c r="V313" s="3">
        <v>2419.4</v>
      </c>
      <c r="X313" s="3">
        <f t="shared" si="51"/>
        <v>236732.30000000008</v>
      </c>
      <c r="Y313" s="3">
        <f t="shared" si="41"/>
        <v>19812.700000000004</v>
      </c>
      <c r="AA313" s="3">
        <v>15.8445818102358</v>
      </c>
    </row>
    <row r="314" spans="1:27" s="3" customFormat="1" x14ac:dyDescent="0.25">
      <c r="A314" s="55"/>
      <c r="B314" s="7"/>
      <c r="C314" s="30">
        <v>40699</v>
      </c>
      <c r="D314" s="3">
        <v>15.7</v>
      </c>
      <c r="E314" s="3">
        <v>15.1</v>
      </c>
      <c r="F314" s="3">
        <v>17.2</v>
      </c>
      <c r="G314" s="3">
        <f t="shared" si="46"/>
        <v>2521.3999999999987</v>
      </c>
      <c r="H314" s="3">
        <f t="shared" si="47"/>
        <v>142.6</v>
      </c>
      <c r="I314" s="31" t="s">
        <v>13</v>
      </c>
      <c r="J314" s="3">
        <v>8.1999999999999993</v>
      </c>
      <c r="K314" s="3">
        <f t="shared" si="48"/>
        <v>417.99999999999994</v>
      </c>
      <c r="L314" s="3">
        <v>1.2</v>
      </c>
      <c r="M314" s="3">
        <f t="shared" si="49"/>
        <v>429.30000000000018</v>
      </c>
      <c r="N314" s="3">
        <v>6.9999999999999991</v>
      </c>
      <c r="O314" s="3">
        <f t="shared" si="52"/>
        <v>8.1999999999999993</v>
      </c>
      <c r="P314" s="3">
        <v>265</v>
      </c>
      <c r="Q314" s="18">
        <f t="shared" si="43"/>
        <v>0.72142857142857131</v>
      </c>
      <c r="R314" s="10">
        <f t="shared" si="44"/>
        <v>0.86571428571428555</v>
      </c>
      <c r="S314" s="10">
        <f t="shared" si="45"/>
        <v>7.3342857142857136</v>
      </c>
      <c r="T314" s="10">
        <f t="shared" si="50"/>
        <v>9.9614285714285717</v>
      </c>
      <c r="U314" s="31" t="s">
        <v>14</v>
      </c>
      <c r="V314" s="3">
        <v>457.6</v>
      </c>
      <c r="X314" s="3">
        <f t="shared" si="51"/>
        <v>237189.90000000008</v>
      </c>
      <c r="Y314" s="3">
        <f t="shared" ref="Y314:Y340" si="53">Y313+V314</f>
        <v>20270.300000000003</v>
      </c>
      <c r="AA314" s="3">
        <v>15.868333611840001</v>
      </c>
    </row>
    <row r="315" spans="1:27" s="3" customFormat="1" x14ac:dyDescent="0.25">
      <c r="A315" s="55"/>
      <c r="B315" s="7"/>
      <c r="C315" s="30">
        <v>40700</v>
      </c>
      <c r="D315" s="3">
        <v>14</v>
      </c>
      <c r="E315" s="3">
        <v>13.2</v>
      </c>
      <c r="F315" s="3">
        <v>15.2</v>
      </c>
      <c r="G315" s="3">
        <f t="shared" si="46"/>
        <v>2535.3999999999987</v>
      </c>
      <c r="H315" s="3">
        <f t="shared" si="47"/>
        <v>156.6</v>
      </c>
      <c r="I315" s="3">
        <v>2</v>
      </c>
      <c r="J315" s="3">
        <v>0</v>
      </c>
      <c r="K315" s="3">
        <f t="shared" si="48"/>
        <v>417.99999999999994</v>
      </c>
      <c r="L315" s="3">
        <v>0.9</v>
      </c>
      <c r="M315" s="3">
        <f t="shared" si="49"/>
        <v>430.20000000000016</v>
      </c>
      <c r="N315" s="3">
        <v>-0.9</v>
      </c>
      <c r="O315" s="3">
        <f t="shared" si="52"/>
        <v>7.2999999999999989</v>
      </c>
      <c r="P315" s="3">
        <v>266</v>
      </c>
      <c r="Q315" s="18">
        <f t="shared" si="43"/>
        <v>0.70714285714285707</v>
      </c>
      <c r="R315" s="10">
        <f t="shared" si="44"/>
        <v>0.63642857142857134</v>
      </c>
      <c r="S315" s="10">
        <f t="shared" si="45"/>
        <v>-0.63642857142857134</v>
      </c>
      <c r="T315" s="10">
        <f t="shared" si="50"/>
        <v>9.3250000000000011</v>
      </c>
      <c r="U315" s="10">
        <f>MAX(T306:T332)</f>
        <v>28.33071428571429</v>
      </c>
      <c r="V315" s="3">
        <v>507.5</v>
      </c>
      <c r="X315" s="3">
        <f t="shared" si="51"/>
        <v>237697.40000000008</v>
      </c>
      <c r="Y315" s="3">
        <f t="shared" si="53"/>
        <v>20777.800000000003</v>
      </c>
      <c r="AA315" s="3">
        <v>15.8908496129102</v>
      </c>
    </row>
    <row r="316" spans="1:27" s="3" customFormat="1" x14ac:dyDescent="0.25">
      <c r="A316" s="55"/>
      <c r="B316" s="7"/>
      <c r="C316" s="30">
        <v>40701</v>
      </c>
      <c r="D316" s="3">
        <v>14.5</v>
      </c>
      <c r="E316" s="3">
        <v>11.4</v>
      </c>
      <c r="F316" s="3">
        <v>20</v>
      </c>
      <c r="G316" s="3">
        <f t="shared" si="46"/>
        <v>2549.8999999999987</v>
      </c>
      <c r="H316" s="3">
        <f t="shared" si="47"/>
        <v>171.1</v>
      </c>
      <c r="I316" s="31" t="s">
        <v>15</v>
      </c>
      <c r="J316" s="3">
        <v>0</v>
      </c>
      <c r="K316" s="3">
        <f t="shared" si="48"/>
        <v>417.99999999999994</v>
      </c>
      <c r="L316" s="3">
        <v>2.7</v>
      </c>
      <c r="M316" s="3">
        <f t="shared" si="49"/>
        <v>432.90000000000015</v>
      </c>
      <c r="N316" s="3">
        <v>-2.7</v>
      </c>
      <c r="O316" s="3">
        <f t="shared" si="52"/>
        <v>4.5999999999999988</v>
      </c>
      <c r="P316" s="3">
        <v>267</v>
      </c>
      <c r="Q316" s="18">
        <f t="shared" si="43"/>
        <v>0.69285714285714284</v>
      </c>
      <c r="R316" s="10">
        <f t="shared" si="44"/>
        <v>1.8707142857142858</v>
      </c>
      <c r="S316" s="10">
        <f t="shared" si="45"/>
        <v>-1.8707142857142858</v>
      </c>
      <c r="T316" s="10">
        <f t="shared" si="50"/>
        <v>7.4542857142857155</v>
      </c>
      <c r="U316" s="31" t="s">
        <v>16</v>
      </c>
      <c r="V316" s="3">
        <v>1297.0999999999999</v>
      </c>
      <c r="X316" s="3">
        <f t="shared" si="51"/>
        <v>238994.50000000009</v>
      </c>
      <c r="Y316" s="3">
        <f t="shared" si="53"/>
        <v>22074.9</v>
      </c>
      <c r="AA316" s="3">
        <v>15.9121094597803</v>
      </c>
    </row>
    <row r="317" spans="1:27" s="3" customFormat="1" x14ac:dyDescent="0.25">
      <c r="A317" s="55"/>
      <c r="B317" s="7"/>
      <c r="C317" s="30">
        <v>40702</v>
      </c>
      <c r="D317" s="3">
        <v>13.7</v>
      </c>
      <c r="E317" s="3">
        <v>10.3</v>
      </c>
      <c r="F317" s="3">
        <v>18.8</v>
      </c>
      <c r="G317" s="3">
        <f t="shared" si="46"/>
        <v>2563.5999999999985</v>
      </c>
      <c r="H317" s="3">
        <f t="shared" si="47"/>
        <v>184.79999999999998</v>
      </c>
      <c r="I317" s="3">
        <v>0</v>
      </c>
      <c r="J317" s="3">
        <v>1.1000000000000001</v>
      </c>
      <c r="K317" s="3">
        <f t="shared" si="48"/>
        <v>419.09999999999997</v>
      </c>
      <c r="L317" s="3">
        <v>3.6</v>
      </c>
      <c r="M317" s="3">
        <f t="shared" si="49"/>
        <v>436.50000000000017</v>
      </c>
      <c r="N317" s="3">
        <v>-2.5</v>
      </c>
      <c r="O317" s="3">
        <f t="shared" si="52"/>
        <v>2.0999999999999988</v>
      </c>
      <c r="P317" s="3">
        <v>268</v>
      </c>
      <c r="Q317" s="18">
        <f t="shared" si="43"/>
        <v>0.67857142857142849</v>
      </c>
      <c r="R317" s="10">
        <f t="shared" si="44"/>
        <v>2.4428571428571426</v>
      </c>
      <c r="S317" s="10">
        <f t="shared" si="45"/>
        <v>-1.3428571428571425</v>
      </c>
      <c r="T317" s="10">
        <f t="shared" si="50"/>
        <v>6.111428571428573</v>
      </c>
      <c r="U317" s="18">
        <f>AVERAGE(T306:T332)</f>
        <v>10.807698412698414</v>
      </c>
      <c r="V317" s="3">
        <v>1993.5</v>
      </c>
      <c r="X317" s="3">
        <f t="shared" si="51"/>
        <v>240988.00000000009</v>
      </c>
      <c r="Y317" s="3">
        <f t="shared" si="53"/>
        <v>24068.400000000001</v>
      </c>
      <c r="AA317" s="3">
        <v>15.932093680898401</v>
      </c>
    </row>
    <row r="318" spans="1:27" s="3" customFormat="1" x14ac:dyDescent="0.25">
      <c r="A318" s="55"/>
      <c r="B318" s="7"/>
      <c r="C318" s="30">
        <v>40703</v>
      </c>
      <c r="D318" s="3">
        <v>13.3</v>
      </c>
      <c r="E318" s="3">
        <v>10.5</v>
      </c>
      <c r="F318" s="3">
        <v>16.600000000000001</v>
      </c>
      <c r="G318" s="3">
        <f t="shared" si="46"/>
        <v>2576.8999999999987</v>
      </c>
      <c r="H318" s="3">
        <f t="shared" si="47"/>
        <v>198.1</v>
      </c>
      <c r="I318" s="31" t="s">
        <v>17</v>
      </c>
      <c r="J318" s="3">
        <v>0</v>
      </c>
      <c r="K318" s="3">
        <f t="shared" si="48"/>
        <v>419.09999999999997</v>
      </c>
      <c r="L318" s="3">
        <v>1.4</v>
      </c>
      <c r="M318" s="3">
        <f t="shared" si="49"/>
        <v>437.90000000000015</v>
      </c>
      <c r="N318" s="3">
        <v>-1.4</v>
      </c>
      <c r="O318" s="3">
        <f t="shared" si="52"/>
        <v>0.69999999999999885</v>
      </c>
      <c r="P318" s="3">
        <v>269</v>
      </c>
      <c r="Q318" s="18">
        <f t="shared" si="43"/>
        <v>0.66428571428571426</v>
      </c>
      <c r="R318" s="10">
        <f t="shared" si="44"/>
        <v>0.92999999999999994</v>
      </c>
      <c r="S318" s="10">
        <f t="shared" si="45"/>
        <v>-0.92999999999999994</v>
      </c>
      <c r="T318" s="10">
        <f t="shared" si="50"/>
        <v>5.1814285714285733</v>
      </c>
      <c r="V318" s="3">
        <v>695.8</v>
      </c>
      <c r="X318" s="3">
        <f t="shared" si="51"/>
        <v>241683.80000000008</v>
      </c>
      <c r="Y318" s="3">
        <f t="shared" si="53"/>
        <v>24764.2</v>
      </c>
      <c r="AA318" s="3">
        <v>15.950783751414001</v>
      </c>
    </row>
    <row r="319" spans="1:27" s="3" customFormat="1" x14ac:dyDescent="0.25">
      <c r="A319" s="55"/>
      <c r="B319" s="7"/>
      <c r="C319" s="30">
        <v>40704</v>
      </c>
      <c r="D319" s="3">
        <v>13.2</v>
      </c>
      <c r="E319" s="3">
        <v>9.1999999999999993</v>
      </c>
      <c r="F319" s="3">
        <v>17.2</v>
      </c>
      <c r="G319" s="3">
        <f t="shared" si="46"/>
        <v>2590.0999999999985</v>
      </c>
      <c r="H319" s="3">
        <f t="shared" si="47"/>
        <v>211.29999999999998</v>
      </c>
      <c r="I319" s="3">
        <v>415.3</v>
      </c>
      <c r="J319" s="3">
        <v>0.4</v>
      </c>
      <c r="K319" s="3">
        <f t="shared" si="48"/>
        <v>419.49999999999994</v>
      </c>
      <c r="L319" s="3">
        <v>2.7</v>
      </c>
      <c r="M319" s="3">
        <f t="shared" si="49"/>
        <v>440.60000000000014</v>
      </c>
      <c r="N319" s="3">
        <v>-2.3000000000000003</v>
      </c>
      <c r="O319" s="3">
        <v>0</v>
      </c>
      <c r="P319" s="3">
        <v>270</v>
      </c>
      <c r="Q319" s="18">
        <f t="shared" si="43"/>
        <v>0.64999999999999991</v>
      </c>
      <c r="R319" s="10">
        <f t="shared" si="44"/>
        <v>1.7549999999999999</v>
      </c>
      <c r="S319" s="10">
        <f t="shared" si="45"/>
        <v>-1.355</v>
      </c>
      <c r="T319" s="10">
        <f t="shared" si="50"/>
        <v>3.8264285714285733</v>
      </c>
      <c r="U319" s="10">
        <f>(U317*100)/197.4</f>
        <v>5.4750245251765017</v>
      </c>
      <c r="V319" s="3">
        <v>1407.2</v>
      </c>
      <c r="W319" s="11"/>
      <c r="X319" s="3">
        <f t="shared" si="51"/>
        <v>243091.00000000009</v>
      </c>
      <c r="Y319" s="3">
        <f t="shared" si="53"/>
        <v>26171.4</v>
      </c>
      <c r="AA319" s="3">
        <v>15.968162155951299</v>
      </c>
    </row>
    <row r="320" spans="1:27" s="3" customFormat="1" ht="15" customHeight="1" x14ac:dyDescent="0.25">
      <c r="A320" s="55"/>
      <c r="B320" s="32"/>
      <c r="C320" s="30">
        <v>40705</v>
      </c>
      <c r="D320" s="3">
        <v>12.5</v>
      </c>
      <c r="E320" s="3">
        <v>8.9</v>
      </c>
      <c r="F320" s="3">
        <v>16.600000000000001</v>
      </c>
      <c r="G320" s="3">
        <f t="shared" si="46"/>
        <v>2602.5999999999985</v>
      </c>
      <c r="H320" s="3">
        <f t="shared" si="47"/>
        <v>223.79999999999998</v>
      </c>
      <c r="J320" s="3">
        <v>0.2</v>
      </c>
      <c r="K320" s="3">
        <f t="shared" si="48"/>
        <v>419.69999999999993</v>
      </c>
      <c r="L320" s="3">
        <v>2.2999999999999998</v>
      </c>
      <c r="M320" s="3">
        <f t="shared" si="49"/>
        <v>442.90000000000015</v>
      </c>
      <c r="N320" s="3">
        <v>-2.0999999999999996</v>
      </c>
      <c r="O320" s="3">
        <v>0</v>
      </c>
      <c r="P320" s="3">
        <v>271</v>
      </c>
      <c r="Q320" s="18">
        <f t="shared" si="43"/>
        <v>0.63571428571428568</v>
      </c>
      <c r="R320" s="10">
        <f t="shared" si="44"/>
        <v>1.462142857142857</v>
      </c>
      <c r="S320" s="10">
        <f t="shared" si="45"/>
        <v>-1.262142857142857</v>
      </c>
      <c r="T320" s="10">
        <f t="shared" si="50"/>
        <v>2.5642857142857163</v>
      </c>
      <c r="V320" s="3">
        <v>1197.3</v>
      </c>
      <c r="X320" s="3">
        <f t="shared" si="51"/>
        <v>244288.30000000008</v>
      </c>
      <c r="Y320" s="3">
        <f t="shared" si="53"/>
        <v>27368.7</v>
      </c>
      <c r="AA320" s="3">
        <v>15.984212449150601</v>
      </c>
    </row>
    <row r="321" spans="1:27" s="3" customFormat="1" x14ac:dyDescent="0.25">
      <c r="A321" s="55"/>
      <c r="B321" s="32"/>
      <c r="C321" s="30">
        <v>40706</v>
      </c>
      <c r="D321" s="3">
        <v>13.1</v>
      </c>
      <c r="E321" s="3">
        <v>8.3000000000000007</v>
      </c>
      <c r="F321" s="3">
        <v>16</v>
      </c>
      <c r="G321" s="3">
        <f t="shared" si="46"/>
        <v>2615.6999999999985</v>
      </c>
      <c r="H321" s="3">
        <f t="shared" si="47"/>
        <v>236.89999999999998</v>
      </c>
      <c r="J321" s="3">
        <v>7.8</v>
      </c>
      <c r="K321" s="3">
        <f t="shared" si="48"/>
        <v>427.49999999999994</v>
      </c>
      <c r="L321" s="3">
        <v>0.6</v>
      </c>
      <c r="M321" s="3">
        <f t="shared" si="49"/>
        <v>443.50000000000017</v>
      </c>
      <c r="N321" s="3">
        <v>7.2</v>
      </c>
      <c r="O321" s="3">
        <f t="shared" ref="O321:O334" si="54">O320+N321</f>
        <v>7.2</v>
      </c>
      <c r="P321" s="3">
        <v>272</v>
      </c>
      <c r="Q321" s="18">
        <f t="shared" si="43"/>
        <v>0.62142857142857144</v>
      </c>
      <c r="R321" s="10">
        <f t="shared" si="44"/>
        <v>0.37285714285714283</v>
      </c>
      <c r="S321" s="10">
        <f t="shared" si="45"/>
        <v>7.427142857142857</v>
      </c>
      <c r="T321" s="10">
        <f t="shared" si="50"/>
        <v>9.9914285714285729</v>
      </c>
      <c r="V321" s="3">
        <v>445.1</v>
      </c>
      <c r="X321" s="3">
        <f t="shared" si="51"/>
        <v>244733.40000000008</v>
      </c>
      <c r="Y321" s="3">
        <f t="shared" si="53"/>
        <v>27813.8</v>
      </c>
      <c r="AA321" s="3">
        <v>15.9989193135647</v>
      </c>
    </row>
    <row r="322" spans="1:27" s="3" customFormat="1" x14ac:dyDescent="0.25">
      <c r="A322" s="55"/>
      <c r="B322" s="32"/>
      <c r="C322" s="30">
        <v>40707</v>
      </c>
      <c r="D322" s="3">
        <v>18</v>
      </c>
      <c r="E322" s="3">
        <v>14.3</v>
      </c>
      <c r="F322" s="3">
        <v>20.3</v>
      </c>
      <c r="G322" s="3">
        <f t="shared" si="46"/>
        <v>2633.6999999999985</v>
      </c>
      <c r="H322" s="3">
        <f t="shared" si="47"/>
        <v>254.89999999999998</v>
      </c>
      <c r="J322" s="3">
        <v>1.8</v>
      </c>
      <c r="K322" s="3">
        <f t="shared" si="48"/>
        <v>429.29999999999995</v>
      </c>
      <c r="L322" s="3">
        <v>1.2</v>
      </c>
      <c r="M322" s="3">
        <f t="shared" si="49"/>
        <v>444.70000000000016</v>
      </c>
      <c r="N322" s="3">
        <v>0.60000000000000009</v>
      </c>
      <c r="O322" s="3">
        <f t="shared" si="54"/>
        <v>7.8000000000000007</v>
      </c>
      <c r="P322" s="3">
        <v>273</v>
      </c>
      <c r="Q322" s="18">
        <f t="shared" si="43"/>
        <v>0.6071428571428571</v>
      </c>
      <c r="R322" s="10">
        <f t="shared" si="44"/>
        <v>0.72857142857142854</v>
      </c>
      <c r="S322" s="10">
        <f t="shared" si="45"/>
        <v>1.0714285714285716</v>
      </c>
      <c r="T322" s="10">
        <f t="shared" si="50"/>
        <v>11.062857142857144</v>
      </c>
      <c r="V322" s="3">
        <v>757.8</v>
      </c>
      <c r="X322" s="3">
        <f t="shared" si="51"/>
        <v>245491.20000000007</v>
      </c>
      <c r="Y322" s="3">
        <f t="shared" si="53"/>
        <v>28571.599999999999</v>
      </c>
      <c r="AA322" s="3">
        <v>16.012268614500002</v>
      </c>
    </row>
    <row r="323" spans="1:27" s="3" customFormat="1" x14ac:dyDescent="0.25">
      <c r="A323" s="55"/>
      <c r="B323" s="32"/>
      <c r="C323" s="30">
        <v>40708</v>
      </c>
      <c r="D323" s="3">
        <v>18.899999999999999</v>
      </c>
      <c r="E323" s="3">
        <v>16.3</v>
      </c>
      <c r="F323" s="3">
        <v>21.7</v>
      </c>
      <c r="G323" s="3">
        <f t="shared" si="46"/>
        <v>2652.5999999999985</v>
      </c>
      <c r="H323" s="3">
        <f t="shared" si="47"/>
        <v>273.79999999999995</v>
      </c>
      <c r="J323" s="3">
        <v>1.1000000000000001</v>
      </c>
      <c r="K323" s="3">
        <f t="shared" si="48"/>
        <v>430.4</v>
      </c>
      <c r="L323" s="3">
        <v>2.2999999999999998</v>
      </c>
      <c r="M323" s="3">
        <f t="shared" si="49"/>
        <v>447.00000000000017</v>
      </c>
      <c r="N323" s="3">
        <v>-1.1999999999999997</v>
      </c>
      <c r="O323" s="3">
        <f t="shared" si="54"/>
        <v>6.6000000000000014</v>
      </c>
      <c r="P323" s="3">
        <v>274</v>
      </c>
      <c r="Q323" s="18">
        <f t="shared" si="43"/>
        <v>0.59285714285714286</v>
      </c>
      <c r="R323" s="10">
        <f t="shared" si="44"/>
        <v>1.3635714285714284</v>
      </c>
      <c r="S323" s="10">
        <f t="shared" si="45"/>
        <v>-0.26357142857142835</v>
      </c>
      <c r="T323" s="10">
        <f t="shared" si="50"/>
        <v>10.799285714285716</v>
      </c>
      <c r="V323" s="3">
        <v>1198.0999999999999</v>
      </c>
      <c r="X323" s="3">
        <f t="shared" si="51"/>
        <v>246689.30000000008</v>
      </c>
      <c r="Y323" s="3">
        <f t="shared" si="53"/>
        <v>29769.699999999997</v>
      </c>
      <c r="AA323" s="3">
        <v>16.024247451408399</v>
      </c>
    </row>
    <row r="324" spans="1:27" s="3" customFormat="1" x14ac:dyDescent="0.25">
      <c r="A324" s="55"/>
      <c r="B324" s="32"/>
      <c r="C324" s="30">
        <v>40709</v>
      </c>
      <c r="D324" s="3">
        <v>17.2</v>
      </c>
      <c r="E324" s="3">
        <v>15.8</v>
      </c>
      <c r="F324" s="3">
        <v>19.399999999999999</v>
      </c>
      <c r="G324" s="3">
        <f t="shared" si="46"/>
        <v>2669.7999999999984</v>
      </c>
      <c r="H324" s="3">
        <f t="shared" si="47"/>
        <v>290.99999999999994</v>
      </c>
      <c r="J324" s="3">
        <v>2.5</v>
      </c>
      <c r="K324" s="3">
        <f t="shared" si="48"/>
        <v>432.9</v>
      </c>
      <c r="L324" s="3">
        <v>1.8</v>
      </c>
      <c r="M324" s="3">
        <f t="shared" si="49"/>
        <v>448.80000000000018</v>
      </c>
      <c r="N324" s="3">
        <v>0.7</v>
      </c>
      <c r="O324" s="3">
        <f t="shared" si="54"/>
        <v>7.3000000000000016</v>
      </c>
      <c r="P324" s="3">
        <v>275</v>
      </c>
      <c r="Q324" s="18">
        <f t="shared" si="43"/>
        <v>0.57857142857142851</v>
      </c>
      <c r="R324" s="10">
        <f t="shared" si="44"/>
        <v>1.0414285714285714</v>
      </c>
      <c r="S324" s="10">
        <f t="shared" si="45"/>
        <v>1.4585714285714286</v>
      </c>
      <c r="T324" s="10">
        <f t="shared" si="50"/>
        <v>12.257857142857144</v>
      </c>
      <c r="V324" s="3">
        <v>836.4</v>
      </c>
      <c r="X324" s="3">
        <f t="shared" si="51"/>
        <v>247525.70000000007</v>
      </c>
      <c r="Y324" s="3">
        <f t="shared" si="53"/>
        <v>30606.1</v>
      </c>
      <c r="AA324" s="3">
        <v>16.034844205448401</v>
      </c>
    </row>
    <row r="325" spans="1:27" s="3" customFormat="1" x14ac:dyDescent="0.25">
      <c r="A325" s="55"/>
      <c r="B325" s="32"/>
      <c r="C325" s="30">
        <v>40710</v>
      </c>
      <c r="D325" s="3">
        <v>15.7</v>
      </c>
      <c r="E325" s="3">
        <v>12.8</v>
      </c>
      <c r="F325" s="3">
        <v>17.7</v>
      </c>
      <c r="G325" s="3">
        <f t="shared" si="46"/>
        <v>2685.4999999999982</v>
      </c>
      <c r="H325" s="3">
        <f t="shared" si="47"/>
        <v>306.69999999999993</v>
      </c>
      <c r="J325" s="3">
        <v>0.7</v>
      </c>
      <c r="K325" s="3">
        <f t="shared" si="48"/>
        <v>433.59999999999997</v>
      </c>
      <c r="L325" s="3">
        <v>3.4</v>
      </c>
      <c r="M325" s="3">
        <f t="shared" si="49"/>
        <v>452.20000000000016</v>
      </c>
      <c r="N325" s="3">
        <v>-2.7</v>
      </c>
      <c r="O325" s="3">
        <f t="shared" si="54"/>
        <v>4.6000000000000014</v>
      </c>
      <c r="P325" s="3">
        <v>276</v>
      </c>
      <c r="Q325" s="18">
        <f t="shared" si="43"/>
        <v>0.56428571428571428</v>
      </c>
      <c r="R325" s="10">
        <f t="shared" si="44"/>
        <v>1.9185714285714286</v>
      </c>
      <c r="S325" s="10">
        <f t="shared" si="45"/>
        <v>-1.2185714285714286</v>
      </c>
      <c r="T325" s="10">
        <f t="shared" si="50"/>
        <v>11.039285714285716</v>
      </c>
      <c r="V325" s="3">
        <v>1976.1</v>
      </c>
      <c r="X325" s="3">
        <f t="shared" si="51"/>
        <v>249501.80000000008</v>
      </c>
      <c r="Y325" s="3">
        <f t="shared" si="53"/>
        <v>32582.199999999997</v>
      </c>
      <c r="AA325" s="3">
        <v>16.0440485828574</v>
      </c>
    </row>
    <row r="326" spans="1:27" s="3" customFormat="1" x14ac:dyDescent="0.25">
      <c r="A326" s="55"/>
      <c r="B326" s="32"/>
      <c r="C326" s="30">
        <v>40711</v>
      </c>
      <c r="D326" s="3">
        <v>14.2</v>
      </c>
      <c r="E326" s="3">
        <v>13.1</v>
      </c>
      <c r="F326" s="3">
        <v>15.9</v>
      </c>
      <c r="G326" s="3">
        <f t="shared" si="46"/>
        <v>2699.699999999998</v>
      </c>
      <c r="H326" s="3">
        <f t="shared" si="47"/>
        <v>320.89999999999992</v>
      </c>
      <c r="J326" s="3">
        <v>15.3</v>
      </c>
      <c r="K326" s="3">
        <f t="shared" si="48"/>
        <v>448.9</v>
      </c>
      <c r="L326" s="3">
        <v>1.5</v>
      </c>
      <c r="M326" s="3">
        <f t="shared" si="49"/>
        <v>453.70000000000016</v>
      </c>
      <c r="N326" s="3">
        <v>13.8</v>
      </c>
      <c r="O326" s="3">
        <f t="shared" si="54"/>
        <v>18.400000000000002</v>
      </c>
      <c r="P326" s="3">
        <v>277</v>
      </c>
      <c r="Q326" s="18">
        <f t="shared" si="43"/>
        <v>0.54999999999999993</v>
      </c>
      <c r="R326" s="10">
        <f t="shared" si="44"/>
        <v>0.82499999999999996</v>
      </c>
      <c r="S326" s="10">
        <f t="shared" si="45"/>
        <v>14.475000000000001</v>
      </c>
      <c r="T326" s="10">
        <f t="shared" si="50"/>
        <v>25.51428571428572</v>
      </c>
      <c r="V326" s="3">
        <v>561.5</v>
      </c>
      <c r="X326" s="3">
        <f t="shared" si="51"/>
        <v>250063.30000000008</v>
      </c>
      <c r="Y326" s="3">
        <f t="shared" si="53"/>
        <v>33143.699999999997</v>
      </c>
      <c r="AA326" s="3">
        <v>16.051851653800099</v>
      </c>
    </row>
    <row r="327" spans="1:27" s="3" customFormat="1" x14ac:dyDescent="0.25">
      <c r="A327" s="55"/>
      <c r="B327" s="32"/>
      <c r="C327" s="30">
        <v>40712</v>
      </c>
      <c r="D327" s="3">
        <v>14.1</v>
      </c>
      <c r="E327" s="3">
        <v>11.6</v>
      </c>
      <c r="F327" s="3">
        <v>16.600000000000001</v>
      </c>
      <c r="G327" s="3">
        <f t="shared" si="46"/>
        <v>2713.7999999999979</v>
      </c>
      <c r="H327" s="3">
        <f t="shared" si="47"/>
        <v>334.99999999999994</v>
      </c>
      <c r="J327" s="3">
        <v>3.8</v>
      </c>
      <c r="K327" s="3">
        <f t="shared" si="48"/>
        <v>452.7</v>
      </c>
      <c r="L327" s="3">
        <v>2.1</v>
      </c>
      <c r="M327" s="3">
        <f t="shared" si="49"/>
        <v>455.80000000000018</v>
      </c>
      <c r="N327" s="3">
        <v>1.6999999999999997</v>
      </c>
      <c r="O327" s="3">
        <f t="shared" si="54"/>
        <v>20.100000000000001</v>
      </c>
      <c r="P327" s="3">
        <v>278</v>
      </c>
      <c r="Q327" s="18">
        <f t="shared" si="43"/>
        <v>0.53571428571428559</v>
      </c>
      <c r="R327" s="10">
        <f t="shared" si="44"/>
        <v>1.1249999999999998</v>
      </c>
      <c r="S327" s="10">
        <f t="shared" si="45"/>
        <v>2.6749999999999998</v>
      </c>
      <c r="T327" s="10">
        <f t="shared" si="50"/>
        <v>28.18928571428572</v>
      </c>
      <c r="V327" s="3">
        <v>1147.9000000000001</v>
      </c>
      <c r="X327" s="3">
        <f t="shared" si="51"/>
        <v>251211.20000000007</v>
      </c>
      <c r="Y327" s="3">
        <f t="shared" si="53"/>
        <v>34291.599999999999</v>
      </c>
      <c r="AA327" s="3">
        <v>16.0582458863922</v>
      </c>
    </row>
    <row r="328" spans="1:27" s="3" customFormat="1" x14ac:dyDescent="0.25">
      <c r="A328" s="55"/>
      <c r="B328" s="32"/>
      <c r="C328" s="30">
        <v>40713</v>
      </c>
      <c r="D328" s="3">
        <v>14.4</v>
      </c>
      <c r="E328" s="3">
        <v>11.2</v>
      </c>
      <c r="F328" s="3">
        <v>16.600000000000001</v>
      </c>
      <c r="G328" s="3">
        <f t="shared" si="46"/>
        <v>2728.199999999998</v>
      </c>
      <c r="H328" s="3">
        <f t="shared" si="47"/>
        <v>349.39999999999992</v>
      </c>
      <c r="J328" s="3">
        <v>0.8</v>
      </c>
      <c r="K328" s="3">
        <f t="shared" si="48"/>
        <v>453.5</v>
      </c>
      <c r="L328" s="3">
        <v>2.4</v>
      </c>
      <c r="M328" s="3">
        <f t="shared" si="49"/>
        <v>458.20000000000016</v>
      </c>
      <c r="N328" s="3">
        <v>-1.5999999999999999</v>
      </c>
      <c r="O328" s="3">
        <f t="shared" si="54"/>
        <v>18.5</v>
      </c>
      <c r="P328" s="3">
        <v>279</v>
      </c>
      <c r="Q328" s="18">
        <f t="shared" si="43"/>
        <v>0.52142857142857135</v>
      </c>
      <c r="R328" s="10">
        <f t="shared" si="44"/>
        <v>1.2514285714285711</v>
      </c>
      <c r="S328" s="10">
        <f t="shared" si="45"/>
        <v>-0.45142857142857107</v>
      </c>
      <c r="T328" s="10">
        <f t="shared" si="50"/>
        <v>27.737857142857148</v>
      </c>
      <c r="V328" s="3">
        <v>1611.7</v>
      </c>
      <c r="X328" s="3">
        <f t="shared" si="51"/>
        <v>252822.90000000008</v>
      </c>
      <c r="Y328" s="3">
        <f t="shared" si="53"/>
        <v>35903.299999999996</v>
      </c>
      <c r="AA328" s="3">
        <v>16.063225175626499</v>
      </c>
    </row>
    <row r="329" spans="1:27" s="3" customFormat="1" x14ac:dyDescent="0.25">
      <c r="A329" s="55"/>
      <c r="B329" s="32"/>
      <c r="C329" s="30">
        <v>40714</v>
      </c>
      <c r="D329" s="3">
        <v>17</v>
      </c>
      <c r="E329" s="3">
        <v>15</v>
      </c>
      <c r="F329" s="3">
        <v>18.8</v>
      </c>
      <c r="G329" s="3">
        <f t="shared" si="46"/>
        <v>2745.199999999998</v>
      </c>
      <c r="H329" s="3">
        <f t="shared" si="47"/>
        <v>366.39999999999992</v>
      </c>
      <c r="J329" s="3">
        <v>1.1000000000000001</v>
      </c>
      <c r="K329" s="3">
        <f t="shared" si="48"/>
        <v>454.6</v>
      </c>
      <c r="L329" s="3">
        <v>1</v>
      </c>
      <c r="M329" s="3">
        <f t="shared" si="49"/>
        <v>459.20000000000016</v>
      </c>
      <c r="N329" s="3">
        <v>0.10000000000000009</v>
      </c>
      <c r="O329" s="3">
        <f t="shared" si="54"/>
        <v>18.600000000000001</v>
      </c>
      <c r="P329" s="3">
        <v>280</v>
      </c>
      <c r="Q329" s="18">
        <f t="shared" si="43"/>
        <v>0.50714285714285712</v>
      </c>
      <c r="R329" s="10">
        <f t="shared" si="44"/>
        <v>0.50714285714285712</v>
      </c>
      <c r="S329" s="10">
        <f t="shared" si="45"/>
        <v>0.59285714285714297</v>
      </c>
      <c r="T329" s="10">
        <f t="shared" si="50"/>
        <v>28.33071428571429</v>
      </c>
      <c r="V329" s="3">
        <v>487.9</v>
      </c>
      <c r="X329" s="3">
        <f t="shared" si="51"/>
        <v>253310.80000000008</v>
      </c>
      <c r="Y329" s="3">
        <f t="shared" si="53"/>
        <v>36391.199999999997</v>
      </c>
      <c r="AA329" s="3">
        <v>16.066784866973201</v>
      </c>
    </row>
    <row r="330" spans="1:27" s="3" customFormat="1" x14ac:dyDescent="0.25">
      <c r="A330" s="55"/>
      <c r="B330" s="32"/>
      <c r="C330" s="30">
        <v>40715</v>
      </c>
      <c r="D330" s="3">
        <v>17.8</v>
      </c>
      <c r="E330" s="3">
        <v>15.9</v>
      </c>
      <c r="F330" s="3">
        <v>21.2</v>
      </c>
      <c r="G330" s="3">
        <f t="shared" si="46"/>
        <v>2762.9999999999982</v>
      </c>
      <c r="H330" s="3">
        <f t="shared" si="47"/>
        <v>384.19999999999993</v>
      </c>
      <c r="J330" s="3">
        <v>0.5</v>
      </c>
      <c r="K330" s="3">
        <f t="shared" si="48"/>
        <v>455.1</v>
      </c>
      <c r="L330" s="3">
        <v>3.8</v>
      </c>
      <c r="M330" s="3">
        <f t="shared" si="49"/>
        <v>463.00000000000017</v>
      </c>
      <c r="N330" s="3">
        <v>-3.3</v>
      </c>
      <c r="O330" s="3">
        <f t="shared" si="54"/>
        <v>15.3</v>
      </c>
      <c r="P330" s="3">
        <v>281</v>
      </c>
      <c r="Q330" s="18">
        <f t="shared" si="43"/>
        <v>0.49285714285714288</v>
      </c>
      <c r="R330" s="10">
        <f t="shared" si="44"/>
        <v>1.8728571428571428</v>
      </c>
      <c r="S330" s="10">
        <f t="shared" si="45"/>
        <v>-1.3728571428571428</v>
      </c>
      <c r="T330" s="10">
        <f t="shared" si="50"/>
        <v>26.957857142857147</v>
      </c>
      <c r="V330" s="3">
        <v>1999.4</v>
      </c>
      <c r="X330" s="3">
        <f t="shared" si="51"/>
        <v>255310.20000000007</v>
      </c>
      <c r="Y330" s="3">
        <f t="shared" si="53"/>
        <v>38390.6</v>
      </c>
      <c r="AA330" s="3">
        <v>16.068921774459099</v>
      </c>
    </row>
    <row r="331" spans="1:27" s="3" customFormat="1" x14ac:dyDescent="0.25">
      <c r="A331" s="55"/>
      <c r="B331" s="32"/>
      <c r="C331" s="30">
        <v>40716</v>
      </c>
      <c r="D331" s="3">
        <v>15.7</v>
      </c>
      <c r="E331" s="3">
        <v>13.5</v>
      </c>
      <c r="F331" s="3">
        <v>19.600000000000001</v>
      </c>
      <c r="G331" s="3">
        <f t="shared" si="46"/>
        <v>2778.699999999998</v>
      </c>
      <c r="H331" s="3">
        <f t="shared" si="47"/>
        <v>399.89999999999992</v>
      </c>
      <c r="J331" s="3">
        <v>1.3</v>
      </c>
      <c r="K331" s="3">
        <f t="shared" si="48"/>
        <v>456.40000000000003</v>
      </c>
      <c r="L331" s="3">
        <v>3.2</v>
      </c>
      <c r="M331" s="3">
        <f t="shared" si="49"/>
        <v>466.20000000000016</v>
      </c>
      <c r="N331" s="3">
        <v>-1.9000000000000001</v>
      </c>
      <c r="O331" s="3">
        <f t="shared" si="54"/>
        <v>13.4</v>
      </c>
      <c r="P331" s="3">
        <v>282</v>
      </c>
      <c r="Q331" s="18">
        <f t="shared" si="43"/>
        <v>0.47857142857142854</v>
      </c>
      <c r="R331" s="10">
        <f t="shared" si="44"/>
        <v>1.5314285714285714</v>
      </c>
      <c r="S331" s="10">
        <f t="shared" si="45"/>
        <v>-0.23142857142857132</v>
      </c>
      <c r="T331" s="10">
        <f t="shared" si="50"/>
        <v>26.726428571428578</v>
      </c>
      <c r="V331" s="3">
        <v>1569.3</v>
      </c>
      <c r="X331" s="3">
        <f t="shared" si="51"/>
        <v>256879.50000000006</v>
      </c>
      <c r="Y331" s="3">
        <f t="shared" si="53"/>
        <v>39959.9</v>
      </c>
      <c r="AA331" s="3">
        <v>16.069634193082901</v>
      </c>
    </row>
    <row r="332" spans="1:27" s="39" customFormat="1" ht="15.75" thickBot="1" x14ac:dyDescent="0.3">
      <c r="A332" s="55"/>
      <c r="B332" s="53">
        <v>1000</v>
      </c>
      <c r="C332" s="54">
        <v>40717</v>
      </c>
      <c r="D332" s="39">
        <v>15.4</v>
      </c>
      <c r="E332" s="39">
        <v>11.8</v>
      </c>
      <c r="F332" s="39">
        <v>19.600000000000001</v>
      </c>
      <c r="G332" s="39">
        <f t="shared" si="46"/>
        <v>2794.0999999999981</v>
      </c>
      <c r="H332" s="39">
        <f t="shared" si="47"/>
        <v>415.2999999999999</v>
      </c>
      <c r="J332" s="39">
        <v>0</v>
      </c>
      <c r="K332" s="39">
        <f t="shared" si="48"/>
        <v>456.40000000000003</v>
      </c>
      <c r="L332" s="39">
        <v>3.4</v>
      </c>
      <c r="M332" s="39">
        <f t="shared" si="49"/>
        <v>469.60000000000014</v>
      </c>
      <c r="N332" s="39">
        <v>-3.4</v>
      </c>
      <c r="O332" s="39">
        <f t="shared" si="54"/>
        <v>10</v>
      </c>
      <c r="P332" s="39">
        <v>283</v>
      </c>
      <c r="Q332" s="40">
        <f t="shared" si="43"/>
        <v>0.4642857142857143</v>
      </c>
      <c r="R332" s="41">
        <f t="shared" si="44"/>
        <v>1.5785714285714285</v>
      </c>
      <c r="S332" s="41">
        <f t="shared" si="45"/>
        <v>-1.5785714285714285</v>
      </c>
      <c r="T332" s="42">
        <f t="shared" si="50"/>
        <v>25.147857142857148</v>
      </c>
      <c r="V332" s="39">
        <v>1626.2</v>
      </c>
      <c r="X332" s="39">
        <f t="shared" si="51"/>
        <v>258505.70000000007</v>
      </c>
      <c r="Y332" s="43">
        <f t="shared" si="53"/>
        <v>41586.1</v>
      </c>
      <c r="AA332" s="43">
        <v>16.068921905460201</v>
      </c>
    </row>
    <row r="333" spans="1:27" s="3" customFormat="1" x14ac:dyDescent="0.25">
      <c r="A333" s="33"/>
      <c r="B333" s="32"/>
      <c r="C333" s="5">
        <v>40718</v>
      </c>
      <c r="D333" s="3">
        <v>15.3</v>
      </c>
      <c r="E333" s="3">
        <v>10.7</v>
      </c>
      <c r="F333" s="3">
        <v>19.8</v>
      </c>
      <c r="G333" s="3">
        <f t="shared" si="46"/>
        <v>2809.3999999999983</v>
      </c>
      <c r="H333" s="3">
        <v>15.3</v>
      </c>
      <c r="J333" s="3">
        <v>0</v>
      </c>
      <c r="K333" s="3">
        <f t="shared" si="48"/>
        <v>456.40000000000003</v>
      </c>
      <c r="L333" s="3">
        <v>2.7</v>
      </c>
      <c r="M333" s="3">
        <f t="shared" si="49"/>
        <v>472.30000000000013</v>
      </c>
      <c r="N333" s="3">
        <v>-2.7</v>
      </c>
      <c r="O333" s="3">
        <f t="shared" si="54"/>
        <v>7.3</v>
      </c>
      <c r="P333" s="3">
        <v>284</v>
      </c>
      <c r="Q333" s="18">
        <f t="shared" si="43"/>
        <v>0.44999999999999996</v>
      </c>
      <c r="R333" s="10">
        <f t="shared" si="44"/>
        <v>1.2149999999999999</v>
      </c>
      <c r="S333" s="10">
        <f t="shared" si="45"/>
        <v>-1.2149999999999999</v>
      </c>
      <c r="T333" s="10">
        <f t="shared" si="50"/>
        <v>23.932857142857149</v>
      </c>
      <c r="V333" s="3">
        <v>1260.0999999999999</v>
      </c>
      <c r="X333" s="3">
        <f t="shared" si="51"/>
        <v>259765.80000000008</v>
      </c>
      <c r="Y333" s="3">
        <v>1260.0999999999999</v>
      </c>
      <c r="AA333" s="3">
        <v>16.0667861826471</v>
      </c>
    </row>
    <row r="334" spans="1:27" s="3" customFormat="1" x14ac:dyDescent="0.25">
      <c r="A334" s="33"/>
      <c r="B334" s="32"/>
      <c r="C334" s="5">
        <v>40719</v>
      </c>
      <c r="D334" s="3">
        <v>20.399999999999999</v>
      </c>
      <c r="E334" s="3">
        <v>12.7</v>
      </c>
      <c r="F334" s="3">
        <v>27.2</v>
      </c>
      <c r="G334" s="3">
        <f t="shared" si="46"/>
        <v>2829.7999999999984</v>
      </c>
      <c r="H334" s="3">
        <f t="shared" si="47"/>
        <v>35.700000000000003</v>
      </c>
      <c r="J334" s="3">
        <v>0</v>
      </c>
      <c r="K334" s="3">
        <f t="shared" si="48"/>
        <v>456.40000000000003</v>
      </c>
      <c r="L334" s="3">
        <v>2.9</v>
      </c>
      <c r="M334" s="3">
        <f t="shared" si="49"/>
        <v>475.2000000000001</v>
      </c>
      <c r="N334" s="3">
        <v>-2.9</v>
      </c>
      <c r="O334" s="3">
        <f t="shared" si="54"/>
        <v>4.4000000000000004</v>
      </c>
      <c r="P334" s="3">
        <v>285</v>
      </c>
      <c r="Q334" s="18">
        <f t="shared" si="43"/>
        <v>0.43571428571428561</v>
      </c>
      <c r="R334" s="10">
        <f t="shared" si="44"/>
        <v>1.2635714285714281</v>
      </c>
      <c r="S334" s="10">
        <f t="shared" si="45"/>
        <v>-1.2635714285714281</v>
      </c>
      <c r="T334" s="10">
        <f t="shared" si="50"/>
        <v>22.669285714285721</v>
      </c>
      <c r="V334" s="3">
        <v>1237.2</v>
      </c>
      <c r="X334" s="3">
        <f t="shared" si="51"/>
        <v>261003.00000000009</v>
      </c>
      <c r="Y334" s="3">
        <f t="shared" si="53"/>
        <v>2497.3000000000002</v>
      </c>
      <c r="AA334" s="3">
        <v>16.063229779132801</v>
      </c>
    </row>
    <row r="335" spans="1:27" s="3" customFormat="1" x14ac:dyDescent="0.25">
      <c r="A335" s="33"/>
      <c r="B335" s="32"/>
      <c r="C335" s="5">
        <v>40720</v>
      </c>
      <c r="D335" s="3">
        <v>25.6</v>
      </c>
      <c r="E335" s="3">
        <v>16.7</v>
      </c>
      <c r="F335" s="3">
        <v>33.200000000000003</v>
      </c>
      <c r="G335" s="3">
        <f t="shared" si="46"/>
        <v>2855.3999999999983</v>
      </c>
      <c r="H335" s="3">
        <f t="shared" si="47"/>
        <v>61.300000000000004</v>
      </c>
      <c r="J335" s="3">
        <v>0</v>
      </c>
      <c r="K335" s="3">
        <f t="shared" si="48"/>
        <v>456.40000000000003</v>
      </c>
      <c r="L335" s="3">
        <v>7.6</v>
      </c>
      <c r="M335" s="3">
        <f t="shared" si="49"/>
        <v>482.80000000000013</v>
      </c>
      <c r="N335" s="3">
        <v>-7.6</v>
      </c>
      <c r="O335" s="3">
        <v>0</v>
      </c>
      <c r="P335" s="3">
        <v>286</v>
      </c>
      <c r="Q335" s="18">
        <f t="shared" si="43"/>
        <v>0.42142857142857137</v>
      </c>
      <c r="R335" s="10">
        <f t="shared" si="44"/>
        <v>3.2028571428571424</v>
      </c>
      <c r="S335" s="10">
        <f t="shared" si="45"/>
        <v>-3.2028571428571424</v>
      </c>
      <c r="T335" s="10">
        <f t="shared" si="50"/>
        <v>19.46642857142858</v>
      </c>
      <c r="V335" s="3">
        <v>3172.3</v>
      </c>
      <c r="X335" s="3">
        <f t="shared" si="51"/>
        <v>264175.3000000001</v>
      </c>
      <c r="Y335" s="3">
        <f t="shared" si="53"/>
        <v>5669.6</v>
      </c>
      <c r="AA335" s="3">
        <v>16.058256922043999</v>
      </c>
    </row>
    <row r="336" spans="1:27" s="3" customFormat="1" x14ac:dyDescent="0.25">
      <c r="A336" s="33"/>
      <c r="B336" s="32"/>
      <c r="C336" s="5">
        <v>40721</v>
      </c>
      <c r="D336" s="3">
        <v>25.3</v>
      </c>
      <c r="E336" s="3">
        <v>19.7</v>
      </c>
      <c r="F336" s="3">
        <v>31.9</v>
      </c>
      <c r="G336" s="3">
        <f t="shared" si="46"/>
        <v>2880.6999999999985</v>
      </c>
      <c r="H336" s="3">
        <f t="shared" si="47"/>
        <v>86.600000000000009</v>
      </c>
      <c r="J336" s="3">
        <v>0.3</v>
      </c>
      <c r="K336" s="3">
        <f t="shared" si="48"/>
        <v>456.70000000000005</v>
      </c>
      <c r="L336" s="3">
        <v>5.6</v>
      </c>
      <c r="M336" s="3">
        <f t="shared" si="49"/>
        <v>488.40000000000015</v>
      </c>
      <c r="N336" s="3">
        <v>-5.3</v>
      </c>
      <c r="O336" s="3">
        <v>0</v>
      </c>
      <c r="P336" s="3">
        <v>287</v>
      </c>
      <c r="Q336" s="18">
        <f t="shared" si="43"/>
        <v>0.40714285714285714</v>
      </c>
      <c r="R336" s="10">
        <f t="shared" si="44"/>
        <v>2.2799999999999998</v>
      </c>
      <c r="S336" s="10">
        <f t="shared" si="45"/>
        <v>-1.9799999999999998</v>
      </c>
      <c r="T336" s="10">
        <f t="shared" si="50"/>
        <v>17.486428571428579</v>
      </c>
      <c r="V336" s="3">
        <v>2432.6</v>
      </c>
      <c r="X336" s="3">
        <f t="shared" si="51"/>
        <v>266607.90000000008</v>
      </c>
      <c r="Y336" s="3">
        <f t="shared" si="53"/>
        <v>8102.2000000000007</v>
      </c>
      <c r="AA336" s="3">
        <v>16.051873294648299</v>
      </c>
    </row>
    <row r="337" spans="1:27" s="3" customFormat="1" x14ac:dyDescent="0.25">
      <c r="A337" s="33"/>
      <c r="B337" s="32"/>
      <c r="C337" s="5">
        <v>40722</v>
      </c>
      <c r="D337" s="3">
        <v>16.3</v>
      </c>
      <c r="E337" s="3">
        <v>15.9</v>
      </c>
      <c r="F337" s="3">
        <v>18.399999999999999</v>
      </c>
      <c r="G337" s="3">
        <f t="shared" si="46"/>
        <v>2896.9999999999986</v>
      </c>
      <c r="H337" s="3">
        <f t="shared" si="47"/>
        <v>102.9</v>
      </c>
      <c r="J337" s="3">
        <v>0</v>
      </c>
      <c r="K337" s="3">
        <f t="shared" si="48"/>
        <v>456.70000000000005</v>
      </c>
      <c r="L337" s="3">
        <v>1.9</v>
      </c>
      <c r="M337" s="3">
        <f t="shared" si="49"/>
        <v>490.30000000000013</v>
      </c>
      <c r="N337" s="3">
        <v>-1.9</v>
      </c>
      <c r="O337" s="3">
        <v>0</v>
      </c>
      <c r="P337" s="3">
        <v>288</v>
      </c>
      <c r="Q337" s="18">
        <f t="shared" si="43"/>
        <v>0.3928571428571429</v>
      </c>
      <c r="R337" s="10">
        <f t="shared" si="44"/>
        <v>0.74642857142857144</v>
      </c>
      <c r="S337" s="10">
        <f t="shared" si="45"/>
        <v>-0.74642857142857144</v>
      </c>
      <c r="T337" s="10">
        <f t="shared" si="50"/>
        <v>16.740000000000009</v>
      </c>
      <c r="V337" s="3">
        <v>777.2</v>
      </c>
      <c r="X337" s="3">
        <f t="shared" si="51"/>
        <v>267385.10000000009</v>
      </c>
      <c r="Y337" s="3">
        <f t="shared" si="53"/>
        <v>8879.4000000000015</v>
      </c>
      <c r="AA337" s="3">
        <v>16.044086014292098</v>
      </c>
    </row>
    <row r="338" spans="1:27" s="3" customFormat="1" x14ac:dyDescent="0.25">
      <c r="A338" s="33"/>
      <c r="B338" s="32"/>
      <c r="C338" s="5">
        <v>40723</v>
      </c>
      <c r="D338" s="3">
        <v>14.3</v>
      </c>
      <c r="E338" s="3">
        <v>10.9</v>
      </c>
      <c r="F338" s="3">
        <v>19.3</v>
      </c>
      <c r="G338" s="3">
        <f t="shared" si="46"/>
        <v>2911.2999999999988</v>
      </c>
      <c r="H338" s="3">
        <f t="shared" si="47"/>
        <v>117.2</v>
      </c>
      <c r="J338" s="3">
        <v>0</v>
      </c>
      <c r="K338" s="3">
        <f t="shared" si="48"/>
        <v>456.70000000000005</v>
      </c>
      <c r="L338" s="3">
        <v>4.0999999999999996</v>
      </c>
      <c r="M338" s="3">
        <f t="shared" si="49"/>
        <v>494.40000000000015</v>
      </c>
      <c r="N338" s="3">
        <v>-4.0999999999999996</v>
      </c>
      <c r="O338" s="3">
        <v>0</v>
      </c>
      <c r="P338" s="3">
        <v>289</v>
      </c>
      <c r="Q338" s="18">
        <f t="shared" si="43"/>
        <v>0.37857142857142856</v>
      </c>
      <c r="R338" s="10">
        <f t="shared" si="44"/>
        <v>1.552142857142857</v>
      </c>
      <c r="S338" s="10">
        <f t="shared" si="45"/>
        <v>-1.552142857142857</v>
      </c>
      <c r="T338" s="10">
        <f t="shared" si="50"/>
        <v>15.187857142857151</v>
      </c>
      <c r="V338" s="3">
        <v>2019.9</v>
      </c>
      <c r="X338" s="3">
        <f t="shared" si="51"/>
        <v>269405.00000000012</v>
      </c>
      <c r="Y338" s="3">
        <f t="shared" si="53"/>
        <v>10899.300000000001</v>
      </c>
      <c r="AA338" s="3">
        <v>16.034903604951001</v>
      </c>
    </row>
    <row r="339" spans="1:27" s="3" customFormat="1" x14ac:dyDescent="0.25">
      <c r="A339" s="33"/>
      <c r="B339" s="32"/>
      <c r="C339" s="5">
        <v>40724</v>
      </c>
      <c r="D339" s="3">
        <v>14.4</v>
      </c>
      <c r="E339" s="3">
        <v>8.6</v>
      </c>
      <c r="F339" s="3">
        <v>19.3</v>
      </c>
      <c r="G339" s="3">
        <f t="shared" si="46"/>
        <v>2925.6999999999989</v>
      </c>
      <c r="H339" s="3">
        <f t="shared" si="47"/>
        <v>131.6</v>
      </c>
      <c r="J339" s="3">
        <v>0</v>
      </c>
      <c r="K339" s="3">
        <f t="shared" si="48"/>
        <v>456.70000000000005</v>
      </c>
      <c r="L339" s="3">
        <v>4.5</v>
      </c>
      <c r="M339" s="3">
        <f t="shared" si="49"/>
        <v>498.90000000000015</v>
      </c>
      <c r="N339" s="3">
        <v>-4.5</v>
      </c>
      <c r="O339" s="3">
        <v>0</v>
      </c>
      <c r="P339" s="3">
        <v>290</v>
      </c>
      <c r="Q339" s="18">
        <f t="shared" si="43"/>
        <v>0.36428571428571432</v>
      </c>
      <c r="R339" s="10">
        <f t="shared" si="44"/>
        <v>1.6392857142857145</v>
      </c>
      <c r="S339" s="10">
        <f t="shared" si="45"/>
        <v>-1.6392857142857145</v>
      </c>
      <c r="T339" s="10">
        <f t="shared" si="50"/>
        <v>13.548571428571437</v>
      </c>
      <c r="V339" s="3">
        <v>2658.8</v>
      </c>
      <c r="X339" s="3">
        <f t="shared" si="51"/>
        <v>272063.8000000001</v>
      </c>
      <c r="Y339" s="3">
        <f t="shared" si="53"/>
        <v>13558.100000000002</v>
      </c>
      <c r="AA339" s="3">
        <v>16.024335964614099</v>
      </c>
    </row>
    <row r="340" spans="1:27" s="3" customFormat="1" x14ac:dyDescent="0.25">
      <c r="A340" s="33"/>
      <c r="B340" s="32"/>
      <c r="C340" s="5">
        <v>40725</v>
      </c>
      <c r="D340" s="3">
        <v>16.100000000000001</v>
      </c>
      <c r="E340" s="3">
        <v>9.5</v>
      </c>
      <c r="F340" s="3">
        <v>21.5</v>
      </c>
      <c r="G340" s="3">
        <f t="shared" si="46"/>
        <v>2941.7999999999988</v>
      </c>
      <c r="H340" s="3">
        <f t="shared" si="47"/>
        <v>147.69999999999999</v>
      </c>
      <c r="J340" s="3">
        <v>0</v>
      </c>
      <c r="K340" s="3">
        <f t="shared" si="48"/>
        <v>456.70000000000005</v>
      </c>
      <c r="L340" s="3">
        <v>3.5</v>
      </c>
      <c r="M340" s="3">
        <f t="shared" si="49"/>
        <v>502.40000000000015</v>
      </c>
      <c r="N340" s="3">
        <v>-3.5</v>
      </c>
      <c r="O340" s="3">
        <v>0</v>
      </c>
      <c r="P340" s="3">
        <v>291</v>
      </c>
      <c r="Q340" s="18">
        <f t="shared" si="43"/>
        <v>0.35</v>
      </c>
      <c r="R340" s="10">
        <f t="shared" si="44"/>
        <v>1.2249999999999999</v>
      </c>
      <c r="S340" s="10">
        <f t="shared" si="45"/>
        <v>-1.2249999999999999</v>
      </c>
      <c r="T340" s="10">
        <f t="shared" si="50"/>
        <v>12.323571428571437</v>
      </c>
      <c r="V340" s="3">
        <v>1736.3</v>
      </c>
      <c r="X340" s="3">
        <f t="shared" si="51"/>
        <v>273800.10000000009</v>
      </c>
      <c r="Y340" s="3">
        <f t="shared" si="53"/>
        <v>15294.400000000001</v>
      </c>
      <c r="AA340" s="3">
        <v>16.012394327759999</v>
      </c>
    </row>
    <row r="341" spans="1:27" s="3" customFormat="1" x14ac:dyDescent="0.25">
      <c r="A341" s="56" t="s">
        <v>24</v>
      </c>
      <c r="B341" s="56"/>
      <c r="C341" s="56"/>
      <c r="D341" s="56"/>
      <c r="E341" s="56"/>
      <c r="F341" s="56"/>
      <c r="G341" s="56"/>
      <c r="H341" s="56"/>
      <c r="I341" s="56"/>
      <c r="J341" s="56"/>
      <c r="K341" s="56"/>
      <c r="L341" s="56"/>
      <c r="M341" s="56"/>
      <c r="N341" s="56"/>
      <c r="O341" s="56"/>
      <c r="P341" s="56"/>
      <c r="Q341" s="56"/>
      <c r="R341" s="56"/>
      <c r="S341" s="56"/>
      <c r="T341" s="56"/>
      <c r="U341" s="56"/>
      <c r="V341" s="56"/>
      <c r="W341" s="56"/>
      <c r="X341" s="56"/>
      <c r="Y341" s="56"/>
      <c r="Z341" s="56"/>
    </row>
  </sheetData>
  <mergeCells count="14">
    <mergeCell ref="A306:A332"/>
    <mergeCell ref="A341:Z341"/>
    <mergeCell ref="A49:Z49"/>
    <mergeCell ref="A50:A119"/>
    <mergeCell ref="A120:A168"/>
    <mergeCell ref="A169:A242"/>
    <mergeCell ref="A264:A284"/>
    <mergeCell ref="A285:A305"/>
    <mergeCell ref="D1:I2"/>
    <mergeCell ref="J1:U2"/>
    <mergeCell ref="V1:Z2"/>
    <mergeCell ref="P3:T3"/>
    <mergeCell ref="G4:H4"/>
    <mergeCell ref="X4:Y4"/>
  </mergeCells>
  <conditionalFormatting sqref="T1:T4">
    <cfRule type="cellIs" dxfId="10" priority="1" operator="equal">
      <formula>0</formula>
    </cfRule>
    <cfRule type="cellIs" dxfId="9" priority="2" operator="lessThanOrEqual">
      <formula>65.8</formula>
    </cfRule>
  </conditionalFormatting>
  <conditionalFormatting sqref="D5:F48 D50:F340 G50 H120 I59 I57 I61 I63 I127 I129 I131 I133 I176 I180 I178 I182 I244 I246 I250 I252 I254 I271 I273 I275 I277 I298 I319 I292 I294 I296 I315 I313 I317 I265 I267">
    <cfRule type="cellIs" dxfId="8" priority="9" operator="between">
      <formula>25</formula>
      <formula>40</formula>
    </cfRule>
    <cfRule type="cellIs" dxfId="7" priority="10" operator="between">
      <formula>0</formula>
      <formula>5</formula>
    </cfRule>
    <cfRule type="cellIs" dxfId="6" priority="11" operator="between">
      <formula>0</formula>
      <formula>-50</formula>
    </cfRule>
  </conditionalFormatting>
  <conditionalFormatting sqref="N5:N48 N50:N340">
    <cfRule type="cellIs" dxfId="5" priority="8" operator="between">
      <formula>0</formula>
      <formula>-40</formula>
    </cfRule>
  </conditionalFormatting>
  <conditionalFormatting sqref="V5:V341">
    <cfRule type="cellIs" dxfId="4" priority="7" operator="between">
      <formula>899.999</formula>
      <formula>0</formula>
    </cfRule>
  </conditionalFormatting>
  <conditionalFormatting sqref="S50:S340">
    <cfRule type="cellIs" dxfId="3" priority="6" operator="lessThanOrEqual">
      <formula>0</formula>
    </cfRule>
  </conditionalFormatting>
  <conditionalFormatting sqref="T5:T341">
    <cfRule type="cellIs" dxfId="2" priority="4" operator="equal">
      <formula>0</formula>
    </cfRule>
    <cfRule type="cellIs" dxfId="1" priority="5" operator="lessThanOrEqual">
      <formula>65.8</formula>
    </cfRule>
  </conditionalFormatting>
  <conditionalFormatting sqref="V1:V4">
    <cfRule type="cellIs" dxfId="0" priority="3" operator="between">
      <formula>899.999</formula>
      <formula>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 N-</vt:lpstr>
      <vt:lpstr>N+</vt:lpstr>
    </vt:vector>
  </TitlesOfParts>
  <Company>INRA - RENNES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adminigepp</dc:creator>
  <cp:lastModifiedBy>adminigepp</cp:lastModifiedBy>
  <dcterms:created xsi:type="dcterms:W3CDTF">2019-11-18T12:55:35Z</dcterms:created>
  <dcterms:modified xsi:type="dcterms:W3CDTF">2019-11-26T10:14:46Z</dcterms:modified>
</cp:coreProperties>
</file>